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tart Here" sheetId="1" r:id="rId4"/>
    <sheet state="visible" name="2. StrongLifts 5x5 Advanced" sheetId="2" r:id="rId5"/>
  </sheets>
  <definedNames/>
  <calcPr/>
  <extLst>
    <ext uri="GoogleSheetsCustomDataVersion1">
      <go:sheetsCustomData xmlns:go="http://customooxmlschemas.google.com/" r:id="rId6" roundtripDataSignature="AMtx7milUF5CcVMFmFvO2RVZpeXSlO/RYQ=="/>
    </ext>
  </extLst>
</workbook>
</file>

<file path=xl/sharedStrings.xml><?xml version="1.0" encoding="utf-8"?>
<sst xmlns="http://schemas.openxmlformats.org/spreadsheetml/2006/main" count="57" uniqueCount="46">
  <si>
    <t>BIBLIOTECADERUTINAS.COM</t>
  </si>
  <si>
    <t>StrongLifts 5x5 Advanced Training Program</t>
  </si>
  <si>
    <t>More info:  http://stronglifts.com/stronglifts-advanced/</t>
  </si>
  <si>
    <t>Introduzca su actual 1RM o 3RM o 5RM en las cajas amarillas</t>
  </si>
  <si>
    <t>Asegúrate de elegir un peso que estés 100% seguro de que puedes levantar</t>
  </si>
  <si>
    <t>Recomiendo encarecidamente empezar con un 10% menos de su mejor peso la primera vez</t>
  </si>
  <si>
    <t>Si resulta que empezaste demasiado pesado, añade una 5ª o 6ª semana antes de entrar en la fase de descarga.</t>
  </si>
  <si>
    <t>Si resulta que empezaste muy liviano, estás muy mal atornillado, así que es mejor empezar muy liviano que muy pesado.</t>
  </si>
  <si>
    <t>La hoja de cálculo calculará automáticamente cuánto peso debes levantar en cada entrenamiento, sólo tienes que ir a la hoja 2 (abajo)</t>
  </si>
  <si>
    <t>Ejercicio</t>
  </si>
  <si>
    <t>Peso testado</t>
  </si>
  <si>
    <t>Reps</t>
  </si>
  <si>
    <t>1RM</t>
  </si>
  <si>
    <t>5RM</t>
  </si>
  <si>
    <t>5x5RM</t>
  </si>
  <si>
    <t>New 1RM</t>
  </si>
  <si>
    <t>3RM</t>
  </si>
  <si>
    <t>3x3RM</t>
  </si>
  <si>
    <t>Sentadilla</t>
  </si>
  <si>
    <t>Press de banca</t>
  </si>
  <si>
    <t>Peso muerto</t>
  </si>
  <si>
    <t>Press militar</t>
  </si>
  <si>
    <t>Remo en barra</t>
  </si>
  <si>
    <t>Pesos redondeados a</t>
  </si>
  <si>
    <t>http://stronglifts.com/</t>
  </si>
  <si>
    <t>Día</t>
  </si>
  <si>
    <t>S1</t>
  </si>
  <si>
    <t>S2</t>
  </si>
  <si>
    <t>S3</t>
  </si>
  <si>
    <t>S4</t>
  </si>
  <si>
    <t>S5- Descarga</t>
  </si>
  <si>
    <t>S6</t>
  </si>
  <si>
    <t>S7</t>
  </si>
  <si>
    <t>S8</t>
  </si>
  <si>
    <t>S9</t>
  </si>
  <si>
    <t>LUNES</t>
  </si>
  <si>
    <t>SENTADILLA</t>
  </si>
  <si>
    <t>PRESS DE BANCA</t>
  </si>
  <si>
    <t>REMO EN BARRA</t>
  </si>
  <si>
    <t>MIERCOLES</t>
  </si>
  <si>
    <t xml:space="preserve">Sin sentadilla los miercoles de la semana 5 a la 9 </t>
  </si>
  <si>
    <t>Empieza con peso muerto y luego press militar</t>
  </si>
  <si>
    <t>Como tercer ejercicio se recomiendan dominadas</t>
  </si>
  <si>
    <t>PRESS MILITAR</t>
  </si>
  <si>
    <t>PESO MUERTO</t>
  </si>
  <si>
    <t>VIERNES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</si>
</sst>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u/>
      <sz val="10.0"/>
      <color rgb="FF1155CC"/>
      <name val="Arial"/>
    </font>
    <font>
      <b/>
      <sz val="12.0"/>
      <color rgb="FF000000"/>
      <name val="Arial"/>
    </font>
    <font>
      <u/>
      <color rgb="FF0000FF"/>
    </font>
    <font>
      <b/>
    </font>
    <font/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name val="Arial"/>
    </font>
    <font>
      <u/>
      <sz val="10.0"/>
      <color rgb="FF0000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DDDDDD"/>
        <bgColor rgb="FFDDDDDD"/>
      </patternFill>
    </fill>
    <fill>
      <patternFill patternType="solid">
        <fgColor rgb="FFCCCCCC"/>
        <bgColor rgb="FFCCCCCC"/>
      </patternFill>
    </fill>
    <fill>
      <patternFill patternType="solid">
        <fgColor rgb="FFB3D580"/>
        <bgColor rgb="FFB3D580"/>
      </patternFill>
    </fill>
  </fills>
  <borders count="56">
    <border/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/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</border>
    <border>
      <left/>
      <right/>
      <top/>
      <bottom/>
    </border>
    <border>
      <left/>
      <right style="hair">
        <color rgb="FF000000"/>
      </right>
      <top/>
      <bottom/>
    </border>
    <border>
      <left style="hair">
        <color rgb="FF000000"/>
      </left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 style="hair">
        <color rgb="FF000000"/>
      </left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right style="medium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 style="medium">
        <color rgb="FF000000"/>
      </right>
      <top style="hair">
        <color rgb="FF000000"/>
      </top>
      <bottom/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hair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vertical="center"/>
    </xf>
    <xf borderId="0" fillId="0" fontId="0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readingOrder="0" shrinkToFit="0" vertical="bottom" wrapText="0"/>
    </xf>
    <xf borderId="2" fillId="3" fontId="6" numFmtId="0" xfId="0" applyAlignment="1" applyBorder="1" applyFont="1">
      <alignment horizontal="center" readingOrder="0" shrinkToFit="0" vertical="bottom" wrapText="0"/>
    </xf>
    <xf borderId="2" fillId="3" fontId="6" numFmtId="0" xfId="0" applyAlignment="1" applyBorder="1" applyFont="1">
      <alignment horizontal="center" shrinkToFit="0" vertical="bottom" wrapText="0"/>
    </xf>
    <xf borderId="3" fillId="3" fontId="6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5" fillId="2" fontId="0" numFmtId="0" xfId="0" applyAlignment="1" applyBorder="1" applyFont="1">
      <alignment horizontal="center" shrinkToFit="0" vertical="bottom" wrapText="0"/>
    </xf>
    <xf borderId="5" fillId="4" fontId="0" numFmtId="0" xfId="0" applyAlignment="1" applyBorder="1" applyFill="1" applyFont="1">
      <alignment horizontal="center" shrinkToFit="0" vertical="bottom" wrapText="0"/>
    </xf>
    <xf borderId="6" fillId="4" fontId="0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8" fillId="2" fontId="0" numFmtId="0" xfId="0" applyAlignment="1" applyBorder="1" applyFont="1">
      <alignment horizontal="center" shrinkToFit="0" vertical="bottom" wrapText="0"/>
    </xf>
    <xf borderId="8" fillId="4" fontId="0" numFmtId="0" xfId="0" applyAlignment="1" applyBorder="1" applyFont="1">
      <alignment horizontal="center" shrinkToFit="0" vertical="bottom" wrapText="0"/>
    </xf>
    <xf borderId="9" fillId="4" fontId="0" numFmtId="0" xfId="0" applyAlignment="1" applyBorder="1" applyFont="1">
      <alignment horizontal="center" shrinkToFit="0" vertical="bottom" wrapText="0"/>
    </xf>
    <xf borderId="10" fillId="0" fontId="7" numFmtId="0" xfId="0" applyAlignment="1" applyBorder="1" applyFont="1">
      <alignment horizontal="left" readingOrder="0" shrinkToFit="0" vertical="bottom" wrapText="0"/>
    </xf>
    <xf borderId="11" fillId="2" fontId="0" numFmtId="0" xfId="0" applyAlignment="1" applyBorder="1" applyFont="1">
      <alignment horizontal="center" shrinkToFit="0" vertical="bottom" wrapText="0"/>
    </xf>
    <xf borderId="11" fillId="4" fontId="0" numFmtId="0" xfId="0" applyAlignment="1" applyBorder="1" applyFont="1">
      <alignment horizontal="center" shrinkToFit="0" vertical="bottom" wrapText="0"/>
    </xf>
    <xf borderId="12" fillId="4" fontId="0" numFmtId="0" xfId="0" applyAlignment="1" applyBorder="1" applyFont="1">
      <alignment horizontal="center" shrinkToFit="0" vertical="bottom" wrapText="0"/>
    </xf>
    <xf borderId="1" fillId="4" fontId="0" numFmtId="0" xfId="0" applyAlignment="1" applyBorder="1" applyFont="1">
      <alignment horizontal="left" readingOrder="0" shrinkToFit="0" vertical="bottom" wrapText="0"/>
    </xf>
    <xf borderId="3" fillId="4" fontId="0" numFmtId="0" xfId="0" applyAlignment="1" applyBorder="1" applyFont="1">
      <alignment horizontal="center" shrinkToFit="0" vertical="bottom" wrapText="0"/>
    </xf>
    <xf borderId="0" fillId="0" fontId="0" numFmtId="0" xfId="0" applyAlignment="1" applyFont="1">
      <alignment horizontal="left" shrinkToFit="0" vertical="bottom" wrapText="0"/>
    </xf>
    <xf borderId="0" fillId="0" fontId="0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0" numFmtId="0" xfId="0" applyAlignment="1" applyFont="1">
      <alignment shrinkToFit="0" vertical="center" wrapText="0"/>
    </xf>
    <xf borderId="0" fillId="0" fontId="0" numFmtId="0" xfId="0" applyAlignment="1" applyFont="1">
      <alignment shrinkToFit="0" vertical="bottom" wrapText="1"/>
    </xf>
    <xf borderId="0" fillId="0" fontId="12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13" fillId="5" fontId="7" numFmtId="0" xfId="0" applyAlignment="1" applyBorder="1" applyFill="1" applyFont="1">
      <alignment horizontal="center" readingOrder="0" shrinkToFit="0" vertical="bottom" wrapText="0"/>
    </xf>
    <xf borderId="14" fillId="5" fontId="7" numFmtId="0" xfId="0" applyAlignment="1" applyBorder="1" applyFont="1">
      <alignment horizontal="center" readingOrder="0" shrinkToFit="0" vertical="bottom" wrapText="0"/>
    </xf>
    <xf borderId="15" fillId="5" fontId="7" numFmtId="0" xfId="0" applyAlignment="1" applyBorder="1" applyFont="1">
      <alignment horizontal="center" shrinkToFit="0" vertical="bottom" wrapText="0"/>
    </xf>
    <xf borderId="16" fillId="5" fontId="7" numFmtId="0" xfId="0" applyAlignment="1" applyBorder="1" applyFont="1">
      <alignment horizontal="center" readingOrder="0" shrinkToFit="0" vertical="bottom" wrapText="0"/>
    </xf>
    <xf borderId="17" fillId="5" fontId="7" numFmtId="0" xfId="0" applyAlignment="1" applyBorder="1" applyFont="1">
      <alignment horizontal="center" readingOrder="0" shrinkToFit="0" vertical="bottom" wrapText="0"/>
    </xf>
    <xf borderId="14" fillId="3" fontId="7" numFmtId="0" xfId="0" applyAlignment="1" applyBorder="1" applyFont="1">
      <alignment horizontal="center" shrinkToFit="0" vertical="bottom" wrapText="0"/>
    </xf>
    <xf borderId="16" fillId="5" fontId="7" numFmtId="0" xfId="0" applyAlignment="1" applyBorder="1" applyFont="1">
      <alignment horizontal="center" shrinkToFit="0" vertical="bottom" wrapText="0"/>
    </xf>
    <xf borderId="18" fillId="5" fontId="7" numFmtId="0" xfId="0" applyAlignment="1" applyBorder="1" applyFont="1">
      <alignment horizontal="center" readingOrder="0" shrinkToFit="0" vertical="bottom" wrapText="0"/>
    </xf>
    <xf borderId="19" fillId="5" fontId="7" numFmtId="0" xfId="0" applyAlignment="1" applyBorder="1" applyFont="1">
      <alignment horizontal="center" readingOrder="0" shrinkToFit="0" vertical="center" wrapText="0"/>
    </xf>
    <xf borderId="20" fillId="5" fontId="7" numFmtId="0" xfId="0" applyAlignment="1" applyBorder="1" applyFont="1">
      <alignment horizontal="center" readingOrder="0" shrinkToFit="0" vertical="center" wrapText="0"/>
    </xf>
    <xf borderId="21" fillId="3" fontId="0" numFmtId="0" xfId="0" applyAlignment="1" applyBorder="1" applyFont="1">
      <alignment horizontal="center" shrinkToFit="0" vertical="bottom" wrapText="0"/>
    </xf>
    <xf borderId="22" fillId="6" fontId="0" numFmtId="0" xfId="0" applyAlignment="1" applyBorder="1" applyFill="1" applyFont="1">
      <alignment horizontal="center" shrinkToFit="0" vertical="bottom" wrapText="0"/>
    </xf>
    <xf borderId="23" fillId="6" fontId="0" numFmtId="0" xfId="0" applyAlignment="1" applyBorder="1" applyFont="1">
      <alignment horizontal="center" shrinkToFit="0" vertical="bottom" wrapText="0"/>
    </xf>
    <xf borderId="24" fillId="3" fontId="0" numFmtId="0" xfId="0" applyAlignment="1" applyBorder="1" applyFont="1">
      <alignment horizontal="center" shrinkToFit="0" vertical="bottom" wrapText="0"/>
    </xf>
    <xf borderId="25" fillId="6" fontId="0" numFmtId="0" xfId="0" applyAlignment="1" applyBorder="1" applyFont="1">
      <alignment horizontal="center" shrinkToFit="0" vertical="bottom" wrapText="0"/>
    </xf>
    <xf borderId="26" fillId="0" fontId="5" numFmtId="0" xfId="0" applyAlignment="1" applyBorder="1" applyFont="1">
      <alignment vertical="center"/>
    </xf>
    <xf borderId="27" fillId="0" fontId="5" numFmtId="0" xfId="0" applyAlignment="1" applyBorder="1" applyFont="1">
      <alignment vertical="center"/>
    </xf>
    <xf borderId="28" fillId="3" fontId="0" numFmtId="0" xfId="0" applyAlignment="1" applyBorder="1" applyFont="1">
      <alignment horizontal="center" shrinkToFit="0" vertical="bottom" wrapText="0"/>
    </xf>
    <xf borderId="29" fillId="6" fontId="0" numFmtId="0" xfId="0" applyAlignment="1" applyBorder="1" applyFont="1">
      <alignment horizontal="center" shrinkToFit="0" vertical="bottom" wrapText="0"/>
    </xf>
    <xf borderId="8" fillId="6" fontId="0" numFmtId="0" xfId="0" applyAlignment="1" applyBorder="1" applyFont="1">
      <alignment horizontal="center" shrinkToFit="0" vertical="bottom" wrapText="0"/>
    </xf>
    <xf borderId="30" fillId="3" fontId="0" numFmtId="0" xfId="0" applyAlignment="1" applyBorder="1" applyFont="1">
      <alignment horizontal="center" shrinkToFit="0" vertical="bottom" wrapText="0"/>
    </xf>
    <xf borderId="31" fillId="6" fontId="0" numFmtId="0" xfId="0" applyAlignment="1" applyBorder="1" applyFont="1">
      <alignment horizontal="center" shrinkToFit="0" vertical="bottom" wrapText="0"/>
    </xf>
    <xf borderId="32" fillId="6" fontId="0" numFmtId="0" xfId="0" applyAlignment="1" applyBorder="1" applyFont="1">
      <alignment horizontal="center" shrinkToFit="0" vertical="bottom" wrapText="0"/>
    </xf>
    <xf borderId="11" fillId="6" fontId="0" numFmtId="0" xfId="0" applyAlignment="1" applyBorder="1" applyFont="1">
      <alignment horizontal="center" shrinkToFit="0" vertical="bottom" wrapText="0"/>
    </xf>
    <xf borderId="33" fillId="6" fontId="0" numFmtId="0" xfId="0" applyAlignment="1" applyBorder="1" applyFont="1">
      <alignment horizontal="center" shrinkToFit="0" vertical="bottom" wrapText="0"/>
    </xf>
    <xf borderId="34" fillId="0" fontId="0" numFmtId="0" xfId="0" applyAlignment="1" applyBorder="1" applyFont="1">
      <alignment horizontal="center" shrinkToFit="0" vertical="bottom" wrapText="0"/>
    </xf>
    <xf borderId="35" fillId="0" fontId="5" numFmtId="0" xfId="0" applyAlignment="1" applyBorder="1" applyFont="1">
      <alignment vertical="center"/>
    </xf>
    <xf borderId="36" fillId="5" fontId="7" numFmtId="0" xfId="0" applyAlignment="1" applyBorder="1" applyFont="1">
      <alignment horizontal="center" readingOrder="0" shrinkToFit="0" vertical="center" wrapText="0"/>
    </xf>
    <xf borderId="4" fillId="0" fontId="0" numFmtId="0" xfId="0" applyAlignment="1" applyBorder="1" applyFont="1">
      <alignment horizontal="center" shrinkToFit="0" vertical="bottom" wrapText="0"/>
    </xf>
    <xf borderId="37" fillId="0" fontId="0" numFmtId="0" xfId="0" applyAlignment="1" applyBorder="1" applyFont="1">
      <alignment horizontal="center" shrinkToFit="0" vertical="bottom" wrapText="0"/>
    </xf>
    <xf borderId="38" fillId="0" fontId="0" numFmtId="0" xfId="0" applyAlignment="1" applyBorder="1" applyFont="1">
      <alignment horizontal="center" shrinkToFit="0" vertical="bottom" wrapText="0"/>
    </xf>
    <xf borderId="7" fillId="0" fontId="0" numFmtId="0" xfId="0" applyAlignment="1" applyBorder="1" applyFont="1">
      <alignment horizontal="center" shrinkToFit="0" vertical="bottom" wrapText="0"/>
    </xf>
    <xf borderId="10" fillId="0" fontId="0" numFmtId="0" xfId="0" applyAlignment="1" applyBorder="1" applyFont="1">
      <alignment horizontal="center" shrinkToFit="0" vertical="bottom" wrapText="0"/>
    </xf>
    <xf borderId="39" fillId="0" fontId="0" numFmtId="0" xfId="0" applyAlignment="1" applyBorder="1" applyFont="1">
      <alignment horizontal="center" shrinkToFit="0" vertical="bottom" wrapText="0"/>
    </xf>
    <xf borderId="40" fillId="0" fontId="0" numFmtId="0" xfId="0" applyAlignment="1" applyBorder="1" applyFont="1">
      <alignment horizontal="center" shrinkToFit="0" vertical="bottom" wrapText="0"/>
    </xf>
    <xf borderId="41" fillId="3" fontId="0" numFmtId="0" xfId="0" applyAlignment="1" applyBorder="1" applyFont="1">
      <alignment horizontal="center" shrinkToFit="0" vertical="bottom" wrapText="0"/>
    </xf>
    <xf borderId="42" fillId="6" fontId="0" numFmtId="0" xfId="0" applyAlignment="1" applyBorder="1" applyFont="1">
      <alignment horizontal="center" shrinkToFit="0" vertical="bottom" wrapText="0"/>
    </xf>
    <xf borderId="5" fillId="6" fontId="0" numFmtId="0" xfId="0" applyAlignment="1" applyBorder="1" applyFont="1">
      <alignment horizontal="center" shrinkToFit="0" vertical="bottom" wrapText="0"/>
    </xf>
    <xf borderId="43" fillId="6" fontId="0" numFmtId="0" xfId="0" applyAlignment="1" applyBorder="1" applyFont="1">
      <alignment horizontal="center" shrinkToFit="0" vertical="bottom" wrapText="0"/>
    </xf>
    <xf borderId="44" fillId="0" fontId="5" numFmtId="0" xfId="0" applyAlignment="1" applyBorder="1" applyFont="1">
      <alignment vertical="center"/>
    </xf>
    <xf borderId="45" fillId="0" fontId="5" numFmtId="0" xfId="0" applyAlignment="1" applyBorder="1" applyFont="1">
      <alignment vertical="center"/>
    </xf>
    <xf borderId="46" fillId="3" fontId="0" numFmtId="0" xfId="0" applyAlignment="1" applyBorder="1" applyFont="1">
      <alignment horizontal="center" shrinkToFit="0" vertical="bottom" wrapText="0"/>
    </xf>
    <xf borderId="47" fillId="6" fontId="0" numFmtId="0" xfId="0" applyAlignment="1" applyBorder="1" applyFont="1">
      <alignment horizontal="center" shrinkToFit="0" vertical="bottom" wrapText="0"/>
    </xf>
    <xf borderId="48" fillId="6" fontId="0" numFmtId="0" xfId="0" applyAlignment="1" applyBorder="1" applyFont="1">
      <alignment horizontal="center" shrinkToFit="0" vertical="bottom" wrapText="0"/>
    </xf>
    <xf borderId="49" fillId="3" fontId="0" numFmtId="0" xfId="0" applyAlignment="1" applyBorder="1" applyFont="1">
      <alignment horizontal="center" shrinkToFit="0" vertical="bottom" wrapText="0"/>
    </xf>
    <xf borderId="50" fillId="0" fontId="0" numFmtId="0" xfId="0" applyAlignment="1" applyBorder="1" applyFont="1">
      <alignment horizontal="center" shrinkToFit="0" vertical="bottom" wrapText="0"/>
    </xf>
    <xf borderId="51" fillId="0" fontId="0" numFmtId="0" xfId="0" applyAlignment="1" applyBorder="1" applyFont="1">
      <alignment horizontal="center" shrinkToFit="0" vertical="bottom" wrapText="0"/>
    </xf>
    <xf borderId="52" fillId="0" fontId="0" numFmtId="0" xfId="0" applyAlignment="1" applyBorder="1" applyFont="1">
      <alignment horizontal="center" shrinkToFit="0" vertical="bottom" wrapText="0"/>
    </xf>
    <xf borderId="53" fillId="0" fontId="0" numFmtId="0" xfId="0" applyAlignment="1" applyBorder="1" applyFont="1">
      <alignment horizontal="center" shrinkToFit="0" vertical="bottom" wrapText="0"/>
    </xf>
    <xf borderId="54" fillId="0" fontId="0" numFmtId="0" xfId="0" applyAlignment="1" applyBorder="1" applyFont="1">
      <alignment horizontal="center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34" fillId="0" fontId="5" numFmtId="0" xfId="0" applyAlignment="1" applyBorder="1" applyFont="1">
      <alignment vertical="center"/>
    </xf>
    <xf borderId="55" fillId="0" fontId="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bliotecaderutinas.com/" TargetMode="External"/><Relationship Id="rId2" Type="http://schemas.openxmlformats.org/officeDocument/2006/relationships/hyperlink" Target="http://stronglifts.com/stronglifts-advanced/" TargetMode="External"/><Relationship Id="rId3" Type="http://schemas.openxmlformats.org/officeDocument/2006/relationships/hyperlink" Target="http://stronglifts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tronglifts.com/stronglifts-advanced/" TargetMode="External"/><Relationship Id="rId2" Type="http://schemas.openxmlformats.org/officeDocument/2006/relationships/hyperlink" Target="http://stronglifts.com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9.43"/>
    <col customWidth="1" min="3" max="3" width="13.86"/>
    <col customWidth="1" min="4" max="4" width="10.57"/>
    <col customWidth="1" min="5" max="5" width="8.71"/>
    <col customWidth="1" min="6" max="6" width="8.57"/>
    <col customWidth="1" min="7" max="7" width="7.86"/>
    <col customWidth="1" min="8" max="8" width="12.0"/>
    <col customWidth="1" min="9" max="9" width="10.43"/>
    <col customWidth="1" min="10" max="10" width="10.29"/>
  </cols>
  <sheetData>
    <row r="1" ht="12.75" customHeight="1">
      <c r="A1" s="1" t="s">
        <v>0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>
      <c r="B7" s="2" t="s">
        <v>1</v>
      </c>
    </row>
    <row r="8" ht="12.75" customHeight="1">
      <c r="B8" s="3" t="s">
        <v>2</v>
      </c>
    </row>
    <row r="9" ht="12.75" customHeight="1"/>
    <row r="10" ht="12.75" customHeight="1"/>
    <row r="11" ht="12.75" customHeight="1">
      <c r="B11" s="2"/>
    </row>
    <row r="12" ht="12.75" customHeight="1">
      <c r="B12" s="4" t="s">
        <v>3</v>
      </c>
    </row>
    <row r="13" ht="12.75" customHeight="1">
      <c r="B13" s="5" t="s">
        <v>4</v>
      </c>
    </row>
    <row r="14" ht="12.75" customHeight="1">
      <c r="B14" s="6" t="s">
        <v>5</v>
      </c>
    </row>
    <row r="15" ht="12.75" customHeight="1">
      <c r="B15" s="6" t="s">
        <v>6</v>
      </c>
    </row>
    <row r="16" ht="12.75" customHeight="1">
      <c r="B16" s="6" t="s">
        <v>7</v>
      </c>
    </row>
    <row r="17" ht="12.75" customHeight="1">
      <c r="B17" s="6" t="s">
        <v>8</v>
      </c>
    </row>
    <row r="18" ht="12.75" customHeight="1">
      <c r="B18" s="7"/>
    </row>
    <row r="19" ht="12.75" customHeight="1">
      <c r="B19" s="7"/>
    </row>
    <row r="20" ht="12.75" customHeight="1">
      <c r="B20" s="8" t="s">
        <v>9</v>
      </c>
      <c r="C20" s="9" t="s">
        <v>10</v>
      </c>
      <c r="D20" s="10" t="s">
        <v>11</v>
      </c>
      <c r="E20" s="10" t="s">
        <v>12</v>
      </c>
      <c r="F20" s="10" t="s">
        <v>13</v>
      </c>
      <c r="G20" s="10" t="s">
        <v>14</v>
      </c>
      <c r="H20" s="10" t="s">
        <v>15</v>
      </c>
      <c r="I20" s="10" t="s">
        <v>16</v>
      </c>
      <c r="J20" s="11" t="s">
        <v>17</v>
      </c>
    </row>
    <row r="21" ht="12.75" customHeight="1">
      <c r="B21" s="12" t="s">
        <v>18</v>
      </c>
      <c r="C21" s="13">
        <v>335.0</v>
      </c>
      <c r="D21" s="13">
        <v>5.0</v>
      </c>
      <c r="E21" s="14">
        <f t="shared" ref="E21:E25" si="1">ROUND((((C21)/(1.0278-(0.0278*D21)))/$C$27),0)*$C$27</f>
        <v>375</v>
      </c>
      <c r="F21" s="14">
        <f t="shared" ref="F21:F25" si="2">ROUND(((E21*(1.0278-(0.0278*5)))/$C$27),0)*$C$27</f>
        <v>335</v>
      </c>
      <c r="G21" s="14">
        <f t="shared" ref="G21:G25" si="3">ROUND(((F21*0.925)/$C$27),0)*$C$27</f>
        <v>310</v>
      </c>
      <c r="H21" s="14">
        <f>ROUND(((('2. StrongLifts 5x5 Advanced'!I44)/(1.0278-(0.0278*5)))/$C$27),0)*$C$27</f>
        <v>395</v>
      </c>
      <c r="I21" s="14">
        <f t="shared" ref="I21:I25" si="4">ROUND(((H21*(1.0278-(0.0278*3)))/$C$27),0)*$C$27</f>
        <v>375</v>
      </c>
      <c r="J21" s="15">
        <f t="shared" ref="J21:J25" si="5">ROUND(((I21*0.95)/$C$27),0)*$C$27</f>
        <v>355</v>
      </c>
    </row>
    <row r="22" ht="12.75" customHeight="1">
      <c r="B22" s="16" t="s">
        <v>19</v>
      </c>
      <c r="C22" s="17">
        <v>240.0</v>
      </c>
      <c r="D22" s="17">
        <v>5.0</v>
      </c>
      <c r="E22" s="18">
        <f t="shared" si="1"/>
        <v>270</v>
      </c>
      <c r="F22" s="18">
        <f t="shared" si="2"/>
        <v>240</v>
      </c>
      <c r="G22" s="18">
        <f t="shared" si="3"/>
        <v>220</v>
      </c>
      <c r="H22" s="18">
        <f>ROUND(((('2. StrongLifts 5x5 Advanced'!I21)/(1.0278-(0.0278*5)))/$C$27),0)*$C$27</f>
        <v>280</v>
      </c>
      <c r="I22" s="18">
        <f t="shared" si="4"/>
        <v>265</v>
      </c>
      <c r="J22" s="19">
        <f t="shared" si="5"/>
        <v>250</v>
      </c>
    </row>
    <row r="23" ht="12.75" customHeight="1">
      <c r="B23" s="16" t="s">
        <v>20</v>
      </c>
      <c r="C23" s="17">
        <v>335.0</v>
      </c>
      <c r="D23" s="17">
        <v>5.0</v>
      </c>
      <c r="E23" s="18">
        <f t="shared" si="1"/>
        <v>375</v>
      </c>
      <c r="F23" s="18">
        <f t="shared" si="2"/>
        <v>335</v>
      </c>
      <c r="G23" s="18">
        <f t="shared" si="3"/>
        <v>310</v>
      </c>
      <c r="H23" s="18">
        <f>ROUND(((('2. StrongLifts 5x5 Advanced'!I39*1.075)/(1.0278-(0.0278*5)))/$C$27),0)*$C$27</f>
        <v>395</v>
      </c>
      <c r="I23" s="18">
        <f t="shared" si="4"/>
        <v>375</v>
      </c>
      <c r="J23" s="19">
        <f t="shared" si="5"/>
        <v>355</v>
      </c>
    </row>
    <row r="24" ht="12.75" customHeight="1">
      <c r="B24" s="16" t="s">
        <v>21</v>
      </c>
      <c r="C24" s="17">
        <v>135.0</v>
      </c>
      <c r="D24" s="17">
        <v>5.0</v>
      </c>
      <c r="E24" s="18">
        <f t="shared" si="1"/>
        <v>150</v>
      </c>
      <c r="F24" s="18">
        <f t="shared" si="2"/>
        <v>135</v>
      </c>
      <c r="G24" s="18">
        <f t="shared" si="3"/>
        <v>125</v>
      </c>
      <c r="H24" s="18">
        <f>ROUND(((('2. StrongLifts 5x5 Advanced'!I36*1.075)/(1.0278-(0.0278*5)))/$C$27),0)*$C$27</f>
        <v>155</v>
      </c>
      <c r="I24" s="18">
        <f t="shared" si="4"/>
        <v>145</v>
      </c>
      <c r="J24" s="19">
        <f t="shared" si="5"/>
        <v>140</v>
      </c>
    </row>
    <row r="25" ht="12.75" customHeight="1">
      <c r="B25" s="20" t="s">
        <v>22</v>
      </c>
      <c r="C25" s="21">
        <v>165.0</v>
      </c>
      <c r="D25" s="21">
        <v>5.0</v>
      </c>
      <c r="E25" s="22">
        <f t="shared" si="1"/>
        <v>185</v>
      </c>
      <c r="F25" s="22">
        <f t="shared" si="2"/>
        <v>165</v>
      </c>
      <c r="G25" s="22">
        <f t="shared" si="3"/>
        <v>155</v>
      </c>
      <c r="H25" s="22">
        <f>ROUND(((('2. StrongLifts 5x5 Advanced'!I26)/(1.0278-(0.0278*5)))/$C$27),0)*$C$27</f>
        <v>195</v>
      </c>
      <c r="I25" s="22">
        <f t="shared" si="4"/>
        <v>185</v>
      </c>
      <c r="J25" s="23">
        <f t="shared" si="5"/>
        <v>175</v>
      </c>
    </row>
    <row r="26" ht="12.75" customHeight="1"/>
    <row r="27" ht="12.75" customHeight="1">
      <c r="B27" s="24" t="s">
        <v>23</v>
      </c>
      <c r="C27" s="25">
        <v>5.0</v>
      </c>
      <c r="D27" s="26"/>
      <c r="E27" s="27"/>
      <c r="F27" s="26"/>
      <c r="G27" s="27"/>
      <c r="H27" s="27"/>
      <c r="I27" s="27"/>
      <c r="J27" s="26"/>
    </row>
    <row r="28" ht="12.75" customHeight="1"/>
    <row r="29" ht="12.75" customHeight="1"/>
    <row r="30" ht="12.75" customHeight="1"/>
    <row r="31" ht="12.75" customHeight="1">
      <c r="B31" s="28"/>
    </row>
    <row r="32" ht="12.75" customHeight="1"/>
    <row r="33" ht="12.75" customHeight="1"/>
    <row r="34" ht="12.75" customHeight="1">
      <c r="B34" s="29" t="s">
        <v>24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hyperlinks>
    <hyperlink r:id="rId1" ref="A1"/>
    <hyperlink r:id="rId2" ref="B8"/>
    <hyperlink r:id="rId3" ref="B34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17.71"/>
    <col customWidth="1" min="4" max="4" width="0.29"/>
    <col customWidth="1" min="5" max="9" width="6.57"/>
    <col customWidth="1" min="10" max="10" width="1.43"/>
    <col customWidth="1" min="11" max="11" width="6.57"/>
    <col customWidth="1" min="12" max="12" width="13.0"/>
    <col customWidth="1" min="13" max="13" width="1.43"/>
    <col customWidth="1" min="14" max="18" width="6.57"/>
    <col customWidth="1" min="19" max="26" width="8.0"/>
  </cols>
  <sheetData>
    <row r="1" ht="12.75" customHeight="1">
      <c r="A1" s="30"/>
      <c r="B1" s="31"/>
      <c r="C1" s="32"/>
      <c r="D1" s="33"/>
      <c r="E1" s="33"/>
      <c r="F1" s="33"/>
      <c r="G1" s="33"/>
      <c r="H1" s="33"/>
      <c r="I1" s="33"/>
      <c r="J1" s="33"/>
      <c r="L1" s="33"/>
      <c r="M1" s="33"/>
      <c r="N1" s="33"/>
      <c r="O1" s="33"/>
      <c r="P1" s="33"/>
      <c r="Q1" s="33"/>
      <c r="R1" s="33"/>
      <c r="S1" s="30"/>
      <c r="T1" s="30"/>
      <c r="U1" s="30"/>
      <c r="V1" s="30"/>
      <c r="W1" s="30"/>
      <c r="X1" s="30"/>
      <c r="Y1" s="30"/>
      <c r="Z1" s="30"/>
    </row>
    <row r="2" ht="12.75" customHeight="1">
      <c r="A2" s="30"/>
      <c r="B2" s="31"/>
      <c r="C2" s="32"/>
      <c r="D2" s="33"/>
      <c r="E2" s="33"/>
      <c r="F2" s="33"/>
      <c r="G2" s="33"/>
      <c r="H2" s="33"/>
      <c r="I2" s="33"/>
      <c r="J2" s="33"/>
      <c r="L2" s="33"/>
      <c r="M2" s="33"/>
      <c r="N2" s="33"/>
      <c r="O2" s="33"/>
      <c r="P2" s="33"/>
      <c r="Q2" s="33"/>
      <c r="R2" s="33"/>
      <c r="S2" s="30"/>
      <c r="T2" s="30"/>
      <c r="U2" s="30"/>
      <c r="V2" s="30"/>
      <c r="W2" s="30"/>
      <c r="X2" s="30"/>
      <c r="Y2" s="30"/>
      <c r="Z2" s="30"/>
    </row>
    <row r="3" ht="12.75" customHeight="1">
      <c r="A3" s="30"/>
      <c r="B3" s="31"/>
      <c r="C3" s="32"/>
      <c r="D3" s="33"/>
      <c r="E3" s="33"/>
      <c r="F3" s="33"/>
      <c r="G3" s="33"/>
      <c r="H3" s="33"/>
      <c r="I3" s="33"/>
      <c r="J3" s="33"/>
      <c r="L3" s="33"/>
      <c r="M3" s="33"/>
      <c r="N3" s="33"/>
      <c r="O3" s="33"/>
      <c r="P3" s="33"/>
      <c r="Q3" s="33"/>
      <c r="R3" s="33"/>
      <c r="S3" s="30"/>
      <c r="T3" s="30"/>
      <c r="U3" s="30"/>
      <c r="V3" s="30"/>
      <c r="W3" s="30"/>
      <c r="X3" s="30"/>
      <c r="Y3" s="30"/>
      <c r="Z3" s="30"/>
    </row>
    <row r="4" ht="12.75" customHeight="1">
      <c r="A4" s="30"/>
      <c r="B4" s="31"/>
      <c r="C4" s="32"/>
      <c r="D4" s="33"/>
      <c r="E4" s="33"/>
      <c r="F4" s="33"/>
      <c r="G4" s="33"/>
      <c r="H4" s="33"/>
      <c r="I4" s="33"/>
      <c r="J4" s="33"/>
      <c r="L4" s="33"/>
      <c r="M4" s="33"/>
      <c r="N4" s="33"/>
      <c r="O4" s="33"/>
      <c r="P4" s="33"/>
      <c r="Q4" s="33"/>
      <c r="R4" s="33"/>
      <c r="S4" s="30"/>
      <c r="T4" s="30"/>
      <c r="U4" s="30"/>
      <c r="V4" s="30"/>
      <c r="W4" s="30"/>
      <c r="X4" s="30"/>
      <c r="Y4" s="30"/>
      <c r="Z4" s="30"/>
    </row>
    <row r="5" ht="12.75" customHeight="1">
      <c r="A5" s="30"/>
      <c r="B5" s="31"/>
      <c r="C5" s="32"/>
      <c r="D5" s="33"/>
      <c r="E5" s="33"/>
      <c r="F5" s="33"/>
      <c r="G5" s="33"/>
      <c r="H5" s="33"/>
      <c r="I5" s="33"/>
      <c r="J5" s="33"/>
      <c r="L5" s="33"/>
      <c r="M5" s="33"/>
      <c r="N5" s="33"/>
      <c r="O5" s="33"/>
      <c r="P5" s="33"/>
      <c r="Q5" s="33"/>
      <c r="R5" s="33"/>
      <c r="S5" s="30"/>
      <c r="T5" s="30"/>
      <c r="U5" s="30"/>
      <c r="V5" s="30"/>
      <c r="W5" s="30"/>
      <c r="X5" s="30"/>
      <c r="Y5" s="30"/>
      <c r="Z5" s="30"/>
    </row>
    <row r="6" ht="12.75" customHeight="1">
      <c r="A6" s="30"/>
      <c r="B6" s="31"/>
      <c r="C6" s="32"/>
      <c r="D6" s="33"/>
      <c r="E6" s="33"/>
      <c r="F6" s="33"/>
      <c r="G6" s="33"/>
      <c r="H6" s="33"/>
      <c r="I6" s="33"/>
      <c r="J6" s="33"/>
      <c r="L6" s="33"/>
      <c r="M6" s="33"/>
      <c r="N6" s="33"/>
      <c r="O6" s="33"/>
      <c r="P6" s="33"/>
      <c r="Q6" s="33"/>
      <c r="R6" s="33"/>
      <c r="S6" s="30"/>
      <c r="T6" s="30"/>
      <c r="U6" s="30"/>
      <c r="V6" s="30"/>
      <c r="W6" s="30"/>
      <c r="X6" s="30"/>
      <c r="Y6" s="30"/>
      <c r="Z6" s="30"/>
    </row>
    <row r="7" ht="12.75" customHeight="1">
      <c r="A7" s="30"/>
      <c r="B7" s="2" t="s">
        <v>1</v>
      </c>
      <c r="C7" s="32"/>
      <c r="D7" s="33"/>
      <c r="E7" s="33"/>
      <c r="F7" s="33"/>
      <c r="G7" s="33"/>
      <c r="H7" s="33"/>
      <c r="I7" s="33"/>
      <c r="J7" s="33"/>
      <c r="L7" s="33"/>
      <c r="M7" s="33"/>
      <c r="N7" s="33"/>
      <c r="O7" s="33"/>
      <c r="P7" s="33"/>
      <c r="Q7" s="33"/>
      <c r="R7" s="33"/>
      <c r="S7" s="30"/>
      <c r="T7" s="30"/>
      <c r="U7" s="30"/>
      <c r="V7" s="30"/>
      <c r="W7" s="30"/>
      <c r="X7" s="30"/>
      <c r="Y7" s="30"/>
      <c r="Z7" s="30"/>
    </row>
    <row r="8" ht="12.75" customHeight="1">
      <c r="A8" s="30"/>
      <c r="B8" s="3" t="s">
        <v>2</v>
      </c>
      <c r="C8" s="32"/>
      <c r="D8" s="33"/>
      <c r="E8" s="33"/>
      <c r="F8" s="33"/>
      <c r="G8" s="33"/>
      <c r="H8" s="33"/>
      <c r="I8" s="33"/>
      <c r="J8" s="33"/>
      <c r="L8" s="33"/>
      <c r="M8" s="33"/>
      <c r="N8" s="33"/>
      <c r="O8" s="33"/>
      <c r="P8" s="33"/>
      <c r="Q8" s="33"/>
      <c r="R8" s="33"/>
      <c r="S8" s="30"/>
      <c r="T8" s="30"/>
      <c r="U8" s="30"/>
      <c r="V8" s="30"/>
      <c r="W8" s="30"/>
      <c r="X8" s="30"/>
      <c r="Y8" s="30"/>
      <c r="Z8" s="30"/>
    </row>
    <row r="9" ht="12.75" customHeight="1">
      <c r="A9" s="30"/>
      <c r="B9" s="30"/>
      <c r="D9" s="32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0"/>
      <c r="T9" s="30"/>
      <c r="U9" s="30"/>
      <c r="V9" s="30"/>
      <c r="W9" s="30"/>
      <c r="X9" s="30"/>
      <c r="Y9" s="30"/>
      <c r="Z9" s="30"/>
    </row>
    <row r="10" ht="12.75" customHeight="1">
      <c r="A10" s="34"/>
      <c r="B10" s="34"/>
      <c r="C10" s="35"/>
      <c r="D10" s="3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B11" s="39" t="s">
        <v>25</v>
      </c>
      <c r="C11" s="40" t="s">
        <v>9</v>
      </c>
      <c r="D11" s="41"/>
      <c r="E11" s="41" t="s">
        <v>11</v>
      </c>
      <c r="F11" s="42" t="s">
        <v>26</v>
      </c>
      <c r="G11" s="43" t="s">
        <v>27</v>
      </c>
      <c r="H11" s="43" t="s">
        <v>28</v>
      </c>
      <c r="I11" s="43" t="s">
        <v>29</v>
      </c>
      <c r="J11" s="44"/>
      <c r="K11" s="45" t="s">
        <v>11</v>
      </c>
      <c r="L11" s="43" t="s">
        <v>30</v>
      </c>
      <c r="M11" s="44"/>
      <c r="N11" s="45" t="s">
        <v>11</v>
      </c>
      <c r="O11" s="43" t="s">
        <v>31</v>
      </c>
      <c r="P11" s="43" t="s">
        <v>32</v>
      </c>
      <c r="Q11" s="43" t="s">
        <v>33</v>
      </c>
      <c r="R11" s="46" t="s">
        <v>34</v>
      </c>
    </row>
    <row r="12" ht="12.75" customHeight="1">
      <c r="B12" s="47" t="s">
        <v>35</v>
      </c>
      <c r="C12" s="48" t="s">
        <v>36</v>
      </c>
      <c r="D12" s="49"/>
      <c r="E12" s="50">
        <v>5.0</v>
      </c>
      <c r="F12" s="51">
        <f>ROUND(((H12*0.8)/'1. Start Here'!$C$27),0)*'1. Start Here'!$C$27</f>
        <v>250</v>
      </c>
      <c r="G12" s="51">
        <f>ROUND(((F12+((H12-F12)/2))/'1. Start Here'!$C$27),0)*'1. Start Here'!$C$27</f>
        <v>280</v>
      </c>
      <c r="H12" s="51">
        <f>'1. Start Here'!G21</f>
        <v>310</v>
      </c>
      <c r="I12" s="51">
        <f>ROUND(((H12*1.05)/'1. Start Here'!$C$27),0)*'1. Start Here'!$C$27</f>
        <v>325</v>
      </c>
      <c r="J12" s="52"/>
      <c r="K12" s="50">
        <v>3.0</v>
      </c>
      <c r="L12" s="51">
        <f>I12</f>
        <v>325</v>
      </c>
      <c r="M12" s="52"/>
      <c r="N12" s="51">
        <v>3.0</v>
      </c>
      <c r="O12" s="51">
        <f>ROUND(((L12+((Q12-L12)/3))/'1. Start Here'!$C$27),0)*'1. Start Here'!$C$27</f>
        <v>335</v>
      </c>
      <c r="P12" s="51">
        <f>ROUND(((L12+(((Q12-L12)/3)*2))/'1. Start Here'!$C$27),0)*'1. Start Here'!$C$27</f>
        <v>345</v>
      </c>
      <c r="Q12" s="51">
        <f>'1. Start Here'!J21</f>
        <v>355</v>
      </c>
      <c r="R12" s="53">
        <f>ROUND(((Q12*1.025)/'1. Start Here'!$C$27),0)*'1. Start Here'!$C$27</f>
        <v>365</v>
      </c>
    </row>
    <row r="13" ht="12.75" customHeight="1">
      <c r="B13" s="54"/>
      <c r="C13" s="55"/>
      <c r="D13" s="56"/>
      <c r="E13" s="57">
        <v>5.0</v>
      </c>
      <c r="F13" s="58">
        <f t="shared" ref="F13:I13" si="1">F12</f>
        <v>250</v>
      </c>
      <c r="G13" s="58">
        <f t="shared" si="1"/>
        <v>280</v>
      </c>
      <c r="H13" s="58">
        <f t="shared" si="1"/>
        <v>310</v>
      </c>
      <c r="I13" s="58">
        <f t="shared" si="1"/>
        <v>325</v>
      </c>
      <c r="J13" s="59"/>
      <c r="K13" s="57">
        <v>3.0</v>
      </c>
      <c r="L13" s="58">
        <f>L12</f>
        <v>325</v>
      </c>
      <c r="M13" s="59"/>
      <c r="N13" s="58">
        <v>3.0</v>
      </c>
      <c r="O13" s="58">
        <f t="shared" ref="O13:R13" si="2">O12</f>
        <v>335</v>
      </c>
      <c r="P13" s="58">
        <f t="shared" si="2"/>
        <v>345</v>
      </c>
      <c r="Q13" s="58">
        <f t="shared" si="2"/>
        <v>355</v>
      </c>
      <c r="R13" s="60">
        <f t="shared" si="2"/>
        <v>365</v>
      </c>
    </row>
    <row r="14" ht="12.75" customHeight="1">
      <c r="B14" s="54"/>
      <c r="C14" s="55"/>
      <c r="D14" s="56"/>
      <c r="E14" s="57">
        <v>5.0</v>
      </c>
      <c r="F14" s="58">
        <f t="shared" ref="F14:I14" si="3">F12</f>
        <v>250</v>
      </c>
      <c r="G14" s="58">
        <f t="shared" si="3"/>
        <v>280</v>
      </c>
      <c r="H14" s="58">
        <f t="shared" si="3"/>
        <v>310</v>
      </c>
      <c r="I14" s="58">
        <f t="shared" si="3"/>
        <v>325</v>
      </c>
      <c r="J14" s="59"/>
      <c r="K14" s="61">
        <v>3.0</v>
      </c>
      <c r="L14" s="62">
        <f>L12</f>
        <v>325</v>
      </c>
      <c r="M14" s="59"/>
      <c r="N14" s="62">
        <v>3.0</v>
      </c>
      <c r="O14" s="62">
        <f t="shared" ref="O14:R14" si="4">O12</f>
        <v>335</v>
      </c>
      <c r="P14" s="62">
        <f t="shared" si="4"/>
        <v>345</v>
      </c>
      <c r="Q14" s="62">
        <f t="shared" si="4"/>
        <v>355</v>
      </c>
      <c r="R14" s="63">
        <f t="shared" si="4"/>
        <v>365</v>
      </c>
    </row>
    <row r="15" ht="12.75" customHeight="1">
      <c r="B15" s="54"/>
      <c r="C15" s="55"/>
      <c r="D15" s="56"/>
      <c r="E15" s="57">
        <v>5.0</v>
      </c>
      <c r="F15" s="58">
        <f t="shared" ref="F15:I15" si="5">F12</f>
        <v>250</v>
      </c>
      <c r="G15" s="58">
        <f t="shared" si="5"/>
        <v>280</v>
      </c>
      <c r="H15" s="58">
        <f t="shared" si="5"/>
        <v>310</v>
      </c>
      <c r="I15" s="58">
        <f t="shared" si="5"/>
        <v>325</v>
      </c>
      <c r="J15" s="59"/>
      <c r="K15" s="27"/>
      <c r="L15" s="27"/>
      <c r="M15" s="27"/>
      <c r="N15" s="27"/>
      <c r="O15" s="27"/>
      <c r="P15" s="27"/>
      <c r="Q15" s="27"/>
      <c r="R15" s="64"/>
    </row>
    <row r="16" ht="12.75" customHeight="1">
      <c r="B16" s="54"/>
      <c r="C16" s="65"/>
      <c r="D16" s="56"/>
      <c r="E16" s="61">
        <v>5.0</v>
      </c>
      <c r="F16" s="62">
        <f t="shared" ref="F16:I16" si="6">F12</f>
        <v>250</v>
      </c>
      <c r="G16" s="62">
        <f t="shared" si="6"/>
        <v>280</v>
      </c>
      <c r="H16" s="62">
        <f t="shared" si="6"/>
        <v>310</v>
      </c>
      <c r="I16" s="62">
        <f t="shared" si="6"/>
        <v>325</v>
      </c>
      <c r="J16" s="59"/>
      <c r="K16" s="27"/>
      <c r="L16" s="27"/>
      <c r="M16" s="27"/>
      <c r="N16" s="27"/>
      <c r="O16" s="27"/>
      <c r="P16" s="27"/>
      <c r="Q16" s="27"/>
      <c r="R16" s="64"/>
    </row>
    <row r="17" ht="12.75" customHeight="1">
      <c r="B17" s="54"/>
      <c r="C17" s="66" t="s">
        <v>37</v>
      </c>
      <c r="D17" s="56"/>
      <c r="E17" s="67">
        <v>5.0</v>
      </c>
      <c r="F17" s="68">
        <f>ROUND(((F21*0.76)/'1. Start Here'!$C$27),0)*'1. Start Here'!$C$27</f>
        <v>145</v>
      </c>
      <c r="G17" s="68">
        <f>ROUND(((G21*0.76)/'1. Start Here'!$C$27),0)*'1. Start Here'!$C$27</f>
        <v>165</v>
      </c>
      <c r="H17" s="68">
        <f>ROUND(((H21*0.76)/'1. Start Here'!$C$27),0)*'1. Start Here'!$C$27</f>
        <v>180</v>
      </c>
      <c r="I17" s="68">
        <f>ROUND(((I21*0.76)/'1. Start Here'!$C$27),0)*'1. Start Here'!$C$27</f>
        <v>190</v>
      </c>
      <c r="J17" s="59"/>
      <c r="K17" s="67">
        <v>3.0</v>
      </c>
      <c r="L17" s="68">
        <f>ROUND(((L19*0.8)/'1. Start Here'!$C$27),0)*'1. Start Here'!$C$27</f>
        <v>200</v>
      </c>
      <c r="M17" s="59"/>
      <c r="N17" s="68">
        <v>3.0</v>
      </c>
      <c r="O17" s="68">
        <f>ROUND(((O19*0.8)/'1. Start Here'!$C$27),0)*'1. Start Here'!$C$27</f>
        <v>205</v>
      </c>
      <c r="P17" s="68">
        <f>ROUND(((P19*0.8)/'1. Start Here'!$C$27),0)*'1. Start Here'!$C$27</f>
        <v>210</v>
      </c>
      <c r="Q17" s="68">
        <f>ROUND(((Q19*0.8)/'1. Start Here'!$C$27),0)*'1. Start Here'!$C$27</f>
        <v>210</v>
      </c>
      <c r="R17" s="69">
        <f>ROUND(((R19*0.8)/'1. Start Here'!$C$27),0)*'1. Start Here'!$C$27</f>
        <v>215</v>
      </c>
    </row>
    <row r="18" ht="12.75" customHeight="1">
      <c r="B18" s="54"/>
      <c r="C18" s="55"/>
      <c r="D18" s="56"/>
      <c r="E18" s="70">
        <v>5.0</v>
      </c>
      <c r="F18" s="27">
        <f>ROUND(((F21*0.82)/'1. Start Here'!$C$27),0)*'1. Start Here'!$C$27</f>
        <v>155</v>
      </c>
      <c r="G18" s="27">
        <f>ROUND(((G21*0.82)/'1. Start Here'!$C$27),0)*'1. Start Here'!$C$27</f>
        <v>175</v>
      </c>
      <c r="H18" s="27">
        <f>ROUND(((H21*0.82)/'1. Start Here'!$C$27),0)*'1. Start Here'!$C$27</f>
        <v>195</v>
      </c>
      <c r="I18" s="27">
        <f>ROUND(((I21*0.82)/'1. Start Here'!$C$27),0)*'1. Start Here'!$C$27</f>
        <v>205</v>
      </c>
      <c r="J18" s="59"/>
      <c r="K18" s="70">
        <v>3.0</v>
      </c>
      <c r="L18" s="27">
        <f>ROUND(((L19*0.9)/'1. Start Here'!$C$27),0)*'1. Start Here'!$C$27</f>
        <v>225</v>
      </c>
      <c r="M18" s="59"/>
      <c r="N18" s="27">
        <v>3.0</v>
      </c>
      <c r="O18" s="27">
        <f>ROUND(((O19*0.9)/'1. Start Here'!$C$27),0)*'1. Start Here'!$C$27</f>
        <v>230</v>
      </c>
      <c r="P18" s="27">
        <f>ROUND(((P19*0.9)/'1. Start Here'!$C$27),0)*'1. Start Here'!$C$27</f>
        <v>235</v>
      </c>
      <c r="Q18" s="27">
        <f>ROUND(((Q19*0.9)/'1. Start Here'!$C$27),0)*'1. Start Here'!$C$27</f>
        <v>240</v>
      </c>
      <c r="R18" s="64">
        <f>ROUND(((R19*0.9)/'1. Start Here'!$C$27),0)*'1. Start Here'!$C$27</f>
        <v>245</v>
      </c>
    </row>
    <row r="19" ht="12.75" customHeight="1">
      <c r="B19" s="54"/>
      <c r="C19" s="55"/>
      <c r="D19" s="56"/>
      <c r="E19" s="70">
        <v>5.0</v>
      </c>
      <c r="F19" s="27">
        <f>ROUND(((F21*0.88)/'1. Start Here'!$C$27),0)*'1. Start Here'!$C$27</f>
        <v>165</v>
      </c>
      <c r="G19" s="27">
        <f>ROUND(((G21*0.88)/'1. Start Here'!$C$27),0)*'1. Start Here'!$C$27</f>
        <v>190</v>
      </c>
      <c r="H19" s="27">
        <f>ROUND(((H21*0.88)/'1. Start Here'!$C$27),0)*'1. Start Here'!$C$27</f>
        <v>210</v>
      </c>
      <c r="I19" s="27">
        <f>ROUND(((I21*0.88)/'1. Start Here'!$C$27),0)*'1. Start Here'!$C$27</f>
        <v>220</v>
      </c>
      <c r="J19" s="59"/>
      <c r="K19" s="71">
        <v>3.0</v>
      </c>
      <c r="L19" s="72">
        <f>I21</f>
        <v>250</v>
      </c>
      <c r="M19" s="59"/>
      <c r="N19" s="72">
        <v>3.0</v>
      </c>
      <c r="O19" s="72">
        <f>ROUND(((L19+((Q19-L19)/3))/'1. Start Here'!$C$27),0)*'1. Start Here'!$C$27</f>
        <v>255</v>
      </c>
      <c r="P19" s="72">
        <f>ROUND(((L19+(((Q19-L19)/3)*2))/'1. Start Here'!$C$27),0)*'1. Start Here'!$C$27</f>
        <v>260</v>
      </c>
      <c r="Q19" s="72">
        <f>'1. Start Here'!I22</f>
        <v>265</v>
      </c>
      <c r="R19" s="73">
        <f>ROUND(((Q19*1.025)/'1. Start Here'!$C$27),0)*'1. Start Here'!$C$27</f>
        <v>270</v>
      </c>
    </row>
    <row r="20" ht="12.75" customHeight="1">
      <c r="B20" s="54"/>
      <c r="C20" s="55"/>
      <c r="D20" s="56"/>
      <c r="E20" s="70">
        <v>5.0</v>
      </c>
      <c r="F20" s="27">
        <f>ROUND(((F21*0.94)/'1. Start Here'!$C$27),0)*'1. Start Here'!$C$27</f>
        <v>180</v>
      </c>
      <c r="G20" s="27">
        <f>ROUND(((G21*0.94)/'1. Start Here'!$C$27),0)*'1. Start Here'!$C$27</f>
        <v>200</v>
      </c>
      <c r="H20" s="27">
        <f>ROUND(((H21*0.94)/'1. Start Here'!$C$27),0)*'1. Start Here'!$C$27</f>
        <v>225</v>
      </c>
      <c r="I20" s="27">
        <f>ROUND(((I21*0.94)/'1. Start Here'!$C$27),0)*'1. Start Here'!$C$27</f>
        <v>235</v>
      </c>
      <c r="J20" s="59"/>
      <c r="K20" s="27"/>
      <c r="L20" s="27"/>
      <c r="M20" s="27"/>
      <c r="N20" s="27"/>
      <c r="O20" s="27"/>
      <c r="P20" s="27"/>
      <c r="Q20" s="27"/>
      <c r="R20" s="64"/>
    </row>
    <row r="21" ht="12.75" customHeight="1">
      <c r="B21" s="54"/>
      <c r="C21" s="65"/>
      <c r="D21" s="56"/>
      <c r="E21" s="71">
        <v>5.0</v>
      </c>
      <c r="F21" s="72">
        <f>ROUND(((H21*0.8)/'1. Start Here'!$C$27),0)*'1. Start Here'!$C$27</f>
        <v>190</v>
      </c>
      <c r="G21" s="72">
        <f>ROUND(((F21+((H21-F21)/2))/'1. Start Here'!$C$27),0)*'1. Start Here'!$C$27</f>
        <v>215</v>
      </c>
      <c r="H21" s="72">
        <f>'1. Start Here'!F22</f>
        <v>240</v>
      </c>
      <c r="I21" s="72">
        <f>ROUND(((H21*1.05)/'1. Start Here'!$C$27),0)*'1. Start Here'!$C$27</f>
        <v>250</v>
      </c>
      <c r="J21" s="59"/>
      <c r="K21" s="27"/>
      <c r="L21" s="27"/>
      <c r="M21" s="27"/>
      <c r="N21" s="27"/>
      <c r="O21" s="27"/>
      <c r="P21" s="27"/>
      <c r="Q21" s="27"/>
      <c r="R21" s="64"/>
    </row>
    <row r="22" ht="12.75" customHeight="1">
      <c r="B22" s="54"/>
      <c r="C22" s="66" t="s">
        <v>38</v>
      </c>
      <c r="D22" s="74"/>
      <c r="E22" s="75">
        <v>5.0</v>
      </c>
      <c r="F22" s="76">
        <f>ROUND(((F26*0.76)/'1. Start Here'!$C$27),0)*'1. Start Here'!$C$27</f>
        <v>100</v>
      </c>
      <c r="G22" s="76">
        <f>ROUND(((G26*0.76)/'1. Start Here'!$C$27),0)*'1. Start Here'!$C$27</f>
        <v>115</v>
      </c>
      <c r="H22" s="76">
        <f>ROUND(((H26*0.76)/'1. Start Here'!$C$27),0)*'1. Start Here'!$C$27</f>
        <v>125</v>
      </c>
      <c r="I22" s="76">
        <f>ROUND(((I26*0.76)/'1. Start Here'!$C$27),0)*'1. Start Here'!$C$27</f>
        <v>135</v>
      </c>
      <c r="J22" s="59"/>
      <c r="K22" s="75">
        <v>3.0</v>
      </c>
      <c r="L22" s="76">
        <f>ROUND(((L24*0.8)/'1. Start Here'!$C$27),0)*'1. Start Here'!$C$27</f>
        <v>140</v>
      </c>
      <c r="M22" s="59"/>
      <c r="N22" s="76">
        <v>3.0</v>
      </c>
      <c r="O22" s="76">
        <f>ROUND(((O24*0.8)/'1. Start Here'!$C$27),0)*'1. Start Here'!$C$27</f>
        <v>145</v>
      </c>
      <c r="P22" s="76">
        <f>ROUND(((P24*0.8)/'1. Start Here'!$C$27),0)*'1. Start Here'!$C$27</f>
        <v>145</v>
      </c>
      <c r="Q22" s="76">
        <f>ROUND(((Q24*0.8)/'1. Start Here'!$C$27),0)*'1. Start Here'!$C$27</f>
        <v>150</v>
      </c>
      <c r="R22" s="77">
        <f>ROUND(((R24*0.8)/'1. Start Here'!$C$27),0)*'1. Start Here'!$C$27</f>
        <v>150</v>
      </c>
    </row>
    <row r="23" ht="12.75" customHeight="1">
      <c r="B23" s="54"/>
      <c r="C23" s="55"/>
      <c r="D23" s="56"/>
      <c r="E23" s="57">
        <v>5.0</v>
      </c>
      <c r="F23" s="58">
        <f>ROUND(((F26*0.82)/'1. Start Here'!$C$27),0)*'1. Start Here'!$C$27</f>
        <v>105</v>
      </c>
      <c r="G23" s="58">
        <f>ROUND(((G26*0.82)/'1. Start Here'!$C$27),0)*'1. Start Here'!$C$27</f>
        <v>125</v>
      </c>
      <c r="H23" s="58">
        <f>ROUND(((H26*0.82)/'1. Start Here'!$C$27),0)*'1. Start Here'!$C$27</f>
        <v>135</v>
      </c>
      <c r="I23" s="58">
        <f>ROUND(((I26*0.82)/'1. Start Here'!$C$27),0)*'1. Start Here'!$C$27</f>
        <v>145</v>
      </c>
      <c r="J23" s="59"/>
      <c r="K23" s="57">
        <v>3.0</v>
      </c>
      <c r="L23" s="58">
        <f>ROUND(((L24*0.9)/'1. Start Here'!$C$27),0)*'1. Start Here'!$C$27</f>
        <v>160</v>
      </c>
      <c r="M23" s="59"/>
      <c r="N23" s="58">
        <v>3.0</v>
      </c>
      <c r="O23" s="58">
        <f>ROUND(((O24*0.9)/'1. Start Here'!$C$27),0)*'1. Start Here'!$C$27</f>
        <v>160</v>
      </c>
      <c r="P23" s="58">
        <f>ROUND(((P24*0.9)/'1. Start Here'!$C$27),0)*'1. Start Here'!$C$27</f>
        <v>160</v>
      </c>
      <c r="Q23" s="58">
        <f>ROUND(((Q24*0.9)/'1. Start Here'!$C$27),0)*'1. Start Here'!$C$27</f>
        <v>165</v>
      </c>
      <c r="R23" s="60">
        <f>ROUND(((R24*0.9)/'1. Start Here'!$C$27),0)*'1. Start Here'!$C$27</f>
        <v>170</v>
      </c>
    </row>
    <row r="24" ht="12.75" customHeight="1">
      <c r="B24" s="54"/>
      <c r="C24" s="55"/>
      <c r="D24" s="56"/>
      <c r="E24" s="57">
        <v>5.0</v>
      </c>
      <c r="F24" s="58">
        <f>ROUND(((F26*0.88)/'1. Start Here'!$C$27),0)*'1. Start Here'!$C$27</f>
        <v>115</v>
      </c>
      <c r="G24" s="58">
        <f>ROUND(((G26*0.88)/'1. Start Here'!$C$27),0)*'1. Start Here'!$C$27</f>
        <v>130</v>
      </c>
      <c r="H24" s="58">
        <f>ROUND(((H26*0.88)/'1. Start Here'!$C$27),0)*'1. Start Here'!$C$27</f>
        <v>145</v>
      </c>
      <c r="I24" s="58">
        <f>ROUND(((I26*0.88)/'1. Start Here'!$C$27),0)*'1. Start Here'!$C$27</f>
        <v>155</v>
      </c>
      <c r="J24" s="59"/>
      <c r="K24" s="61">
        <v>3.0</v>
      </c>
      <c r="L24" s="62">
        <f>I26</f>
        <v>175</v>
      </c>
      <c r="M24" s="59"/>
      <c r="N24" s="62">
        <v>3.0</v>
      </c>
      <c r="O24" s="62">
        <f>ROUND(((L24+((Q24-L24)/3))/'1. Start Here'!$C$27),0)*'1. Start Here'!$C$27</f>
        <v>180</v>
      </c>
      <c r="P24" s="62">
        <f>ROUND(((L24+(((Q24-L24)/3)*2))/'1. Start Here'!$C$27),0)*'1. Start Here'!$C$27</f>
        <v>180</v>
      </c>
      <c r="Q24" s="62">
        <f>'1. Start Here'!I25</f>
        <v>185</v>
      </c>
      <c r="R24" s="63">
        <f>ROUND(((Q24*1.025)/'1. Start Here'!$C$27),0)*'1. Start Here'!$C$27</f>
        <v>190</v>
      </c>
    </row>
    <row r="25" ht="12.75" customHeight="1">
      <c r="B25" s="54"/>
      <c r="C25" s="55"/>
      <c r="D25" s="56"/>
      <c r="E25" s="57">
        <v>5.0</v>
      </c>
      <c r="F25" s="58">
        <f>ROUND(((F26*0.94)/'1. Start Here'!$C$27),0)*'1. Start Here'!$C$27</f>
        <v>120</v>
      </c>
      <c r="G25" s="58">
        <f>ROUND(((G26*0.94)/'1. Start Here'!$C$27),0)*'1. Start Here'!$C$27</f>
        <v>140</v>
      </c>
      <c r="H25" s="58">
        <f>ROUND(((H26*0.94)/'1. Start Here'!$C$27),0)*'1. Start Here'!$C$27</f>
        <v>155</v>
      </c>
      <c r="I25" s="58">
        <f>ROUND(((I26*0.94)/'1. Start Here'!$C$27),0)*'1. Start Here'!$C$27</f>
        <v>165</v>
      </c>
      <c r="J25" s="59"/>
      <c r="K25" s="27"/>
      <c r="L25" s="27"/>
      <c r="M25" s="27"/>
      <c r="N25" s="27"/>
      <c r="O25" s="27"/>
      <c r="P25" s="27"/>
      <c r="Q25" s="27"/>
      <c r="R25" s="64"/>
    </row>
    <row r="26" ht="12.75" customHeight="1">
      <c r="B26" s="78"/>
      <c r="C26" s="79"/>
      <c r="D26" s="80"/>
      <c r="E26" s="81">
        <v>5.0</v>
      </c>
      <c r="F26" s="82">
        <f>ROUND(((H26*0.8)/'1. Start Here'!$C$27),0)*'1. Start Here'!$C$27</f>
        <v>130</v>
      </c>
      <c r="G26" s="82">
        <f>ROUND(((F26+((H26-F26)/2))/'1. Start Here'!$C$27),0)*'1. Start Here'!$C$27</f>
        <v>150</v>
      </c>
      <c r="H26" s="82">
        <f>'1. Start Here'!F25</f>
        <v>165</v>
      </c>
      <c r="I26" s="82">
        <f>ROUND(((H26*1.05)/'1. Start Here'!$C$27),0)*'1. Start Here'!$C$27</f>
        <v>175</v>
      </c>
      <c r="J26" s="83"/>
      <c r="K26" s="84"/>
      <c r="L26" s="84"/>
      <c r="M26" s="84"/>
      <c r="N26" s="84"/>
      <c r="O26" s="84"/>
      <c r="P26" s="84"/>
      <c r="Q26" s="84"/>
      <c r="R26" s="85"/>
    </row>
    <row r="27" ht="12.75" customHeight="1">
      <c r="B27" s="47" t="s">
        <v>39</v>
      </c>
      <c r="C27" s="48" t="s">
        <v>36</v>
      </c>
      <c r="D27" s="49"/>
      <c r="E27" s="86">
        <v>5.0</v>
      </c>
      <c r="F27" s="87">
        <f>ROUND(((F12*0.9)/'1. Start Here'!$C$27),0)*'1. Start Here'!$C$27</f>
        <v>225</v>
      </c>
      <c r="G27" s="87">
        <f>ROUND(((G12*0.88)/'1. Start Here'!$C$27),0)*'1. Start Here'!$C$27</f>
        <v>245</v>
      </c>
      <c r="H27" s="87">
        <f>ROUND(((H12*0.86)/'1. Start Here'!$C$27),0)*'1. Start Here'!$C$27</f>
        <v>265</v>
      </c>
      <c r="I27" s="87">
        <f>ROUND(((I12*0.85)/'1. Start Here'!$C$27),0)*'1. Start Here'!$C$27</f>
        <v>275</v>
      </c>
      <c r="J27" s="52"/>
      <c r="K27" s="86"/>
      <c r="L27" s="87"/>
      <c r="M27" s="87"/>
      <c r="N27" s="87"/>
      <c r="O27" s="87"/>
      <c r="P27" s="87"/>
      <c r="Q27" s="87"/>
      <c r="R27" s="88"/>
    </row>
    <row r="28" ht="12.75" customHeight="1">
      <c r="B28" s="54"/>
      <c r="C28" s="55"/>
      <c r="D28" s="56"/>
      <c r="E28" s="70">
        <v>5.0</v>
      </c>
      <c r="F28" s="27">
        <f t="shared" ref="F28:I28" si="7">F27</f>
        <v>225</v>
      </c>
      <c r="G28" s="27">
        <f t="shared" si="7"/>
        <v>245</v>
      </c>
      <c r="H28" s="27">
        <f t="shared" si="7"/>
        <v>265</v>
      </c>
      <c r="I28" s="27">
        <f t="shared" si="7"/>
        <v>275</v>
      </c>
      <c r="J28" s="59"/>
      <c r="K28" s="70"/>
      <c r="L28" s="89" t="s">
        <v>40</v>
      </c>
      <c r="R28" s="90"/>
    </row>
    <row r="29" ht="12.75" customHeight="1">
      <c r="B29" s="54"/>
      <c r="C29" s="55"/>
      <c r="D29" s="56"/>
      <c r="E29" s="70">
        <v>5.0</v>
      </c>
      <c r="F29" s="27">
        <f t="shared" ref="F29:I29" si="8">F27</f>
        <v>225</v>
      </c>
      <c r="G29" s="27">
        <f t="shared" si="8"/>
        <v>245</v>
      </c>
      <c r="H29" s="27">
        <f t="shared" si="8"/>
        <v>265</v>
      </c>
      <c r="I29" s="27">
        <f t="shared" si="8"/>
        <v>275</v>
      </c>
      <c r="J29" s="59"/>
      <c r="K29" s="70"/>
      <c r="L29" s="89" t="s">
        <v>41</v>
      </c>
      <c r="R29" s="90"/>
    </row>
    <row r="30" ht="12.75" customHeight="1">
      <c r="B30" s="54"/>
      <c r="C30" s="55"/>
      <c r="D30" s="56"/>
      <c r="E30" s="70">
        <v>5.0</v>
      </c>
      <c r="F30" s="27">
        <f t="shared" ref="F30:I30" si="9">F27</f>
        <v>225</v>
      </c>
      <c r="G30" s="27">
        <f t="shared" si="9"/>
        <v>245</v>
      </c>
      <c r="H30" s="27">
        <f t="shared" si="9"/>
        <v>265</v>
      </c>
      <c r="I30" s="27">
        <f t="shared" si="9"/>
        <v>275</v>
      </c>
      <c r="J30" s="59"/>
      <c r="K30" s="70"/>
      <c r="L30" s="89" t="s">
        <v>42</v>
      </c>
      <c r="R30" s="90"/>
    </row>
    <row r="31" ht="12.75" customHeight="1">
      <c r="B31" s="54"/>
      <c r="C31" s="65"/>
      <c r="D31" s="56"/>
      <c r="E31" s="71">
        <v>5.0</v>
      </c>
      <c r="F31" s="72">
        <f t="shared" ref="F31:I31" si="10">F27</f>
        <v>225</v>
      </c>
      <c r="G31" s="72">
        <f t="shared" si="10"/>
        <v>245</v>
      </c>
      <c r="H31" s="72">
        <f t="shared" si="10"/>
        <v>265</v>
      </c>
      <c r="I31" s="72">
        <f t="shared" si="10"/>
        <v>275</v>
      </c>
      <c r="J31" s="59"/>
      <c r="K31" s="71"/>
      <c r="L31" s="72"/>
      <c r="M31" s="72"/>
      <c r="N31" s="72"/>
      <c r="O31" s="72"/>
      <c r="P31" s="72"/>
      <c r="Q31" s="72"/>
      <c r="R31" s="73"/>
    </row>
    <row r="32" ht="12.75" customHeight="1">
      <c r="B32" s="54"/>
      <c r="C32" s="66" t="s">
        <v>43</v>
      </c>
      <c r="D32" s="56"/>
      <c r="E32" s="75">
        <v>5.0</v>
      </c>
      <c r="F32" s="76">
        <f>ROUND(((H32*0.8)/'1. Start Here'!$C$27),0)*'1. Start Here'!$C$27</f>
        <v>100</v>
      </c>
      <c r="G32" s="76">
        <f>ROUND(((F32+((H32-F32)/2))/'1. Start Here'!$C$27),0)*'1. Start Here'!$C$27</f>
        <v>115</v>
      </c>
      <c r="H32" s="76">
        <f>'1. Start Here'!G24</f>
        <v>125</v>
      </c>
      <c r="I32" s="76">
        <f>ROUND(((H32*1.05)/'1. Start Here'!$C$27),0)*'1. Start Here'!$C$27</f>
        <v>130</v>
      </c>
      <c r="J32" s="59"/>
      <c r="K32" s="75">
        <v>3.0</v>
      </c>
      <c r="L32" s="76">
        <f>I36</f>
        <v>130</v>
      </c>
      <c r="M32" s="59"/>
      <c r="N32" s="76">
        <v>3.0</v>
      </c>
      <c r="O32" s="76">
        <f>ROUND(((L32+((Q32-L32)/3))/'1. Start Here'!$C$27),0)*'1. Start Here'!$C$27</f>
        <v>135</v>
      </c>
      <c r="P32" s="76">
        <f>ROUND(((L32+(((Q32-L32)/3)*2))/'1. Start Here'!$C$27),0)*'1. Start Here'!$C$27</f>
        <v>135</v>
      </c>
      <c r="Q32" s="76">
        <f>'1. Start Here'!J24</f>
        <v>140</v>
      </c>
      <c r="R32" s="77">
        <f>ROUND(((Q32*1.025)/'1. Start Here'!$C$27),0)*'1. Start Here'!$C$27</f>
        <v>145</v>
      </c>
    </row>
    <row r="33" ht="12.75" customHeight="1">
      <c r="B33" s="54"/>
      <c r="C33" s="55"/>
      <c r="D33" s="56"/>
      <c r="E33" s="57">
        <v>5.0</v>
      </c>
      <c r="F33" s="58">
        <f t="shared" ref="F33:G33" si="11">F32</f>
        <v>100</v>
      </c>
      <c r="G33" s="58">
        <f t="shared" si="11"/>
        <v>115</v>
      </c>
      <c r="H33" s="58">
        <f>'1. Start Here'!G24</f>
        <v>125</v>
      </c>
      <c r="I33" s="58">
        <f>I32</f>
        <v>130</v>
      </c>
      <c r="J33" s="59"/>
      <c r="K33" s="57">
        <v>3.0</v>
      </c>
      <c r="L33" s="58">
        <f>L32</f>
        <v>130</v>
      </c>
      <c r="M33" s="59"/>
      <c r="N33" s="58">
        <v>3.0</v>
      </c>
      <c r="O33" s="58">
        <f>ROUND(((L33+((Q33-L33)/3))/'1. Start Here'!$C$27),0)*'1. Start Here'!$C$27</f>
        <v>135</v>
      </c>
      <c r="P33" s="58">
        <f>ROUND(((L33+(((Q33-L33)/3)*2))/'1. Start Here'!$C$27),0)*'1. Start Here'!$C$27</f>
        <v>135</v>
      </c>
      <c r="Q33" s="58">
        <f t="shared" ref="Q33:R33" si="12">Q32</f>
        <v>140</v>
      </c>
      <c r="R33" s="60">
        <f t="shared" si="12"/>
        <v>145</v>
      </c>
    </row>
    <row r="34" ht="12.75" customHeight="1">
      <c r="B34" s="54"/>
      <c r="C34" s="55"/>
      <c r="D34" s="56"/>
      <c r="E34" s="57">
        <v>5.0</v>
      </c>
      <c r="F34" s="58">
        <f t="shared" ref="F34:G34" si="13">F32</f>
        <v>100</v>
      </c>
      <c r="G34" s="58">
        <f t="shared" si="13"/>
        <v>115</v>
      </c>
      <c r="H34" s="58">
        <f>'1. Start Here'!G24</f>
        <v>125</v>
      </c>
      <c r="I34" s="58">
        <f>I32</f>
        <v>130</v>
      </c>
      <c r="J34" s="59"/>
      <c r="K34" s="61">
        <v>3.0</v>
      </c>
      <c r="L34" s="62">
        <f>L32</f>
        <v>130</v>
      </c>
      <c r="M34" s="59"/>
      <c r="N34" s="62">
        <v>3.0</v>
      </c>
      <c r="O34" s="62">
        <f>ROUND(((L34+((Q34-L34)/3))/'1. Start Here'!$C$27),0)*'1. Start Here'!$C$27</f>
        <v>135</v>
      </c>
      <c r="P34" s="62">
        <f>ROUND(((L34+(((Q34-L34)/3)*2))/'1. Start Here'!$C$27),0)*'1. Start Here'!$C$27</f>
        <v>135</v>
      </c>
      <c r="Q34" s="62">
        <f t="shared" ref="Q34:R34" si="14">Q32</f>
        <v>140</v>
      </c>
      <c r="R34" s="63">
        <f t="shared" si="14"/>
        <v>145</v>
      </c>
    </row>
    <row r="35" ht="12.75" customHeight="1">
      <c r="B35" s="54"/>
      <c r="C35" s="55"/>
      <c r="D35" s="56"/>
      <c r="E35" s="57">
        <v>5.0</v>
      </c>
      <c r="F35" s="58">
        <f t="shared" ref="F35:G35" si="15">F32</f>
        <v>100</v>
      </c>
      <c r="G35" s="58">
        <f t="shared" si="15"/>
        <v>115</v>
      </c>
      <c r="H35" s="58">
        <f>'1. Start Here'!G24</f>
        <v>125</v>
      </c>
      <c r="I35" s="58">
        <f>I32</f>
        <v>130</v>
      </c>
      <c r="J35" s="59"/>
      <c r="K35" s="27"/>
      <c r="L35" s="27"/>
      <c r="M35" s="27"/>
      <c r="N35" s="27"/>
      <c r="O35" s="27"/>
      <c r="P35" s="27"/>
      <c r="Q35" s="27"/>
      <c r="R35" s="64"/>
    </row>
    <row r="36" ht="12.75" customHeight="1">
      <c r="B36" s="54"/>
      <c r="C36" s="65"/>
      <c r="D36" s="56"/>
      <c r="E36" s="61">
        <v>5.0</v>
      </c>
      <c r="F36" s="62">
        <f t="shared" ref="F36:G36" si="16">F32</f>
        <v>100</v>
      </c>
      <c r="G36" s="62">
        <f t="shared" si="16"/>
        <v>115</v>
      </c>
      <c r="H36" s="62">
        <f>'1. Start Here'!G24</f>
        <v>125</v>
      </c>
      <c r="I36" s="62">
        <f>I32</f>
        <v>130</v>
      </c>
      <c r="J36" s="59"/>
      <c r="K36" s="27"/>
      <c r="L36" s="27"/>
      <c r="M36" s="27"/>
      <c r="N36" s="27"/>
      <c r="O36" s="27"/>
      <c r="P36" s="27"/>
      <c r="Q36" s="27"/>
      <c r="R36" s="64"/>
    </row>
    <row r="37" ht="12.75" customHeight="1">
      <c r="B37" s="54"/>
      <c r="C37" s="66" t="s">
        <v>44</v>
      </c>
      <c r="D37" s="74"/>
      <c r="E37" s="67">
        <v>5.0</v>
      </c>
      <c r="F37" s="68">
        <f>ROUND(((H37*0.8)/'1. Start Here'!$C$27),0)*'1. Start Here'!$C$27</f>
        <v>250</v>
      </c>
      <c r="G37" s="68">
        <f>ROUND(((F37+((H37-F37)/2))/'1. Start Here'!$C$27),0)*'1. Start Here'!$C$27</f>
        <v>280</v>
      </c>
      <c r="H37" s="68">
        <f>'1. Start Here'!G23</f>
        <v>310</v>
      </c>
      <c r="I37" s="68">
        <f>ROUND(((H37*1.05)/'1. Start Here'!$C$27),0)*'1. Start Here'!$C$27</f>
        <v>325</v>
      </c>
      <c r="J37" s="59"/>
      <c r="K37" s="68">
        <v>3.0</v>
      </c>
      <c r="L37" s="68">
        <f>I37</f>
        <v>325</v>
      </c>
      <c r="M37" s="59"/>
      <c r="N37" s="68">
        <v>3.0</v>
      </c>
      <c r="O37" s="68">
        <f>ROUND(((L37+((Q37-L37)/3))/'1. Start Here'!$C$27),0)*'1. Start Here'!$C$27</f>
        <v>335</v>
      </c>
      <c r="P37" s="68">
        <f>ROUND(((L37+(((Q37-L37)/3)*2))/'1. Start Here'!$C$27),0)*'1. Start Here'!$C$27</f>
        <v>345</v>
      </c>
      <c r="Q37" s="68">
        <f>'1. Start Here'!J23</f>
        <v>355</v>
      </c>
      <c r="R37" s="69">
        <f>ROUND(((Q37*1.025)/'1. Start Here'!$C$27),0)*'1. Start Here'!$C$27</f>
        <v>365</v>
      </c>
    </row>
    <row r="38" ht="12.75" customHeight="1">
      <c r="B38" s="54"/>
      <c r="C38" s="55"/>
      <c r="D38" s="56"/>
      <c r="E38" s="70">
        <v>5.0</v>
      </c>
      <c r="F38" s="27">
        <f t="shared" ref="F38:I38" si="17">F37</f>
        <v>250</v>
      </c>
      <c r="G38" s="27">
        <f t="shared" si="17"/>
        <v>280</v>
      </c>
      <c r="H38" s="27">
        <f t="shared" si="17"/>
        <v>310</v>
      </c>
      <c r="I38" s="27">
        <f t="shared" si="17"/>
        <v>325</v>
      </c>
      <c r="J38" s="59"/>
      <c r="K38" s="27">
        <v>3.0</v>
      </c>
      <c r="L38" s="27">
        <f>L37</f>
        <v>325</v>
      </c>
      <c r="M38" s="59"/>
      <c r="N38" s="27">
        <v>3.0</v>
      </c>
      <c r="O38" s="27">
        <f t="shared" ref="O38:P38" si="18">O37</f>
        <v>335</v>
      </c>
      <c r="P38" s="27">
        <f t="shared" si="18"/>
        <v>345</v>
      </c>
      <c r="Q38" s="27">
        <f>'1. Start Here'!J23</f>
        <v>355</v>
      </c>
      <c r="R38" s="64">
        <f>R37</f>
        <v>365</v>
      </c>
    </row>
    <row r="39" ht="12.75" customHeight="1">
      <c r="B39" s="78"/>
      <c r="C39" s="79"/>
      <c r="D39" s="80"/>
      <c r="E39" s="91">
        <v>5.0</v>
      </c>
      <c r="F39" s="84">
        <f t="shared" ref="F39:I39" si="19">F37</f>
        <v>250</v>
      </c>
      <c r="G39" s="84">
        <f t="shared" si="19"/>
        <v>280</v>
      </c>
      <c r="H39" s="84">
        <f t="shared" si="19"/>
        <v>310</v>
      </c>
      <c r="I39" s="84">
        <f t="shared" si="19"/>
        <v>325</v>
      </c>
      <c r="J39" s="83"/>
      <c r="K39" s="84">
        <v>3.0</v>
      </c>
      <c r="L39" s="84">
        <f>L37</f>
        <v>325</v>
      </c>
      <c r="M39" s="83"/>
      <c r="N39" s="84">
        <v>3.0</v>
      </c>
      <c r="O39" s="84">
        <f t="shared" ref="O39:P39" si="20">O37</f>
        <v>335</v>
      </c>
      <c r="P39" s="84">
        <f t="shared" si="20"/>
        <v>345</v>
      </c>
      <c r="Q39" s="84">
        <f>'1. Start Here'!J23</f>
        <v>355</v>
      </c>
      <c r="R39" s="85">
        <f>R37</f>
        <v>365</v>
      </c>
    </row>
    <row r="40" ht="12.75" customHeight="1">
      <c r="B40" s="47" t="s">
        <v>45</v>
      </c>
      <c r="C40" s="48" t="s">
        <v>36</v>
      </c>
      <c r="D40" s="49"/>
      <c r="E40" s="50">
        <v>5.0</v>
      </c>
      <c r="F40" s="51">
        <f>ROUND(((F44*0.76)/'1. Start Here'!$C$27),0)*'1. Start Here'!$C$27</f>
        <v>205</v>
      </c>
      <c r="G40" s="51">
        <f>ROUND(((G44*0.76)/'1. Start Here'!$C$27),0)*'1. Start Here'!$C$27</f>
        <v>230</v>
      </c>
      <c r="H40" s="51">
        <f>ROUND(((H44*0.76)/'1. Start Here'!$C$27),0)*'1. Start Here'!$C$27</f>
        <v>255</v>
      </c>
      <c r="I40" s="51">
        <f>ROUND(((I44*0.76)/'1. Start Here'!$C$27),0)*'1. Start Here'!$C$27</f>
        <v>265</v>
      </c>
      <c r="J40" s="52"/>
      <c r="K40" s="50">
        <v>3.0</v>
      </c>
      <c r="L40" s="51">
        <f>ROUND(((L42*0.8)/'1. Start Here'!$C$27),0)*'1. Start Here'!$C$27</f>
        <v>280</v>
      </c>
      <c r="M40" s="52"/>
      <c r="N40" s="51">
        <v>3.0</v>
      </c>
      <c r="O40" s="51">
        <f>ROUND(((O42*0.8)/'1. Start Here'!$C$27),0)*'1. Start Here'!$C$27</f>
        <v>290</v>
      </c>
      <c r="P40" s="51">
        <f>ROUND(((P42*0.8)/'1. Start Here'!$C$27),0)*'1. Start Here'!$C$27</f>
        <v>290</v>
      </c>
      <c r="Q40" s="51">
        <f>ROUND(((Q42*0.8)/'1. Start Here'!$C$27),0)*'1. Start Here'!$C$27</f>
        <v>300</v>
      </c>
      <c r="R40" s="53">
        <f>ROUND(((R42*0.8)/'1. Start Here'!$C$27),0)*'1. Start Here'!$C$27</f>
        <v>310</v>
      </c>
    </row>
    <row r="41" ht="12.75" customHeight="1">
      <c r="B41" s="54"/>
      <c r="C41" s="55"/>
      <c r="D41" s="56"/>
      <c r="E41" s="57">
        <v>5.0</v>
      </c>
      <c r="F41" s="58">
        <f>ROUND(((F44*0.82)/'1. Start Here'!$C$27),0)*'1. Start Here'!$C$27</f>
        <v>220</v>
      </c>
      <c r="G41" s="58">
        <f>ROUND(((G44*0.82)/'1. Start Here'!$C$27),0)*'1. Start Here'!$C$27</f>
        <v>250</v>
      </c>
      <c r="H41" s="58">
        <f>ROUND(((H44*0.82)/'1. Start Here'!$C$27),0)*'1. Start Here'!$C$27</f>
        <v>275</v>
      </c>
      <c r="I41" s="58">
        <f>ROUND(((I44*0.82)/'1. Start Here'!$C$27),0)*'1. Start Here'!$C$27</f>
        <v>285</v>
      </c>
      <c r="J41" s="59"/>
      <c r="K41" s="57">
        <v>3.0</v>
      </c>
      <c r="L41" s="58">
        <f>ROUND(((L42*0.9)/'1. Start Here'!$C$27),0)*'1. Start Here'!$C$27</f>
        <v>315</v>
      </c>
      <c r="M41" s="59"/>
      <c r="N41" s="58">
        <v>3.0</v>
      </c>
      <c r="O41" s="58">
        <f>ROUND(((O42*0.9)/'1. Start Here'!$C$27),0)*'1. Start Here'!$C$27</f>
        <v>325</v>
      </c>
      <c r="P41" s="58">
        <f>ROUND(((P42*0.9)/'1. Start Here'!$C$27),0)*'1. Start Here'!$C$27</f>
        <v>330</v>
      </c>
      <c r="Q41" s="58">
        <f>ROUND(((Q42*0.9)/'1. Start Here'!$C$27),0)*'1. Start Here'!$C$27</f>
        <v>340</v>
      </c>
      <c r="R41" s="60">
        <f>ROUND(((R42*0.9)/'1. Start Here'!$C$27),0)*'1. Start Here'!$C$27</f>
        <v>345</v>
      </c>
    </row>
    <row r="42" ht="12.75" customHeight="1">
      <c r="B42" s="54"/>
      <c r="C42" s="55"/>
      <c r="D42" s="56"/>
      <c r="E42" s="57">
        <v>5.0</v>
      </c>
      <c r="F42" s="58">
        <f>ROUND(((F44*0.88)/'1. Start Here'!$C$27),0)*'1. Start Here'!$C$27</f>
        <v>240</v>
      </c>
      <c r="G42" s="58">
        <f>ROUND(((G44*0.88)/'1. Start Here'!$C$27),0)*'1. Start Here'!$C$27</f>
        <v>270</v>
      </c>
      <c r="H42" s="58">
        <f>ROUND(((H44*0.88)/'1. Start Here'!$C$27),0)*'1. Start Here'!$C$27</f>
        <v>295</v>
      </c>
      <c r="I42" s="58">
        <f>ROUND(((I44*0.88)/'1. Start Here'!$C$27),0)*'1. Start Here'!$C$27</f>
        <v>310</v>
      </c>
      <c r="J42" s="59"/>
      <c r="K42" s="61">
        <v>3.0</v>
      </c>
      <c r="L42" s="62">
        <f>I44</f>
        <v>350</v>
      </c>
      <c r="M42" s="59"/>
      <c r="N42" s="62">
        <v>3.0</v>
      </c>
      <c r="O42" s="62">
        <f>ROUND(((L42+((Q42-L42)/3))/'1. Start Here'!$C$27),0)*'1. Start Here'!$C$27</f>
        <v>360</v>
      </c>
      <c r="P42" s="62">
        <f>ROUND(((L42+(((Q42-L42)/3)*2))/'1. Start Here'!$C$27),0)*'1. Start Here'!$C$27</f>
        <v>365</v>
      </c>
      <c r="Q42" s="62">
        <f>'1. Start Here'!I21</f>
        <v>375</v>
      </c>
      <c r="R42" s="63">
        <f>ROUND(((Q42*1.025)/'1. Start Here'!$C$27),0)*'1. Start Here'!$C$27</f>
        <v>385</v>
      </c>
    </row>
    <row r="43" ht="12.75" customHeight="1">
      <c r="B43" s="54"/>
      <c r="C43" s="55"/>
      <c r="D43" s="56"/>
      <c r="E43" s="57">
        <v>5.0</v>
      </c>
      <c r="F43" s="58">
        <f>ROUND(((F44*0.94)/'1. Start Here'!$C$27),0)*'1. Start Here'!$C$27</f>
        <v>255</v>
      </c>
      <c r="G43" s="58">
        <f>ROUND(((G44*0.94)/'1. Start Here'!$C$27),0)*'1. Start Here'!$C$27</f>
        <v>285</v>
      </c>
      <c r="H43" s="58">
        <f>ROUND(((H44*0.94)/'1. Start Here'!$C$27),0)*'1. Start Here'!$C$27</f>
        <v>315</v>
      </c>
      <c r="I43" s="58">
        <f>ROUND(((I44*0.94)/'1. Start Here'!$C$27),0)*'1. Start Here'!$C$27</f>
        <v>330</v>
      </c>
      <c r="J43" s="59"/>
      <c r="K43" s="27"/>
      <c r="L43" s="27"/>
      <c r="M43" s="27"/>
      <c r="N43" s="27"/>
      <c r="O43" s="27"/>
      <c r="P43" s="27"/>
      <c r="Q43" s="27"/>
      <c r="R43" s="64"/>
    </row>
    <row r="44" ht="12.75" customHeight="1">
      <c r="B44" s="54"/>
      <c r="C44" s="65"/>
      <c r="D44" s="56"/>
      <c r="E44" s="61">
        <v>5.0</v>
      </c>
      <c r="F44" s="62">
        <f>ROUND(((H44*0.8)/'1. Start Here'!$C$27),0)*'1. Start Here'!$C$27</f>
        <v>270</v>
      </c>
      <c r="G44" s="62">
        <f>ROUND(((F44+((H44-F44)/2))/'1. Start Here'!$C$27),0)*'1. Start Here'!$C$27</f>
        <v>305</v>
      </c>
      <c r="H44" s="62">
        <f>'1. Start Here'!F21</f>
        <v>335</v>
      </c>
      <c r="I44" s="62">
        <f>ROUND(((H44*1.05)/'1. Start Here'!$C$27),0)*'1. Start Here'!$C$27</f>
        <v>350</v>
      </c>
      <c r="J44" s="59"/>
      <c r="K44" s="27"/>
      <c r="L44" s="27"/>
      <c r="M44" s="27"/>
      <c r="N44" s="27"/>
      <c r="O44" s="27"/>
      <c r="P44" s="27"/>
      <c r="Q44" s="27"/>
      <c r="R44" s="64"/>
    </row>
    <row r="45" ht="12.75" customHeight="1">
      <c r="B45" s="54"/>
      <c r="C45" s="66" t="s">
        <v>37</v>
      </c>
      <c r="D45" s="56"/>
      <c r="E45" s="67">
        <v>5.0</v>
      </c>
      <c r="F45" s="68">
        <f>ROUND(((H45*0.8)/'1. Start Here'!$C$27),0)*'1. Start Here'!$C$27</f>
        <v>175</v>
      </c>
      <c r="G45" s="68">
        <f>ROUND(((F45+((H45-F45)/2))/'1. Start Here'!$C$27),0)*'1. Start Here'!$C$27</f>
        <v>200</v>
      </c>
      <c r="H45" s="68">
        <f>'1. Start Here'!G22</f>
        <v>220</v>
      </c>
      <c r="I45" s="68">
        <f>ROUND(((H45*1.05)/'1. Start Here'!$C$27),0)*'1. Start Here'!$C$27</f>
        <v>230</v>
      </c>
      <c r="J45" s="59"/>
      <c r="K45" s="67">
        <v>3.0</v>
      </c>
      <c r="L45" s="68">
        <f>I49</f>
        <v>230</v>
      </c>
      <c r="M45" s="59"/>
      <c r="N45" s="68">
        <v>3.0</v>
      </c>
      <c r="O45" s="68">
        <f>ROUND(((L45+((Q45-L45)/3))/'1. Start Here'!$C$27),0)*'1. Start Here'!$C$27</f>
        <v>235</v>
      </c>
      <c r="P45" s="68">
        <f>ROUND(((L45+(((Q45-L45)/3)*2))/'1. Start Here'!$C$27),0)*'1. Start Here'!$C$27</f>
        <v>245</v>
      </c>
      <c r="Q45" s="68">
        <f>'1. Start Here'!J22</f>
        <v>250</v>
      </c>
      <c r="R45" s="69">
        <f>ROUND(((Q45*1.025)/'1. Start Here'!$C$27),0)*'1. Start Here'!$C$27</f>
        <v>255</v>
      </c>
    </row>
    <row r="46" ht="12.75" customHeight="1">
      <c r="B46" s="54"/>
      <c r="C46" s="55"/>
      <c r="D46" s="56"/>
      <c r="E46" s="70">
        <v>5.0</v>
      </c>
      <c r="F46" s="27">
        <f t="shared" ref="F46:I46" si="21">F45</f>
        <v>175</v>
      </c>
      <c r="G46" s="27">
        <f t="shared" si="21"/>
        <v>200</v>
      </c>
      <c r="H46" s="27">
        <f t="shared" si="21"/>
        <v>220</v>
      </c>
      <c r="I46" s="27">
        <f t="shared" si="21"/>
        <v>230</v>
      </c>
      <c r="J46" s="59"/>
      <c r="K46" s="70">
        <v>3.0</v>
      </c>
      <c r="L46" s="27">
        <f>L45</f>
        <v>230</v>
      </c>
      <c r="M46" s="59"/>
      <c r="N46" s="27">
        <v>3.0</v>
      </c>
      <c r="O46" s="27">
        <f t="shared" ref="O46:R46" si="22">O45</f>
        <v>235</v>
      </c>
      <c r="P46" s="27">
        <f t="shared" si="22"/>
        <v>245</v>
      </c>
      <c r="Q46" s="27">
        <f t="shared" si="22"/>
        <v>250</v>
      </c>
      <c r="R46" s="64">
        <f t="shared" si="22"/>
        <v>255</v>
      </c>
    </row>
    <row r="47" ht="12.75" customHeight="1">
      <c r="B47" s="54"/>
      <c r="C47" s="55"/>
      <c r="D47" s="56"/>
      <c r="E47" s="70">
        <v>5.0</v>
      </c>
      <c r="F47" s="27">
        <f t="shared" ref="F47:I47" si="23">F45</f>
        <v>175</v>
      </c>
      <c r="G47" s="27">
        <f t="shared" si="23"/>
        <v>200</v>
      </c>
      <c r="H47" s="27">
        <f t="shared" si="23"/>
        <v>220</v>
      </c>
      <c r="I47" s="27">
        <f t="shared" si="23"/>
        <v>230</v>
      </c>
      <c r="J47" s="59"/>
      <c r="K47" s="71">
        <v>3.0</v>
      </c>
      <c r="L47" s="72">
        <f>L45</f>
        <v>230</v>
      </c>
      <c r="M47" s="59"/>
      <c r="N47" s="72">
        <v>3.0</v>
      </c>
      <c r="O47" s="72">
        <f t="shared" ref="O47:R47" si="24">O45</f>
        <v>235</v>
      </c>
      <c r="P47" s="72">
        <f t="shared" si="24"/>
        <v>245</v>
      </c>
      <c r="Q47" s="72">
        <f t="shared" si="24"/>
        <v>250</v>
      </c>
      <c r="R47" s="73">
        <f t="shared" si="24"/>
        <v>255</v>
      </c>
    </row>
    <row r="48" ht="12.75" customHeight="1">
      <c r="B48" s="54"/>
      <c r="C48" s="55"/>
      <c r="D48" s="56"/>
      <c r="E48" s="70">
        <v>5.0</v>
      </c>
      <c r="F48" s="27">
        <f t="shared" ref="F48:I48" si="25">F45</f>
        <v>175</v>
      </c>
      <c r="G48" s="27">
        <f t="shared" si="25"/>
        <v>200</v>
      </c>
      <c r="H48" s="27">
        <f t="shared" si="25"/>
        <v>220</v>
      </c>
      <c r="I48" s="27">
        <f t="shared" si="25"/>
        <v>230</v>
      </c>
      <c r="J48" s="59"/>
      <c r="K48" s="27"/>
      <c r="L48" s="27"/>
      <c r="M48" s="27"/>
      <c r="N48" s="27"/>
      <c r="O48" s="27"/>
      <c r="P48" s="27"/>
      <c r="Q48" s="27"/>
      <c r="R48" s="64"/>
    </row>
    <row r="49" ht="12.75" customHeight="1">
      <c r="B49" s="54"/>
      <c r="C49" s="65"/>
      <c r="D49" s="56"/>
      <c r="E49" s="71">
        <v>5.0</v>
      </c>
      <c r="F49" s="72">
        <f t="shared" ref="F49:I49" si="26">F45</f>
        <v>175</v>
      </c>
      <c r="G49" s="72">
        <f t="shared" si="26"/>
        <v>200</v>
      </c>
      <c r="H49" s="72">
        <f t="shared" si="26"/>
        <v>220</v>
      </c>
      <c r="I49" s="72">
        <f t="shared" si="26"/>
        <v>230</v>
      </c>
      <c r="J49" s="59"/>
      <c r="K49" s="72"/>
      <c r="L49" s="72"/>
      <c r="M49" s="27"/>
      <c r="N49" s="72"/>
      <c r="O49" s="72"/>
      <c r="P49" s="72"/>
      <c r="Q49" s="72"/>
      <c r="R49" s="73"/>
    </row>
    <row r="50" ht="12.75" customHeight="1">
      <c r="B50" s="54"/>
      <c r="C50" s="66" t="s">
        <v>38</v>
      </c>
      <c r="D50" s="74"/>
      <c r="E50" s="75">
        <v>5.0</v>
      </c>
      <c r="F50" s="76">
        <f>ROUND(((H50*0.8)/'1. Start Here'!$C$27),0)*'1. Start Here'!$C$27</f>
        <v>125</v>
      </c>
      <c r="G50" s="76">
        <f>ROUND(((F50+((H50-F50)/2))/'1. Start Here'!$C$27),0)*'1. Start Here'!$C$27</f>
        <v>140</v>
      </c>
      <c r="H50" s="76">
        <f>'1. Start Here'!G25</f>
        <v>155</v>
      </c>
      <c r="I50" s="76">
        <f>ROUND(((H50*1.05)/'1. Start Here'!$C$27),0)*'1. Start Here'!$C$27</f>
        <v>165</v>
      </c>
      <c r="J50" s="59"/>
      <c r="K50" s="75">
        <v>3.0</v>
      </c>
      <c r="L50" s="76">
        <f>I54</f>
        <v>165</v>
      </c>
      <c r="M50" s="59"/>
      <c r="N50" s="76">
        <v>3.0</v>
      </c>
      <c r="O50" s="76">
        <f>ROUND(((L50+((Q50-L50)/3))/'1. Start Here'!$C$27),0)*'1. Start Here'!$C$27</f>
        <v>170</v>
      </c>
      <c r="P50" s="76">
        <f>ROUND(((L50+(((Q50-L50)/3)*2))/'1. Start Here'!$C$27),0)*'1. Start Here'!$C$27</f>
        <v>180</v>
      </c>
      <c r="Q50" s="76">
        <f>'1. Start Here'!I25</f>
        <v>185</v>
      </c>
      <c r="R50" s="77">
        <f>ROUND(((Q50*1.025)/'1. Start Here'!$C$27),0)*'1. Start Here'!$C$27</f>
        <v>190</v>
      </c>
    </row>
    <row r="51" ht="12.75" customHeight="1">
      <c r="B51" s="54"/>
      <c r="C51" s="55"/>
      <c r="D51" s="56"/>
      <c r="E51" s="57">
        <v>5.0</v>
      </c>
      <c r="F51" s="58">
        <f t="shared" ref="F51:I51" si="27">F50</f>
        <v>125</v>
      </c>
      <c r="G51" s="58">
        <f t="shared" si="27"/>
        <v>140</v>
      </c>
      <c r="H51" s="58">
        <f t="shared" si="27"/>
        <v>155</v>
      </c>
      <c r="I51" s="58">
        <f t="shared" si="27"/>
        <v>165</v>
      </c>
      <c r="J51" s="59"/>
      <c r="K51" s="57">
        <v>3.0</v>
      </c>
      <c r="L51" s="58">
        <f>L50</f>
        <v>165</v>
      </c>
      <c r="M51" s="59"/>
      <c r="N51" s="58">
        <v>3.0</v>
      </c>
      <c r="O51" s="58">
        <f t="shared" ref="O51:R51" si="28">O50</f>
        <v>170</v>
      </c>
      <c r="P51" s="58">
        <f t="shared" si="28"/>
        <v>180</v>
      </c>
      <c r="Q51" s="58">
        <f t="shared" si="28"/>
        <v>185</v>
      </c>
      <c r="R51" s="60">
        <f t="shared" si="28"/>
        <v>190</v>
      </c>
    </row>
    <row r="52" ht="12.75" customHeight="1">
      <c r="B52" s="54"/>
      <c r="C52" s="55"/>
      <c r="D52" s="56"/>
      <c r="E52" s="57">
        <v>5.0</v>
      </c>
      <c r="F52" s="58">
        <f t="shared" ref="F52:I52" si="29">F50</f>
        <v>125</v>
      </c>
      <c r="G52" s="58">
        <f t="shared" si="29"/>
        <v>140</v>
      </c>
      <c r="H52" s="58">
        <f t="shared" si="29"/>
        <v>155</v>
      </c>
      <c r="I52" s="58">
        <f t="shared" si="29"/>
        <v>165</v>
      </c>
      <c r="J52" s="59"/>
      <c r="K52" s="61">
        <v>3.0</v>
      </c>
      <c r="L52" s="62">
        <f>L50</f>
        <v>165</v>
      </c>
      <c r="M52" s="59"/>
      <c r="N52" s="62">
        <v>3.0</v>
      </c>
      <c r="O52" s="62">
        <f t="shared" ref="O52:R52" si="30">O50</f>
        <v>170</v>
      </c>
      <c r="P52" s="62">
        <f t="shared" si="30"/>
        <v>180</v>
      </c>
      <c r="Q52" s="62">
        <f t="shared" si="30"/>
        <v>185</v>
      </c>
      <c r="R52" s="63">
        <f t="shared" si="30"/>
        <v>190</v>
      </c>
    </row>
    <row r="53" ht="12.75" customHeight="1">
      <c r="B53" s="54"/>
      <c r="C53" s="55"/>
      <c r="D53" s="56"/>
      <c r="E53" s="57">
        <v>5.0</v>
      </c>
      <c r="F53" s="58">
        <f t="shared" ref="F53:I53" si="31">F50</f>
        <v>125</v>
      </c>
      <c r="G53" s="58">
        <f t="shared" si="31"/>
        <v>140</v>
      </c>
      <c r="H53" s="58">
        <f t="shared" si="31"/>
        <v>155</v>
      </c>
      <c r="I53" s="58">
        <f t="shared" si="31"/>
        <v>165</v>
      </c>
      <c r="J53" s="59"/>
      <c r="K53" s="27"/>
      <c r="L53" s="27"/>
      <c r="M53" s="27"/>
      <c r="N53" s="27"/>
      <c r="O53" s="27"/>
      <c r="P53" s="27"/>
      <c r="Q53" s="27"/>
      <c r="R53" s="64"/>
    </row>
    <row r="54" ht="12.75" customHeight="1">
      <c r="B54" s="78"/>
      <c r="C54" s="79"/>
      <c r="D54" s="80"/>
      <c r="E54" s="81">
        <v>5.0</v>
      </c>
      <c r="F54" s="82">
        <f t="shared" ref="F54:I54" si="32">F50</f>
        <v>125</v>
      </c>
      <c r="G54" s="82">
        <f t="shared" si="32"/>
        <v>140</v>
      </c>
      <c r="H54" s="82">
        <f t="shared" si="32"/>
        <v>155</v>
      </c>
      <c r="I54" s="82">
        <f t="shared" si="32"/>
        <v>165</v>
      </c>
      <c r="J54" s="83"/>
      <c r="K54" s="84"/>
      <c r="L54" s="84"/>
      <c r="M54" s="84"/>
      <c r="N54" s="84"/>
      <c r="O54" s="84"/>
      <c r="P54" s="84"/>
      <c r="Q54" s="84"/>
      <c r="R54" s="85"/>
    </row>
    <row r="55" ht="12.75" customHeight="1"/>
    <row r="56" ht="12.75" customHeight="1"/>
    <row r="57" ht="12.75" customHeight="1">
      <c r="B57" s="28"/>
    </row>
    <row r="58" ht="12.75" customHeight="1"/>
    <row r="59" ht="12.75" customHeight="1"/>
    <row r="60" ht="12.75" customHeight="1">
      <c r="B60" s="29" t="s">
        <v>24</v>
      </c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L29:R29"/>
    <mergeCell ref="L30:R30"/>
    <mergeCell ref="C32:C36"/>
    <mergeCell ref="C37:C39"/>
    <mergeCell ref="B40:B54"/>
    <mergeCell ref="C40:C44"/>
    <mergeCell ref="C45:C49"/>
    <mergeCell ref="C50:C54"/>
    <mergeCell ref="B12:B26"/>
    <mergeCell ref="C12:C16"/>
    <mergeCell ref="C17:C21"/>
    <mergeCell ref="C22:C26"/>
    <mergeCell ref="B27:B39"/>
    <mergeCell ref="C27:C31"/>
    <mergeCell ref="L28:R28"/>
  </mergeCells>
  <hyperlinks>
    <hyperlink r:id="rId1" ref="B8"/>
    <hyperlink r:id="rId2" ref="B60"/>
  </hyperlinks>
  <printOptions/>
  <pageMargins bottom="0.75" footer="0.0" header="0.0" left="0.7" right="0.7" top="0.75"/>
  <pageSetup orientation="landscape"/>
  <drawing r:id="rId3"/>
</worksheet>
</file>