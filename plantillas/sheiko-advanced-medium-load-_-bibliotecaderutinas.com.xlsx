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Prep Cycle I" sheetId="2" r:id="rId5"/>
    <sheet state="visible" name="Prep Cycle II" sheetId="3" r:id="rId6"/>
    <sheet state="visible" name="Prep Cycle III" sheetId="4" r:id="rId7"/>
    <sheet state="visible" name="Comp Cycle" sheetId="5" r:id="rId8"/>
    <sheet state="visible" name="Nuts &amp; Bolts" sheetId="6" r:id="rId9"/>
  </sheets>
  <definedNames/>
  <calcPr/>
  <extLst>
    <ext uri="GoogleSheetsCustomDataVersion1">
      <go:sheetsCustomData xmlns:go="http://customooxmlschemas.google.com/" r:id="rId10" roundtripDataSignature="AMtx7mhQNBYGuwu8A4PjLnOHvzGB71gtQQ=="/>
    </ext>
  </extLst>
</workbook>
</file>

<file path=xl/sharedStrings.xml><?xml version="1.0" encoding="utf-8"?>
<sst xmlns="http://schemas.openxmlformats.org/spreadsheetml/2006/main" count="1888" uniqueCount="161">
  <si>
    <t>Made by ChaseT 2008.05.09</t>
  </si>
  <si>
    <t>WWW.BIBLIOTECADERUTINAS.COM</t>
  </si>
  <si>
    <t>Introduce 1rm</t>
  </si>
  <si>
    <t>Sheiko Advanced Medium Load</t>
  </si>
  <si>
    <t>Sentadillas</t>
  </si>
  <si>
    <t>Press de banca</t>
  </si>
  <si>
    <t>Peso muerto</t>
  </si>
  <si>
    <t>FAQS</t>
  </si>
  <si>
    <t>Q:</t>
  </si>
  <si>
    <t>How should I use this training program?</t>
  </si>
  <si>
    <t>A:</t>
  </si>
  <si>
    <t xml:space="preserve">If you've never used a Sheiko program before, first get youself acquainted with this style of training by running through the program once as is. After that you can modify it to fit your specific needs. </t>
  </si>
  <si>
    <t>Download the spreadsheet in order to edit it.</t>
  </si>
  <si>
    <t>How do I modify the program without messing it up?</t>
  </si>
  <si>
    <t>Get the official Sheiko mobile app for more.</t>
  </si>
  <si>
    <t>The most convenient way to make this program fit your specific needs is to make exercise substitutions and preserve the overall structure. Your best bet is to make a substitution that serves a similar purpose.</t>
  </si>
  <si>
    <t>Can I do the double sessions as one long session instead?</t>
  </si>
  <si>
    <t xml:space="preserve">You can. But just be aware that doing so will shift the emphasis towards metabolic stress and decrease the emphasis on technique development. If that is what you need to make progress then go for it. </t>
  </si>
  <si>
    <t>Can I run this program with inflated maxes?</t>
  </si>
  <si>
    <t xml:space="preserve">Again, you can. If you do hopefully you have good techniqe because higher intensity usually leads to form breakdown. If that happens you'll wind up practicing bad technique with greater frequency and also increase the risk of injury. </t>
  </si>
  <si>
    <t>My gym doesn't have chains. What can I do instead?</t>
  </si>
  <si>
    <t xml:space="preserve">Get some. They are an extremely valuable training tool. Check your local hardware store or at least get some bands. </t>
  </si>
  <si>
    <t>How can I do board presses by myself?</t>
  </si>
  <si>
    <t xml:space="preserve">Take a plastic water bottle and slide it under your shirt. Lower the bar to the bottle then press it back up. </t>
  </si>
  <si>
    <t>I train equipped. How can I use this program?</t>
  </si>
  <si>
    <t xml:space="preserve">There are two ways you can do it: 1) you can use your gear through the whole program. In that case use your equipped maxes above. Warm up without the gear then put it on around 75% or if the Weight can't be moved without gear 2) you can start the training program with your raw maxes and train that way for the first part of the training program. After your skills test switch to equipped maxes and finish the program using gear. </t>
  </si>
  <si>
    <t xml:space="preserve">Can I have Boris train me personally? </t>
  </si>
  <si>
    <t>Boris Sheiko offers online coaching on his website.</t>
  </si>
  <si>
    <t xml:space="preserve">Preparatory Period I for Class 1 and Above Athletes </t>
  </si>
  <si>
    <t>WEEK 1</t>
  </si>
  <si>
    <t>squat</t>
  </si>
  <si>
    <t>bench</t>
  </si>
  <si>
    <t>deadlift</t>
  </si>
  <si>
    <t>Monday</t>
  </si>
  <si>
    <t>%</t>
  </si>
  <si>
    <t>Reps</t>
  </si>
  <si>
    <t>Sets</t>
  </si>
  <si>
    <t>Weight</t>
  </si>
  <si>
    <t>50-59</t>
  </si>
  <si>
    <t>60-69</t>
  </si>
  <si>
    <t>70-79</t>
  </si>
  <si>
    <t>80-89</t>
  </si>
  <si>
    <t>90+</t>
  </si>
  <si>
    <t>Notes:</t>
  </si>
  <si>
    <t>Front squat</t>
  </si>
  <si>
    <t>Bench press</t>
  </si>
  <si>
    <t>Squat</t>
  </si>
  <si>
    <t>Chest muscles</t>
  </si>
  <si>
    <t>Abs</t>
  </si>
  <si>
    <t>Wednesday</t>
  </si>
  <si>
    <t>Deadlift to knees w/2s pause</t>
  </si>
  <si>
    <t>Deadlift w/pause 5-7cm above knees</t>
  </si>
  <si>
    <t>Lat muscles</t>
  </si>
  <si>
    <t>Good morning</t>
  </si>
  <si>
    <t>Friday</t>
  </si>
  <si>
    <t>Squat w/pause at half squat position on the way down</t>
  </si>
  <si>
    <t>Board bench press</t>
  </si>
  <si>
    <t>Hyperextension</t>
  </si>
  <si>
    <t>Saturday</t>
  </si>
  <si>
    <t>Deficit deadlift</t>
  </si>
  <si>
    <t>Incline Bench press</t>
  </si>
  <si>
    <t>Deadlift off boxes, bar is 5-7cm below knees</t>
  </si>
  <si>
    <t>Dip (with Weights)</t>
  </si>
  <si>
    <t>Leg press  (80-90% of squat 1RM)</t>
  </si>
  <si>
    <t>Reverse hyperextension</t>
  </si>
  <si>
    <t>WEEK 2</t>
  </si>
  <si>
    <t>French press lying</t>
  </si>
  <si>
    <t>Bench press w/chains plus 8-10 kg to each side in addition to this Weight</t>
  </si>
  <si>
    <t>Deadlift w/pause 5-7cm below knees</t>
  </si>
  <si>
    <t>Delts</t>
  </si>
  <si>
    <t>Leg extension (1 sec pause every rep</t>
  </si>
  <si>
    <t>at the top)</t>
  </si>
  <si>
    <t>Dips (with Weights)</t>
  </si>
  <si>
    <t>Bench press narrow grip</t>
  </si>
  <si>
    <t>Deadlift w/chains, 8-10kg each side plus this Weight</t>
  </si>
  <si>
    <t>Dumbbells press</t>
  </si>
  <si>
    <t>Leg press</t>
  </si>
  <si>
    <t>WEEK 3</t>
  </si>
  <si>
    <t>Goodmorning</t>
  </si>
  <si>
    <t>Deadlift to knees with 2 sec pause</t>
  </si>
  <si>
    <t>Goodmorning seated</t>
  </si>
  <si>
    <t>Bench press with middle grip</t>
  </si>
  <si>
    <t>Deadlift w/ chains</t>
  </si>
  <si>
    <t>Triceps</t>
  </si>
  <si>
    <t>WEEK 4</t>
  </si>
  <si>
    <t>Dip</t>
  </si>
  <si>
    <t>Deadlift off boxes, 5-7cm below knees</t>
  </si>
  <si>
    <t>French press</t>
  </si>
  <si>
    <t xml:space="preserve">Bench press </t>
  </si>
  <si>
    <t>Deadlift w/chains</t>
  </si>
  <si>
    <t xml:space="preserve">Preparatory Period II for Class 1 and Above Athletes </t>
  </si>
  <si>
    <t>Bench press w/board</t>
  </si>
  <si>
    <t>Chest Muscles</t>
  </si>
  <si>
    <t>Bench press with chains</t>
  </si>
  <si>
    <t xml:space="preserve">Deadlift off boxes, bar is at 5 cm below knees </t>
  </si>
  <si>
    <t>Lat Muscles</t>
  </si>
  <si>
    <t>Dips</t>
  </si>
  <si>
    <t xml:space="preserve">Deadlift off boxes, bar is at 5 cm below knees  </t>
  </si>
  <si>
    <t>Incline Shoulder Press</t>
  </si>
  <si>
    <t>Bench press w/chains</t>
  </si>
  <si>
    <t>Deadlift to knees</t>
  </si>
  <si>
    <t xml:space="preserve">Chest Muscle </t>
  </si>
  <si>
    <t>Deadlift w/ 2 pauses, 5-7cm above and below knees</t>
  </si>
  <si>
    <t>Incline shoulder press</t>
  </si>
  <si>
    <t>Good Morning</t>
  </si>
  <si>
    <t>Deficit Deadlift</t>
  </si>
  <si>
    <t xml:space="preserve">Deadlift from boxes bar is 5cm below knees  </t>
  </si>
  <si>
    <t xml:space="preserve">1 + 1/2 (x2) Deadlift </t>
  </si>
  <si>
    <t xml:space="preserve"> </t>
  </si>
  <si>
    <t xml:space="preserve">3 + 1/2 (x2) Deadlift </t>
  </si>
  <si>
    <t xml:space="preserve">4 + 1/2 (x2) Deadlift </t>
  </si>
  <si>
    <t>Close Grip Bench Press</t>
  </si>
  <si>
    <t>Reverse Hyperextension</t>
  </si>
  <si>
    <t>Deadlift up to knees</t>
  </si>
  <si>
    <t>Deadlift off boxes bar is 5cm below knees</t>
  </si>
  <si>
    <t>Leg Press</t>
  </si>
  <si>
    <t>WEEK 5</t>
  </si>
  <si>
    <t>Deadlift off boxes, bar is 5cm below knees</t>
  </si>
  <si>
    <t>Deadlift w/pause 5cm above knees</t>
  </si>
  <si>
    <t>DB Bench press</t>
  </si>
  <si>
    <t>Deadlift w/chains off boxes, bar is 10-12cm below knees</t>
  </si>
  <si>
    <t>WEEK 6</t>
  </si>
  <si>
    <t>Deadlift</t>
  </si>
  <si>
    <t xml:space="preserve">Preparatory Period III for Class 1 and Above Athletes </t>
  </si>
  <si>
    <t>100%-105%</t>
  </si>
  <si>
    <t>2-3</t>
  </si>
  <si>
    <t>Bench Press</t>
  </si>
  <si>
    <t>Deadlift up to knees w/pause</t>
  </si>
  <si>
    <t>1(x2) + 1/2 (x2) Deadlift, alternating</t>
  </si>
  <si>
    <t>1 + 1/2 (x2) Deadlift, alternating</t>
  </si>
  <si>
    <t>Decline Bench Press</t>
  </si>
  <si>
    <t>1 + 1/2 (x2) Deadlift</t>
  </si>
  <si>
    <t>1 + 1/2 Deadlift</t>
  </si>
  <si>
    <t>Deadlift from boxes, bar is 5cm below knees</t>
  </si>
  <si>
    <t xml:space="preserve">Competition Period for Class 1 and Above Athletes </t>
  </si>
  <si>
    <t>Deadlift of boxes, bar is 5cm below knees</t>
  </si>
  <si>
    <t>6</t>
  </si>
  <si>
    <t>Incline Shoulder press</t>
  </si>
  <si>
    <t>1-2</t>
  </si>
  <si>
    <t>DB Bench Press</t>
  </si>
  <si>
    <t>Rest</t>
  </si>
  <si>
    <t>Competition</t>
  </si>
  <si>
    <t>Prep Cycle I</t>
  </si>
  <si>
    <t>Week</t>
  </si>
  <si>
    <t>Bench</t>
  </si>
  <si>
    <t>Dead</t>
  </si>
  <si>
    <t>NL</t>
  </si>
  <si>
    <t>Avg Wt.</t>
  </si>
  <si>
    <t>Total</t>
  </si>
  <si>
    <t>Prep Cycle II</t>
  </si>
  <si>
    <t>Prep Cycle III</t>
  </si>
  <si>
    <t>Tonnage</t>
  </si>
  <si>
    <t>Comp Cycle</t>
  </si>
  <si>
    <t>Squat Analysis</t>
  </si>
  <si>
    <t>Month</t>
  </si>
  <si>
    <t xml:space="preserve">Avg. Int. </t>
  </si>
  <si>
    <t>Cycle</t>
  </si>
  <si>
    <t>Bench Analysis</t>
  </si>
  <si>
    <t>Deadlift Analysis</t>
  </si>
  <si>
    <t>Lift Distribution Analysis</t>
  </si>
  <si>
    <t>% of Lifts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</si>
</sst>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0">
    <font>
      <sz val="10.0"/>
      <color rgb="FF000000"/>
      <name val="Arimo"/>
    </font>
    <font>
      <sz val="10.0"/>
      <color theme="1"/>
      <name val="Arimo"/>
    </font>
    <font>
      <sz val="10.0"/>
      <color rgb="FF7F7F7F"/>
      <name val="Arimo"/>
    </font>
    <font>
      <b/>
      <sz val="12.0"/>
      <color theme="1"/>
      <name val="Arimo"/>
    </font>
    <font>
      <i/>
      <sz val="16.0"/>
      <color rgb="FF5F516C"/>
      <name val="Arial"/>
    </font>
    <font>
      <sz val="14.0"/>
      <color theme="1"/>
      <name val="Arial"/>
    </font>
    <font>
      <b/>
      <u/>
      <sz val="10.0"/>
      <color theme="10"/>
      <name val="Arimo"/>
    </font>
    <font/>
    <font>
      <sz val="14.0"/>
      <color rgb="FFFFFFFF"/>
      <name val="Helvetica Neue"/>
    </font>
    <font>
      <sz val="10.0"/>
      <color rgb="FFFFFFFF"/>
      <name val="Arial"/>
    </font>
    <font>
      <sz val="24.0"/>
      <color rgb="FF5C0AA8"/>
      <name val="Arimo"/>
    </font>
    <font>
      <b/>
      <sz val="16.0"/>
      <color rgb="FF5F516C"/>
      <name val="Arial"/>
    </font>
    <font>
      <sz val="16.0"/>
      <color rgb="FF5F497A"/>
      <name val="Arial"/>
    </font>
    <font>
      <b/>
      <sz val="10.0"/>
      <color theme="1"/>
      <name val="Arial"/>
    </font>
    <font>
      <b/>
      <sz val="12.0"/>
      <color rgb="FF60516F"/>
      <name val="Arial"/>
    </font>
    <font>
      <sz val="12.0"/>
      <color rgb="FF60516F"/>
      <name val="Arial"/>
    </font>
    <font>
      <sz val="14.0"/>
      <color rgb="FFFFFFFF"/>
      <name val="Arimo"/>
    </font>
    <font>
      <sz val="10.0"/>
      <color rgb="FFFFFFFF"/>
      <name val="Arimo"/>
    </font>
    <font>
      <sz val="12.0"/>
      <color theme="1"/>
      <name val="Arial"/>
    </font>
    <font>
      <b/>
      <sz val="11.0"/>
      <color theme="1"/>
      <name val="Helvetica Neue"/>
    </font>
    <font>
      <sz val="11.0"/>
      <color theme="1"/>
      <name val="Helvetica Neue"/>
    </font>
    <font>
      <sz val="11.0"/>
      <color rgb="FF006100"/>
      <name val="Helvetica Neue"/>
    </font>
    <font>
      <sz val="11.0"/>
      <color rgb="FFCCFFCC"/>
      <name val="Helvetica Neue"/>
    </font>
    <font>
      <sz val="11.0"/>
      <color rgb="FF9C6500"/>
      <name val="Helvetica Neue"/>
    </font>
    <font>
      <sz val="11.0"/>
      <color rgb="FFFFFF00"/>
      <name val="Helvetica Neue"/>
    </font>
    <font>
      <sz val="11.0"/>
      <color rgb="FF9C0006"/>
      <name val="Helvetica Neue"/>
    </font>
    <font>
      <sz val="11.0"/>
      <color rgb="FFFABF8F"/>
      <name val="Helvetica Neue"/>
    </font>
    <font>
      <sz val="10.0"/>
      <color rgb="FFFF0000"/>
      <name val="Arimo"/>
    </font>
    <font>
      <sz val="11.0"/>
      <color rgb="FFFF0000"/>
      <name val="Helvetica Neue"/>
    </font>
    <font>
      <b/>
      <sz val="10.0"/>
      <color theme="1"/>
      <name val="Arimo"/>
    </font>
    <font>
      <b/>
      <sz val="10.0"/>
      <color rgb="FFFF0000"/>
      <name val="Arimo"/>
    </font>
    <font>
      <sz val="12.0"/>
      <color rgb="FF006100"/>
      <name val="Calibri"/>
    </font>
    <font>
      <sz val="12.0"/>
      <color rgb="FF9C6500"/>
      <name val="Calibri"/>
    </font>
    <font>
      <sz val="11.0"/>
      <color rgb="FF0000FF"/>
      <name val="Helvetica Neue"/>
    </font>
    <font>
      <sz val="11.0"/>
      <color rgb="FF000000"/>
      <name val="Helvetica Neue"/>
    </font>
    <font>
      <b/>
      <i/>
      <sz val="10.0"/>
      <color rgb="FFFF0000"/>
      <name val="Arimo"/>
    </font>
    <font>
      <b/>
      <sz val="10.0"/>
      <color rgb="FF0000FF"/>
      <name val="Arimo"/>
    </font>
    <font>
      <sz val="11.0"/>
      <color rgb="FFBBEDC3"/>
      <name val="Helvetica Neue"/>
    </font>
    <font>
      <sz val="11.0"/>
      <color rgb="FFFFFFFF"/>
      <name val="Helvetica Neue"/>
    </font>
    <font>
      <b/>
      <sz val="10.0"/>
      <color rgb="FFFFFFFF"/>
      <name val="Arimo"/>
    </font>
  </fonts>
  <fills count="17">
    <fill>
      <patternFill patternType="none"/>
    </fill>
    <fill>
      <patternFill patternType="lightGray"/>
    </fill>
    <fill>
      <patternFill patternType="solid">
        <fgColor rgb="FF5C0AA8"/>
        <bgColor rgb="FF5C0AA8"/>
      </patternFill>
    </fill>
    <fill>
      <patternFill patternType="solid">
        <fgColor rgb="FFFFFFFF"/>
        <bgColor rgb="FFFFFFFF"/>
      </patternFill>
    </fill>
    <fill>
      <patternFill patternType="solid">
        <fgColor rgb="FFFFFF00"/>
        <bgColor rgb="FFFFFF00"/>
      </patternFill>
    </fill>
    <fill>
      <patternFill patternType="solid">
        <fgColor rgb="FF5D0CA7"/>
        <bgColor rgb="FF5D0CA7"/>
      </patternFill>
    </fill>
    <fill>
      <patternFill patternType="solid">
        <fgColor rgb="FF00FF00"/>
        <bgColor rgb="FF00FF00"/>
      </patternFill>
    </fill>
    <fill>
      <patternFill patternType="solid">
        <fgColor rgb="FF9900FF"/>
        <bgColor rgb="FF9900FF"/>
      </patternFill>
    </fill>
    <fill>
      <patternFill patternType="solid">
        <fgColor rgb="FF480097"/>
        <bgColor rgb="FF480097"/>
      </patternFill>
    </fill>
    <fill>
      <patternFill patternType="solid">
        <fgColor rgb="FFCCFFCC"/>
        <bgColor rgb="FFCCFFCC"/>
      </patternFill>
    </fill>
    <fill>
      <patternFill patternType="solid">
        <fgColor rgb="FFC6EFCE"/>
        <bgColor rgb="FFC6EFCE"/>
      </patternFill>
    </fill>
    <fill>
      <patternFill patternType="solid">
        <fgColor rgb="FFFFFF99"/>
        <bgColor rgb="FFFFFF99"/>
      </patternFill>
    </fill>
    <fill>
      <patternFill patternType="solid">
        <fgColor rgb="FFFFEB9C"/>
        <bgColor rgb="FFFFEB9C"/>
      </patternFill>
    </fill>
    <fill>
      <patternFill patternType="solid">
        <fgColor rgb="FFFFCC99"/>
        <bgColor rgb="FFFFCC99"/>
      </patternFill>
    </fill>
    <fill>
      <patternFill patternType="solid">
        <fgColor rgb="FFFABF8F"/>
        <bgColor rgb="FFFABF8F"/>
      </patternFill>
    </fill>
    <fill>
      <patternFill patternType="solid">
        <fgColor rgb="FFFFFF88"/>
        <bgColor rgb="FFFFFF88"/>
      </patternFill>
    </fill>
    <fill>
      <patternFill patternType="solid">
        <fgColor rgb="FFFEC087"/>
        <bgColor rgb="FFFEC087"/>
      </patternFill>
    </fill>
  </fills>
  <borders count="37">
    <border/>
    <border>
      <left/>
      <right/>
      <top/>
      <bottom/>
    </border>
    <border>
      <left/>
      <top/>
      <bottom/>
    </border>
    <border>
      <top/>
      <bottom/>
    </border>
    <border>
      <right/>
      <top/>
      <bottom/>
    </border>
    <border>
      <left/>
      <top/>
    </border>
    <border>
      <top/>
    </border>
    <border>
      <right/>
      <top/>
    </border>
    <border>
      <left/>
      <bottom/>
    </border>
    <border>
      <bottom/>
    </border>
    <border>
      <right/>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top/>
      <bottom/>
    </border>
    <border>
      <left/>
      <right style="thin">
        <color rgb="FF000000"/>
      </right>
      <top/>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right style="thin">
        <color rgb="FF3C3C3C"/>
      </right>
    </border>
    <border>
      <left style="thin">
        <color rgb="FF3C3C3C"/>
      </left>
    </border>
    <border>
      <bottom style="thin">
        <color rgb="FF3C3C3C"/>
      </bottom>
    </border>
    <border>
      <right style="thin">
        <color rgb="FF3C3C3C"/>
      </right>
      <bottom style="thin">
        <color rgb="FF3C3C3C"/>
      </bottom>
    </border>
    <border>
      <left style="thin">
        <color rgb="FF3C3C3C"/>
      </left>
      <bottom style="thin">
        <color rgb="FF3C3C3C"/>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83">
    <xf borderId="0" fillId="0" fontId="0" numFmtId="0" xfId="0" applyAlignment="1" applyFont="1">
      <alignment readingOrder="0" shrinkToFit="0" vertical="bottom" wrapText="0"/>
    </xf>
    <xf borderId="0" fillId="0" fontId="1" numFmtId="0" xfId="0" applyFont="1"/>
    <xf borderId="0" fillId="0" fontId="1" numFmtId="1" xfId="0" applyFont="1" applyNumberFormat="1"/>
    <xf borderId="0" fillId="0" fontId="1" numFmtId="2" xfId="0" applyFont="1" applyNumberFormat="1"/>
    <xf borderId="0" fillId="0" fontId="2" numFmtId="0" xfId="0" applyFont="1"/>
    <xf borderId="0" fillId="0" fontId="3" numFmtId="0" xfId="0" applyFont="1"/>
    <xf borderId="1" fillId="2" fontId="1" numFmtId="1" xfId="0" applyBorder="1" applyFill="1" applyFont="1" applyNumberFormat="1"/>
    <xf borderId="1" fillId="2" fontId="1" numFmtId="0" xfId="0" applyBorder="1" applyFont="1"/>
    <xf borderId="1" fillId="2" fontId="1" numFmtId="2" xfId="0" applyBorder="1" applyFont="1" applyNumberFormat="1"/>
    <xf borderId="1" fillId="3" fontId="1" numFmtId="0" xfId="0" applyBorder="1" applyFill="1" applyFont="1"/>
    <xf borderId="1" fillId="3" fontId="1" numFmtId="1" xfId="0" applyBorder="1" applyFont="1" applyNumberFormat="1"/>
    <xf borderId="1" fillId="3" fontId="1" numFmtId="2" xfId="0" applyBorder="1" applyFont="1" applyNumberFormat="1"/>
    <xf borderId="1" fillId="3" fontId="4" numFmtId="1" xfId="0" applyAlignment="1" applyBorder="1" applyFont="1" applyNumberFormat="1">
      <alignment vertical="center"/>
    </xf>
    <xf borderId="1" fillId="3" fontId="5" numFmtId="1" xfId="0" applyAlignment="1" applyBorder="1" applyFont="1" applyNumberFormat="1">
      <alignment vertical="center"/>
    </xf>
    <xf borderId="1" fillId="3" fontId="5" numFmtId="0" xfId="0" applyAlignment="1" applyBorder="1" applyFont="1">
      <alignment vertical="center"/>
    </xf>
    <xf borderId="1" fillId="3" fontId="5" numFmtId="2" xfId="0" applyAlignment="1" applyBorder="1" applyFont="1" applyNumberFormat="1">
      <alignment vertical="center"/>
    </xf>
    <xf borderId="2" fillId="4" fontId="6" numFmtId="0" xfId="0" applyAlignment="1" applyBorder="1" applyFill="1" applyFont="1">
      <alignment horizontal="center" vertical="center"/>
    </xf>
    <xf borderId="3" fillId="0" fontId="7" numFmtId="0" xfId="0" applyBorder="1" applyFont="1"/>
    <xf borderId="4" fillId="0" fontId="7" numFmtId="0" xfId="0" applyBorder="1" applyFont="1"/>
    <xf borderId="1" fillId="5" fontId="8" numFmtId="0" xfId="0" applyAlignment="1" applyBorder="1" applyFill="1" applyFont="1">
      <alignment readingOrder="0" vertical="center"/>
    </xf>
    <xf borderId="1" fillId="5" fontId="9" numFmtId="1" xfId="0" applyAlignment="1" applyBorder="1" applyFont="1" applyNumberFormat="1">
      <alignment vertical="center"/>
    </xf>
    <xf borderId="1" fillId="5" fontId="9" numFmtId="0" xfId="0" applyAlignment="1" applyBorder="1" applyFont="1">
      <alignment vertical="center"/>
    </xf>
    <xf borderId="1" fillId="5" fontId="9" numFmtId="2" xfId="0" applyAlignment="1" applyBorder="1" applyFont="1" applyNumberFormat="1">
      <alignment vertical="center"/>
    </xf>
    <xf borderId="0" fillId="0" fontId="10" numFmtId="1" xfId="0" applyAlignment="1" applyFont="1" applyNumberFormat="1">
      <alignment horizontal="center" vertical="center"/>
    </xf>
    <xf borderId="0" fillId="0" fontId="1" numFmtId="1" xfId="0" applyAlignment="1" applyFont="1" applyNumberFormat="1">
      <alignment horizontal="center"/>
    </xf>
    <xf borderId="0" fillId="0" fontId="11" numFmtId="0" xfId="0" applyAlignment="1" applyFont="1">
      <alignment readingOrder="0"/>
    </xf>
    <xf borderId="1" fillId="6" fontId="12" numFmtId="1" xfId="0" applyAlignment="1" applyBorder="1" applyFill="1" applyFont="1" applyNumberFormat="1">
      <alignment horizontal="center"/>
    </xf>
    <xf borderId="0" fillId="0" fontId="13" numFmtId="1" xfId="0" applyFont="1" applyNumberFormat="1"/>
    <xf borderId="1" fillId="5" fontId="8" numFmtId="0" xfId="0" applyAlignment="1" applyBorder="1" applyFont="1">
      <alignment vertical="center"/>
    </xf>
    <xf borderId="0" fillId="0" fontId="1" numFmtId="0" xfId="0" applyAlignment="1" applyFont="1">
      <alignment vertical="top"/>
    </xf>
    <xf borderId="0" fillId="0" fontId="1" numFmtId="1" xfId="0" applyAlignment="1" applyFont="1" applyNumberFormat="1">
      <alignment vertical="top"/>
    </xf>
    <xf borderId="0" fillId="0" fontId="14" numFmtId="1" xfId="0" applyAlignment="1" applyFont="1" applyNumberFormat="1">
      <alignment vertical="top"/>
    </xf>
    <xf borderId="0" fillId="0" fontId="15" numFmtId="0" xfId="0" applyAlignment="1" applyFont="1">
      <alignment vertical="top"/>
    </xf>
    <xf borderId="0" fillId="0" fontId="15" numFmtId="2" xfId="0" applyAlignment="1" applyFont="1" applyNumberFormat="1">
      <alignment vertical="top"/>
    </xf>
    <xf borderId="0" fillId="0" fontId="15" numFmtId="1" xfId="0" applyAlignment="1" applyFont="1" applyNumberFormat="1">
      <alignment horizontal="left" shrinkToFit="0" vertical="top" wrapText="1"/>
    </xf>
    <xf borderId="0" fillId="0" fontId="15" numFmtId="1" xfId="0" applyFont="1" applyNumberFormat="1"/>
    <xf borderId="0" fillId="0" fontId="15" numFmtId="0" xfId="0" applyFont="1"/>
    <xf borderId="0" fillId="0" fontId="15" numFmtId="2" xfId="0" applyFont="1" applyNumberFormat="1"/>
    <xf borderId="5" fillId="7" fontId="16" numFmtId="1" xfId="0" applyAlignment="1" applyBorder="1" applyFill="1" applyFont="1" applyNumberFormat="1">
      <alignment horizontal="center" vertical="center"/>
    </xf>
    <xf borderId="6" fillId="0" fontId="7" numFmtId="0" xfId="0" applyBorder="1" applyFont="1"/>
    <xf borderId="7" fillId="0" fontId="7" numFmtId="0" xfId="0" applyBorder="1" applyFont="1"/>
    <xf borderId="1" fillId="5" fontId="14" numFmtId="1" xfId="0" applyAlignment="1" applyBorder="1" applyFont="1" applyNumberFormat="1">
      <alignment vertical="top"/>
    </xf>
    <xf borderId="1" fillId="5" fontId="15" numFmtId="1" xfId="0" applyAlignment="1" applyBorder="1" applyFont="1" applyNumberFormat="1">
      <alignment vertical="center"/>
    </xf>
    <xf borderId="1" fillId="5" fontId="15" numFmtId="0" xfId="0" applyAlignment="1" applyBorder="1" applyFont="1">
      <alignment vertical="center"/>
    </xf>
    <xf borderId="1" fillId="5" fontId="15" numFmtId="2" xfId="0" applyAlignment="1" applyBorder="1" applyFont="1" applyNumberFormat="1">
      <alignment vertical="center"/>
    </xf>
    <xf borderId="8" fillId="0" fontId="7" numFmtId="0" xfId="0" applyBorder="1" applyFont="1"/>
    <xf borderId="9" fillId="0" fontId="7" numFmtId="0" xfId="0" applyBorder="1" applyFont="1"/>
    <xf borderId="10" fillId="0" fontId="7" numFmtId="0" xfId="0" applyBorder="1" applyFont="1"/>
    <xf borderId="0" fillId="0" fontId="17" numFmtId="0" xfId="0" applyAlignment="1" applyFont="1">
      <alignment horizontal="center" vertical="center"/>
    </xf>
    <xf borderId="0" fillId="0" fontId="1" numFmtId="0" xfId="0" applyAlignment="1" applyFont="1">
      <alignment horizontal="center"/>
    </xf>
    <xf borderId="0" fillId="0" fontId="14" numFmtId="1" xfId="0" applyFont="1" applyNumberFormat="1"/>
    <xf borderId="0" fillId="0" fontId="14" numFmtId="1" xfId="0" applyAlignment="1" applyFont="1" applyNumberFormat="1">
      <alignment horizontal="left" vertical="top"/>
    </xf>
    <xf borderId="0" fillId="0" fontId="15" numFmtId="0" xfId="0" applyAlignment="1" applyFont="1">
      <alignment horizontal="left" vertical="top"/>
    </xf>
    <xf borderId="0" fillId="0" fontId="15" numFmtId="2" xfId="0" applyAlignment="1" applyFont="1" applyNumberFormat="1">
      <alignment horizontal="left" vertical="top"/>
    </xf>
    <xf borderId="0" fillId="0" fontId="15" numFmtId="1" xfId="0" applyAlignment="1" applyFont="1" applyNumberFormat="1">
      <alignment vertical="top"/>
    </xf>
    <xf borderId="0" fillId="0" fontId="18" numFmtId="2" xfId="0" applyFont="1" applyNumberFormat="1"/>
    <xf borderId="0" fillId="0" fontId="18" numFmtId="0" xfId="0" applyFont="1"/>
    <xf borderId="0" fillId="0" fontId="18" numFmtId="1" xfId="0" applyAlignment="1" applyFont="1" applyNumberFormat="1">
      <alignment vertical="top"/>
    </xf>
    <xf borderId="0" fillId="0" fontId="18" numFmtId="1" xfId="0" applyFont="1" applyNumberFormat="1"/>
    <xf borderId="1" fillId="5" fontId="9" numFmtId="1" xfId="0" applyAlignment="1" applyBorder="1" applyFont="1" applyNumberFormat="1">
      <alignment vertical="top"/>
    </xf>
    <xf borderId="1" fillId="3" fontId="8" numFmtId="0" xfId="0" applyAlignment="1" applyBorder="1" applyFont="1">
      <alignment vertical="center"/>
    </xf>
    <xf borderId="1" fillId="3" fontId="9" numFmtId="1" xfId="0" applyAlignment="1" applyBorder="1" applyFont="1" applyNumberFormat="1">
      <alignment vertical="top"/>
    </xf>
    <xf borderId="1" fillId="3" fontId="9" numFmtId="1" xfId="0" applyAlignment="1" applyBorder="1" applyFont="1" applyNumberFormat="1">
      <alignment vertical="center"/>
    </xf>
    <xf borderId="1" fillId="3" fontId="9" numFmtId="0" xfId="0" applyAlignment="1" applyBorder="1" applyFont="1">
      <alignment vertical="center"/>
    </xf>
    <xf borderId="1" fillId="3" fontId="9" numFmtId="2" xfId="0" applyAlignment="1" applyBorder="1" applyFont="1" applyNumberFormat="1">
      <alignment vertical="center"/>
    </xf>
    <xf borderId="2" fillId="8" fontId="8" numFmtId="0" xfId="0" applyAlignment="1" applyBorder="1" applyFill="1" applyFont="1">
      <alignment horizontal="left" vertical="center"/>
    </xf>
    <xf borderId="0" fillId="0" fontId="19" numFmtId="0" xfId="0" applyAlignment="1" applyFont="1">
      <alignment horizontal="center"/>
    </xf>
    <xf borderId="0" fillId="0" fontId="20" numFmtId="0" xfId="0" applyFont="1"/>
    <xf borderId="0" fillId="0" fontId="20" numFmtId="0" xfId="0" applyAlignment="1" applyFont="1">
      <alignment horizontal="center"/>
    </xf>
    <xf borderId="11" fillId="9" fontId="20" numFmtId="0" xfId="0" applyBorder="1" applyFill="1" applyFont="1"/>
    <xf borderId="12" fillId="9" fontId="20" numFmtId="0" xfId="0" applyAlignment="1" applyBorder="1" applyFont="1">
      <alignment horizontal="left"/>
    </xf>
    <xf borderId="12" fillId="9" fontId="20" numFmtId="9" xfId="0" applyAlignment="1" applyBorder="1" applyFont="1" applyNumberFormat="1">
      <alignment horizontal="center"/>
    </xf>
    <xf borderId="12" fillId="9" fontId="20" numFmtId="1" xfId="0" applyAlignment="1" applyBorder="1" applyFont="1" applyNumberFormat="1">
      <alignment horizontal="center"/>
    </xf>
    <xf borderId="13" fillId="9" fontId="20" numFmtId="1" xfId="0" applyAlignment="1" applyBorder="1" applyFont="1" applyNumberFormat="1">
      <alignment horizontal="center"/>
    </xf>
    <xf borderId="14" fillId="10" fontId="21" numFmtId="1" xfId="0" applyAlignment="1" applyBorder="1" applyFill="1" applyFont="1" applyNumberFormat="1">
      <alignment horizontal="center"/>
    </xf>
    <xf borderId="15" fillId="10" fontId="21" numFmtId="1" xfId="0" applyAlignment="1" applyBorder="1" applyFont="1" applyNumberFormat="1">
      <alignment horizontal="center"/>
    </xf>
    <xf borderId="16" fillId="0" fontId="20" numFmtId="0" xfId="0" applyAlignment="1" applyBorder="1" applyFont="1">
      <alignment horizontal="left" shrinkToFit="0" vertical="top" wrapText="1"/>
    </xf>
    <xf borderId="17" fillId="0" fontId="7" numFmtId="0" xfId="0" applyBorder="1" applyFont="1"/>
    <xf borderId="18" fillId="0" fontId="7" numFmtId="0" xfId="0" applyBorder="1" applyFont="1"/>
    <xf borderId="19" fillId="9" fontId="20" numFmtId="0" xfId="0" applyBorder="1" applyFont="1"/>
    <xf borderId="1" fillId="9" fontId="22" numFmtId="0" xfId="0" applyAlignment="1" applyBorder="1" applyFont="1">
      <alignment horizontal="left"/>
    </xf>
    <xf borderId="1" fillId="9" fontId="20" numFmtId="9" xfId="0" applyAlignment="1" applyBorder="1" applyFont="1" applyNumberFormat="1">
      <alignment horizontal="center"/>
    </xf>
    <xf borderId="1" fillId="9" fontId="20" numFmtId="0" xfId="0" applyAlignment="1" applyBorder="1" applyFont="1">
      <alignment horizontal="center"/>
    </xf>
    <xf borderId="1" fillId="9" fontId="20" numFmtId="1" xfId="0" applyAlignment="1" applyBorder="1" applyFont="1" applyNumberFormat="1">
      <alignment horizontal="center"/>
    </xf>
    <xf borderId="20" fillId="9" fontId="20" numFmtId="1" xfId="0" applyAlignment="1" applyBorder="1" applyFont="1" applyNumberFormat="1">
      <alignment horizontal="center"/>
    </xf>
    <xf borderId="21" fillId="0" fontId="7" numFmtId="0" xfId="0" applyBorder="1" applyFont="1"/>
    <xf borderId="22" fillId="0" fontId="7" numFmtId="0" xfId="0" applyBorder="1" applyFont="1"/>
    <xf borderId="19" fillId="11" fontId="20" numFmtId="0" xfId="0" applyBorder="1" applyFill="1" applyFont="1"/>
    <xf borderId="1" fillId="11" fontId="20" numFmtId="0" xfId="0" applyAlignment="1" applyBorder="1" applyFont="1">
      <alignment horizontal="left"/>
    </xf>
    <xf borderId="1" fillId="11" fontId="20" numFmtId="9" xfId="0" applyAlignment="1" applyBorder="1" applyFont="1" applyNumberFormat="1">
      <alignment horizontal="center"/>
    </xf>
    <xf borderId="1" fillId="11" fontId="20" numFmtId="0" xfId="0" applyAlignment="1" applyBorder="1" applyFont="1">
      <alignment horizontal="center"/>
    </xf>
    <xf borderId="1" fillId="11" fontId="20" numFmtId="1" xfId="0" applyAlignment="1" applyBorder="1" applyFont="1" applyNumberFormat="1">
      <alignment horizontal="center"/>
    </xf>
    <xf borderId="20" fillId="11" fontId="20" numFmtId="1" xfId="0" applyAlignment="1" applyBorder="1" applyFont="1" applyNumberFormat="1">
      <alignment horizontal="center"/>
    </xf>
    <xf borderId="15" fillId="12" fontId="23" numFmtId="1" xfId="0" applyAlignment="1" applyBorder="1" applyFill="1" applyFont="1" applyNumberFormat="1">
      <alignment horizontal="center"/>
    </xf>
    <xf borderId="1" fillId="11" fontId="24" numFmtId="0" xfId="0" applyAlignment="1" applyBorder="1" applyFont="1">
      <alignment horizontal="left"/>
    </xf>
    <xf borderId="1" fillId="9" fontId="20" numFmtId="0" xfId="0" applyAlignment="1" applyBorder="1" applyFont="1">
      <alignment horizontal="left"/>
    </xf>
    <xf borderId="16" fillId="0" fontId="20" numFmtId="0" xfId="0" applyBorder="1" applyFont="1"/>
    <xf borderId="17" fillId="0" fontId="20" numFmtId="0" xfId="0" applyBorder="1" applyFont="1"/>
    <xf borderId="17" fillId="0" fontId="20" numFmtId="0" xfId="0" applyAlignment="1" applyBorder="1" applyFont="1">
      <alignment horizontal="center"/>
    </xf>
    <xf borderId="18" fillId="0" fontId="20" numFmtId="0" xfId="0" applyAlignment="1" applyBorder="1" applyFont="1">
      <alignment horizontal="center"/>
    </xf>
    <xf borderId="23" fillId="0" fontId="20" numFmtId="0" xfId="0" applyBorder="1" applyFont="1"/>
    <xf borderId="24" fillId="0" fontId="20" numFmtId="0" xfId="0" applyBorder="1" applyFont="1"/>
    <xf borderId="24" fillId="0" fontId="20" numFmtId="0" xfId="0" applyAlignment="1" applyBorder="1" applyFont="1">
      <alignment horizontal="center"/>
    </xf>
    <xf borderId="25" fillId="0" fontId="20" numFmtId="0" xfId="0" applyAlignment="1" applyBorder="1" applyFont="1">
      <alignment horizontal="center"/>
    </xf>
    <xf borderId="23" fillId="0" fontId="7" numFmtId="0" xfId="0" applyBorder="1" applyFont="1"/>
    <xf borderId="24" fillId="0" fontId="7" numFmtId="0" xfId="0" applyBorder="1" applyFont="1"/>
    <xf borderId="25" fillId="0" fontId="7" numFmtId="0" xfId="0" applyBorder="1" applyFont="1"/>
    <xf borderId="11" fillId="13" fontId="20" numFmtId="0" xfId="0" applyBorder="1" applyFill="1" applyFont="1"/>
    <xf borderId="12" fillId="13" fontId="20" numFmtId="0" xfId="0" applyAlignment="1" applyBorder="1" applyFont="1">
      <alignment horizontal="left"/>
    </xf>
    <xf borderId="12" fillId="13" fontId="20" numFmtId="9" xfId="0" applyAlignment="1" applyBorder="1" applyFont="1" applyNumberFormat="1">
      <alignment horizontal="center"/>
    </xf>
    <xf borderId="12" fillId="13" fontId="20" numFmtId="0" xfId="0" applyAlignment="1" applyBorder="1" applyFont="1">
      <alignment horizontal="center"/>
    </xf>
    <xf borderId="12" fillId="13" fontId="20" numFmtId="1" xfId="0" applyAlignment="1" applyBorder="1" applyFont="1" applyNumberFormat="1">
      <alignment horizontal="center"/>
    </xf>
    <xf borderId="13" fillId="13" fontId="20" numFmtId="1" xfId="0" applyAlignment="1" applyBorder="1" applyFont="1" applyNumberFormat="1">
      <alignment horizontal="center"/>
    </xf>
    <xf borderId="15" fillId="14" fontId="20" numFmtId="1" xfId="0" applyAlignment="1" applyBorder="1" applyFill="1" applyFont="1" applyNumberFormat="1">
      <alignment horizontal="center"/>
    </xf>
    <xf borderId="15" fillId="14" fontId="25" numFmtId="1" xfId="0" applyAlignment="1" applyBorder="1" applyFont="1" applyNumberFormat="1">
      <alignment horizontal="center"/>
    </xf>
    <xf borderId="19" fillId="13" fontId="20" numFmtId="0" xfId="0" applyBorder="1" applyFont="1"/>
    <xf borderId="1" fillId="14" fontId="26" numFmtId="0" xfId="0" applyAlignment="1" applyBorder="1" applyFont="1">
      <alignment horizontal="left"/>
    </xf>
    <xf borderId="1" fillId="13" fontId="20" numFmtId="9" xfId="0" applyAlignment="1" applyBorder="1" applyFont="1" applyNumberFormat="1">
      <alignment horizontal="center"/>
    </xf>
    <xf borderId="1" fillId="13" fontId="20" numFmtId="0" xfId="0" applyAlignment="1" applyBorder="1" applyFont="1">
      <alignment horizontal="center"/>
    </xf>
    <xf borderId="1" fillId="13" fontId="20" numFmtId="1" xfId="0" applyAlignment="1" applyBorder="1" applyFont="1" applyNumberFormat="1">
      <alignment horizontal="center"/>
    </xf>
    <xf borderId="20" fillId="13" fontId="20" numFmtId="1" xfId="0" applyAlignment="1" applyBorder="1" applyFont="1" applyNumberFormat="1">
      <alignment horizontal="center"/>
    </xf>
    <xf borderId="1" fillId="13" fontId="20" numFmtId="0" xfId="0" applyAlignment="1" applyBorder="1" applyFont="1">
      <alignment horizontal="left"/>
    </xf>
    <xf borderId="1" fillId="13" fontId="26" numFmtId="0" xfId="0" applyAlignment="1" applyBorder="1" applyFont="1">
      <alignment horizontal="left"/>
    </xf>
    <xf borderId="11" fillId="11" fontId="20" numFmtId="0" xfId="0" applyBorder="1" applyFont="1"/>
    <xf borderId="12" fillId="11" fontId="20" numFmtId="0" xfId="0" applyAlignment="1" applyBorder="1" applyFont="1">
      <alignment horizontal="left"/>
    </xf>
    <xf borderId="12" fillId="11" fontId="20" numFmtId="9" xfId="0" applyAlignment="1" applyBorder="1" applyFont="1" applyNumberFormat="1">
      <alignment horizontal="center"/>
    </xf>
    <xf borderId="12" fillId="11" fontId="20" numFmtId="0" xfId="0" applyAlignment="1" applyBorder="1" applyFont="1">
      <alignment horizontal="center"/>
    </xf>
    <xf borderId="12" fillId="11" fontId="20" numFmtId="1" xfId="0" applyAlignment="1" applyBorder="1" applyFont="1" applyNumberFormat="1">
      <alignment horizontal="center"/>
    </xf>
    <xf borderId="13" fillId="11" fontId="20" numFmtId="1" xfId="0" applyAlignment="1" applyBorder="1" applyFont="1" applyNumberFormat="1">
      <alignment horizontal="center"/>
    </xf>
    <xf borderId="26" fillId="11" fontId="20" numFmtId="0" xfId="0" applyBorder="1" applyFont="1"/>
    <xf borderId="27" fillId="11" fontId="24" numFmtId="0" xfId="0" applyAlignment="1" applyBorder="1" applyFont="1">
      <alignment horizontal="left"/>
    </xf>
    <xf borderId="27" fillId="11" fontId="20" numFmtId="9" xfId="0" applyAlignment="1" applyBorder="1" applyFont="1" applyNumberFormat="1">
      <alignment horizontal="center"/>
    </xf>
    <xf borderId="27" fillId="11" fontId="20" numFmtId="0" xfId="0" applyAlignment="1" applyBorder="1" applyFont="1">
      <alignment horizontal="center"/>
    </xf>
    <xf borderId="27" fillId="11" fontId="20" numFmtId="1" xfId="0" applyAlignment="1" applyBorder="1" applyFont="1" applyNumberFormat="1">
      <alignment horizontal="center"/>
    </xf>
    <xf borderId="28" fillId="11" fontId="20" numFmtId="1" xfId="0" applyAlignment="1" applyBorder="1" applyFont="1" applyNumberFormat="1">
      <alignment horizontal="center"/>
    </xf>
    <xf borderId="21" fillId="0" fontId="20" numFmtId="0" xfId="0" applyBorder="1" applyFont="1"/>
    <xf borderId="0" fillId="0" fontId="20" numFmtId="0" xfId="0" applyAlignment="1" applyFont="1">
      <alignment horizontal="left"/>
    </xf>
    <xf borderId="0" fillId="0" fontId="20" numFmtId="9" xfId="0" applyAlignment="1" applyFont="1" applyNumberFormat="1">
      <alignment horizontal="center"/>
    </xf>
    <xf borderId="0" fillId="0" fontId="20" numFmtId="1" xfId="0" applyAlignment="1" applyFont="1" applyNumberFormat="1">
      <alignment horizontal="center"/>
    </xf>
    <xf borderId="22" fillId="0" fontId="20" numFmtId="1" xfId="0" applyAlignment="1" applyBorder="1" applyFont="1" applyNumberFormat="1">
      <alignment horizontal="center"/>
    </xf>
    <xf borderId="22" fillId="0" fontId="20" numFmtId="0" xfId="0" applyAlignment="1" applyBorder="1" applyFont="1">
      <alignment horizontal="center"/>
    </xf>
    <xf borderId="0" fillId="0" fontId="27" numFmtId="0" xfId="0" applyFont="1"/>
    <xf borderId="0" fillId="0" fontId="28" numFmtId="0" xfId="0" applyFont="1"/>
    <xf borderId="0" fillId="0" fontId="28" numFmtId="0" xfId="0" applyAlignment="1" applyFont="1">
      <alignment horizontal="center"/>
    </xf>
    <xf borderId="0" fillId="0" fontId="28" numFmtId="1" xfId="0" applyFont="1" applyNumberFormat="1"/>
    <xf borderId="12" fillId="9" fontId="20" numFmtId="0" xfId="0" applyAlignment="1" applyBorder="1" applyFont="1">
      <alignment horizontal="center"/>
    </xf>
    <xf borderId="0" fillId="0" fontId="29" numFmtId="0" xfId="0" applyFont="1"/>
    <xf borderId="0" fillId="0" fontId="29" numFmtId="0" xfId="0" applyAlignment="1" applyFont="1">
      <alignment horizontal="center"/>
    </xf>
    <xf borderId="0" fillId="0" fontId="30" numFmtId="1" xfId="0" applyFont="1" applyNumberFormat="1"/>
    <xf borderId="0" fillId="0" fontId="30" numFmtId="0" xfId="0" applyFont="1"/>
    <xf borderId="0" fillId="0" fontId="1" numFmtId="0" xfId="0" applyAlignment="1" applyFont="1">
      <alignment horizontal="left"/>
    </xf>
    <xf borderId="0" fillId="0" fontId="1" numFmtId="9" xfId="0" applyAlignment="1" applyFont="1" applyNumberFormat="1">
      <alignment horizontal="center"/>
    </xf>
    <xf borderId="15" fillId="10" fontId="31" numFmtId="1" xfId="0" applyAlignment="1" applyBorder="1" applyFont="1" applyNumberFormat="1">
      <alignment horizontal="center"/>
    </xf>
    <xf borderId="15" fillId="12" fontId="32" numFmtId="1" xfId="0" applyAlignment="1" applyBorder="1" applyFont="1" applyNumberFormat="1">
      <alignment horizontal="center"/>
    </xf>
    <xf borderId="15" fillId="14" fontId="1" numFmtId="1" xfId="0" applyAlignment="1" applyBorder="1" applyFont="1" applyNumberFormat="1">
      <alignment horizontal="center"/>
    </xf>
    <xf borderId="15" fillId="10" fontId="31" numFmtId="0" xfId="0" applyBorder="1" applyFont="1"/>
    <xf borderId="15" fillId="12" fontId="32" numFmtId="0" xfId="0" applyBorder="1" applyFont="1"/>
    <xf borderId="15" fillId="14" fontId="1" numFmtId="0" xfId="0" applyBorder="1" applyFont="1"/>
    <xf borderId="1" fillId="8" fontId="8" numFmtId="0" xfId="0" applyAlignment="1" applyBorder="1" applyFont="1">
      <alignment vertical="center"/>
    </xf>
    <xf borderId="1" fillId="8" fontId="17" numFmtId="0" xfId="0" applyAlignment="1" applyBorder="1" applyFont="1">
      <alignment horizontal="left" vertical="center"/>
    </xf>
    <xf borderId="1" fillId="8" fontId="9" numFmtId="9" xfId="0" applyAlignment="1" applyBorder="1" applyFont="1" applyNumberFormat="1">
      <alignment horizontal="center" vertical="center"/>
    </xf>
    <xf borderId="1" fillId="8" fontId="9" numFmtId="1" xfId="0" applyAlignment="1" applyBorder="1" applyFont="1" applyNumberFormat="1">
      <alignment horizontal="center" vertical="center"/>
    </xf>
    <xf borderId="1" fillId="8" fontId="17" numFmtId="1" xfId="0" applyAlignment="1" applyBorder="1" applyFont="1" applyNumberFormat="1">
      <alignment horizontal="center" vertical="center"/>
    </xf>
    <xf borderId="1" fillId="8" fontId="17" numFmtId="0" xfId="0" applyAlignment="1" applyBorder="1" applyFont="1">
      <alignment vertical="center"/>
    </xf>
    <xf borderId="0" fillId="0" fontId="33" numFmtId="1" xfId="0" applyAlignment="1" applyFont="1" applyNumberFormat="1">
      <alignment horizontal="center"/>
    </xf>
    <xf borderId="29" fillId="0" fontId="20" numFmtId="1" xfId="0" applyAlignment="1" applyBorder="1" applyFont="1" applyNumberFormat="1">
      <alignment horizontal="center"/>
    </xf>
    <xf borderId="30" fillId="0" fontId="20" numFmtId="1" xfId="0" applyAlignment="1" applyBorder="1" applyFont="1" applyNumberFormat="1">
      <alignment horizontal="center"/>
    </xf>
    <xf borderId="17" fillId="0" fontId="20" numFmtId="0" xfId="0" applyAlignment="1" applyBorder="1" applyFont="1">
      <alignment horizontal="left"/>
    </xf>
    <xf borderId="17" fillId="0" fontId="20" numFmtId="9" xfId="0" applyAlignment="1" applyBorder="1" applyFont="1" applyNumberFormat="1">
      <alignment horizontal="center"/>
    </xf>
    <xf borderId="17" fillId="0" fontId="20" numFmtId="1" xfId="0" applyAlignment="1" applyBorder="1" applyFont="1" applyNumberFormat="1">
      <alignment horizontal="center"/>
    </xf>
    <xf borderId="18" fillId="0" fontId="20" numFmtId="1" xfId="0" applyAlignment="1" applyBorder="1" applyFont="1" applyNumberFormat="1">
      <alignment horizontal="center"/>
    </xf>
    <xf borderId="24" fillId="0" fontId="20" numFmtId="0" xfId="0" applyAlignment="1" applyBorder="1" applyFont="1">
      <alignment horizontal="left"/>
    </xf>
    <xf borderId="24" fillId="0" fontId="20" numFmtId="9" xfId="0" applyAlignment="1" applyBorder="1" applyFont="1" applyNumberFormat="1">
      <alignment horizontal="center"/>
    </xf>
    <xf borderId="24" fillId="0" fontId="20" numFmtId="1" xfId="0" applyAlignment="1" applyBorder="1" applyFont="1" applyNumberFormat="1">
      <alignment horizontal="center"/>
    </xf>
    <xf borderId="25" fillId="0" fontId="20" numFmtId="1" xfId="0" applyAlignment="1" applyBorder="1" applyFont="1" applyNumberFormat="1">
      <alignment horizontal="center"/>
    </xf>
    <xf borderId="23" fillId="0" fontId="34" numFmtId="0" xfId="0" applyBorder="1" applyFont="1"/>
    <xf borderId="24" fillId="0" fontId="34" numFmtId="0" xfId="0" applyAlignment="1" applyBorder="1" applyFont="1">
      <alignment horizontal="left"/>
    </xf>
    <xf borderId="24" fillId="0" fontId="34" numFmtId="9" xfId="0" applyAlignment="1" applyBorder="1" applyFont="1" applyNumberFormat="1">
      <alignment horizontal="center"/>
    </xf>
    <xf borderId="24" fillId="0" fontId="34" numFmtId="0" xfId="0" applyAlignment="1" applyBorder="1" applyFont="1">
      <alignment horizontal="center"/>
    </xf>
    <xf borderId="24" fillId="0" fontId="34" numFmtId="1" xfId="0" applyAlignment="1" applyBorder="1" applyFont="1" applyNumberFormat="1">
      <alignment horizontal="center"/>
    </xf>
    <xf borderId="25" fillId="0" fontId="34" numFmtId="1" xfId="0" applyAlignment="1" applyBorder="1" applyFont="1" applyNumberFormat="1">
      <alignment horizontal="center"/>
    </xf>
    <xf borderId="0" fillId="0" fontId="35" numFmtId="0" xfId="0" applyFont="1"/>
    <xf borderId="0" fillId="0" fontId="28" numFmtId="0" xfId="0" applyAlignment="1" applyFont="1">
      <alignment horizontal="left"/>
    </xf>
    <xf borderId="0" fillId="0" fontId="28" numFmtId="9" xfId="0" applyAlignment="1" applyFont="1" applyNumberFormat="1">
      <alignment horizontal="center"/>
    </xf>
    <xf borderId="0" fillId="0" fontId="28" numFmtId="1" xfId="0" applyAlignment="1" applyFont="1" applyNumberFormat="1">
      <alignment horizontal="center"/>
    </xf>
    <xf borderId="30" fillId="0" fontId="28" numFmtId="1" xfId="0" applyAlignment="1" applyBorder="1" applyFont="1" applyNumberFormat="1">
      <alignment horizontal="center"/>
    </xf>
    <xf borderId="29" fillId="0" fontId="28" numFmtId="1" xfId="0" applyAlignment="1" applyBorder="1" applyFont="1" applyNumberFormat="1">
      <alignment horizontal="center"/>
    </xf>
    <xf borderId="0" fillId="0" fontId="20" numFmtId="1" xfId="0" applyFont="1" applyNumberFormat="1"/>
    <xf borderId="18" fillId="0" fontId="20" numFmtId="9" xfId="0" applyAlignment="1" applyBorder="1" applyFont="1" applyNumberFormat="1">
      <alignment horizontal="center"/>
    </xf>
    <xf borderId="16" fillId="0" fontId="34" numFmtId="0" xfId="0" applyBorder="1" applyFont="1"/>
    <xf borderId="17" fillId="0" fontId="34" numFmtId="0" xfId="0" applyAlignment="1" applyBorder="1" applyFont="1">
      <alignment horizontal="left"/>
    </xf>
    <xf borderId="17" fillId="0" fontId="34" numFmtId="9" xfId="0" applyAlignment="1" applyBorder="1" applyFont="1" applyNumberFormat="1">
      <alignment horizontal="center"/>
    </xf>
    <xf borderId="17" fillId="0" fontId="34" numFmtId="0" xfId="0" applyAlignment="1" applyBorder="1" applyFont="1">
      <alignment horizontal="center"/>
    </xf>
    <xf borderId="17" fillId="0" fontId="34" numFmtId="1" xfId="0" applyAlignment="1" applyBorder="1" applyFont="1" applyNumberFormat="1">
      <alignment horizontal="center"/>
    </xf>
    <xf borderId="18" fillId="0" fontId="34" numFmtId="1" xfId="0" applyAlignment="1" applyBorder="1" applyFont="1" applyNumberFormat="1">
      <alignment horizontal="center"/>
    </xf>
    <xf borderId="15" fillId="14" fontId="20" numFmtId="0" xfId="0" applyBorder="1" applyFont="1"/>
    <xf borderId="31" fillId="0" fontId="20" numFmtId="1" xfId="0" applyAlignment="1" applyBorder="1" applyFont="1" applyNumberFormat="1">
      <alignment horizontal="center"/>
    </xf>
    <xf borderId="32" fillId="0" fontId="20" numFmtId="1" xfId="0" applyAlignment="1" applyBorder="1" applyFont="1" applyNumberFormat="1">
      <alignment horizontal="center"/>
    </xf>
    <xf borderId="33" fillId="0" fontId="20" numFmtId="1" xfId="0" applyAlignment="1" applyBorder="1" applyFont="1" applyNumberFormat="1">
      <alignment horizontal="center"/>
    </xf>
    <xf borderId="0" fillId="0" fontId="35" numFmtId="0" xfId="0" applyAlignment="1" applyFont="1">
      <alignment horizontal="left"/>
    </xf>
    <xf borderId="0" fillId="0" fontId="35" numFmtId="9" xfId="0" applyAlignment="1" applyFont="1" applyNumberFormat="1">
      <alignment horizontal="center"/>
    </xf>
    <xf borderId="0" fillId="0" fontId="35" numFmtId="1" xfId="0" applyAlignment="1" applyFont="1" applyNumberFormat="1">
      <alignment horizontal="center"/>
    </xf>
    <xf borderId="0" fillId="0" fontId="35" numFmtId="1" xfId="0" applyFont="1" applyNumberFormat="1"/>
    <xf borderId="0" fillId="0" fontId="29" numFmtId="1" xfId="0" applyAlignment="1" applyFont="1" applyNumberFormat="1">
      <alignment horizontal="center"/>
    </xf>
    <xf borderId="0" fillId="0" fontId="29" numFmtId="0" xfId="0" applyAlignment="1" applyFont="1">
      <alignment horizontal="left"/>
    </xf>
    <xf borderId="0" fillId="0" fontId="36" numFmtId="1" xfId="0" applyAlignment="1" applyFont="1" applyNumberFormat="1">
      <alignment horizontal="center"/>
    </xf>
    <xf borderId="0" fillId="0" fontId="19" numFmtId="0" xfId="0" applyAlignment="1" applyFont="1">
      <alignment horizontal="center" vertical="center"/>
    </xf>
    <xf borderId="11" fillId="10" fontId="21" numFmtId="0" xfId="0" applyBorder="1" applyFont="1"/>
    <xf borderId="12" fillId="10" fontId="21" numFmtId="0" xfId="0" applyAlignment="1" applyBorder="1" applyFont="1">
      <alignment horizontal="left"/>
    </xf>
    <xf borderId="12" fillId="10" fontId="21" numFmtId="9" xfId="0" applyAlignment="1" applyBorder="1" applyFont="1" applyNumberFormat="1">
      <alignment horizontal="center"/>
    </xf>
    <xf borderId="12" fillId="10" fontId="21" numFmtId="0" xfId="0" applyAlignment="1" applyBorder="1" applyFont="1">
      <alignment horizontal="center"/>
    </xf>
    <xf borderId="12" fillId="10" fontId="21" numFmtId="1" xfId="0" applyAlignment="1" applyBorder="1" applyFont="1" applyNumberFormat="1">
      <alignment horizontal="center"/>
    </xf>
    <xf borderId="13" fillId="10" fontId="21" numFmtId="1" xfId="0" applyAlignment="1" applyBorder="1" applyFont="1" applyNumberFormat="1">
      <alignment horizontal="center"/>
    </xf>
    <xf borderId="19" fillId="10" fontId="21" numFmtId="0" xfId="0" applyBorder="1" applyFont="1"/>
    <xf borderId="1" fillId="10" fontId="37" numFmtId="0" xfId="0" applyAlignment="1" applyBorder="1" applyFont="1">
      <alignment horizontal="left"/>
    </xf>
    <xf borderId="1" fillId="10" fontId="21" numFmtId="9" xfId="0" applyAlignment="1" applyBorder="1" applyFont="1" applyNumberFormat="1">
      <alignment horizontal="center"/>
    </xf>
    <xf borderId="1" fillId="10" fontId="21" numFmtId="0" xfId="0" applyAlignment="1" applyBorder="1" applyFont="1">
      <alignment horizontal="center"/>
    </xf>
    <xf borderId="1" fillId="10" fontId="21" numFmtId="1" xfId="0" applyAlignment="1" applyBorder="1" applyFont="1" applyNumberFormat="1">
      <alignment horizontal="center"/>
    </xf>
    <xf borderId="20" fillId="10" fontId="21" numFmtId="1" xfId="0" applyAlignment="1" applyBorder="1" applyFont="1" applyNumberFormat="1">
      <alignment horizontal="center"/>
    </xf>
    <xf borderId="1" fillId="10" fontId="21" numFmtId="0" xfId="0" applyAlignment="1" applyBorder="1" applyFont="1">
      <alignment horizontal="left"/>
    </xf>
    <xf borderId="11" fillId="15" fontId="20" numFmtId="0" xfId="0" applyBorder="1" applyFill="1" applyFont="1"/>
    <xf borderId="12" fillId="15" fontId="20" numFmtId="0" xfId="0" applyAlignment="1" applyBorder="1" applyFont="1">
      <alignment horizontal="left"/>
    </xf>
    <xf borderId="12" fillId="15" fontId="20" numFmtId="9" xfId="0" applyAlignment="1" applyBorder="1" applyFont="1" applyNumberFormat="1">
      <alignment horizontal="center"/>
    </xf>
    <xf borderId="12" fillId="15" fontId="20" numFmtId="0" xfId="0" applyAlignment="1" applyBorder="1" applyFont="1">
      <alignment horizontal="center"/>
    </xf>
    <xf borderId="12" fillId="15" fontId="20" numFmtId="1" xfId="0" applyAlignment="1" applyBorder="1" applyFont="1" applyNumberFormat="1">
      <alignment horizontal="center"/>
    </xf>
    <xf borderId="20" fillId="15" fontId="20" numFmtId="1" xfId="0" applyAlignment="1" applyBorder="1" applyFont="1" applyNumberFormat="1">
      <alignment horizontal="center"/>
    </xf>
    <xf borderId="19" fillId="15" fontId="20" numFmtId="0" xfId="0" applyBorder="1" applyFont="1"/>
    <xf borderId="1" fillId="15" fontId="24" numFmtId="0" xfId="0" applyAlignment="1" applyBorder="1" applyFont="1">
      <alignment horizontal="left"/>
    </xf>
    <xf borderId="1" fillId="15" fontId="20" numFmtId="9" xfId="0" applyAlignment="1" applyBorder="1" applyFont="1" applyNumberFormat="1">
      <alignment horizontal="center"/>
    </xf>
    <xf borderId="1" fillId="15" fontId="20" numFmtId="0" xfId="0" applyAlignment="1" applyBorder="1" applyFont="1">
      <alignment horizontal="center"/>
    </xf>
    <xf borderId="1" fillId="15" fontId="20" numFmtId="1" xfId="0" applyAlignment="1" applyBorder="1" applyFont="1" applyNumberFormat="1">
      <alignment horizontal="center"/>
    </xf>
    <xf borderId="22" fillId="0" fontId="34" numFmtId="1" xfId="0" applyAlignment="1" applyBorder="1" applyFont="1" applyNumberFormat="1">
      <alignment horizontal="center"/>
    </xf>
    <xf borderId="34" fillId="0" fontId="20" numFmtId="0" xfId="0" applyBorder="1" applyFont="1"/>
    <xf borderId="35" fillId="0" fontId="20" numFmtId="0" xfId="0" applyAlignment="1" applyBorder="1" applyFont="1">
      <alignment horizontal="left"/>
    </xf>
    <xf borderId="35" fillId="0" fontId="20" numFmtId="9" xfId="0" applyAlignment="1" applyBorder="1" applyFont="1" applyNumberFormat="1">
      <alignment horizontal="center"/>
    </xf>
    <xf borderId="35" fillId="0" fontId="20" numFmtId="0" xfId="0" applyAlignment="1" applyBorder="1" applyFont="1">
      <alignment horizontal="center"/>
    </xf>
    <xf borderId="35" fillId="0" fontId="20" numFmtId="1" xfId="0" applyAlignment="1" applyBorder="1" applyFont="1" applyNumberFormat="1">
      <alignment horizontal="center"/>
    </xf>
    <xf borderId="36" fillId="0" fontId="20" numFmtId="1" xfId="0" applyAlignment="1" applyBorder="1" applyFont="1" applyNumberFormat="1">
      <alignment horizontal="center"/>
    </xf>
    <xf borderId="19" fillId="16" fontId="20" numFmtId="0" xfId="0" applyBorder="1" applyFill="1" applyFont="1"/>
    <xf borderId="1" fillId="16" fontId="20" numFmtId="0" xfId="0" applyAlignment="1" applyBorder="1" applyFont="1">
      <alignment horizontal="left"/>
    </xf>
    <xf borderId="1" fillId="16" fontId="20" numFmtId="9" xfId="0" applyAlignment="1" applyBorder="1" applyFont="1" applyNumberFormat="1">
      <alignment horizontal="center"/>
    </xf>
    <xf borderId="1" fillId="16" fontId="20" numFmtId="0" xfId="0" applyAlignment="1" applyBorder="1" applyFont="1">
      <alignment horizontal="center"/>
    </xf>
    <xf borderId="1" fillId="16" fontId="20" numFmtId="1" xfId="0" applyAlignment="1" applyBorder="1" applyFont="1" applyNumberFormat="1">
      <alignment horizontal="center"/>
    </xf>
    <xf borderId="20" fillId="16" fontId="20" numFmtId="1" xfId="0" applyAlignment="1" applyBorder="1" applyFont="1" applyNumberFormat="1">
      <alignment horizontal="center"/>
    </xf>
    <xf borderId="1" fillId="16" fontId="26" numFmtId="0" xfId="0" applyAlignment="1" applyBorder="1" applyFont="1">
      <alignment horizontal="left"/>
    </xf>
    <xf borderId="1" fillId="9" fontId="20" numFmtId="49" xfId="0" applyAlignment="1" applyBorder="1" applyFont="1" applyNumberFormat="1">
      <alignment horizontal="center"/>
    </xf>
    <xf borderId="20" fillId="9" fontId="20" numFmtId="0" xfId="0" applyAlignment="1" applyBorder="1" applyFont="1">
      <alignment horizontal="center"/>
    </xf>
    <xf borderId="1" fillId="13" fontId="34" numFmtId="0" xfId="0" applyAlignment="1" applyBorder="1" applyFont="1">
      <alignment horizontal="left"/>
    </xf>
    <xf borderId="29" fillId="0" fontId="35" numFmtId="1" xfId="0" applyAlignment="1" applyBorder="1" applyFont="1" applyNumberFormat="1">
      <alignment horizontal="center"/>
    </xf>
    <xf borderId="30" fillId="0" fontId="35" numFmtId="1" xfId="0" applyAlignment="1" applyBorder="1" applyFont="1" applyNumberFormat="1">
      <alignment horizontal="center"/>
    </xf>
    <xf borderId="0" fillId="0" fontId="3" numFmtId="0" xfId="0" applyAlignment="1" applyFont="1">
      <alignment horizontal="center"/>
    </xf>
    <xf borderId="0" fillId="0" fontId="36" numFmtId="0" xfId="0" applyAlignment="1" applyFont="1">
      <alignment horizontal="left"/>
    </xf>
    <xf borderId="0" fillId="0" fontId="20" numFmtId="49" xfId="0" applyAlignment="1" applyFont="1" applyNumberFormat="1">
      <alignment horizontal="center"/>
    </xf>
    <xf borderId="17" fillId="0" fontId="20" numFmtId="49" xfId="0" applyAlignment="1" applyBorder="1" applyFont="1" applyNumberFormat="1">
      <alignment horizontal="center"/>
    </xf>
    <xf borderId="0" fillId="0" fontId="28" numFmtId="49" xfId="0" applyAlignment="1" applyFont="1" applyNumberFormat="1">
      <alignment horizontal="center"/>
    </xf>
    <xf borderId="1" fillId="11" fontId="20" numFmtId="49" xfId="0" applyAlignment="1" applyBorder="1" applyFont="1" applyNumberFormat="1">
      <alignment horizontal="center"/>
    </xf>
    <xf borderId="1" fillId="13" fontId="20" numFmtId="49" xfId="0" applyAlignment="1" applyBorder="1" applyFont="1" applyNumberFormat="1">
      <alignment horizontal="center"/>
    </xf>
    <xf borderId="35" fillId="0" fontId="20" numFmtId="0" xfId="0" applyAlignment="1" applyBorder="1" applyFont="1">
      <alignment horizontal="center" vertical="center"/>
    </xf>
    <xf borderId="35" fillId="0" fontId="7" numFmtId="0" xfId="0" applyBorder="1" applyFont="1"/>
    <xf borderId="0" fillId="0" fontId="35" numFmtId="49" xfId="0" applyAlignment="1" applyFont="1" applyNumberFormat="1">
      <alignment horizontal="center"/>
    </xf>
    <xf borderId="0" fillId="0" fontId="35" numFmtId="0" xfId="0" applyAlignment="1" applyFont="1">
      <alignment horizontal="center"/>
    </xf>
    <xf borderId="0" fillId="0" fontId="1" numFmtId="49" xfId="0" applyAlignment="1" applyFont="1" applyNumberFormat="1">
      <alignment horizontal="center"/>
    </xf>
    <xf borderId="0" fillId="0" fontId="29" numFmtId="49" xfId="0" applyAlignment="1" applyFont="1" applyNumberFormat="1">
      <alignment horizontal="center"/>
    </xf>
    <xf borderId="0" fillId="0" fontId="1" numFmtId="2" xfId="0" applyAlignment="1" applyFont="1" applyNumberFormat="1">
      <alignment horizontal="center"/>
    </xf>
    <xf borderId="0" fillId="0" fontId="1" numFmtId="164" xfId="0" applyAlignment="1" applyFont="1" applyNumberFormat="1">
      <alignment horizontal="center"/>
    </xf>
    <xf borderId="16" fillId="0" fontId="20" numFmtId="0" xfId="0" applyAlignment="1" applyBorder="1" applyFont="1">
      <alignment horizontal="center"/>
    </xf>
    <xf borderId="21" fillId="0" fontId="20" numFmtId="0" xfId="0" applyAlignment="1" applyBorder="1" applyFont="1">
      <alignment horizontal="center"/>
    </xf>
    <xf borderId="23" fillId="0" fontId="20" numFmtId="0" xfId="0" applyAlignment="1" applyBorder="1" applyFont="1">
      <alignment horizontal="center"/>
    </xf>
    <xf borderId="0" fillId="0" fontId="29" numFmtId="2" xfId="0" applyAlignment="1" applyFont="1" applyNumberFormat="1">
      <alignment horizontal="left"/>
    </xf>
    <xf borderId="0" fillId="0" fontId="29" numFmtId="1" xfId="0" applyFont="1" applyNumberFormat="1"/>
    <xf borderId="0" fillId="0" fontId="38" numFmtId="1" xfId="0" applyAlignment="1" applyFont="1" applyNumberFormat="1">
      <alignment horizontal="center"/>
    </xf>
    <xf borderId="0" fillId="0" fontId="39" numFmtId="1" xfId="0" applyAlignment="1" applyFont="1" applyNumberFormat="1">
      <alignment horizontal="center"/>
    </xf>
    <xf borderId="0" fillId="0" fontId="17" numFmtId="164" xfId="0" applyAlignment="1" applyFont="1" applyNumberFormat="1">
      <alignment horizontal="center"/>
    </xf>
    <xf borderId="0" fillId="0" fontId="17" numFmtId="2" xfId="0" applyAlignment="1" applyFont="1" applyNumberFormat="1">
      <alignment horizontal="center"/>
    </xf>
    <xf borderId="0" fillId="0" fontId="38" numFmtId="0" xfId="0" applyAlignment="1" applyFont="1">
      <alignment horizontal="center"/>
    </xf>
    <xf borderId="0" fillId="0" fontId="38" numFmtId="1" xfId="0" applyFont="1" applyNumberFormat="1"/>
    <xf borderId="24" fillId="0" fontId="20" numFmtId="164" xfId="0" applyAlignment="1" applyBorder="1" applyFont="1" applyNumberFormat="1">
      <alignment horizontal="center"/>
    </xf>
    <xf borderId="25" fillId="0" fontId="20" numFmtId="164" xfId="0" applyAlignment="1" applyBorder="1" applyFont="1" applyNumberFormat="1">
      <alignment horizontal="center"/>
    </xf>
    <xf borderId="16" fillId="0" fontId="19" numFmtId="0" xfId="0" applyBorder="1" applyFont="1"/>
    <xf borderId="17" fillId="0" fontId="19" numFmtId="0" xfId="0" applyAlignment="1" applyBorder="1" applyFont="1">
      <alignment horizontal="center"/>
    </xf>
    <xf borderId="18" fillId="0" fontId="19" numFmtId="0" xfId="0" applyAlignment="1" applyBorder="1" applyFont="1">
      <alignment horizontal="center"/>
    </xf>
    <xf borderId="0" fillId="0" fontId="20" numFmtId="164" xfId="0" applyAlignment="1" applyFont="1" applyNumberFormat="1">
      <alignment horizontal="center"/>
    </xf>
    <xf borderId="22" fillId="0" fontId="20" numFmtId="164"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Peparatory Period I</a:t>
            </a:r>
          </a:p>
        </c:rich>
      </c:tx>
      <c:overlay val="0"/>
    </c:title>
    <c:plotArea>
      <c:layout>
        <c:manualLayout>
          <c:xMode val="edge"/>
          <c:yMode val="edge"/>
          <c:x val="0.261089404778504"/>
          <c:y val="0.200971976727727"/>
          <c:w val="0.5896296202784901"/>
          <c:h val="0.576176770554695"/>
        </c:manualLayout>
      </c:layout>
      <c:lineChart>
        <c:ser>
          <c:idx val="0"/>
          <c:order val="0"/>
          <c:tx>
            <c:v>Week</c:v>
          </c:tx>
          <c:marker>
            <c:symbol val="none"/>
          </c:marker>
          <c:val>
            <c:numRef>
              <c:f>'Nuts &amp; Bolts'!$B$8:$B$11</c:f>
              <c:numCache/>
            </c:numRef>
          </c:val>
          <c:smooth val="0"/>
        </c:ser>
        <c:ser>
          <c:idx val="1"/>
          <c:order val="1"/>
          <c:tx>
            <c:v>NL</c:v>
          </c:tx>
          <c:marker>
            <c:symbol val="none"/>
          </c:marker>
          <c:val>
            <c:numRef>
              <c:f>'Nuts &amp; Bolts'!$F$8:$F$11</c:f>
              <c:numCache/>
            </c:numRef>
          </c:val>
          <c:smooth val="0"/>
        </c:ser>
        <c:axId val="106745962"/>
        <c:axId val="282051292"/>
      </c:lineChart>
      <c:catAx>
        <c:axId val="1067459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282051292"/>
      </c:catAx>
      <c:valAx>
        <c:axId val="2820512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tickLblPos val="nextTo"/>
        <c:spPr>
          <a:ln/>
        </c:spPr>
        <c:txPr>
          <a:bodyPr/>
          <a:lstStyle/>
          <a:p>
            <a:pPr lvl="0">
              <a:defRPr b="0" i="0" sz="1000">
                <a:solidFill>
                  <a:srgbClr val="000000"/>
                </a:solidFill>
                <a:latin typeface="Roboto"/>
              </a:defRPr>
            </a:pPr>
          </a:p>
        </c:txPr>
        <c:crossAx val="106745962"/>
      </c:valAx>
      <c:spPr>
        <a:solidFill>
          <a:srgbClr val="FFFFFF"/>
        </a:solidFill>
      </c:spPr>
    </c:plotArea>
    <c:legend>
      <c:legendPos val="r"/>
      <c:overlay val="0"/>
      <c:txPr>
        <a:bodyPr/>
        <a:lstStyle/>
        <a:p>
          <a:pPr lvl="0">
            <a:defRPr b="0" i="0" sz="1000">
              <a:solidFill>
                <a:srgbClr val="222222"/>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Squat I </a:t>
            </a:r>
          </a:p>
        </c:rich>
      </c:tx>
      <c:overlay val="0"/>
    </c:title>
    <c:plotArea>
      <c:layout/>
      <c:lineChart>
        <c:ser>
          <c:idx val="0"/>
          <c:order val="0"/>
          <c:tx>
            <c:v>50-59</c:v>
          </c:tx>
          <c:marker>
            <c:symbol val="none"/>
          </c:marker>
          <c:val>
            <c:numRef>
              <c:f>'Nuts &amp; Bolts'!$C$47:$F$47</c:f>
              <c:numCache/>
            </c:numRef>
          </c:val>
          <c:smooth val="0"/>
        </c:ser>
        <c:ser>
          <c:idx val="1"/>
          <c:order val="1"/>
          <c:tx>
            <c:v>60-69</c:v>
          </c:tx>
          <c:marker>
            <c:symbol val="none"/>
          </c:marker>
          <c:val>
            <c:numRef>
              <c:f>'Nuts &amp; Bolts'!$C$48:$F$48</c:f>
              <c:numCache/>
            </c:numRef>
          </c:val>
          <c:smooth val="0"/>
        </c:ser>
        <c:ser>
          <c:idx val="2"/>
          <c:order val="2"/>
          <c:tx>
            <c:v>70-79</c:v>
          </c:tx>
          <c:marker>
            <c:symbol val="none"/>
          </c:marker>
          <c:val>
            <c:numRef>
              <c:f>'Nuts &amp; Bolts'!$C$49:$F$49</c:f>
              <c:numCache/>
            </c:numRef>
          </c:val>
          <c:smooth val="0"/>
        </c:ser>
        <c:ser>
          <c:idx val="3"/>
          <c:order val="3"/>
          <c:tx>
            <c:v>80-89</c:v>
          </c:tx>
          <c:marker>
            <c:symbol val="none"/>
          </c:marker>
          <c:val>
            <c:numRef>
              <c:f>'Nuts &amp; Bolts'!$C$50:$F$50</c:f>
              <c:numCache/>
            </c:numRef>
          </c:val>
          <c:smooth val="0"/>
        </c:ser>
        <c:ser>
          <c:idx val="4"/>
          <c:order val="4"/>
          <c:tx>
            <c:v>90+</c:v>
          </c:tx>
          <c:marker>
            <c:symbol val="none"/>
          </c:marker>
          <c:val>
            <c:numRef>
              <c:f>'Nuts &amp; Bolts'!$C$51:$F$51</c:f>
              <c:numCache/>
            </c:numRef>
          </c:val>
          <c:smooth val="0"/>
        </c:ser>
        <c:axId val="2122587431"/>
        <c:axId val="918573194"/>
      </c:lineChart>
      <c:catAx>
        <c:axId val="2122587431"/>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918573194"/>
      </c:catAx>
      <c:valAx>
        <c:axId val="9185731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2122587431"/>
      </c:valAx>
      <c:spPr>
        <a:solidFill>
          <a:srgbClr val="FFFFFF"/>
        </a:solidFill>
      </c:spPr>
    </c:plotArea>
    <c:legend>
      <c:legendPos val="r"/>
      <c:overlay val="0"/>
      <c:txPr>
        <a:bodyPr/>
        <a:lstStyle/>
        <a:p>
          <a:pPr lvl="0">
            <a:defRPr b="0" i="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Bench I</a:t>
            </a:r>
          </a:p>
        </c:rich>
      </c:tx>
      <c:overlay val="0"/>
    </c:title>
    <c:plotArea>
      <c:layout/>
      <c:lineChart>
        <c:ser>
          <c:idx val="0"/>
          <c:order val="0"/>
          <c:tx>
            <c:v>50-59</c:v>
          </c:tx>
          <c:marker>
            <c:symbol val="none"/>
          </c:marker>
          <c:cat>
            <c:strRef>
              <c:f>'Nuts &amp; Bolts'!$C$90:$F$90</c:f>
            </c:strRef>
          </c:cat>
          <c:val>
            <c:numRef>
              <c:f>'Nuts &amp; Bolts'!$C$91:$F$91</c:f>
              <c:numCache/>
            </c:numRef>
          </c:val>
          <c:smooth val="0"/>
        </c:ser>
        <c:ser>
          <c:idx val="1"/>
          <c:order val="1"/>
          <c:tx>
            <c:v>60-69</c:v>
          </c:tx>
          <c:marker>
            <c:symbol val="none"/>
          </c:marker>
          <c:cat>
            <c:strRef>
              <c:f>'Nuts &amp; Bolts'!$C$90:$F$90</c:f>
            </c:strRef>
          </c:cat>
          <c:val>
            <c:numRef>
              <c:f>'Nuts &amp; Bolts'!$C$92:$F$92</c:f>
              <c:numCache/>
            </c:numRef>
          </c:val>
          <c:smooth val="0"/>
        </c:ser>
        <c:ser>
          <c:idx val="2"/>
          <c:order val="2"/>
          <c:tx>
            <c:v>70-79</c:v>
          </c:tx>
          <c:marker>
            <c:symbol val="none"/>
          </c:marker>
          <c:cat>
            <c:strRef>
              <c:f>'Nuts &amp; Bolts'!$C$90:$F$90</c:f>
            </c:strRef>
          </c:cat>
          <c:val>
            <c:numRef>
              <c:f>'Nuts &amp; Bolts'!$C$93:$F$93</c:f>
              <c:numCache/>
            </c:numRef>
          </c:val>
          <c:smooth val="0"/>
        </c:ser>
        <c:ser>
          <c:idx val="3"/>
          <c:order val="3"/>
          <c:tx>
            <c:v>80-89</c:v>
          </c:tx>
          <c:marker>
            <c:symbol val="none"/>
          </c:marker>
          <c:cat>
            <c:strRef>
              <c:f>'Nuts &amp; Bolts'!$C$90:$F$90</c:f>
            </c:strRef>
          </c:cat>
          <c:val>
            <c:numRef>
              <c:f>'Nuts &amp; Bolts'!$C$94:$F$94</c:f>
              <c:numCache/>
            </c:numRef>
          </c:val>
          <c:smooth val="0"/>
        </c:ser>
        <c:ser>
          <c:idx val="4"/>
          <c:order val="4"/>
          <c:tx>
            <c:v>90+</c:v>
          </c:tx>
          <c:marker>
            <c:symbol val="none"/>
          </c:marker>
          <c:cat>
            <c:strRef>
              <c:f>'Nuts &amp; Bolts'!$C$90:$F$90</c:f>
            </c:strRef>
          </c:cat>
          <c:val>
            <c:numRef>
              <c:f>'Nuts &amp; Bolts'!$C$95:$F$95</c:f>
              <c:numCache/>
            </c:numRef>
          </c:val>
          <c:smooth val="0"/>
        </c:ser>
        <c:axId val="525965996"/>
        <c:axId val="1425197347"/>
      </c:lineChart>
      <c:catAx>
        <c:axId val="525965996"/>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1425197347"/>
      </c:catAx>
      <c:valAx>
        <c:axId val="1425197347"/>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525965996"/>
      </c:valAx>
      <c:spPr>
        <a:solidFill>
          <a:srgbClr val="FFFFFF"/>
        </a:solidFill>
      </c:spPr>
    </c:plotArea>
    <c:legend>
      <c:legendPos val="r"/>
      <c:overlay val="0"/>
      <c:txPr>
        <a:bodyPr/>
        <a:lstStyle/>
        <a:p>
          <a:pPr lvl="0">
            <a:defRPr b="0" i="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Deadlift I</a:t>
            </a:r>
          </a:p>
        </c:rich>
      </c:tx>
      <c:overlay val="0"/>
    </c:title>
    <c:plotArea>
      <c:layout/>
      <c:lineChart>
        <c:ser>
          <c:idx val="0"/>
          <c:order val="0"/>
          <c:tx>
            <c:v>50-59</c:v>
          </c:tx>
          <c:marker>
            <c:symbol val="none"/>
          </c:marker>
          <c:cat>
            <c:strRef>
              <c:f>'Nuts &amp; Bolts'!$C$134:$F$134</c:f>
            </c:strRef>
          </c:cat>
          <c:val>
            <c:numRef>
              <c:f>'Nuts &amp; Bolts'!$C$135:$F$135</c:f>
              <c:numCache/>
            </c:numRef>
          </c:val>
          <c:smooth val="0"/>
        </c:ser>
        <c:ser>
          <c:idx val="1"/>
          <c:order val="1"/>
          <c:tx>
            <c:v>60-69</c:v>
          </c:tx>
          <c:marker>
            <c:symbol val="none"/>
          </c:marker>
          <c:cat>
            <c:strRef>
              <c:f>'Nuts &amp; Bolts'!$C$134:$F$134</c:f>
            </c:strRef>
          </c:cat>
          <c:val>
            <c:numRef>
              <c:f>'Nuts &amp; Bolts'!$C$136:$F$136</c:f>
              <c:numCache/>
            </c:numRef>
          </c:val>
          <c:smooth val="0"/>
        </c:ser>
        <c:ser>
          <c:idx val="2"/>
          <c:order val="2"/>
          <c:tx>
            <c:v>70-79</c:v>
          </c:tx>
          <c:marker>
            <c:symbol val="none"/>
          </c:marker>
          <c:cat>
            <c:strRef>
              <c:f>'Nuts &amp; Bolts'!$C$134:$F$134</c:f>
            </c:strRef>
          </c:cat>
          <c:val>
            <c:numRef>
              <c:f>'Nuts &amp; Bolts'!$C$137:$F$137</c:f>
              <c:numCache/>
            </c:numRef>
          </c:val>
          <c:smooth val="0"/>
        </c:ser>
        <c:ser>
          <c:idx val="3"/>
          <c:order val="3"/>
          <c:tx>
            <c:v>80-89</c:v>
          </c:tx>
          <c:marker>
            <c:symbol val="none"/>
          </c:marker>
          <c:cat>
            <c:strRef>
              <c:f>'Nuts &amp; Bolts'!$C$134:$F$134</c:f>
            </c:strRef>
          </c:cat>
          <c:val>
            <c:numRef>
              <c:f>'Nuts &amp; Bolts'!$C$138:$F$138</c:f>
              <c:numCache/>
            </c:numRef>
          </c:val>
          <c:smooth val="0"/>
        </c:ser>
        <c:ser>
          <c:idx val="4"/>
          <c:order val="4"/>
          <c:tx>
            <c:v>90+</c:v>
          </c:tx>
          <c:marker>
            <c:symbol val="none"/>
          </c:marker>
          <c:cat>
            <c:strRef>
              <c:f>'Nuts &amp; Bolts'!$C$134:$F$134</c:f>
            </c:strRef>
          </c:cat>
          <c:val>
            <c:numRef>
              <c:f>'Nuts &amp; Bolts'!$C$139:$F$139</c:f>
              <c:numCache/>
            </c:numRef>
          </c:val>
          <c:smooth val="0"/>
        </c:ser>
        <c:axId val="1770282232"/>
        <c:axId val="446010997"/>
      </c:lineChart>
      <c:catAx>
        <c:axId val="1770282232"/>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446010997"/>
      </c:catAx>
      <c:valAx>
        <c:axId val="446010997"/>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770282232"/>
      </c:valAx>
      <c:spPr>
        <a:solidFill>
          <a:srgbClr val="FFFFFF"/>
        </a:solidFill>
      </c:spPr>
    </c:plotArea>
    <c:legend>
      <c:legendPos val="r"/>
      <c:overlay val="0"/>
      <c:txPr>
        <a:bodyPr/>
        <a:lstStyle/>
        <a:p>
          <a:pPr lvl="0">
            <a:defRPr b="0" i="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Lift Distribution (4 day #1)</a:t>
            </a:r>
          </a:p>
        </c:rich>
      </c:tx>
      <c:overlay val="0"/>
    </c:title>
    <c:plotArea>
      <c:layout/>
      <c:lineChart>
        <c:ser>
          <c:idx val="0"/>
          <c:order val="0"/>
          <c:tx>
            <c:v>Squat</c:v>
          </c:tx>
          <c:marker>
            <c:symbol val="none"/>
          </c:marker>
          <c:cat>
            <c:strRef>
              <c:f>'Nuts &amp; Bolts'!$C$178:$F$178</c:f>
            </c:strRef>
          </c:cat>
          <c:val>
            <c:numRef>
              <c:f>'Nuts &amp; Bolts'!$C$179:$F$179</c:f>
              <c:numCache/>
            </c:numRef>
          </c:val>
          <c:smooth val="0"/>
        </c:ser>
        <c:ser>
          <c:idx val="1"/>
          <c:order val="1"/>
          <c:tx>
            <c:v>Deadlift</c:v>
          </c:tx>
          <c:marker>
            <c:symbol val="none"/>
          </c:marker>
          <c:cat>
            <c:strRef>
              <c:f>'Nuts &amp; Bolts'!$C$178:$F$178</c:f>
            </c:strRef>
          </c:cat>
          <c:val>
            <c:numRef>
              <c:f>'Nuts &amp; Bolts'!$C$181:$F$181</c:f>
              <c:numCache/>
            </c:numRef>
          </c:val>
          <c:smooth val="0"/>
        </c:ser>
        <c:ser>
          <c:idx val="2"/>
          <c:order val="2"/>
          <c:tx>
            <c:v>Bench</c:v>
          </c:tx>
          <c:marker>
            <c:symbol val="none"/>
          </c:marker>
          <c:cat>
            <c:strRef>
              <c:f>'Nuts &amp; Bolts'!$C$178:$F$178</c:f>
            </c:strRef>
          </c:cat>
          <c:val>
            <c:numRef>
              <c:f>'Nuts &amp; Bolts'!$C$180:$F$180</c:f>
              <c:numCache/>
            </c:numRef>
          </c:val>
          <c:smooth val="0"/>
        </c:ser>
        <c:axId val="2065622957"/>
        <c:axId val="2001795933"/>
      </c:lineChart>
      <c:catAx>
        <c:axId val="2065622957"/>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2001795933"/>
      </c:catAx>
      <c:valAx>
        <c:axId val="20017959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 Total 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2065622957"/>
      </c:valAx>
      <c:spPr>
        <a:solidFill>
          <a:srgbClr val="FFFFFF"/>
        </a:solidFill>
      </c:spPr>
    </c:plotArea>
    <c:legend>
      <c:legendPos val="r"/>
      <c:overlay val="0"/>
      <c:txPr>
        <a:bodyPr/>
        <a:lstStyle/>
        <a:p>
          <a:pPr lvl="0">
            <a:defRPr b="0" i="0" sz="1000">
              <a:solidFill>
                <a:srgbClr val="222222"/>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Peparatory Period II</a:t>
            </a:r>
          </a:p>
        </c:rich>
      </c:tx>
      <c:overlay val="0"/>
    </c:title>
    <c:plotArea>
      <c:layout>
        <c:manualLayout>
          <c:xMode val="edge"/>
          <c:yMode val="edge"/>
          <c:x val="0.131623932599488"/>
          <c:y val="0.203737646132237"/>
          <c:w val="0.74899708866558"/>
          <c:h val="0.573411101150185"/>
        </c:manualLayout>
      </c:layout>
      <c:lineChart>
        <c:ser>
          <c:idx val="0"/>
          <c:order val="0"/>
          <c:tx>
            <c:v>Week</c:v>
          </c:tx>
          <c:marker>
            <c:symbol val="none"/>
          </c:marker>
          <c:val>
            <c:numRef>
              <c:f>'Nuts &amp; Bolts'!$B$16:$B$21</c:f>
              <c:numCache/>
            </c:numRef>
          </c:val>
          <c:smooth val="0"/>
        </c:ser>
        <c:ser>
          <c:idx val="1"/>
          <c:order val="1"/>
          <c:tx>
            <c:v>NL</c:v>
          </c:tx>
          <c:marker>
            <c:symbol val="none"/>
          </c:marker>
          <c:val>
            <c:numRef>
              <c:f>'Nuts &amp; Bolts'!$F$16:$F$21</c:f>
              <c:numCache/>
            </c:numRef>
          </c:val>
          <c:smooth val="0"/>
        </c:ser>
        <c:axId val="1468717453"/>
        <c:axId val="571580943"/>
      </c:lineChart>
      <c:catAx>
        <c:axId val="14687174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571580943"/>
      </c:catAx>
      <c:valAx>
        <c:axId val="5715809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tickLblPos val="nextTo"/>
        <c:spPr>
          <a:ln/>
        </c:spPr>
        <c:txPr>
          <a:bodyPr/>
          <a:lstStyle/>
          <a:p>
            <a:pPr lvl="0">
              <a:defRPr b="0" i="0" sz="1000">
                <a:solidFill>
                  <a:srgbClr val="000000"/>
                </a:solidFill>
                <a:latin typeface="Roboto"/>
              </a:defRPr>
            </a:pPr>
          </a:p>
        </c:txPr>
        <c:crossAx val="1468717453"/>
      </c:valAx>
      <c:spPr>
        <a:solidFill>
          <a:srgbClr val="FFFFFF"/>
        </a:solidFill>
      </c:spPr>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Squat II</a:t>
            </a:r>
          </a:p>
        </c:rich>
      </c:tx>
      <c:overlay val="0"/>
    </c:title>
    <c:plotArea>
      <c:layout/>
      <c:lineChart>
        <c:ser>
          <c:idx val="0"/>
          <c:order val="0"/>
          <c:tx>
            <c:v>50-59</c:v>
          </c:tx>
          <c:marker>
            <c:symbol val="none"/>
          </c:marker>
          <c:cat>
            <c:strRef>
              <c:f>'Nuts &amp; Bolts'!$C$56:$H$56</c:f>
            </c:strRef>
          </c:cat>
          <c:val>
            <c:numRef>
              <c:f>'Nuts &amp; Bolts'!$C$57:$H$57</c:f>
              <c:numCache/>
            </c:numRef>
          </c:val>
          <c:smooth val="0"/>
        </c:ser>
        <c:ser>
          <c:idx val="1"/>
          <c:order val="1"/>
          <c:tx>
            <c:v>60-69</c:v>
          </c:tx>
          <c:marker>
            <c:symbol val="none"/>
          </c:marker>
          <c:cat>
            <c:strRef>
              <c:f>'Nuts &amp; Bolts'!$C$56:$H$56</c:f>
            </c:strRef>
          </c:cat>
          <c:val>
            <c:numRef>
              <c:f>'Nuts &amp; Bolts'!$C$58:$H$58</c:f>
              <c:numCache/>
            </c:numRef>
          </c:val>
          <c:smooth val="0"/>
        </c:ser>
        <c:ser>
          <c:idx val="2"/>
          <c:order val="2"/>
          <c:tx>
            <c:v>70-79</c:v>
          </c:tx>
          <c:marker>
            <c:symbol val="none"/>
          </c:marker>
          <c:cat>
            <c:strRef>
              <c:f>'Nuts &amp; Bolts'!$C$56:$H$56</c:f>
            </c:strRef>
          </c:cat>
          <c:val>
            <c:numRef>
              <c:f>'Nuts &amp; Bolts'!$C$59:$H$59</c:f>
              <c:numCache/>
            </c:numRef>
          </c:val>
          <c:smooth val="0"/>
        </c:ser>
        <c:ser>
          <c:idx val="3"/>
          <c:order val="3"/>
          <c:tx>
            <c:v>80-89</c:v>
          </c:tx>
          <c:marker>
            <c:symbol val="none"/>
          </c:marker>
          <c:cat>
            <c:strRef>
              <c:f>'Nuts &amp; Bolts'!$C$56:$H$56</c:f>
            </c:strRef>
          </c:cat>
          <c:val>
            <c:numRef>
              <c:f>'Nuts &amp; Bolts'!$C$60:$H$60</c:f>
              <c:numCache/>
            </c:numRef>
          </c:val>
          <c:smooth val="0"/>
        </c:ser>
        <c:ser>
          <c:idx val="4"/>
          <c:order val="4"/>
          <c:tx>
            <c:v>90+</c:v>
          </c:tx>
          <c:marker>
            <c:symbol val="none"/>
          </c:marker>
          <c:cat>
            <c:strRef>
              <c:f>'Nuts &amp; Bolts'!$C$56:$H$56</c:f>
            </c:strRef>
          </c:cat>
          <c:val>
            <c:numRef>
              <c:f>'Nuts &amp; Bolts'!$C$61:$H$61</c:f>
              <c:numCache/>
            </c:numRef>
          </c:val>
          <c:smooth val="0"/>
        </c:ser>
        <c:axId val="1783115519"/>
        <c:axId val="728850671"/>
      </c:lineChart>
      <c:catAx>
        <c:axId val="1783115519"/>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728850671"/>
      </c:catAx>
      <c:valAx>
        <c:axId val="7288506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783115519"/>
      </c:valAx>
      <c:spPr>
        <a:solidFill>
          <a:srgbClr val="FFFFFF"/>
        </a:solidFill>
      </c:spPr>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Bench II</a:t>
            </a:r>
          </a:p>
        </c:rich>
      </c:tx>
      <c:overlay val="0"/>
    </c:title>
    <c:plotArea>
      <c:layout/>
      <c:lineChart>
        <c:ser>
          <c:idx val="0"/>
          <c:order val="0"/>
          <c:tx>
            <c:v>50-59</c:v>
          </c:tx>
          <c:marker>
            <c:symbol val="none"/>
          </c:marker>
          <c:cat>
            <c:strRef>
              <c:f>'Nuts &amp; Bolts'!$C$100:$H$100</c:f>
            </c:strRef>
          </c:cat>
          <c:val>
            <c:numRef>
              <c:f>'Nuts &amp; Bolts'!$C$101:$H$101</c:f>
              <c:numCache/>
            </c:numRef>
          </c:val>
          <c:smooth val="0"/>
        </c:ser>
        <c:ser>
          <c:idx val="1"/>
          <c:order val="1"/>
          <c:tx>
            <c:v>60-69</c:v>
          </c:tx>
          <c:marker>
            <c:symbol val="none"/>
          </c:marker>
          <c:cat>
            <c:strRef>
              <c:f>'Nuts &amp; Bolts'!$C$100:$H$100</c:f>
            </c:strRef>
          </c:cat>
          <c:val>
            <c:numRef>
              <c:f>'Nuts &amp; Bolts'!$C$102:$H$102</c:f>
              <c:numCache/>
            </c:numRef>
          </c:val>
          <c:smooth val="0"/>
        </c:ser>
        <c:ser>
          <c:idx val="2"/>
          <c:order val="2"/>
          <c:tx>
            <c:v>70-79</c:v>
          </c:tx>
          <c:marker>
            <c:symbol val="none"/>
          </c:marker>
          <c:cat>
            <c:strRef>
              <c:f>'Nuts &amp; Bolts'!$C$100:$H$100</c:f>
            </c:strRef>
          </c:cat>
          <c:val>
            <c:numRef>
              <c:f>'Nuts &amp; Bolts'!$C$103:$H$103</c:f>
              <c:numCache/>
            </c:numRef>
          </c:val>
          <c:smooth val="0"/>
        </c:ser>
        <c:ser>
          <c:idx val="3"/>
          <c:order val="3"/>
          <c:tx>
            <c:v>80-89</c:v>
          </c:tx>
          <c:marker>
            <c:symbol val="none"/>
          </c:marker>
          <c:cat>
            <c:strRef>
              <c:f>'Nuts &amp; Bolts'!$C$100:$H$100</c:f>
            </c:strRef>
          </c:cat>
          <c:val>
            <c:numRef>
              <c:f>'Nuts &amp; Bolts'!$C$104:$H$104</c:f>
              <c:numCache/>
            </c:numRef>
          </c:val>
          <c:smooth val="0"/>
        </c:ser>
        <c:ser>
          <c:idx val="4"/>
          <c:order val="4"/>
          <c:tx>
            <c:v>90+</c:v>
          </c:tx>
          <c:marker>
            <c:symbol val="none"/>
          </c:marker>
          <c:cat>
            <c:strRef>
              <c:f>'Nuts &amp; Bolts'!$C$100:$H$100</c:f>
            </c:strRef>
          </c:cat>
          <c:val>
            <c:numRef>
              <c:f>'Nuts &amp; Bolts'!$C$105:$H$105</c:f>
              <c:numCache/>
            </c:numRef>
          </c:val>
          <c:smooth val="0"/>
        </c:ser>
        <c:axId val="1154728037"/>
        <c:axId val="1235659403"/>
      </c:lineChart>
      <c:catAx>
        <c:axId val="1154728037"/>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1235659403"/>
      </c:catAx>
      <c:valAx>
        <c:axId val="1235659403"/>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154728037"/>
      </c:valAx>
      <c:spPr>
        <a:solidFill>
          <a:srgbClr val="FFFFFF"/>
        </a:solidFill>
      </c:spPr>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Deadlift II</a:t>
            </a:r>
          </a:p>
        </c:rich>
      </c:tx>
      <c:overlay val="0"/>
    </c:title>
    <c:plotArea>
      <c:layout/>
      <c:lineChart>
        <c:ser>
          <c:idx val="0"/>
          <c:order val="0"/>
          <c:tx>
            <c:v>50-59</c:v>
          </c:tx>
          <c:marker>
            <c:symbol val="none"/>
          </c:marker>
          <c:cat>
            <c:strRef>
              <c:f>'Nuts &amp; Bolts'!$C$144:$H$144</c:f>
            </c:strRef>
          </c:cat>
          <c:val>
            <c:numRef>
              <c:f>'Nuts &amp; Bolts'!$C$145:$H$145</c:f>
              <c:numCache/>
            </c:numRef>
          </c:val>
          <c:smooth val="0"/>
        </c:ser>
        <c:ser>
          <c:idx val="1"/>
          <c:order val="1"/>
          <c:tx>
            <c:v>60-69</c:v>
          </c:tx>
          <c:marker>
            <c:symbol val="none"/>
          </c:marker>
          <c:cat>
            <c:strRef>
              <c:f>'Nuts &amp; Bolts'!$C$144:$H$144</c:f>
            </c:strRef>
          </c:cat>
          <c:val>
            <c:numRef>
              <c:f>'Nuts &amp; Bolts'!$C$146:$H$146</c:f>
              <c:numCache/>
            </c:numRef>
          </c:val>
          <c:smooth val="0"/>
        </c:ser>
        <c:ser>
          <c:idx val="2"/>
          <c:order val="2"/>
          <c:tx>
            <c:v>70-79</c:v>
          </c:tx>
          <c:marker>
            <c:symbol val="none"/>
          </c:marker>
          <c:cat>
            <c:strRef>
              <c:f>'Nuts &amp; Bolts'!$C$144:$H$144</c:f>
            </c:strRef>
          </c:cat>
          <c:val>
            <c:numRef>
              <c:f>'Nuts &amp; Bolts'!$C$147:$H$147</c:f>
              <c:numCache/>
            </c:numRef>
          </c:val>
          <c:smooth val="0"/>
        </c:ser>
        <c:ser>
          <c:idx val="3"/>
          <c:order val="3"/>
          <c:tx>
            <c:v>80-89</c:v>
          </c:tx>
          <c:marker>
            <c:symbol val="none"/>
          </c:marker>
          <c:cat>
            <c:strRef>
              <c:f>'Nuts &amp; Bolts'!$C$144:$H$144</c:f>
            </c:strRef>
          </c:cat>
          <c:val>
            <c:numRef>
              <c:f>'Nuts &amp; Bolts'!$C$148:$H$148</c:f>
              <c:numCache/>
            </c:numRef>
          </c:val>
          <c:smooth val="0"/>
        </c:ser>
        <c:ser>
          <c:idx val="4"/>
          <c:order val="4"/>
          <c:tx>
            <c:v>90+</c:v>
          </c:tx>
          <c:marker>
            <c:symbol val="none"/>
          </c:marker>
          <c:cat>
            <c:strRef>
              <c:f>'Nuts &amp; Bolts'!$C$144:$H$144</c:f>
            </c:strRef>
          </c:cat>
          <c:val>
            <c:numRef>
              <c:f>'Nuts &amp; Bolts'!$C$149:$H$149</c:f>
              <c:numCache/>
            </c:numRef>
          </c:val>
          <c:smooth val="0"/>
        </c:ser>
        <c:axId val="164657031"/>
        <c:axId val="1722574828"/>
      </c:lineChart>
      <c:catAx>
        <c:axId val="164657031"/>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1722574828"/>
      </c:catAx>
      <c:valAx>
        <c:axId val="1722574828"/>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64657031"/>
      </c:valAx>
      <c:spPr>
        <a:solidFill>
          <a:srgbClr val="FFFFFF"/>
        </a:solidFill>
      </c:spPr>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Lift Distribution (4 day #2)</a:t>
            </a:r>
          </a:p>
        </c:rich>
      </c:tx>
      <c:overlay val="0"/>
    </c:title>
    <c:plotArea>
      <c:layout/>
      <c:lineChart>
        <c:ser>
          <c:idx val="0"/>
          <c:order val="0"/>
          <c:tx>
            <c:v>Squat</c:v>
          </c:tx>
          <c:marker>
            <c:symbol val="none"/>
          </c:marker>
          <c:cat>
            <c:strRef>
              <c:f>'Nuts &amp; Bolts'!$C$184:$H$184</c:f>
            </c:strRef>
          </c:cat>
          <c:val>
            <c:numRef>
              <c:f>'Nuts &amp; Bolts'!$C$185:$H$185</c:f>
              <c:numCache/>
            </c:numRef>
          </c:val>
          <c:smooth val="0"/>
        </c:ser>
        <c:ser>
          <c:idx val="1"/>
          <c:order val="1"/>
          <c:tx>
            <c:v>Deadlift</c:v>
          </c:tx>
          <c:marker>
            <c:symbol val="none"/>
          </c:marker>
          <c:cat>
            <c:strRef>
              <c:f>'Nuts &amp; Bolts'!$C$184:$H$184</c:f>
            </c:strRef>
          </c:cat>
          <c:val>
            <c:numRef>
              <c:f>'Nuts &amp; Bolts'!$C$187:$H$187</c:f>
              <c:numCache/>
            </c:numRef>
          </c:val>
          <c:smooth val="0"/>
        </c:ser>
        <c:ser>
          <c:idx val="2"/>
          <c:order val="2"/>
          <c:tx>
            <c:v>Bench</c:v>
          </c:tx>
          <c:marker>
            <c:symbol val="none"/>
          </c:marker>
          <c:cat>
            <c:strRef>
              <c:f>'Nuts &amp; Bolts'!$C$184:$H$184</c:f>
            </c:strRef>
          </c:cat>
          <c:val>
            <c:numRef>
              <c:f>'Nuts &amp; Bolts'!$C$186:$H$186</c:f>
              <c:numCache/>
            </c:numRef>
          </c:val>
          <c:smooth val="0"/>
        </c:ser>
        <c:axId val="415609039"/>
        <c:axId val="1446580413"/>
      </c:lineChart>
      <c:catAx>
        <c:axId val="415609039"/>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1446580413"/>
      </c:catAx>
      <c:valAx>
        <c:axId val="14465804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 Total 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415609039"/>
      </c:valAx>
      <c:spPr>
        <a:solidFill>
          <a:srgbClr val="FFFFFF"/>
        </a:solidFill>
      </c:spPr>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Peparatory Period III</a:t>
            </a:r>
          </a:p>
        </c:rich>
      </c:tx>
      <c:overlay val="0"/>
    </c:title>
    <c:plotArea>
      <c:layout/>
      <c:lineChart>
        <c:ser>
          <c:idx val="0"/>
          <c:order val="0"/>
          <c:tx>
            <c:v>Week</c:v>
          </c:tx>
          <c:marker>
            <c:symbol val="none"/>
          </c:marker>
          <c:val>
            <c:numRef>
              <c:f>'Nuts &amp; Bolts'!$B$26:$B$30</c:f>
              <c:numCache/>
            </c:numRef>
          </c:val>
          <c:smooth val="0"/>
        </c:ser>
        <c:ser>
          <c:idx val="1"/>
          <c:order val="1"/>
          <c:tx>
            <c:v>NL</c:v>
          </c:tx>
          <c:marker>
            <c:symbol val="none"/>
          </c:marker>
          <c:val>
            <c:numRef>
              <c:f>'Nuts &amp; Bolts'!$F$26:$F$30</c:f>
              <c:numCache/>
            </c:numRef>
          </c:val>
          <c:smooth val="0"/>
        </c:ser>
        <c:axId val="1028450754"/>
        <c:axId val="1040544650"/>
      </c:lineChart>
      <c:catAx>
        <c:axId val="10284507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040544650"/>
      </c:catAx>
      <c:valAx>
        <c:axId val="10405446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tickLblPos val="nextTo"/>
        <c:spPr>
          <a:ln/>
        </c:spPr>
        <c:txPr>
          <a:bodyPr/>
          <a:lstStyle/>
          <a:p>
            <a:pPr lvl="0">
              <a:defRPr b="0" i="0" sz="1000">
                <a:solidFill>
                  <a:srgbClr val="000000"/>
                </a:solidFill>
                <a:latin typeface="Roboto"/>
              </a:defRPr>
            </a:pPr>
          </a:p>
        </c:txPr>
        <c:crossAx val="1028450754"/>
      </c:valAx>
      <c:spPr>
        <a:solidFill>
          <a:srgbClr val="FFFFFF"/>
        </a:solidFill>
      </c:spPr>
    </c:plotArea>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Squat III</a:t>
            </a:r>
          </a:p>
        </c:rich>
      </c:tx>
      <c:overlay val="0"/>
    </c:title>
    <c:plotArea>
      <c:layout/>
      <c:lineChart>
        <c:ser>
          <c:idx val="0"/>
          <c:order val="0"/>
          <c:tx>
            <c:v>50-59</c:v>
          </c:tx>
          <c:marker>
            <c:symbol val="none"/>
          </c:marker>
          <c:cat>
            <c:strRef>
              <c:f>'Nuts &amp; Bolts'!$C$66:$G$66</c:f>
            </c:strRef>
          </c:cat>
          <c:val>
            <c:numRef>
              <c:f>'Nuts &amp; Bolts'!$C$67:$G$67</c:f>
              <c:numCache/>
            </c:numRef>
          </c:val>
          <c:smooth val="0"/>
        </c:ser>
        <c:ser>
          <c:idx val="1"/>
          <c:order val="1"/>
          <c:tx>
            <c:v>60-69</c:v>
          </c:tx>
          <c:marker>
            <c:symbol val="none"/>
          </c:marker>
          <c:cat>
            <c:strRef>
              <c:f>'Nuts &amp; Bolts'!$C$66:$G$66</c:f>
            </c:strRef>
          </c:cat>
          <c:val>
            <c:numRef>
              <c:f>'Nuts &amp; Bolts'!$C$68:$G$68</c:f>
              <c:numCache/>
            </c:numRef>
          </c:val>
          <c:smooth val="0"/>
        </c:ser>
        <c:ser>
          <c:idx val="2"/>
          <c:order val="2"/>
          <c:tx>
            <c:v>70-79</c:v>
          </c:tx>
          <c:marker>
            <c:symbol val="none"/>
          </c:marker>
          <c:cat>
            <c:strRef>
              <c:f>'Nuts &amp; Bolts'!$C$66:$G$66</c:f>
            </c:strRef>
          </c:cat>
          <c:val>
            <c:numRef>
              <c:f>'Nuts &amp; Bolts'!$C$69:$G$69</c:f>
              <c:numCache/>
            </c:numRef>
          </c:val>
          <c:smooth val="0"/>
        </c:ser>
        <c:ser>
          <c:idx val="3"/>
          <c:order val="3"/>
          <c:tx>
            <c:v>80-89</c:v>
          </c:tx>
          <c:marker>
            <c:symbol val="none"/>
          </c:marker>
          <c:cat>
            <c:strRef>
              <c:f>'Nuts &amp; Bolts'!$C$66:$G$66</c:f>
            </c:strRef>
          </c:cat>
          <c:val>
            <c:numRef>
              <c:f>'Nuts &amp; Bolts'!$C$70:$G$70</c:f>
              <c:numCache/>
            </c:numRef>
          </c:val>
          <c:smooth val="0"/>
        </c:ser>
        <c:ser>
          <c:idx val="4"/>
          <c:order val="4"/>
          <c:tx>
            <c:v>90+</c:v>
          </c:tx>
          <c:marker>
            <c:symbol val="none"/>
          </c:marker>
          <c:cat>
            <c:strRef>
              <c:f>'Nuts &amp; Bolts'!$C$66:$G$66</c:f>
            </c:strRef>
          </c:cat>
          <c:val>
            <c:numRef>
              <c:f>'Nuts &amp; Bolts'!$C$71:$G$71</c:f>
              <c:numCache/>
            </c:numRef>
          </c:val>
          <c:smooth val="0"/>
        </c:ser>
        <c:axId val="501298932"/>
        <c:axId val="426115933"/>
      </c:lineChart>
      <c:catAx>
        <c:axId val="501298932"/>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426115933"/>
      </c:catAx>
      <c:valAx>
        <c:axId val="4261159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501298932"/>
      </c:valAx>
      <c:spPr>
        <a:solidFill>
          <a:srgbClr val="FFFFFF"/>
        </a:solidFill>
      </c:spPr>
    </c:plotArea>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Bench III</a:t>
            </a:r>
          </a:p>
        </c:rich>
      </c:tx>
      <c:overlay val="0"/>
    </c:title>
    <c:plotArea>
      <c:layout/>
      <c:lineChart>
        <c:ser>
          <c:idx val="0"/>
          <c:order val="0"/>
          <c:tx>
            <c:v>50-59</c:v>
          </c:tx>
          <c:marker>
            <c:symbol val="none"/>
          </c:marker>
          <c:cat>
            <c:strRef>
              <c:f>'Nuts &amp; Bolts'!$C$110:$G$110</c:f>
            </c:strRef>
          </c:cat>
          <c:val>
            <c:numRef>
              <c:f>'Nuts &amp; Bolts'!$C$111:$G$111</c:f>
              <c:numCache/>
            </c:numRef>
          </c:val>
          <c:smooth val="0"/>
        </c:ser>
        <c:ser>
          <c:idx val="1"/>
          <c:order val="1"/>
          <c:tx>
            <c:v>60-69</c:v>
          </c:tx>
          <c:marker>
            <c:symbol val="none"/>
          </c:marker>
          <c:cat>
            <c:strRef>
              <c:f>'Nuts &amp; Bolts'!$C$110:$G$110</c:f>
            </c:strRef>
          </c:cat>
          <c:val>
            <c:numRef>
              <c:f>'Nuts &amp; Bolts'!$C$112:$G$112</c:f>
              <c:numCache/>
            </c:numRef>
          </c:val>
          <c:smooth val="0"/>
        </c:ser>
        <c:ser>
          <c:idx val="2"/>
          <c:order val="2"/>
          <c:tx>
            <c:v>70-79</c:v>
          </c:tx>
          <c:marker>
            <c:symbol val="none"/>
          </c:marker>
          <c:cat>
            <c:strRef>
              <c:f>'Nuts &amp; Bolts'!$C$110:$G$110</c:f>
            </c:strRef>
          </c:cat>
          <c:val>
            <c:numRef>
              <c:f>'Nuts &amp; Bolts'!$C$113:$G$113</c:f>
              <c:numCache/>
            </c:numRef>
          </c:val>
          <c:smooth val="0"/>
        </c:ser>
        <c:ser>
          <c:idx val="3"/>
          <c:order val="3"/>
          <c:tx>
            <c:v>80-89</c:v>
          </c:tx>
          <c:marker>
            <c:symbol val="none"/>
          </c:marker>
          <c:cat>
            <c:strRef>
              <c:f>'Nuts &amp; Bolts'!$C$110:$G$110</c:f>
            </c:strRef>
          </c:cat>
          <c:val>
            <c:numRef>
              <c:f>'Nuts &amp; Bolts'!$C$114:$G$114</c:f>
              <c:numCache/>
            </c:numRef>
          </c:val>
          <c:smooth val="0"/>
        </c:ser>
        <c:ser>
          <c:idx val="4"/>
          <c:order val="4"/>
          <c:tx>
            <c:v>90+</c:v>
          </c:tx>
          <c:marker>
            <c:symbol val="none"/>
          </c:marker>
          <c:cat>
            <c:strRef>
              <c:f>'Nuts &amp; Bolts'!$C$110:$G$110</c:f>
            </c:strRef>
          </c:cat>
          <c:val>
            <c:numRef>
              <c:f>'Nuts &amp; Bolts'!$C$115:$G$115</c:f>
              <c:numCache/>
            </c:numRef>
          </c:val>
          <c:smooth val="0"/>
        </c:ser>
        <c:axId val="433089594"/>
        <c:axId val="1640504701"/>
      </c:lineChart>
      <c:catAx>
        <c:axId val="433089594"/>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1640504701"/>
      </c:catAx>
      <c:valAx>
        <c:axId val="1640504701"/>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433089594"/>
      </c:valAx>
      <c:spPr>
        <a:solidFill>
          <a:srgbClr val="FFFFFF"/>
        </a:solidFill>
      </c:spPr>
    </c:plotArea>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Deadlift (4 day #3)</a:t>
            </a:r>
          </a:p>
        </c:rich>
      </c:tx>
      <c:overlay val="0"/>
    </c:title>
    <c:plotArea>
      <c:layout/>
      <c:lineChart>
        <c:ser>
          <c:idx val="0"/>
          <c:order val="0"/>
          <c:marker>
            <c:symbol val="none"/>
          </c:marker>
          <c:cat>
            <c:strRef>
              <c:f>'Nuts &amp; Bolts'!$C$154:$G$154</c:f>
            </c:strRef>
          </c:cat>
          <c:val>
            <c:numRef>
              <c:f>'Nuts &amp; Bolts'!$C$155:$G$155</c:f>
              <c:numCache/>
            </c:numRef>
          </c:val>
          <c:smooth val="0"/>
        </c:ser>
        <c:ser>
          <c:idx val="1"/>
          <c:order val="1"/>
          <c:marker>
            <c:symbol val="none"/>
          </c:marker>
          <c:cat>
            <c:strRef>
              <c:f>'Nuts &amp; Bolts'!$C$154:$G$154</c:f>
            </c:strRef>
          </c:cat>
          <c:val>
            <c:numRef>
              <c:f>'Nuts &amp; Bolts'!$C$156:$G$156</c:f>
              <c:numCache/>
            </c:numRef>
          </c:val>
          <c:smooth val="0"/>
        </c:ser>
        <c:ser>
          <c:idx val="2"/>
          <c:order val="2"/>
          <c:marker>
            <c:symbol val="none"/>
          </c:marker>
          <c:cat>
            <c:strRef>
              <c:f>'Nuts &amp; Bolts'!$C$154:$G$154</c:f>
            </c:strRef>
          </c:cat>
          <c:val>
            <c:numRef>
              <c:f>'Nuts &amp; Bolts'!$C$157:$G$157</c:f>
              <c:numCache/>
            </c:numRef>
          </c:val>
          <c:smooth val="0"/>
        </c:ser>
        <c:ser>
          <c:idx val="3"/>
          <c:order val="3"/>
          <c:marker>
            <c:symbol val="none"/>
          </c:marker>
          <c:cat>
            <c:strRef>
              <c:f>'Nuts &amp; Bolts'!$C$154:$G$154</c:f>
            </c:strRef>
          </c:cat>
          <c:val>
            <c:numRef>
              <c:f>'Nuts &amp; Bolts'!$C$158:$G$158</c:f>
              <c:numCache/>
            </c:numRef>
          </c:val>
          <c:smooth val="0"/>
        </c:ser>
        <c:axId val="349854076"/>
        <c:axId val="184013384"/>
      </c:lineChart>
      <c:catAx>
        <c:axId val="349854076"/>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184013384"/>
      </c:catAx>
      <c:valAx>
        <c:axId val="184013384"/>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349854076"/>
      </c:valAx>
      <c:spPr>
        <a:solidFill>
          <a:srgbClr val="FFFFFF"/>
        </a:solidFill>
      </c:spPr>
    </c:plotArea>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Lift Distribution (4 day #3)</a:t>
            </a:r>
          </a:p>
        </c:rich>
      </c:tx>
      <c:overlay val="0"/>
    </c:title>
    <c:plotArea>
      <c:layout/>
      <c:lineChart>
        <c:ser>
          <c:idx val="0"/>
          <c:order val="0"/>
          <c:marker>
            <c:symbol val="none"/>
          </c:marker>
          <c:cat>
            <c:strRef>
              <c:f>'Nuts &amp; Bolts'!$C$190:$G$190</c:f>
            </c:strRef>
          </c:cat>
          <c:val>
            <c:numRef>
              <c:f>'Nuts &amp; Bolts'!$C$191:$G$191</c:f>
              <c:numCache/>
            </c:numRef>
          </c:val>
          <c:smooth val="0"/>
        </c:ser>
        <c:ser>
          <c:idx val="1"/>
          <c:order val="1"/>
          <c:marker>
            <c:symbol val="none"/>
          </c:marker>
          <c:cat>
            <c:strRef>
              <c:f>'Nuts &amp; Bolts'!$C$190:$G$190</c:f>
            </c:strRef>
          </c:cat>
          <c:val>
            <c:numRef>
              <c:f>'Nuts &amp; Bolts'!$C$193:$G$193</c:f>
              <c:numCache/>
            </c:numRef>
          </c:val>
          <c:smooth val="0"/>
        </c:ser>
        <c:ser>
          <c:idx val="2"/>
          <c:order val="2"/>
          <c:marker>
            <c:symbol val="none"/>
          </c:marker>
          <c:cat>
            <c:strRef>
              <c:f>'Nuts &amp; Bolts'!$C$190:$G$190</c:f>
            </c:strRef>
          </c:cat>
          <c:val>
            <c:numRef>
              <c:f>'Nuts &amp; Bolts'!$C$192:$G$192</c:f>
              <c:numCache/>
            </c:numRef>
          </c:val>
          <c:smooth val="0"/>
        </c:ser>
        <c:axId val="807907403"/>
        <c:axId val="1373921436"/>
      </c:lineChart>
      <c:catAx>
        <c:axId val="807907403"/>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1373921436"/>
      </c:catAx>
      <c:valAx>
        <c:axId val="13739214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 Total 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807907403"/>
      </c:valAx>
      <c:spPr>
        <a:solidFill>
          <a:srgbClr val="FFFFFF"/>
        </a:solidFill>
      </c:spPr>
    </c:plotArea>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Competition Period </a:t>
            </a:r>
          </a:p>
        </c:rich>
      </c:tx>
      <c:overlay val="0"/>
    </c:title>
    <c:plotArea>
      <c:layout/>
      <c:lineChart>
        <c:ser>
          <c:idx val="0"/>
          <c:order val="0"/>
          <c:tx>
            <c:v>Week</c:v>
          </c:tx>
          <c:marker>
            <c:symbol val="none"/>
          </c:marker>
          <c:val>
            <c:numRef>
              <c:f>'Nuts &amp; Bolts'!$B$35:$B$39</c:f>
              <c:numCache/>
            </c:numRef>
          </c:val>
          <c:smooth val="0"/>
        </c:ser>
        <c:ser>
          <c:idx val="1"/>
          <c:order val="1"/>
          <c:tx>
            <c:v>NL</c:v>
          </c:tx>
          <c:marker>
            <c:symbol val="none"/>
          </c:marker>
          <c:val>
            <c:numRef>
              <c:f>'Nuts &amp; Bolts'!$F$35:$F$39</c:f>
              <c:numCache/>
            </c:numRef>
          </c:val>
          <c:smooth val="0"/>
        </c:ser>
        <c:axId val="337789702"/>
        <c:axId val="847189"/>
      </c:lineChart>
      <c:catAx>
        <c:axId val="3377897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847189"/>
      </c:catAx>
      <c:valAx>
        <c:axId val="8471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tickLblPos val="nextTo"/>
        <c:spPr>
          <a:ln/>
        </c:spPr>
        <c:txPr>
          <a:bodyPr/>
          <a:lstStyle/>
          <a:p>
            <a:pPr lvl="0">
              <a:defRPr b="0" i="0" sz="1000">
                <a:solidFill>
                  <a:srgbClr val="000000"/>
                </a:solidFill>
                <a:latin typeface="Roboto"/>
              </a:defRPr>
            </a:pPr>
          </a:p>
        </c:txPr>
        <c:crossAx val="337789702"/>
      </c:valAx>
      <c:spPr>
        <a:solidFill>
          <a:srgbClr val="FFFFFF"/>
        </a:solidFill>
      </c:spPr>
    </c:plotArea>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Squat Comp</a:t>
            </a:r>
          </a:p>
        </c:rich>
      </c:tx>
      <c:overlay val="0"/>
    </c:title>
    <c:plotArea>
      <c:layout/>
      <c:lineChart>
        <c:ser>
          <c:idx val="0"/>
          <c:order val="0"/>
          <c:tx>
            <c:v>50-59</c:v>
          </c:tx>
          <c:marker>
            <c:symbol val="none"/>
          </c:marker>
          <c:cat>
            <c:strRef>
              <c:f>'Nuts &amp; Bolts'!$C$76:$G$76</c:f>
            </c:strRef>
          </c:cat>
          <c:val>
            <c:numRef>
              <c:f>'Nuts &amp; Bolts'!$C$77:$G$77</c:f>
              <c:numCache/>
            </c:numRef>
          </c:val>
          <c:smooth val="0"/>
        </c:ser>
        <c:ser>
          <c:idx val="1"/>
          <c:order val="1"/>
          <c:tx>
            <c:v>60-69</c:v>
          </c:tx>
          <c:marker>
            <c:symbol val="none"/>
          </c:marker>
          <c:cat>
            <c:strRef>
              <c:f>'Nuts &amp; Bolts'!$C$76:$G$76</c:f>
            </c:strRef>
          </c:cat>
          <c:val>
            <c:numRef>
              <c:f>'Nuts &amp; Bolts'!$C$78:$G$78</c:f>
              <c:numCache/>
            </c:numRef>
          </c:val>
          <c:smooth val="0"/>
        </c:ser>
        <c:ser>
          <c:idx val="2"/>
          <c:order val="2"/>
          <c:tx>
            <c:v>70-79</c:v>
          </c:tx>
          <c:marker>
            <c:symbol val="none"/>
          </c:marker>
          <c:cat>
            <c:strRef>
              <c:f>'Nuts &amp; Bolts'!$C$76:$G$76</c:f>
            </c:strRef>
          </c:cat>
          <c:val>
            <c:numRef>
              <c:f>'Nuts &amp; Bolts'!$C$79:$G$79</c:f>
              <c:numCache/>
            </c:numRef>
          </c:val>
          <c:smooth val="0"/>
        </c:ser>
        <c:ser>
          <c:idx val="3"/>
          <c:order val="3"/>
          <c:tx>
            <c:v>80-89</c:v>
          </c:tx>
          <c:marker>
            <c:symbol val="none"/>
          </c:marker>
          <c:cat>
            <c:strRef>
              <c:f>'Nuts &amp; Bolts'!$C$76:$G$76</c:f>
            </c:strRef>
          </c:cat>
          <c:val>
            <c:numRef>
              <c:f>'Nuts &amp; Bolts'!$C$80:$G$80</c:f>
              <c:numCache/>
            </c:numRef>
          </c:val>
          <c:smooth val="0"/>
        </c:ser>
        <c:ser>
          <c:idx val="4"/>
          <c:order val="4"/>
          <c:tx>
            <c:v>90+</c:v>
          </c:tx>
          <c:marker>
            <c:symbol val="none"/>
          </c:marker>
          <c:cat>
            <c:strRef>
              <c:f>'Nuts &amp; Bolts'!$C$76:$G$76</c:f>
            </c:strRef>
          </c:cat>
          <c:val>
            <c:numRef>
              <c:f>'Nuts &amp; Bolts'!$C$81:$G$81</c:f>
              <c:numCache/>
            </c:numRef>
          </c:val>
          <c:smooth val="0"/>
        </c:ser>
        <c:axId val="896933719"/>
        <c:axId val="257250249"/>
      </c:lineChart>
      <c:catAx>
        <c:axId val="896933719"/>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257250249"/>
      </c:catAx>
      <c:valAx>
        <c:axId val="2572502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896933719"/>
      </c:valAx>
      <c:spPr>
        <a:solidFill>
          <a:srgbClr val="FFFFFF"/>
        </a:solidFill>
      </c:spPr>
    </c:plotArea>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Bench Comp</a:t>
            </a:r>
          </a:p>
        </c:rich>
      </c:tx>
      <c:overlay val="0"/>
    </c:title>
    <c:plotArea>
      <c:layout/>
      <c:lineChart>
        <c:ser>
          <c:idx val="0"/>
          <c:order val="0"/>
          <c:tx>
            <c:v>50-59</c:v>
          </c:tx>
          <c:marker>
            <c:symbol val="none"/>
          </c:marker>
          <c:cat>
            <c:strRef>
              <c:f>'Nuts &amp; Bolts'!$C$120:$G$120</c:f>
            </c:strRef>
          </c:cat>
          <c:val>
            <c:numRef>
              <c:f>'Nuts &amp; Bolts'!$C$121:$G$121</c:f>
              <c:numCache/>
            </c:numRef>
          </c:val>
          <c:smooth val="0"/>
        </c:ser>
        <c:ser>
          <c:idx val="1"/>
          <c:order val="1"/>
          <c:tx>
            <c:v>60-69</c:v>
          </c:tx>
          <c:marker>
            <c:symbol val="none"/>
          </c:marker>
          <c:cat>
            <c:strRef>
              <c:f>'Nuts &amp; Bolts'!$C$120:$G$120</c:f>
            </c:strRef>
          </c:cat>
          <c:val>
            <c:numRef>
              <c:f>'Nuts &amp; Bolts'!$C$122:$G$122</c:f>
              <c:numCache/>
            </c:numRef>
          </c:val>
          <c:smooth val="0"/>
        </c:ser>
        <c:ser>
          <c:idx val="2"/>
          <c:order val="2"/>
          <c:tx>
            <c:v>70-79</c:v>
          </c:tx>
          <c:marker>
            <c:symbol val="none"/>
          </c:marker>
          <c:cat>
            <c:strRef>
              <c:f>'Nuts &amp; Bolts'!$C$120:$G$120</c:f>
            </c:strRef>
          </c:cat>
          <c:val>
            <c:numRef>
              <c:f>'Nuts &amp; Bolts'!$C$123:$G$123</c:f>
              <c:numCache/>
            </c:numRef>
          </c:val>
          <c:smooth val="0"/>
        </c:ser>
        <c:ser>
          <c:idx val="3"/>
          <c:order val="3"/>
          <c:tx>
            <c:v>80-89</c:v>
          </c:tx>
          <c:marker>
            <c:symbol val="none"/>
          </c:marker>
          <c:cat>
            <c:strRef>
              <c:f>'Nuts &amp; Bolts'!$C$120:$G$120</c:f>
            </c:strRef>
          </c:cat>
          <c:val>
            <c:numRef>
              <c:f>'Nuts &amp; Bolts'!$C$124:$G$124</c:f>
              <c:numCache/>
            </c:numRef>
          </c:val>
          <c:smooth val="0"/>
        </c:ser>
        <c:ser>
          <c:idx val="4"/>
          <c:order val="4"/>
          <c:tx>
            <c:v>90+</c:v>
          </c:tx>
          <c:marker>
            <c:symbol val="none"/>
          </c:marker>
          <c:cat>
            <c:strRef>
              <c:f>'Nuts &amp; Bolts'!$C$120:$G$120</c:f>
            </c:strRef>
          </c:cat>
          <c:val>
            <c:numRef>
              <c:f>'Nuts &amp; Bolts'!$C$125:$G$125</c:f>
              <c:numCache/>
            </c:numRef>
          </c:val>
          <c:smooth val="0"/>
        </c:ser>
        <c:axId val="1785188045"/>
        <c:axId val="464722157"/>
      </c:lineChart>
      <c:catAx>
        <c:axId val="1785188045"/>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464722157"/>
      </c:catAx>
      <c:valAx>
        <c:axId val="464722157"/>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785188045"/>
      </c:valAx>
      <c:spPr>
        <a:solidFill>
          <a:srgbClr val="FFFFFF"/>
        </a:solidFill>
      </c:spPr>
    </c:plotArea>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Deadlift (4 day comp)</a:t>
            </a:r>
          </a:p>
        </c:rich>
      </c:tx>
      <c:overlay val="0"/>
    </c:title>
    <c:plotArea>
      <c:layout/>
      <c:lineChart>
        <c:ser>
          <c:idx val="0"/>
          <c:order val="0"/>
          <c:marker>
            <c:symbol val="none"/>
          </c:marker>
          <c:cat>
            <c:strRef>
              <c:f>'Nuts &amp; Bolts'!$C$164:$G$164</c:f>
            </c:strRef>
          </c:cat>
          <c:val>
            <c:numRef>
              <c:f>'Nuts &amp; Bolts'!$C$165:$G$165</c:f>
              <c:numCache/>
            </c:numRef>
          </c:val>
          <c:smooth val="0"/>
        </c:ser>
        <c:ser>
          <c:idx val="1"/>
          <c:order val="1"/>
          <c:marker>
            <c:symbol val="none"/>
          </c:marker>
          <c:cat>
            <c:strRef>
              <c:f>'Nuts &amp; Bolts'!$C$164:$G$164</c:f>
            </c:strRef>
          </c:cat>
          <c:val>
            <c:numRef>
              <c:f>'Nuts &amp; Bolts'!$C$166:$G$166</c:f>
              <c:numCache/>
            </c:numRef>
          </c:val>
          <c:smooth val="0"/>
        </c:ser>
        <c:ser>
          <c:idx val="2"/>
          <c:order val="2"/>
          <c:marker>
            <c:symbol val="none"/>
          </c:marker>
          <c:cat>
            <c:strRef>
              <c:f>'Nuts &amp; Bolts'!$C$164:$G$164</c:f>
            </c:strRef>
          </c:cat>
          <c:val>
            <c:numRef>
              <c:f>'Nuts &amp; Bolts'!$C$167:$G$167</c:f>
              <c:numCache/>
            </c:numRef>
          </c:val>
          <c:smooth val="0"/>
        </c:ser>
        <c:ser>
          <c:idx val="3"/>
          <c:order val="3"/>
          <c:marker>
            <c:symbol val="none"/>
          </c:marker>
          <c:cat>
            <c:strRef>
              <c:f>'Nuts &amp; Bolts'!$C$164:$G$164</c:f>
            </c:strRef>
          </c:cat>
          <c:val>
            <c:numRef>
              <c:f>'Nuts &amp; Bolts'!$C$168:$G$168</c:f>
              <c:numCache/>
            </c:numRef>
          </c:val>
          <c:smooth val="0"/>
        </c:ser>
        <c:ser>
          <c:idx val="4"/>
          <c:order val="4"/>
          <c:marker>
            <c:symbol val="none"/>
          </c:marker>
          <c:cat>
            <c:strRef>
              <c:f>'Nuts &amp; Bolts'!$C$164:$G$164</c:f>
            </c:strRef>
          </c:cat>
          <c:val>
            <c:numRef>
              <c:f>'Nuts &amp; Bolts'!$C$169:$G$169</c:f>
              <c:numCache/>
            </c:numRef>
          </c:val>
          <c:smooth val="0"/>
        </c:ser>
        <c:axId val="677874506"/>
        <c:axId val="515820824"/>
      </c:lineChart>
      <c:catAx>
        <c:axId val="677874506"/>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515820824"/>
      </c:catAx>
      <c:valAx>
        <c:axId val="515820824"/>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677874506"/>
      </c:valAx>
      <c:spPr>
        <a:solidFill>
          <a:srgbClr val="FFFFFF"/>
        </a:solidFill>
      </c:spPr>
    </c:plotArea>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Lift Distribution (4 day comp)</a:t>
            </a:r>
          </a:p>
        </c:rich>
      </c:tx>
      <c:overlay val="0"/>
    </c:title>
    <c:plotArea>
      <c:layout/>
      <c:lineChart>
        <c:ser>
          <c:idx val="0"/>
          <c:order val="0"/>
          <c:marker>
            <c:symbol val="none"/>
          </c:marker>
          <c:cat>
            <c:strRef>
              <c:f>'Nuts &amp; Bolts'!$C$196:$G$196</c:f>
            </c:strRef>
          </c:cat>
          <c:val>
            <c:numRef>
              <c:f>'Nuts &amp; Bolts'!$C$197:$G$197</c:f>
              <c:numCache/>
            </c:numRef>
          </c:val>
          <c:smooth val="0"/>
        </c:ser>
        <c:ser>
          <c:idx val="1"/>
          <c:order val="1"/>
          <c:marker>
            <c:symbol val="none"/>
          </c:marker>
          <c:cat>
            <c:strRef>
              <c:f>'Nuts &amp; Bolts'!$C$196:$G$196</c:f>
            </c:strRef>
          </c:cat>
          <c:val>
            <c:numRef>
              <c:f>'Nuts &amp; Bolts'!$C$199:$G$199</c:f>
              <c:numCache/>
            </c:numRef>
          </c:val>
          <c:smooth val="0"/>
        </c:ser>
        <c:ser>
          <c:idx val="2"/>
          <c:order val="2"/>
          <c:marker>
            <c:symbol val="none"/>
          </c:marker>
          <c:cat>
            <c:strRef>
              <c:f>'Nuts &amp; Bolts'!$C$196:$G$196</c:f>
            </c:strRef>
          </c:cat>
          <c:val>
            <c:numRef>
              <c:f>'Nuts &amp; Bolts'!$C$198:$G$198</c:f>
              <c:numCache/>
            </c:numRef>
          </c:val>
          <c:smooth val="0"/>
        </c:ser>
        <c:axId val="1663728800"/>
        <c:axId val="643144870"/>
      </c:lineChart>
      <c:catAx>
        <c:axId val="1663728800"/>
        <c:scaling>
          <c:orientation val="minMax"/>
        </c:scaling>
        <c:delete val="0"/>
        <c:axPos val="b"/>
        <c:title>
          <c:tx>
            <c:rich>
              <a:bodyPr/>
              <a:lstStyle/>
              <a:p>
                <a:pPr lvl="0">
                  <a:defRPr b="1" i="0">
                    <a:solidFill>
                      <a:srgbClr val="000000"/>
                    </a:solidFill>
                    <a:latin typeface="Roboto"/>
                  </a:defRPr>
                </a:pPr>
                <a:r>
                  <a:rPr b="1" i="0">
                    <a:solidFill>
                      <a:srgbClr val="000000"/>
                    </a:solidFill>
                    <a:latin typeface="Roboto"/>
                  </a:rPr>
                  <a:t>Week</a:t>
                </a:r>
              </a:p>
            </c:rich>
          </c:tx>
          <c:overlay val="0"/>
        </c:title>
        <c:numFmt formatCode="General" sourceLinked="1"/>
        <c:majorTickMark val="none"/>
        <c:minorTickMark val="none"/>
        <c:spPr/>
        <c:txPr>
          <a:bodyPr/>
          <a:lstStyle/>
          <a:p>
            <a:pPr lvl="0">
              <a:defRPr b="0" i="0" sz="1000">
                <a:solidFill>
                  <a:srgbClr val="000000"/>
                </a:solidFill>
                <a:latin typeface="Roboto"/>
              </a:defRPr>
            </a:pPr>
          </a:p>
        </c:txPr>
        <c:crossAx val="643144870"/>
      </c:catAx>
      <c:valAx>
        <c:axId val="6431448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 Total Lifts</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663728800"/>
      </c:valAx>
      <c:spPr>
        <a:solidFill>
          <a:srgbClr val="FFFFFF"/>
        </a:solidFill>
      </c:spPr>
    </c:plotArea>
    <c:plotVisOnly val="1"/>
  </c:chart>
</c:chartSpace>
</file>

<file path=xl/drawings/_rels/drawing6.xml.rels><?xml version="1.0" encoding="UTF-8" standalone="yes"?><Relationships xmlns="http://schemas.openxmlformats.org/package/2006/relationships"><Relationship Id="rId20" Type="http://schemas.openxmlformats.org/officeDocument/2006/relationships/chart" Target="../charts/chart20.xml"/><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chart" Target="../charts/chart15.xml"/><Relationship Id="rId14" Type="http://schemas.openxmlformats.org/officeDocument/2006/relationships/chart" Target="../charts/chart14.xml"/><Relationship Id="rId17" Type="http://schemas.openxmlformats.org/officeDocument/2006/relationships/chart" Target="../charts/chart17.xml"/><Relationship Id="rId16" Type="http://schemas.openxmlformats.org/officeDocument/2006/relationships/chart" Target="../charts/chart16.xml"/><Relationship Id="rId5" Type="http://schemas.openxmlformats.org/officeDocument/2006/relationships/chart" Target="../charts/chart5.xml"/><Relationship Id="rId19" Type="http://schemas.openxmlformats.org/officeDocument/2006/relationships/chart" Target="../charts/chart19.xml"/><Relationship Id="rId6" Type="http://schemas.openxmlformats.org/officeDocument/2006/relationships/chart" Target="../charts/chart6.xml"/><Relationship Id="rId18" Type="http://schemas.openxmlformats.org/officeDocument/2006/relationships/chart" Target="../charts/chart18.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228600</xdr:colOff>
      <xdr:row>5</xdr:row>
      <xdr:rowOff>171450</xdr:rowOff>
    </xdr:from>
    <xdr:ext cx="4524375" cy="2838450"/>
    <xdr:graphicFrame>
      <xdr:nvGraphicFramePr>
        <xdr:cNvPr id="1515610337"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47625</xdr:colOff>
      <xdr:row>44</xdr:row>
      <xdr:rowOff>152400</xdr:rowOff>
    </xdr:from>
    <xdr:ext cx="4133850" cy="3076575"/>
    <xdr:graphicFrame>
      <xdr:nvGraphicFramePr>
        <xdr:cNvPr id="737471555"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180975</xdr:colOff>
      <xdr:row>88</xdr:row>
      <xdr:rowOff>295275</xdr:rowOff>
    </xdr:from>
    <xdr:ext cx="4010025" cy="2990850"/>
    <xdr:graphicFrame>
      <xdr:nvGraphicFramePr>
        <xdr:cNvPr id="343379557"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152400</xdr:colOff>
      <xdr:row>133</xdr:row>
      <xdr:rowOff>0</xdr:rowOff>
    </xdr:from>
    <xdr:ext cx="3905250" cy="2914650"/>
    <xdr:graphicFrame>
      <xdr:nvGraphicFramePr>
        <xdr:cNvPr id="674224745"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38100</xdr:colOff>
      <xdr:row>177</xdr:row>
      <xdr:rowOff>9525</xdr:rowOff>
    </xdr:from>
    <xdr:ext cx="4191000" cy="2447925"/>
    <xdr:graphicFrame>
      <xdr:nvGraphicFramePr>
        <xdr:cNvPr id="120106471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16</xdr:col>
      <xdr:colOff>47625</xdr:colOff>
      <xdr:row>5</xdr:row>
      <xdr:rowOff>142875</xdr:rowOff>
    </xdr:from>
    <xdr:ext cx="4219575" cy="2857500"/>
    <xdr:graphicFrame>
      <xdr:nvGraphicFramePr>
        <xdr:cNvPr id="1114512348"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17</xdr:col>
      <xdr:colOff>238125</xdr:colOff>
      <xdr:row>44</xdr:row>
      <xdr:rowOff>142875</xdr:rowOff>
    </xdr:from>
    <xdr:ext cx="3667125" cy="3048000"/>
    <xdr:graphicFrame>
      <xdr:nvGraphicFramePr>
        <xdr:cNvPr id="581805799"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17</xdr:col>
      <xdr:colOff>257175</xdr:colOff>
      <xdr:row>88</xdr:row>
      <xdr:rowOff>295275</xdr:rowOff>
    </xdr:from>
    <xdr:ext cx="3733800" cy="2971800"/>
    <xdr:graphicFrame>
      <xdr:nvGraphicFramePr>
        <xdr:cNvPr id="460511021"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17</xdr:col>
      <xdr:colOff>142875</xdr:colOff>
      <xdr:row>132</xdr:row>
      <xdr:rowOff>314325</xdr:rowOff>
    </xdr:from>
    <xdr:ext cx="3981450" cy="2905125"/>
    <xdr:graphicFrame>
      <xdr:nvGraphicFramePr>
        <xdr:cNvPr id="1179508963"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17</xdr:col>
      <xdr:colOff>209550</xdr:colOff>
      <xdr:row>177</xdr:row>
      <xdr:rowOff>19050</xdr:rowOff>
    </xdr:from>
    <xdr:ext cx="4019550" cy="2419350"/>
    <xdr:graphicFrame>
      <xdr:nvGraphicFramePr>
        <xdr:cNvPr id="1793979445"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7</xdr:col>
      <xdr:colOff>419100</xdr:colOff>
      <xdr:row>26</xdr:row>
      <xdr:rowOff>9525</xdr:rowOff>
    </xdr:from>
    <xdr:ext cx="4314825" cy="2581275"/>
    <xdr:graphicFrame>
      <xdr:nvGraphicFramePr>
        <xdr:cNvPr id="1295650644"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10</xdr:col>
      <xdr:colOff>9525</xdr:colOff>
      <xdr:row>65</xdr:row>
      <xdr:rowOff>152400</xdr:rowOff>
    </xdr:from>
    <xdr:ext cx="3238500" cy="2952750"/>
    <xdr:graphicFrame>
      <xdr:nvGraphicFramePr>
        <xdr:cNvPr id="728350347"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10</xdr:col>
      <xdr:colOff>0</xdr:colOff>
      <xdr:row>110</xdr:row>
      <xdr:rowOff>47625</xdr:rowOff>
    </xdr:from>
    <xdr:ext cx="3933825" cy="3038475"/>
    <xdr:graphicFrame>
      <xdr:nvGraphicFramePr>
        <xdr:cNvPr id="1174369774"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10</xdr:col>
      <xdr:colOff>19050</xdr:colOff>
      <xdr:row>153</xdr:row>
      <xdr:rowOff>57150</xdr:rowOff>
    </xdr:from>
    <xdr:ext cx="4057650" cy="3181350"/>
    <xdr:graphicFrame>
      <xdr:nvGraphicFramePr>
        <xdr:cNvPr id="1468800554" name="Chart 14"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10</xdr:col>
      <xdr:colOff>38100</xdr:colOff>
      <xdr:row>189</xdr:row>
      <xdr:rowOff>0</xdr:rowOff>
    </xdr:from>
    <xdr:ext cx="3819525" cy="1905000"/>
    <xdr:graphicFrame>
      <xdr:nvGraphicFramePr>
        <xdr:cNvPr id="396419030" name="Chart 15"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16</xdr:col>
      <xdr:colOff>123825</xdr:colOff>
      <xdr:row>25</xdr:row>
      <xdr:rowOff>104775</xdr:rowOff>
    </xdr:from>
    <xdr:ext cx="4219575" cy="2638425"/>
    <xdr:graphicFrame>
      <xdr:nvGraphicFramePr>
        <xdr:cNvPr id="660374639" name="Chart 16"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16</xdr:col>
      <xdr:colOff>104775</xdr:colOff>
      <xdr:row>66</xdr:row>
      <xdr:rowOff>0</xdr:rowOff>
    </xdr:from>
    <xdr:ext cx="4267200" cy="2914650"/>
    <xdr:graphicFrame>
      <xdr:nvGraphicFramePr>
        <xdr:cNvPr id="1666017717" name="Chart 17"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17</xdr:col>
      <xdr:colOff>342900</xdr:colOff>
      <xdr:row>110</xdr:row>
      <xdr:rowOff>47625</xdr:rowOff>
    </xdr:from>
    <xdr:ext cx="3686175" cy="3048000"/>
    <xdr:graphicFrame>
      <xdr:nvGraphicFramePr>
        <xdr:cNvPr id="988795327" name="Chart 18"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18</xdr:col>
      <xdr:colOff>76200</xdr:colOff>
      <xdr:row>153</xdr:row>
      <xdr:rowOff>19050</xdr:rowOff>
    </xdr:from>
    <xdr:ext cx="3533775" cy="3209925"/>
    <xdr:graphicFrame>
      <xdr:nvGraphicFramePr>
        <xdr:cNvPr id="1285247673" name="Chart 19"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17</xdr:col>
      <xdr:colOff>228600</xdr:colOff>
      <xdr:row>189</xdr:row>
      <xdr:rowOff>0</xdr:rowOff>
    </xdr:from>
    <xdr:ext cx="3790950" cy="1876425"/>
    <xdr:graphicFrame>
      <xdr:nvGraphicFramePr>
        <xdr:cNvPr id="1701680588" name="Chart 20" title="Chart"/>
        <xdr:cNvGraphicFramePr/>
      </xdr:nvGraphicFramePr>
      <xdr:xfrm>
        <a:off x="0" y="0"/>
        <a:ext cx="0" cy="0"/>
      </xdr:xfrm>
      <a:graphic>
        <a:graphicData uri="http://schemas.openxmlformats.org/drawingml/2006/chart">
          <c:chart r:id="rId20"/>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bibliotecaderutinas.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4.57"/>
    <col customWidth="1" min="2" max="2" width="7.43"/>
    <col customWidth="1" min="3" max="3" width="3.71"/>
    <col customWidth="1" min="4" max="4" width="5.0"/>
    <col customWidth="1" min="5" max="5" width="20.57"/>
    <col customWidth="1" min="6" max="6" width="15.86"/>
    <col customWidth="1" min="7" max="7" width="9.14"/>
    <col customWidth="1" min="8" max="8" width="4.86"/>
    <col customWidth="1" min="9" max="9" width="14.71"/>
    <col customWidth="1" min="10" max="10" width="9.14"/>
    <col customWidth="1" min="11" max="25" width="8.71"/>
    <col customWidth="1" hidden="1" min="26" max="26" width="0.14"/>
  </cols>
  <sheetData>
    <row r="1" ht="12.75" hidden="1" customHeight="1">
      <c r="A1" s="1"/>
      <c r="B1" s="2"/>
      <c r="C1" s="2"/>
      <c r="D1" s="2"/>
      <c r="E1" s="2"/>
      <c r="F1" s="1"/>
      <c r="G1" s="3"/>
      <c r="H1" s="3"/>
      <c r="I1" s="3"/>
      <c r="J1" s="3"/>
      <c r="K1" s="1"/>
      <c r="L1" s="1"/>
      <c r="M1" s="1"/>
      <c r="N1" s="1"/>
      <c r="O1" s="1"/>
      <c r="P1" s="1"/>
      <c r="Q1" s="1"/>
      <c r="R1" s="1"/>
      <c r="S1" s="1"/>
      <c r="T1" s="1"/>
      <c r="U1" s="1"/>
      <c r="V1" s="1"/>
      <c r="W1" s="1"/>
      <c r="X1" s="1"/>
      <c r="Y1" s="1"/>
      <c r="Z1" s="1"/>
    </row>
    <row r="2" ht="12.75" hidden="1" customHeight="1">
      <c r="A2" s="1"/>
      <c r="B2" s="2"/>
      <c r="C2" s="2"/>
      <c r="D2" s="2"/>
      <c r="E2" s="2"/>
      <c r="F2" s="1"/>
      <c r="G2" s="3"/>
      <c r="H2" s="3"/>
      <c r="I2" s="3"/>
      <c r="J2" s="3"/>
      <c r="K2" s="1"/>
      <c r="L2" s="4"/>
      <c r="M2" s="4"/>
      <c r="N2" s="1"/>
      <c r="O2" s="1"/>
      <c r="P2" s="1"/>
      <c r="Q2" s="1"/>
      <c r="R2" s="1"/>
      <c r="S2" s="1"/>
      <c r="T2" s="1"/>
      <c r="U2" s="1"/>
      <c r="V2" s="1"/>
      <c r="W2" s="1"/>
      <c r="X2" s="1"/>
      <c r="Y2" s="1"/>
      <c r="Z2" s="1"/>
    </row>
    <row r="3" ht="12.75" hidden="1" customHeight="1">
      <c r="A3" s="1"/>
      <c r="B3" s="2"/>
      <c r="C3" s="2"/>
      <c r="D3" s="2"/>
      <c r="E3" s="2"/>
      <c r="F3" s="1"/>
      <c r="G3" s="3"/>
      <c r="H3" s="3"/>
      <c r="I3" s="3"/>
      <c r="J3" s="3"/>
      <c r="K3" s="1"/>
      <c r="L3" s="4"/>
      <c r="M3" s="4"/>
      <c r="N3" s="1"/>
      <c r="O3" s="1"/>
      <c r="P3" s="1"/>
      <c r="Q3" s="1"/>
      <c r="R3" s="1"/>
      <c r="S3" s="1"/>
      <c r="T3" s="1"/>
      <c r="U3" s="1"/>
      <c r="V3" s="1"/>
      <c r="W3" s="1"/>
      <c r="X3" s="1"/>
      <c r="Y3" s="1"/>
      <c r="Z3" s="1"/>
    </row>
    <row r="4" ht="12.75" hidden="1" customHeight="1">
      <c r="A4" s="1"/>
      <c r="B4" s="2"/>
      <c r="C4" s="2"/>
      <c r="D4" s="2"/>
      <c r="E4" s="2"/>
      <c r="F4" s="1"/>
      <c r="G4" s="3"/>
      <c r="H4" s="3"/>
      <c r="I4" s="3"/>
      <c r="J4" s="3"/>
      <c r="K4" s="1"/>
      <c r="L4" s="4"/>
      <c r="M4" s="4"/>
      <c r="N4" s="1"/>
      <c r="O4" s="1"/>
      <c r="P4" s="1"/>
      <c r="Q4" s="1"/>
      <c r="R4" s="1"/>
      <c r="S4" s="1"/>
      <c r="T4" s="1"/>
      <c r="U4" s="1"/>
      <c r="V4" s="1"/>
      <c r="W4" s="1"/>
      <c r="X4" s="1"/>
      <c r="Y4" s="1"/>
      <c r="Z4" s="1" t="s">
        <v>0</v>
      </c>
    </row>
    <row r="5" ht="12.75" hidden="1" customHeight="1">
      <c r="A5" s="1"/>
      <c r="B5" s="2"/>
      <c r="C5" s="3"/>
      <c r="D5" s="2"/>
      <c r="E5" s="2"/>
      <c r="F5" s="1"/>
      <c r="G5" s="3"/>
      <c r="H5" s="3"/>
      <c r="I5" s="3"/>
      <c r="J5" s="3"/>
      <c r="K5" s="1"/>
      <c r="L5" s="4"/>
      <c r="M5" s="4"/>
      <c r="N5" s="1"/>
      <c r="O5" s="1"/>
      <c r="P5" s="1"/>
      <c r="Q5" s="1"/>
      <c r="R5" s="1"/>
      <c r="S5" s="1"/>
      <c r="T5" s="1"/>
      <c r="U5" s="1"/>
      <c r="V5" s="1"/>
      <c r="W5" s="1"/>
      <c r="X5" s="1"/>
      <c r="Y5" s="1"/>
      <c r="Z5" s="1"/>
    </row>
    <row r="6" ht="12.75" hidden="1" customHeight="1">
      <c r="A6" s="1"/>
      <c r="B6" s="2"/>
      <c r="C6" s="2"/>
      <c r="D6" s="2"/>
      <c r="E6" s="2"/>
      <c r="F6" s="1"/>
      <c r="G6" s="3"/>
      <c r="H6" s="3"/>
      <c r="I6" s="3"/>
      <c r="J6" s="3"/>
      <c r="K6" s="1"/>
      <c r="L6" s="4"/>
      <c r="M6" s="4"/>
      <c r="N6" s="1"/>
      <c r="O6" s="1"/>
      <c r="P6" s="1"/>
      <c r="Q6" s="1"/>
      <c r="R6" s="1"/>
      <c r="S6" s="1"/>
      <c r="T6" s="1"/>
      <c r="U6" s="1"/>
      <c r="V6" s="1"/>
      <c r="W6" s="1"/>
      <c r="X6" s="1"/>
      <c r="Y6" s="1"/>
      <c r="Z6" s="1"/>
    </row>
    <row r="7" hidden="1">
      <c r="A7" s="1"/>
      <c r="B7" s="2"/>
      <c r="C7" s="2"/>
      <c r="D7" s="2"/>
      <c r="E7" s="2"/>
      <c r="F7" s="1"/>
      <c r="G7" s="3"/>
      <c r="H7" s="3"/>
      <c r="I7" s="3"/>
      <c r="J7" s="3"/>
      <c r="K7" s="1"/>
      <c r="L7" s="5"/>
      <c r="M7" s="5"/>
      <c r="N7" s="1"/>
      <c r="O7" s="1"/>
      <c r="P7" s="1"/>
      <c r="Q7" s="1"/>
      <c r="R7" s="1"/>
      <c r="S7" s="1"/>
      <c r="T7" s="1"/>
      <c r="U7" s="1"/>
      <c r="V7" s="1"/>
      <c r="W7" s="1"/>
      <c r="X7" s="1"/>
      <c r="Y7" s="1"/>
      <c r="Z7" s="1"/>
    </row>
    <row r="8" ht="13.5" hidden="1" customHeight="1">
      <c r="A8" s="1"/>
      <c r="B8" s="2"/>
      <c r="C8" s="2"/>
      <c r="D8" s="2"/>
      <c r="E8" s="2"/>
      <c r="F8" s="1"/>
      <c r="G8" s="3"/>
      <c r="H8" s="3"/>
      <c r="I8" s="3"/>
      <c r="J8" s="3"/>
      <c r="K8" s="1"/>
      <c r="L8" s="4"/>
      <c r="M8" s="4"/>
      <c r="N8" s="1"/>
      <c r="O8" s="1"/>
      <c r="P8" s="1"/>
      <c r="Q8" s="1"/>
      <c r="R8" s="1"/>
      <c r="S8" s="1"/>
      <c r="T8" s="1"/>
      <c r="U8" s="1"/>
      <c r="V8" s="1"/>
      <c r="W8" s="1"/>
      <c r="X8" s="1"/>
      <c r="Y8" s="1"/>
      <c r="Z8" s="1"/>
    </row>
    <row r="9" ht="12.75" hidden="1" customHeight="1">
      <c r="A9" s="1"/>
      <c r="B9" s="2"/>
      <c r="C9" s="2"/>
      <c r="D9" s="2"/>
      <c r="E9" s="2"/>
      <c r="F9" s="1"/>
      <c r="G9" s="3"/>
      <c r="H9" s="3"/>
      <c r="I9" s="3"/>
      <c r="J9" s="3"/>
      <c r="K9" s="1"/>
      <c r="L9" s="1"/>
      <c r="M9" s="1"/>
      <c r="N9" s="1"/>
      <c r="O9" s="1"/>
      <c r="P9" s="1"/>
      <c r="Q9" s="1"/>
      <c r="R9" s="1"/>
      <c r="S9" s="1"/>
      <c r="T9" s="1"/>
      <c r="U9" s="1"/>
      <c r="V9" s="1"/>
      <c r="W9" s="1"/>
      <c r="X9" s="1"/>
      <c r="Y9" s="1"/>
      <c r="Z9" s="1"/>
    </row>
    <row r="10" ht="3.0" hidden="1" customHeight="1">
      <c r="A10" s="1"/>
      <c r="B10" s="2"/>
      <c r="C10" s="6"/>
      <c r="D10" s="6"/>
      <c r="E10" s="6"/>
      <c r="F10" s="7"/>
      <c r="G10" s="8"/>
      <c r="H10" s="8"/>
      <c r="I10" s="8"/>
      <c r="J10" s="8"/>
      <c r="K10" s="7"/>
      <c r="L10" s="7"/>
      <c r="M10" s="7"/>
      <c r="N10" s="7"/>
      <c r="O10" s="7"/>
      <c r="P10" s="1"/>
      <c r="Q10" s="1"/>
      <c r="R10" s="1"/>
      <c r="S10" s="1"/>
      <c r="T10" s="1"/>
      <c r="U10" s="1"/>
      <c r="V10" s="1"/>
      <c r="W10" s="1"/>
      <c r="X10" s="1"/>
      <c r="Y10" s="1"/>
      <c r="Z10" s="1"/>
    </row>
    <row r="11" ht="24.0" hidden="1" customHeight="1">
      <c r="A11" s="9"/>
      <c r="B11" s="10"/>
      <c r="C11" s="10"/>
      <c r="D11" s="10"/>
      <c r="E11" s="10"/>
      <c r="F11" s="9"/>
      <c r="G11" s="11"/>
      <c r="H11" s="11"/>
      <c r="I11" s="11"/>
      <c r="J11" s="11"/>
      <c r="K11" s="9"/>
      <c r="L11" s="9"/>
      <c r="M11" s="9"/>
      <c r="N11" s="9"/>
      <c r="O11" s="9"/>
      <c r="P11" s="9"/>
      <c r="Q11" s="9"/>
      <c r="R11" s="9"/>
      <c r="S11" s="9"/>
      <c r="T11" s="9"/>
      <c r="U11" s="9"/>
      <c r="V11" s="9"/>
      <c r="W11" s="9"/>
      <c r="X11" s="9"/>
      <c r="Y11" s="9"/>
      <c r="Z11" s="9"/>
    </row>
    <row r="12" ht="24.0" hidden="1" customHeight="1">
      <c r="A12" s="9"/>
      <c r="B12" s="10"/>
      <c r="C12" s="10"/>
      <c r="D12" s="12"/>
      <c r="E12" s="13"/>
      <c r="F12" s="14"/>
      <c r="G12" s="15"/>
      <c r="H12" s="15"/>
      <c r="I12" s="11"/>
      <c r="J12" s="11"/>
      <c r="K12" s="9"/>
      <c r="L12" s="9"/>
      <c r="M12" s="9"/>
      <c r="N12" s="9"/>
      <c r="O12" s="9"/>
      <c r="P12" s="9"/>
      <c r="Q12" s="9"/>
      <c r="R12" s="9"/>
      <c r="S12" s="9"/>
      <c r="T12" s="9"/>
      <c r="U12" s="9"/>
      <c r="V12" s="9"/>
      <c r="W12" s="9"/>
      <c r="X12" s="9"/>
      <c r="Y12" s="9"/>
      <c r="Z12" s="9"/>
    </row>
    <row r="13" ht="33.0" hidden="1" customHeight="1">
      <c r="A13" s="1"/>
      <c r="B13" s="2"/>
      <c r="C13" s="2"/>
      <c r="D13" s="2"/>
      <c r="E13" s="2"/>
      <c r="F13" s="1"/>
      <c r="G13" s="3"/>
      <c r="H13" s="3"/>
      <c r="I13" s="3"/>
      <c r="J13" s="3"/>
      <c r="Z13" s="1"/>
    </row>
    <row r="14" ht="12.75" hidden="1" customHeight="1">
      <c r="A14" s="1"/>
      <c r="B14" s="2"/>
      <c r="C14" s="2"/>
      <c r="D14" s="2"/>
      <c r="E14" s="2"/>
      <c r="F14" s="1"/>
      <c r="G14" s="3"/>
      <c r="H14" s="3"/>
      <c r="I14" s="3"/>
      <c r="J14" s="3"/>
      <c r="Z14" s="1"/>
    </row>
    <row r="15" ht="12.75" hidden="1" customHeight="1">
      <c r="A15" s="1"/>
      <c r="B15" s="2"/>
      <c r="C15" s="2"/>
      <c r="D15" s="2"/>
      <c r="E15" s="2"/>
      <c r="F15" s="1"/>
      <c r="G15" s="3"/>
      <c r="H15" s="3"/>
      <c r="I15" s="3"/>
      <c r="J15" s="3"/>
      <c r="Z15" s="1"/>
    </row>
    <row r="16" ht="12.75" hidden="1" customHeight="1">
      <c r="A16" s="1"/>
      <c r="B16" s="2"/>
      <c r="C16" s="2"/>
      <c r="D16" s="2"/>
      <c r="E16" s="2"/>
      <c r="F16" s="1"/>
      <c r="G16" s="3"/>
      <c r="H16" s="3"/>
      <c r="I16" s="3"/>
      <c r="J16" s="3"/>
      <c r="Z16" s="1"/>
    </row>
    <row r="17" ht="12.75" hidden="1" customHeight="1">
      <c r="A17" s="1"/>
      <c r="B17" s="2"/>
      <c r="C17" s="2"/>
      <c r="D17" s="2"/>
      <c r="E17" s="2"/>
      <c r="F17" s="1"/>
      <c r="G17" s="3"/>
      <c r="H17" s="3"/>
      <c r="I17" s="3"/>
      <c r="J17" s="3"/>
      <c r="Z17" s="1"/>
    </row>
    <row r="18" ht="26.25" customHeight="1">
      <c r="A18" s="16" t="s">
        <v>1</v>
      </c>
      <c r="B18" s="17"/>
      <c r="C18" s="17"/>
      <c r="D18" s="17"/>
      <c r="E18" s="17"/>
      <c r="F18" s="17"/>
      <c r="G18" s="17"/>
      <c r="H18" s="17"/>
      <c r="I18" s="17"/>
      <c r="J18" s="17"/>
      <c r="K18" s="17"/>
      <c r="L18" s="17"/>
      <c r="M18" s="17"/>
      <c r="N18" s="17"/>
      <c r="O18" s="18"/>
      <c r="Z18" s="1"/>
    </row>
    <row r="19" ht="18.75" customHeight="1">
      <c r="A19" s="1"/>
      <c r="B19" s="2"/>
      <c r="C19" s="19" t="s">
        <v>2</v>
      </c>
      <c r="D19" s="20"/>
      <c r="E19" s="20"/>
      <c r="F19" s="21"/>
      <c r="G19" s="22"/>
      <c r="H19" s="22"/>
      <c r="I19" s="22"/>
      <c r="J19" s="22"/>
      <c r="K19" s="21"/>
      <c r="L19" s="21"/>
      <c r="M19" s="21"/>
      <c r="N19" s="21"/>
      <c r="O19" s="21"/>
      <c r="Z19" s="1"/>
    </row>
    <row r="20" ht="12.75" customHeight="1">
      <c r="A20" s="1"/>
      <c r="B20" s="2"/>
      <c r="C20" s="2"/>
      <c r="D20" s="2"/>
      <c r="E20" s="2"/>
      <c r="F20" s="1"/>
      <c r="G20" s="3"/>
      <c r="H20" s="3"/>
      <c r="I20" s="3"/>
      <c r="J20" s="3"/>
      <c r="Q20" s="23" t="s">
        <v>3</v>
      </c>
      <c r="Z20" s="1"/>
    </row>
    <row r="21" ht="30.0" customHeight="1">
      <c r="A21" s="1"/>
      <c r="B21" s="24"/>
      <c r="C21" s="2"/>
      <c r="D21" s="25" t="s">
        <v>4</v>
      </c>
      <c r="E21" s="2"/>
      <c r="F21" s="26">
        <v>100.0</v>
      </c>
      <c r="G21" s="3"/>
      <c r="H21" s="3"/>
      <c r="I21" s="3"/>
      <c r="J21" s="3"/>
      <c r="Z21" s="1"/>
    </row>
    <row r="22" ht="33.0" customHeight="1">
      <c r="A22" s="1"/>
      <c r="B22" s="2"/>
      <c r="C22" s="2"/>
      <c r="D22" s="25" t="s">
        <v>5</v>
      </c>
      <c r="E22" s="2"/>
      <c r="F22" s="26">
        <v>100.0</v>
      </c>
      <c r="G22" s="3"/>
      <c r="H22" s="3"/>
      <c r="I22" s="3"/>
      <c r="J22" s="3"/>
      <c r="Z22" s="1"/>
    </row>
    <row r="23" ht="30.0" customHeight="1">
      <c r="A23" s="1"/>
      <c r="B23" s="2"/>
      <c r="C23" s="2"/>
      <c r="D23" s="25" t="s">
        <v>6</v>
      </c>
      <c r="E23" s="2"/>
      <c r="F23" s="26">
        <v>100.0</v>
      </c>
      <c r="G23" s="3"/>
      <c r="H23" s="3"/>
      <c r="I23" s="3"/>
      <c r="J23" s="3"/>
      <c r="Z23" s="1"/>
    </row>
    <row r="24" ht="25.5" customHeight="1">
      <c r="A24" s="1"/>
      <c r="B24" s="2"/>
      <c r="C24" s="2"/>
      <c r="D24" s="27"/>
      <c r="E24" s="27"/>
      <c r="F24" s="1"/>
      <c r="G24" s="3"/>
      <c r="H24" s="3"/>
      <c r="I24" s="3"/>
      <c r="J24" s="3"/>
      <c r="Z24" s="1"/>
    </row>
    <row r="25" ht="18.75" customHeight="1">
      <c r="A25" s="1"/>
      <c r="B25" s="2"/>
      <c r="C25" s="28" t="s">
        <v>7</v>
      </c>
      <c r="D25" s="20"/>
      <c r="E25" s="20"/>
      <c r="F25" s="21"/>
      <c r="G25" s="22"/>
      <c r="H25" s="22"/>
      <c r="I25" s="22"/>
      <c r="J25" s="22"/>
      <c r="K25" s="21"/>
      <c r="L25" s="21"/>
      <c r="M25" s="21"/>
      <c r="N25" s="21"/>
      <c r="O25" s="21"/>
      <c r="Z25" s="1"/>
    </row>
    <row r="26" ht="12.75" customHeight="1">
      <c r="A26" s="1"/>
      <c r="B26" s="2"/>
      <c r="C26" s="2"/>
      <c r="D26" s="2"/>
      <c r="E26" s="2"/>
      <c r="F26" s="1"/>
      <c r="G26" s="3"/>
      <c r="H26" s="3"/>
      <c r="I26" s="3"/>
      <c r="J26" s="3"/>
      <c r="Z26" s="1"/>
    </row>
    <row r="27" ht="19.5" customHeight="1">
      <c r="A27" s="29"/>
      <c r="B27" s="30"/>
      <c r="C27" s="30"/>
      <c r="D27" s="31" t="s">
        <v>8</v>
      </c>
      <c r="E27" s="31" t="s">
        <v>9</v>
      </c>
      <c r="F27" s="32"/>
      <c r="G27" s="33"/>
      <c r="H27" s="33"/>
      <c r="I27" s="33"/>
      <c r="J27" s="33"/>
      <c r="K27" s="32"/>
      <c r="L27" s="32"/>
      <c r="M27" s="32"/>
      <c r="N27" s="32"/>
      <c r="O27" s="32"/>
      <c r="P27" s="29"/>
      <c r="Y27" s="29"/>
      <c r="Z27" s="29"/>
    </row>
    <row r="28" ht="30.0" customHeight="1">
      <c r="A28" s="29"/>
      <c r="B28" s="30"/>
      <c r="C28" s="30"/>
      <c r="D28" s="31" t="s">
        <v>10</v>
      </c>
      <c r="E28" s="34" t="s">
        <v>11</v>
      </c>
      <c r="P28" s="29"/>
      <c r="Y28" s="29"/>
      <c r="Z28" s="29"/>
    </row>
    <row r="29" ht="28.5" customHeight="1">
      <c r="A29" s="1"/>
      <c r="B29" s="2"/>
      <c r="C29" s="2"/>
      <c r="D29" s="31"/>
      <c r="E29" s="35"/>
      <c r="F29" s="36"/>
      <c r="G29" s="37"/>
      <c r="H29" s="37"/>
      <c r="I29" s="37"/>
      <c r="J29" s="37"/>
      <c r="K29" s="36"/>
      <c r="L29" s="36"/>
      <c r="M29" s="36"/>
      <c r="N29" s="36"/>
      <c r="O29" s="36"/>
      <c r="Q29" s="2"/>
      <c r="R29" s="38" t="s">
        <v>12</v>
      </c>
      <c r="S29" s="39"/>
      <c r="T29" s="39"/>
      <c r="U29" s="39"/>
      <c r="V29" s="39"/>
      <c r="W29" s="40"/>
      <c r="X29" s="1"/>
      <c r="Z29" s="1"/>
    </row>
    <row r="30" ht="1.5" customHeight="1">
      <c r="A30" s="1"/>
      <c r="B30" s="2"/>
      <c r="C30" s="28"/>
      <c r="D30" s="41"/>
      <c r="E30" s="42"/>
      <c r="F30" s="43"/>
      <c r="G30" s="44"/>
      <c r="H30" s="44"/>
      <c r="I30" s="44"/>
      <c r="J30" s="44"/>
      <c r="K30" s="43"/>
      <c r="L30" s="43"/>
      <c r="M30" s="43"/>
      <c r="N30" s="43"/>
      <c r="O30" s="43"/>
      <c r="Q30" s="2"/>
      <c r="R30" s="45"/>
      <c r="S30" s="46"/>
      <c r="T30" s="46"/>
      <c r="U30" s="46"/>
      <c r="V30" s="46"/>
      <c r="W30" s="47"/>
      <c r="X30" s="1"/>
      <c r="Z30" s="1"/>
    </row>
    <row r="31" ht="15.75" customHeight="1">
      <c r="A31" s="1"/>
      <c r="B31" s="2"/>
      <c r="C31" s="2"/>
      <c r="D31" s="31"/>
      <c r="E31" s="35"/>
      <c r="F31" s="36"/>
      <c r="G31" s="37"/>
      <c r="H31" s="37"/>
      <c r="I31" s="37"/>
      <c r="J31" s="37"/>
      <c r="K31" s="36"/>
      <c r="L31" s="36"/>
      <c r="M31" s="36"/>
      <c r="N31" s="36"/>
      <c r="O31" s="36"/>
      <c r="Q31" s="2"/>
      <c r="R31" s="2"/>
      <c r="S31" s="1"/>
      <c r="T31" s="3"/>
      <c r="U31" s="3"/>
      <c r="V31" s="3"/>
      <c r="W31" s="3"/>
      <c r="X31" s="1"/>
      <c r="Z31" s="1"/>
    </row>
    <row r="32" ht="18.0" customHeight="1">
      <c r="A32" s="1"/>
      <c r="B32" s="2"/>
      <c r="C32" s="2"/>
      <c r="D32" s="31" t="s">
        <v>8</v>
      </c>
      <c r="E32" s="31" t="s">
        <v>13</v>
      </c>
      <c r="F32" s="32"/>
      <c r="G32" s="33"/>
      <c r="H32" s="33"/>
      <c r="I32" s="33"/>
      <c r="J32" s="33"/>
      <c r="K32" s="32"/>
      <c r="L32" s="32"/>
      <c r="M32" s="32"/>
      <c r="N32" s="32"/>
      <c r="O32" s="32"/>
      <c r="Q32" s="2"/>
      <c r="R32" s="24" t="s">
        <v>14</v>
      </c>
      <c r="X32" s="1"/>
      <c r="Z32" s="1"/>
    </row>
    <row r="33" ht="34.5" customHeight="1">
      <c r="A33" s="1"/>
      <c r="B33" s="2"/>
      <c r="C33" s="2"/>
      <c r="D33" s="31" t="s">
        <v>10</v>
      </c>
      <c r="E33" s="34" t="s">
        <v>15</v>
      </c>
      <c r="S33" s="48"/>
      <c r="T33" s="48"/>
      <c r="U33" s="48"/>
      <c r="Z33" s="1"/>
    </row>
    <row r="34" ht="15.75" customHeight="1">
      <c r="A34" s="1"/>
      <c r="B34" s="2"/>
      <c r="C34" s="2"/>
      <c r="D34" s="31"/>
      <c r="E34" s="35"/>
      <c r="F34" s="36"/>
      <c r="G34" s="37"/>
      <c r="H34" s="37"/>
      <c r="I34" s="37"/>
      <c r="J34" s="37"/>
      <c r="K34" s="36"/>
      <c r="L34" s="36"/>
      <c r="M34" s="36"/>
      <c r="N34" s="36"/>
      <c r="O34" s="36"/>
      <c r="S34" s="49"/>
      <c r="T34" s="49"/>
      <c r="U34" s="49"/>
      <c r="Z34" s="1"/>
    </row>
    <row r="35" ht="1.5" customHeight="1">
      <c r="A35" s="1"/>
      <c r="B35" s="2"/>
      <c r="C35" s="28"/>
      <c r="D35" s="41"/>
      <c r="E35" s="42"/>
      <c r="F35" s="43"/>
      <c r="G35" s="44"/>
      <c r="H35" s="44"/>
      <c r="I35" s="44"/>
      <c r="J35" s="44"/>
      <c r="K35" s="43"/>
      <c r="L35" s="43"/>
      <c r="M35" s="43"/>
      <c r="N35" s="43"/>
      <c r="O35" s="43"/>
      <c r="Z35" s="1"/>
    </row>
    <row r="36" ht="15.75" customHeight="1">
      <c r="A36" s="1"/>
      <c r="B36" s="2"/>
      <c r="C36" s="2"/>
      <c r="D36" s="31"/>
      <c r="E36" s="35"/>
      <c r="F36" s="36"/>
      <c r="G36" s="37"/>
      <c r="H36" s="37"/>
      <c r="I36" s="37"/>
      <c r="J36" s="37"/>
      <c r="K36" s="36"/>
      <c r="L36" s="36"/>
      <c r="M36" s="36"/>
      <c r="N36" s="36"/>
      <c r="O36" s="36"/>
      <c r="Z36" s="1"/>
    </row>
    <row r="37" ht="19.5" customHeight="1">
      <c r="A37" s="1"/>
      <c r="B37" s="2"/>
      <c r="C37" s="2"/>
      <c r="D37" s="31" t="s">
        <v>8</v>
      </c>
      <c r="E37" s="31" t="s">
        <v>16</v>
      </c>
      <c r="F37" s="32"/>
      <c r="G37" s="33"/>
      <c r="H37" s="33"/>
      <c r="I37" s="33"/>
      <c r="J37" s="33"/>
      <c r="K37" s="32"/>
      <c r="L37" s="32"/>
      <c r="M37" s="32"/>
      <c r="N37" s="32"/>
      <c r="O37" s="32"/>
      <c r="Z37" s="1"/>
    </row>
    <row r="38" ht="31.5" customHeight="1">
      <c r="A38" s="1"/>
      <c r="B38" s="2"/>
      <c r="C38" s="2"/>
      <c r="D38" s="31" t="s">
        <v>10</v>
      </c>
      <c r="E38" s="34" t="s">
        <v>17</v>
      </c>
      <c r="Z38" s="1"/>
    </row>
    <row r="39" ht="15.75" customHeight="1">
      <c r="A39" s="1"/>
      <c r="B39" s="2"/>
      <c r="C39" s="2"/>
      <c r="D39" s="31"/>
      <c r="E39" s="35"/>
      <c r="F39" s="36"/>
      <c r="G39" s="37"/>
      <c r="H39" s="37"/>
      <c r="I39" s="37"/>
      <c r="J39" s="37"/>
      <c r="K39" s="36"/>
      <c r="L39" s="36"/>
      <c r="M39" s="36"/>
      <c r="N39" s="36"/>
      <c r="O39" s="36"/>
      <c r="Z39" s="1"/>
    </row>
    <row r="40" ht="1.5" customHeight="1">
      <c r="A40" s="1"/>
      <c r="B40" s="2"/>
      <c r="C40" s="28"/>
      <c r="D40" s="41"/>
      <c r="E40" s="42"/>
      <c r="F40" s="43"/>
      <c r="G40" s="44"/>
      <c r="H40" s="44"/>
      <c r="I40" s="44"/>
      <c r="J40" s="44"/>
      <c r="K40" s="43"/>
      <c r="L40" s="43"/>
      <c r="M40" s="43"/>
      <c r="N40" s="43"/>
      <c r="O40" s="43"/>
      <c r="Z40" s="1"/>
    </row>
    <row r="41" ht="15.75" customHeight="1">
      <c r="A41" s="1"/>
      <c r="B41" s="2"/>
      <c r="C41" s="2"/>
      <c r="D41" s="31"/>
      <c r="E41" s="35"/>
      <c r="F41" s="36"/>
      <c r="G41" s="37"/>
      <c r="H41" s="37"/>
      <c r="I41" s="37"/>
      <c r="J41" s="37"/>
      <c r="K41" s="36"/>
      <c r="L41" s="36"/>
      <c r="M41" s="36"/>
      <c r="N41" s="36"/>
      <c r="O41" s="36"/>
      <c r="Z41" s="1"/>
    </row>
    <row r="42" ht="19.5" customHeight="1">
      <c r="A42" s="1"/>
      <c r="B42" s="2"/>
      <c r="C42" s="2"/>
      <c r="D42" s="31" t="s">
        <v>8</v>
      </c>
      <c r="E42" s="31" t="s">
        <v>18</v>
      </c>
      <c r="F42" s="32"/>
      <c r="G42" s="33"/>
      <c r="H42" s="33"/>
      <c r="I42" s="33"/>
      <c r="J42" s="33"/>
      <c r="K42" s="32"/>
      <c r="L42" s="32"/>
      <c r="M42" s="32"/>
      <c r="N42" s="32"/>
      <c r="O42" s="32"/>
      <c r="Z42" s="1"/>
    </row>
    <row r="43" ht="33.75" customHeight="1">
      <c r="A43" s="1"/>
      <c r="B43" s="2"/>
      <c r="C43" s="2"/>
      <c r="D43" s="31" t="s">
        <v>10</v>
      </c>
      <c r="E43" s="34" t="s">
        <v>19</v>
      </c>
      <c r="Z43" s="1"/>
    </row>
    <row r="44" ht="15.75" customHeight="1">
      <c r="A44" s="1"/>
      <c r="B44" s="2"/>
      <c r="C44" s="2"/>
      <c r="D44" s="31"/>
      <c r="E44" s="35"/>
      <c r="F44" s="36"/>
      <c r="G44" s="37"/>
      <c r="H44" s="37"/>
      <c r="I44" s="37"/>
      <c r="J44" s="37"/>
      <c r="K44" s="36"/>
      <c r="L44" s="36"/>
      <c r="M44" s="36"/>
      <c r="N44" s="36"/>
      <c r="O44" s="36"/>
      <c r="Z44" s="1"/>
    </row>
    <row r="45" ht="1.5" customHeight="1">
      <c r="A45" s="1"/>
      <c r="B45" s="2"/>
      <c r="C45" s="28"/>
      <c r="D45" s="41"/>
      <c r="E45" s="42"/>
      <c r="F45" s="43"/>
      <c r="G45" s="44"/>
      <c r="H45" s="44"/>
      <c r="I45" s="44"/>
      <c r="J45" s="44"/>
      <c r="K45" s="43"/>
      <c r="L45" s="43"/>
      <c r="M45" s="43"/>
      <c r="N45" s="43"/>
      <c r="O45" s="43"/>
      <c r="Z45" s="1"/>
    </row>
    <row r="46" ht="15.75" customHeight="1">
      <c r="A46" s="1"/>
      <c r="B46" s="2"/>
      <c r="C46" s="2"/>
      <c r="D46" s="31"/>
      <c r="E46" s="35"/>
      <c r="F46" s="36"/>
      <c r="G46" s="37"/>
      <c r="H46" s="37"/>
      <c r="I46" s="37"/>
      <c r="J46" s="37"/>
      <c r="K46" s="36"/>
      <c r="L46" s="36"/>
      <c r="M46" s="36"/>
      <c r="N46" s="36"/>
      <c r="O46" s="36"/>
      <c r="Z46" s="1"/>
    </row>
    <row r="47" ht="18.0" customHeight="1">
      <c r="A47" s="1"/>
      <c r="B47" s="2"/>
      <c r="C47" s="2"/>
      <c r="D47" s="31" t="s">
        <v>8</v>
      </c>
      <c r="E47" s="31" t="s">
        <v>20</v>
      </c>
      <c r="F47" s="32"/>
      <c r="G47" s="33"/>
      <c r="H47" s="33"/>
      <c r="I47" s="33"/>
      <c r="J47" s="33"/>
      <c r="K47" s="32"/>
      <c r="L47" s="32"/>
      <c r="M47" s="32"/>
      <c r="N47" s="32"/>
      <c r="O47" s="32"/>
      <c r="Z47" s="1"/>
    </row>
    <row r="48" ht="15.75" customHeight="1">
      <c r="A48" s="1"/>
      <c r="B48" s="2"/>
      <c r="C48" s="2"/>
      <c r="D48" s="31" t="s">
        <v>10</v>
      </c>
      <c r="E48" s="34" t="s">
        <v>21</v>
      </c>
      <c r="Z48" s="1"/>
    </row>
    <row r="49" ht="15.75" customHeight="1">
      <c r="A49" s="1"/>
      <c r="B49" s="2"/>
      <c r="C49" s="2"/>
      <c r="D49" s="31"/>
      <c r="E49" s="35"/>
      <c r="F49" s="36"/>
      <c r="G49" s="37"/>
      <c r="H49" s="37"/>
      <c r="I49" s="37"/>
      <c r="J49" s="37"/>
      <c r="K49" s="36"/>
      <c r="L49" s="36"/>
      <c r="M49" s="36"/>
      <c r="N49" s="36"/>
      <c r="O49" s="36"/>
      <c r="Z49" s="1"/>
    </row>
    <row r="50" ht="1.5" customHeight="1">
      <c r="A50" s="1"/>
      <c r="B50" s="2"/>
      <c r="C50" s="28"/>
      <c r="D50" s="41"/>
      <c r="E50" s="42"/>
      <c r="F50" s="43"/>
      <c r="G50" s="44"/>
      <c r="H50" s="44"/>
      <c r="I50" s="44"/>
      <c r="J50" s="44"/>
      <c r="K50" s="43"/>
      <c r="L50" s="43"/>
      <c r="M50" s="43"/>
      <c r="N50" s="43"/>
      <c r="O50" s="43"/>
      <c r="Z50" s="1"/>
    </row>
    <row r="51" ht="15.75" customHeight="1">
      <c r="A51" s="1"/>
      <c r="B51" s="2"/>
      <c r="C51" s="2"/>
      <c r="D51" s="31"/>
      <c r="E51" s="35"/>
      <c r="F51" s="36"/>
      <c r="G51" s="37"/>
      <c r="H51" s="37"/>
      <c r="I51" s="37"/>
      <c r="J51" s="37"/>
      <c r="K51" s="36"/>
      <c r="L51" s="36"/>
      <c r="M51" s="36"/>
      <c r="N51" s="36"/>
      <c r="O51" s="36"/>
      <c r="Z51" s="1"/>
    </row>
    <row r="52" ht="15.75" customHeight="1">
      <c r="A52" s="1"/>
      <c r="B52" s="2"/>
      <c r="C52" s="2"/>
      <c r="D52" s="31" t="s">
        <v>8</v>
      </c>
      <c r="E52" s="50" t="s">
        <v>22</v>
      </c>
      <c r="F52" s="36"/>
      <c r="G52" s="37"/>
      <c r="H52" s="37"/>
      <c r="I52" s="37"/>
      <c r="J52" s="37"/>
      <c r="K52" s="36"/>
      <c r="L52" s="36"/>
      <c r="M52" s="36"/>
      <c r="N52" s="36"/>
      <c r="O52" s="36"/>
      <c r="Z52" s="1"/>
    </row>
    <row r="53" ht="15.75" customHeight="1">
      <c r="A53" s="1"/>
      <c r="B53" s="2"/>
      <c r="C53" s="2"/>
      <c r="D53" s="31" t="s">
        <v>10</v>
      </c>
      <c r="E53" s="34" t="s">
        <v>23</v>
      </c>
      <c r="Z53" s="1"/>
    </row>
    <row r="54" ht="15.75" customHeight="1">
      <c r="A54" s="1"/>
      <c r="B54" s="2"/>
      <c r="C54" s="2"/>
      <c r="D54" s="31"/>
      <c r="E54" s="35"/>
      <c r="F54" s="36"/>
      <c r="G54" s="37"/>
      <c r="H54" s="37"/>
      <c r="I54" s="37"/>
      <c r="J54" s="37"/>
      <c r="K54" s="36"/>
      <c r="L54" s="36"/>
      <c r="M54" s="36"/>
      <c r="N54" s="36"/>
      <c r="O54" s="36"/>
      <c r="Z54" s="1"/>
    </row>
    <row r="55" ht="1.5" customHeight="1">
      <c r="A55" s="1"/>
      <c r="B55" s="2"/>
      <c r="C55" s="28"/>
      <c r="D55" s="41"/>
      <c r="E55" s="42"/>
      <c r="F55" s="43"/>
      <c r="G55" s="44"/>
      <c r="H55" s="44"/>
      <c r="I55" s="44"/>
      <c r="J55" s="44"/>
      <c r="K55" s="43"/>
      <c r="L55" s="43"/>
      <c r="M55" s="43"/>
      <c r="N55" s="43"/>
      <c r="O55" s="43"/>
      <c r="Z55" s="1"/>
    </row>
    <row r="56" ht="15.75" customHeight="1">
      <c r="A56" s="1"/>
      <c r="B56" s="2"/>
      <c r="C56" s="2"/>
      <c r="D56" s="31"/>
      <c r="E56" s="35"/>
      <c r="F56" s="36"/>
      <c r="G56" s="37"/>
      <c r="H56" s="37"/>
      <c r="I56" s="37"/>
      <c r="J56" s="37"/>
      <c r="K56" s="36"/>
      <c r="L56" s="36"/>
      <c r="M56" s="36"/>
      <c r="N56" s="36"/>
      <c r="O56" s="36"/>
      <c r="Z56" s="1"/>
    </row>
    <row r="57" ht="18.75" customHeight="1">
      <c r="A57" s="1"/>
      <c r="B57" s="2"/>
      <c r="C57" s="2"/>
      <c r="D57" s="51" t="s">
        <v>8</v>
      </c>
      <c r="E57" s="51" t="s">
        <v>24</v>
      </c>
      <c r="F57" s="52"/>
      <c r="G57" s="53"/>
      <c r="H57" s="53"/>
      <c r="I57" s="53"/>
      <c r="J57" s="53"/>
      <c r="K57" s="52"/>
      <c r="L57" s="52"/>
      <c r="M57" s="52"/>
      <c r="N57" s="52"/>
      <c r="O57" s="52"/>
      <c r="Z57" s="1"/>
    </row>
    <row r="58" ht="48.75" customHeight="1">
      <c r="A58" s="1"/>
      <c r="B58" s="2"/>
      <c r="C58" s="2"/>
      <c r="D58" s="51" t="s">
        <v>10</v>
      </c>
      <c r="E58" s="34" t="s">
        <v>25</v>
      </c>
      <c r="Z58" s="1"/>
    </row>
    <row r="59" ht="15.75" customHeight="1">
      <c r="A59" s="1"/>
      <c r="B59" s="2"/>
      <c r="C59" s="2"/>
      <c r="D59" s="31"/>
      <c r="E59" s="35"/>
      <c r="F59" s="36"/>
      <c r="G59" s="37"/>
      <c r="H59" s="37"/>
      <c r="I59" s="37"/>
      <c r="J59" s="37"/>
      <c r="K59" s="36"/>
      <c r="L59" s="36"/>
      <c r="M59" s="36"/>
      <c r="N59" s="36"/>
      <c r="O59" s="36"/>
      <c r="Z59" s="1"/>
    </row>
    <row r="60" ht="1.5" customHeight="1">
      <c r="A60" s="1"/>
      <c r="B60" s="2"/>
      <c r="C60" s="28"/>
      <c r="D60" s="41"/>
      <c r="E60" s="42"/>
      <c r="F60" s="43"/>
      <c r="G60" s="44"/>
      <c r="H60" s="44"/>
      <c r="I60" s="44"/>
      <c r="J60" s="44"/>
      <c r="K60" s="43"/>
      <c r="L60" s="43"/>
      <c r="M60" s="43"/>
      <c r="N60" s="43"/>
      <c r="O60" s="43"/>
      <c r="Z60" s="1"/>
    </row>
    <row r="61" ht="15.75" customHeight="1">
      <c r="A61" s="1"/>
      <c r="B61" s="2"/>
      <c r="C61" s="2"/>
      <c r="D61" s="31"/>
      <c r="E61" s="35"/>
      <c r="F61" s="36"/>
      <c r="G61" s="37"/>
      <c r="H61" s="37"/>
      <c r="I61" s="37"/>
      <c r="J61" s="37"/>
      <c r="K61" s="36"/>
      <c r="L61" s="36"/>
      <c r="M61" s="36"/>
      <c r="N61" s="36"/>
      <c r="O61" s="36"/>
      <c r="Z61" s="1"/>
    </row>
    <row r="62" ht="15.75" customHeight="1">
      <c r="A62" s="1"/>
      <c r="B62" s="2"/>
      <c r="C62" s="2"/>
      <c r="D62" s="31" t="s">
        <v>8</v>
      </c>
      <c r="E62" s="50" t="s">
        <v>26</v>
      </c>
      <c r="F62" s="36"/>
      <c r="G62" s="37"/>
      <c r="H62" s="37"/>
      <c r="I62" s="1"/>
      <c r="J62" s="1"/>
      <c r="M62" s="36"/>
      <c r="N62" s="36"/>
      <c r="O62" s="36"/>
      <c r="Z62" s="1"/>
    </row>
    <row r="63" ht="24.75" customHeight="1">
      <c r="A63" s="1"/>
      <c r="B63" s="2"/>
      <c r="C63" s="2"/>
      <c r="D63" s="31" t="s">
        <v>10</v>
      </c>
      <c r="E63" s="54" t="s">
        <v>27</v>
      </c>
      <c r="F63" s="1"/>
      <c r="G63" s="55"/>
      <c r="H63" s="55"/>
      <c r="I63" s="1"/>
      <c r="J63" s="1"/>
      <c r="M63" s="56"/>
      <c r="N63" s="56"/>
      <c r="O63" s="56"/>
      <c r="Z63" s="1"/>
    </row>
    <row r="64" ht="12.75" customHeight="1">
      <c r="A64" s="1"/>
      <c r="B64" s="2"/>
      <c r="C64" s="2"/>
      <c r="D64" s="57"/>
      <c r="E64" s="58"/>
      <c r="F64" s="56"/>
      <c r="G64" s="55"/>
      <c r="H64" s="55"/>
      <c r="I64" s="55"/>
      <c r="J64" s="55"/>
      <c r="K64" s="56"/>
      <c r="L64" s="56"/>
      <c r="M64" s="56"/>
      <c r="N64" s="56"/>
      <c r="O64" s="56"/>
      <c r="Z64" s="1"/>
    </row>
    <row r="65" ht="1.5" customHeight="1">
      <c r="A65" s="1"/>
      <c r="B65" s="2"/>
      <c r="C65" s="28"/>
      <c r="D65" s="59"/>
      <c r="E65" s="20"/>
      <c r="F65" s="21"/>
      <c r="G65" s="22"/>
      <c r="H65" s="22"/>
      <c r="I65" s="22"/>
      <c r="J65" s="22"/>
      <c r="K65" s="21"/>
      <c r="L65" s="21"/>
      <c r="M65" s="21"/>
      <c r="N65" s="21"/>
      <c r="O65" s="21"/>
      <c r="Z65" s="1"/>
    </row>
    <row r="66" ht="12.75" customHeight="1">
      <c r="A66" s="1"/>
      <c r="B66" s="2"/>
      <c r="C66" s="2"/>
      <c r="D66" s="30"/>
      <c r="E66" s="2"/>
      <c r="F66" s="1"/>
      <c r="G66" s="3"/>
      <c r="H66" s="3"/>
      <c r="I66" s="3"/>
      <c r="J66" s="3"/>
      <c r="Z66" s="1"/>
    </row>
    <row r="67" ht="12.75" customHeight="1">
      <c r="A67" s="1"/>
      <c r="B67" s="2"/>
      <c r="C67" s="2"/>
      <c r="D67" s="30"/>
      <c r="E67" s="2"/>
      <c r="F67" s="1"/>
      <c r="G67" s="3"/>
      <c r="H67" s="3"/>
      <c r="I67" s="3"/>
      <c r="J67" s="3"/>
      <c r="Z67" s="1"/>
    </row>
    <row r="68" ht="12.75" customHeight="1">
      <c r="A68" s="1"/>
      <c r="B68" s="2"/>
      <c r="C68" s="2"/>
      <c r="D68" s="30"/>
      <c r="E68" s="2"/>
      <c r="F68" s="1"/>
      <c r="G68" s="3"/>
      <c r="H68" s="3"/>
      <c r="I68" s="3"/>
      <c r="J68" s="3"/>
      <c r="Z68" s="1"/>
    </row>
    <row r="69" ht="12.75" customHeight="1">
      <c r="A69" s="1"/>
      <c r="B69" s="2"/>
      <c r="C69" s="2"/>
      <c r="D69" s="30"/>
      <c r="E69" s="2"/>
      <c r="F69" s="1"/>
      <c r="G69" s="3"/>
      <c r="H69" s="3"/>
      <c r="I69" s="3"/>
      <c r="J69" s="3"/>
      <c r="Z69" s="1"/>
    </row>
    <row r="70" ht="1.5" customHeight="1">
      <c r="A70" s="9"/>
      <c r="B70" s="10"/>
      <c r="C70" s="60"/>
      <c r="D70" s="61"/>
      <c r="E70" s="62"/>
      <c r="F70" s="63"/>
      <c r="G70" s="64"/>
      <c r="H70" s="64"/>
      <c r="I70" s="64"/>
      <c r="J70" s="64"/>
      <c r="K70" s="63"/>
      <c r="L70" s="63"/>
      <c r="M70" s="63"/>
      <c r="N70" s="63"/>
      <c r="O70" s="63"/>
      <c r="P70" s="9"/>
      <c r="Q70" s="9"/>
      <c r="R70" s="9"/>
      <c r="S70" s="9"/>
      <c r="T70" s="9"/>
      <c r="U70" s="9"/>
      <c r="V70" s="9"/>
      <c r="W70" s="9"/>
      <c r="X70" s="9"/>
      <c r="Y70" s="9"/>
      <c r="Z70" s="9"/>
    </row>
    <row r="71" ht="12.75" customHeight="1">
      <c r="A71" s="1"/>
      <c r="B71" s="2"/>
      <c r="C71" s="2"/>
      <c r="D71" s="30"/>
      <c r="E71" s="2"/>
      <c r="F71" s="1"/>
      <c r="G71" s="3"/>
      <c r="H71" s="3"/>
      <c r="I71" s="3"/>
      <c r="J71" s="3"/>
      <c r="Z71" s="1"/>
    </row>
    <row r="72" ht="12.75" customHeight="1">
      <c r="A72" s="1"/>
      <c r="B72" s="2"/>
      <c r="C72" s="2"/>
      <c r="D72" s="30"/>
      <c r="E72" s="2"/>
      <c r="F72" s="1"/>
      <c r="G72" s="3"/>
      <c r="H72" s="3"/>
      <c r="I72" s="3"/>
      <c r="J72" s="3"/>
      <c r="Z72" s="1"/>
    </row>
    <row r="73" ht="12.75" customHeight="1">
      <c r="A73" s="1"/>
      <c r="B73" s="2"/>
      <c r="C73" s="2"/>
      <c r="D73" s="30"/>
      <c r="E73" s="2"/>
      <c r="F73" s="1"/>
      <c r="G73" s="3"/>
      <c r="H73" s="3"/>
      <c r="I73" s="3"/>
      <c r="J73" s="3"/>
      <c r="Z73" s="1"/>
    </row>
    <row r="74" ht="12.75" customHeight="1">
      <c r="A74" s="1"/>
      <c r="B74" s="2"/>
      <c r="C74" s="2"/>
      <c r="D74" s="30"/>
      <c r="E74" s="2"/>
      <c r="F74" s="1"/>
      <c r="G74" s="3"/>
      <c r="H74" s="3"/>
      <c r="I74" s="3"/>
      <c r="J74" s="3"/>
      <c r="Z74" s="1"/>
    </row>
    <row r="75" ht="1.5" customHeight="1">
      <c r="A75" s="9"/>
      <c r="B75" s="10"/>
      <c r="C75" s="60"/>
      <c r="D75" s="61"/>
      <c r="E75" s="62"/>
      <c r="F75" s="63"/>
      <c r="G75" s="64"/>
      <c r="H75" s="64"/>
      <c r="I75" s="64"/>
      <c r="J75" s="64"/>
      <c r="K75" s="63"/>
      <c r="L75" s="63"/>
      <c r="M75" s="63"/>
      <c r="N75" s="63"/>
      <c r="O75" s="63"/>
      <c r="P75" s="9"/>
      <c r="Q75" s="9"/>
      <c r="R75" s="9"/>
      <c r="S75" s="9"/>
      <c r="T75" s="9"/>
      <c r="U75" s="9"/>
      <c r="V75" s="9"/>
      <c r="W75" s="9"/>
      <c r="X75" s="9"/>
      <c r="Y75" s="9"/>
      <c r="Z75" s="9"/>
    </row>
    <row r="76" ht="12.75" customHeight="1">
      <c r="A76" s="1"/>
      <c r="B76" s="2"/>
      <c r="C76" s="2"/>
      <c r="D76" s="30"/>
      <c r="E76" s="2"/>
      <c r="F76" s="1"/>
      <c r="G76" s="3"/>
      <c r="H76" s="3"/>
      <c r="I76" s="3"/>
      <c r="J76" s="3"/>
      <c r="Z76" s="1"/>
    </row>
    <row r="77" ht="12.75" customHeight="1">
      <c r="A77" s="1"/>
      <c r="B77" s="2"/>
      <c r="C77" s="2"/>
      <c r="D77" s="2"/>
      <c r="E77" s="2"/>
      <c r="F77" s="1"/>
      <c r="G77" s="3"/>
      <c r="H77" s="3"/>
      <c r="I77" s="3"/>
      <c r="J77" s="3"/>
      <c r="Z77" s="1"/>
    </row>
    <row r="78" ht="12.75" customHeight="1">
      <c r="A78" s="1"/>
      <c r="B78" s="2"/>
      <c r="C78" s="2"/>
      <c r="D78" s="2"/>
      <c r="E78" s="2"/>
      <c r="F78" s="1"/>
      <c r="G78" s="3"/>
      <c r="H78" s="3"/>
      <c r="I78" s="3"/>
      <c r="J78" s="3"/>
      <c r="Z78" s="1"/>
    </row>
    <row r="79" ht="12.75" customHeight="1">
      <c r="A79" s="1"/>
      <c r="B79" s="2"/>
      <c r="C79" s="2"/>
      <c r="D79" s="2"/>
      <c r="E79" s="2"/>
      <c r="F79" s="1"/>
      <c r="G79" s="3"/>
      <c r="H79" s="3"/>
      <c r="I79" s="3"/>
      <c r="J79" s="3"/>
      <c r="Z79" s="1"/>
    </row>
    <row r="80" ht="12.75" customHeight="1">
      <c r="A80" s="1"/>
      <c r="B80" s="2"/>
      <c r="C80" s="2"/>
      <c r="D80" s="2"/>
      <c r="E80" s="2"/>
      <c r="F80" s="1"/>
      <c r="G80" s="3"/>
      <c r="H80" s="3"/>
      <c r="I80" s="3"/>
      <c r="J80" s="3"/>
      <c r="Z80" s="1"/>
    </row>
    <row r="81" ht="12.75" customHeight="1">
      <c r="A81" s="1"/>
      <c r="B81" s="2"/>
      <c r="C81" s="2"/>
      <c r="D81" s="2"/>
      <c r="E81" s="2"/>
      <c r="F81" s="1"/>
      <c r="G81" s="3"/>
      <c r="H81" s="3"/>
      <c r="I81" s="3"/>
      <c r="J81" s="3"/>
      <c r="Z81" s="1"/>
    </row>
    <row r="82" ht="12.75" customHeight="1">
      <c r="A82" s="1"/>
      <c r="B82" s="2"/>
      <c r="C82" s="2"/>
      <c r="D82" s="2"/>
      <c r="E82" s="2"/>
      <c r="F82" s="1"/>
      <c r="G82" s="3"/>
      <c r="H82" s="3"/>
      <c r="I82" s="3"/>
      <c r="J82" s="3"/>
      <c r="Z82" s="1"/>
    </row>
    <row r="83" ht="12.75" customHeight="1">
      <c r="A83" s="1"/>
      <c r="B83" s="2"/>
      <c r="C83" s="2"/>
      <c r="D83" s="2"/>
      <c r="E83" s="2"/>
      <c r="F83" s="1"/>
      <c r="G83" s="3"/>
      <c r="H83" s="3"/>
      <c r="I83" s="3"/>
      <c r="J83" s="3"/>
      <c r="Z83" s="1"/>
    </row>
    <row r="84" ht="12.75" customHeight="1">
      <c r="A84" s="1"/>
      <c r="B84" s="2"/>
      <c r="C84" s="2"/>
      <c r="D84" s="2"/>
      <c r="E84" s="2"/>
      <c r="F84" s="1"/>
      <c r="G84" s="3"/>
      <c r="H84" s="3"/>
      <c r="I84" s="3"/>
      <c r="J84" s="3"/>
      <c r="Z84" s="1"/>
    </row>
    <row r="85" ht="12.75" customHeight="1">
      <c r="A85" s="1"/>
      <c r="B85" s="2"/>
      <c r="C85" s="2"/>
      <c r="D85" s="2"/>
      <c r="E85" s="2"/>
      <c r="F85" s="1"/>
      <c r="G85" s="3"/>
      <c r="H85" s="3"/>
      <c r="I85" s="3"/>
      <c r="J85" s="3"/>
      <c r="Z85" s="1"/>
    </row>
    <row r="86" ht="12.75" customHeight="1">
      <c r="A86" s="1"/>
      <c r="B86" s="2"/>
      <c r="C86" s="2"/>
      <c r="D86" s="2"/>
      <c r="E86" s="2"/>
      <c r="F86" s="1"/>
      <c r="G86" s="3"/>
      <c r="H86" s="3"/>
      <c r="I86" s="3"/>
      <c r="J86" s="3"/>
      <c r="Z86" s="1"/>
    </row>
    <row r="87" ht="12.75" customHeight="1">
      <c r="A87" s="1"/>
      <c r="B87" s="2"/>
      <c r="C87" s="2"/>
      <c r="D87" s="2"/>
      <c r="E87" s="2"/>
      <c r="F87" s="1"/>
      <c r="G87" s="3"/>
      <c r="H87" s="3"/>
      <c r="I87" s="3"/>
      <c r="J87" s="3"/>
      <c r="Z87" s="1"/>
    </row>
    <row r="88" ht="12.75" customHeight="1">
      <c r="A88" s="1"/>
      <c r="B88" s="2"/>
      <c r="C88" s="2"/>
      <c r="D88" s="2"/>
      <c r="E88" s="2"/>
      <c r="F88" s="1"/>
      <c r="G88" s="3"/>
      <c r="H88" s="3"/>
      <c r="I88" s="3"/>
      <c r="J88" s="3"/>
      <c r="Z88" s="1"/>
    </row>
    <row r="89" ht="12.75" customHeight="1">
      <c r="A89" s="1"/>
      <c r="B89" s="2"/>
      <c r="C89" s="2"/>
      <c r="D89" s="2"/>
      <c r="E89" s="2"/>
      <c r="F89" s="1"/>
      <c r="G89" s="3"/>
      <c r="H89" s="3"/>
      <c r="I89" s="3"/>
      <c r="J89" s="3"/>
      <c r="Z89" s="1"/>
    </row>
    <row r="90" ht="12.75" customHeight="1">
      <c r="A90" s="1"/>
      <c r="B90" s="2"/>
      <c r="C90" s="2"/>
      <c r="D90" s="2"/>
      <c r="E90" s="2"/>
      <c r="F90" s="1"/>
      <c r="G90" s="3"/>
      <c r="H90" s="3"/>
      <c r="I90" s="3"/>
      <c r="J90" s="3"/>
      <c r="Z90" s="1"/>
    </row>
    <row r="91" ht="12.75" customHeight="1">
      <c r="A91" s="1"/>
      <c r="B91" s="2"/>
      <c r="C91" s="2"/>
      <c r="D91" s="2"/>
      <c r="E91" s="2"/>
      <c r="F91" s="1"/>
      <c r="G91" s="3"/>
      <c r="H91" s="3"/>
      <c r="I91" s="3"/>
      <c r="J91" s="3"/>
      <c r="Z91" s="1"/>
    </row>
    <row r="92" ht="12.75" customHeight="1">
      <c r="A92" s="1"/>
      <c r="B92" s="2"/>
      <c r="C92" s="2"/>
      <c r="D92" s="2"/>
      <c r="E92" s="2"/>
      <c r="F92" s="1"/>
      <c r="G92" s="3"/>
      <c r="H92" s="3"/>
      <c r="I92" s="3"/>
      <c r="J92" s="3"/>
      <c r="Z92" s="1"/>
    </row>
    <row r="93" ht="12.75" customHeight="1">
      <c r="A93" s="1"/>
      <c r="B93" s="2"/>
      <c r="C93" s="2"/>
      <c r="D93" s="2"/>
      <c r="E93" s="2"/>
      <c r="F93" s="1"/>
      <c r="G93" s="3"/>
      <c r="H93" s="3"/>
      <c r="I93" s="3"/>
      <c r="J93" s="3"/>
      <c r="Z93" s="1"/>
    </row>
    <row r="94" ht="12.75" customHeight="1">
      <c r="A94" s="1"/>
      <c r="B94" s="2"/>
      <c r="C94" s="2"/>
      <c r="D94" s="2"/>
      <c r="E94" s="2"/>
      <c r="F94" s="1"/>
      <c r="G94" s="3"/>
      <c r="H94" s="3"/>
      <c r="I94" s="3"/>
      <c r="J94" s="3"/>
      <c r="Z94" s="1"/>
    </row>
    <row r="95" ht="12.75" customHeight="1">
      <c r="A95" s="1"/>
      <c r="B95" s="2"/>
      <c r="C95" s="2"/>
      <c r="D95" s="2"/>
      <c r="E95" s="2"/>
      <c r="F95" s="1"/>
      <c r="G95" s="3"/>
      <c r="H95" s="3"/>
      <c r="I95" s="3"/>
      <c r="J95" s="3"/>
      <c r="Z95" s="1"/>
    </row>
    <row r="96" ht="12.75" customHeight="1">
      <c r="A96" s="1"/>
      <c r="B96" s="2"/>
      <c r="C96" s="2"/>
      <c r="D96" s="2"/>
      <c r="E96" s="2"/>
      <c r="F96" s="1"/>
      <c r="G96" s="3"/>
      <c r="H96" s="3"/>
      <c r="I96" s="3"/>
      <c r="J96" s="3"/>
      <c r="Z96" s="1"/>
    </row>
    <row r="97" ht="12.75" customHeight="1">
      <c r="A97" s="1"/>
      <c r="B97" s="2"/>
      <c r="C97" s="2"/>
      <c r="D97" s="2"/>
      <c r="E97" s="2"/>
      <c r="F97" s="1"/>
      <c r="G97" s="3"/>
      <c r="H97" s="3"/>
      <c r="I97" s="3"/>
      <c r="J97" s="3"/>
      <c r="Z97" s="1"/>
    </row>
    <row r="98" ht="12.75" customHeight="1">
      <c r="A98" s="1"/>
      <c r="B98" s="2"/>
      <c r="C98" s="2"/>
      <c r="D98" s="2"/>
      <c r="E98" s="2"/>
      <c r="F98" s="1"/>
      <c r="G98" s="3"/>
      <c r="H98" s="3"/>
      <c r="I98" s="3"/>
      <c r="J98" s="3"/>
      <c r="Z98" s="1"/>
    </row>
    <row r="99" ht="12.75" customHeight="1">
      <c r="A99" s="1"/>
      <c r="B99" s="2"/>
      <c r="C99" s="2"/>
      <c r="D99" s="2"/>
      <c r="E99" s="2"/>
      <c r="F99" s="1"/>
      <c r="G99" s="3"/>
      <c r="H99" s="3"/>
      <c r="I99" s="3"/>
      <c r="J99" s="3"/>
      <c r="Z99" s="1"/>
    </row>
    <row r="100" ht="12.75" customHeight="1">
      <c r="A100" s="1"/>
      <c r="B100" s="2"/>
      <c r="C100" s="2"/>
      <c r="D100" s="2"/>
      <c r="E100" s="2"/>
      <c r="F100" s="1"/>
      <c r="G100" s="3"/>
      <c r="H100" s="3"/>
      <c r="I100" s="3"/>
      <c r="J100" s="3"/>
      <c r="Z100" s="1"/>
    </row>
    <row r="101" ht="12.75" customHeight="1">
      <c r="A101" s="1"/>
      <c r="B101" s="2"/>
      <c r="C101" s="2"/>
      <c r="D101" s="2"/>
      <c r="E101" s="2"/>
      <c r="F101" s="1"/>
      <c r="G101" s="3"/>
      <c r="H101" s="3"/>
      <c r="I101" s="3"/>
      <c r="J101" s="3"/>
      <c r="Z101" s="1"/>
    </row>
    <row r="102" ht="12.75" customHeight="1">
      <c r="A102" s="1"/>
      <c r="B102" s="2"/>
      <c r="C102" s="2"/>
      <c r="D102" s="2"/>
      <c r="E102" s="2"/>
      <c r="F102" s="1"/>
      <c r="G102" s="3"/>
      <c r="H102" s="3"/>
      <c r="I102" s="3"/>
      <c r="J102" s="3"/>
      <c r="Z102" s="1"/>
    </row>
    <row r="103" ht="12.75" customHeight="1">
      <c r="A103" s="1"/>
      <c r="B103" s="2"/>
      <c r="C103" s="2"/>
      <c r="D103" s="2"/>
      <c r="E103" s="2"/>
      <c r="F103" s="1"/>
      <c r="G103" s="3"/>
      <c r="H103" s="3"/>
      <c r="I103" s="3"/>
      <c r="J103" s="3"/>
      <c r="Z103" s="1"/>
    </row>
    <row r="104" ht="12.75" customHeight="1">
      <c r="A104" s="1"/>
      <c r="B104" s="2"/>
      <c r="C104" s="2"/>
      <c r="D104" s="2"/>
      <c r="E104" s="2"/>
      <c r="F104" s="1"/>
      <c r="G104" s="3"/>
      <c r="H104" s="3"/>
      <c r="I104" s="3"/>
      <c r="J104" s="3"/>
      <c r="Z104" s="1"/>
    </row>
    <row r="105" ht="12.75" customHeight="1">
      <c r="A105" s="1"/>
      <c r="B105" s="2"/>
      <c r="C105" s="2"/>
      <c r="D105" s="2"/>
      <c r="E105" s="2"/>
      <c r="F105" s="1"/>
      <c r="G105" s="3"/>
      <c r="H105" s="3"/>
      <c r="I105" s="3"/>
      <c r="J105" s="3"/>
      <c r="Z105" s="1"/>
    </row>
    <row r="106" ht="12.75" customHeight="1">
      <c r="A106" s="1"/>
      <c r="B106" s="2"/>
      <c r="C106" s="2"/>
      <c r="D106" s="2"/>
      <c r="E106" s="2"/>
      <c r="F106" s="1"/>
      <c r="G106" s="3"/>
      <c r="H106" s="3"/>
      <c r="I106" s="3"/>
      <c r="J106" s="3"/>
      <c r="Z106" s="1"/>
    </row>
    <row r="107" ht="12.75" customHeight="1">
      <c r="A107" s="1"/>
      <c r="B107" s="2"/>
      <c r="C107" s="2"/>
      <c r="D107" s="2"/>
      <c r="E107" s="2"/>
      <c r="F107" s="1"/>
      <c r="G107" s="3"/>
      <c r="H107" s="3"/>
      <c r="I107" s="3"/>
      <c r="J107" s="3"/>
      <c r="Z107" s="1"/>
    </row>
    <row r="108" ht="12.75" customHeight="1">
      <c r="A108" s="1"/>
      <c r="B108" s="2"/>
      <c r="C108" s="2"/>
      <c r="D108" s="2"/>
      <c r="E108" s="2"/>
      <c r="F108" s="1"/>
      <c r="G108" s="3"/>
      <c r="H108" s="3"/>
      <c r="I108" s="3"/>
      <c r="J108" s="3"/>
      <c r="Z108" s="1"/>
    </row>
    <row r="109" ht="12.75" customHeight="1">
      <c r="A109" s="1"/>
      <c r="B109" s="2"/>
      <c r="C109" s="2"/>
      <c r="D109" s="2"/>
      <c r="E109" s="2"/>
      <c r="F109" s="1"/>
      <c r="G109" s="3"/>
      <c r="H109" s="3"/>
      <c r="I109" s="3"/>
      <c r="J109" s="3"/>
      <c r="Z109" s="1"/>
    </row>
    <row r="110" ht="12.75" customHeight="1">
      <c r="A110" s="1"/>
      <c r="B110" s="2"/>
      <c r="C110" s="2"/>
      <c r="D110" s="2"/>
      <c r="E110" s="2"/>
      <c r="F110" s="1"/>
      <c r="G110" s="3"/>
      <c r="H110" s="3"/>
      <c r="I110" s="3"/>
      <c r="J110" s="3"/>
      <c r="Z110" s="1"/>
    </row>
    <row r="111" ht="12.75" customHeight="1">
      <c r="A111" s="1"/>
      <c r="B111" s="2"/>
      <c r="C111" s="2"/>
      <c r="D111" s="2"/>
      <c r="E111" s="2"/>
      <c r="F111" s="1"/>
      <c r="G111" s="3"/>
      <c r="H111" s="3"/>
      <c r="I111" s="3"/>
      <c r="J111" s="3"/>
      <c r="Z111" s="1"/>
    </row>
    <row r="112" ht="12.75" customHeight="1">
      <c r="A112" s="1"/>
      <c r="B112" s="2"/>
      <c r="C112" s="2"/>
      <c r="D112" s="2"/>
      <c r="E112" s="2"/>
      <c r="F112" s="1"/>
      <c r="G112" s="3"/>
      <c r="H112" s="3"/>
      <c r="I112" s="3"/>
      <c r="J112" s="3"/>
      <c r="Z112" s="1"/>
    </row>
    <row r="113" ht="12.75" customHeight="1">
      <c r="A113" s="1"/>
      <c r="B113" s="2"/>
      <c r="C113" s="2"/>
      <c r="D113" s="2"/>
      <c r="E113" s="2"/>
      <c r="F113" s="1"/>
      <c r="G113" s="3"/>
      <c r="H113" s="3"/>
      <c r="I113" s="3"/>
      <c r="J113" s="3"/>
      <c r="Z113" s="1"/>
    </row>
    <row r="114" ht="12.75" customHeight="1">
      <c r="A114" s="1"/>
      <c r="B114" s="2"/>
      <c r="C114" s="2"/>
      <c r="D114" s="2"/>
      <c r="E114" s="2"/>
      <c r="F114" s="1"/>
      <c r="G114" s="3"/>
      <c r="H114" s="3"/>
      <c r="I114" s="3"/>
      <c r="J114" s="3"/>
      <c r="Z114" s="1"/>
    </row>
    <row r="115" ht="12.75" customHeight="1">
      <c r="A115" s="1"/>
      <c r="B115" s="2"/>
      <c r="C115" s="2"/>
      <c r="D115" s="2"/>
      <c r="E115" s="2"/>
      <c r="F115" s="1"/>
      <c r="G115" s="3"/>
      <c r="H115" s="3"/>
      <c r="I115" s="3"/>
      <c r="J115" s="3"/>
      <c r="Z115" s="1"/>
    </row>
    <row r="116" ht="12.75" customHeight="1">
      <c r="A116" s="1"/>
      <c r="B116" s="2"/>
      <c r="C116" s="2"/>
      <c r="D116" s="2"/>
      <c r="E116" s="2"/>
      <c r="F116" s="1"/>
      <c r="G116" s="3"/>
      <c r="H116" s="3"/>
      <c r="I116" s="3"/>
      <c r="J116" s="3"/>
      <c r="Z116" s="1"/>
    </row>
    <row r="117" ht="12.75" customHeight="1">
      <c r="A117" s="1"/>
      <c r="B117" s="2"/>
      <c r="C117" s="2"/>
      <c r="D117" s="2"/>
      <c r="E117" s="2"/>
      <c r="F117" s="1"/>
      <c r="G117" s="3"/>
      <c r="H117" s="3"/>
      <c r="I117" s="3"/>
      <c r="J117" s="3"/>
      <c r="Z117" s="1"/>
    </row>
    <row r="118" ht="12.75" customHeight="1">
      <c r="A118" s="1"/>
      <c r="B118" s="2"/>
      <c r="C118" s="2"/>
      <c r="D118" s="2"/>
      <c r="E118" s="2"/>
      <c r="F118" s="1"/>
      <c r="G118" s="3"/>
      <c r="H118" s="3"/>
      <c r="I118" s="3"/>
      <c r="J118" s="3"/>
      <c r="Z118" s="1"/>
    </row>
    <row r="119" ht="12.75" customHeight="1">
      <c r="A119" s="1"/>
      <c r="B119" s="2"/>
      <c r="C119" s="2"/>
      <c r="D119" s="2"/>
      <c r="E119" s="2"/>
      <c r="F119" s="1"/>
      <c r="G119" s="3"/>
      <c r="H119" s="3"/>
      <c r="I119" s="3"/>
      <c r="J119" s="3"/>
      <c r="Z119" s="1"/>
    </row>
    <row r="120" ht="12.75" customHeight="1">
      <c r="A120" s="1"/>
      <c r="B120" s="2"/>
      <c r="C120" s="2"/>
      <c r="D120" s="2"/>
      <c r="E120" s="2"/>
      <c r="F120" s="1"/>
      <c r="G120" s="3"/>
      <c r="H120" s="3"/>
      <c r="I120" s="3"/>
      <c r="J120" s="3"/>
      <c r="Z120" s="1"/>
    </row>
    <row r="121" ht="12.75" customHeight="1">
      <c r="A121" s="1"/>
      <c r="B121" s="2"/>
      <c r="C121" s="2"/>
      <c r="D121" s="2"/>
      <c r="E121" s="2"/>
      <c r="F121" s="1"/>
      <c r="G121" s="3"/>
      <c r="H121" s="3"/>
      <c r="I121" s="3"/>
      <c r="J121" s="3"/>
      <c r="Z121" s="1"/>
    </row>
    <row r="122" ht="12.75" customHeight="1">
      <c r="A122" s="1"/>
      <c r="B122" s="2"/>
      <c r="C122" s="2"/>
      <c r="D122" s="2"/>
      <c r="E122" s="2"/>
      <c r="F122" s="1"/>
      <c r="G122" s="3"/>
      <c r="H122" s="3"/>
      <c r="I122" s="3"/>
      <c r="J122" s="3"/>
      <c r="Z122" s="1"/>
    </row>
    <row r="123" ht="12.75" customHeight="1">
      <c r="A123" s="1"/>
      <c r="B123" s="2"/>
      <c r="C123" s="2"/>
      <c r="D123" s="2"/>
      <c r="E123" s="2"/>
      <c r="F123" s="1"/>
      <c r="G123" s="3"/>
      <c r="H123" s="3"/>
      <c r="I123" s="3"/>
      <c r="J123" s="3"/>
      <c r="Z123" s="1"/>
    </row>
    <row r="124" ht="12.75" customHeight="1">
      <c r="A124" s="1"/>
      <c r="B124" s="2"/>
      <c r="C124" s="2"/>
      <c r="D124" s="2"/>
      <c r="E124" s="2"/>
      <c r="F124" s="1"/>
      <c r="G124" s="3"/>
      <c r="H124" s="3"/>
      <c r="I124" s="3"/>
      <c r="J124" s="3"/>
      <c r="Z124" s="1"/>
    </row>
    <row r="125" ht="12.75" customHeight="1">
      <c r="A125" s="1"/>
      <c r="B125" s="2"/>
      <c r="C125" s="2"/>
      <c r="D125" s="2"/>
      <c r="E125" s="2"/>
      <c r="F125" s="1"/>
      <c r="G125" s="3"/>
      <c r="H125" s="3"/>
      <c r="I125" s="3"/>
      <c r="J125" s="3"/>
      <c r="Z125" s="1"/>
    </row>
    <row r="126" ht="12.75" customHeight="1">
      <c r="A126" s="1"/>
      <c r="B126" s="2"/>
      <c r="C126" s="2"/>
      <c r="D126" s="2"/>
      <c r="E126" s="2"/>
      <c r="F126" s="1"/>
      <c r="G126" s="3"/>
      <c r="H126" s="3"/>
      <c r="I126" s="3"/>
      <c r="J126" s="3"/>
      <c r="Z126" s="1"/>
    </row>
    <row r="127" ht="12.75" customHeight="1">
      <c r="A127" s="1"/>
      <c r="B127" s="2"/>
      <c r="C127" s="2"/>
      <c r="D127" s="2"/>
      <c r="E127" s="2"/>
      <c r="F127" s="1"/>
      <c r="G127" s="3"/>
      <c r="H127" s="3"/>
      <c r="I127" s="3"/>
      <c r="J127" s="3"/>
      <c r="Z127" s="1"/>
    </row>
    <row r="128" ht="12.75" customHeight="1">
      <c r="A128" s="1"/>
      <c r="B128" s="2"/>
      <c r="C128" s="2"/>
      <c r="D128" s="2"/>
      <c r="E128" s="2"/>
      <c r="F128" s="1"/>
      <c r="G128" s="3"/>
      <c r="H128" s="3"/>
      <c r="I128" s="3"/>
      <c r="J128" s="3"/>
      <c r="Z128" s="1"/>
    </row>
    <row r="129" ht="12.75" customHeight="1">
      <c r="A129" s="1"/>
      <c r="B129" s="2"/>
      <c r="C129" s="2"/>
      <c r="D129" s="2"/>
      <c r="E129" s="2"/>
      <c r="F129" s="1"/>
      <c r="G129" s="3"/>
      <c r="H129" s="3"/>
      <c r="I129" s="3"/>
      <c r="J129" s="3"/>
      <c r="Z129" s="1"/>
    </row>
    <row r="130" ht="12.75" customHeight="1">
      <c r="A130" s="1"/>
      <c r="B130" s="2"/>
      <c r="C130" s="2"/>
      <c r="D130" s="2"/>
      <c r="E130" s="2"/>
      <c r="F130" s="1"/>
      <c r="G130" s="3"/>
      <c r="H130" s="3"/>
      <c r="I130" s="3"/>
      <c r="J130" s="3"/>
      <c r="Z130" s="1"/>
    </row>
    <row r="131" ht="12.75" customHeight="1">
      <c r="A131" s="1"/>
      <c r="B131" s="2"/>
      <c r="C131" s="2"/>
      <c r="D131" s="2"/>
      <c r="E131" s="2"/>
      <c r="F131" s="1"/>
      <c r="G131" s="3"/>
      <c r="H131" s="3"/>
      <c r="I131" s="3"/>
      <c r="J131" s="3"/>
      <c r="Z131" s="1"/>
    </row>
    <row r="132" ht="12.75" customHeight="1">
      <c r="A132" s="1"/>
      <c r="B132" s="2"/>
      <c r="C132" s="2"/>
      <c r="D132" s="2"/>
      <c r="E132" s="2"/>
      <c r="F132" s="1"/>
      <c r="G132" s="3"/>
      <c r="H132" s="3"/>
      <c r="I132" s="3"/>
      <c r="J132" s="3"/>
      <c r="Z132" s="1"/>
    </row>
    <row r="133" ht="12.75" customHeight="1">
      <c r="A133" s="1"/>
      <c r="B133" s="2"/>
      <c r="C133" s="2"/>
      <c r="D133" s="2"/>
      <c r="E133" s="2"/>
      <c r="F133" s="1"/>
      <c r="G133" s="3"/>
      <c r="H133" s="3"/>
      <c r="I133" s="3"/>
      <c r="J133" s="3"/>
      <c r="Z133" s="1"/>
    </row>
    <row r="134" ht="12.75" customHeight="1">
      <c r="A134" s="1"/>
      <c r="B134" s="2"/>
      <c r="C134" s="2"/>
      <c r="D134" s="2"/>
      <c r="E134" s="2"/>
      <c r="F134" s="1"/>
      <c r="G134" s="3"/>
      <c r="H134" s="3"/>
      <c r="I134" s="3"/>
      <c r="J134" s="3"/>
      <c r="Z134" s="1"/>
    </row>
    <row r="135" ht="12.75" customHeight="1">
      <c r="A135" s="1"/>
      <c r="B135" s="2"/>
      <c r="C135" s="2"/>
      <c r="D135" s="2"/>
      <c r="E135" s="2"/>
      <c r="F135" s="1"/>
      <c r="G135" s="3"/>
      <c r="H135" s="3"/>
      <c r="I135" s="3"/>
      <c r="J135" s="3"/>
      <c r="Z135" s="1"/>
    </row>
    <row r="136" ht="12.75" customHeight="1">
      <c r="A136" s="1"/>
      <c r="B136" s="2"/>
      <c r="C136" s="2"/>
      <c r="D136" s="2"/>
      <c r="E136" s="2"/>
      <c r="F136" s="1"/>
      <c r="G136" s="3"/>
      <c r="H136" s="3"/>
      <c r="I136" s="3"/>
      <c r="J136" s="3"/>
      <c r="Z136" s="1"/>
    </row>
    <row r="137" ht="12.75" customHeight="1">
      <c r="A137" s="1"/>
      <c r="B137" s="2"/>
      <c r="C137" s="2"/>
      <c r="D137" s="2"/>
      <c r="E137" s="2"/>
      <c r="F137" s="1"/>
      <c r="G137" s="3"/>
      <c r="H137" s="3"/>
      <c r="I137" s="3"/>
      <c r="J137" s="3"/>
      <c r="Z137" s="1"/>
    </row>
    <row r="138" ht="12.75" customHeight="1">
      <c r="A138" s="1"/>
      <c r="B138" s="2"/>
      <c r="C138" s="2"/>
      <c r="D138" s="2"/>
      <c r="E138" s="2"/>
      <c r="F138" s="1"/>
      <c r="G138" s="3"/>
      <c r="H138" s="3"/>
      <c r="I138" s="3"/>
      <c r="J138" s="3"/>
      <c r="Z138" s="1"/>
    </row>
    <row r="139" ht="12.75" customHeight="1">
      <c r="A139" s="1"/>
      <c r="B139" s="2"/>
      <c r="C139" s="2"/>
      <c r="D139" s="2"/>
      <c r="E139" s="2"/>
      <c r="F139" s="1"/>
      <c r="G139" s="3"/>
      <c r="H139" s="3"/>
      <c r="I139" s="3"/>
      <c r="J139" s="3"/>
      <c r="Z139" s="1"/>
    </row>
    <row r="140" ht="12.75" customHeight="1">
      <c r="A140" s="1"/>
      <c r="B140" s="2"/>
      <c r="C140" s="2"/>
      <c r="D140" s="2"/>
      <c r="E140" s="2"/>
      <c r="F140" s="1"/>
      <c r="G140" s="3"/>
      <c r="H140" s="3"/>
      <c r="I140" s="3"/>
      <c r="J140" s="3"/>
      <c r="Z140" s="1"/>
    </row>
    <row r="141" ht="12.75" customHeight="1">
      <c r="A141" s="1"/>
      <c r="B141" s="2"/>
      <c r="C141" s="2"/>
      <c r="D141" s="2"/>
      <c r="E141" s="2"/>
      <c r="F141" s="1"/>
      <c r="G141" s="3"/>
      <c r="H141" s="3"/>
      <c r="I141" s="3"/>
      <c r="J141" s="3"/>
      <c r="Z141" s="1"/>
    </row>
    <row r="142" ht="12.75" customHeight="1">
      <c r="A142" s="1"/>
      <c r="B142" s="2"/>
      <c r="C142" s="2"/>
      <c r="D142" s="2"/>
      <c r="E142" s="2"/>
      <c r="F142" s="1"/>
      <c r="G142" s="3"/>
      <c r="H142" s="3"/>
      <c r="I142" s="3"/>
      <c r="J142" s="3"/>
      <c r="Z142" s="1"/>
    </row>
    <row r="143" ht="12.75" customHeight="1">
      <c r="A143" s="1"/>
      <c r="B143" s="2"/>
      <c r="C143" s="2"/>
      <c r="D143" s="2"/>
      <c r="E143" s="2"/>
      <c r="F143" s="1"/>
      <c r="G143" s="3"/>
      <c r="H143" s="3"/>
      <c r="I143" s="3"/>
      <c r="J143" s="3"/>
      <c r="Z143" s="1"/>
    </row>
    <row r="144" ht="12.75" customHeight="1">
      <c r="A144" s="1"/>
      <c r="B144" s="2"/>
      <c r="C144" s="2"/>
      <c r="D144" s="2"/>
      <c r="E144" s="2"/>
      <c r="F144" s="1"/>
      <c r="G144" s="3"/>
      <c r="H144" s="3"/>
      <c r="I144" s="3"/>
      <c r="J144" s="3"/>
      <c r="Z144" s="1"/>
    </row>
    <row r="145" ht="12.75" customHeight="1">
      <c r="A145" s="1"/>
      <c r="B145" s="2"/>
      <c r="C145" s="2"/>
      <c r="D145" s="2"/>
      <c r="E145" s="2"/>
      <c r="F145" s="1"/>
      <c r="G145" s="3"/>
      <c r="H145" s="3"/>
      <c r="I145" s="3"/>
      <c r="J145" s="3"/>
      <c r="Z145" s="1"/>
    </row>
    <row r="146" ht="12.75" customHeight="1">
      <c r="A146" s="1"/>
      <c r="B146" s="2"/>
      <c r="C146" s="2"/>
      <c r="D146" s="2"/>
      <c r="E146" s="2"/>
      <c r="F146" s="1"/>
      <c r="G146" s="3"/>
      <c r="H146" s="3"/>
      <c r="I146" s="3"/>
      <c r="J146" s="3"/>
      <c r="Z146" s="1"/>
    </row>
    <row r="147" ht="12.75" customHeight="1">
      <c r="A147" s="1"/>
      <c r="B147" s="2"/>
      <c r="C147" s="2"/>
      <c r="D147" s="2"/>
      <c r="E147" s="2"/>
      <c r="F147" s="1"/>
      <c r="G147" s="3"/>
      <c r="H147" s="3"/>
      <c r="I147" s="3"/>
      <c r="J147" s="3"/>
      <c r="Z147" s="1"/>
    </row>
    <row r="148" ht="12.75" customHeight="1">
      <c r="A148" s="1"/>
      <c r="B148" s="2"/>
      <c r="C148" s="2"/>
      <c r="D148" s="2"/>
      <c r="E148" s="2"/>
      <c r="F148" s="1"/>
      <c r="G148" s="3"/>
      <c r="H148" s="3"/>
      <c r="I148" s="3"/>
      <c r="J148" s="3"/>
      <c r="Z148" s="1"/>
    </row>
    <row r="149" ht="12.75" customHeight="1">
      <c r="A149" s="1"/>
      <c r="B149" s="2"/>
      <c r="C149" s="2"/>
      <c r="D149" s="2"/>
      <c r="E149" s="2"/>
      <c r="F149" s="1"/>
      <c r="G149" s="3"/>
      <c r="H149" s="3"/>
      <c r="I149" s="3"/>
      <c r="J149" s="3"/>
      <c r="Z149" s="1"/>
    </row>
    <row r="150" ht="12.75" customHeight="1">
      <c r="A150" s="1"/>
      <c r="B150" s="2"/>
      <c r="C150" s="2"/>
      <c r="D150" s="2"/>
      <c r="E150" s="2"/>
      <c r="F150" s="1"/>
      <c r="G150" s="3"/>
      <c r="H150" s="3"/>
      <c r="I150" s="3"/>
      <c r="J150" s="3"/>
      <c r="Z150" s="1"/>
    </row>
    <row r="151" ht="12.75" customHeight="1">
      <c r="A151" s="1"/>
      <c r="B151" s="2"/>
      <c r="C151" s="2"/>
      <c r="D151" s="2"/>
      <c r="E151" s="2"/>
      <c r="F151" s="1"/>
      <c r="G151" s="3"/>
      <c r="H151" s="3"/>
      <c r="I151" s="3"/>
      <c r="J151" s="3"/>
      <c r="Z151" s="1"/>
    </row>
    <row r="152" ht="12.75" customHeight="1">
      <c r="A152" s="1"/>
      <c r="B152" s="2"/>
      <c r="C152" s="2"/>
      <c r="D152" s="2"/>
      <c r="E152" s="2"/>
      <c r="F152" s="1"/>
      <c r="G152" s="3"/>
      <c r="H152" s="3"/>
      <c r="I152" s="3"/>
      <c r="J152" s="3"/>
      <c r="Z152" s="1"/>
    </row>
    <row r="153" ht="12.75" customHeight="1">
      <c r="A153" s="1"/>
      <c r="B153" s="2"/>
      <c r="C153" s="2"/>
      <c r="D153" s="2"/>
      <c r="E153" s="2"/>
      <c r="F153" s="1"/>
      <c r="G153" s="3"/>
      <c r="H153" s="3"/>
      <c r="I153" s="3"/>
      <c r="J153" s="3"/>
      <c r="Z153" s="1"/>
    </row>
    <row r="154" ht="12.75" customHeight="1">
      <c r="A154" s="1"/>
      <c r="B154" s="2"/>
      <c r="C154" s="2"/>
      <c r="D154" s="2"/>
      <c r="E154" s="2"/>
      <c r="F154" s="1"/>
      <c r="G154" s="3"/>
      <c r="H154" s="3"/>
      <c r="I154" s="3"/>
      <c r="J154" s="3"/>
      <c r="Z154" s="1"/>
    </row>
    <row r="155" ht="12.75" customHeight="1">
      <c r="A155" s="1"/>
      <c r="B155" s="2"/>
      <c r="C155" s="2"/>
      <c r="D155" s="2"/>
      <c r="E155" s="2"/>
      <c r="F155" s="1"/>
      <c r="G155" s="3"/>
      <c r="H155" s="3"/>
      <c r="I155" s="3"/>
      <c r="J155" s="3"/>
      <c r="Z155" s="1"/>
    </row>
    <row r="156" ht="12.75" customHeight="1">
      <c r="A156" s="1"/>
      <c r="B156" s="2"/>
      <c r="C156" s="2"/>
      <c r="D156" s="2"/>
      <c r="E156" s="2"/>
      <c r="F156" s="1"/>
      <c r="G156" s="3"/>
      <c r="H156" s="3"/>
      <c r="I156" s="3"/>
      <c r="J156" s="3"/>
      <c r="Z156" s="1"/>
    </row>
    <row r="157" ht="12.75" customHeight="1">
      <c r="A157" s="1"/>
      <c r="B157" s="2"/>
      <c r="C157" s="2"/>
      <c r="D157" s="2"/>
      <c r="E157" s="2"/>
      <c r="F157" s="1"/>
      <c r="G157" s="3"/>
      <c r="H157" s="3"/>
      <c r="I157" s="3"/>
      <c r="J157" s="3"/>
      <c r="Z157" s="1"/>
    </row>
    <row r="158" ht="12.75" customHeight="1">
      <c r="A158" s="1"/>
      <c r="B158" s="2"/>
      <c r="C158" s="2"/>
      <c r="D158" s="2"/>
      <c r="E158" s="2"/>
      <c r="F158" s="1"/>
      <c r="G158" s="3"/>
      <c r="H158" s="3"/>
      <c r="I158" s="3"/>
      <c r="J158" s="3"/>
      <c r="Z158" s="1"/>
    </row>
    <row r="159" ht="12.75" customHeight="1">
      <c r="A159" s="1"/>
      <c r="B159" s="2"/>
      <c r="C159" s="2"/>
      <c r="D159" s="2"/>
      <c r="E159" s="2"/>
      <c r="F159" s="1"/>
      <c r="G159" s="3"/>
      <c r="H159" s="3"/>
      <c r="I159" s="3"/>
      <c r="J159" s="3"/>
      <c r="Z159" s="1"/>
    </row>
    <row r="160" ht="12.75" customHeight="1">
      <c r="A160" s="1"/>
      <c r="B160" s="2"/>
      <c r="C160" s="2"/>
      <c r="D160" s="2"/>
      <c r="E160" s="2"/>
      <c r="F160" s="1"/>
      <c r="G160" s="3"/>
      <c r="H160" s="3"/>
      <c r="I160" s="3"/>
      <c r="J160" s="3"/>
      <c r="Z160" s="1"/>
    </row>
    <row r="161" ht="12.75" customHeight="1">
      <c r="A161" s="1"/>
      <c r="B161" s="2"/>
      <c r="C161" s="2"/>
      <c r="D161" s="2"/>
      <c r="E161" s="2"/>
      <c r="F161" s="1"/>
      <c r="G161" s="3"/>
      <c r="H161" s="3"/>
      <c r="I161" s="3"/>
      <c r="J161" s="3"/>
      <c r="Z161" s="1"/>
    </row>
    <row r="162" ht="12.75" customHeight="1">
      <c r="A162" s="1"/>
      <c r="B162" s="2"/>
      <c r="C162" s="2"/>
      <c r="D162" s="2"/>
      <c r="E162" s="2"/>
      <c r="F162" s="1"/>
      <c r="G162" s="3"/>
      <c r="H162" s="3"/>
      <c r="I162" s="3"/>
      <c r="J162" s="3"/>
      <c r="Z162" s="1"/>
    </row>
    <row r="163" ht="12.75" customHeight="1">
      <c r="A163" s="1"/>
      <c r="B163" s="2"/>
      <c r="C163" s="2"/>
      <c r="D163" s="2"/>
      <c r="E163" s="2"/>
      <c r="F163" s="1"/>
      <c r="G163" s="3"/>
      <c r="H163" s="3"/>
      <c r="I163" s="3"/>
      <c r="J163" s="3"/>
      <c r="Z163" s="1"/>
    </row>
    <row r="164" ht="12.75" customHeight="1">
      <c r="A164" s="1"/>
      <c r="B164" s="2"/>
      <c r="C164" s="2"/>
      <c r="D164" s="2"/>
      <c r="E164" s="2"/>
      <c r="F164" s="1"/>
      <c r="G164" s="3"/>
      <c r="H164" s="3"/>
      <c r="I164" s="3"/>
      <c r="J164" s="3"/>
      <c r="Z164" s="1"/>
    </row>
    <row r="165" ht="12.75" customHeight="1">
      <c r="A165" s="1"/>
      <c r="B165" s="2"/>
      <c r="C165" s="2"/>
      <c r="D165" s="2"/>
      <c r="E165" s="2"/>
      <c r="F165" s="1"/>
      <c r="G165" s="3"/>
      <c r="H165" s="3"/>
      <c r="I165" s="3"/>
      <c r="J165" s="3"/>
      <c r="Z165" s="1"/>
    </row>
    <row r="166" ht="12.75" customHeight="1">
      <c r="A166" s="1"/>
      <c r="B166" s="2"/>
      <c r="C166" s="2"/>
      <c r="D166" s="2"/>
      <c r="E166" s="2"/>
      <c r="F166" s="1"/>
      <c r="G166" s="3"/>
      <c r="H166" s="3"/>
      <c r="I166" s="3"/>
      <c r="J166" s="3"/>
      <c r="Z166" s="1"/>
    </row>
    <row r="167" ht="12.75" customHeight="1">
      <c r="A167" s="1"/>
      <c r="B167" s="2"/>
      <c r="C167" s="2"/>
      <c r="D167" s="2"/>
      <c r="E167" s="2"/>
      <c r="F167" s="1"/>
      <c r="G167" s="3"/>
      <c r="H167" s="3"/>
      <c r="I167" s="3"/>
      <c r="J167" s="3"/>
      <c r="Z167" s="1"/>
    </row>
    <row r="168" ht="12.75" customHeight="1">
      <c r="A168" s="1"/>
      <c r="B168" s="2"/>
      <c r="C168" s="2"/>
      <c r="D168" s="2"/>
      <c r="E168" s="2"/>
      <c r="F168" s="1"/>
      <c r="G168" s="3"/>
      <c r="H168" s="3"/>
      <c r="I168" s="3"/>
      <c r="J168" s="3"/>
      <c r="Z168" s="1"/>
    </row>
    <row r="169" ht="12.75" customHeight="1">
      <c r="A169" s="1"/>
      <c r="B169" s="2"/>
      <c r="C169" s="2"/>
      <c r="D169" s="2"/>
      <c r="E169" s="2"/>
      <c r="F169" s="1"/>
      <c r="G169" s="3"/>
      <c r="H169" s="3"/>
      <c r="I169" s="3"/>
      <c r="J169" s="3"/>
      <c r="Z169" s="1"/>
    </row>
    <row r="170" ht="12.75" customHeight="1">
      <c r="A170" s="1"/>
      <c r="B170" s="2"/>
      <c r="C170" s="2"/>
      <c r="D170" s="2"/>
      <c r="E170" s="2"/>
      <c r="F170" s="1"/>
      <c r="G170" s="3"/>
      <c r="H170" s="3"/>
      <c r="I170" s="3"/>
      <c r="J170" s="3"/>
      <c r="Z170" s="1"/>
    </row>
    <row r="171" ht="12.75" customHeight="1">
      <c r="A171" s="1"/>
      <c r="B171" s="2"/>
      <c r="C171" s="2"/>
      <c r="D171" s="2"/>
      <c r="E171" s="2"/>
      <c r="F171" s="1"/>
      <c r="G171" s="3"/>
      <c r="H171" s="3"/>
      <c r="I171" s="3"/>
      <c r="J171" s="3"/>
      <c r="Z171" s="1"/>
    </row>
    <row r="172" ht="12.75" customHeight="1">
      <c r="A172" s="1"/>
      <c r="B172" s="2"/>
      <c r="C172" s="2"/>
      <c r="D172" s="2"/>
      <c r="E172" s="2"/>
      <c r="F172" s="1"/>
      <c r="G172" s="3"/>
      <c r="H172" s="3"/>
      <c r="I172" s="3"/>
      <c r="J172" s="3"/>
      <c r="Z172" s="1"/>
    </row>
    <row r="173" ht="12.75" customHeight="1">
      <c r="A173" s="1"/>
      <c r="B173" s="2"/>
      <c r="C173" s="2"/>
      <c r="D173" s="2"/>
      <c r="E173" s="2"/>
      <c r="F173" s="1"/>
      <c r="G173" s="3"/>
      <c r="H173" s="3"/>
      <c r="I173" s="3"/>
      <c r="J173" s="3"/>
      <c r="Z173" s="1"/>
    </row>
    <row r="174" ht="12.75" customHeight="1">
      <c r="A174" s="1"/>
      <c r="B174" s="2"/>
      <c r="C174" s="2"/>
      <c r="D174" s="2"/>
      <c r="E174" s="2"/>
      <c r="F174" s="1"/>
      <c r="G174" s="3"/>
      <c r="H174" s="3"/>
      <c r="I174" s="3"/>
      <c r="J174" s="3"/>
      <c r="Z174" s="1"/>
    </row>
    <row r="175" ht="12.75" customHeight="1">
      <c r="A175" s="1"/>
      <c r="B175" s="2"/>
      <c r="C175" s="2"/>
      <c r="D175" s="2"/>
      <c r="E175" s="2"/>
      <c r="F175" s="1"/>
      <c r="G175" s="3"/>
      <c r="H175" s="3"/>
      <c r="I175" s="3"/>
      <c r="J175" s="3"/>
      <c r="Z175" s="1"/>
    </row>
    <row r="176" ht="12.75" customHeight="1">
      <c r="A176" s="1"/>
      <c r="B176" s="2"/>
      <c r="C176" s="2"/>
      <c r="D176" s="2"/>
      <c r="E176" s="2"/>
      <c r="F176" s="1"/>
      <c r="G176" s="3"/>
      <c r="H176" s="3"/>
      <c r="I176" s="3"/>
      <c r="J176" s="3"/>
      <c r="Z176" s="1"/>
    </row>
    <row r="177" ht="12.75" customHeight="1">
      <c r="A177" s="1"/>
      <c r="B177" s="2"/>
      <c r="C177" s="2"/>
      <c r="D177" s="2"/>
      <c r="E177" s="2"/>
      <c r="F177" s="1"/>
      <c r="G177" s="3"/>
      <c r="H177" s="3"/>
      <c r="I177" s="3"/>
      <c r="J177" s="3"/>
      <c r="Z177" s="1"/>
    </row>
    <row r="178" ht="12.75" customHeight="1">
      <c r="A178" s="1"/>
      <c r="B178" s="2"/>
      <c r="C178" s="2"/>
      <c r="D178" s="2"/>
      <c r="E178" s="2"/>
      <c r="F178" s="1"/>
      <c r="G178" s="3"/>
      <c r="H178" s="3"/>
      <c r="I178" s="3"/>
      <c r="J178" s="3"/>
      <c r="Z178" s="1"/>
    </row>
    <row r="179" ht="12.75" customHeight="1">
      <c r="A179" s="1"/>
      <c r="B179" s="2"/>
      <c r="C179" s="2"/>
      <c r="D179" s="2"/>
      <c r="E179" s="2"/>
      <c r="F179" s="1"/>
      <c r="G179" s="3"/>
      <c r="H179" s="3"/>
      <c r="I179" s="3"/>
      <c r="J179" s="3"/>
      <c r="Z179" s="1"/>
    </row>
    <row r="180" ht="12.75" customHeight="1">
      <c r="A180" s="1"/>
      <c r="B180" s="2"/>
      <c r="C180" s="2"/>
      <c r="D180" s="2"/>
      <c r="E180" s="2"/>
      <c r="F180" s="1"/>
      <c r="G180" s="3"/>
      <c r="H180" s="3"/>
      <c r="I180" s="3"/>
      <c r="J180" s="3"/>
      <c r="Z180" s="1"/>
    </row>
    <row r="181" ht="12.75" customHeight="1">
      <c r="A181" s="1"/>
      <c r="B181" s="2"/>
      <c r="C181" s="2"/>
      <c r="D181" s="2"/>
      <c r="E181" s="2"/>
      <c r="F181" s="1"/>
      <c r="G181" s="3"/>
      <c r="H181" s="3"/>
      <c r="I181" s="3"/>
      <c r="J181" s="3"/>
      <c r="Z181" s="1"/>
    </row>
    <row r="182" ht="12.75" customHeight="1">
      <c r="A182" s="1"/>
      <c r="B182" s="2"/>
      <c r="C182" s="2"/>
      <c r="D182" s="2"/>
      <c r="E182" s="2"/>
      <c r="F182" s="1"/>
      <c r="G182" s="3"/>
      <c r="H182" s="3"/>
      <c r="I182" s="3"/>
      <c r="J182" s="3"/>
      <c r="Z182" s="1"/>
    </row>
    <row r="183" ht="12.75" customHeight="1">
      <c r="A183" s="1"/>
      <c r="B183" s="2"/>
      <c r="C183" s="2"/>
      <c r="D183" s="2"/>
      <c r="E183" s="2"/>
      <c r="F183" s="1"/>
      <c r="G183" s="3"/>
      <c r="H183" s="3"/>
      <c r="I183" s="3"/>
      <c r="J183" s="3"/>
      <c r="Z183" s="1"/>
    </row>
    <row r="184" ht="12.75" customHeight="1">
      <c r="A184" s="1"/>
      <c r="B184" s="2"/>
      <c r="C184" s="2"/>
      <c r="D184" s="2"/>
      <c r="E184" s="2"/>
      <c r="F184" s="1"/>
      <c r="G184" s="3"/>
      <c r="H184" s="3"/>
      <c r="I184" s="3"/>
      <c r="J184" s="3"/>
      <c r="Z184" s="1"/>
    </row>
    <row r="185" ht="12.75" customHeight="1">
      <c r="A185" s="1"/>
      <c r="B185" s="2"/>
      <c r="C185" s="2"/>
      <c r="D185" s="2"/>
      <c r="E185" s="2"/>
      <c r="F185" s="1"/>
      <c r="G185" s="3"/>
      <c r="H185" s="3"/>
      <c r="I185" s="3"/>
      <c r="J185" s="3"/>
      <c r="Z185" s="1"/>
    </row>
    <row r="186" ht="12.75" customHeight="1">
      <c r="A186" s="1"/>
      <c r="B186" s="2"/>
      <c r="C186" s="2"/>
      <c r="D186" s="2"/>
      <c r="E186" s="2"/>
      <c r="F186" s="1"/>
      <c r="G186" s="3"/>
      <c r="H186" s="3"/>
      <c r="I186" s="3"/>
      <c r="J186" s="3"/>
      <c r="Z186" s="1"/>
    </row>
    <row r="187" ht="12.75" customHeight="1">
      <c r="A187" s="1"/>
      <c r="B187" s="2"/>
      <c r="C187" s="2"/>
      <c r="D187" s="2"/>
      <c r="E187" s="2"/>
      <c r="F187" s="1"/>
      <c r="G187" s="3"/>
      <c r="H187" s="3"/>
      <c r="I187" s="3"/>
      <c r="J187" s="3"/>
      <c r="Z187" s="1"/>
    </row>
    <row r="188" ht="12.75" customHeight="1">
      <c r="A188" s="1"/>
      <c r="B188" s="2"/>
      <c r="C188" s="2"/>
      <c r="D188" s="2"/>
      <c r="E188" s="2"/>
      <c r="F188" s="1"/>
      <c r="G188" s="3"/>
      <c r="H188" s="3"/>
      <c r="I188" s="3"/>
      <c r="J188" s="3"/>
      <c r="Z188" s="1"/>
    </row>
    <row r="189" ht="12.75" customHeight="1">
      <c r="A189" s="1"/>
      <c r="B189" s="2"/>
      <c r="C189" s="2"/>
      <c r="D189" s="2"/>
      <c r="E189" s="2"/>
      <c r="F189" s="1"/>
      <c r="G189" s="3"/>
      <c r="H189" s="3"/>
      <c r="I189" s="3"/>
      <c r="J189" s="3"/>
      <c r="Z189" s="1"/>
    </row>
    <row r="190" ht="12.75" customHeight="1">
      <c r="A190" s="1"/>
      <c r="B190" s="2"/>
      <c r="C190" s="2"/>
      <c r="D190" s="2"/>
      <c r="E190" s="2"/>
      <c r="F190" s="1"/>
      <c r="G190" s="3"/>
      <c r="H190" s="3"/>
      <c r="I190" s="3"/>
      <c r="J190" s="3"/>
      <c r="Z190" s="1"/>
    </row>
    <row r="191" ht="12.75" customHeight="1">
      <c r="A191" s="1"/>
      <c r="B191" s="2"/>
      <c r="C191" s="2"/>
      <c r="D191" s="2"/>
      <c r="E191" s="2"/>
      <c r="F191" s="1"/>
      <c r="G191" s="3"/>
      <c r="H191" s="3"/>
      <c r="I191" s="3"/>
      <c r="J191" s="3"/>
      <c r="Z191" s="1"/>
    </row>
    <row r="192" ht="12.75" customHeight="1">
      <c r="A192" s="1"/>
      <c r="B192" s="2"/>
      <c r="C192" s="2"/>
      <c r="D192" s="2"/>
      <c r="E192" s="2"/>
      <c r="F192" s="1"/>
      <c r="G192" s="3"/>
      <c r="H192" s="3"/>
      <c r="I192" s="3"/>
      <c r="J192" s="3"/>
      <c r="Z192" s="1"/>
    </row>
    <row r="193" ht="12.75" customHeight="1">
      <c r="A193" s="1"/>
      <c r="B193" s="2"/>
      <c r="C193" s="2"/>
      <c r="D193" s="2"/>
      <c r="E193" s="2"/>
      <c r="F193" s="1"/>
      <c r="G193" s="3"/>
      <c r="H193" s="3"/>
      <c r="I193" s="3"/>
      <c r="J193" s="3"/>
      <c r="Z193" s="1"/>
    </row>
    <row r="194" ht="12.75" customHeight="1">
      <c r="A194" s="1"/>
      <c r="B194" s="2"/>
      <c r="C194" s="2"/>
      <c r="D194" s="2"/>
      <c r="E194" s="2"/>
      <c r="F194" s="1"/>
      <c r="G194" s="3"/>
      <c r="H194" s="3"/>
      <c r="I194" s="3"/>
      <c r="J194" s="3"/>
      <c r="Z194" s="1"/>
    </row>
    <row r="195" ht="12.75" customHeight="1">
      <c r="A195" s="1"/>
      <c r="B195" s="2"/>
      <c r="C195" s="2"/>
      <c r="D195" s="2"/>
      <c r="E195" s="2"/>
      <c r="F195" s="1"/>
      <c r="G195" s="3"/>
      <c r="H195" s="3"/>
      <c r="I195" s="3"/>
      <c r="J195" s="3"/>
      <c r="Z195" s="1"/>
    </row>
    <row r="196" ht="12.75" customHeight="1">
      <c r="A196" s="1"/>
      <c r="B196" s="2"/>
      <c r="C196" s="2"/>
      <c r="D196" s="2"/>
      <c r="E196" s="2"/>
      <c r="F196" s="1"/>
      <c r="G196" s="3"/>
      <c r="H196" s="3"/>
      <c r="I196" s="3"/>
      <c r="J196" s="3"/>
      <c r="Z196" s="1"/>
    </row>
    <row r="197" ht="12.75" customHeight="1">
      <c r="A197" s="1"/>
      <c r="B197" s="2"/>
      <c r="C197" s="2"/>
      <c r="D197" s="2"/>
      <c r="E197" s="2"/>
      <c r="F197" s="1"/>
      <c r="G197" s="3"/>
      <c r="H197" s="3"/>
      <c r="I197" s="3"/>
      <c r="J197" s="3"/>
      <c r="Z197" s="1"/>
    </row>
    <row r="198" ht="12.75" customHeight="1">
      <c r="A198" s="1"/>
      <c r="B198" s="2"/>
      <c r="C198" s="2"/>
      <c r="D198" s="2"/>
      <c r="E198" s="2"/>
      <c r="F198" s="1"/>
      <c r="G198" s="3"/>
      <c r="H198" s="3"/>
      <c r="I198" s="3"/>
      <c r="J198" s="3"/>
      <c r="Z198" s="1"/>
    </row>
    <row r="199" ht="12.75" customHeight="1">
      <c r="A199" s="1"/>
      <c r="B199" s="2"/>
      <c r="C199" s="2"/>
      <c r="D199" s="2"/>
      <c r="E199" s="2"/>
      <c r="F199" s="1"/>
      <c r="G199" s="3"/>
      <c r="H199" s="3"/>
      <c r="I199" s="3"/>
      <c r="J199" s="3"/>
      <c r="Z199" s="1"/>
    </row>
    <row r="200" ht="12.75" customHeight="1">
      <c r="A200" s="1"/>
      <c r="B200" s="2"/>
      <c r="C200" s="2"/>
      <c r="D200" s="2"/>
      <c r="E200" s="2"/>
      <c r="F200" s="1"/>
      <c r="G200" s="3"/>
      <c r="H200" s="3"/>
      <c r="I200" s="3"/>
      <c r="J200" s="3"/>
      <c r="Z200" s="1"/>
    </row>
    <row r="201" ht="12.75" customHeight="1">
      <c r="A201" s="1"/>
      <c r="B201" s="2"/>
      <c r="C201" s="2"/>
      <c r="D201" s="2"/>
      <c r="E201" s="2"/>
      <c r="F201" s="1"/>
      <c r="G201" s="3"/>
      <c r="H201" s="3"/>
      <c r="I201" s="3"/>
      <c r="J201" s="3"/>
      <c r="Z201" s="1"/>
    </row>
    <row r="202" ht="12.75" customHeight="1">
      <c r="A202" s="1"/>
      <c r="B202" s="2"/>
      <c r="C202" s="2"/>
      <c r="D202" s="2"/>
      <c r="E202" s="2"/>
      <c r="F202" s="1"/>
      <c r="G202" s="3"/>
      <c r="H202" s="3"/>
      <c r="I202" s="3"/>
      <c r="J202" s="3"/>
      <c r="Z202" s="1"/>
    </row>
    <row r="203" ht="12.75" customHeight="1">
      <c r="A203" s="1"/>
      <c r="B203" s="2"/>
      <c r="C203" s="2"/>
      <c r="D203" s="2"/>
      <c r="E203" s="2"/>
      <c r="F203" s="1"/>
      <c r="G203" s="3"/>
      <c r="H203" s="3"/>
      <c r="I203" s="3"/>
      <c r="J203" s="3"/>
      <c r="Z203" s="1"/>
    </row>
    <row r="204" ht="12.75" customHeight="1">
      <c r="A204" s="1"/>
      <c r="B204" s="2"/>
      <c r="C204" s="2"/>
      <c r="D204" s="2"/>
      <c r="E204" s="2"/>
      <c r="F204" s="1"/>
      <c r="G204" s="3"/>
      <c r="H204" s="3"/>
      <c r="I204" s="3"/>
      <c r="J204" s="3"/>
      <c r="Z204" s="1"/>
    </row>
    <row r="205" ht="12.75" customHeight="1">
      <c r="A205" s="1"/>
      <c r="B205" s="2"/>
      <c r="C205" s="2"/>
      <c r="D205" s="2"/>
      <c r="E205" s="2"/>
      <c r="F205" s="1"/>
      <c r="G205" s="3"/>
      <c r="H205" s="3"/>
      <c r="I205" s="3"/>
      <c r="J205" s="3"/>
      <c r="Z205" s="1"/>
    </row>
    <row r="206" ht="12.75" customHeight="1">
      <c r="A206" s="1"/>
      <c r="B206" s="2"/>
      <c r="C206" s="2"/>
      <c r="D206" s="2"/>
      <c r="E206" s="2"/>
      <c r="F206" s="1"/>
      <c r="G206" s="3"/>
      <c r="H206" s="3"/>
      <c r="I206" s="3"/>
      <c r="J206" s="3"/>
      <c r="Z206" s="1"/>
    </row>
    <row r="207" ht="12.75" customHeight="1">
      <c r="A207" s="1"/>
      <c r="B207" s="2"/>
      <c r="C207" s="2"/>
      <c r="D207" s="2"/>
      <c r="E207" s="2"/>
      <c r="F207" s="1"/>
      <c r="G207" s="3"/>
      <c r="H207" s="3"/>
      <c r="I207" s="3"/>
      <c r="J207" s="3"/>
      <c r="Z207" s="1"/>
    </row>
    <row r="208" ht="12.75" customHeight="1">
      <c r="A208" s="1"/>
      <c r="B208" s="2"/>
      <c r="C208" s="2"/>
      <c r="D208" s="2"/>
      <c r="E208" s="2"/>
      <c r="F208" s="1"/>
      <c r="G208" s="3"/>
      <c r="H208" s="3"/>
      <c r="I208" s="3"/>
      <c r="J208" s="3"/>
      <c r="Z208" s="1"/>
    </row>
    <row r="209" ht="12.75" customHeight="1">
      <c r="A209" s="1"/>
      <c r="B209" s="2"/>
      <c r="C209" s="2"/>
      <c r="D209" s="2"/>
      <c r="E209" s="2"/>
      <c r="F209" s="1"/>
      <c r="G209" s="3"/>
      <c r="H209" s="3"/>
      <c r="I209" s="3"/>
      <c r="J209" s="3"/>
      <c r="Z209" s="1"/>
    </row>
    <row r="210" ht="12.75" customHeight="1">
      <c r="A210" s="1"/>
      <c r="B210" s="2"/>
      <c r="C210" s="2"/>
      <c r="D210" s="2"/>
      <c r="E210" s="2"/>
      <c r="F210" s="1"/>
      <c r="G210" s="3"/>
      <c r="H210" s="3"/>
      <c r="I210" s="3"/>
      <c r="J210" s="3"/>
      <c r="Z210" s="1"/>
    </row>
    <row r="211" ht="12.75" customHeight="1">
      <c r="A211" s="1"/>
      <c r="B211" s="2"/>
      <c r="C211" s="2"/>
      <c r="D211" s="2"/>
      <c r="E211" s="2"/>
      <c r="F211" s="1"/>
      <c r="G211" s="3"/>
      <c r="H211" s="3"/>
      <c r="I211" s="3"/>
      <c r="J211" s="3"/>
      <c r="Z211" s="1"/>
    </row>
    <row r="212" ht="12.75" customHeight="1">
      <c r="A212" s="1"/>
      <c r="B212" s="2"/>
      <c r="C212" s="2"/>
      <c r="D212" s="2"/>
      <c r="E212" s="2"/>
      <c r="F212" s="1"/>
      <c r="G212" s="3"/>
      <c r="H212" s="3"/>
      <c r="I212" s="3"/>
      <c r="J212" s="3"/>
      <c r="Z212" s="1"/>
    </row>
    <row r="213" ht="12.75" customHeight="1">
      <c r="A213" s="1"/>
      <c r="B213" s="2"/>
      <c r="C213" s="2"/>
      <c r="D213" s="2"/>
      <c r="E213" s="2"/>
      <c r="F213" s="1"/>
      <c r="G213" s="3"/>
      <c r="H213" s="3"/>
      <c r="I213" s="3"/>
      <c r="J213" s="3"/>
      <c r="Z213" s="1"/>
    </row>
    <row r="214" ht="12.75" customHeight="1">
      <c r="A214" s="1"/>
      <c r="B214" s="2"/>
      <c r="C214" s="2"/>
      <c r="D214" s="2"/>
      <c r="E214" s="2"/>
      <c r="F214" s="1"/>
      <c r="G214" s="3"/>
      <c r="H214" s="3"/>
      <c r="I214" s="3"/>
      <c r="J214" s="3"/>
      <c r="Z214" s="1"/>
    </row>
    <row r="215" ht="12.75" customHeight="1">
      <c r="A215" s="1"/>
      <c r="B215" s="2"/>
      <c r="C215" s="2"/>
      <c r="D215" s="2"/>
      <c r="E215" s="2"/>
      <c r="F215" s="1"/>
      <c r="G215" s="3"/>
      <c r="H215" s="3"/>
      <c r="I215" s="3"/>
      <c r="J215" s="3"/>
      <c r="Z215" s="1"/>
    </row>
    <row r="216" ht="12.75" customHeight="1">
      <c r="A216" s="1"/>
      <c r="B216" s="2"/>
      <c r="C216" s="2"/>
      <c r="D216" s="2"/>
      <c r="E216" s="2"/>
      <c r="F216" s="1"/>
      <c r="G216" s="3"/>
      <c r="H216" s="3"/>
      <c r="I216" s="3"/>
      <c r="J216" s="3"/>
      <c r="Z216" s="1"/>
    </row>
    <row r="217" ht="12.75" customHeight="1">
      <c r="A217" s="1"/>
      <c r="B217" s="2"/>
      <c r="C217" s="2"/>
      <c r="D217" s="2"/>
      <c r="E217" s="2"/>
      <c r="F217" s="1"/>
      <c r="G217" s="3"/>
      <c r="H217" s="3"/>
      <c r="I217" s="3"/>
      <c r="J217" s="3"/>
      <c r="Z217" s="1"/>
    </row>
    <row r="218" ht="12.75" customHeight="1">
      <c r="A218" s="1"/>
      <c r="B218" s="2"/>
      <c r="C218" s="2"/>
      <c r="D218" s="2"/>
      <c r="E218" s="2"/>
      <c r="F218" s="1"/>
      <c r="G218" s="3"/>
      <c r="H218" s="3"/>
      <c r="I218" s="3"/>
      <c r="J218" s="3"/>
      <c r="Z218" s="1"/>
    </row>
    <row r="219" ht="12.75" customHeight="1">
      <c r="A219" s="1"/>
      <c r="B219" s="2"/>
      <c r="C219" s="2"/>
      <c r="D219" s="2"/>
      <c r="E219" s="2"/>
      <c r="F219" s="1"/>
      <c r="G219" s="3"/>
      <c r="H219" s="3"/>
      <c r="I219" s="3"/>
      <c r="J219" s="3"/>
      <c r="Z219" s="1"/>
    </row>
    <row r="220" ht="12.75" customHeight="1">
      <c r="A220" s="1"/>
      <c r="B220" s="2"/>
      <c r="C220" s="2"/>
      <c r="D220" s="2"/>
      <c r="E220" s="2"/>
      <c r="F220" s="1"/>
      <c r="G220" s="3"/>
      <c r="H220" s="3"/>
      <c r="I220" s="3"/>
      <c r="J220" s="3"/>
      <c r="Z220" s="1"/>
    </row>
    <row r="221" ht="12.75" customHeight="1">
      <c r="A221" s="1"/>
      <c r="B221" s="2"/>
      <c r="C221" s="2"/>
      <c r="D221" s="2"/>
      <c r="E221" s="2"/>
      <c r="F221" s="1"/>
      <c r="G221" s="3"/>
      <c r="H221" s="3"/>
      <c r="I221" s="3"/>
      <c r="J221" s="3"/>
      <c r="Z221" s="1"/>
    </row>
    <row r="222" ht="12.75" customHeight="1">
      <c r="A222" s="1"/>
      <c r="B222" s="2"/>
      <c r="C222" s="2"/>
      <c r="D222" s="2"/>
      <c r="E222" s="2"/>
      <c r="F222" s="1"/>
      <c r="G222" s="3"/>
      <c r="H222" s="3"/>
      <c r="I222" s="3"/>
      <c r="J222" s="3"/>
      <c r="Z222" s="1"/>
    </row>
    <row r="223" ht="12.75" customHeight="1">
      <c r="A223" s="1"/>
      <c r="B223" s="2"/>
      <c r="C223" s="2"/>
      <c r="D223" s="2"/>
      <c r="E223" s="2"/>
      <c r="F223" s="1"/>
      <c r="G223" s="3"/>
      <c r="H223" s="3"/>
      <c r="I223" s="3"/>
      <c r="J223" s="3"/>
      <c r="Z223" s="1"/>
    </row>
    <row r="224" ht="12.75" customHeight="1">
      <c r="A224" s="1"/>
      <c r="B224" s="2"/>
      <c r="C224" s="2"/>
      <c r="D224" s="2"/>
      <c r="E224" s="2"/>
      <c r="F224" s="1"/>
      <c r="G224" s="3"/>
      <c r="H224" s="3"/>
      <c r="I224" s="3"/>
      <c r="J224" s="3"/>
      <c r="Z224" s="1"/>
    </row>
    <row r="225" ht="12.75" customHeight="1">
      <c r="A225" s="1"/>
      <c r="B225" s="2"/>
      <c r="C225" s="2"/>
      <c r="D225" s="2"/>
      <c r="E225" s="2"/>
      <c r="F225" s="1"/>
      <c r="G225" s="3"/>
      <c r="H225" s="3"/>
      <c r="I225" s="3"/>
      <c r="J225" s="3"/>
      <c r="Z225" s="1"/>
    </row>
    <row r="226" ht="12.75" customHeight="1">
      <c r="A226" s="1"/>
      <c r="B226" s="2"/>
      <c r="C226" s="2"/>
      <c r="D226" s="2"/>
      <c r="E226" s="2"/>
      <c r="F226" s="1"/>
      <c r="G226" s="3"/>
      <c r="H226" s="3"/>
      <c r="I226" s="3"/>
      <c r="J226" s="3"/>
      <c r="Z226" s="1"/>
    </row>
    <row r="227" ht="12.75" customHeight="1">
      <c r="A227" s="1"/>
      <c r="B227" s="2"/>
      <c r="C227" s="2"/>
      <c r="D227" s="2"/>
      <c r="E227" s="2"/>
      <c r="F227" s="1"/>
      <c r="G227" s="3"/>
      <c r="H227" s="3"/>
      <c r="I227" s="3"/>
      <c r="J227" s="3"/>
      <c r="Z227" s="1"/>
    </row>
    <row r="228" ht="12.75" customHeight="1">
      <c r="A228" s="1"/>
      <c r="B228" s="2"/>
      <c r="C228" s="2"/>
      <c r="D228" s="2"/>
      <c r="E228" s="2"/>
      <c r="F228" s="1"/>
      <c r="G228" s="3"/>
      <c r="H228" s="3"/>
      <c r="I228" s="3"/>
      <c r="J228" s="3"/>
      <c r="Z228" s="1"/>
    </row>
    <row r="229" ht="12.75" customHeight="1">
      <c r="A229" s="1"/>
      <c r="B229" s="2"/>
      <c r="C229" s="2"/>
      <c r="D229" s="2"/>
      <c r="E229" s="2"/>
      <c r="F229" s="1"/>
      <c r="G229" s="3"/>
      <c r="H229" s="3"/>
      <c r="I229" s="3"/>
      <c r="J229" s="3"/>
      <c r="Z229" s="1"/>
    </row>
    <row r="230" ht="12.75" customHeight="1">
      <c r="A230" s="1"/>
      <c r="B230" s="2"/>
      <c r="C230" s="2"/>
      <c r="D230" s="2"/>
      <c r="E230" s="2"/>
      <c r="F230" s="1"/>
      <c r="G230" s="3"/>
      <c r="H230" s="3"/>
      <c r="I230" s="3"/>
      <c r="J230" s="3"/>
      <c r="Z230" s="1"/>
    </row>
    <row r="231" ht="12.75" customHeight="1">
      <c r="A231" s="1"/>
      <c r="B231" s="2"/>
      <c r="C231" s="2"/>
      <c r="D231" s="2"/>
      <c r="E231" s="2"/>
      <c r="F231" s="1"/>
      <c r="G231" s="3"/>
      <c r="H231" s="3"/>
      <c r="I231" s="3"/>
      <c r="J231" s="3"/>
      <c r="Z231" s="1"/>
    </row>
    <row r="232" ht="12.75" customHeight="1">
      <c r="A232" s="1"/>
      <c r="B232" s="2"/>
      <c r="C232" s="2"/>
      <c r="D232" s="2"/>
      <c r="E232" s="2"/>
      <c r="F232" s="1"/>
      <c r="G232" s="3"/>
      <c r="H232" s="3"/>
      <c r="I232" s="3"/>
      <c r="J232" s="3"/>
      <c r="Z232" s="1"/>
    </row>
    <row r="233" ht="12.75" customHeight="1">
      <c r="A233" s="1"/>
      <c r="B233" s="2"/>
      <c r="C233" s="2"/>
      <c r="D233" s="2"/>
      <c r="E233" s="2"/>
      <c r="F233" s="1"/>
      <c r="G233" s="3"/>
      <c r="H233" s="3"/>
      <c r="I233" s="3"/>
      <c r="J233" s="3"/>
      <c r="Z233" s="1"/>
    </row>
    <row r="234" ht="12.75" customHeight="1">
      <c r="A234" s="1"/>
      <c r="B234" s="2"/>
      <c r="C234" s="2"/>
      <c r="D234" s="2"/>
      <c r="E234" s="2"/>
      <c r="F234" s="1"/>
      <c r="G234" s="3"/>
      <c r="H234" s="3"/>
      <c r="I234" s="3"/>
      <c r="J234" s="3"/>
      <c r="Z234" s="1"/>
    </row>
    <row r="235" ht="12.75" customHeight="1">
      <c r="A235" s="1"/>
      <c r="B235" s="2"/>
      <c r="C235" s="2"/>
      <c r="D235" s="2"/>
      <c r="E235" s="2"/>
      <c r="F235" s="1"/>
      <c r="G235" s="3"/>
      <c r="H235" s="3"/>
      <c r="I235" s="3"/>
      <c r="J235" s="3"/>
      <c r="Z235" s="1"/>
    </row>
    <row r="236" ht="12.75" customHeight="1">
      <c r="A236" s="1"/>
      <c r="B236" s="2"/>
      <c r="C236" s="2"/>
      <c r="D236" s="2"/>
      <c r="E236" s="2"/>
      <c r="F236" s="1"/>
      <c r="G236" s="3"/>
      <c r="H236" s="3"/>
      <c r="I236" s="3"/>
      <c r="J236" s="3"/>
      <c r="Z236" s="1"/>
    </row>
    <row r="237" ht="12.75" customHeight="1">
      <c r="A237" s="1"/>
      <c r="B237" s="2"/>
      <c r="C237" s="2"/>
      <c r="D237" s="2"/>
      <c r="E237" s="2"/>
      <c r="F237" s="1"/>
      <c r="G237" s="3"/>
      <c r="H237" s="3"/>
      <c r="I237" s="3"/>
      <c r="J237" s="3"/>
      <c r="Z237" s="1"/>
    </row>
    <row r="238" ht="12.75" customHeight="1">
      <c r="A238" s="1"/>
      <c r="B238" s="2"/>
      <c r="C238" s="2"/>
      <c r="D238" s="2"/>
      <c r="E238" s="2"/>
      <c r="F238" s="1"/>
      <c r="G238" s="3"/>
      <c r="H238" s="3"/>
      <c r="I238" s="3"/>
      <c r="J238" s="3"/>
      <c r="Z238" s="1"/>
    </row>
    <row r="239" ht="12.75" customHeight="1">
      <c r="A239" s="1"/>
      <c r="B239" s="2"/>
      <c r="C239" s="2"/>
      <c r="D239" s="2"/>
      <c r="E239" s="2"/>
      <c r="F239" s="1"/>
      <c r="G239" s="3"/>
      <c r="H239" s="3"/>
      <c r="I239" s="3"/>
      <c r="J239" s="3"/>
      <c r="Z239" s="1"/>
    </row>
    <row r="240" ht="12.75" customHeight="1">
      <c r="A240" s="1"/>
      <c r="B240" s="2"/>
      <c r="C240" s="2"/>
      <c r="D240" s="2"/>
      <c r="E240" s="2"/>
      <c r="F240" s="1"/>
      <c r="G240" s="3"/>
      <c r="H240" s="3"/>
      <c r="I240" s="3"/>
      <c r="J240" s="3"/>
      <c r="Z240" s="1"/>
    </row>
    <row r="241" ht="12.75" customHeight="1">
      <c r="A241" s="1"/>
      <c r="B241" s="2"/>
      <c r="C241" s="2"/>
      <c r="D241" s="2"/>
      <c r="E241" s="2"/>
      <c r="F241" s="1"/>
      <c r="G241" s="3"/>
      <c r="H241" s="3"/>
      <c r="I241" s="3"/>
      <c r="J241" s="3"/>
      <c r="Z241" s="1"/>
    </row>
    <row r="242" ht="12.75" customHeight="1">
      <c r="A242" s="1"/>
      <c r="B242" s="2"/>
      <c r="C242" s="2"/>
      <c r="D242" s="2"/>
      <c r="E242" s="2"/>
      <c r="F242" s="1"/>
      <c r="G242" s="3"/>
      <c r="H242" s="3"/>
      <c r="I242" s="3"/>
      <c r="J242" s="3"/>
      <c r="Z242" s="1"/>
    </row>
    <row r="243" ht="12.75" customHeight="1">
      <c r="A243" s="1"/>
      <c r="B243" s="2"/>
      <c r="C243" s="2"/>
      <c r="D243" s="2"/>
      <c r="E243" s="2"/>
      <c r="F243" s="1"/>
      <c r="G243" s="3"/>
      <c r="H243" s="3"/>
      <c r="I243" s="3"/>
      <c r="J243" s="3"/>
      <c r="Z243" s="1"/>
    </row>
    <row r="244" ht="12.75" customHeight="1">
      <c r="A244" s="1"/>
      <c r="B244" s="2"/>
      <c r="C244" s="2"/>
      <c r="D244" s="2"/>
      <c r="E244" s="2"/>
      <c r="F244" s="1"/>
      <c r="G244" s="3"/>
      <c r="H244" s="3"/>
      <c r="I244" s="3"/>
      <c r="J244" s="3"/>
      <c r="Z244" s="1"/>
    </row>
    <row r="245" ht="12.75" customHeight="1">
      <c r="A245" s="1"/>
      <c r="B245" s="2"/>
      <c r="C245" s="2"/>
      <c r="D245" s="2"/>
      <c r="E245" s="2"/>
      <c r="F245" s="1"/>
      <c r="G245" s="3"/>
      <c r="H245" s="3"/>
      <c r="I245" s="3"/>
      <c r="J245" s="3"/>
      <c r="Z245" s="1"/>
    </row>
    <row r="246" ht="12.75" customHeight="1">
      <c r="A246" s="1"/>
      <c r="B246" s="2"/>
      <c r="C246" s="2"/>
      <c r="D246" s="2"/>
      <c r="E246" s="2"/>
      <c r="F246" s="1"/>
      <c r="G246" s="3"/>
      <c r="H246" s="3"/>
      <c r="I246" s="3"/>
      <c r="J246" s="3"/>
      <c r="Z246" s="1"/>
    </row>
    <row r="247" ht="12.75" customHeight="1">
      <c r="A247" s="1"/>
      <c r="B247" s="2"/>
      <c r="C247" s="2"/>
      <c r="D247" s="2"/>
      <c r="E247" s="2"/>
      <c r="F247" s="1"/>
      <c r="G247" s="3"/>
      <c r="H247" s="3"/>
      <c r="I247" s="3"/>
      <c r="J247" s="3"/>
      <c r="Z247" s="1"/>
    </row>
    <row r="248" ht="12.75" customHeight="1">
      <c r="A248" s="1"/>
      <c r="B248" s="2"/>
      <c r="C248" s="2"/>
      <c r="D248" s="2"/>
      <c r="E248" s="2"/>
      <c r="F248" s="1"/>
      <c r="G248" s="3"/>
      <c r="H248" s="3"/>
      <c r="I248" s="3"/>
      <c r="J248" s="3"/>
      <c r="Z248" s="1"/>
    </row>
    <row r="249" ht="12.75" customHeight="1">
      <c r="A249" s="1"/>
      <c r="B249" s="2"/>
      <c r="C249" s="2"/>
      <c r="D249" s="2"/>
      <c r="E249" s="2"/>
      <c r="F249" s="1"/>
      <c r="G249" s="3"/>
      <c r="H249" s="3"/>
      <c r="I249" s="3"/>
      <c r="J249" s="3"/>
      <c r="Z249" s="1"/>
    </row>
    <row r="250" ht="12.75" customHeight="1">
      <c r="A250" s="1"/>
      <c r="B250" s="2"/>
      <c r="C250" s="2"/>
      <c r="D250" s="2"/>
      <c r="E250" s="2"/>
      <c r="F250" s="1"/>
      <c r="G250" s="3"/>
      <c r="H250" s="3"/>
      <c r="I250" s="3"/>
      <c r="J250" s="3"/>
      <c r="Z250" s="1"/>
    </row>
    <row r="251" ht="12.75" customHeight="1">
      <c r="A251" s="1"/>
      <c r="B251" s="2"/>
      <c r="C251" s="2"/>
      <c r="D251" s="2"/>
      <c r="E251" s="2"/>
      <c r="F251" s="1"/>
      <c r="G251" s="3"/>
      <c r="H251" s="3"/>
      <c r="I251" s="3"/>
      <c r="J251" s="3"/>
      <c r="Z251" s="1"/>
    </row>
    <row r="252" ht="12.75" customHeight="1">
      <c r="A252" s="1"/>
      <c r="B252" s="2"/>
      <c r="C252" s="2"/>
      <c r="D252" s="2"/>
      <c r="E252" s="2"/>
      <c r="F252" s="1"/>
      <c r="G252" s="3"/>
      <c r="H252" s="3"/>
      <c r="I252" s="3"/>
      <c r="J252" s="3"/>
      <c r="Z252" s="1"/>
    </row>
    <row r="253" ht="12.75" customHeight="1">
      <c r="A253" s="1"/>
      <c r="B253" s="2"/>
      <c r="C253" s="2"/>
      <c r="D253" s="2"/>
      <c r="E253" s="2"/>
      <c r="F253" s="1"/>
      <c r="G253" s="3"/>
      <c r="H253" s="3"/>
      <c r="I253" s="3"/>
      <c r="J253" s="3"/>
      <c r="Z253" s="1"/>
    </row>
    <row r="254" ht="12.75" customHeight="1">
      <c r="A254" s="1"/>
      <c r="B254" s="2"/>
      <c r="C254" s="2"/>
      <c r="D254" s="2"/>
      <c r="E254" s="2"/>
      <c r="F254" s="1"/>
      <c r="G254" s="3"/>
      <c r="H254" s="3"/>
      <c r="I254" s="3"/>
      <c r="J254" s="3"/>
      <c r="Z254" s="1"/>
    </row>
    <row r="255" ht="12.75" customHeight="1">
      <c r="A255" s="1"/>
      <c r="B255" s="2"/>
      <c r="C255" s="2"/>
      <c r="D255" s="2"/>
      <c r="E255" s="2"/>
      <c r="F255" s="1"/>
      <c r="G255" s="3"/>
      <c r="H255" s="3"/>
      <c r="I255" s="3"/>
      <c r="J255" s="3"/>
      <c r="Z255" s="1"/>
    </row>
    <row r="256" ht="12.75" customHeight="1">
      <c r="A256" s="1"/>
      <c r="B256" s="2"/>
      <c r="C256" s="2"/>
      <c r="D256" s="2"/>
      <c r="E256" s="2"/>
      <c r="F256" s="1"/>
      <c r="G256" s="3"/>
      <c r="H256" s="3"/>
      <c r="I256" s="3"/>
      <c r="J256" s="3"/>
      <c r="Z256" s="1"/>
    </row>
    <row r="257" ht="12.75" customHeight="1">
      <c r="A257" s="1"/>
      <c r="B257" s="2"/>
      <c r="C257" s="2"/>
      <c r="D257" s="2"/>
      <c r="E257" s="2"/>
      <c r="F257" s="1"/>
      <c r="G257" s="3"/>
      <c r="H257" s="3"/>
      <c r="I257" s="3"/>
      <c r="J257" s="3"/>
      <c r="Z257" s="1"/>
    </row>
    <row r="258" ht="12.75" customHeight="1">
      <c r="A258" s="1"/>
      <c r="B258" s="2"/>
      <c r="C258" s="2"/>
      <c r="D258" s="2"/>
      <c r="E258" s="2"/>
      <c r="F258" s="1"/>
      <c r="G258" s="3"/>
      <c r="H258" s="3"/>
      <c r="I258" s="3"/>
      <c r="J258" s="3"/>
      <c r="Z258" s="1"/>
    </row>
    <row r="259" ht="12.75" customHeight="1">
      <c r="A259" s="1"/>
      <c r="B259" s="2"/>
      <c r="C259" s="2"/>
      <c r="D259" s="2"/>
      <c r="E259" s="2"/>
      <c r="F259" s="1"/>
      <c r="G259" s="3"/>
      <c r="H259" s="3"/>
      <c r="I259" s="3"/>
      <c r="J259" s="3"/>
      <c r="Z259" s="1"/>
    </row>
    <row r="260" ht="12.75" customHeight="1">
      <c r="A260" s="1"/>
      <c r="B260" s="2"/>
      <c r="C260" s="2"/>
      <c r="D260" s="2"/>
      <c r="E260" s="2"/>
      <c r="F260" s="1"/>
      <c r="G260" s="3"/>
      <c r="H260" s="3"/>
      <c r="I260" s="3"/>
      <c r="J260" s="3"/>
      <c r="Z260" s="1"/>
    </row>
    <row r="261" ht="12.75" customHeight="1">
      <c r="A261" s="1"/>
      <c r="B261" s="2"/>
      <c r="C261" s="2"/>
      <c r="D261" s="2"/>
      <c r="E261" s="2"/>
      <c r="F261" s="1"/>
      <c r="G261" s="3"/>
      <c r="H261" s="3"/>
      <c r="I261" s="3"/>
      <c r="J261" s="3"/>
      <c r="Z261" s="1"/>
    </row>
    <row r="262" ht="12.75" customHeight="1">
      <c r="A262" s="1"/>
      <c r="B262" s="2"/>
      <c r="C262" s="2"/>
      <c r="D262" s="2"/>
      <c r="E262" s="2"/>
      <c r="F262" s="1"/>
      <c r="G262" s="3"/>
      <c r="H262" s="3"/>
      <c r="I262" s="3"/>
      <c r="J262" s="3"/>
      <c r="Z262" s="1"/>
    </row>
    <row r="263" ht="12.75" customHeight="1">
      <c r="A263" s="1"/>
      <c r="B263" s="2"/>
      <c r="C263" s="2"/>
      <c r="D263" s="2"/>
      <c r="E263" s="2"/>
      <c r="F263" s="1"/>
      <c r="G263" s="3"/>
      <c r="H263" s="3"/>
      <c r="I263" s="3"/>
      <c r="J263" s="3"/>
      <c r="Z263" s="1"/>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E43:Q43"/>
    <mergeCell ref="E48:Q48"/>
    <mergeCell ref="E53:O53"/>
    <mergeCell ref="E58:V58"/>
    <mergeCell ref="A18:O18"/>
    <mergeCell ref="Q20:X28"/>
    <mergeCell ref="E28:O28"/>
    <mergeCell ref="R29:W30"/>
    <mergeCell ref="R32:W32"/>
    <mergeCell ref="E33:O33"/>
    <mergeCell ref="E38:O38"/>
  </mergeCells>
  <hyperlinks>
    <hyperlink r:id="rId1" ref="A18"/>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6.0"/>
    <col customWidth="1" min="2" max="2" width="2.14"/>
    <col customWidth="1" min="3" max="3" width="30.57"/>
    <col customWidth="1" hidden="1" min="4" max="4" width="7.71"/>
    <col customWidth="1" min="5" max="5" width="7.0"/>
    <col customWidth="1" min="6" max="6" width="6.43"/>
    <col customWidth="1" min="7" max="7" width="6.71"/>
    <col customWidth="1" hidden="1" min="8" max="8" width="6.71"/>
    <col customWidth="1" hidden="1" min="9" max="9" width="6.29"/>
    <col customWidth="1" hidden="1" min="10" max="10" width="5.57"/>
    <col customWidth="1" hidden="1" min="11" max="12" width="6.14"/>
    <col customWidth="1" hidden="1" min="13" max="14" width="6.29"/>
    <col customWidth="1" hidden="1" min="15" max="16" width="6.43"/>
    <col customWidth="1" hidden="1" min="17" max="17" width="6.29"/>
    <col customWidth="1" hidden="1" min="18" max="18" width="6.0"/>
    <col customWidth="1" hidden="1" min="19" max="19" width="6.14"/>
    <col customWidth="1" hidden="1" min="20" max="20" width="6.57"/>
    <col customWidth="1" hidden="1" min="21" max="22" width="6.86"/>
    <col customWidth="1" hidden="1" min="23" max="24" width="7.0"/>
    <col customWidth="1" hidden="1" min="25" max="25" width="7.29"/>
    <col customWidth="1" hidden="1" min="26" max="26" width="7.43"/>
    <col customWidth="1" hidden="1" min="27" max="27" width="6.86"/>
    <col customWidth="1" hidden="1" min="28" max="28" width="6.0"/>
    <col customWidth="1" min="29" max="29" width="5.43"/>
    <col customWidth="1" min="30" max="30" width="5.14"/>
    <col customWidth="1" min="31" max="33" width="8.71"/>
  </cols>
  <sheetData>
    <row r="1" ht="12.75" customHeight="1">
      <c r="A1" s="1"/>
      <c r="B1" s="1"/>
      <c r="C1" s="1"/>
      <c r="D1" s="49"/>
      <c r="E1" s="49"/>
      <c r="F1" s="49"/>
      <c r="G1" s="49"/>
      <c r="H1" s="1"/>
      <c r="I1" s="1"/>
      <c r="J1" s="1"/>
      <c r="K1" s="1"/>
      <c r="L1" s="1"/>
      <c r="M1" s="1"/>
      <c r="N1" s="1"/>
      <c r="O1" s="1"/>
      <c r="P1" s="1"/>
      <c r="Q1" s="1"/>
      <c r="R1" s="1"/>
      <c r="S1" s="1"/>
      <c r="T1" s="1"/>
      <c r="U1" s="1"/>
      <c r="V1" s="1"/>
      <c r="W1" s="1"/>
      <c r="X1" s="1"/>
      <c r="Y1" s="1"/>
      <c r="Z1" s="1"/>
      <c r="AA1" s="1"/>
      <c r="AB1" s="1"/>
      <c r="AC1" s="1"/>
      <c r="AD1" s="1"/>
    </row>
    <row r="2" ht="21.75" customHeight="1">
      <c r="A2" s="1"/>
      <c r="B2" s="65" t="s">
        <v>28</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8"/>
    </row>
    <row r="3" ht="1.5" customHeight="1">
      <c r="A3" s="49"/>
    </row>
    <row r="4" ht="21.75" customHeight="1">
      <c r="A4" s="1"/>
      <c r="B4" s="1"/>
      <c r="C4" s="1"/>
      <c r="D4" s="49"/>
      <c r="E4" s="49"/>
      <c r="F4" s="49"/>
      <c r="G4" s="49"/>
      <c r="H4" s="1"/>
      <c r="I4" s="1"/>
      <c r="J4" s="1"/>
      <c r="K4" s="1"/>
      <c r="L4" s="1"/>
      <c r="M4" s="1"/>
      <c r="N4" s="1"/>
      <c r="O4" s="1"/>
      <c r="P4" s="1"/>
      <c r="Q4" s="1"/>
      <c r="R4" s="1"/>
      <c r="S4" s="1"/>
      <c r="T4" s="1"/>
      <c r="U4" s="1"/>
      <c r="V4" s="1"/>
      <c r="W4" s="1"/>
      <c r="X4" s="1"/>
      <c r="Y4" s="1"/>
      <c r="Z4" s="1"/>
      <c r="AA4" s="1"/>
      <c r="AB4" s="1"/>
      <c r="AC4" s="1"/>
      <c r="AD4" s="1"/>
    </row>
    <row r="5" ht="16.5" customHeight="1">
      <c r="A5" s="1"/>
      <c r="B5" s="66" t="s">
        <v>29</v>
      </c>
      <c r="H5" s="67"/>
      <c r="I5" s="67"/>
      <c r="J5" s="67"/>
      <c r="K5" s="67"/>
      <c r="L5" s="67"/>
      <c r="M5" s="67"/>
      <c r="N5" s="67" t="s">
        <v>30</v>
      </c>
      <c r="O5" s="67"/>
      <c r="P5" s="67"/>
      <c r="Q5" s="67"/>
      <c r="R5" s="67"/>
      <c r="S5" s="67" t="s">
        <v>31</v>
      </c>
      <c r="T5" s="67"/>
      <c r="U5" s="67"/>
      <c r="V5" s="67"/>
      <c r="W5" s="67"/>
      <c r="X5" s="67" t="s">
        <v>32</v>
      </c>
      <c r="Y5" s="67"/>
      <c r="Z5" s="67"/>
      <c r="AA5" s="67"/>
      <c r="AB5" s="67"/>
      <c r="AC5" s="67"/>
      <c r="AD5" s="67"/>
      <c r="AE5" s="67"/>
      <c r="AF5" s="67"/>
      <c r="AG5" s="67"/>
    </row>
    <row r="6" ht="28.5" customHeight="1">
      <c r="A6" s="1"/>
      <c r="B6" s="68" t="s">
        <v>33</v>
      </c>
      <c r="D6" s="68" t="s">
        <v>34</v>
      </c>
      <c r="E6" s="68" t="s">
        <v>35</v>
      </c>
      <c r="F6" s="68" t="s">
        <v>36</v>
      </c>
      <c r="G6" s="68" t="s">
        <v>37</v>
      </c>
      <c r="H6" s="67"/>
      <c r="I6" s="67"/>
      <c r="J6" s="67"/>
      <c r="K6" s="67"/>
      <c r="L6" s="67"/>
      <c r="M6" s="67"/>
      <c r="N6" s="67" t="s">
        <v>38</v>
      </c>
      <c r="O6" s="67" t="s">
        <v>39</v>
      </c>
      <c r="P6" s="67" t="s">
        <v>40</v>
      </c>
      <c r="Q6" s="67" t="s">
        <v>41</v>
      </c>
      <c r="R6" s="67" t="s">
        <v>42</v>
      </c>
      <c r="S6" s="67" t="s">
        <v>38</v>
      </c>
      <c r="T6" s="67" t="s">
        <v>39</v>
      </c>
      <c r="U6" s="67" t="s">
        <v>40</v>
      </c>
      <c r="V6" s="67" t="s">
        <v>41</v>
      </c>
      <c r="W6" s="67" t="s">
        <v>42</v>
      </c>
      <c r="X6" s="67" t="s">
        <v>38</v>
      </c>
      <c r="Y6" s="67" t="s">
        <v>39</v>
      </c>
      <c r="Z6" s="67" t="s">
        <v>40</v>
      </c>
      <c r="AA6" s="67" t="s">
        <v>41</v>
      </c>
      <c r="AB6" s="67" t="s">
        <v>42</v>
      </c>
      <c r="AC6" s="67" t="s">
        <v>43</v>
      </c>
      <c r="AD6" s="67"/>
      <c r="AE6" s="67"/>
      <c r="AF6" s="67"/>
      <c r="AG6" s="67"/>
    </row>
    <row r="7" ht="12.75" customHeight="1">
      <c r="A7" s="1"/>
      <c r="B7" s="69">
        <v>1.0</v>
      </c>
      <c r="C7" s="70" t="s">
        <v>44</v>
      </c>
      <c r="D7" s="71">
        <v>0.3</v>
      </c>
      <c r="E7" s="72">
        <v>4.0</v>
      </c>
      <c r="F7" s="72">
        <v>1.0</v>
      </c>
      <c r="G7" s="73">
        <f>'Start Here'!$F$21*D7</f>
        <v>30</v>
      </c>
      <c r="H7" s="74">
        <f t="shared" ref="H7:H9" si="1">E7*F7</f>
        <v>4</v>
      </c>
      <c r="I7" s="75">
        <f t="shared" ref="I7:I9" si="2">G7*H7</f>
        <v>120</v>
      </c>
      <c r="J7" s="67"/>
      <c r="K7" s="67"/>
      <c r="L7" s="67"/>
      <c r="M7" s="67"/>
      <c r="N7" s="75" t="str">
        <f t="shared" ref="N7:N16" si="3">IF(ISNUMBER(SEARCH("squat",$C7)),IF($D7&gt;=0.5,IF($D7&lt;0.6,$E7*$F7," ")," ")," ")</f>
        <v> </v>
      </c>
      <c r="O7" s="75" t="str">
        <f t="shared" ref="O7:O16" si="4">IF(ISNUMBER(SEARCH("squat",$C7)),IF($D7&gt;=0.6,IF($D7&lt;0.7,$E7*$F7," ")," ")," ")</f>
        <v> </v>
      </c>
      <c r="P7" s="75" t="str">
        <f t="shared" ref="P7:P16" si="5">IF(ISNUMBER(SEARCH("squat",$C7)),IF($D7&gt;=0.7,IF($D7&lt;0.8,$E7*$F7," ")," ")," ")</f>
        <v> </v>
      </c>
      <c r="Q7" s="75" t="str">
        <f t="shared" ref="Q7:Q16" si="6">IF(ISNUMBER(SEARCH("squat",$C7)),IF($D7&gt;=0.8,IF($D7&lt;0.9,$E7*$F7," ")," ")," ")</f>
        <v> </v>
      </c>
      <c r="R7" s="75" t="str">
        <f t="shared" ref="R7:R16" si="7">IF(ISNUMBER(SEARCH("squat",$C7)),IF($D7&gt;=0.9,$E7*$F7," ")," ")</f>
        <v> </v>
      </c>
      <c r="S7" s="67" t="str">
        <f t="shared" ref="S7:S16" si="8">IF(ISNUMBER(SEARCH("bench",$C7)),IF($D7&gt;=0.5,IF($D7&lt;0.6,$E7*$F7," ")," ")," ")</f>
        <v> </v>
      </c>
      <c r="T7" s="67" t="str">
        <f t="shared" ref="T7:T16" si="9">IF(ISNUMBER(SEARCH("bench",$C7)),IF($D7&gt;=0.6,IF($D7&lt;0.7,$E7*$F7," ")," ")," ")</f>
        <v> </v>
      </c>
      <c r="U7" s="67" t="str">
        <f t="shared" ref="U7:U16" si="10">IF(ISNUMBER(SEARCH("bench",$C7)),IF($D7&gt;=0.7,IF($D7&lt;0.8,$E7*$F7," ")," ")," ")</f>
        <v> </v>
      </c>
      <c r="V7" s="67" t="str">
        <f t="shared" ref="V7:V16" si="11">IF(ISNUMBER(SEARCH("bench",$C7)),IF($D7&gt;=0.8,IF($D7&lt;0.9,$E7*$F7," ")," ")," ")</f>
        <v> </v>
      </c>
      <c r="W7" s="67" t="str">
        <f t="shared" ref="W7:W16" si="12">IF(ISNUMBER(SEARCH("bench",$C7)),IF($D7&gt;=0.9,$E7*$F7," ")," ")</f>
        <v> </v>
      </c>
      <c r="X7" s="67"/>
      <c r="Y7" s="67"/>
      <c r="Z7" s="67"/>
      <c r="AA7" s="67"/>
      <c r="AB7" s="67"/>
      <c r="AC7" s="76"/>
      <c r="AD7" s="77"/>
      <c r="AE7" s="77"/>
      <c r="AF7" s="77"/>
      <c r="AG7" s="78"/>
    </row>
    <row r="8" ht="12.75" customHeight="1">
      <c r="A8" s="1"/>
      <c r="B8" s="79"/>
      <c r="C8" s="80" t="s">
        <v>44</v>
      </c>
      <c r="D8" s="81">
        <v>0.4</v>
      </c>
      <c r="E8" s="82">
        <v>4.0</v>
      </c>
      <c r="F8" s="83">
        <v>1.0</v>
      </c>
      <c r="G8" s="84">
        <f>'Start Here'!$F$21*D8</f>
        <v>40</v>
      </c>
      <c r="H8" s="74">
        <f t="shared" si="1"/>
        <v>4</v>
      </c>
      <c r="I8" s="75">
        <f t="shared" si="2"/>
        <v>160</v>
      </c>
      <c r="J8" s="67"/>
      <c r="K8" s="67"/>
      <c r="L8" s="67"/>
      <c r="M8" s="67"/>
      <c r="N8" s="75" t="str">
        <f t="shared" si="3"/>
        <v> </v>
      </c>
      <c r="O8" s="75" t="str">
        <f t="shared" si="4"/>
        <v> </v>
      </c>
      <c r="P8" s="75" t="str">
        <f t="shared" si="5"/>
        <v> </v>
      </c>
      <c r="Q8" s="75" t="str">
        <f t="shared" si="6"/>
        <v> </v>
      </c>
      <c r="R8" s="75" t="str">
        <f t="shared" si="7"/>
        <v> </v>
      </c>
      <c r="S8" s="67" t="str">
        <f t="shared" si="8"/>
        <v> </v>
      </c>
      <c r="T8" s="67" t="str">
        <f t="shared" si="9"/>
        <v> </v>
      </c>
      <c r="U8" s="67" t="str">
        <f t="shared" si="10"/>
        <v> </v>
      </c>
      <c r="V8" s="67" t="str">
        <f t="shared" si="11"/>
        <v> </v>
      </c>
      <c r="W8" s="67" t="str">
        <f t="shared" si="12"/>
        <v> </v>
      </c>
      <c r="X8" s="67"/>
      <c r="Y8" s="67"/>
      <c r="Z8" s="67"/>
      <c r="AA8" s="67"/>
      <c r="AB8" s="67"/>
      <c r="AC8" s="85"/>
      <c r="AG8" s="86"/>
    </row>
    <row r="9" ht="12.75" customHeight="1">
      <c r="A9" s="1"/>
      <c r="B9" s="79"/>
      <c r="C9" s="80" t="s">
        <v>44</v>
      </c>
      <c r="D9" s="81">
        <v>0.5</v>
      </c>
      <c r="E9" s="82">
        <v>4.0</v>
      </c>
      <c r="F9" s="83">
        <v>3.0</v>
      </c>
      <c r="G9" s="84">
        <f>'Start Here'!$F$21*D9</f>
        <v>50</v>
      </c>
      <c r="H9" s="74">
        <f t="shared" si="1"/>
        <v>12</v>
      </c>
      <c r="I9" s="75">
        <f t="shared" si="2"/>
        <v>600</v>
      </c>
      <c r="J9" s="67"/>
      <c r="K9" s="67"/>
      <c r="L9" s="67"/>
      <c r="M9" s="67"/>
      <c r="N9" s="75">
        <f t="shared" si="3"/>
        <v>12</v>
      </c>
      <c r="O9" s="75" t="str">
        <f t="shared" si="4"/>
        <v> </v>
      </c>
      <c r="P9" s="75" t="str">
        <f t="shared" si="5"/>
        <v> </v>
      </c>
      <c r="Q9" s="75" t="str">
        <f t="shared" si="6"/>
        <v> </v>
      </c>
      <c r="R9" s="75" t="str">
        <f t="shared" si="7"/>
        <v> </v>
      </c>
      <c r="S9" s="67" t="str">
        <f t="shared" si="8"/>
        <v> </v>
      </c>
      <c r="T9" s="67" t="str">
        <f t="shared" si="9"/>
        <v> </v>
      </c>
      <c r="U9" s="67" t="str">
        <f t="shared" si="10"/>
        <v> </v>
      </c>
      <c r="V9" s="67" t="str">
        <f t="shared" si="11"/>
        <v> </v>
      </c>
      <c r="W9" s="67" t="str">
        <f t="shared" si="12"/>
        <v> </v>
      </c>
      <c r="X9" s="67"/>
      <c r="Y9" s="67"/>
      <c r="Z9" s="67"/>
      <c r="AA9" s="67"/>
      <c r="AB9" s="67"/>
      <c r="AC9" s="85"/>
      <c r="AG9" s="86"/>
    </row>
    <row r="10" ht="12.75" customHeight="1">
      <c r="A10" s="1"/>
      <c r="B10" s="87">
        <v>2.0</v>
      </c>
      <c r="C10" s="88" t="s">
        <v>45</v>
      </c>
      <c r="D10" s="89">
        <v>0.5</v>
      </c>
      <c r="E10" s="90">
        <v>5.0</v>
      </c>
      <c r="F10" s="91">
        <v>1.0</v>
      </c>
      <c r="G10" s="92">
        <f>'Start Here'!$F$22*D10</f>
        <v>50</v>
      </c>
      <c r="H10" s="67"/>
      <c r="I10" s="67"/>
      <c r="J10" s="93">
        <f t="shared" ref="J10:J13" si="13">E10*F10</f>
        <v>5</v>
      </c>
      <c r="K10" s="93">
        <f t="shared" ref="K10:K13" si="14">G10*J10</f>
        <v>250</v>
      </c>
      <c r="L10" s="67"/>
      <c r="M10" s="67"/>
      <c r="N10" s="67" t="str">
        <f t="shared" si="3"/>
        <v> </v>
      </c>
      <c r="O10" s="67" t="str">
        <f t="shared" si="4"/>
        <v> </v>
      </c>
      <c r="P10" s="67" t="str">
        <f t="shared" si="5"/>
        <v> </v>
      </c>
      <c r="Q10" s="67" t="str">
        <f t="shared" si="6"/>
        <v> </v>
      </c>
      <c r="R10" s="67" t="str">
        <f t="shared" si="7"/>
        <v> </v>
      </c>
      <c r="S10" s="93">
        <f t="shared" si="8"/>
        <v>5</v>
      </c>
      <c r="T10" s="93" t="str">
        <f t="shared" si="9"/>
        <v> </v>
      </c>
      <c r="U10" s="93" t="str">
        <f t="shared" si="10"/>
        <v> </v>
      </c>
      <c r="V10" s="93" t="str">
        <f t="shared" si="11"/>
        <v> </v>
      </c>
      <c r="W10" s="93" t="str">
        <f t="shared" si="12"/>
        <v> </v>
      </c>
      <c r="X10" s="67"/>
      <c r="Y10" s="67"/>
      <c r="Z10" s="67"/>
      <c r="AA10" s="67"/>
      <c r="AB10" s="67"/>
      <c r="AC10" s="85"/>
      <c r="AG10" s="86"/>
    </row>
    <row r="11" ht="12.75" customHeight="1">
      <c r="A11" s="1"/>
      <c r="B11" s="87"/>
      <c r="C11" s="94" t="s">
        <v>45</v>
      </c>
      <c r="D11" s="89">
        <v>0.6</v>
      </c>
      <c r="E11" s="90">
        <v>4.0</v>
      </c>
      <c r="F11" s="91">
        <v>1.0</v>
      </c>
      <c r="G11" s="92">
        <f>'Start Here'!$F$22*D11</f>
        <v>60</v>
      </c>
      <c r="H11" s="67"/>
      <c r="I11" s="67"/>
      <c r="J11" s="93">
        <f t="shared" si="13"/>
        <v>4</v>
      </c>
      <c r="K11" s="93">
        <f t="shared" si="14"/>
        <v>240</v>
      </c>
      <c r="L11" s="67"/>
      <c r="M11" s="67"/>
      <c r="N11" s="67" t="str">
        <f t="shared" si="3"/>
        <v> </v>
      </c>
      <c r="O11" s="67" t="str">
        <f t="shared" si="4"/>
        <v> </v>
      </c>
      <c r="P11" s="67" t="str">
        <f t="shared" si="5"/>
        <v> </v>
      </c>
      <c r="Q11" s="67" t="str">
        <f t="shared" si="6"/>
        <v> </v>
      </c>
      <c r="R11" s="67" t="str">
        <f t="shared" si="7"/>
        <v> </v>
      </c>
      <c r="S11" s="93" t="str">
        <f t="shared" si="8"/>
        <v> </v>
      </c>
      <c r="T11" s="93">
        <f t="shared" si="9"/>
        <v>4</v>
      </c>
      <c r="U11" s="93" t="str">
        <f t="shared" si="10"/>
        <v> </v>
      </c>
      <c r="V11" s="93" t="str">
        <f t="shared" si="11"/>
        <v> </v>
      </c>
      <c r="W11" s="93" t="str">
        <f t="shared" si="12"/>
        <v> </v>
      </c>
      <c r="X11" s="67"/>
      <c r="Y11" s="67"/>
      <c r="Z11" s="67"/>
      <c r="AA11" s="67"/>
      <c r="AB11" s="67"/>
      <c r="AC11" s="85"/>
      <c r="AG11" s="86"/>
    </row>
    <row r="12" ht="12.75" customHeight="1">
      <c r="A12" s="1"/>
      <c r="B12" s="87"/>
      <c r="C12" s="94" t="s">
        <v>45</v>
      </c>
      <c r="D12" s="89">
        <v>0.7</v>
      </c>
      <c r="E12" s="90">
        <v>3.0</v>
      </c>
      <c r="F12" s="91">
        <v>1.0</v>
      </c>
      <c r="G12" s="92">
        <f>'Start Here'!$F$22*D12</f>
        <v>70</v>
      </c>
      <c r="H12" s="67"/>
      <c r="I12" s="67"/>
      <c r="J12" s="93">
        <f t="shared" si="13"/>
        <v>3</v>
      </c>
      <c r="K12" s="93">
        <f t="shared" si="14"/>
        <v>210</v>
      </c>
      <c r="L12" s="67"/>
      <c r="M12" s="67"/>
      <c r="N12" s="67" t="str">
        <f t="shared" si="3"/>
        <v> </v>
      </c>
      <c r="O12" s="67" t="str">
        <f t="shared" si="4"/>
        <v> </v>
      </c>
      <c r="P12" s="67" t="str">
        <f t="shared" si="5"/>
        <v> </v>
      </c>
      <c r="Q12" s="67" t="str">
        <f t="shared" si="6"/>
        <v> </v>
      </c>
      <c r="R12" s="67" t="str">
        <f t="shared" si="7"/>
        <v> </v>
      </c>
      <c r="S12" s="93" t="str">
        <f t="shared" si="8"/>
        <v> </v>
      </c>
      <c r="T12" s="93" t="str">
        <f t="shared" si="9"/>
        <v> </v>
      </c>
      <c r="U12" s="93">
        <f t="shared" si="10"/>
        <v>3</v>
      </c>
      <c r="V12" s="93" t="str">
        <f t="shared" si="11"/>
        <v> </v>
      </c>
      <c r="W12" s="93" t="str">
        <f t="shared" si="12"/>
        <v> </v>
      </c>
      <c r="X12" s="67"/>
      <c r="Y12" s="67"/>
      <c r="Z12" s="67"/>
      <c r="AA12" s="67"/>
      <c r="AB12" s="67"/>
      <c r="AC12" s="85"/>
      <c r="AG12" s="86"/>
    </row>
    <row r="13" ht="12.75" customHeight="1">
      <c r="A13" s="1"/>
      <c r="B13" s="87"/>
      <c r="C13" s="94" t="s">
        <v>45</v>
      </c>
      <c r="D13" s="89">
        <v>0.75</v>
      </c>
      <c r="E13" s="90">
        <v>2.0</v>
      </c>
      <c r="F13" s="91">
        <v>4.0</v>
      </c>
      <c r="G13" s="92">
        <f>'Start Here'!$F$22*D13</f>
        <v>75</v>
      </c>
      <c r="H13" s="67"/>
      <c r="I13" s="67"/>
      <c r="J13" s="93">
        <f t="shared" si="13"/>
        <v>8</v>
      </c>
      <c r="K13" s="93">
        <f t="shared" si="14"/>
        <v>600</v>
      </c>
      <c r="L13" s="67"/>
      <c r="M13" s="67"/>
      <c r="N13" s="67" t="str">
        <f t="shared" si="3"/>
        <v> </v>
      </c>
      <c r="O13" s="67" t="str">
        <f t="shared" si="4"/>
        <v> </v>
      </c>
      <c r="P13" s="67" t="str">
        <f t="shared" si="5"/>
        <v> </v>
      </c>
      <c r="Q13" s="67" t="str">
        <f t="shared" si="6"/>
        <v> </v>
      </c>
      <c r="R13" s="67" t="str">
        <f t="shared" si="7"/>
        <v> </v>
      </c>
      <c r="S13" s="93" t="str">
        <f t="shared" si="8"/>
        <v> </v>
      </c>
      <c r="T13" s="93" t="str">
        <f t="shared" si="9"/>
        <v> </v>
      </c>
      <c r="U13" s="93">
        <f t="shared" si="10"/>
        <v>8</v>
      </c>
      <c r="V13" s="93" t="str">
        <f t="shared" si="11"/>
        <v> </v>
      </c>
      <c r="W13" s="93" t="str">
        <f t="shared" si="12"/>
        <v> </v>
      </c>
      <c r="X13" s="67"/>
      <c r="Y13" s="67"/>
      <c r="Z13" s="67"/>
      <c r="AA13" s="67"/>
      <c r="AB13" s="67"/>
      <c r="AC13" s="85"/>
      <c r="AG13" s="86"/>
    </row>
    <row r="14" ht="12.75" customHeight="1">
      <c r="A14" s="1"/>
      <c r="B14" s="79">
        <v>3.0</v>
      </c>
      <c r="C14" s="95" t="s">
        <v>46</v>
      </c>
      <c r="D14" s="81">
        <v>0.55</v>
      </c>
      <c r="E14" s="82">
        <v>3.0</v>
      </c>
      <c r="F14" s="83">
        <v>1.0</v>
      </c>
      <c r="G14" s="84">
        <f>'Start Here'!$F$21*D14</f>
        <v>55</v>
      </c>
      <c r="H14" s="74">
        <f t="shared" ref="H14:H16" si="15">E14*F14</f>
        <v>3</v>
      </c>
      <c r="I14" s="75">
        <f t="shared" ref="I14:I16" si="16">G14*H14</f>
        <v>165</v>
      </c>
      <c r="J14" s="67"/>
      <c r="K14" s="67"/>
      <c r="L14" s="67"/>
      <c r="M14" s="67"/>
      <c r="N14" s="75">
        <f t="shared" si="3"/>
        <v>3</v>
      </c>
      <c r="O14" s="75" t="str">
        <f t="shared" si="4"/>
        <v> </v>
      </c>
      <c r="P14" s="75" t="str">
        <f t="shared" si="5"/>
        <v> </v>
      </c>
      <c r="Q14" s="75" t="str">
        <f t="shared" si="6"/>
        <v> </v>
      </c>
      <c r="R14" s="75" t="str">
        <f t="shared" si="7"/>
        <v> </v>
      </c>
      <c r="S14" s="67" t="str">
        <f t="shared" si="8"/>
        <v> </v>
      </c>
      <c r="T14" s="67" t="str">
        <f t="shared" si="9"/>
        <v> </v>
      </c>
      <c r="U14" s="67" t="str">
        <f t="shared" si="10"/>
        <v> </v>
      </c>
      <c r="V14" s="67" t="str">
        <f t="shared" si="11"/>
        <v> </v>
      </c>
      <c r="W14" s="67" t="str">
        <f t="shared" si="12"/>
        <v> </v>
      </c>
      <c r="X14" s="67"/>
      <c r="Y14" s="67"/>
      <c r="Z14" s="67"/>
      <c r="AA14" s="67"/>
      <c r="AB14" s="67"/>
      <c r="AC14" s="85"/>
      <c r="AG14" s="86"/>
    </row>
    <row r="15" ht="12.75" customHeight="1">
      <c r="A15" s="1"/>
      <c r="B15" s="79"/>
      <c r="C15" s="80" t="s">
        <v>46</v>
      </c>
      <c r="D15" s="81">
        <v>0.65</v>
      </c>
      <c r="E15" s="82">
        <v>3.0</v>
      </c>
      <c r="F15" s="83">
        <v>1.0</v>
      </c>
      <c r="G15" s="84">
        <f>'Start Here'!$F$21*D15</f>
        <v>65</v>
      </c>
      <c r="H15" s="74">
        <f t="shared" si="15"/>
        <v>3</v>
      </c>
      <c r="I15" s="75">
        <f t="shared" si="16"/>
        <v>195</v>
      </c>
      <c r="J15" s="67"/>
      <c r="K15" s="67"/>
      <c r="L15" s="67"/>
      <c r="M15" s="67"/>
      <c r="N15" s="75" t="str">
        <f t="shared" si="3"/>
        <v> </v>
      </c>
      <c r="O15" s="75">
        <f t="shared" si="4"/>
        <v>3</v>
      </c>
      <c r="P15" s="75" t="str">
        <f t="shared" si="5"/>
        <v> </v>
      </c>
      <c r="Q15" s="75" t="str">
        <f t="shared" si="6"/>
        <v> </v>
      </c>
      <c r="R15" s="75" t="str">
        <f t="shared" si="7"/>
        <v> </v>
      </c>
      <c r="S15" s="67" t="str">
        <f t="shared" si="8"/>
        <v> </v>
      </c>
      <c r="T15" s="67" t="str">
        <f t="shared" si="9"/>
        <v> </v>
      </c>
      <c r="U15" s="67" t="str">
        <f t="shared" si="10"/>
        <v> </v>
      </c>
      <c r="V15" s="67" t="str">
        <f t="shared" si="11"/>
        <v> </v>
      </c>
      <c r="W15" s="67" t="str">
        <f t="shared" si="12"/>
        <v> </v>
      </c>
      <c r="X15" s="67"/>
      <c r="Y15" s="67"/>
      <c r="Z15" s="67"/>
      <c r="AA15" s="67"/>
      <c r="AB15" s="67"/>
      <c r="AC15" s="85"/>
      <c r="AG15" s="86"/>
    </row>
    <row r="16" ht="12.75" customHeight="1">
      <c r="A16" s="1"/>
      <c r="B16" s="79"/>
      <c r="C16" s="80" t="s">
        <v>46</v>
      </c>
      <c r="D16" s="81">
        <v>0.75</v>
      </c>
      <c r="E16" s="82">
        <v>2.0</v>
      </c>
      <c r="F16" s="83">
        <v>4.0</v>
      </c>
      <c r="G16" s="84">
        <f>'Start Here'!$F$21*D16</f>
        <v>75</v>
      </c>
      <c r="H16" s="74">
        <f t="shared" si="15"/>
        <v>8</v>
      </c>
      <c r="I16" s="75">
        <f t="shared" si="16"/>
        <v>600</v>
      </c>
      <c r="J16" s="67"/>
      <c r="K16" s="67"/>
      <c r="L16" s="67"/>
      <c r="M16" s="67"/>
      <c r="N16" s="75" t="str">
        <f t="shared" si="3"/>
        <v> </v>
      </c>
      <c r="O16" s="75" t="str">
        <f t="shared" si="4"/>
        <v> </v>
      </c>
      <c r="P16" s="75">
        <f t="shared" si="5"/>
        <v>8</v>
      </c>
      <c r="Q16" s="75" t="str">
        <f t="shared" si="6"/>
        <v> </v>
      </c>
      <c r="R16" s="75" t="str">
        <f t="shared" si="7"/>
        <v> </v>
      </c>
      <c r="S16" s="67" t="str">
        <f t="shared" si="8"/>
        <v> </v>
      </c>
      <c r="T16" s="67" t="str">
        <f t="shared" si="9"/>
        <v> </v>
      </c>
      <c r="U16" s="67" t="str">
        <f t="shared" si="10"/>
        <v> </v>
      </c>
      <c r="V16" s="67" t="str">
        <f t="shared" si="11"/>
        <v> </v>
      </c>
      <c r="W16" s="67" t="str">
        <f t="shared" si="12"/>
        <v> </v>
      </c>
      <c r="X16" s="67"/>
      <c r="Y16" s="67"/>
      <c r="Z16" s="67"/>
      <c r="AA16" s="67"/>
      <c r="AB16" s="67"/>
      <c r="AC16" s="85"/>
      <c r="AG16" s="86"/>
    </row>
    <row r="17" ht="12.75" customHeight="1">
      <c r="A17" s="1"/>
      <c r="B17" s="96">
        <v>4.0</v>
      </c>
      <c r="C17" s="97" t="s">
        <v>47</v>
      </c>
      <c r="D17" s="98"/>
      <c r="E17" s="98">
        <v>8.0</v>
      </c>
      <c r="F17" s="98">
        <v>4.0</v>
      </c>
      <c r="G17" s="99"/>
      <c r="H17" s="67"/>
      <c r="I17" s="67"/>
      <c r="J17" s="67"/>
      <c r="K17" s="67"/>
      <c r="L17" s="67"/>
      <c r="M17" s="67"/>
      <c r="N17" s="67"/>
      <c r="O17" s="67"/>
      <c r="P17" s="67"/>
      <c r="Q17" s="67"/>
      <c r="R17" s="67"/>
      <c r="S17" s="67"/>
      <c r="T17" s="67"/>
      <c r="U17" s="67"/>
      <c r="V17" s="67"/>
      <c r="W17" s="67"/>
      <c r="X17" s="67"/>
      <c r="Y17" s="67"/>
      <c r="Z17" s="67"/>
      <c r="AA17" s="67"/>
      <c r="AB17" s="67"/>
      <c r="AC17" s="85"/>
      <c r="AG17" s="86"/>
    </row>
    <row r="18" ht="12.75" customHeight="1">
      <c r="A18" s="1"/>
      <c r="B18" s="100">
        <v>5.0</v>
      </c>
      <c r="C18" s="101" t="s">
        <v>48</v>
      </c>
      <c r="D18" s="102"/>
      <c r="E18" s="102">
        <v>10.0</v>
      </c>
      <c r="F18" s="102">
        <v>3.0</v>
      </c>
      <c r="G18" s="103"/>
      <c r="H18" s="67"/>
      <c r="I18" s="67"/>
      <c r="J18" s="67"/>
      <c r="K18" s="67"/>
      <c r="L18" s="67"/>
      <c r="M18" s="67"/>
      <c r="N18" s="67"/>
      <c r="O18" s="67"/>
      <c r="P18" s="67"/>
      <c r="Q18" s="67"/>
      <c r="R18" s="67"/>
      <c r="S18" s="67"/>
      <c r="T18" s="67"/>
      <c r="U18" s="67"/>
      <c r="V18" s="67"/>
      <c r="W18" s="67"/>
      <c r="X18" s="67"/>
      <c r="Y18" s="67"/>
      <c r="Z18" s="67"/>
      <c r="AA18" s="67"/>
      <c r="AB18" s="67"/>
      <c r="AC18" s="104"/>
      <c r="AD18" s="105"/>
      <c r="AE18" s="105"/>
      <c r="AF18" s="105"/>
      <c r="AG18" s="106"/>
    </row>
    <row r="19" ht="12.75" customHeight="1">
      <c r="A19" s="1"/>
      <c r="B19" s="67"/>
      <c r="C19" s="67"/>
      <c r="D19" s="68"/>
      <c r="E19" s="68"/>
      <c r="F19" s="68"/>
      <c r="G19" s="68"/>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row>
    <row r="20" ht="33.75" customHeight="1">
      <c r="A20" s="1"/>
      <c r="B20" s="68" t="s">
        <v>49</v>
      </c>
      <c r="D20" s="68" t="s">
        <v>34</v>
      </c>
      <c r="E20" s="68" t="s">
        <v>35</v>
      </c>
      <c r="F20" s="68" t="s">
        <v>36</v>
      </c>
      <c r="G20" s="68" t="s">
        <v>37</v>
      </c>
      <c r="H20" s="67"/>
      <c r="I20" s="67"/>
      <c r="J20" s="67"/>
      <c r="K20" s="67"/>
      <c r="L20" s="67"/>
      <c r="M20" s="67"/>
      <c r="N20" s="67"/>
      <c r="O20" s="67"/>
      <c r="P20" s="67"/>
      <c r="Q20" s="67"/>
      <c r="R20" s="67"/>
      <c r="S20" s="67"/>
      <c r="T20" s="67"/>
      <c r="U20" s="67"/>
      <c r="V20" s="67"/>
      <c r="W20" s="67"/>
      <c r="X20" s="67"/>
      <c r="Y20" s="67"/>
      <c r="Z20" s="67"/>
      <c r="AA20" s="67"/>
      <c r="AB20" s="67"/>
      <c r="AC20" s="67" t="s">
        <v>43</v>
      </c>
      <c r="AD20" s="67"/>
      <c r="AE20" s="67"/>
      <c r="AF20" s="67"/>
      <c r="AG20" s="67"/>
    </row>
    <row r="21" ht="12.75" customHeight="1">
      <c r="A21" s="1"/>
      <c r="B21" s="107">
        <v>1.0</v>
      </c>
      <c r="C21" s="108" t="s">
        <v>50</v>
      </c>
      <c r="D21" s="109">
        <v>0.5</v>
      </c>
      <c r="E21" s="110">
        <v>3.0</v>
      </c>
      <c r="F21" s="111">
        <v>1.0</v>
      </c>
      <c r="G21" s="112">
        <f>'Start Here'!$F$23*D21</f>
        <v>50</v>
      </c>
      <c r="H21" s="67"/>
      <c r="I21" s="67"/>
      <c r="J21" s="67"/>
      <c r="K21" s="67"/>
      <c r="L21" s="113">
        <f t="shared" ref="L21:L23" si="17">E21*F21</f>
        <v>3</v>
      </c>
      <c r="M21" s="113">
        <f t="shared" ref="M21:M23" si="18">G21*L21</f>
        <v>150</v>
      </c>
      <c r="N21" s="67"/>
      <c r="O21" s="67"/>
      <c r="P21" s="67"/>
      <c r="Q21" s="67"/>
      <c r="R21" s="67"/>
      <c r="S21" s="67" t="str">
        <f t="shared" ref="S21:S34" si="19">IF(ISNUMBER(SEARCH("bench",$C21)),IF($D21&gt;=0.5,IF($D21&lt;0.6,$E21*$F21," ")," ")," ")</f>
        <v> </v>
      </c>
      <c r="T21" s="67" t="str">
        <f t="shared" ref="T21:T34" si="20">IF(ISNUMBER(SEARCH("bench",$C21)),IF($D21&gt;=0.6,IF($D21&lt;0.7,$E21*$F21," ")," ")," ")</f>
        <v> </v>
      </c>
      <c r="U21" s="67" t="str">
        <f t="shared" ref="U21:U34" si="21">IF(ISNUMBER(SEARCH("bench",$C21)),IF($D21&gt;=0.7,IF($D21&lt;0.8,$E21*$F21," ")," ")," ")</f>
        <v> </v>
      </c>
      <c r="V21" s="67" t="str">
        <f t="shared" ref="V21:V34" si="22">IF(ISNUMBER(SEARCH("bench",$C21)),IF($D21&gt;=0.8,IF($D21&lt;0.9,$E21*$F21," ")," ")," ")</f>
        <v> </v>
      </c>
      <c r="W21" s="67" t="str">
        <f t="shared" ref="W21:W34" si="23">IF(ISNUMBER(SEARCH("bench",$C21)),IF($D21&gt;=0.9,$E21*$F21," ")," ")</f>
        <v> </v>
      </c>
      <c r="X21" s="114">
        <f t="shared" ref="X21:X34" si="24">IF(ISNUMBER(SEARCH("deadlift",$C21)),IF($D21&gt;=0.5,IF($D21&lt;0.6,$E21*$F21," ")," ")," ")</f>
        <v>3</v>
      </c>
      <c r="Y21" s="114" t="str">
        <f t="shared" ref="Y21:Y34" si="25">IF(ISNUMBER(SEARCH("deadlift",$C21)),IF($D21&gt;=0.6,IF($D21&lt;0.7,$E21*$F21," ")," ")," ")</f>
        <v> </v>
      </c>
      <c r="Z21" s="114" t="str">
        <f t="shared" ref="Z21:Z34" si="26">IF(ISNUMBER(SEARCH("deadlift",$C21)),IF($D21&gt;=0.7,IF($D21&lt;0.8,$E21*$F21," ")," ")," ")</f>
        <v> </v>
      </c>
      <c r="AA21" s="114" t="str">
        <f t="shared" ref="AA21:AA34" si="27">IF(ISNUMBER(SEARCH("deadlift",$C21)),IF($D21&gt;=0.8,IF($D21&lt;0.9,$E21*$F21," ")," ")," ")</f>
        <v> </v>
      </c>
      <c r="AB21" s="114" t="str">
        <f t="shared" ref="AB21:AB34" si="28">IF(ISNUMBER(SEARCH("deadlift",$C21)),IF($D21&gt;=0.9,$E21*$F21," ")," ")</f>
        <v> </v>
      </c>
      <c r="AC21" s="76"/>
      <c r="AD21" s="77"/>
      <c r="AE21" s="77"/>
      <c r="AF21" s="77"/>
      <c r="AG21" s="78"/>
    </row>
    <row r="22" ht="12.75" customHeight="1">
      <c r="A22" s="1"/>
      <c r="B22" s="115"/>
      <c r="C22" s="116" t="s">
        <v>50</v>
      </c>
      <c r="D22" s="117">
        <v>0.6</v>
      </c>
      <c r="E22" s="118">
        <v>3.0</v>
      </c>
      <c r="F22" s="119">
        <v>1.0</v>
      </c>
      <c r="G22" s="120">
        <f>'Start Here'!$F$23*D22</f>
        <v>60</v>
      </c>
      <c r="H22" s="67"/>
      <c r="I22" s="67"/>
      <c r="J22" s="67"/>
      <c r="K22" s="67"/>
      <c r="L22" s="113">
        <f t="shared" si="17"/>
        <v>3</v>
      </c>
      <c r="M22" s="113">
        <f t="shared" si="18"/>
        <v>180</v>
      </c>
      <c r="N22" s="67"/>
      <c r="O22" s="67"/>
      <c r="P22" s="67"/>
      <c r="Q22" s="67"/>
      <c r="R22" s="67"/>
      <c r="S22" s="67" t="str">
        <f t="shared" si="19"/>
        <v> </v>
      </c>
      <c r="T22" s="67" t="str">
        <f t="shared" si="20"/>
        <v> </v>
      </c>
      <c r="U22" s="67" t="str">
        <f t="shared" si="21"/>
        <v> </v>
      </c>
      <c r="V22" s="67" t="str">
        <f t="shared" si="22"/>
        <v> </v>
      </c>
      <c r="W22" s="67" t="str">
        <f t="shared" si="23"/>
        <v> </v>
      </c>
      <c r="X22" s="114" t="str">
        <f t="shared" si="24"/>
        <v> </v>
      </c>
      <c r="Y22" s="114">
        <f t="shared" si="25"/>
        <v>3</v>
      </c>
      <c r="Z22" s="114" t="str">
        <f t="shared" si="26"/>
        <v> </v>
      </c>
      <c r="AA22" s="114" t="str">
        <f t="shared" si="27"/>
        <v> </v>
      </c>
      <c r="AB22" s="114" t="str">
        <f t="shared" si="28"/>
        <v> </v>
      </c>
      <c r="AC22" s="85"/>
      <c r="AG22" s="86"/>
    </row>
    <row r="23" ht="12.75" customHeight="1">
      <c r="A23" s="1"/>
      <c r="B23" s="115"/>
      <c r="C23" s="116" t="s">
        <v>50</v>
      </c>
      <c r="D23" s="117">
        <v>0.7</v>
      </c>
      <c r="E23" s="118">
        <v>3.0</v>
      </c>
      <c r="F23" s="119">
        <v>4.0</v>
      </c>
      <c r="G23" s="120">
        <f>'Start Here'!$F$23*D23</f>
        <v>70</v>
      </c>
      <c r="H23" s="67"/>
      <c r="I23" s="67"/>
      <c r="J23" s="67"/>
      <c r="K23" s="67"/>
      <c r="L23" s="113">
        <f t="shared" si="17"/>
        <v>12</v>
      </c>
      <c r="M23" s="113">
        <f t="shared" si="18"/>
        <v>840</v>
      </c>
      <c r="N23" s="67"/>
      <c r="O23" s="67"/>
      <c r="P23" s="67"/>
      <c r="Q23" s="67"/>
      <c r="R23" s="67"/>
      <c r="S23" s="67" t="str">
        <f t="shared" si="19"/>
        <v> </v>
      </c>
      <c r="T23" s="67" t="str">
        <f t="shared" si="20"/>
        <v> </v>
      </c>
      <c r="U23" s="67" t="str">
        <f t="shared" si="21"/>
        <v> </v>
      </c>
      <c r="V23" s="67" t="str">
        <f t="shared" si="22"/>
        <v> </v>
      </c>
      <c r="W23" s="67" t="str">
        <f t="shared" si="23"/>
        <v> </v>
      </c>
      <c r="X23" s="114" t="str">
        <f t="shared" si="24"/>
        <v> </v>
      </c>
      <c r="Y23" s="114" t="str">
        <f t="shared" si="25"/>
        <v> </v>
      </c>
      <c r="Z23" s="114">
        <f t="shared" si="26"/>
        <v>12</v>
      </c>
      <c r="AA23" s="114" t="str">
        <f t="shared" si="27"/>
        <v> </v>
      </c>
      <c r="AB23" s="114" t="str">
        <f t="shared" si="28"/>
        <v> </v>
      </c>
      <c r="AC23" s="85"/>
      <c r="AG23" s="86"/>
    </row>
    <row r="24" ht="12.75" customHeight="1">
      <c r="A24" s="1"/>
      <c r="B24" s="87">
        <v>2.0</v>
      </c>
      <c r="C24" s="88" t="s">
        <v>45</v>
      </c>
      <c r="D24" s="89">
        <v>0.5</v>
      </c>
      <c r="E24" s="90">
        <v>5.0</v>
      </c>
      <c r="F24" s="91">
        <v>1.0</v>
      </c>
      <c r="G24" s="92">
        <f>'Start Here'!$F$22*D24</f>
        <v>50</v>
      </c>
      <c r="H24" s="67"/>
      <c r="I24" s="67"/>
      <c r="J24" s="93">
        <f t="shared" ref="J24:J31" si="29">E24*F24</f>
        <v>5</v>
      </c>
      <c r="K24" s="93">
        <f t="shared" ref="K24:K31" si="30">G24*J24</f>
        <v>250</v>
      </c>
      <c r="L24" s="67"/>
      <c r="M24" s="67"/>
      <c r="N24" s="67"/>
      <c r="O24" s="67"/>
      <c r="P24" s="67"/>
      <c r="Q24" s="67"/>
      <c r="R24" s="67"/>
      <c r="S24" s="93">
        <f t="shared" si="19"/>
        <v>5</v>
      </c>
      <c r="T24" s="93" t="str">
        <f t="shared" si="20"/>
        <v> </v>
      </c>
      <c r="U24" s="93" t="str">
        <f t="shared" si="21"/>
        <v> </v>
      </c>
      <c r="V24" s="93" t="str">
        <f t="shared" si="22"/>
        <v> </v>
      </c>
      <c r="W24" s="93" t="str">
        <f t="shared" si="23"/>
        <v> </v>
      </c>
      <c r="X24" s="67" t="str">
        <f t="shared" si="24"/>
        <v> </v>
      </c>
      <c r="Y24" s="67" t="str">
        <f t="shared" si="25"/>
        <v> </v>
      </c>
      <c r="Z24" s="67" t="str">
        <f t="shared" si="26"/>
        <v> </v>
      </c>
      <c r="AA24" s="67" t="str">
        <f t="shared" si="27"/>
        <v> </v>
      </c>
      <c r="AB24" s="67" t="str">
        <f t="shared" si="28"/>
        <v> </v>
      </c>
      <c r="AC24" s="85"/>
      <c r="AG24" s="86"/>
    </row>
    <row r="25" ht="12.75" customHeight="1">
      <c r="A25" s="1"/>
      <c r="B25" s="87"/>
      <c r="C25" s="94" t="s">
        <v>45</v>
      </c>
      <c r="D25" s="89">
        <v>0.6</v>
      </c>
      <c r="E25" s="90">
        <v>5.0</v>
      </c>
      <c r="F25" s="91">
        <v>1.0</v>
      </c>
      <c r="G25" s="92">
        <f>'Start Here'!$F$22*D25</f>
        <v>60</v>
      </c>
      <c r="H25" s="67"/>
      <c r="I25" s="67"/>
      <c r="J25" s="93">
        <f t="shared" si="29"/>
        <v>5</v>
      </c>
      <c r="K25" s="93">
        <f t="shared" si="30"/>
        <v>300</v>
      </c>
      <c r="L25" s="67"/>
      <c r="M25" s="67"/>
      <c r="N25" s="67"/>
      <c r="O25" s="67"/>
      <c r="P25" s="67"/>
      <c r="Q25" s="67"/>
      <c r="R25" s="67"/>
      <c r="S25" s="93" t="str">
        <f t="shared" si="19"/>
        <v> </v>
      </c>
      <c r="T25" s="93">
        <f t="shared" si="20"/>
        <v>5</v>
      </c>
      <c r="U25" s="93" t="str">
        <f t="shared" si="21"/>
        <v> </v>
      </c>
      <c r="V25" s="93" t="str">
        <f t="shared" si="22"/>
        <v> </v>
      </c>
      <c r="W25" s="93" t="str">
        <f t="shared" si="23"/>
        <v> </v>
      </c>
      <c r="X25" s="67" t="str">
        <f t="shared" si="24"/>
        <v> </v>
      </c>
      <c r="Y25" s="67" t="str">
        <f t="shared" si="25"/>
        <v> </v>
      </c>
      <c r="Z25" s="67" t="str">
        <f t="shared" si="26"/>
        <v> </v>
      </c>
      <c r="AA25" s="67" t="str">
        <f t="shared" si="27"/>
        <v> </v>
      </c>
      <c r="AB25" s="67" t="str">
        <f t="shared" si="28"/>
        <v> </v>
      </c>
      <c r="AC25" s="85"/>
      <c r="AG25" s="86"/>
    </row>
    <row r="26" ht="12.75" customHeight="1">
      <c r="A26" s="1"/>
      <c r="B26" s="87"/>
      <c r="C26" s="94" t="s">
        <v>45</v>
      </c>
      <c r="D26" s="89">
        <v>0.7</v>
      </c>
      <c r="E26" s="90">
        <v>3.0</v>
      </c>
      <c r="F26" s="91">
        <v>1.0</v>
      </c>
      <c r="G26" s="92">
        <f>'Start Here'!$F$22*D26</f>
        <v>70</v>
      </c>
      <c r="H26" s="67"/>
      <c r="I26" s="67"/>
      <c r="J26" s="93">
        <f t="shared" si="29"/>
        <v>3</v>
      </c>
      <c r="K26" s="93">
        <f t="shared" si="30"/>
        <v>210</v>
      </c>
      <c r="L26" s="67"/>
      <c r="M26" s="67"/>
      <c r="N26" s="67"/>
      <c r="O26" s="67"/>
      <c r="P26" s="67"/>
      <c r="Q26" s="67"/>
      <c r="R26" s="67"/>
      <c r="S26" s="93" t="str">
        <f t="shared" si="19"/>
        <v> </v>
      </c>
      <c r="T26" s="93" t="str">
        <f t="shared" si="20"/>
        <v> </v>
      </c>
      <c r="U26" s="93">
        <f t="shared" si="21"/>
        <v>3</v>
      </c>
      <c r="V26" s="93" t="str">
        <f t="shared" si="22"/>
        <v> </v>
      </c>
      <c r="W26" s="93" t="str">
        <f t="shared" si="23"/>
        <v> </v>
      </c>
      <c r="X26" s="67" t="str">
        <f t="shared" si="24"/>
        <v> </v>
      </c>
      <c r="Y26" s="67" t="str">
        <f t="shared" si="25"/>
        <v> </v>
      </c>
      <c r="Z26" s="67" t="str">
        <f t="shared" si="26"/>
        <v> </v>
      </c>
      <c r="AA26" s="67" t="str">
        <f t="shared" si="27"/>
        <v> </v>
      </c>
      <c r="AB26" s="67" t="str">
        <f t="shared" si="28"/>
        <v> </v>
      </c>
      <c r="AC26" s="85"/>
      <c r="AG26" s="86"/>
    </row>
    <row r="27" ht="12.75" customHeight="1">
      <c r="A27" s="1"/>
      <c r="B27" s="87"/>
      <c r="C27" s="94" t="s">
        <v>45</v>
      </c>
      <c r="D27" s="89">
        <v>0.7</v>
      </c>
      <c r="E27" s="90">
        <v>5.0</v>
      </c>
      <c r="F27" s="91">
        <v>1.0</v>
      </c>
      <c r="G27" s="92">
        <f>'Start Here'!$F$22*D27</f>
        <v>70</v>
      </c>
      <c r="H27" s="67"/>
      <c r="I27" s="67"/>
      <c r="J27" s="93">
        <f t="shared" si="29"/>
        <v>5</v>
      </c>
      <c r="K27" s="93">
        <f t="shared" si="30"/>
        <v>350</v>
      </c>
      <c r="L27" s="67"/>
      <c r="M27" s="67"/>
      <c r="N27" s="67"/>
      <c r="O27" s="67"/>
      <c r="P27" s="67"/>
      <c r="Q27" s="67"/>
      <c r="R27" s="67"/>
      <c r="S27" s="93" t="str">
        <f t="shared" si="19"/>
        <v> </v>
      </c>
      <c r="T27" s="93" t="str">
        <f t="shared" si="20"/>
        <v> </v>
      </c>
      <c r="U27" s="93">
        <f t="shared" si="21"/>
        <v>5</v>
      </c>
      <c r="V27" s="93" t="str">
        <f t="shared" si="22"/>
        <v> </v>
      </c>
      <c r="W27" s="93" t="str">
        <f t="shared" si="23"/>
        <v> </v>
      </c>
      <c r="X27" s="67" t="str">
        <f t="shared" si="24"/>
        <v> </v>
      </c>
      <c r="Y27" s="67" t="str">
        <f t="shared" si="25"/>
        <v> </v>
      </c>
      <c r="Z27" s="67" t="str">
        <f t="shared" si="26"/>
        <v> </v>
      </c>
      <c r="AA27" s="67" t="str">
        <f t="shared" si="27"/>
        <v> </v>
      </c>
      <c r="AB27" s="67" t="str">
        <f t="shared" si="28"/>
        <v> </v>
      </c>
      <c r="AC27" s="85"/>
      <c r="AG27" s="86"/>
    </row>
    <row r="28" ht="12.75" customHeight="1">
      <c r="A28" s="1"/>
      <c r="B28" s="87"/>
      <c r="C28" s="94" t="s">
        <v>45</v>
      </c>
      <c r="D28" s="89">
        <v>0.7</v>
      </c>
      <c r="E28" s="90">
        <v>7.0</v>
      </c>
      <c r="F28" s="91">
        <v>1.0</v>
      </c>
      <c r="G28" s="92">
        <f>'Start Here'!$F$22*D28</f>
        <v>70</v>
      </c>
      <c r="H28" s="67"/>
      <c r="I28" s="67"/>
      <c r="J28" s="93">
        <f t="shared" si="29"/>
        <v>7</v>
      </c>
      <c r="K28" s="93">
        <f t="shared" si="30"/>
        <v>490</v>
      </c>
      <c r="L28" s="67"/>
      <c r="M28" s="67"/>
      <c r="N28" s="67"/>
      <c r="O28" s="67"/>
      <c r="P28" s="67"/>
      <c r="Q28" s="67"/>
      <c r="R28" s="67"/>
      <c r="S28" s="93" t="str">
        <f t="shared" si="19"/>
        <v> </v>
      </c>
      <c r="T28" s="93" t="str">
        <f t="shared" si="20"/>
        <v> </v>
      </c>
      <c r="U28" s="93">
        <f t="shared" si="21"/>
        <v>7</v>
      </c>
      <c r="V28" s="93" t="str">
        <f t="shared" si="22"/>
        <v> </v>
      </c>
      <c r="W28" s="93" t="str">
        <f t="shared" si="23"/>
        <v> </v>
      </c>
      <c r="X28" s="67" t="str">
        <f t="shared" si="24"/>
        <v> </v>
      </c>
      <c r="Y28" s="67" t="str">
        <f t="shared" si="25"/>
        <v> </v>
      </c>
      <c r="Z28" s="67" t="str">
        <f t="shared" si="26"/>
        <v> </v>
      </c>
      <c r="AA28" s="67" t="str">
        <f t="shared" si="27"/>
        <v> </v>
      </c>
      <c r="AB28" s="67" t="str">
        <f t="shared" si="28"/>
        <v> </v>
      </c>
      <c r="AC28" s="85"/>
      <c r="AG28" s="86"/>
    </row>
    <row r="29" ht="12.75" customHeight="1">
      <c r="A29" s="1"/>
      <c r="B29" s="87"/>
      <c r="C29" s="94" t="s">
        <v>45</v>
      </c>
      <c r="D29" s="89">
        <v>0.7</v>
      </c>
      <c r="E29" s="90">
        <v>4.0</v>
      </c>
      <c r="F29" s="91">
        <v>1.0</v>
      </c>
      <c r="G29" s="92">
        <f>'Start Here'!$F$22*D29</f>
        <v>70</v>
      </c>
      <c r="H29" s="67"/>
      <c r="I29" s="67"/>
      <c r="J29" s="93">
        <f t="shared" si="29"/>
        <v>4</v>
      </c>
      <c r="K29" s="93">
        <f t="shared" si="30"/>
        <v>280</v>
      </c>
      <c r="L29" s="67"/>
      <c r="M29" s="67"/>
      <c r="N29" s="67"/>
      <c r="O29" s="67"/>
      <c r="P29" s="67"/>
      <c r="Q29" s="67"/>
      <c r="R29" s="67"/>
      <c r="S29" s="93" t="str">
        <f t="shared" si="19"/>
        <v> </v>
      </c>
      <c r="T29" s="93" t="str">
        <f t="shared" si="20"/>
        <v> </v>
      </c>
      <c r="U29" s="93">
        <f t="shared" si="21"/>
        <v>4</v>
      </c>
      <c r="V29" s="93" t="str">
        <f t="shared" si="22"/>
        <v> </v>
      </c>
      <c r="W29" s="93" t="str">
        <f t="shared" si="23"/>
        <v> </v>
      </c>
      <c r="X29" s="67" t="str">
        <f t="shared" si="24"/>
        <v> </v>
      </c>
      <c r="Y29" s="67" t="str">
        <f t="shared" si="25"/>
        <v> </v>
      </c>
      <c r="Z29" s="67" t="str">
        <f t="shared" si="26"/>
        <v> </v>
      </c>
      <c r="AA29" s="67" t="str">
        <f t="shared" si="27"/>
        <v> </v>
      </c>
      <c r="AB29" s="67" t="str">
        <f t="shared" si="28"/>
        <v> </v>
      </c>
      <c r="AC29" s="85"/>
      <c r="AG29" s="86"/>
    </row>
    <row r="30" ht="12.75" customHeight="1">
      <c r="A30" s="1"/>
      <c r="B30" s="87"/>
      <c r="C30" s="94" t="s">
        <v>45</v>
      </c>
      <c r="D30" s="89">
        <v>0.7</v>
      </c>
      <c r="E30" s="90">
        <v>6.0</v>
      </c>
      <c r="F30" s="91">
        <v>1.0</v>
      </c>
      <c r="G30" s="92">
        <f>'Start Here'!$F$22*D30</f>
        <v>70</v>
      </c>
      <c r="H30" s="67"/>
      <c r="I30" s="67"/>
      <c r="J30" s="93">
        <f t="shared" si="29"/>
        <v>6</v>
      </c>
      <c r="K30" s="93">
        <f t="shared" si="30"/>
        <v>420</v>
      </c>
      <c r="L30" s="67"/>
      <c r="M30" s="67"/>
      <c r="N30" s="67"/>
      <c r="O30" s="67"/>
      <c r="P30" s="67"/>
      <c r="Q30" s="67"/>
      <c r="R30" s="67"/>
      <c r="S30" s="93" t="str">
        <f t="shared" si="19"/>
        <v> </v>
      </c>
      <c r="T30" s="93" t="str">
        <f t="shared" si="20"/>
        <v> </v>
      </c>
      <c r="U30" s="93">
        <f t="shared" si="21"/>
        <v>6</v>
      </c>
      <c r="V30" s="93" t="str">
        <f t="shared" si="22"/>
        <v> </v>
      </c>
      <c r="W30" s="93" t="str">
        <f t="shared" si="23"/>
        <v> </v>
      </c>
      <c r="X30" s="67" t="str">
        <f t="shared" si="24"/>
        <v> </v>
      </c>
      <c r="Y30" s="67" t="str">
        <f t="shared" si="25"/>
        <v> </v>
      </c>
      <c r="Z30" s="67" t="str">
        <f t="shared" si="26"/>
        <v> </v>
      </c>
      <c r="AA30" s="67" t="str">
        <f t="shared" si="27"/>
        <v> </v>
      </c>
      <c r="AB30" s="67" t="str">
        <f t="shared" si="28"/>
        <v> </v>
      </c>
      <c r="AC30" s="85"/>
      <c r="AG30" s="86"/>
    </row>
    <row r="31" ht="12.75" customHeight="1">
      <c r="A31" s="1"/>
      <c r="B31" s="87"/>
      <c r="C31" s="94" t="s">
        <v>45</v>
      </c>
      <c r="D31" s="89">
        <v>0.7</v>
      </c>
      <c r="E31" s="90">
        <v>8.0</v>
      </c>
      <c r="F31" s="91">
        <v>1.0</v>
      </c>
      <c r="G31" s="92">
        <f>'Start Here'!$F$22*D31</f>
        <v>70</v>
      </c>
      <c r="H31" s="67"/>
      <c r="I31" s="67"/>
      <c r="J31" s="93">
        <f t="shared" si="29"/>
        <v>8</v>
      </c>
      <c r="K31" s="93">
        <f t="shared" si="30"/>
        <v>560</v>
      </c>
      <c r="L31" s="67"/>
      <c r="M31" s="67"/>
      <c r="N31" s="67"/>
      <c r="O31" s="67"/>
      <c r="P31" s="67"/>
      <c r="Q31" s="67"/>
      <c r="R31" s="67"/>
      <c r="S31" s="93" t="str">
        <f t="shared" si="19"/>
        <v> </v>
      </c>
      <c r="T31" s="93" t="str">
        <f t="shared" si="20"/>
        <v> </v>
      </c>
      <c r="U31" s="93">
        <f t="shared" si="21"/>
        <v>8</v>
      </c>
      <c r="V31" s="93" t="str">
        <f t="shared" si="22"/>
        <v> </v>
      </c>
      <c r="W31" s="93" t="str">
        <f t="shared" si="23"/>
        <v> </v>
      </c>
      <c r="X31" s="67" t="str">
        <f t="shared" si="24"/>
        <v> </v>
      </c>
      <c r="Y31" s="67" t="str">
        <f t="shared" si="25"/>
        <v> </v>
      </c>
      <c r="Z31" s="67" t="str">
        <f t="shared" si="26"/>
        <v> </v>
      </c>
      <c r="AA31" s="67" t="str">
        <f t="shared" si="27"/>
        <v> </v>
      </c>
      <c r="AB31" s="67" t="str">
        <f t="shared" si="28"/>
        <v> </v>
      </c>
      <c r="AC31" s="85"/>
      <c r="AG31" s="86"/>
    </row>
    <row r="32" ht="12.75" customHeight="1">
      <c r="A32" s="1"/>
      <c r="B32" s="115">
        <v>3.0</v>
      </c>
      <c r="C32" s="121" t="s">
        <v>51</v>
      </c>
      <c r="D32" s="117">
        <v>0.55</v>
      </c>
      <c r="E32" s="118">
        <v>3.0</v>
      </c>
      <c r="F32" s="119">
        <v>1.0</v>
      </c>
      <c r="G32" s="120">
        <f>'Start Here'!$F$23*D32</f>
        <v>55</v>
      </c>
      <c r="H32" s="67"/>
      <c r="I32" s="67"/>
      <c r="J32" s="67"/>
      <c r="K32" s="67"/>
      <c r="L32" s="113">
        <f t="shared" ref="L32:L34" si="31">E32*F32</f>
        <v>3</v>
      </c>
      <c r="M32" s="113">
        <f t="shared" ref="M32:M34" si="32">G32*L32</f>
        <v>165</v>
      </c>
      <c r="N32" s="67"/>
      <c r="O32" s="67"/>
      <c r="P32" s="67"/>
      <c r="Q32" s="67"/>
      <c r="R32" s="67"/>
      <c r="S32" s="67" t="str">
        <f t="shared" si="19"/>
        <v> </v>
      </c>
      <c r="T32" s="67" t="str">
        <f t="shared" si="20"/>
        <v> </v>
      </c>
      <c r="U32" s="67" t="str">
        <f t="shared" si="21"/>
        <v> </v>
      </c>
      <c r="V32" s="67" t="str">
        <f t="shared" si="22"/>
        <v> </v>
      </c>
      <c r="W32" s="67" t="str">
        <f t="shared" si="23"/>
        <v> </v>
      </c>
      <c r="X32" s="114">
        <f t="shared" si="24"/>
        <v>3</v>
      </c>
      <c r="Y32" s="114" t="str">
        <f t="shared" si="25"/>
        <v> </v>
      </c>
      <c r="Z32" s="114" t="str">
        <f t="shared" si="26"/>
        <v> </v>
      </c>
      <c r="AA32" s="114" t="str">
        <f t="shared" si="27"/>
        <v> </v>
      </c>
      <c r="AB32" s="114" t="str">
        <f t="shared" si="28"/>
        <v> </v>
      </c>
      <c r="AC32" s="85"/>
      <c r="AG32" s="86"/>
    </row>
    <row r="33" ht="12.75" customHeight="1">
      <c r="A33" s="1"/>
      <c r="B33" s="115"/>
      <c r="C33" s="122" t="s">
        <v>51</v>
      </c>
      <c r="D33" s="117">
        <v>0.65</v>
      </c>
      <c r="E33" s="118">
        <v>3.0</v>
      </c>
      <c r="F33" s="119">
        <v>1.0</v>
      </c>
      <c r="G33" s="120">
        <f>'Start Here'!$F$23*D33</f>
        <v>65</v>
      </c>
      <c r="H33" s="67"/>
      <c r="I33" s="67"/>
      <c r="J33" s="67"/>
      <c r="K33" s="67"/>
      <c r="L33" s="113">
        <f t="shared" si="31"/>
        <v>3</v>
      </c>
      <c r="M33" s="113">
        <f t="shared" si="32"/>
        <v>195</v>
      </c>
      <c r="N33" s="67"/>
      <c r="O33" s="67"/>
      <c r="P33" s="67"/>
      <c r="Q33" s="67"/>
      <c r="R33" s="67"/>
      <c r="S33" s="67" t="str">
        <f t="shared" si="19"/>
        <v> </v>
      </c>
      <c r="T33" s="67" t="str">
        <f t="shared" si="20"/>
        <v> </v>
      </c>
      <c r="U33" s="67" t="str">
        <f t="shared" si="21"/>
        <v> </v>
      </c>
      <c r="V33" s="67" t="str">
        <f t="shared" si="22"/>
        <v> </v>
      </c>
      <c r="W33" s="67" t="str">
        <f t="shared" si="23"/>
        <v> </v>
      </c>
      <c r="X33" s="114" t="str">
        <f t="shared" si="24"/>
        <v> </v>
      </c>
      <c r="Y33" s="114">
        <f t="shared" si="25"/>
        <v>3</v>
      </c>
      <c r="Z33" s="114" t="str">
        <f t="shared" si="26"/>
        <v> </v>
      </c>
      <c r="AA33" s="114" t="str">
        <f t="shared" si="27"/>
        <v> </v>
      </c>
      <c r="AB33" s="114" t="str">
        <f t="shared" si="28"/>
        <v> </v>
      </c>
      <c r="AC33" s="85"/>
      <c r="AG33" s="86"/>
    </row>
    <row r="34" ht="12.75" customHeight="1">
      <c r="A34" s="1"/>
      <c r="B34" s="115"/>
      <c r="C34" s="122" t="s">
        <v>51</v>
      </c>
      <c r="D34" s="117">
        <v>0.75</v>
      </c>
      <c r="E34" s="118">
        <v>2.0</v>
      </c>
      <c r="F34" s="119">
        <v>4.0</v>
      </c>
      <c r="G34" s="120">
        <f>'Start Here'!$F$23*D34</f>
        <v>75</v>
      </c>
      <c r="H34" s="67"/>
      <c r="I34" s="67"/>
      <c r="J34" s="67"/>
      <c r="K34" s="67"/>
      <c r="L34" s="113">
        <f t="shared" si="31"/>
        <v>8</v>
      </c>
      <c r="M34" s="113">
        <f t="shared" si="32"/>
        <v>600</v>
      </c>
      <c r="N34" s="67"/>
      <c r="O34" s="67"/>
      <c r="P34" s="67"/>
      <c r="Q34" s="67"/>
      <c r="R34" s="67"/>
      <c r="S34" s="67" t="str">
        <f t="shared" si="19"/>
        <v> </v>
      </c>
      <c r="T34" s="67" t="str">
        <f t="shared" si="20"/>
        <v> </v>
      </c>
      <c r="U34" s="67" t="str">
        <f t="shared" si="21"/>
        <v> </v>
      </c>
      <c r="V34" s="67" t="str">
        <f t="shared" si="22"/>
        <v> </v>
      </c>
      <c r="W34" s="67" t="str">
        <f t="shared" si="23"/>
        <v> </v>
      </c>
      <c r="X34" s="114" t="str">
        <f t="shared" si="24"/>
        <v> </v>
      </c>
      <c r="Y34" s="114" t="str">
        <f t="shared" si="25"/>
        <v> </v>
      </c>
      <c r="Z34" s="114">
        <f t="shared" si="26"/>
        <v>8</v>
      </c>
      <c r="AA34" s="114" t="str">
        <f t="shared" si="27"/>
        <v> </v>
      </c>
      <c r="AB34" s="114" t="str">
        <f t="shared" si="28"/>
        <v> </v>
      </c>
      <c r="AC34" s="85"/>
      <c r="AG34" s="86"/>
    </row>
    <row r="35" ht="12.75" customHeight="1">
      <c r="A35" s="1"/>
      <c r="B35" s="96">
        <v>4.0</v>
      </c>
      <c r="C35" s="97" t="s">
        <v>52</v>
      </c>
      <c r="D35" s="98"/>
      <c r="E35" s="98">
        <v>6.0</v>
      </c>
      <c r="F35" s="98">
        <v>4.0</v>
      </c>
      <c r="G35" s="99"/>
      <c r="H35" s="67"/>
      <c r="I35" s="67"/>
      <c r="J35" s="67"/>
      <c r="K35" s="67"/>
      <c r="L35" s="67"/>
      <c r="M35" s="67"/>
      <c r="N35" s="67"/>
      <c r="O35" s="67"/>
      <c r="P35" s="67"/>
      <c r="Q35" s="67"/>
      <c r="R35" s="67"/>
      <c r="S35" s="67"/>
      <c r="T35" s="67"/>
      <c r="U35" s="67"/>
      <c r="V35" s="67"/>
      <c r="W35" s="67"/>
      <c r="X35" s="67"/>
      <c r="Y35" s="67"/>
      <c r="Z35" s="67"/>
      <c r="AA35" s="67"/>
      <c r="AB35" s="67"/>
      <c r="AC35" s="85"/>
      <c r="AG35" s="86"/>
    </row>
    <row r="36" ht="12.75" customHeight="1">
      <c r="A36" s="1"/>
      <c r="B36" s="100">
        <v>5.0</v>
      </c>
      <c r="C36" s="101" t="s">
        <v>53</v>
      </c>
      <c r="D36" s="102"/>
      <c r="E36" s="102">
        <v>5.0</v>
      </c>
      <c r="F36" s="102">
        <v>5.0</v>
      </c>
      <c r="G36" s="103"/>
      <c r="H36" s="67"/>
      <c r="I36" s="67"/>
      <c r="J36" s="67"/>
      <c r="K36" s="67"/>
      <c r="L36" s="67"/>
      <c r="M36" s="67"/>
      <c r="N36" s="67"/>
      <c r="O36" s="67"/>
      <c r="P36" s="67"/>
      <c r="Q36" s="67"/>
      <c r="R36" s="67"/>
      <c r="S36" s="67"/>
      <c r="T36" s="67"/>
      <c r="U36" s="67"/>
      <c r="V36" s="67"/>
      <c r="W36" s="67"/>
      <c r="X36" s="67"/>
      <c r="Y36" s="67"/>
      <c r="Z36" s="67"/>
      <c r="AA36" s="67"/>
      <c r="AB36" s="67"/>
      <c r="AC36" s="104"/>
      <c r="AD36" s="105"/>
      <c r="AE36" s="105"/>
      <c r="AF36" s="105"/>
      <c r="AG36" s="106"/>
    </row>
    <row r="37" ht="12.75" customHeight="1">
      <c r="A37" s="1"/>
      <c r="B37" s="67"/>
      <c r="C37" s="67"/>
      <c r="D37" s="68"/>
      <c r="E37" s="68"/>
      <c r="F37" s="68"/>
      <c r="G37" s="68"/>
      <c r="H37" s="67"/>
      <c r="I37" s="67"/>
      <c r="J37" s="67"/>
      <c r="K37" s="67"/>
      <c r="L37" s="67"/>
      <c r="M37" s="67"/>
      <c r="N37" s="67"/>
      <c r="O37" s="67"/>
      <c r="P37" s="67"/>
      <c r="Q37" s="67"/>
      <c r="R37" s="67"/>
      <c r="S37" s="67"/>
      <c r="T37" s="67"/>
      <c r="U37" s="67"/>
      <c r="V37" s="67"/>
      <c r="W37" s="67"/>
      <c r="X37" s="67"/>
      <c r="Y37" s="67"/>
      <c r="Z37" s="67"/>
      <c r="AA37" s="67"/>
      <c r="AB37" s="67"/>
      <c r="AC37" s="67"/>
      <c r="AD37" s="67"/>
      <c r="AE37" s="67"/>
      <c r="AF37" s="67"/>
      <c r="AG37" s="67"/>
    </row>
    <row r="38" ht="34.5" customHeight="1">
      <c r="A38" s="1"/>
      <c r="B38" s="68" t="s">
        <v>54</v>
      </c>
      <c r="D38" s="68" t="s">
        <v>34</v>
      </c>
      <c r="E38" s="68" t="s">
        <v>35</v>
      </c>
      <c r="F38" s="68" t="s">
        <v>36</v>
      </c>
      <c r="G38" s="68" t="s">
        <v>37</v>
      </c>
      <c r="H38" s="67"/>
      <c r="I38" s="67"/>
      <c r="J38" s="67"/>
      <c r="K38" s="67"/>
      <c r="L38" s="67"/>
      <c r="M38" s="67"/>
      <c r="N38" s="67"/>
      <c r="O38" s="67"/>
      <c r="P38" s="67"/>
      <c r="Q38" s="67"/>
      <c r="R38" s="67"/>
      <c r="S38" s="67"/>
      <c r="T38" s="67"/>
      <c r="U38" s="67"/>
      <c r="V38" s="67"/>
      <c r="W38" s="67"/>
      <c r="X38" s="67"/>
      <c r="Y38" s="67"/>
      <c r="Z38" s="67"/>
      <c r="AA38" s="67"/>
      <c r="AB38" s="67"/>
      <c r="AC38" s="67" t="s">
        <v>43</v>
      </c>
      <c r="AD38" s="67"/>
      <c r="AE38" s="67"/>
      <c r="AF38" s="67"/>
      <c r="AG38" s="67"/>
    </row>
    <row r="39" ht="12.75" customHeight="1">
      <c r="A39" s="1"/>
      <c r="B39" s="123">
        <v>1.0</v>
      </c>
      <c r="C39" s="124" t="s">
        <v>45</v>
      </c>
      <c r="D39" s="125">
        <v>0.5</v>
      </c>
      <c r="E39" s="126">
        <v>5.0</v>
      </c>
      <c r="F39" s="127">
        <v>1.0</v>
      </c>
      <c r="G39" s="128">
        <f>'Start Here'!$F$22*D39</f>
        <v>50</v>
      </c>
      <c r="H39" s="67"/>
      <c r="I39" s="67"/>
      <c r="J39" s="93">
        <f t="shared" ref="J39:J42" si="33">E39*F39</f>
        <v>5</v>
      </c>
      <c r="K39" s="93">
        <f t="shared" ref="K39:K42" si="34">G39*J39</f>
        <v>250</v>
      </c>
      <c r="L39" s="67"/>
      <c r="M39" s="67"/>
      <c r="N39" s="67" t="str">
        <f t="shared" ref="N39:N49" si="35">IF(ISNUMBER(SEARCH("squat",$C39)),IF($D39&gt;=0.5,IF($D39&lt;0.6,$E39*$F39," ")," ")," ")</f>
        <v> </v>
      </c>
      <c r="O39" s="67" t="str">
        <f t="shared" ref="O39:O49" si="36">IF(ISNUMBER(SEARCH("squat",$C39)),IF($D39&gt;=0.6,IF($D39&lt;0.7,$E39*$F39," ")," ")," ")</f>
        <v> </v>
      </c>
      <c r="P39" s="67" t="str">
        <f t="shared" ref="P39:P49" si="37">IF(ISNUMBER(SEARCH("squat",$C39)),IF($D39&gt;=0.7,IF($D39&lt;0.8,$E39*$F39," ")," ")," ")</f>
        <v> </v>
      </c>
      <c r="Q39" s="67" t="str">
        <f t="shared" ref="Q39:Q49" si="38">IF(ISNUMBER(SEARCH("squat",$C39)),IF($D39&gt;=0.8,IF($D39&lt;0.9,$E39*$F39," ")," ")," ")</f>
        <v> </v>
      </c>
      <c r="R39" s="67" t="str">
        <f t="shared" ref="R39:R49" si="39">IF(ISNUMBER(SEARCH("squat",$C39)),IF($D39&gt;=0.9,$E39*$F39," ")," ")</f>
        <v> </v>
      </c>
      <c r="S39" s="93">
        <f t="shared" ref="S39:S49" si="40">IF(ISNUMBER(SEARCH("bench",$C39)),IF($D39&gt;=0.5,IF($D39&lt;0.6,$E39*$F39," ")," ")," ")</f>
        <v>5</v>
      </c>
      <c r="T39" s="93" t="str">
        <f t="shared" ref="T39:T49" si="41">IF(ISNUMBER(SEARCH("bench",$C39)),IF($D39&gt;=0.6,IF($D39&lt;0.7,$E39*$F39," ")," ")," ")</f>
        <v> </v>
      </c>
      <c r="U39" s="93" t="str">
        <f t="shared" ref="U39:U49" si="42">IF(ISNUMBER(SEARCH("bench",$C39)),IF($D39&gt;=0.7,IF($D39&lt;0.8,$E39*$F39," ")," ")," ")</f>
        <v> </v>
      </c>
      <c r="V39" s="93" t="str">
        <f t="shared" ref="V39:V49" si="43">IF(ISNUMBER(SEARCH("bench",$C39)),IF($D39&gt;=0.8,IF($D39&lt;0.9,$E39*$F39," ")," ")," ")</f>
        <v> </v>
      </c>
      <c r="W39" s="93" t="str">
        <f t="shared" ref="W39:W49" si="44">IF(ISNUMBER(SEARCH("bench",$C39)),IF($D39&gt;=0.9,$E39*$F39," ")," ")</f>
        <v> </v>
      </c>
      <c r="X39" s="67"/>
      <c r="Y39" s="67"/>
      <c r="Z39" s="67"/>
      <c r="AA39" s="67"/>
      <c r="AB39" s="67"/>
      <c r="AC39" s="76"/>
      <c r="AD39" s="77"/>
      <c r="AE39" s="77"/>
      <c r="AF39" s="77"/>
      <c r="AG39" s="78"/>
    </row>
    <row r="40" ht="12.75" customHeight="1">
      <c r="A40" s="1"/>
      <c r="B40" s="87"/>
      <c r="C40" s="94" t="s">
        <v>45</v>
      </c>
      <c r="D40" s="89">
        <v>0.6</v>
      </c>
      <c r="E40" s="90">
        <v>4.0</v>
      </c>
      <c r="F40" s="91">
        <v>1.0</v>
      </c>
      <c r="G40" s="92">
        <f>'Start Here'!$F$22*D40</f>
        <v>60</v>
      </c>
      <c r="H40" s="67"/>
      <c r="I40" s="67"/>
      <c r="J40" s="93">
        <f t="shared" si="33"/>
        <v>4</v>
      </c>
      <c r="K40" s="93">
        <f t="shared" si="34"/>
        <v>240</v>
      </c>
      <c r="L40" s="67"/>
      <c r="M40" s="67"/>
      <c r="N40" s="67" t="str">
        <f t="shared" si="35"/>
        <v> </v>
      </c>
      <c r="O40" s="67" t="str">
        <f t="shared" si="36"/>
        <v> </v>
      </c>
      <c r="P40" s="67" t="str">
        <f t="shared" si="37"/>
        <v> </v>
      </c>
      <c r="Q40" s="67" t="str">
        <f t="shared" si="38"/>
        <v> </v>
      </c>
      <c r="R40" s="67" t="str">
        <f t="shared" si="39"/>
        <v> </v>
      </c>
      <c r="S40" s="93" t="str">
        <f t="shared" si="40"/>
        <v> </v>
      </c>
      <c r="T40" s="93">
        <f t="shared" si="41"/>
        <v>4</v>
      </c>
      <c r="U40" s="93" t="str">
        <f t="shared" si="42"/>
        <v> </v>
      </c>
      <c r="V40" s="93" t="str">
        <f t="shared" si="43"/>
        <v> </v>
      </c>
      <c r="W40" s="93" t="str">
        <f t="shared" si="44"/>
        <v> </v>
      </c>
      <c r="X40" s="67"/>
      <c r="Y40" s="67"/>
      <c r="Z40" s="67"/>
      <c r="AA40" s="67"/>
      <c r="AB40" s="67"/>
      <c r="AC40" s="85"/>
      <c r="AG40" s="86"/>
    </row>
    <row r="41" ht="12.75" customHeight="1">
      <c r="A41" s="1"/>
      <c r="B41" s="87"/>
      <c r="C41" s="94" t="s">
        <v>45</v>
      </c>
      <c r="D41" s="89">
        <v>0.7</v>
      </c>
      <c r="E41" s="90">
        <v>3.0</v>
      </c>
      <c r="F41" s="91">
        <v>1.0</v>
      </c>
      <c r="G41" s="92">
        <f>'Start Here'!$F$22*D41</f>
        <v>70</v>
      </c>
      <c r="H41" s="67"/>
      <c r="I41" s="67"/>
      <c r="J41" s="93">
        <f t="shared" si="33"/>
        <v>3</v>
      </c>
      <c r="K41" s="93">
        <f t="shared" si="34"/>
        <v>210</v>
      </c>
      <c r="L41" s="67"/>
      <c r="M41" s="67"/>
      <c r="N41" s="67" t="str">
        <f t="shared" si="35"/>
        <v> </v>
      </c>
      <c r="O41" s="67" t="str">
        <f t="shared" si="36"/>
        <v> </v>
      </c>
      <c r="P41" s="67" t="str">
        <f t="shared" si="37"/>
        <v> </v>
      </c>
      <c r="Q41" s="67" t="str">
        <f t="shared" si="38"/>
        <v> </v>
      </c>
      <c r="R41" s="67" t="str">
        <f t="shared" si="39"/>
        <v> </v>
      </c>
      <c r="S41" s="93" t="str">
        <f t="shared" si="40"/>
        <v> </v>
      </c>
      <c r="T41" s="93" t="str">
        <f t="shared" si="41"/>
        <v> </v>
      </c>
      <c r="U41" s="93">
        <f t="shared" si="42"/>
        <v>3</v>
      </c>
      <c r="V41" s="93" t="str">
        <f t="shared" si="43"/>
        <v> </v>
      </c>
      <c r="W41" s="93" t="str">
        <f t="shared" si="44"/>
        <v> </v>
      </c>
      <c r="X41" s="67"/>
      <c r="Y41" s="67"/>
      <c r="Z41" s="67"/>
      <c r="AA41" s="67"/>
      <c r="AB41" s="67"/>
      <c r="AC41" s="85"/>
      <c r="AG41" s="86"/>
    </row>
    <row r="42" ht="12.75" customHeight="1">
      <c r="A42" s="1"/>
      <c r="B42" s="87"/>
      <c r="C42" s="94" t="s">
        <v>45</v>
      </c>
      <c r="D42" s="89">
        <v>0.75</v>
      </c>
      <c r="E42" s="90">
        <v>3.0</v>
      </c>
      <c r="F42" s="91">
        <v>4.0</v>
      </c>
      <c r="G42" s="92">
        <f>'Start Here'!$F$22*D42</f>
        <v>75</v>
      </c>
      <c r="H42" s="67"/>
      <c r="I42" s="67"/>
      <c r="J42" s="93">
        <f t="shared" si="33"/>
        <v>12</v>
      </c>
      <c r="K42" s="93">
        <f t="shared" si="34"/>
        <v>900</v>
      </c>
      <c r="L42" s="67"/>
      <c r="M42" s="67"/>
      <c r="N42" s="67" t="str">
        <f t="shared" si="35"/>
        <v> </v>
      </c>
      <c r="O42" s="67" t="str">
        <f t="shared" si="36"/>
        <v> </v>
      </c>
      <c r="P42" s="67" t="str">
        <f t="shared" si="37"/>
        <v> </v>
      </c>
      <c r="Q42" s="67" t="str">
        <f t="shared" si="38"/>
        <v> </v>
      </c>
      <c r="R42" s="67" t="str">
        <f t="shared" si="39"/>
        <v> </v>
      </c>
      <c r="S42" s="93" t="str">
        <f t="shared" si="40"/>
        <v> </v>
      </c>
      <c r="T42" s="93" t="str">
        <f t="shared" si="41"/>
        <v> </v>
      </c>
      <c r="U42" s="93">
        <f t="shared" si="42"/>
        <v>12</v>
      </c>
      <c r="V42" s="93" t="str">
        <f t="shared" si="43"/>
        <v> </v>
      </c>
      <c r="W42" s="93" t="str">
        <f t="shared" si="44"/>
        <v> </v>
      </c>
      <c r="X42" s="67"/>
      <c r="Y42" s="67"/>
      <c r="Z42" s="67"/>
      <c r="AA42" s="67"/>
      <c r="AB42" s="67"/>
      <c r="AC42" s="85"/>
      <c r="AG42" s="86"/>
    </row>
    <row r="43" ht="12.75" customHeight="1">
      <c r="A43" s="1"/>
      <c r="B43" s="79">
        <v>2.0</v>
      </c>
      <c r="C43" s="95" t="s">
        <v>55</v>
      </c>
      <c r="D43" s="81">
        <v>0.5</v>
      </c>
      <c r="E43" s="82">
        <v>3.0</v>
      </c>
      <c r="F43" s="83">
        <v>1.0</v>
      </c>
      <c r="G43" s="84">
        <f>'Start Here'!$F$21*D43</f>
        <v>50</v>
      </c>
      <c r="H43" s="74">
        <f t="shared" ref="H43:H45" si="45">E43*F43</f>
        <v>3</v>
      </c>
      <c r="I43" s="75">
        <f t="shared" ref="I43:I45" si="46">G43*H43</f>
        <v>150</v>
      </c>
      <c r="J43" s="67"/>
      <c r="K43" s="67"/>
      <c r="L43" s="67"/>
      <c r="M43" s="67"/>
      <c r="N43" s="75">
        <f t="shared" si="35"/>
        <v>3</v>
      </c>
      <c r="O43" s="75" t="str">
        <f t="shared" si="36"/>
        <v> </v>
      </c>
      <c r="P43" s="75" t="str">
        <f t="shared" si="37"/>
        <v> </v>
      </c>
      <c r="Q43" s="75" t="str">
        <f t="shared" si="38"/>
        <v> </v>
      </c>
      <c r="R43" s="75" t="str">
        <f t="shared" si="39"/>
        <v> </v>
      </c>
      <c r="S43" s="67" t="str">
        <f t="shared" si="40"/>
        <v> </v>
      </c>
      <c r="T43" s="67" t="str">
        <f t="shared" si="41"/>
        <v> </v>
      </c>
      <c r="U43" s="67" t="str">
        <f t="shared" si="42"/>
        <v> </v>
      </c>
      <c r="V43" s="67" t="str">
        <f t="shared" si="43"/>
        <v> </v>
      </c>
      <c r="W43" s="67" t="str">
        <f t="shared" si="44"/>
        <v> </v>
      </c>
      <c r="X43" s="67"/>
      <c r="Y43" s="67"/>
      <c r="Z43" s="67"/>
      <c r="AA43" s="67"/>
      <c r="AB43" s="67"/>
      <c r="AC43" s="85"/>
      <c r="AG43" s="86"/>
    </row>
    <row r="44" ht="12.75" customHeight="1">
      <c r="A44" s="1"/>
      <c r="B44" s="79"/>
      <c r="C44" s="80" t="s">
        <v>55</v>
      </c>
      <c r="D44" s="81">
        <v>0.6</v>
      </c>
      <c r="E44" s="82">
        <v>3.0</v>
      </c>
      <c r="F44" s="83">
        <v>1.0</v>
      </c>
      <c r="G44" s="84">
        <f>'Start Here'!$F$21*D44</f>
        <v>60</v>
      </c>
      <c r="H44" s="74">
        <f t="shared" si="45"/>
        <v>3</v>
      </c>
      <c r="I44" s="75">
        <f t="shared" si="46"/>
        <v>180</v>
      </c>
      <c r="J44" s="67"/>
      <c r="K44" s="67"/>
      <c r="L44" s="67"/>
      <c r="M44" s="67"/>
      <c r="N44" s="75" t="str">
        <f t="shared" si="35"/>
        <v> </v>
      </c>
      <c r="O44" s="75">
        <f t="shared" si="36"/>
        <v>3</v>
      </c>
      <c r="P44" s="75" t="str">
        <f t="shared" si="37"/>
        <v> </v>
      </c>
      <c r="Q44" s="75" t="str">
        <f t="shared" si="38"/>
        <v> </v>
      </c>
      <c r="R44" s="75" t="str">
        <f t="shared" si="39"/>
        <v> </v>
      </c>
      <c r="S44" s="67" t="str">
        <f t="shared" si="40"/>
        <v> </v>
      </c>
      <c r="T44" s="67" t="str">
        <f t="shared" si="41"/>
        <v> </v>
      </c>
      <c r="U44" s="67" t="str">
        <f t="shared" si="42"/>
        <v> </v>
      </c>
      <c r="V44" s="67" t="str">
        <f t="shared" si="43"/>
        <v> </v>
      </c>
      <c r="W44" s="67" t="str">
        <f t="shared" si="44"/>
        <v> </v>
      </c>
      <c r="X44" s="67"/>
      <c r="Y44" s="67"/>
      <c r="Z44" s="67"/>
      <c r="AA44" s="67"/>
      <c r="AB44" s="67"/>
      <c r="AC44" s="85"/>
      <c r="AG44" s="86"/>
    </row>
    <row r="45" ht="12.75" customHeight="1">
      <c r="A45" s="1"/>
      <c r="B45" s="79"/>
      <c r="C45" s="80" t="s">
        <v>55</v>
      </c>
      <c r="D45" s="81">
        <v>0.7</v>
      </c>
      <c r="E45" s="82">
        <v>3.0</v>
      </c>
      <c r="F45" s="83">
        <v>4.0</v>
      </c>
      <c r="G45" s="84">
        <f>'Start Here'!$F$21*D45</f>
        <v>70</v>
      </c>
      <c r="H45" s="74">
        <f t="shared" si="45"/>
        <v>12</v>
      </c>
      <c r="I45" s="75">
        <f t="shared" si="46"/>
        <v>840</v>
      </c>
      <c r="J45" s="67"/>
      <c r="K45" s="67"/>
      <c r="L45" s="67"/>
      <c r="M45" s="67"/>
      <c r="N45" s="75" t="str">
        <f t="shared" si="35"/>
        <v> </v>
      </c>
      <c r="O45" s="75" t="str">
        <f t="shared" si="36"/>
        <v> </v>
      </c>
      <c r="P45" s="75">
        <f t="shared" si="37"/>
        <v>12</v>
      </c>
      <c r="Q45" s="75" t="str">
        <f t="shared" si="38"/>
        <v> </v>
      </c>
      <c r="R45" s="75" t="str">
        <f t="shared" si="39"/>
        <v> </v>
      </c>
      <c r="S45" s="67" t="str">
        <f t="shared" si="40"/>
        <v> </v>
      </c>
      <c r="T45" s="67" t="str">
        <f t="shared" si="41"/>
        <v> </v>
      </c>
      <c r="U45" s="67" t="str">
        <f t="shared" si="42"/>
        <v> </v>
      </c>
      <c r="V45" s="67" t="str">
        <f t="shared" si="43"/>
        <v> </v>
      </c>
      <c r="W45" s="67" t="str">
        <f t="shared" si="44"/>
        <v> </v>
      </c>
      <c r="X45" s="67"/>
      <c r="Y45" s="67"/>
      <c r="Z45" s="67"/>
      <c r="AA45" s="67"/>
      <c r="AB45" s="67"/>
      <c r="AC45" s="85"/>
      <c r="AG45" s="86"/>
    </row>
    <row r="46" ht="12.75" customHeight="1">
      <c r="A46" s="1"/>
      <c r="B46" s="87">
        <v>3.0</v>
      </c>
      <c r="C46" s="88" t="s">
        <v>56</v>
      </c>
      <c r="D46" s="89">
        <v>0.6</v>
      </c>
      <c r="E46" s="90">
        <v>3.0</v>
      </c>
      <c r="F46" s="91">
        <v>1.0</v>
      </c>
      <c r="G46" s="92">
        <f>'Start Here'!$F$22*D46</f>
        <v>60</v>
      </c>
      <c r="H46" s="67"/>
      <c r="I46" s="67"/>
      <c r="J46" s="93">
        <f t="shared" ref="J46:J49" si="47">E46*F46</f>
        <v>3</v>
      </c>
      <c r="K46" s="93">
        <f t="shared" ref="K46:K49" si="48">G46*J46</f>
        <v>180</v>
      </c>
      <c r="L46" s="67"/>
      <c r="M46" s="67"/>
      <c r="N46" s="67" t="str">
        <f t="shared" si="35"/>
        <v> </v>
      </c>
      <c r="O46" s="67" t="str">
        <f t="shared" si="36"/>
        <v> </v>
      </c>
      <c r="P46" s="67" t="str">
        <f t="shared" si="37"/>
        <v> </v>
      </c>
      <c r="Q46" s="67" t="str">
        <f t="shared" si="38"/>
        <v> </v>
      </c>
      <c r="R46" s="67" t="str">
        <f t="shared" si="39"/>
        <v> </v>
      </c>
      <c r="S46" s="93" t="str">
        <f t="shared" si="40"/>
        <v> </v>
      </c>
      <c r="T46" s="93">
        <f t="shared" si="41"/>
        <v>3</v>
      </c>
      <c r="U46" s="93" t="str">
        <f t="shared" si="42"/>
        <v> </v>
      </c>
      <c r="V46" s="93" t="str">
        <f t="shared" si="43"/>
        <v> </v>
      </c>
      <c r="W46" s="93" t="str">
        <f t="shared" si="44"/>
        <v> </v>
      </c>
      <c r="X46" s="67"/>
      <c r="Y46" s="67"/>
      <c r="Z46" s="67"/>
      <c r="AA46" s="67"/>
      <c r="AB46" s="67"/>
      <c r="AC46" s="85"/>
      <c r="AG46" s="86"/>
    </row>
    <row r="47" ht="12.75" customHeight="1">
      <c r="A47" s="1"/>
      <c r="B47" s="87"/>
      <c r="C47" s="94" t="s">
        <v>56</v>
      </c>
      <c r="D47" s="89">
        <v>0.7</v>
      </c>
      <c r="E47" s="90">
        <v>3.0</v>
      </c>
      <c r="F47" s="91">
        <v>1.0</v>
      </c>
      <c r="G47" s="92">
        <f>'Start Here'!$F$22*D47</f>
        <v>70</v>
      </c>
      <c r="H47" s="67"/>
      <c r="I47" s="67"/>
      <c r="J47" s="93">
        <f t="shared" si="47"/>
        <v>3</v>
      </c>
      <c r="K47" s="93">
        <f t="shared" si="48"/>
        <v>210</v>
      </c>
      <c r="L47" s="67"/>
      <c r="M47" s="67"/>
      <c r="N47" s="67" t="str">
        <f t="shared" si="35"/>
        <v> </v>
      </c>
      <c r="O47" s="67" t="str">
        <f t="shared" si="36"/>
        <v> </v>
      </c>
      <c r="P47" s="67" t="str">
        <f t="shared" si="37"/>
        <v> </v>
      </c>
      <c r="Q47" s="67" t="str">
        <f t="shared" si="38"/>
        <v> </v>
      </c>
      <c r="R47" s="67" t="str">
        <f t="shared" si="39"/>
        <v> </v>
      </c>
      <c r="S47" s="93" t="str">
        <f t="shared" si="40"/>
        <v> </v>
      </c>
      <c r="T47" s="93" t="str">
        <f t="shared" si="41"/>
        <v> </v>
      </c>
      <c r="U47" s="93">
        <f t="shared" si="42"/>
        <v>3</v>
      </c>
      <c r="V47" s="93" t="str">
        <f t="shared" si="43"/>
        <v> </v>
      </c>
      <c r="W47" s="93" t="str">
        <f t="shared" si="44"/>
        <v> </v>
      </c>
      <c r="X47" s="67"/>
      <c r="Y47" s="67"/>
      <c r="Z47" s="67"/>
      <c r="AA47" s="67"/>
      <c r="AB47" s="67"/>
      <c r="AC47" s="85"/>
      <c r="AG47" s="86"/>
    </row>
    <row r="48" ht="12.75" customHeight="1">
      <c r="A48" s="1"/>
      <c r="B48" s="87"/>
      <c r="C48" s="94" t="s">
        <v>56</v>
      </c>
      <c r="D48" s="89">
        <v>0.8</v>
      </c>
      <c r="E48" s="90">
        <v>3.0</v>
      </c>
      <c r="F48" s="91">
        <v>2.0</v>
      </c>
      <c r="G48" s="92">
        <f>'Start Here'!$F$22*D48</f>
        <v>80</v>
      </c>
      <c r="H48" s="67"/>
      <c r="I48" s="67"/>
      <c r="J48" s="93">
        <f t="shared" si="47"/>
        <v>6</v>
      </c>
      <c r="K48" s="93">
        <f t="shared" si="48"/>
        <v>480</v>
      </c>
      <c r="L48" s="67"/>
      <c r="M48" s="67"/>
      <c r="N48" s="67" t="str">
        <f t="shared" si="35"/>
        <v> </v>
      </c>
      <c r="O48" s="67" t="str">
        <f t="shared" si="36"/>
        <v> </v>
      </c>
      <c r="P48" s="67" t="str">
        <f t="shared" si="37"/>
        <v> </v>
      </c>
      <c r="Q48" s="67" t="str">
        <f t="shared" si="38"/>
        <v> </v>
      </c>
      <c r="R48" s="67" t="str">
        <f t="shared" si="39"/>
        <v> </v>
      </c>
      <c r="S48" s="93" t="str">
        <f t="shared" si="40"/>
        <v> </v>
      </c>
      <c r="T48" s="93" t="str">
        <f t="shared" si="41"/>
        <v> </v>
      </c>
      <c r="U48" s="93" t="str">
        <f t="shared" si="42"/>
        <v> </v>
      </c>
      <c r="V48" s="93">
        <f t="shared" si="43"/>
        <v>6</v>
      </c>
      <c r="W48" s="93" t="str">
        <f t="shared" si="44"/>
        <v> </v>
      </c>
      <c r="X48" s="67"/>
      <c r="Y48" s="67"/>
      <c r="Z48" s="67"/>
      <c r="AA48" s="67"/>
      <c r="AB48" s="67"/>
      <c r="AC48" s="85"/>
      <c r="AG48" s="86"/>
    </row>
    <row r="49" ht="12.75" customHeight="1">
      <c r="A49" s="1"/>
      <c r="B49" s="129"/>
      <c r="C49" s="130" t="s">
        <v>56</v>
      </c>
      <c r="D49" s="131">
        <v>0.85</v>
      </c>
      <c r="E49" s="132">
        <v>2.0</v>
      </c>
      <c r="F49" s="133">
        <v>3.0</v>
      </c>
      <c r="G49" s="134">
        <f>'Start Here'!$F$22*D49</f>
        <v>85</v>
      </c>
      <c r="H49" s="67"/>
      <c r="I49" s="67"/>
      <c r="J49" s="93">
        <f t="shared" si="47"/>
        <v>6</v>
      </c>
      <c r="K49" s="93">
        <f t="shared" si="48"/>
        <v>510</v>
      </c>
      <c r="L49" s="67"/>
      <c r="M49" s="67"/>
      <c r="N49" s="67" t="str">
        <f t="shared" si="35"/>
        <v> </v>
      </c>
      <c r="O49" s="67" t="str">
        <f t="shared" si="36"/>
        <v> </v>
      </c>
      <c r="P49" s="67" t="str">
        <f t="shared" si="37"/>
        <v> </v>
      </c>
      <c r="Q49" s="67" t="str">
        <f t="shared" si="38"/>
        <v> </v>
      </c>
      <c r="R49" s="67" t="str">
        <f t="shared" si="39"/>
        <v> </v>
      </c>
      <c r="S49" s="93" t="str">
        <f t="shared" si="40"/>
        <v> </v>
      </c>
      <c r="T49" s="93" t="str">
        <f t="shared" si="41"/>
        <v> </v>
      </c>
      <c r="U49" s="93" t="str">
        <f t="shared" si="42"/>
        <v> </v>
      </c>
      <c r="V49" s="93">
        <f t="shared" si="43"/>
        <v>6</v>
      </c>
      <c r="W49" s="93" t="str">
        <f t="shared" si="44"/>
        <v> </v>
      </c>
      <c r="X49" s="67"/>
      <c r="Y49" s="67"/>
      <c r="Z49" s="67"/>
      <c r="AA49" s="67"/>
      <c r="AB49" s="67"/>
      <c r="AC49" s="85"/>
      <c r="AG49" s="86"/>
    </row>
    <row r="50" ht="12.75" customHeight="1">
      <c r="A50" s="1"/>
      <c r="B50" s="96">
        <v>4.0</v>
      </c>
      <c r="C50" s="97" t="s">
        <v>47</v>
      </c>
      <c r="D50" s="98"/>
      <c r="E50" s="98">
        <v>8.0</v>
      </c>
      <c r="F50" s="98">
        <v>4.0</v>
      </c>
      <c r="G50" s="99"/>
      <c r="H50" s="67"/>
      <c r="I50" s="67"/>
      <c r="J50" s="67"/>
      <c r="K50" s="67"/>
      <c r="L50" s="67"/>
      <c r="M50" s="67"/>
      <c r="N50" s="67"/>
      <c r="O50" s="67"/>
      <c r="P50" s="67"/>
      <c r="Q50" s="67"/>
      <c r="R50" s="67"/>
      <c r="S50" s="67"/>
      <c r="T50" s="67"/>
      <c r="U50" s="67"/>
      <c r="V50" s="67"/>
      <c r="W50" s="67"/>
      <c r="X50" s="67"/>
      <c r="Y50" s="67"/>
      <c r="Z50" s="67"/>
      <c r="AA50" s="67"/>
      <c r="AB50" s="67"/>
      <c r="AC50" s="85"/>
      <c r="AG50" s="86"/>
    </row>
    <row r="51" ht="12.75" customHeight="1">
      <c r="A51" s="1"/>
      <c r="B51" s="100">
        <v>5.0</v>
      </c>
      <c r="C51" s="101" t="s">
        <v>57</v>
      </c>
      <c r="D51" s="102"/>
      <c r="E51" s="102">
        <v>8.0</v>
      </c>
      <c r="F51" s="102">
        <v>4.0</v>
      </c>
      <c r="G51" s="103"/>
      <c r="H51" s="67"/>
      <c r="I51" s="67"/>
      <c r="J51" s="67"/>
      <c r="K51" s="67"/>
      <c r="L51" s="67"/>
      <c r="M51" s="67"/>
      <c r="N51" s="67"/>
      <c r="O51" s="67"/>
      <c r="P51" s="67"/>
      <c r="Q51" s="67"/>
      <c r="R51" s="67"/>
      <c r="S51" s="67"/>
      <c r="T51" s="67"/>
      <c r="U51" s="67"/>
      <c r="V51" s="67"/>
      <c r="W51" s="67"/>
      <c r="X51" s="67"/>
      <c r="Y51" s="67"/>
      <c r="Z51" s="67"/>
      <c r="AA51" s="67"/>
      <c r="AB51" s="67"/>
      <c r="AC51" s="104"/>
      <c r="AD51" s="105"/>
      <c r="AE51" s="105"/>
      <c r="AF51" s="105"/>
      <c r="AG51" s="106"/>
    </row>
    <row r="52" ht="12.75" customHeight="1">
      <c r="A52" s="1"/>
      <c r="B52" s="67"/>
      <c r="C52" s="67"/>
      <c r="D52" s="68"/>
      <c r="E52" s="68"/>
      <c r="F52" s="68"/>
      <c r="G52" s="68"/>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row>
    <row r="53" ht="36.0" customHeight="1">
      <c r="A53" s="1"/>
      <c r="B53" s="68" t="s">
        <v>58</v>
      </c>
      <c r="D53" s="68" t="s">
        <v>34</v>
      </c>
      <c r="E53" s="68" t="s">
        <v>35</v>
      </c>
      <c r="F53" s="68" t="s">
        <v>36</v>
      </c>
      <c r="G53" s="68" t="s">
        <v>37</v>
      </c>
      <c r="H53" s="67"/>
      <c r="I53" s="67"/>
      <c r="J53" s="67"/>
      <c r="K53" s="67"/>
      <c r="L53" s="67"/>
      <c r="M53" s="67"/>
      <c r="N53" s="67"/>
      <c r="O53" s="67"/>
      <c r="P53" s="67"/>
      <c r="Q53" s="67"/>
      <c r="R53" s="67"/>
      <c r="S53" s="67"/>
      <c r="T53" s="67"/>
      <c r="U53" s="67"/>
      <c r="V53" s="67"/>
      <c r="W53" s="67"/>
      <c r="X53" s="67"/>
      <c r="Y53" s="67"/>
      <c r="Z53" s="67"/>
      <c r="AA53" s="67"/>
      <c r="AB53" s="67"/>
      <c r="AC53" s="67" t="s">
        <v>43</v>
      </c>
      <c r="AD53" s="67"/>
      <c r="AE53" s="67"/>
      <c r="AF53" s="67"/>
      <c r="AG53" s="67"/>
    </row>
    <row r="54" ht="12.75" customHeight="1">
      <c r="A54" s="1"/>
      <c r="B54" s="107">
        <v>1.0</v>
      </c>
      <c r="C54" s="108" t="s">
        <v>59</v>
      </c>
      <c r="D54" s="109">
        <v>0.5</v>
      </c>
      <c r="E54" s="110">
        <v>3.0</v>
      </c>
      <c r="F54" s="111">
        <v>1.0</v>
      </c>
      <c r="G54" s="112">
        <f>'Start Here'!$F$23*D54</f>
        <v>50</v>
      </c>
      <c r="H54" s="67"/>
      <c r="I54" s="67"/>
      <c r="J54" s="67"/>
      <c r="K54" s="67"/>
      <c r="L54" s="113">
        <f t="shared" ref="L54:L55" si="49">E54*F54</f>
        <v>3</v>
      </c>
      <c r="M54" s="113">
        <f t="shared" ref="M54:M55" si="50">G54*L54</f>
        <v>150</v>
      </c>
      <c r="N54" s="67"/>
      <c r="O54" s="67"/>
      <c r="P54" s="67"/>
      <c r="Q54" s="67"/>
      <c r="R54" s="67"/>
      <c r="S54" s="67"/>
      <c r="T54" s="67"/>
      <c r="U54" s="67"/>
      <c r="V54" s="67"/>
      <c r="W54" s="67"/>
      <c r="X54" s="114">
        <f t="shared" ref="X54:X60" si="51">IF(ISNUMBER(SEARCH("deadlift",$C54)),IF($D54&gt;=0.5,IF($D54&lt;0.6,$E54*$F54," ")," ")," ")</f>
        <v>3</v>
      </c>
      <c r="Y54" s="114" t="str">
        <f t="shared" ref="Y54:Y60" si="52">IF(ISNUMBER(SEARCH("deadlift",$C54)),IF($D54&gt;=0.6,IF($D54&lt;0.7,$E54*$F54," ")," ")," ")</f>
        <v> </v>
      </c>
      <c r="Z54" s="114" t="str">
        <f t="shared" ref="Z54:Z60" si="53">IF(ISNUMBER(SEARCH("deadlift",$C54)),IF($D54&gt;=0.7,IF($D54&lt;0.8,$E54*$F54," ")," ")," ")</f>
        <v> </v>
      </c>
      <c r="AA54" s="114" t="str">
        <f t="shared" ref="AA54:AA60" si="54">IF(ISNUMBER(SEARCH("deadlift",$C54)),IF($D54&gt;=0.8,IF($D54&lt;0.9,$E54*$F54," ")," ")," ")</f>
        <v> </v>
      </c>
      <c r="AB54" s="114" t="str">
        <f t="shared" ref="AB54:AB60" si="55">IF(ISNUMBER(SEARCH("deadlift",$C54)),IF($D54&gt;=0.9,$E54*$F54," ")," ")</f>
        <v> </v>
      </c>
      <c r="AC54" s="76"/>
      <c r="AD54" s="77"/>
      <c r="AE54" s="77"/>
      <c r="AF54" s="77"/>
      <c r="AG54" s="78"/>
    </row>
    <row r="55" ht="12.75" customHeight="1">
      <c r="A55" s="1"/>
      <c r="B55" s="115"/>
      <c r="C55" s="122" t="s">
        <v>59</v>
      </c>
      <c r="D55" s="117">
        <v>0.6</v>
      </c>
      <c r="E55" s="118">
        <v>2.0</v>
      </c>
      <c r="F55" s="119">
        <v>4.0</v>
      </c>
      <c r="G55" s="120">
        <f>'Start Here'!$F$23*D55</f>
        <v>60</v>
      </c>
      <c r="H55" s="67"/>
      <c r="I55" s="67"/>
      <c r="J55" s="67"/>
      <c r="K55" s="67"/>
      <c r="L55" s="113">
        <f t="shared" si="49"/>
        <v>8</v>
      </c>
      <c r="M55" s="113">
        <f t="shared" si="50"/>
        <v>480</v>
      </c>
      <c r="N55" s="67"/>
      <c r="O55" s="67"/>
      <c r="P55" s="67"/>
      <c r="Q55" s="67"/>
      <c r="R55" s="67"/>
      <c r="S55" s="67"/>
      <c r="T55" s="67"/>
      <c r="U55" s="67"/>
      <c r="V55" s="67"/>
      <c r="W55" s="67"/>
      <c r="X55" s="114" t="str">
        <f t="shared" si="51"/>
        <v> </v>
      </c>
      <c r="Y55" s="114">
        <f t="shared" si="52"/>
        <v>8</v>
      </c>
      <c r="Z55" s="114" t="str">
        <f t="shared" si="53"/>
        <v> </v>
      </c>
      <c r="AA55" s="114" t="str">
        <f t="shared" si="54"/>
        <v> </v>
      </c>
      <c r="AB55" s="114" t="str">
        <f t="shared" si="55"/>
        <v> </v>
      </c>
      <c r="AC55" s="85"/>
      <c r="AG55" s="86"/>
    </row>
    <row r="56" ht="12.75" customHeight="1">
      <c r="A56" s="1"/>
      <c r="B56" s="135">
        <v>2.0</v>
      </c>
      <c r="C56" s="136" t="s">
        <v>60</v>
      </c>
      <c r="D56" s="137"/>
      <c r="E56" s="68">
        <v>3.0</v>
      </c>
      <c r="F56" s="138">
        <v>5.0</v>
      </c>
      <c r="G56" s="139"/>
      <c r="H56" s="67"/>
      <c r="I56" s="67"/>
      <c r="J56" s="67"/>
      <c r="K56" s="67"/>
      <c r="L56" s="67"/>
      <c r="M56" s="67"/>
      <c r="N56" s="67"/>
      <c r="O56" s="67"/>
      <c r="P56" s="67"/>
      <c r="Q56" s="67"/>
      <c r="R56" s="67"/>
      <c r="S56" s="67"/>
      <c r="T56" s="67"/>
      <c r="U56" s="67"/>
      <c r="V56" s="67"/>
      <c r="W56" s="67"/>
      <c r="X56" s="67" t="str">
        <f t="shared" si="51"/>
        <v> </v>
      </c>
      <c r="Y56" s="67" t="str">
        <f t="shared" si="52"/>
        <v> </v>
      </c>
      <c r="Z56" s="67" t="str">
        <f t="shared" si="53"/>
        <v> </v>
      </c>
      <c r="AA56" s="67" t="str">
        <f t="shared" si="54"/>
        <v> </v>
      </c>
      <c r="AB56" s="67" t="str">
        <f t="shared" si="55"/>
        <v> </v>
      </c>
      <c r="AC56" s="85"/>
      <c r="AG56" s="86"/>
    </row>
    <row r="57" ht="12.75" customHeight="1">
      <c r="A57" s="1"/>
      <c r="B57" s="115">
        <v>3.0</v>
      </c>
      <c r="C57" s="121" t="s">
        <v>61</v>
      </c>
      <c r="D57" s="117">
        <v>0.55</v>
      </c>
      <c r="E57" s="118">
        <v>3.0</v>
      </c>
      <c r="F57" s="119">
        <v>1.0</v>
      </c>
      <c r="G57" s="120">
        <f>'Start Here'!$F$23*D57</f>
        <v>55</v>
      </c>
      <c r="H57" s="67"/>
      <c r="I57" s="67"/>
      <c r="J57" s="67"/>
      <c r="K57" s="67"/>
      <c r="L57" s="113">
        <f t="shared" ref="L57:L60" si="56">E57*F57</f>
        <v>3</v>
      </c>
      <c r="M57" s="113">
        <f t="shared" ref="M57:M60" si="57">G57*L57</f>
        <v>165</v>
      </c>
      <c r="N57" s="67"/>
      <c r="O57" s="67"/>
      <c r="P57" s="67"/>
      <c r="Q57" s="67"/>
      <c r="R57" s="67"/>
      <c r="S57" s="67"/>
      <c r="T57" s="67"/>
      <c r="U57" s="67"/>
      <c r="V57" s="67"/>
      <c r="W57" s="67"/>
      <c r="X57" s="114">
        <f t="shared" si="51"/>
        <v>3</v>
      </c>
      <c r="Y57" s="114" t="str">
        <f t="shared" si="52"/>
        <v> </v>
      </c>
      <c r="Z57" s="114" t="str">
        <f t="shared" si="53"/>
        <v> </v>
      </c>
      <c r="AA57" s="114" t="str">
        <f t="shared" si="54"/>
        <v> </v>
      </c>
      <c r="AB57" s="114" t="str">
        <f t="shared" si="55"/>
        <v> </v>
      </c>
      <c r="AC57" s="85"/>
      <c r="AG57" s="86"/>
    </row>
    <row r="58" ht="12.75" customHeight="1">
      <c r="A58" s="1"/>
      <c r="B58" s="115"/>
      <c r="C58" s="122" t="s">
        <v>61</v>
      </c>
      <c r="D58" s="117">
        <v>0.65</v>
      </c>
      <c r="E58" s="118">
        <v>3.0</v>
      </c>
      <c r="F58" s="119">
        <v>1.0</v>
      </c>
      <c r="G58" s="120">
        <f>'Start Here'!$F$23*D58</f>
        <v>65</v>
      </c>
      <c r="H58" s="67"/>
      <c r="I58" s="67"/>
      <c r="J58" s="67"/>
      <c r="K58" s="67"/>
      <c r="L58" s="113">
        <f t="shared" si="56"/>
        <v>3</v>
      </c>
      <c r="M58" s="113">
        <f t="shared" si="57"/>
        <v>195</v>
      </c>
      <c r="N58" s="67"/>
      <c r="O58" s="67"/>
      <c r="P58" s="67"/>
      <c r="Q58" s="67"/>
      <c r="R58" s="67"/>
      <c r="S58" s="67"/>
      <c r="T58" s="67"/>
      <c r="U58" s="67"/>
      <c r="V58" s="67"/>
      <c r="W58" s="67"/>
      <c r="X58" s="114" t="str">
        <f t="shared" si="51"/>
        <v> </v>
      </c>
      <c r="Y58" s="114">
        <f t="shared" si="52"/>
        <v>3</v>
      </c>
      <c r="Z58" s="114" t="str">
        <f t="shared" si="53"/>
        <v> </v>
      </c>
      <c r="AA58" s="114" t="str">
        <f t="shared" si="54"/>
        <v> </v>
      </c>
      <c r="AB58" s="114" t="str">
        <f t="shared" si="55"/>
        <v> </v>
      </c>
      <c r="AC58" s="85"/>
      <c r="AG58" s="86"/>
    </row>
    <row r="59" ht="12.75" customHeight="1">
      <c r="A59" s="1"/>
      <c r="B59" s="115"/>
      <c r="C59" s="122" t="s">
        <v>61</v>
      </c>
      <c r="D59" s="117">
        <v>0.75</v>
      </c>
      <c r="E59" s="118">
        <v>3.0</v>
      </c>
      <c r="F59" s="119">
        <v>2.0</v>
      </c>
      <c r="G59" s="120">
        <f>'Start Here'!$F$23*D59</f>
        <v>75</v>
      </c>
      <c r="H59" s="67"/>
      <c r="I59" s="67"/>
      <c r="J59" s="67"/>
      <c r="K59" s="67"/>
      <c r="L59" s="113">
        <f t="shared" si="56"/>
        <v>6</v>
      </c>
      <c r="M59" s="113">
        <f t="shared" si="57"/>
        <v>450</v>
      </c>
      <c r="N59" s="67"/>
      <c r="O59" s="67"/>
      <c r="P59" s="67"/>
      <c r="Q59" s="67"/>
      <c r="R59" s="67"/>
      <c r="S59" s="67"/>
      <c r="T59" s="67"/>
      <c r="U59" s="67"/>
      <c r="V59" s="67"/>
      <c r="W59" s="67"/>
      <c r="X59" s="114" t="str">
        <f t="shared" si="51"/>
        <v> </v>
      </c>
      <c r="Y59" s="114" t="str">
        <f t="shared" si="52"/>
        <v> </v>
      </c>
      <c r="Z59" s="114">
        <f t="shared" si="53"/>
        <v>6</v>
      </c>
      <c r="AA59" s="114" t="str">
        <f t="shared" si="54"/>
        <v> </v>
      </c>
      <c r="AB59" s="114" t="str">
        <f t="shared" si="55"/>
        <v> </v>
      </c>
      <c r="AC59" s="85"/>
      <c r="AG59" s="86"/>
    </row>
    <row r="60" ht="12.75" customHeight="1">
      <c r="A60" s="1"/>
      <c r="B60" s="115"/>
      <c r="C60" s="122" t="s">
        <v>61</v>
      </c>
      <c r="D60" s="117">
        <v>0.85</v>
      </c>
      <c r="E60" s="118">
        <v>2.0</v>
      </c>
      <c r="F60" s="119">
        <v>3.0</v>
      </c>
      <c r="G60" s="120">
        <f>'Start Here'!$F$23*D60</f>
        <v>85</v>
      </c>
      <c r="H60" s="67"/>
      <c r="I60" s="67"/>
      <c r="J60" s="67"/>
      <c r="K60" s="67"/>
      <c r="L60" s="113">
        <f t="shared" si="56"/>
        <v>6</v>
      </c>
      <c r="M60" s="113">
        <f t="shared" si="57"/>
        <v>510</v>
      </c>
      <c r="N60" s="67"/>
      <c r="O60" s="67"/>
      <c r="P60" s="67"/>
      <c r="Q60" s="67"/>
      <c r="R60" s="67"/>
      <c r="S60" s="67"/>
      <c r="T60" s="67"/>
      <c r="U60" s="67"/>
      <c r="V60" s="67"/>
      <c r="W60" s="67"/>
      <c r="X60" s="114" t="str">
        <f t="shared" si="51"/>
        <v> </v>
      </c>
      <c r="Y60" s="114" t="str">
        <f t="shared" si="52"/>
        <v> </v>
      </c>
      <c r="Z60" s="114" t="str">
        <f t="shared" si="53"/>
        <v> </v>
      </c>
      <c r="AA60" s="114">
        <f t="shared" si="54"/>
        <v>6</v>
      </c>
      <c r="AB60" s="114" t="str">
        <f t="shared" si="55"/>
        <v> </v>
      </c>
      <c r="AC60" s="85"/>
      <c r="AG60" s="86"/>
    </row>
    <row r="61" ht="12.75" customHeight="1">
      <c r="A61" s="1"/>
      <c r="B61" s="96">
        <v>4.0</v>
      </c>
      <c r="C61" s="97" t="s">
        <v>62</v>
      </c>
      <c r="D61" s="98"/>
      <c r="E61" s="98">
        <v>4.0</v>
      </c>
      <c r="F61" s="98">
        <v>5.0</v>
      </c>
      <c r="G61" s="99"/>
      <c r="H61" s="67"/>
      <c r="I61" s="67"/>
      <c r="J61" s="67"/>
      <c r="K61" s="67"/>
      <c r="L61" s="67"/>
      <c r="M61" s="67"/>
      <c r="N61" s="67"/>
      <c r="O61" s="67"/>
      <c r="P61" s="67"/>
      <c r="Q61" s="67"/>
      <c r="R61" s="67"/>
      <c r="S61" s="67"/>
      <c r="T61" s="67"/>
      <c r="U61" s="67"/>
      <c r="V61" s="67"/>
      <c r="W61" s="67"/>
      <c r="X61" s="67"/>
      <c r="Y61" s="67"/>
      <c r="Z61" s="67"/>
      <c r="AA61" s="67"/>
      <c r="AB61" s="67"/>
      <c r="AC61" s="85"/>
      <c r="AG61" s="86"/>
    </row>
    <row r="62" ht="12.75" customHeight="1">
      <c r="A62" s="1"/>
      <c r="B62" s="135">
        <v>5.0</v>
      </c>
      <c r="C62" s="67" t="s">
        <v>63</v>
      </c>
      <c r="D62" s="68"/>
      <c r="E62" s="68">
        <v>5.0</v>
      </c>
      <c r="F62" s="68">
        <v>5.0</v>
      </c>
      <c r="G62" s="140"/>
      <c r="H62" s="67"/>
      <c r="I62" s="67"/>
      <c r="J62" s="67"/>
      <c r="K62" s="67"/>
      <c r="L62" s="67"/>
      <c r="M62" s="67"/>
      <c r="N62" s="67"/>
      <c r="O62" s="67"/>
      <c r="P62" s="67"/>
      <c r="Q62" s="67"/>
      <c r="R62" s="67"/>
      <c r="S62" s="67"/>
      <c r="T62" s="67"/>
      <c r="U62" s="67"/>
      <c r="V62" s="67"/>
      <c r="W62" s="67"/>
      <c r="X62" s="67"/>
      <c r="Y62" s="67"/>
      <c r="Z62" s="67"/>
      <c r="AA62" s="67"/>
      <c r="AB62" s="67"/>
      <c r="AC62" s="85"/>
      <c r="AG62" s="86"/>
    </row>
    <row r="63" ht="12.75" customHeight="1">
      <c r="A63" s="1"/>
      <c r="B63" s="100">
        <v>6.0</v>
      </c>
      <c r="C63" s="101" t="s">
        <v>64</v>
      </c>
      <c r="D63" s="102"/>
      <c r="E63" s="102">
        <v>8.0</v>
      </c>
      <c r="F63" s="102">
        <v>4.0</v>
      </c>
      <c r="G63" s="103"/>
      <c r="H63" s="67"/>
      <c r="I63" s="67"/>
      <c r="J63" s="67"/>
      <c r="K63" s="67"/>
      <c r="L63" s="67"/>
      <c r="M63" s="67"/>
      <c r="N63" s="67"/>
      <c r="O63" s="67"/>
      <c r="P63" s="67"/>
      <c r="Q63" s="67"/>
      <c r="R63" s="67"/>
      <c r="S63" s="67"/>
      <c r="T63" s="67"/>
      <c r="U63" s="67"/>
      <c r="V63" s="67"/>
      <c r="W63" s="67"/>
      <c r="X63" s="67"/>
      <c r="Y63" s="67"/>
      <c r="Z63" s="67"/>
      <c r="AA63" s="67"/>
      <c r="AB63" s="67"/>
      <c r="AC63" s="104"/>
      <c r="AD63" s="105"/>
      <c r="AE63" s="105"/>
      <c r="AF63" s="105"/>
      <c r="AG63" s="106"/>
    </row>
    <row r="64" ht="12.75" customHeight="1">
      <c r="A64" s="141"/>
      <c r="B64" s="142"/>
      <c r="C64" s="142"/>
      <c r="D64" s="143"/>
      <c r="E64" s="143"/>
      <c r="F64" s="143"/>
      <c r="G64" s="143"/>
      <c r="H64" s="144">
        <f t="shared" ref="H64:AB64" si="58">SUM(H7:H63)</f>
        <v>52</v>
      </c>
      <c r="I64" s="144">
        <f t="shared" si="58"/>
        <v>3010</v>
      </c>
      <c r="J64" s="142">
        <f t="shared" si="58"/>
        <v>105</v>
      </c>
      <c r="K64" s="142">
        <f t="shared" si="58"/>
        <v>7140</v>
      </c>
      <c r="L64" s="142">
        <f t="shared" si="58"/>
        <v>61</v>
      </c>
      <c r="M64" s="142">
        <f t="shared" si="58"/>
        <v>4080</v>
      </c>
      <c r="N64" s="144">
        <f t="shared" si="58"/>
        <v>18</v>
      </c>
      <c r="O64" s="144">
        <f t="shared" si="58"/>
        <v>6</v>
      </c>
      <c r="P64" s="144">
        <f t="shared" si="58"/>
        <v>20</v>
      </c>
      <c r="Q64" s="144">
        <f t="shared" si="58"/>
        <v>0</v>
      </c>
      <c r="R64" s="144">
        <f t="shared" si="58"/>
        <v>0</v>
      </c>
      <c r="S64" s="142">
        <f t="shared" si="58"/>
        <v>15</v>
      </c>
      <c r="T64" s="142">
        <f t="shared" si="58"/>
        <v>16</v>
      </c>
      <c r="U64" s="142">
        <f t="shared" si="58"/>
        <v>62</v>
      </c>
      <c r="V64" s="142">
        <f t="shared" si="58"/>
        <v>12</v>
      </c>
      <c r="W64" s="142">
        <f t="shared" si="58"/>
        <v>0</v>
      </c>
      <c r="X64" s="142">
        <f t="shared" si="58"/>
        <v>12</v>
      </c>
      <c r="Y64" s="142">
        <f t="shared" si="58"/>
        <v>17</v>
      </c>
      <c r="Z64" s="142">
        <f t="shared" si="58"/>
        <v>26</v>
      </c>
      <c r="AA64" s="142">
        <f t="shared" si="58"/>
        <v>6</v>
      </c>
      <c r="AB64" s="142">
        <f t="shared" si="58"/>
        <v>0</v>
      </c>
      <c r="AC64" s="67"/>
      <c r="AD64" s="142"/>
      <c r="AE64" s="142"/>
      <c r="AF64" s="142"/>
      <c r="AG64" s="142"/>
    </row>
    <row r="65" ht="37.5" customHeight="1">
      <c r="A65" s="1"/>
      <c r="B65" s="66" t="s">
        <v>65</v>
      </c>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row>
    <row r="66" ht="39.0" customHeight="1">
      <c r="A66" s="1"/>
      <c r="B66" s="68" t="s">
        <v>33</v>
      </c>
      <c r="D66" s="68" t="s">
        <v>34</v>
      </c>
      <c r="E66" s="68" t="s">
        <v>35</v>
      </c>
      <c r="F66" s="68" t="s">
        <v>36</v>
      </c>
      <c r="G66" s="68" t="s">
        <v>37</v>
      </c>
      <c r="H66" s="67"/>
      <c r="I66" s="67"/>
      <c r="J66" s="67"/>
      <c r="K66" s="67"/>
      <c r="L66" s="67"/>
      <c r="M66" s="67"/>
      <c r="N66" s="67"/>
      <c r="O66" s="67"/>
      <c r="P66" s="67"/>
      <c r="Q66" s="67"/>
      <c r="R66" s="67"/>
      <c r="S66" s="67"/>
      <c r="T66" s="67"/>
      <c r="U66" s="67"/>
      <c r="V66" s="67"/>
      <c r="W66" s="67"/>
      <c r="X66" s="67"/>
      <c r="Y66" s="67"/>
      <c r="Z66" s="67"/>
      <c r="AA66" s="67"/>
      <c r="AB66" s="67"/>
      <c r="AC66" s="67" t="s">
        <v>43</v>
      </c>
      <c r="AD66" s="67"/>
      <c r="AE66" s="67"/>
      <c r="AF66" s="67"/>
      <c r="AG66" s="67"/>
    </row>
    <row r="67" ht="12.75" customHeight="1">
      <c r="A67" s="1"/>
      <c r="B67" s="69">
        <v>1.0</v>
      </c>
      <c r="C67" s="70" t="s">
        <v>46</v>
      </c>
      <c r="D67" s="71">
        <v>0.5</v>
      </c>
      <c r="E67" s="145">
        <v>5.0</v>
      </c>
      <c r="F67" s="72">
        <v>1.0</v>
      </c>
      <c r="G67" s="73">
        <f>'Start Here'!$F$21*D67</f>
        <v>50</v>
      </c>
      <c r="H67" s="74">
        <f t="shared" ref="H67:H71" si="59">E67*F67</f>
        <v>5</v>
      </c>
      <c r="I67" s="75">
        <f t="shared" ref="I67:I71" si="60">G67*H67</f>
        <v>250</v>
      </c>
      <c r="J67" s="67"/>
      <c r="K67" s="67"/>
      <c r="L67" s="67"/>
      <c r="M67" s="67"/>
      <c r="N67" s="75">
        <f t="shared" ref="N67:N75" si="61">IF(ISNUMBER(SEARCH("squat",$C67)),IF($D67&gt;=0.5,IF($D67&lt;0.6,$E67*$F67," ")," ")," ")</f>
        <v>5</v>
      </c>
      <c r="O67" s="75" t="str">
        <f t="shared" ref="O67:O75" si="62">IF(ISNUMBER(SEARCH("squat",$C67)),IF($D67&gt;=0.6,IF($D67&lt;0.7,$E67*$F67," ")," ")," ")</f>
        <v> </v>
      </c>
      <c r="P67" s="75" t="str">
        <f t="shared" ref="P67:P75" si="63">IF(ISNUMBER(SEARCH("squat",$C67)),IF($D67&gt;=0.7,IF($D67&lt;0.8,$E67*$F67," ")," ")," ")</f>
        <v> </v>
      </c>
      <c r="Q67" s="75" t="str">
        <f t="shared" ref="Q67:Q75" si="64">IF(ISNUMBER(SEARCH("squat",$C67)),IF($D67&gt;=0.8,IF($D67&lt;0.9,$E67*$F67," ")," ")," ")</f>
        <v> </v>
      </c>
      <c r="R67" s="75" t="str">
        <f t="shared" ref="R67:R75" si="65">IF(ISNUMBER(SEARCH("squat",$C67)),IF($D67&gt;=0.9,$E67*$F67," ")," ")</f>
        <v> </v>
      </c>
      <c r="S67" s="67" t="str">
        <f t="shared" ref="S67:S75" si="66">IF(ISNUMBER(SEARCH("bench",$C67)),IF($D67&gt;=0.5,IF($D67&lt;0.6,$E67*$F67," ")," ")," ")</f>
        <v> </v>
      </c>
      <c r="T67" s="67" t="str">
        <f t="shared" ref="T67:T75" si="67">IF(ISNUMBER(SEARCH("bench",$C67)),IF($D67&gt;=0.6,IF($D67&lt;0.7,$E67*$F67," ")," ")," ")</f>
        <v> </v>
      </c>
      <c r="U67" s="67" t="str">
        <f t="shared" ref="U67:U75" si="68">IF(ISNUMBER(SEARCH("bench",$C67)),IF($D67&gt;=0.7,IF($D67&lt;0.8,$E67*$F67," ")," ")," ")</f>
        <v> </v>
      </c>
      <c r="V67" s="67" t="str">
        <f t="shared" ref="V67:V75" si="69">IF(ISNUMBER(SEARCH("bench",$C67)),IF($D67&gt;=0.8,IF($D67&lt;0.9,$E67*$F67," ")," ")," ")</f>
        <v> </v>
      </c>
      <c r="W67" s="67" t="str">
        <f t="shared" ref="W67:W75" si="70">IF(ISNUMBER(SEARCH("bench",$C67)),IF($D67&gt;=0.9,$E67*$F67," ")," ")</f>
        <v> </v>
      </c>
      <c r="X67" s="67"/>
      <c r="Y67" s="67"/>
      <c r="Z67" s="67"/>
      <c r="AA67" s="67"/>
      <c r="AB67" s="67"/>
      <c r="AC67" s="76"/>
      <c r="AD67" s="77"/>
      <c r="AE67" s="77"/>
      <c r="AF67" s="77"/>
      <c r="AG67" s="78"/>
    </row>
    <row r="68" ht="12.75" customHeight="1">
      <c r="A68" s="1"/>
      <c r="B68" s="79"/>
      <c r="C68" s="80" t="s">
        <v>46</v>
      </c>
      <c r="D68" s="81">
        <v>0.6</v>
      </c>
      <c r="E68" s="82">
        <v>4.0</v>
      </c>
      <c r="F68" s="83">
        <v>1.0</v>
      </c>
      <c r="G68" s="84">
        <f>'Start Here'!$F$21*D68</f>
        <v>60</v>
      </c>
      <c r="H68" s="74">
        <f t="shared" si="59"/>
        <v>4</v>
      </c>
      <c r="I68" s="75">
        <f t="shared" si="60"/>
        <v>240</v>
      </c>
      <c r="J68" s="67"/>
      <c r="K68" s="67"/>
      <c r="L68" s="67"/>
      <c r="M68" s="67"/>
      <c r="N68" s="75" t="str">
        <f t="shared" si="61"/>
        <v> </v>
      </c>
      <c r="O68" s="75">
        <f t="shared" si="62"/>
        <v>4</v>
      </c>
      <c r="P68" s="75" t="str">
        <f t="shared" si="63"/>
        <v> </v>
      </c>
      <c r="Q68" s="75" t="str">
        <f t="shared" si="64"/>
        <v> </v>
      </c>
      <c r="R68" s="75" t="str">
        <f t="shared" si="65"/>
        <v> </v>
      </c>
      <c r="S68" s="67" t="str">
        <f t="shared" si="66"/>
        <v> </v>
      </c>
      <c r="T68" s="67" t="str">
        <f t="shared" si="67"/>
        <v> </v>
      </c>
      <c r="U68" s="67" t="str">
        <f t="shared" si="68"/>
        <v> </v>
      </c>
      <c r="V68" s="67" t="str">
        <f t="shared" si="69"/>
        <v> </v>
      </c>
      <c r="W68" s="67" t="str">
        <f t="shared" si="70"/>
        <v> </v>
      </c>
      <c r="X68" s="67"/>
      <c r="Y68" s="67"/>
      <c r="Z68" s="67"/>
      <c r="AA68" s="67"/>
      <c r="AB68" s="67"/>
      <c r="AC68" s="85"/>
      <c r="AG68" s="86"/>
    </row>
    <row r="69" ht="12.75" customHeight="1">
      <c r="A69" s="1"/>
      <c r="B69" s="79"/>
      <c r="C69" s="80" t="s">
        <v>46</v>
      </c>
      <c r="D69" s="81">
        <v>0.7</v>
      </c>
      <c r="E69" s="82">
        <v>3.0</v>
      </c>
      <c r="F69" s="83">
        <v>1.0</v>
      </c>
      <c r="G69" s="84">
        <f>'Start Here'!$F$21*D69</f>
        <v>70</v>
      </c>
      <c r="H69" s="74">
        <f t="shared" si="59"/>
        <v>3</v>
      </c>
      <c r="I69" s="75">
        <f t="shared" si="60"/>
        <v>210</v>
      </c>
      <c r="J69" s="67"/>
      <c r="K69" s="67"/>
      <c r="L69" s="67"/>
      <c r="M69" s="67"/>
      <c r="N69" s="75" t="str">
        <f t="shared" si="61"/>
        <v> </v>
      </c>
      <c r="O69" s="75" t="str">
        <f t="shared" si="62"/>
        <v> </v>
      </c>
      <c r="P69" s="75">
        <f t="shared" si="63"/>
        <v>3</v>
      </c>
      <c r="Q69" s="75" t="str">
        <f t="shared" si="64"/>
        <v> </v>
      </c>
      <c r="R69" s="75" t="str">
        <f t="shared" si="65"/>
        <v> </v>
      </c>
      <c r="S69" s="67" t="str">
        <f t="shared" si="66"/>
        <v> </v>
      </c>
      <c r="T69" s="67" t="str">
        <f t="shared" si="67"/>
        <v> </v>
      </c>
      <c r="U69" s="67" t="str">
        <f t="shared" si="68"/>
        <v> </v>
      </c>
      <c r="V69" s="67" t="str">
        <f t="shared" si="69"/>
        <v> </v>
      </c>
      <c r="W69" s="67" t="str">
        <f t="shared" si="70"/>
        <v> </v>
      </c>
      <c r="X69" s="67"/>
      <c r="Y69" s="67"/>
      <c r="Z69" s="67"/>
      <c r="AA69" s="67"/>
      <c r="AB69" s="67"/>
      <c r="AC69" s="85"/>
      <c r="AG69" s="86"/>
    </row>
    <row r="70" ht="12.75" customHeight="1">
      <c r="A70" s="1"/>
      <c r="B70" s="79"/>
      <c r="C70" s="80" t="s">
        <v>46</v>
      </c>
      <c r="D70" s="81">
        <v>0.75</v>
      </c>
      <c r="E70" s="82">
        <v>3.0</v>
      </c>
      <c r="F70" s="83">
        <v>1.0</v>
      </c>
      <c r="G70" s="84">
        <f>'Start Here'!$F$21*D70</f>
        <v>75</v>
      </c>
      <c r="H70" s="74">
        <f t="shared" si="59"/>
        <v>3</v>
      </c>
      <c r="I70" s="75">
        <f t="shared" si="60"/>
        <v>225</v>
      </c>
      <c r="J70" s="67"/>
      <c r="K70" s="67"/>
      <c r="L70" s="67"/>
      <c r="M70" s="67"/>
      <c r="N70" s="75" t="str">
        <f t="shared" si="61"/>
        <v> </v>
      </c>
      <c r="O70" s="75" t="str">
        <f t="shared" si="62"/>
        <v> </v>
      </c>
      <c r="P70" s="75">
        <f t="shared" si="63"/>
        <v>3</v>
      </c>
      <c r="Q70" s="75" t="str">
        <f t="shared" si="64"/>
        <v> </v>
      </c>
      <c r="R70" s="75" t="str">
        <f t="shared" si="65"/>
        <v> </v>
      </c>
      <c r="S70" s="67" t="str">
        <f t="shared" si="66"/>
        <v> </v>
      </c>
      <c r="T70" s="67" t="str">
        <f t="shared" si="67"/>
        <v> </v>
      </c>
      <c r="U70" s="67" t="str">
        <f t="shared" si="68"/>
        <v> </v>
      </c>
      <c r="V70" s="67" t="str">
        <f t="shared" si="69"/>
        <v> </v>
      </c>
      <c r="W70" s="67" t="str">
        <f t="shared" si="70"/>
        <v> </v>
      </c>
      <c r="X70" s="67"/>
      <c r="Y70" s="67"/>
      <c r="Z70" s="67"/>
      <c r="AA70" s="67"/>
      <c r="AB70" s="67"/>
      <c r="AC70" s="85"/>
      <c r="AG70" s="86"/>
    </row>
    <row r="71" ht="12.75" customHeight="1">
      <c r="A71" s="1"/>
      <c r="B71" s="79"/>
      <c r="C71" s="80" t="s">
        <v>46</v>
      </c>
      <c r="D71" s="81">
        <v>0.8</v>
      </c>
      <c r="E71" s="82">
        <v>2.0</v>
      </c>
      <c r="F71" s="83">
        <v>5.0</v>
      </c>
      <c r="G71" s="84">
        <f>'Start Here'!$F$21*D71</f>
        <v>80</v>
      </c>
      <c r="H71" s="74">
        <f t="shared" si="59"/>
        <v>10</v>
      </c>
      <c r="I71" s="75">
        <f t="shared" si="60"/>
        <v>800</v>
      </c>
      <c r="J71" s="67"/>
      <c r="K71" s="67"/>
      <c r="L71" s="67"/>
      <c r="M71" s="67"/>
      <c r="N71" s="75" t="str">
        <f t="shared" si="61"/>
        <v> </v>
      </c>
      <c r="O71" s="75" t="str">
        <f t="shared" si="62"/>
        <v> </v>
      </c>
      <c r="P71" s="75" t="str">
        <f t="shared" si="63"/>
        <v> </v>
      </c>
      <c r="Q71" s="75">
        <f t="shared" si="64"/>
        <v>10</v>
      </c>
      <c r="R71" s="75" t="str">
        <f t="shared" si="65"/>
        <v> </v>
      </c>
      <c r="S71" s="67" t="str">
        <f t="shared" si="66"/>
        <v> </v>
      </c>
      <c r="T71" s="67" t="str">
        <f t="shared" si="67"/>
        <v> </v>
      </c>
      <c r="U71" s="67" t="str">
        <f t="shared" si="68"/>
        <v> </v>
      </c>
      <c r="V71" s="67" t="str">
        <f t="shared" si="69"/>
        <v> </v>
      </c>
      <c r="W71" s="67" t="str">
        <f t="shared" si="70"/>
        <v> </v>
      </c>
      <c r="X71" s="67"/>
      <c r="Y71" s="67"/>
      <c r="Z71" s="67"/>
      <c r="AA71" s="67"/>
      <c r="AB71" s="67"/>
      <c r="AC71" s="85"/>
      <c r="AG71" s="86"/>
    </row>
    <row r="72" ht="12.75" customHeight="1">
      <c r="A72" s="1"/>
      <c r="B72" s="87">
        <v>2.0</v>
      </c>
      <c r="C72" s="88" t="s">
        <v>45</v>
      </c>
      <c r="D72" s="89">
        <v>0.5</v>
      </c>
      <c r="E72" s="90">
        <v>5.0</v>
      </c>
      <c r="F72" s="91">
        <v>1.0</v>
      </c>
      <c r="G72" s="92">
        <f>'Start Here'!$F$22*D72</f>
        <v>50</v>
      </c>
      <c r="H72" s="67"/>
      <c r="I72" s="67"/>
      <c r="J72" s="93">
        <f t="shared" ref="J72:J75" si="71">E72*F72</f>
        <v>5</v>
      </c>
      <c r="K72" s="93">
        <f t="shared" ref="K72:K75" si="72">G72*J72</f>
        <v>250</v>
      </c>
      <c r="L72" s="67"/>
      <c r="M72" s="67"/>
      <c r="N72" s="67" t="str">
        <f t="shared" si="61"/>
        <v> </v>
      </c>
      <c r="O72" s="67" t="str">
        <f t="shared" si="62"/>
        <v> </v>
      </c>
      <c r="P72" s="67" t="str">
        <f t="shared" si="63"/>
        <v> </v>
      </c>
      <c r="Q72" s="67" t="str">
        <f t="shared" si="64"/>
        <v> </v>
      </c>
      <c r="R72" s="67" t="str">
        <f t="shared" si="65"/>
        <v> </v>
      </c>
      <c r="S72" s="93">
        <f t="shared" si="66"/>
        <v>5</v>
      </c>
      <c r="T72" s="93" t="str">
        <f t="shared" si="67"/>
        <v> </v>
      </c>
      <c r="U72" s="93" t="str">
        <f t="shared" si="68"/>
        <v> </v>
      </c>
      <c r="V72" s="93" t="str">
        <f t="shared" si="69"/>
        <v> </v>
      </c>
      <c r="W72" s="93" t="str">
        <f t="shared" si="70"/>
        <v> </v>
      </c>
      <c r="X72" s="67"/>
      <c r="Y72" s="67"/>
      <c r="Z72" s="67"/>
      <c r="AA72" s="67"/>
      <c r="AB72" s="67"/>
      <c r="AC72" s="85"/>
      <c r="AG72" s="86"/>
    </row>
    <row r="73" ht="12.75" customHeight="1">
      <c r="A73" s="1"/>
      <c r="B73" s="87"/>
      <c r="C73" s="94" t="s">
        <v>45</v>
      </c>
      <c r="D73" s="89">
        <v>0.6</v>
      </c>
      <c r="E73" s="90">
        <v>4.0</v>
      </c>
      <c r="F73" s="91">
        <v>1.0</v>
      </c>
      <c r="G73" s="92">
        <f>'Start Here'!$F$22*D73</f>
        <v>60</v>
      </c>
      <c r="H73" s="67"/>
      <c r="I73" s="67"/>
      <c r="J73" s="93">
        <f t="shared" si="71"/>
        <v>4</v>
      </c>
      <c r="K73" s="93">
        <f t="shared" si="72"/>
        <v>240</v>
      </c>
      <c r="L73" s="67"/>
      <c r="M73" s="67"/>
      <c r="N73" s="67" t="str">
        <f t="shared" si="61"/>
        <v> </v>
      </c>
      <c r="O73" s="67" t="str">
        <f t="shared" si="62"/>
        <v> </v>
      </c>
      <c r="P73" s="67" t="str">
        <f t="shared" si="63"/>
        <v> </v>
      </c>
      <c r="Q73" s="67" t="str">
        <f t="shared" si="64"/>
        <v> </v>
      </c>
      <c r="R73" s="67" t="str">
        <f t="shared" si="65"/>
        <v> </v>
      </c>
      <c r="S73" s="93" t="str">
        <f t="shared" si="66"/>
        <v> </v>
      </c>
      <c r="T73" s="93">
        <f t="shared" si="67"/>
        <v>4</v>
      </c>
      <c r="U73" s="93" t="str">
        <f t="shared" si="68"/>
        <v> </v>
      </c>
      <c r="V73" s="93" t="str">
        <f t="shared" si="69"/>
        <v> </v>
      </c>
      <c r="W73" s="93" t="str">
        <f t="shared" si="70"/>
        <v> </v>
      </c>
      <c r="X73" s="67"/>
      <c r="Y73" s="67"/>
      <c r="Z73" s="67"/>
      <c r="AA73" s="67"/>
      <c r="AB73" s="67"/>
      <c r="AC73" s="85"/>
      <c r="AG73" s="86"/>
    </row>
    <row r="74" ht="12.75" customHeight="1">
      <c r="A74" s="1"/>
      <c r="B74" s="87"/>
      <c r="C74" s="94" t="s">
        <v>45</v>
      </c>
      <c r="D74" s="89">
        <v>0.7</v>
      </c>
      <c r="E74" s="90">
        <v>3.0</v>
      </c>
      <c r="F74" s="91">
        <v>1.0</v>
      </c>
      <c r="G74" s="92">
        <f>'Start Here'!$F$22*D74</f>
        <v>70</v>
      </c>
      <c r="H74" s="67"/>
      <c r="I74" s="67"/>
      <c r="J74" s="93">
        <f t="shared" si="71"/>
        <v>3</v>
      </c>
      <c r="K74" s="93">
        <f t="shared" si="72"/>
        <v>210</v>
      </c>
      <c r="L74" s="67"/>
      <c r="M74" s="67"/>
      <c r="N74" s="67" t="str">
        <f t="shared" si="61"/>
        <v> </v>
      </c>
      <c r="O74" s="67" t="str">
        <f t="shared" si="62"/>
        <v> </v>
      </c>
      <c r="P74" s="67" t="str">
        <f t="shared" si="63"/>
        <v> </v>
      </c>
      <c r="Q74" s="67" t="str">
        <f t="shared" si="64"/>
        <v> </v>
      </c>
      <c r="R74" s="67" t="str">
        <f t="shared" si="65"/>
        <v> </v>
      </c>
      <c r="S74" s="93" t="str">
        <f t="shared" si="66"/>
        <v> </v>
      </c>
      <c r="T74" s="93" t="str">
        <f t="shared" si="67"/>
        <v> </v>
      </c>
      <c r="U74" s="93">
        <f t="shared" si="68"/>
        <v>3</v>
      </c>
      <c r="V74" s="93" t="str">
        <f t="shared" si="69"/>
        <v> </v>
      </c>
      <c r="W74" s="93" t="str">
        <f t="shared" si="70"/>
        <v> </v>
      </c>
      <c r="X74" s="67"/>
      <c r="Y74" s="67"/>
      <c r="Z74" s="67"/>
      <c r="AA74" s="67"/>
      <c r="AB74" s="67"/>
      <c r="AC74" s="85"/>
      <c r="AG74" s="86"/>
    </row>
    <row r="75" ht="12.75" customHeight="1">
      <c r="A75" s="1"/>
      <c r="B75" s="87"/>
      <c r="C75" s="94" t="s">
        <v>45</v>
      </c>
      <c r="D75" s="89">
        <v>0.8</v>
      </c>
      <c r="E75" s="90">
        <v>2.0</v>
      </c>
      <c r="F75" s="91">
        <v>5.0</v>
      </c>
      <c r="G75" s="92">
        <f>'Start Here'!$F$22*D75</f>
        <v>80</v>
      </c>
      <c r="H75" s="67"/>
      <c r="I75" s="67"/>
      <c r="J75" s="93">
        <f t="shared" si="71"/>
        <v>10</v>
      </c>
      <c r="K75" s="93">
        <f t="shared" si="72"/>
        <v>800</v>
      </c>
      <c r="L75" s="67"/>
      <c r="M75" s="67"/>
      <c r="N75" s="67" t="str">
        <f t="shared" si="61"/>
        <v> </v>
      </c>
      <c r="O75" s="67" t="str">
        <f t="shared" si="62"/>
        <v> </v>
      </c>
      <c r="P75" s="67" t="str">
        <f t="shared" si="63"/>
        <v> </v>
      </c>
      <c r="Q75" s="67" t="str">
        <f t="shared" si="64"/>
        <v> </v>
      </c>
      <c r="R75" s="67" t="str">
        <f t="shared" si="65"/>
        <v> </v>
      </c>
      <c r="S75" s="93" t="str">
        <f t="shared" si="66"/>
        <v> </v>
      </c>
      <c r="T75" s="93" t="str">
        <f t="shared" si="67"/>
        <v> </v>
      </c>
      <c r="U75" s="93" t="str">
        <f t="shared" si="68"/>
        <v> </v>
      </c>
      <c r="V75" s="93">
        <f t="shared" si="69"/>
        <v>10</v>
      </c>
      <c r="W75" s="93" t="str">
        <f t="shared" si="70"/>
        <v> </v>
      </c>
      <c r="X75" s="67"/>
      <c r="Y75" s="67"/>
      <c r="Z75" s="67"/>
      <c r="AA75" s="67"/>
      <c r="AB75" s="67"/>
      <c r="AC75" s="85"/>
      <c r="AG75" s="86"/>
    </row>
    <row r="76" ht="12.75" customHeight="1">
      <c r="A76" s="1"/>
      <c r="B76" s="96">
        <v>3.0</v>
      </c>
      <c r="C76" s="97" t="s">
        <v>66</v>
      </c>
      <c r="D76" s="98"/>
      <c r="E76" s="98">
        <v>6.0</v>
      </c>
      <c r="F76" s="98">
        <v>5.0</v>
      </c>
      <c r="G76" s="99"/>
      <c r="H76" s="67"/>
      <c r="I76" s="67"/>
      <c r="J76" s="67"/>
      <c r="K76" s="67"/>
      <c r="L76" s="67"/>
      <c r="M76" s="67"/>
      <c r="N76" s="67"/>
      <c r="O76" s="67"/>
      <c r="P76" s="67"/>
      <c r="Q76" s="67"/>
      <c r="R76" s="67"/>
      <c r="S76" s="67"/>
      <c r="T76" s="67"/>
      <c r="U76" s="67"/>
      <c r="V76" s="67"/>
      <c r="W76" s="67"/>
      <c r="X76" s="67"/>
      <c r="Y76" s="67"/>
      <c r="Z76" s="67"/>
      <c r="AA76" s="67"/>
      <c r="AB76" s="67"/>
      <c r="AC76" s="85"/>
      <c r="AG76" s="86"/>
    </row>
    <row r="77" ht="12.75" customHeight="1">
      <c r="A77" s="1"/>
      <c r="B77" s="135">
        <v>4.0</v>
      </c>
      <c r="C77" s="67" t="s">
        <v>47</v>
      </c>
      <c r="D77" s="68"/>
      <c r="E77" s="68">
        <v>8.0</v>
      </c>
      <c r="F77" s="68">
        <v>4.0</v>
      </c>
      <c r="G77" s="140"/>
      <c r="H77" s="67"/>
      <c r="I77" s="67"/>
      <c r="J77" s="67"/>
      <c r="K77" s="67"/>
      <c r="L77" s="67"/>
      <c r="M77" s="67"/>
      <c r="N77" s="67"/>
      <c r="O77" s="67"/>
      <c r="P77" s="67"/>
      <c r="Q77" s="67"/>
      <c r="R77" s="67"/>
      <c r="S77" s="67"/>
      <c r="T77" s="67"/>
      <c r="U77" s="67"/>
      <c r="V77" s="67"/>
      <c r="W77" s="67"/>
      <c r="X77" s="67"/>
      <c r="Y77" s="67"/>
      <c r="Z77" s="67"/>
      <c r="AA77" s="67"/>
      <c r="AB77" s="67"/>
      <c r="AC77" s="85"/>
      <c r="AG77" s="86"/>
    </row>
    <row r="78" ht="12.75" customHeight="1">
      <c r="A78" s="1"/>
      <c r="B78" s="100">
        <v>5.0</v>
      </c>
      <c r="C78" s="101" t="s">
        <v>57</v>
      </c>
      <c r="D78" s="102"/>
      <c r="E78" s="102">
        <v>8.0</v>
      </c>
      <c r="F78" s="102">
        <v>4.0</v>
      </c>
      <c r="G78" s="103"/>
      <c r="H78" s="67"/>
      <c r="I78" s="67"/>
      <c r="J78" s="67"/>
      <c r="K78" s="67"/>
      <c r="L78" s="67"/>
      <c r="M78" s="67"/>
      <c r="N78" s="67"/>
      <c r="O78" s="67"/>
      <c r="P78" s="67"/>
      <c r="Q78" s="67"/>
      <c r="R78" s="67"/>
      <c r="S78" s="67"/>
      <c r="T78" s="67"/>
      <c r="U78" s="67"/>
      <c r="V78" s="67"/>
      <c r="W78" s="67"/>
      <c r="X78" s="67"/>
      <c r="Y78" s="67"/>
      <c r="Z78" s="67"/>
      <c r="AA78" s="67"/>
      <c r="AB78" s="67"/>
      <c r="AC78" s="104"/>
      <c r="AD78" s="105"/>
      <c r="AE78" s="105"/>
      <c r="AF78" s="105"/>
      <c r="AG78" s="106"/>
    </row>
    <row r="79" ht="12.75" customHeight="1">
      <c r="A79" s="1"/>
      <c r="B79" s="67"/>
      <c r="C79" s="67"/>
      <c r="D79" s="68"/>
      <c r="E79" s="68"/>
      <c r="F79" s="68"/>
      <c r="G79" s="68"/>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row>
    <row r="80" ht="40.5" customHeight="1">
      <c r="A80" s="1"/>
      <c r="B80" s="68" t="s">
        <v>49</v>
      </c>
      <c r="D80" s="68" t="s">
        <v>34</v>
      </c>
      <c r="E80" s="68" t="s">
        <v>35</v>
      </c>
      <c r="F80" s="68" t="s">
        <v>36</v>
      </c>
      <c r="G80" s="68" t="s">
        <v>37</v>
      </c>
      <c r="H80" s="67"/>
      <c r="I80" s="67"/>
      <c r="J80" s="67"/>
      <c r="K80" s="67"/>
      <c r="L80" s="67"/>
      <c r="M80" s="67"/>
      <c r="N80" s="67"/>
      <c r="O80" s="67"/>
      <c r="P80" s="67"/>
      <c r="Q80" s="67"/>
      <c r="R80" s="67"/>
      <c r="S80" s="67"/>
      <c r="T80" s="67"/>
      <c r="U80" s="67"/>
      <c r="V80" s="67"/>
      <c r="W80" s="67"/>
      <c r="X80" s="67"/>
      <c r="Y80" s="67"/>
      <c r="Z80" s="67"/>
      <c r="AA80" s="67"/>
      <c r="AB80" s="67"/>
      <c r="AC80" s="67" t="s">
        <v>43</v>
      </c>
      <c r="AD80" s="67"/>
      <c r="AE80" s="67"/>
      <c r="AF80" s="67"/>
      <c r="AG80" s="67"/>
    </row>
    <row r="81" ht="12.75" customHeight="1">
      <c r="A81" s="1"/>
      <c r="B81" s="123">
        <v>1.0</v>
      </c>
      <c r="C81" s="124" t="s">
        <v>67</v>
      </c>
      <c r="D81" s="125">
        <v>0.5</v>
      </c>
      <c r="E81" s="126">
        <v>3.0</v>
      </c>
      <c r="F81" s="127">
        <v>1.0</v>
      </c>
      <c r="G81" s="128">
        <f>'Start Here'!$F$22*D81</f>
        <v>50</v>
      </c>
      <c r="H81" s="67"/>
      <c r="I81" s="67"/>
      <c r="J81" s="93">
        <f t="shared" ref="J81:J83" si="73">E81*F81</f>
        <v>3</v>
      </c>
      <c r="K81" s="93">
        <f t="shared" ref="K81:K83" si="74">G81*J81</f>
        <v>150</v>
      </c>
      <c r="L81" s="67"/>
      <c r="M81" s="67"/>
      <c r="N81" s="67"/>
      <c r="O81" s="67"/>
      <c r="P81" s="67"/>
      <c r="Q81" s="67"/>
      <c r="R81" s="67"/>
      <c r="S81" s="93">
        <f t="shared" ref="S81:S87" si="75">IF(ISNUMBER(SEARCH("bench",$C81)),IF($D81&gt;=0.5,IF($D81&lt;0.6,$E81*$F81," ")," ")," ")</f>
        <v>3</v>
      </c>
      <c r="T81" s="93" t="str">
        <f t="shared" ref="T81:T87" si="76">IF(ISNUMBER(SEARCH("bench",$C81)),IF($D81&gt;=0.6,IF($D81&lt;0.7,$E81*$F81," ")," ")," ")</f>
        <v> </v>
      </c>
      <c r="U81" s="93" t="str">
        <f t="shared" ref="U81:U87" si="77">IF(ISNUMBER(SEARCH("bench",$C81)),IF($D81&gt;=0.7,IF($D81&lt;0.8,$E81*$F81," ")," ")," ")</f>
        <v> </v>
      </c>
      <c r="V81" s="93" t="str">
        <f t="shared" ref="V81:V87" si="78">IF(ISNUMBER(SEARCH("bench",$C81)),IF($D81&gt;=0.8,IF($D81&lt;0.9,$E81*$F81," ")," ")," ")</f>
        <v> </v>
      </c>
      <c r="W81" s="93" t="str">
        <f t="shared" ref="W81:W87" si="79">IF(ISNUMBER(SEARCH("bench",$C81)),IF($D81&gt;=0.9,$E81*$F81," ")," ")</f>
        <v> </v>
      </c>
      <c r="X81" s="67" t="str">
        <f t="shared" ref="X81:X87" si="80">IF(ISNUMBER(SEARCH("deadlift",$C81)),IF($D81&gt;=0.5,IF($D81&lt;0.6,$E81*$F81," ")," ")," ")</f>
        <v> </v>
      </c>
      <c r="Y81" s="67" t="str">
        <f t="shared" ref="Y81:Y87" si="81">IF(ISNUMBER(SEARCH("deadlift",$C81)),IF($D81&gt;=0.6,IF($D81&lt;0.7,$E81*$F81," ")," ")," ")</f>
        <v> </v>
      </c>
      <c r="Z81" s="67" t="str">
        <f t="shared" ref="Z81:Z87" si="82">IF(ISNUMBER(SEARCH("deadlift",$C81)),IF($D81&gt;=0.7,IF($D81&lt;0.8,$E81*$F81," ")," ")," ")</f>
        <v> </v>
      </c>
      <c r="AA81" s="67" t="str">
        <f t="shared" ref="AA81:AA87" si="83">IF(ISNUMBER(SEARCH("deadlift",$C81)),IF($D81&gt;=0.8,IF($D81&lt;0.9,$E81*$F81," ")," ")," ")</f>
        <v> </v>
      </c>
      <c r="AB81" s="67" t="str">
        <f t="shared" ref="AB81:AB87" si="84">IF(ISNUMBER(SEARCH("deadlift",$C81)),IF($D81&gt;=0.9,$E81*$F81," ")," ")</f>
        <v> </v>
      </c>
      <c r="AC81" s="76"/>
      <c r="AD81" s="77"/>
      <c r="AE81" s="77"/>
      <c r="AF81" s="77"/>
      <c r="AG81" s="78"/>
    </row>
    <row r="82" ht="12.75" customHeight="1">
      <c r="A82" s="1"/>
      <c r="B82" s="87"/>
      <c r="C82" s="94" t="s">
        <v>67</v>
      </c>
      <c r="D82" s="89">
        <v>0.6</v>
      </c>
      <c r="E82" s="90">
        <v>3.0</v>
      </c>
      <c r="F82" s="91">
        <v>1.0</v>
      </c>
      <c r="G82" s="92">
        <f>'Start Here'!$F$22*D82</f>
        <v>60</v>
      </c>
      <c r="H82" s="67"/>
      <c r="I82" s="67"/>
      <c r="J82" s="93">
        <f t="shared" si="73"/>
        <v>3</v>
      </c>
      <c r="K82" s="93">
        <f t="shared" si="74"/>
        <v>180</v>
      </c>
      <c r="L82" s="67"/>
      <c r="M82" s="67"/>
      <c r="N82" s="67"/>
      <c r="O82" s="67"/>
      <c r="P82" s="67"/>
      <c r="Q82" s="67"/>
      <c r="R82" s="67"/>
      <c r="S82" s="93" t="str">
        <f t="shared" si="75"/>
        <v> </v>
      </c>
      <c r="T82" s="93">
        <f t="shared" si="76"/>
        <v>3</v>
      </c>
      <c r="U82" s="93" t="str">
        <f t="shared" si="77"/>
        <v> </v>
      </c>
      <c r="V82" s="93" t="str">
        <f t="shared" si="78"/>
        <v> </v>
      </c>
      <c r="W82" s="93" t="str">
        <f t="shared" si="79"/>
        <v> </v>
      </c>
      <c r="X82" s="67" t="str">
        <f t="shared" si="80"/>
        <v> </v>
      </c>
      <c r="Y82" s="67" t="str">
        <f t="shared" si="81"/>
        <v> </v>
      </c>
      <c r="Z82" s="67" t="str">
        <f t="shared" si="82"/>
        <v> </v>
      </c>
      <c r="AA82" s="67" t="str">
        <f t="shared" si="83"/>
        <v> </v>
      </c>
      <c r="AB82" s="67" t="str">
        <f t="shared" si="84"/>
        <v> </v>
      </c>
      <c r="AC82" s="85"/>
      <c r="AG82" s="86"/>
    </row>
    <row r="83" ht="12.75" customHeight="1">
      <c r="A83" s="1"/>
      <c r="B83" s="87"/>
      <c r="C83" s="94" t="s">
        <v>67</v>
      </c>
      <c r="D83" s="89">
        <v>0.7</v>
      </c>
      <c r="E83" s="90">
        <v>3.0</v>
      </c>
      <c r="F83" s="91">
        <v>5.0</v>
      </c>
      <c r="G83" s="92">
        <f>'Start Here'!$F$22*D83</f>
        <v>70</v>
      </c>
      <c r="H83" s="67"/>
      <c r="I83" s="67"/>
      <c r="J83" s="93">
        <f t="shared" si="73"/>
        <v>15</v>
      </c>
      <c r="K83" s="93">
        <f t="shared" si="74"/>
        <v>1050</v>
      </c>
      <c r="L83" s="67"/>
      <c r="M83" s="67"/>
      <c r="N83" s="67"/>
      <c r="O83" s="67"/>
      <c r="P83" s="67"/>
      <c r="Q83" s="67"/>
      <c r="R83" s="67"/>
      <c r="S83" s="93" t="str">
        <f t="shared" si="75"/>
        <v> </v>
      </c>
      <c r="T83" s="93" t="str">
        <f t="shared" si="76"/>
        <v> </v>
      </c>
      <c r="U83" s="93">
        <f t="shared" si="77"/>
        <v>15</v>
      </c>
      <c r="V83" s="93" t="str">
        <f t="shared" si="78"/>
        <v> </v>
      </c>
      <c r="W83" s="93" t="str">
        <f t="shared" si="79"/>
        <v> </v>
      </c>
      <c r="X83" s="67" t="str">
        <f t="shared" si="80"/>
        <v> </v>
      </c>
      <c r="Y83" s="67" t="str">
        <f t="shared" si="81"/>
        <v> </v>
      </c>
      <c r="Z83" s="67" t="str">
        <f t="shared" si="82"/>
        <v> </v>
      </c>
      <c r="AA83" s="67" t="str">
        <f t="shared" si="83"/>
        <v> </v>
      </c>
      <c r="AB83" s="67" t="str">
        <f t="shared" si="84"/>
        <v> </v>
      </c>
      <c r="AC83" s="85"/>
      <c r="AG83" s="86"/>
    </row>
    <row r="84" ht="12.75" customHeight="1">
      <c r="A84" s="1"/>
      <c r="B84" s="115">
        <v>2.0</v>
      </c>
      <c r="C84" s="121" t="s">
        <v>68</v>
      </c>
      <c r="D84" s="117">
        <v>0.5</v>
      </c>
      <c r="E84" s="118">
        <v>3.0</v>
      </c>
      <c r="F84" s="119">
        <v>1.0</v>
      </c>
      <c r="G84" s="120">
        <f>'Start Here'!$F$23*D84</f>
        <v>50</v>
      </c>
      <c r="H84" s="67"/>
      <c r="I84" s="67"/>
      <c r="J84" s="67"/>
      <c r="K84" s="67"/>
      <c r="L84" s="113">
        <f t="shared" ref="L84:L87" si="85">E84*F84</f>
        <v>3</v>
      </c>
      <c r="M84" s="113">
        <f t="shared" ref="M84:M87" si="86">G84*L84</f>
        <v>150</v>
      </c>
      <c r="N84" s="67"/>
      <c r="O84" s="67"/>
      <c r="P84" s="67"/>
      <c r="Q84" s="67"/>
      <c r="R84" s="67"/>
      <c r="S84" s="67" t="str">
        <f t="shared" si="75"/>
        <v> </v>
      </c>
      <c r="T84" s="67" t="str">
        <f t="shared" si="76"/>
        <v> </v>
      </c>
      <c r="U84" s="67" t="str">
        <f t="shared" si="77"/>
        <v> </v>
      </c>
      <c r="V84" s="67" t="str">
        <f t="shared" si="78"/>
        <v> </v>
      </c>
      <c r="W84" s="67" t="str">
        <f t="shared" si="79"/>
        <v> </v>
      </c>
      <c r="X84" s="114">
        <f t="shared" si="80"/>
        <v>3</v>
      </c>
      <c r="Y84" s="114" t="str">
        <f t="shared" si="81"/>
        <v> </v>
      </c>
      <c r="Z84" s="114" t="str">
        <f t="shared" si="82"/>
        <v> </v>
      </c>
      <c r="AA84" s="114" t="str">
        <f t="shared" si="83"/>
        <v> </v>
      </c>
      <c r="AB84" s="114" t="str">
        <f t="shared" si="84"/>
        <v> </v>
      </c>
      <c r="AC84" s="85"/>
      <c r="AG84" s="86"/>
    </row>
    <row r="85" ht="12.75" customHeight="1">
      <c r="A85" s="1"/>
      <c r="B85" s="115"/>
      <c r="C85" s="122" t="s">
        <v>68</v>
      </c>
      <c r="D85" s="117">
        <v>0.6</v>
      </c>
      <c r="E85" s="118">
        <v>3.0</v>
      </c>
      <c r="F85" s="119">
        <v>1.0</v>
      </c>
      <c r="G85" s="120">
        <f>'Start Here'!$F$23*D85</f>
        <v>60</v>
      </c>
      <c r="H85" s="67"/>
      <c r="I85" s="67"/>
      <c r="J85" s="67"/>
      <c r="K85" s="67"/>
      <c r="L85" s="113">
        <f t="shared" si="85"/>
        <v>3</v>
      </c>
      <c r="M85" s="113">
        <f t="shared" si="86"/>
        <v>180</v>
      </c>
      <c r="N85" s="67"/>
      <c r="O85" s="67"/>
      <c r="P85" s="67"/>
      <c r="Q85" s="67"/>
      <c r="R85" s="67"/>
      <c r="S85" s="67" t="str">
        <f t="shared" si="75"/>
        <v> </v>
      </c>
      <c r="T85" s="67" t="str">
        <f t="shared" si="76"/>
        <v> </v>
      </c>
      <c r="U85" s="67" t="str">
        <f t="shared" si="77"/>
        <v> </v>
      </c>
      <c r="V85" s="67" t="str">
        <f t="shared" si="78"/>
        <v> </v>
      </c>
      <c r="W85" s="67" t="str">
        <f t="shared" si="79"/>
        <v> </v>
      </c>
      <c r="X85" s="114" t="str">
        <f t="shared" si="80"/>
        <v> </v>
      </c>
      <c r="Y85" s="114">
        <f t="shared" si="81"/>
        <v>3</v>
      </c>
      <c r="Z85" s="114" t="str">
        <f t="shared" si="82"/>
        <v> </v>
      </c>
      <c r="AA85" s="114" t="str">
        <f t="shared" si="83"/>
        <v> </v>
      </c>
      <c r="AB85" s="114" t="str">
        <f t="shared" si="84"/>
        <v> </v>
      </c>
      <c r="AC85" s="85"/>
      <c r="AG85" s="86"/>
    </row>
    <row r="86" ht="12.75" customHeight="1">
      <c r="A86" s="1"/>
      <c r="B86" s="115"/>
      <c r="C86" s="122" t="s">
        <v>68</v>
      </c>
      <c r="D86" s="117">
        <v>0.7</v>
      </c>
      <c r="E86" s="118">
        <v>3.0</v>
      </c>
      <c r="F86" s="119">
        <v>1.0</v>
      </c>
      <c r="G86" s="120">
        <f>'Start Here'!$F$23*D86</f>
        <v>70</v>
      </c>
      <c r="H86" s="67"/>
      <c r="I86" s="67"/>
      <c r="J86" s="67"/>
      <c r="K86" s="67"/>
      <c r="L86" s="113">
        <f t="shared" si="85"/>
        <v>3</v>
      </c>
      <c r="M86" s="113">
        <f t="shared" si="86"/>
        <v>210</v>
      </c>
      <c r="N86" s="67"/>
      <c r="O86" s="67"/>
      <c r="P86" s="67"/>
      <c r="Q86" s="67"/>
      <c r="R86" s="67"/>
      <c r="S86" s="67" t="str">
        <f t="shared" si="75"/>
        <v> </v>
      </c>
      <c r="T86" s="67" t="str">
        <f t="shared" si="76"/>
        <v> </v>
      </c>
      <c r="U86" s="67" t="str">
        <f t="shared" si="77"/>
        <v> </v>
      </c>
      <c r="V86" s="67" t="str">
        <f t="shared" si="78"/>
        <v> </v>
      </c>
      <c r="W86" s="67" t="str">
        <f t="shared" si="79"/>
        <v> </v>
      </c>
      <c r="X86" s="114" t="str">
        <f t="shared" si="80"/>
        <v> </v>
      </c>
      <c r="Y86" s="114" t="str">
        <f t="shared" si="81"/>
        <v> </v>
      </c>
      <c r="Z86" s="114">
        <f t="shared" si="82"/>
        <v>3</v>
      </c>
      <c r="AA86" s="114" t="str">
        <f t="shared" si="83"/>
        <v> </v>
      </c>
      <c r="AB86" s="114" t="str">
        <f t="shared" si="84"/>
        <v> </v>
      </c>
      <c r="AC86" s="85"/>
      <c r="AG86" s="86"/>
    </row>
    <row r="87" ht="12.75" customHeight="1">
      <c r="A87" s="1"/>
      <c r="B87" s="115"/>
      <c r="C87" s="122" t="s">
        <v>68</v>
      </c>
      <c r="D87" s="117">
        <v>0.75</v>
      </c>
      <c r="E87" s="118">
        <v>2.0</v>
      </c>
      <c r="F87" s="119">
        <v>5.0</v>
      </c>
      <c r="G87" s="120">
        <f>'Start Here'!$F$23*D87</f>
        <v>75</v>
      </c>
      <c r="H87" s="67"/>
      <c r="I87" s="67"/>
      <c r="J87" s="67"/>
      <c r="K87" s="67"/>
      <c r="L87" s="113">
        <f t="shared" si="85"/>
        <v>10</v>
      </c>
      <c r="M87" s="113">
        <f t="shared" si="86"/>
        <v>750</v>
      </c>
      <c r="N87" s="67"/>
      <c r="O87" s="67"/>
      <c r="P87" s="67"/>
      <c r="Q87" s="67"/>
      <c r="R87" s="67"/>
      <c r="S87" s="67" t="str">
        <f t="shared" si="75"/>
        <v> </v>
      </c>
      <c r="T87" s="67" t="str">
        <f t="shared" si="76"/>
        <v> </v>
      </c>
      <c r="U87" s="67" t="str">
        <f t="shared" si="77"/>
        <v> </v>
      </c>
      <c r="V87" s="67" t="str">
        <f t="shared" si="78"/>
        <v> </v>
      </c>
      <c r="W87" s="67" t="str">
        <f t="shared" si="79"/>
        <v> </v>
      </c>
      <c r="X87" s="114" t="str">
        <f t="shared" si="80"/>
        <v> </v>
      </c>
      <c r="Y87" s="114" t="str">
        <f t="shared" si="81"/>
        <v> </v>
      </c>
      <c r="Z87" s="114">
        <f t="shared" si="82"/>
        <v>10</v>
      </c>
      <c r="AA87" s="114" t="str">
        <f t="shared" si="83"/>
        <v> </v>
      </c>
      <c r="AB87" s="114" t="str">
        <f t="shared" si="84"/>
        <v> </v>
      </c>
      <c r="AC87" s="85"/>
      <c r="AG87" s="86"/>
    </row>
    <row r="88" ht="12.75" customHeight="1">
      <c r="A88" s="1"/>
      <c r="B88" s="96">
        <v>3.0</v>
      </c>
      <c r="C88" s="97" t="s">
        <v>69</v>
      </c>
      <c r="D88" s="98"/>
      <c r="E88" s="98">
        <v>6.0</v>
      </c>
      <c r="F88" s="98">
        <v>5.0</v>
      </c>
      <c r="G88" s="99"/>
      <c r="H88" s="67"/>
      <c r="I88" s="67"/>
      <c r="J88" s="67"/>
      <c r="K88" s="67"/>
      <c r="L88" s="67"/>
      <c r="M88" s="67"/>
      <c r="N88" s="67"/>
      <c r="O88" s="67"/>
      <c r="P88" s="67"/>
      <c r="Q88" s="67"/>
      <c r="R88" s="67"/>
      <c r="S88" s="67"/>
      <c r="T88" s="67"/>
      <c r="U88" s="67"/>
      <c r="V88" s="67"/>
      <c r="W88" s="67"/>
      <c r="X88" s="67"/>
      <c r="Y88" s="67"/>
      <c r="Z88" s="67"/>
      <c r="AA88" s="67"/>
      <c r="AB88" s="67"/>
      <c r="AC88" s="85"/>
      <c r="AG88" s="86"/>
    </row>
    <row r="89" ht="12.75" customHeight="1">
      <c r="A89" s="1"/>
      <c r="B89" s="135">
        <v>4.0</v>
      </c>
      <c r="C89" s="67" t="s">
        <v>70</v>
      </c>
      <c r="D89" s="68"/>
      <c r="E89" s="68">
        <v>6.0</v>
      </c>
      <c r="F89" s="68">
        <v>5.0</v>
      </c>
      <c r="G89" s="140"/>
      <c r="H89" s="67"/>
      <c r="I89" s="67"/>
      <c r="J89" s="67"/>
      <c r="K89" s="67"/>
      <c r="L89" s="67"/>
      <c r="M89" s="67"/>
      <c r="N89" s="67"/>
      <c r="O89" s="67"/>
      <c r="P89" s="67"/>
      <c r="Q89" s="67"/>
      <c r="R89" s="67"/>
      <c r="S89" s="67"/>
      <c r="T89" s="67"/>
      <c r="U89" s="67"/>
      <c r="V89" s="67"/>
      <c r="W89" s="67"/>
      <c r="X89" s="67"/>
      <c r="Y89" s="67"/>
      <c r="Z89" s="67"/>
      <c r="AA89" s="67"/>
      <c r="AB89" s="67"/>
      <c r="AC89" s="85"/>
      <c r="AG89" s="86"/>
    </row>
    <row r="90" ht="12.75" customHeight="1">
      <c r="A90" s="1"/>
      <c r="B90" s="135"/>
      <c r="C90" s="67" t="s">
        <v>71</v>
      </c>
      <c r="D90" s="68"/>
      <c r="E90" s="68"/>
      <c r="F90" s="68"/>
      <c r="G90" s="140"/>
      <c r="H90" s="67"/>
      <c r="I90" s="67"/>
      <c r="J90" s="67"/>
      <c r="K90" s="67"/>
      <c r="L90" s="67"/>
      <c r="M90" s="67"/>
      <c r="N90" s="67"/>
      <c r="O90" s="67"/>
      <c r="P90" s="67"/>
      <c r="Q90" s="67"/>
      <c r="R90" s="67"/>
      <c r="S90" s="67"/>
      <c r="T90" s="67"/>
      <c r="U90" s="67"/>
      <c r="V90" s="67"/>
      <c r="W90" s="67"/>
      <c r="X90" s="67"/>
      <c r="Y90" s="67"/>
      <c r="Z90" s="67"/>
      <c r="AA90" s="67"/>
      <c r="AB90" s="67"/>
      <c r="AC90" s="85"/>
      <c r="AG90" s="86"/>
    </row>
    <row r="91" ht="12.75" customHeight="1">
      <c r="A91" s="1"/>
      <c r="B91" s="100">
        <v>5.0</v>
      </c>
      <c r="C91" s="101" t="s">
        <v>48</v>
      </c>
      <c r="D91" s="102"/>
      <c r="E91" s="102">
        <v>8.0</v>
      </c>
      <c r="F91" s="102">
        <v>4.0</v>
      </c>
      <c r="G91" s="103"/>
      <c r="H91" s="67"/>
      <c r="I91" s="67"/>
      <c r="J91" s="67"/>
      <c r="K91" s="67"/>
      <c r="L91" s="67"/>
      <c r="M91" s="67"/>
      <c r="N91" s="67"/>
      <c r="O91" s="67"/>
      <c r="P91" s="67"/>
      <c r="Q91" s="67"/>
      <c r="R91" s="67"/>
      <c r="S91" s="67"/>
      <c r="T91" s="67"/>
      <c r="U91" s="67"/>
      <c r="V91" s="67"/>
      <c r="W91" s="67"/>
      <c r="X91" s="67"/>
      <c r="Y91" s="67"/>
      <c r="Z91" s="67"/>
      <c r="AA91" s="67"/>
      <c r="AB91" s="67"/>
      <c r="AC91" s="104"/>
      <c r="AD91" s="105"/>
      <c r="AE91" s="105"/>
      <c r="AF91" s="105"/>
      <c r="AG91" s="106"/>
    </row>
    <row r="92" ht="12.75" customHeight="1">
      <c r="A92" s="1"/>
      <c r="B92" s="67"/>
      <c r="C92" s="67"/>
      <c r="D92" s="68"/>
      <c r="E92" s="68"/>
      <c r="F92" s="68"/>
      <c r="G92" s="68"/>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row>
    <row r="93" ht="36.75" customHeight="1">
      <c r="A93" s="1"/>
      <c r="B93" s="68" t="s">
        <v>54</v>
      </c>
      <c r="D93" s="68" t="s">
        <v>34</v>
      </c>
      <c r="E93" s="68" t="s">
        <v>35</v>
      </c>
      <c r="F93" s="68" t="s">
        <v>36</v>
      </c>
      <c r="G93" s="68" t="s">
        <v>37</v>
      </c>
      <c r="H93" s="67"/>
      <c r="I93" s="67"/>
      <c r="J93" s="67"/>
      <c r="K93" s="67"/>
      <c r="L93" s="67"/>
      <c r="M93" s="67"/>
      <c r="N93" s="67"/>
      <c r="O93" s="67"/>
      <c r="P93" s="67"/>
      <c r="Q93" s="67"/>
      <c r="R93" s="67"/>
      <c r="S93" s="67"/>
      <c r="T93" s="67"/>
      <c r="U93" s="67"/>
      <c r="V93" s="67"/>
      <c r="W93" s="67"/>
      <c r="X93" s="67"/>
      <c r="Y93" s="67"/>
      <c r="Z93" s="67"/>
      <c r="AA93" s="67"/>
      <c r="AB93" s="67"/>
      <c r="AC93" s="67" t="s">
        <v>43</v>
      </c>
      <c r="AD93" s="67"/>
      <c r="AE93" s="67"/>
      <c r="AF93" s="67"/>
      <c r="AG93" s="67"/>
    </row>
    <row r="94" ht="12.75" customHeight="1">
      <c r="A94" s="1"/>
      <c r="B94" s="69">
        <v>1.0</v>
      </c>
      <c r="C94" s="70" t="s">
        <v>44</v>
      </c>
      <c r="D94" s="71">
        <v>0.3</v>
      </c>
      <c r="E94" s="145">
        <v>4.0</v>
      </c>
      <c r="F94" s="72">
        <v>1.0</v>
      </c>
      <c r="G94" s="73">
        <f>'Start Here'!$F$21*D94</f>
        <v>30</v>
      </c>
      <c r="H94" s="74">
        <f t="shared" ref="H94:H96" si="87">E94*F94</f>
        <v>4</v>
      </c>
      <c r="I94" s="75">
        <f t="shared" ref="I94:I96" si="88">G94*H94</f>
        <v>120</v>
      </c>
      <c r="J94" s="67"/>
      <c r="K94" s="67"/>
      <c r="L94" s="67"/>
      <c r="M94" s="67"/>
      <c r="N94" s="75" t="str">
        <f t="shared" ref="N94:N101" si="89">IF(ISNUMBER(SEARCH("squat",$C94)),IF($D94&gt;=0.5,IF($D94&lt;0.6,$E94*$F94," ")," ")," ")</f>
        <v> </v>
      </c>
      <c r="O94" s="75" t="str">
        <f t="shared" ref="O94:O101" si="90">IF(ISNUMBER(SEARCH("squat",$C94)),IF($D94&gt;=0.6,IF($D94&lt;0.7,$E94*$F94," ")," ")," ")</f>
        <v> </v>
      </c>
      <c r="P94" s="75" t="str">
        <f t="shared" ref="P94:P101" si="91">IF(ISNUMBER(SEARCH("squat",$C94)),IF($D94&gt;=0.7,IF($D94&lt;0.8,$E94*$F94," ")," ")," ")</f>
        <v> </v>
      </c>
      <c r="Q94" s="75" t="str">
        <f t="shared" ref="Q94:Q101" si="92">IF(ISNUMBER(SEARCH("squat",$C94)),IF($D94&gt;=0.8,IF($D94&lt;0.9,$E94*$F94," ")," ")," ")</f>
        <v> </v>
      </c>
      <c r="R94" s="75" t="str">
        <f t="shared" ref="R94:R101" si="93">IF(ISNUMBER(SEARCH("squat",$C94)),IF($D94&gt;=0.9,$E94*$F94," ")," ")</f>
        <v> </v>
      </c>
      <c r="S94" s="67" t="str">
        <f t="shared" ref="S94:S101" si="94">IF(ISNUMBER(SEARCH("bench",$C94)),IF($D94&gt;=0.5,IF($D94&lt;0.6,$E94*$F94," ")," ")," ")</f>
        <v> </v>
      </c>
      <c r="T94" s="67" t="str">
        <f t="shared" ref="T94:T101" si="95">IF(ISNUMBER(SEARCH("bench",$C94)),IF($D94&gt;=0.6,IF($D94&lt;0.7,$E94*$F94," ")," ")," ")</f>
        <v> </v>
      </c>
      <c r="U94" s="67" t="str">
        <f t="shared" ref="U94:U101" si="96">IF(ISNUMBER(SEARCH("bench",$C94)),IF($D94&gt;=0.7,IF($D94&lt;0.8,$E94*$F94," ")," ")," ")</f>
        <v> </v>
      </c>
      <c r="V94" s="67" t="str">
        <f t="shared" ref="V94:V101" si="97">IF(ISNUMBER(SEARCH("bench",$C94)),IF($D94&gt;=0.8,IF($D94&lt;0.9,$E94*$F94," ")," ")," ")</f>
        <v> </v>
      </c>
      <c r="W94" s="67" t="str">
        <f t="shared" ref="W94:W101" si="98">IF(ISNUMBER(SEARCH("bench",$C94)),IF($D94&gt;=0.9,$E94*$F94," ")," ")</f>
        <v> </v>
      </c>
      <c r="X94" s="67"/>
      <c r="Y94" s="67"/>
      <c r="Z94" s="67"/>
      <c r="AA94" s="67"/>
      <c r="AB94" s="67"/>
      <c r="AC94" s="76"/>
      <c r="AD94" s="77"/>
      <c r="AE94" s="77"/>
      <c r="AF94" s="77"/>
      <c r="AG94" s="78"/>
    </row>
    <row r="95" ht="12.75" customHeight="1">
      <c r="A95" s="1"/>
      <c r="B95" s="79"/>
      <c r="C95" s="80" t="s">
        <v>44</v>
      </c>
      <c r="D95" s="81">
        <v>0.4</v>
      </c>
      <c r="E95" s="82">
        <v>4.0</v>
      </c>
      <c r="F95" s="83">
        <v>1.0</v>
      </c>
      <c r="G95" s="84">
        <f>'Start Here'!$F$21*D95</f>
        <v>40</v>
      </c>
      <c r="H95" s="74">
        <f t="shared" si="87"/>
        <v>4</v>
      </c>
      <c r="I95" s="75">
        <f t="shared" si="88"/>
        <v>160</v>
      </c>
      <c r="J95" s="67"/>
      <c r="K95" s="67"/>
      <c r="L95" s="67"/>
      <c r="M95" s="67"/>
      <c r="N95" s="75" t="str">
        <f t="shared" si="89"/>
        <v> </v>
      </c>
      <c r="O95" s="75" t="str">
        <f t="shared" si="90"/>
        <v> </v>
      </c>
      <c r="P95" s="75" t="str">
        <f t="shared" si="91"/>
        <v> </v>
      </c>
      <c r="Q95" s="75" t="str">
        <f t="shared" si="92"/>
        <v> </v>
      </c>
      <c r="R95" s="75" t="str">
        <f t="shared" si="93"/>
        <v> </v>
      </c>
      <c r="S95" s="67" t="str">
        <f t="shared" si="94"/>
        <v> </v>
      </c>
      <c r="T95" s="67" t="str">
        <f t="shared" si="95"/>
        <v> </v>
      </c>
      <c r="U95" s="67" t="str">
        <f t="shared" si="96"/>
        <v> </v>
      </c>
      <c r="V95" s="67" t="str">
        <f t="shared" si="97"/>
        <v> </v>
      </c>
      <c r="W95" s="67" t="str">
        <f t="shared" si="98"/>
        <v> </v>
      </c>
      <c r="X95" s="67"/>
      <c r="Y95" s="67"/>
      <c r="Z95" s="67"/>
      <c r="AA95" s="67"/>
      <c r="AB95" s="67"/>
      <c r="AC95" s="85"/>
      <c r="AG95" s="86"/>
    </row>
    <row r="96" ht="12.75" customHeight="1">
      <c r="A96" s="1"/>
      <c r="B96" s="79"/>
      <c r="C96" s="80" t="s">
        <v>44</v>
      </c>
      <c r="D96" s="81">
        <v>0.5</v>
      </c>
      <c r="E96" s="82">
        <v>4.0</v>
      </c>
      <c r="F96" s="83">
        <v>4.0</v>
      </c>
      <c r="G96" s="84">
        <f>'Start Here'!$F$21*D96</f>
        <v>50</v>
      </c>
      <c r="H96" s="74">
        <f t="shared" si="87"/>
        <v>16</v>
      </c>
      <c r="I96" s="75">
        <f t="shared" si="88"/>
        <v>800</v>
      </c>
      <c r="J96" s="67"/>
      <c r="K96" s="67"/>
      <c r="L96" s="67"/>
      <c r="M96" s="67"/>
      <c r="N96" s="75">
        <f t="shared" si="89"/>
        <v>16</v>
      </c>
      <c r="O96" s="75" t="str">
        <f t="shared" si="90"/>
        <v> </v>
      </c>
      <c r="P96" s="75" t="str">
        <f t="shared" si="91"/>
        <v> </v>
      </c>
      <c r="Q96" s="75" t="str">
        <f t="shared" si="92"/>
        <v> </v>
      </c>
      <c r="R96" s="75" t="str">
        <f t="shared" si="93"/>
        <v> </v>
      </c>
      <c r="S96" s="67" t="str">
        <f t="shared" si="94"/>
        <v> </v>
      </c>
      <c r="T96" s="67" t="str">
        <f t="shared" si="95"/>
        <v> </v>
      </c>
      <c r="U96" s="67" t="str">
        <f t="shared" si="96"/>
        <v> </v>
      </c>
      <c r="V96" s="67" t="str">
        <f t="shared" si="97"/>
        <v> </v>
      </c>
      <c r="W96" s="67" t="str">
        <f t="shared" si="98"/>
        <v> </v>
      </c>
      <c r="X96" s="67"/>
      <c r="Y96" s="67"/>
      <c r="Z96" s="67"/>
      <c r="AA96" s="67"/>
      <c r="AB96" s="67"/>
      <c r="AC96" s="85"/>
      <c r="AG96" s="86"/>
    </row>
    <row r="97" ht="12.75" customHeight="1">
      <c r="A97" s="1"/>
      <c r="B97" s="87">
        <v>2.0</v>
      </c>
      <c r="C97" s="88" t="s">
        <v>56</v>
      </c>
      <c r="D97" s="89">
        <v>0.6</v>
      </c>
      <c r="E97" s="90">
        <v>3.0</v>
      </c>
      <c r="F97" s="91">
        <v>1.0</v>
      </c>
      <c r="G97" s="92">
        <f>'Start Here'!$F$22*D97</f>
        <v>60</v>
      </c>
      <c r="H97" s="67"/>
      <c r="I97" s="67"/>
      <c r="J97" s="93">
        <f t="shared" ref="J97:J101" si="99">E97*F97</f>
        <v>3</v>
      </c>
      <c r="K97" s="93">
        <f t="shared" ref="K97:K101" si="100">G97*J97</f>
        <v>180</v>
      </c>
      <c r="L97" s="67"/>
      <c r="M97" s="67"/>
      <c r="N97" s="67" t="str">
        <f t="shared" si="89"/>
        <v> </v>
      </c>
      <c r="O97" s="67" t="str">
        <f t="shared" si="90"/>
        <v> </v>
      </c>
      <c r="P97" s="67" t="str">
        <f t="shared" si="91"/>
        <v> </v>
      </c>
      <c r="Q97" s="67" t="str">
        <f t="shared" si="92"/>
        <v> </v>
      </c>
      <c r="R97" s="67" t="str">
        <f t="shared" si="93"/>
        <v> </v>
      </c>
      <c r="S97" s="93" t="str">
        <f t="shared" si="94"/>
        <v> </v>
      </c>
      <c r="T97" s="93">
        <f t="shared" si="95"/>
        <v>3</v>
      </c>
      <c r="U97" s="93" t="str">
        <f t="shared" si="96"/>
        <v> </v>
      </c>
      <c r="V97" s="93" t="str">
        <f t="shared" si="97"/>
        <v> </v>
      </c>
      <c r="W97" s="93" t="str">
        <f t="shared" si="98"/>
        <v> </v>
      </c>
      <c r="X97" s="67"/>
      <c r="Y97" s="67"/>
      <c r="Z97" s="67"/>
      <c r="AA97" s="67"/>
      <c r="AB97" s="67"/>
      <c r="AC97" s="85"/>
      <c r="AG97" s="86"/>
    </row>
    <row r="98" ht="12.75" customHeight="1">
      <c r="A98" s="1"/>
      <c r="B98" s="87"/>
      <c r="C98" s="94" t="s">
        <v>56</v>
      </c>
      <c r="D98" s="89">
        <v>0.7</v>
      </c>
      <c r="E98" s="90">
        <v>3.0</v>
      </c>
      <c r="F98" s="91">
        <v>1.0</v>
      </c>
      <c r="G98" s="92">
        <f>'Start Here'!$F$22*D98</f>
        <v>70</v>
      </c>
      <c r="H98" s="67"/>
      <c r="I98" s="67"/>
      <c r="J98" s="93">
        <f t="shared" si="99"/>
        <v>3</v>
      </c>
      <c r="K98" s="93">
        <f t="shared" si="100"/>
        <v>210</v>
      </c>
      <c r="L98" s="67"/>
      <c r="M98" s="67"/>
      <c r="N98" s="67" t="str">
        <f t="shared" si="89"/>
        <v> </v>
      </c>
      <c r="O98" s="67" t="str">
        <f t="shared" si="90"/>
        <v> </v>
      </c>
      <c r="P98" s="67" t="str">
        <f t="shared" si="91"/>
        <v> </v>
      </c>
      <c r="Q98" s="67" t="str">
        <f t="shared" si="92"/>
        <v> </v>
      </c>
      <c r="R98" s="67" t="str">
        <f t="shared" si="93"/>
        <v> </v>
      </c>
      <c r="S98" s="93" t="str">
        <f t="shared" si="94"/>
        <v> </v>
      </c>
      <c r="T98" s="93" t="str">
        <f t="shared" si="95"/>
        <v> </v>
      </c>
      <c r="U98" s="93">
        <f t="shared" si="96"/>
        <v>3</v>
      </c>
      <c r="V98" s="93" t="str">
        <f t="shared" si="97"/>
        <v> </v>
      </c>
      <c r="W98" s="93" t="str">
        <f t="shared" si="98"/>
        <v> </v>
      </c>
      <c r="X98" s="67"/>
      <c r="Y98" s="67"/>
      <c r="Z98" s="67"/>
      <c r="AA98" s="67"/>
      <c r="AB98" s="67"/>
      <c r="AC98" s="85"/>
      <c r="AG98" s="86"/>
    </row>
    <row r="99" ht="12.75" customHeight="1">
      <c r="A99" s="1"/>
      <c r="B99" s="87"/>
      <c r="C99" s="94" t="s">
        <v>56</v>
      </c>
      <c r="D99" s="89">
        <v>0.8</v>
      </c>
      <c r="E99" s="90">
        <v>3.0</v>
      </c>
      <c r="F99" s="91">
        <v>1.0</v>
      </c>
      <c r="G99" s="92">
        <f>'Start Here'!$F$22*D99</f>
        <v>80</v>
      </c>
      <c r="H99" s="67"/>
      <c r="I99" s="67"/>
      <c r="J99" s="93">
        <f t="shared" si="99"/>
        <v>3</v>
      </c>
      <c r="K99" s="93">
        <f t="shared" si="100"/>
        <v>240</v>
      </c>
      <c r="L99" s="67"/>
      <c r="M99" s="67"/>
      <c r="N99" s="67" t="str">
        <f t="shared" si="89"/>
        <v> </v>
      </c>
      <c r="O99" s="67" t="str">
        <f t="shared" si="90"/>
        <v> </v>
      </c>
      <c r="P99" s="67" t="str">
        <f t="shared" si="91"/>
        <v> </v>
      </c>
      <c r="Q99" s="67" t="str">
        <f t="shared" si="92"/>
        <v> </v>
      </c>
      <c r="R99" s="67" t="str">
        <f t="shared" si="93"/>
        <v> </v>
      </c>
      <c r="S99" s="93" t="str">
        <f t="shared" si="94"/>
        <v> </v>
      </c>
      <c r="T99" s="93" t="str">
        <f t="shared" si="95"/>
        <v> </v>
      </c>
      <c r="U99" s="93" t="str">
        <f t="shared" si="96"/>
        <v> </v>
      </c>
      <c r="V99" s="93">
        <f t="shared" si="97"/>
        <v>3</v>
      </c>
      <c r="W99" s="93" t="str">
        <f t="shared" si="98"/>
        <v> </v>
      </c>
      <c r="X99" s="67"/>
      <c r="Y99" s="67"/>
      <c r="Z99" s="67"/>
      <c r="AA99" s="67"/>
      <c r="AB99" s="67"/>
      <c r="AC99" s="85"/>
      <c r="AG99" s="86"/>
    </row>
    <row r="100" ht="12.75" customHeight="1">
      <c r="A100" s="1"/>
      <c r="B100" s="87"/>
      <c r="C100" s="94" t="s">
        <v>56</v>
      </c>
      <c r="D100" s="89">
        <v>0.85</v>
      </c>
      <c r="E100" s="90">
        <v>2.0</v>
      </c>
      <c r="F100" s="91">
        <v>2.0</v>
      </c>
      <c r="G100" s="92">
        <f>'Start Here'!$F$22*D100</f>
        <v>85</v>
      </c>
      <c r="H100" s="67"/>
      <c r="I100" s="67"/>
      <c r="J100" s="93">
        <f t="shared" si="99"/>
        <v>4</v>
      </c>
      <c r="K100" s="93">
        <f t="shared" si="100"/>
        <v>340</v>
      </c>
      <c r="L100" s="67"/>
      <c r="M100" s="67"/>
      <c r="N100" s="67" t="str">
        <f t="shared" si="89"/>
        <v> </v>
      </c>
      <c r="O100" s="67" t="str">
        <f t="shared" si="90"/>
        <v> </v>
      </c>
      <c r="P100" s="67" t="str">
        <f t="shared" si="91"/>
        <v> </v>
      </c>
      <c r="Q100" s="67" t="str">
        <f t="shared" si="92"/>
        <v> </v>
      </c>
      <c r="R100" s="67" t="str">
        <f t="shared" si="93"/>
        <v> </v>
      </c>
      <c r="S100" s="93" t="str">
        <f t="shared" si="94"/>
        <v> </v>
      </c>
      <c r="T100" s="93" t="str">
        <f t="shared" si="95"/>
        <v> </v>
      </c>
      <c r="U100" s="93" t="str">
        <f t="shared" si="96"/>
        <v> </v>
      </c>
      <c r="V100" s="93">
        <f t="shared" si="97"/>
        <v>4</v>
      </c>
      <c r="W100" s="93" t="str">
        <f t="shared" si="98"/>
        <v> </v>
      </c>
      <c r="X100" s="67"/>
      <c r="Y100" s="67"/>
      <c r="Z100" s="67"/>
      <c r="AA100" s="67"/>
      <c r="AB100" s="67"/>
      <c r="AC100" s="85"/>
      <c r="AG100" s="86"/>
    </row>
    <row r="101" ht="12.75" customHeight="1">
      <c r="A101" s="1"/>
      <c r="B101" s="87"/>
      <c r="C101" s="94" t="s">
        <v>56</v>
      </c>
      <c r="D101" s="89">
        <v>0.9</v>
      </c>
      <c r="E101" s="90">
        <v>1.0</v>
      </c>
      <c r="F101" s="91">
        <v>3.0</v>
      </c>
      <c r="G101" s="92">
        <f>'Start Here'!$F$22*D101</f>
        <v>90</v>
      </c>
      <c r="H101" s="67"/>
      <c r="I101" s="67"/>
      <c r="J101" s="93">
        <f t="shared" si="99"/>
        <v>3</v>
      </c>
      <c r="K101" s="93">
        <f t="shared" si="100"/>
        <v>270</v>
      </c>
      <c r="L101" s="67"/>
      <c r="M101" s="67"/>
      <c r="N101" s="67" t="str">
        <f t="shared" si="89"/>
        <v> </v>
      </c>
      <c r="O101" s="67" t="str">
        <f t="shared" si="90"/>
        <v> </v>
      </c>
      <c r="P101" s="67" t="str">
        <f t="shared" si="91"/>
        <v> </v>
      </c>
      <c r="Q101" s="67" t="str">
        <f t="shared" si="92"/>
        <v> </v>
      </c>
      <c r="R101" s="67" t="str">
        <f t="shared" si="93"/>
        <v> </v>
      </c>
      <c r="S101" s="93" t="str">
        <f t="shared" si="94"/>
        <v> </v>
      </c>
      <c r="T101" s="93" t="str">
        <f t="shared" si="95"/>
        <v> </v>
      </c>
      <c r="U101" s="93" t="str">
        <f t="shared" si="96"/>
        <v> </v>
      </c>
      <c r="V101" s="93" t="str">
        <f t="shared" si="97"/>
        <v> </v>
      </c>
      <c r="W101" s="93">
        <f t="shared" si="98"/>
        <v>3</v>
      </c>
      <c r="X101" s="67"/>
      <c r="Y101" s="67"/>
      <c r="Z101" s="67"/>
      <c r="AA101" s="67"/>
      <c r="AB101" s="67"/>
      <c r="AC101" s="85"/>
      <c r="AG101" s="86"/>
    </row>
    <row r="102" ht="12.75" customHeight="1">
      <c r="A102" s="1"/>
      <c r="B102" s="96">
        <v>3.0</v>
      </c>
      <c r="C102" s="97" t="s">
        <v>72</v>
      </c>
      <c r="D102" s="98"/>
      <c r="E102" s="98">
        <v>6.0</v>
      </c>
      <c r="F102" s="98">
        <v>5.0</v>
      </c>
      <c r="G102" s="99"/>
      <c r="H102" s="67"/>
      <c r="I102" s="67"/>
      <c r="J102" s="67"/>
      <c r="K102" s="67"/>
      <c r="L102" s="67"/>
      <c r="M102" s="67"/>
      <c r="N102" s="67"/>
      <c r="O102" s="67"/>
      <c r="P102" s="67"/>
      <c r="Q102" s="67"/>
      <c r="R102" s="67"/>
      <c r="S102" s="67"/>
      <c r="T102" s="67"/>
      <c r="U102" s="67"/>
      <c r="V102" s="67"/>
      <c r="W102" s="67"/>
      <c r="X102" s="67"/>
      <c r="Y102" s="67"/>
      <c r="Z102" s="67"/>
      <c r="AA102" s="67"/>
      <c r="AB102" s="67"/>
      <c r="AC102" s="85"/>
      <c r="AG102" s="86"/>
    </row>
    <row r="103" ht="12.75" customHeight="1">
      <c r="A103" s="1"/>
      <c r="B103" s="135">
        <v>4.0</v>
      </c>
      <c r="C103" s="67" t="s">
        <v>52</v>
      </c>
      <c r="D103" s="68"/>
      <c r="E103" s="68">
        <v>8.0</v>
      </c>
      <c r="F103" s="68">
        <v>4.0</v>
      </c>
      <c r="G103" s="140"/>
      <c r="H103" s="67"/>
      <c r="I103" s="67"/>
      <c r="J103" s="67"/>
      <c r="K103" s="67"/>
      <c r="L103" s="67"/>
      <c r="M103" s="67"/>
      <c r="N103" s="67"/>
      <c r="O103" s="67"/>
      <c r="P103" s="67"/>
      <c r="Q103" s="67"/>
      <c r="R103" s="67"/>
      <c r="S103" s="67"/>
      <c r="T103" s="67"/>
      <c r="U103" s="67"/>
      <c r="V103" s="67"/>
      <c r="W103" s="67"/>
      <c r="X103" s="67"/>
      <c r="Y103" s="67"/>
      <c r="Z103" s="67"/>
      <c r="AA103" s="67"/>
      <c r="AB103" s="67"/>
      <c r="AC103" s="85"/>
      <c r="AG103" s="86"/>
    </row>
    <row r="104" ht="12.75" customHeight="1">
      <c r="A104" s="1"/>
      <c r="B104" s="100">
        <v>5.0</v>
      </c>
      <c r="C104" s="101" t="s">
        <v>53</v>
      </c>
      <c r="D104" s="102"/>
      <c r="E104" s="102">
        <v>5.0</v>
      </c>
      <c r="F104" s="102">
        <v>5.0</v>
      </c>
      <c r="G104" s="103"/>
      <c r="H104" s="67"/>
      <c r="I104" s="67"/>
      <c r="J104" s="67"/>
      <c r="K104" s="67"/>
      <c r="L104" s="67"/>
      <c r="M104" s="67"/>
      <c r="N104" s="67"/>
      <c r="O104" s="67"/>
      <c r="P104" s="67"/>
      <c r="Q104" s="67"/>
      <c r="R104" s="67"/>
      <c r="S104" s="67"/>
      <c r="T104" s="67"/>
      <c r="U104" s="67"/>
      <c r="V104" s="67"/>
      <c r="W104" s="67"/>
      <c r="X104" s="67"/>
      <c r="Y104" s="67"/>
      <c r="Z104" s="67"/>
      <c r="AA104" s="67"/>
      <c r="AB104" s="67"/>
      <c r="AC104" s="104"/>
      <c r="AD104" s="105"/>
      <c r="AE104" s="105"/>
      <c r="AF104" s="105"/>
      <c r="AG104" s="106"/>
    </row>
    <row r="105" ht="12.75" customHeight="1">
      <c r="A105" s="1"/>
      <c r="B105" s="67"/>
      <c r="C105" s="67"/>
      <c r="D105" s="68"/>
      <c r="E105" s="68"/>
      <c r="F105" s="68"/>
      <c r="G105" s="68"/>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row>
    <row r="106" ht="36.75" customHeight="1">
      <c r="A106" s="1"/>
      <c r="B106" s="68" t="s">
        <v>58</v>
      </c>
      <c r="D106" s="68" t="s">
        <v>34</v>
      </c>
      <c r="E106" s="68" t="s">
        <v>35</v>
      </c>
      <c r="F106" s="68" t="s">
        <v>36</v>
      </c>
      <c r="G106" s="68" t="s">
        <v>37</v>
      </c>
      <c r="H106" s="67"/>
      <c r="I106" s="67"/>
      <c r="J106" s="67"/>
      <c r="K106" s="67"/>
      <c r="L106" s="67"/>
      <c r="M106" s="67"/>
      <c r="N106" s="67"/>
      <c r="O106" s="67"/>
      <c r="P106" s="67"/>
      <c r="Q106" s="67"/>
      <c r="R106" s="67"/>
      <c r="S106" s="67"/>
      <c r="T106" s="67"/>
      <c r="U106" s="67"/>
      <c r="V106" s="67"/>
      <c r="W106" s="67"/>
      <c r="X106" s="67"/>
      <c r="Y106" s="67"/>
      <c r="Z106" s="67"/>
      <c r="AA106" s="67"/>
      <c r="AB106" s="67"/>
      <c r="AC106" s="67" t="s">
        <v>43</v>
      </c>
      <c r="AD106" s="67"/>
      <c r="AE106" s="67"/>
      <c r="AF106" s="67"/>
      <c r="AG106" s="67"/>
    </row>
    <row r="107" ht="12.75" customHeight="1">
      <c r="A107" s="1"/>
      <c r="B107" s="123">
        <v>1.0</v>
      </c>
      <c r="C107" s="124" t="s">
        <v>73</v>
      </c>
      <c r="D107" s="125">
        <v>0.5</v>
      </c>
      <c r="E107" s="127">
        <v>4.0</v>
      </c>
      <c r="F107" s="127">
        <v>1.0</v>
      </c>
      <c r="G107" s="128">
        <f>'Start Here'!$F$22*D107</f>
        <v>50</v>
      </c>
      <c r="H107" s="67"/>
      <c r="I107" s="67"/>
      <c r="J107" s="93">
        <f t="shared" ref="J107:J109" si="101">E107*F107</f>
        <v>4</v>
      </c>
      <c r="K107" s="93">
        <f t="shared" ref="K107:K109" si="102">G107*J107</f>
        <v>200</v>
      </c>
      <c r="L107" s="67"/>
      <c r="M107" s="67"/>
      <c r="N107" s="67"/>
      <c r="O107" s="67"/>
      <c r="P107" s="67"/>
      <c r="Q107" s="67"/>
      <c r="R107" s="67"/>
      <c r="S107" s="93">
        <f t="shared" ref="S107:S113" si="103">IF(ISNUMBER(SEARCH("bench",$C107)),IF($D107&gt;=0.5,IF($D107&lt;0.6,$E107*$F107," ")," ")," ")</f>
        <v>4</v>
      </c>
      <c r="T107" s="93" t="str">
        <f t="shared" ref="T107:T113" si="104">IF(ISNUMBER(SEARCH("bench",$C107)),IF($D107&gt;=0.6,IF($D107&lt;0.7,$E107*$F107," ")," ")," ")</f>
        <v> </v>
      </c>
      <c r="U107" s="93" t="str">
        <f t="shared" ref="U107:U113" si="105">IF(ISNUMBER(SEARCH("bench",$C107)),IF($D107&gt;=0.7,IF($D107&lt;0.8,$E107*$F107," ")," ")," ")</f>
        <v> </v>
      </c>
      <c r="V107" s="93" t="str">
        <f t="shared" ref="V107:V113" si="106">IF(ISNUMBER(SEARCH("bench",$C107)),IF($D107&gt;=0.8,IF($D107&lt;0.9,$E107*$F107," ")," ")," ")</f>
        <v> </v>
      </c>
      <c r="W107" s="93" t="str">
        <f t="shared" ref="W107:W113" si="107">IF(ISNUMBER(SEARCH("bench",$C107)),IF($D107&gt;=0.9,$E107*$F107," ")," ")</f>
        <v> </v>
      </c>
      <c r="X107" s="67" t="str">
        <f t="shared" ref="X107:X113" si="108">IF(ISNUMBER(SEARCH("deadlift",$C107)),IF($D107&gt;=0.5,IF($D107&lt;0.6,$E107*$F107," ")," ")," ")</f>
        <v> </v>
      </c>
      <c r="Y107" s="67" t="str">
        <f t="shared" ref="Y107:Y113" si="109">IF(ISNUMBER(SEARCH("deadlift",$C107)),IF($D107&gt;=0.6,IF($D107&lt;0.7,$E107*$F107," ")," ")," ")</f>
        <v> </v>
      </c>
      <c r="Z107" s="67" t="str">
        <f t="shared" ref="Z107:Z113" si="110">IF(ISNUMBER(SEARCH("deadlift",$C107)),IF($D107&gt;=0.7,IF($D107&lt;0.8,$E107*$F107," ")," ")," ")</f>
        <v> </v>
      </c>
      <c r="AA107" s="67" t="str">
        <f t="shared" ref="AA107:AA113" si="111">IF(ISNUMBER(SEARCH("deadlift",$C107)),IF($D107&gt;=0.8,IF($D107&lt;0.9,$E107*$F107," ")," ")," ")</f>
        <v> </v>
      </c>
      <c r="AB107" s="67" t="str">
        <f t="shared" ref="AB107:AB113" si="112">IF(ISNUMBER(SEARCH("deadlift",$C107)),IF($D107&gt;=0.9,$E107*$F107," ")," ")</f>
        <v> </v>
      </c>
      <c r="AC107" s="76"/>
      <c r="AD107" s="77"/>
      <c r="AE107" s="77"/>
      <c r="AF107" s="77"/>
      <c r="AG107" s="78"/>
    </row>
    <row r="108" ht="12.75" customHeight="1">
      <c r="A108" s="1"/>
      <c r="B108" s="87"/>
      <c r="C108" s="94" t="s">
        <v>73</v>
      </c>
      <c r="D108" s="89">
        <v>0.6</v>
      </c>
      <c r="E108" s="91">
        <v>3.0</v>
      </c>
      <c r="F108" s="91">
        <v>1.0</v>
      </c>
      <c r="G108" s="92">
        <f>'Start Here'!$F$22*D108</f>
        <v>60</v>
      </c>
      <c r="H108" s="67"/>
      <c r="I108" s="67"/>
      <c r="J108" s="93">
        <f t="shared" si="101"/>
        <v>3</v>
      </c>
      <c r="K108" s="93">
        <f t="shared" si="102"/>
        <v>180</v>
      </c>
      <c r="L108" s="67"/>
      <c r="M108" s="67"/>
      <c r="N108" s="67"/>
      <c r="O108" s="67"/>
      <c r="P108" s="67"/>
      <c r="Q108" s="67"/>
      <c r="R108" s="67"/>
      <c r="S108" s="93" t="str">
        <f t="shared" si="103"/>
        <v> </v>
      </c>
      <c r="T108" s="93">
        <f t="shared" si="104"/>
        <v>3</v>
      </c>
      <c r="U108" s="93" t="str">
        <f t="shared" si="105"/>
        <v> </v>
      </c>
      <c r="V108" s="93" t="str">
        <f t="shared" si="106"/>
        <v> </v>
      </c>
      <c r="W108" s="93" t="str">
        <f t="shared" si="107"/>
        <v> </v>
      </c>
      <c r="X108" s="67" t="str">
        <f t="shared" si="108"/>
        <v> </v>
      </c>
      <c r="Y108" s="67" t="str">
        <f t="shared" si="109"/>
        <v> </v>
      </c>
      <c r="Z108" s="67" t="str">
        <f t="shared" si="110"/>
        <v> </v>
      </c>
      <c r="AA108" s="67" t="str">
        <f t="shared" si="111"/>
        <v> </v>
      </c>
      <c r="AB108" s="67" t="str">
        <f t="shared" si="112"/>
        <v> </v>
      </c>
      <c r="AC108" s="85"/>
      <c r="AG108" s="86"/>
    </row>
    <row r="109" ht="12.75" customHeight="1">
      <c r="A109" s="1"/>
      <c r="B109" s="87"/>
      <c r="C109" s="94" t="s">
        <v>73</v>
      </c>
      <c r="D109" s="89">
        <v>0.65</v>
      </c>
      <c r="E109" s="91">
        <v>3.0</v>
      </c>
      <c r="F109" s="91">
        <v>4.0</v>
      </c>
      <c r="G109" s="92">
        <f>'Start Here'!$F$22*D109</f>
        <v>65</v>
      </c>
      <c r="H109" s="67"/>
      <c r="I109" s="67"/>
      <c r="J109" s="93">
        <f t="shared" si="101"/>
        <v>12</v>
      </c>
      <c r="K109" s="93">
        <f t="shared" si="102"/>
        <v>780</v>
      </c>
      <c r="L109" s="67"/>
      <c r="M109" s="67"/>
      <c r="N109" s="67"/>
      <c r="O109" s="67"/>
      <c r="P109" s="67"/>
      <c r="Q109" s="67"/>
      <c r="R109" s="67"/>
      <c r="S109" s="93" t="str">
        <f t="shared" si="103"/>
        <v> </v>
      </c>
      <c r="T109" s="93">
        <f t="shared" si="104"/>
        <v>12</v>
      </c>
      <c r="U109" s="93" t="str">
        <f t="shared" si="105"/>
        <v> </v>
      </c>
      <c r="V109" s="93" t="str">
        <f t="shared" si="106"/>
        <v> </v>
      </c>
      <c r="W109" s="93" t="str">
        <f t="shared" si="107"/>
        <v> </v>
      </c>
      <c r="X109" s="67" t="str">
        <f t="shared" si="108"/>
        <v> </v>
      </c>
      <c r="Y109" s="67" t="str">
        <f t="shared" si="109"/>
        <v> </v>
      </c>
      <c r="Z109" s="67" t="str">
        <f t="shared" si="110"/>
        <v> </v>
      </c>
      <c r="AA109" s="67" t="str">
        <f t="shared" si="111"/>
        <v> </v>
      </c>
      <c r="AB109" s="67" t="str">
        <f t="shared" si="112"/>
        <v> </v>
      </c>
      <c r="AC109" s="85"/>
      <c r="AG109" s="86"/>
    </row>
    <row r="110" ht="12.75" customHeight="1">
      <c r="A110" s="1"/>
      <c r="B110" s="115">
        <v>2.0</v>
      </c>
      <c r="C110" s="121" t="s">
        <v>74</v>
      </c>
      <c r="D110" s="117">
        <v>0.5</v>
      </c>
      <c r="E110" s="118">
        <v>3.0</v>
      </c>
      <c r="F110" s="119">
        <v>1.0</v>
      </c>
      <c r="G110" s="120">
        <f>'Start Here'!$F$23*D110</f>
        <v>50</v>
      </c>
      <c r="H110" s="67"/>
      <c r="I110" s="67"/>
      <c r="J110" s="67"/>
      <c r="K110" s="67"/>
      <c r="L110" s="113">
        <f t="shared" ref="L110:L113" si="113">E110*F110</f>
        <v>3</v>
      </c>
      <c r="M110" s="113">
        <f t="shared" ref="M110:M113" si="114">G110*L110</f>
        <v>150</v>
      </c>
      <c r="N110" s="67"/>
      <c r="O110" s="67"/>
      <c r="P110" s="67"/>
      <c r="Q110" s="67"/>
      <c r="R110" s="67"/>
      <c r="S110" s="67" t="str">
        <f t="shared" si="103"/>
        <v> </v>
      </c>
      <c r="T110" s="67" t="str">
        <f t="shared" si="104"/>
        <v> </v>
      </c>
      <c r="U110" s="67" t="str">
        <f t="shared" si="105"/>
        <v> </v>
      </c>
      <c r="V110" s="67" t="str">
        <f t="shared" si="106"/>
        <v> </v>
      </c>
      <c r="W110" s="67" t="str">
        <f t="shared" si="107"/>
        <v> </v>
      </c>
      <c r="X110" s="114">
        <f t="shared" si="108"/>
        <v>3</v>
      </c>
      <c r="Y110" s="114" t="str">
        <f t="shared" si="109"/>
        <v> </v>
      </c>
      <c r="Z110" s="114" t="str">
        <f t="shared" si="110"/>
        <v> </v>
      </c>
      <c r="AA110" s="114" t="str">
        <f t="shared" si="111"/>
        <v> </v>
      </c>
      <c r="AB110" s="114" t="str">
        <f t="shared" si="112"/>
        <v> </v>
      </c>
      <c r="AC110" s="85"/>
      <c r="AG110" s="86"/>
    </row>
    <row r="111" ht="12.75" customHeight="1">
      <c r="A111" s="1"/>
      <c r="B111" s="115"/>
      <c r="C111" s="122" t="s">
        <v>74</v>
      </c>
      <c r="D111" s="117">
        <v>0.6</v>
      </c>
      <c r="E111" s="118">
        <v>3.0</v>
      </c>
      <c r="F111" s="119">
        <v>1.0</v>
      </c>
      <c r="G111" s="120">
        <f>'Start Here'!$F$23*D111</f>
        <v>60</v>
      </c>
      <c r="H111" s="67"/>
      <c r="I111" s="67"/>
      <c r="J111" s="67"/>
      <c r="K111" s="67"/>
      <c r="L111" s="113">
        <f t="shared" si="113"/>
        <v>3</v>
      </c>
      <c r="M111" s="113">
        <f t="shared" si="114"/>
        <v>180</v>
      </c>
      <c r="N111" s="67"/>
      <c r="O111" s="67"/>
      <c r="P111" s="67"/>
      <c r="Q111" s="67"/>
      <c r="R111" s="67"/>
      <c r="S111" s="67" t="str">
        <f t="shared" si="103"/>
        <v> </v>
      </c>
      <c r="T111" s="67" t="str">
        <f t="shared" si="104"/>
        <v> </v>
      </c>
      <c r="U111" s="67" t="str">
        <f t="shared" si="105"/>
        <v> </v>
      </c>
      <c r="V111" s="67" t="str">
        <f t="shared" si="106"/>
        <v> </v>
      </c>
      <c r="W111" s="67" t="str">
        <f t="shared" si="107"/>
        <v> </v>
      </c>
      <c r="X111" s="114" t="str">
        <f t="shared" si="108"/>
        <v> </v>
      </c>
      <c r="Y111" s="114">
        <f t="shared" si="109"/>
        <v>3</v>
      </c>
      <c r="Z111" s="114" t="str">
        <f t="shared" si="110"/>
        <v> </v>
      </c>
      <c r="AA111" s="114" t="str">
        <f t="shared" si="111"/>
        <v> </v>
      </c>
      <c r="AB111" s="114" t="str">
        <f t="shared" si="112"/>
        <v> </v>
      </c>
      <c r="AC111" s="85"/>
      <c r="AG111" s="86"/>
    </row>
    <row r="112" ht="12.75" customHeight="1">
      <c r="A112" s="1"/>
      <c r="B112" s="115"/>
      <c r="C112" s="122" t="s">
        <v>74</v>
      </c>
      <c r="D112" s="117">
        <v>0.7</v>
      </c>
      <c r="E112" s="118">
        <v>2.0</v>
      </c>
      <c r="F112" s="119">
        <v>2.0</v>
      </c>
      <c r="G112" s="120">
        <f>'Start Here'!$F$23*D112</f>
        <v>70</v>
      </c>
      <c r="H112" s="67"/>
      <c r="I112" s="67"/>
      <c r="J112" s="67"/>
      <c r="K112" s="67"/>
      <c r="L112" s="113">
        <f t="shared" si="113"/>
        <v>4</v>
      </c>
      <c r="M112" s="113">
        <f t="shared" si="114"/>
        <v>280</v>
      </c>
      <c r="N112" s="67"/>
      <c r="O112" s="67"/>
      <c r="P112" s="67"/>
      <c r="Q112" s="67"/>
      <c r="R112" s="67"/>
      <c r="S112" s="67" t="str">
        <f t="shared" si="103"/>
        <v> </v>
      </c>
      <c r="T112" s="67" t="str">
        <f t="shared" si="104"/>
        <v> </v>
      </c>
      <c r="U112" s="67" t="str">
        <f t="shared" si="105"/>
        <v> </v>
      </c>
      <c r="V112" s="67" t="str">
        <f t="shared" si="106"/>
        <v> </v>
      </c>
      <c r="W112" s="67" t="str">
        <f t="shared" si="107"/>
        <v> </v>
      </c>
      <c r="X112" s="114" t="str">
        <f t="shared" si="108"/>
        <v> </v>
      </c>
      <c r="Y112" s="114" t="str">
        <f t="shared" si="109"/>
        <v> </v>
      </c>
      <c r="Z112" s="114">
        <f t="shared" si="110"/>
        <v>4</v>
      </c>
      <c r="AA112" s="114" t="str">
        <f t="shared" si="111"/>
        <v> </v>
      </c>
      <c r="AB112" s="114" t="str">
        <f t="shared" si="112"/>
        <v> </v>
      </c>
      <c r="AC112" s="85"/>
      <c r="AG112" s="86"/>
    </row>
    <row r="113" ht="12.75" customHeight="1">
      <c r="A113" s="1"/>
      <c r="B113" s="115"/>
      <c r="C113" s="122" t="s">
        <v>74</v>
      </c>
      <c r="D113" s="117">
        <v>0.75</v>
      </c>
      <c r="E113" s="118">
        <v>1.0</v>
      </c>
      <c r="F113" s="119">
        <v>3.0</v>
      </c>
      <c r="G113" s="120">
        <f>'Start Here'!$F$23*D113</f>
        <v>75</v>
      </c>
      <c r="H113" s="67"/>
      <c r="I113" s="67"/>
      <c r="J113" s="67"/>
      <c r="K113" s="67"/>
      <c r="L113" s="113">
        <f t="shared" si="113"/>
        <v>3</v>
      </c>
      <c r="M113" s="113">
        <f t="shared" si="114"/>
        <v>225</v>
      </c>
      <c r="N113" s="67"/>
      <c r="O113" s="67"/>
      <c r="P113" s="67"/>
      <c r="Q113" s="67"/>
      <c r="R113" s="67"/>
      <c r="S113" s="67" t="str">
        <f t="shared" si="103"/>
        <v> </v>
      </c>
      <c r="T113" s="67" t="str">
        <f t="shared" si="104"/>
        <v> </v>
      </c>
      <c r="U113" s="67" t="str">
        <f t="shared" si="105"/>
        <v> </v>
      </c>
      <c r="V113" s="67" t="str">
        <f t="shared" si="106"/>
        <v> </v>
      </c>
      <c r="W113" s="67" t="str">
        <f t="shared" si="107"/>
        <v> </v>
      </c>
      <c r="X113" s="114" t="str">
        <f t="shared" si="108"/>
        <v> </v>
      </c>
      <c r="Y113" s="114" t="str">
        <f t="shared" si="109"/>
        <v> </v>
      </c>
      <c r="Z113" s="114">
        <f t="shared" si="110"/>
        <v>3</v>
      </c>
      <c r="AA113" s="114" t="str">
        <f t="shared" si="111"/>
        <v> </v>
      </c>
      <c r="AB113" s="114" t="str">
        <f t="shared" si="112"/>
        <v> </v>
      </c>
      <c r="AC113" s="85"/>
      <c r="AG113" s="86"/>
    </row>
    <row r="114" ht="12.75" customHeight="1">
      <c r="A114" s="1"/>
      <c r="B114" s="96">
        <v>3.0</v>
      </c>
      <c r="C114" s="97" t="s">
        <v>75</v>
      </c>
      <c r="D114" s="98"/>
      <c r="E114" s="98">
        <v>6.0</v>
      </c>
      <c r="F114" s="98">
        <v>5.0</v>
      </c>
      <c r="G114" s="99"/>
      <c r="H114" s="67"/>
      <c r="I114" s="67"/>
      <c r="J114" s="67"/>
      <c r="K114" s="67"/>
      <c r="L114" s="67"/>
      <c r="M114" s="67"/>
      <c r="N114" s="67"/>
      <c r="O114" s="67"/>
      <c r="P114" s="67"/>
      <c r="Q114" s="67"/>
      <c r="R114" s="67"/>
      <c r="S114" s="67"/>
      <c r="T114" s="67"/>
      <c r="U114" s="67"/>
      <c r="V114" s="67"/>
      <c r="W114" s="67"/>
      <c r="X114" s="67"/>
      <c r="Y114" s="67"/>
      <c r="Z114" s="67"/>
      <c r="AA114" s="67"/>
      <c r="AB114" s="67"/>
      <c r="AC114" s="85"/>
      <c r="AG114" s="86"/>
    </row>
    <row r="115" ht="12.75" customHeight="1">
      <c r="A115" s="1"/>
      <c r="B115" s="135">
        <v>4.0</v>
      </c>
      <c r="C115" s="67" t="s">
        <v>76</v>
      </c>
      <c r="D115" s="68"/>
      <c r="E115" s="68">
        <v>4.0</v>
      </c>
      <c r="F115" s="68">
        <v>5.0</v>
      </c>
      <c r="G115" s="140"/>
      <c r="H115" s="67"/>
      <c r="I115" s="67"/>
      <c r="J115" s="67"/>
      <c r="K115" s="67"/>
      <c r="L115" s="67"/>
      <c r="M115" s="67"/>
      <c r="N115" s="67"/>
      <c r="O115" s="67"/>
      <c r="P115" s="67"/>
      <c r="Q115" s="67"/>
      <c r="R115" s="67"/>
      <c r="S115" s="67"/>
      <c r="T115" s="67"/>
      <c r="U115" s="67"/>
      <c r="V115" s="67"/>
      <c r="W115" s="67"/>
      <c r="X115" s="67"/>
      <c r="Y115" s="67"/>
      <c r="Z115" s="67"/>
      <c r="AA115" s="67"/>
      <c r="AB115" s="67"/>
      <c r="AC115" s="85"/>
      <c r="AG115" s="86"/>
    </row>
    <row r="116" ht="12.75" customHeight="1">
      <c r="A116" s="1"/>
      <c r="B116" s="100">
        <v>5.0</v>
      </c>
      <c r="C116" s="101" t="s">
        <v>64</v>
      </c>
      <c r="D116" s="102"/>
      <c r="E116" s="102">
        <v>8.0</v>
      </c>
      <c r="F116" s="102">
        <v>4.0</v>
      </c>
      <c r="G116" s="103"/>
      <c r="H116" s="67"/>
      <c r="I116" s="67"/>
      <c r="J116" s="67"/>
      <c r="K116" s="67"/>
      <c r="L116" s="67"/>
      <c r="M116" s="67"/>
      <c r="N116" s="67"/>
      <c r="O116" s="67"/>
      <c r="P116" s="67"/>
      <c r="Q116" s="67"/>
      <c r="R116" s="67"/>
      <c r="S116" s="67"/>
      <c r="T116" s="67"/>
      <c r="U116" s="67"/>
      <c r="V116" s="67"/>
      <c r="W116" s="67"/>
      <c r="X116" s="67"/>
      <c r="Y116" s="67"/>
      <c r="Z116" s="67"/>
      <c r="AA116" s="67"/>
      <c r="AB116" s="67"/>
      <c r="AC116" s="104"/>
      <c r="AD116" s="105"/>
      <c r="AE116" s="105"/>
      <c r="AF116" s="105"/>
      <c r="AG116" s="106"/>
    </row>
    <row r="117" ht="12.75" customHeight="1">
      <c r="A117" s="141"/>
      <c r="B117" s="142"/>
      <c r="C117" s="142"/>
      <c r="D117" s="143"/>
      <c r="E117" s="143"/>
      <c r="F117" s="143"/>
      <c r="G117" s="143"/>
      <c r="H117" s="144">
        <f t="shared" ref="H117:AB117" si="115">SUM(H67:H114)</f>
        <v>49</v>
      </c>
      <c r="I117" s="144">
        <f t="shared" si="115"/>
        <v>2805</v>
      </c>
      <c r="J117" s="142">
        <f t="shared" si="115"/>
        <v>78</v>
      </c>
      <c r="K117" s="142">
        <f t="shared" si="115"/>
        <v>5280</v>
      </c>
      <c r="L117" s="142">
        <f t="shared" si="115"/>
        <v>32</v>
      </c>
      <c r="M117" s="142">
        <f t="shared" si="115"/>
        <v>2125</v>
      </c>
      <c r="N117" s="144">
        <f t="shared" si="115"/>
        <v>21</v>
      </c>
      <c r="O117" s="144">
        <f t="shared" si="115"/>
        <v>4</v>
      </c>
      <c r="P117" s="144">
        <f t="shared" si="115"/>
        <v>6</v>
      </c>
      <c r="Q117" s="144">
        <f t="shared" si="115"/>
        <v>10</v>
      </c>
      <c r="R117" s="144">
        <f t="shared" si="115"/>
        <v>0</v>
      </c>
      <c r="S117" s="142">
        <f t="shared" si="115"/>
        <v>12</v>
      </c>
      <c r="T117" s="142">
        <f t="shared" si="115"/>
        <v>25</v>
      </c>
      <c r="U117" s="142">
        <f t="shared" si="115"/>
        <v>21</v>
      </c>
      <c r="V117" s="142">
        <f t="shared" si="115"/>
        <v>17</v>
      </c>
      <c r="W117" s="142">
        <f t="shared" si="115"/>
        <v>3</v>
      </c>
      <c r="X117" s="142">
        <f t="shared" si="115"/>
        <v>6</v>
      </c>
      <c r="Y117" s="142">
        <f t="shared" si="115"/>
        <v>6</v>
      </c>
      <c r="Z117" s="142">
        <f t="shared" si="115"/>
        <v>20</v>
      </c>
      <c r="AA117" s="142">
        <f t="shared" si="115"/>
        <v>0</v>
      </c>
      <c r="AB117" s="142">
        <f t="shared" si="115"/>
        <v>0</v>
      </c>
      <c r="AC117" s="67"/>
      <c r="AD117" s="142"/>
      <c r="AE117" s="142"/>
      <c r="AF117" s="142"/>
      <c r="AG117" s="142"/>
    </row>
    <row r="118" ht="34.5" customHeight="1">
      <c r="A118" s="1"/>
      <c r="B118" s="66" t="s">
        <v>77</v>
      </c>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row>
    <row r="119" ht="37.5" customHeight="1">
      <c r="A119" s="1"/>
      <c r="B119" s="68" t="s">
        <v>33</v>
      </c>
      <c r="D119" s="68" t="s">
        <v>34</v>
      </c>
      <c r="E119" s="68" t="s">
        <v>35</v>
      </c>
      <c r="F119" s="68" t="s">
        <v>36</v>
      </c>
      <c r="G119" s="68" t="s">
        <v>37</v>
      </c>
      <c r="H119" s="67"/>
      <c r="I119" s="67"/>
      <c r="J119" s="67"/>
      <c r="K119" s="67"/>
      <c r="L119" s="67"/>
      <c r="M119" s="67"/>
      <c r="N119" s="67"/>
      <c r="O119" s="67"/>
      <c r="P119" s="67"/>
      <c r="Q119" s="67"/>
      <c r="R119" s="67"/>
      <c r="S119" s="67"/>
      <c r="T119" s="67"/>
      <c r="U119" s="67"/>
      <c r="V119" s="67"/>
      <c r="W119" s="67"/>
      <c r="X119" s="67"/>
      <c r="Y119" s="67"/>
      <c r="Z119" s="67"/>
      <c r="AA119" s="67"/>
      <c r="AB119" s="67"/>
      <c r="AC119" s="67" t="s">
        <v>43</v>
      </c>
      <c r="AD119" s="67"/>
      <c r="AE119" s="67"/>
      <c r="AF119" s="67"/>
      <c r="AG119" s="67"/>
    </row>
    <row r="120" ht="12.75" customHeight="1">
      <c r="A120" s="1"/>
      <c r="B120" s="69">
        <v>1.0</v>
      </c>
      <c r="C120" s="70" t="s">
        <v>44</v>
      </c>
      <c r="D120" s="71">
        <v>0.4</v>
      </c>
      <c r="E120" s="145">
        <v>4.0</v>
      </c>
      <c r="F120" s="72">
        <v>1.0</v>
      </c>
      <c r="G120" s="73">
        <f>'Start Here'!$F$21*D120</f>
        <v>40</v>
      </c>
      <c r="H120" s="74">
        <f t="shared" ref="H120:H122" si="116">E120*F120</f>
        <v>4</v>
      </c>
      <c r="I120" s="75">
        <f t="shared" ref="I120:I122" si="117">G120*H120</f>
        <v>160</v>
      </c>
      <c r="J120" s="67"/>
      <c r="K120" s="67"/>
      <c r="L120" s="67"/>
      <c r="M120" s="67"/>
      <c r="N120" s="75" t="str">
        <f t="shared" ref="N120:N132" si="118">IF(ISNUMBER(SEARCH("squat",$C120)),IF($D120&gt;=0.5,IF($D120&lt;0.6,$E120*$F120," ")," ")," ")</f>
        <v> </v>
      </c>
      <c r="O120" s="75" t="str">
        <f t="shared" ref="O120:O132" si="119">IF(ISNUMBER(SEARCH("squat",$C120)),IF($D120&gt;=0.6,IF($D120&lt;0.7,$E120*$F120," ")," ")," ")</f>
        <v> </v>
      </c>
      <c r="P120" s="75" t="str">
        <f t="shared" ref="P120:P132" si="120">IF(ISNUMBER(SEARCH("squat",$C120)),IF($D120&gt;=0.7,IF($D120&lt;0.8,$E120*$F120," ")," ")," ")</f>
        <v> </v>
      </c>
      <c r="Q120" s="75" t="str">
        <f t="shared" ref="Q120:Q132" si="121">IF(ISNUMBER(SEARCH("squat",$C120)),IF($D120&gt;=0.8,IF($D120&lt;0.9,$E120*$F120," ")," ")," ")</f>
        <v> </v>
      </c>
      <c r="R120" s="75" t="str">
        <f t="shared" ref="R120:R132" si="122">IF(ISNUMBER(SEARCH("squat",$C120)),IF($D120&gt;=0.9,$E120*$F120," ")," ")</f>
        <v> </v>
      </c>
      <c r="S120" s="67" t="str">
        <f t="shared" ref="S120:S132" si="123">IF(ISNUMBER(SEARCH("bench",$C120)),IF($D120&gt;=0.5,IF($D120&lt;0.6,$E120*$F120," ")," ")," ")</f>
        <v> </v>
      </c>
      <c r="T120" s="67" t="str">
        <f t="shared" ref="T120:T132" si="124">IF(ISNUMBER(SEARCH("bench",$C120)),IF($D120&gt;=0.6,IF($D120&lt;0.7,$E120*$F120," ")," ")," ")</f>
        <v> </v>
      </c>
      <c r="U120" s="67" t="str">
        <f t="shared" ref="U120:U132" si="125">IF(ISNUMBER(SEARCH("bench",$C120)),IF($D120&gt;=0.7,IF($D120&lt;0.8,$E120*$F120," ")," ")," ")</f>
        <v> </v>
      </c>
      <c r="V120" s="67" t="str">
        <f t="shared" ref="V120:V132" si="126">IF(ISNUMBER(SEARCH("bench",$C120)),IF($D120&gt;=0.8,IF($D120&lt;0.9,$E120*$F120," ")," ")," ")</f>
        <v> </v>
      </c>
      <c r="W120" s="67" t="str">
        <f t="shared" ref="W120:W132" si="127">IF(ISNUMBER(SEARCH("bench",$C120)),IF($D120&gt;=0.9,$E120*$F120," ")," ")</f>
        <v> </v>
      </c>
      <c r="X120" s="67"/>
      <c r="Y120" s="67"/>
      <c r="Z120" s="67"/>
      <c r="AA120" s="67"/>
      <c r="AB120" s="67"/>
      <c r="AC120" s="76"/>
      <c r="AD120" s="77"/>
      <c r="AE120" s="77"/>
      <c r="AF120" s="77"/>
      <c r="AG120" s="78"/>
    </row>
    <row r="121" ht="12.75" customHeight="1">
      <c r="A121" s="1"/>
      <c r="B121" s="79"/>
      <c r="C121" s="80" t="s">
        <v>44</v>
      </c>
      <c r="D121" s="81">
        <v>0.5</v>
      </c>
      <c r="E121" s="82">
        <v>4.0</v>
      </c>
      <c r="F121" s="83">
        <v>1.0</v>
      </c>
      <c r="G121" s="84">
        <f>'Start Here'!$F$21*D121</f>
        <v>50</v>
      </c>
      <c r="H121" s="74">
        <f t="shared" si="116"/>
        <v>4</v>
      </c>
      <c r="I121" s="75">
        <f t="shared" si="117"/>
        <v>200</v>
      </c>
      <c r="J121" s="67"/>
      <c r="K121" s="67"/>
      <c r="L121" s="67"/>
      <c r="M121" s="67"/>
      <c r="N121" s="75">
        <f t="shared" si="118"/>
        <v>4</v>
      </c>
      <c r="O121" s="75" t="str">
        <f t="shared" si="119"/>
        <v> </v>
      </c>
      <c r="P121" s="75" t="str">
        <f t="shared" si="120"/>
        <v> </v>
      </c>
      <c r="Q121" s="75" t="str">
        <f t="shared" si="121"/>
        <v> </v>
      </c>
      <c r="R121" s="75" t="str">
        <f t="shared" si="122"/>
        <v> </v>
      </c>
      <c r="S121" s="67" t="str">
        <f t="shared" si="123"/>
        <v> </v>
      </c>
      <c r="T121" s="67" t="str">
        <f t="shared" si="124"/>
        <v> </v>
      </c>
      <c r="U121" s="67" t="str">
        <f t="shared" si="125"/>
        <v> </v>
      </c>
      <c r="V121" s="67" t="str">
        <f t="shared" si="126"/>
        <v> </v>
      </c>
      <c r="W121" s="67" t="str">
        <f t="shared" si="127"/>
        <v> </v>
      </c>
      <c r="X121" s="67"/>
      <c r="Y121" s="67"/>
      <c r="Z121" s="67"/>
      <c r="AA121" s="67"/>
      <c r="AB121" s="67"/>
      <c r="AC121" s="85"/>
      <c r="AG121" s="86"/>
    </row>
    <row r="122" ht="12.75" customHeight="1">
      <c r="A122" s="1"/>
      <c r="B122" s="79"/>
      <c r="C122" s="80" t="s">
        <v>44</v>
      </c>
      <c r="D122" s="81">
        <v>0.55</v>
      </c>
      <c r="E122" s="82">
        <v>3.0</v>
      </c>
      <c r="F122" s="83">
        <v>3.0</v>
      </c>
      <c r="G122" s="84">
        <f>'Start Here'!$F$21*D122</f>
        <v>55</v>
      </c>
      <c r="H122" s="74">
        <f t="shared" si="116"/>
        <v>9</v>
      </c>
      <c r="I122" s="75">
        <f t="shared" si="117"/>
        <v>495</v>
      </c>
      <c r="J122" s="67"/>
      <c r="K122" s="67"/>
      <c r="L122" s="67"/>
      <c r="M122" s="67"/>
      <c r="N122" s="75">
        <f t="shared" si="118"/>
        <v>9</v>
      </c>
      <c r="O122" s="75" t="str">
        <f t="shared" si="119"/>
        <v> </v>
      </c>
      <c r="P122" s="75" t="str">
        <f t="shared" si="120"/>
        <v> </v>
      </c>
      <c r="Q122" s="75" t="str">
        <f t="shared" si="121"/>
        <v> </v>
      </c>
      <c r="R122" s="75" t="str">
        <f t="shared" si="122"/>
        <v> </v>
      </c>
      <c r="S122" s="67" t="str">
        <f t="shared" si="123"/>
        <v> </v>
      </c>
      <c r="T122" s="67" t="str">
        <f t="shared" si="124"/>
        <v> </v>
      </c>
      <c r="U122" s="67" t="str">
        <f t="shared" si="125"/>
        <v> </v>
      </c>
      <c r="V122" s="67" t="str">
        <f t="shared" si="126"/>
        <v> </v>
      </c>
      <c r="W122" s="67" t="str">
        <f t="shared" si="127"/>
        <v> </v>
      </c>
      <c r="X122" s="67"/>
      <c r="Y122" s="67"/>
      <c r="Z122" s="67"/>
      <c r="AA122" s="67"/>
      <c r="AB122" s="67"/>
      <c r="AC122" s="85"/>
      <c r="AG122" s="86"/>
    </row>
    <row r="123" ht="12.75" customHeight="1">
      <c r="A123" s="1"/>
      <c r="B123" s="87">
        <v>2.0</v>
      </c>
      <c r="C123" s="88" t="s">
        <v>45</v>
      </c>
      <c r="D123" s="89">
        <v>0.5</v>
      </c>
      <c r="E123" s="90">
        <v>5.0</v>
      </c>
      <c r="F123" s="91">
        <v>1.0</v>
      </c>
      <c r="G123" s="92">
        <f>'Start Here'!$F$22*D123</f>
        <v>50</v>
      </c>
      <c r="H123" s="67"/>
      <c r="I123" s="67"/>
      <c r="J123" s="93">
        <f t="shared" ref="J123:J128" si="128">E123*F123</f>
        <v>5</v>
      </c>
      <c r="K123" s="93">
        <f t="shared" ref="K123:K128" si="129">G123*J123</f>
        <v>250</v>
      </c>
      <c r="L123" s="67"/>
      <c r="M123" s="67"/>
      <c r="N123" s="67" t="str">
        <f t="shared" si="118"/>
        <v> </v>
      </c>
      <c r="O123" s="67" t="str">
        <f t="shared" si="119"/>
        <v> </v>
      </c>
      <c r="P123" s="67" t="str">
        <f t="shared" si="120"/>
        <v> </v>
      </c>
      <c r="Q123" s="67" t="str">
        <f t="shared" si="121"/>
        <v> </v>
      </c>
      <c r="R123" s="67" t="str">
        <f t="shared" si="122"/>
        <v> </v>
      </c>
      <c r="S123" s="93">
        <f t="shared" si="123"/>
        <v>5</v>
      </c>
      <c r="T123" s="93" t="str">
        <f t="shared" si="124"/>
        <v> </v>
      </c>
      <c r="U123" s="93" t="str">
        <f t="shared" si="125"/>
        <v> </v>
      </c>
      <c r="V123" s="93" t="str">
        <f t="shared" si="126"/>
        <v> </v>
      </c>
      <c r="W123" s="93" t="str">
        <f t="shared" si="127"/>
        <v> </v>
      </c>
      <c r="X123" s="67"/>
      <c r="Y123" s="67"/>
      <c r="Z123" s="67"/>
      <c r="AA123" s="67"/>
      <c r="AB123" s="67"/>
      <c r="AC123" s="85"/>
      <c r="AG123" s="86"/>
    </row>
    <row r="124" ht="12.75" customHeight="1">
      <c r="A124" s="1"/>
      <c r="B124" s="87"/>
      <c r="C124" s="94" t="s">
        <v>45</v>
      </c>
      <c r="D124" s="89">
        <v>0.6</v>
      </c>
      <c r="E124" s="90">
        <v>4.0</v>
      </c>
      <c r="F124" s="91">
        <v>1.0</v>
      </c>
      <c r="G124" s="92">
        <f>'Start Here'!$F$22*D124</f>
        <v>60</v>
      </c>
      <c r="H124" s="67"/>
      <c r="I124" s="67"/>
      <c r="J124" s="93">
        <f t="shared" si="128"/>
        <v>4</v>
      </c>
      <c r="K124" s="93">
        <f t="shared" si="129"/>
        <v>240</v>
      </c>
      <c r="L124" s="67"/>
      <c r="M124" s="67"/>
      <c r="N124" s="67" t="str">
        <f t="shared" si="118"/>
        <v> </v>
      </c>
      <c r="O124" s="67" t="str">
        <f t="shared" si="119"/>
        <v> </v>
      </c>
      <c r="P124" s="67" t="str">
        <f t="shared" si="120"/>
        <v> </v>
      </c>
      <c r="Q124" s="67" t="str">
        <f t="shared" si="121"/>
        <v> </v>
      </c>
      <c r="R124" s="67" t="str">
        <f t="shared" si="122"/>
        <v> </v>
      </c>
      <c r="S124" s="93" t="str">
        <f t="shared" si="123"/>
        <v> </v>
      </c>
      <c r="T124" s="93">
        <f t="shared" si="124"/>
        <v>4</v>
      </c>
      <c r="U124" s="93" t="str">
        <f t="shared" si="125"/>
        <v> </v>
      </c>
      <c r="V124" s="93" t="str">
        <f t="shared" si="126"/>
        <v> </v>
      </c>
      <c r="W124" s="93" t="str">
        <f t="shared" si="127"/>
        <v> </v>
      </c>
      <c r="X124" s="67"/>
      <c r="Y124" s="67"/>
      <c r="Z124" s="67"/>
      <c r="AA124" s="67"/>
      <c r="AB124" s="67"/>
      <c r="AC124" s="85"/>
      <c r="AG124" s="86"/>
    </row>
    <row r="125" ht="12.75" customHeight="1">
      <c r="A125" s="1"/>
      <c r="B125" s="87"/>
      <c r="C125" s="94" t="s">
        <v>45</v>
      </c>
      <c r="D125" s="89">
        <v>0.7</v>
      </c>
      <c r="E125" s="90">
        <v>3.0</v>
      </c>
      <c r="F125" s="91">
        <v>1.0</v>
      </c>
      <c r="G125" s="92">
        <f>'Start Here'!$F$22*D125</f>
        <v>70</v>
      </c>
      <c r="H125" s="67"/>
      <c r="I125" s="67"/>
      <c r="J125" s="93">
        <f t="shared" si="128"/>
        <v>3</v>
      </c>
      <c r="K125" s="93">
        <f t="shared" si="129"/>
        <v>210</v>
      </c>
      <c r="L125" s="67"/>
      <c r="M125" s="67"/>
      <c r="N125" s="67" t="str">
        <f t="shared" si="118"/>
        <v> </v>
      </c>
      <c r="O125" s="67" t="str">
        <f t="shared" si="119"/>
        <v> </v>
      </c>
      <c r="P125" s="67" t="str">
        <f t="shared" si="120"/>
        <v> </v>
      </c>
      <c r="Q125" s="67" t="str">
        <f t="shared" si="121"/>
        <v> </v>
      </c>
      <c r="R125" s="67" t="str">
        <f t="shared" si="122"/>
        <v> </v>
      </c>
      <c r="S125" s="93" t="str">
        <f t="shared" si="123"/>
        <v> </v>
      </c>
      <c r="T125" s="93" t="str">
        <f t="shared" si="124"/>
        <v> </v>
      </c>
      <c r="U125" s="93">
        <f t="shared" si="125"/>
        <v>3</v>
      </c>
      <c r="V125" s="93" t="str">
        <f t="shared" si="126"/>
        <v> </v>
      </c>
      <c r="W125" s="93" t="str">
        <f t="shared" si="127"/>
        <v> </v>
      </c>
      <c r="X125" s="67"/>
      <c r="Y125" s="67"/>
      <c r="Z125" s="67"/>
      <c r="AA125" s="67"/>
      <c r="AB125" s="67"/>
      <c r="AC125" s="85"/>
      <c r="AG125" s="86"/>
    </row>
    <row r="126" ht="12.75" customHeight="1">
      <c r="A126" s="1"/>
      <c r="B126" s="87"/>
      <c r="C126" s="94" t="s">
        <v>45</v>
      </c>
      <c r="D126" s="89">
        <v>0.8</v>
      </c>
      <c r="E126" s="90">
        <v>2.0</v>
      </c>
      <c r="F126" s="91">
        <v>2.0</v>
      </c>
      <c r="G126" s="92">
        <f>'Start Here'!$F$22*D126</f>
        <v>80</v>
      </c>
      <c r="H126" s="67"/>
      <c r="I126" s="67"/>
      <c r="J126" s="93">
        <f t="shared" si="128"/>
        <v>4</v>
      </c>
      <c r="K126" s="93">
        <f t="shared" si="129"/>
        <v>320</v>
      </c>
      <c r="L126" s="67"/>
      <c r="M126" s="67"/>
      <c r="N126" s="67" t="str">
        <f t="shared" si="118"/>
        <v> </v>
      </c>
      <c r="O126" s="67" t="str">
        <f t="shared" si="119"/>
        <v> </v>
      </c>
      <c r="P126" s="67" t="str">
        <f t="shared" si="120"/>
        <v> </v>
      </c>
      <c r="Q126" s="67" t="str">
        <f t="shared" si="121"/>
        <v> </v>
      </c>
      <c r="R126" s="67" t="str">
        <f t="shared" si="122"/>
        <v> </v>
      </c>
      <c r="S126" s="93" t="str">
        <f t="shared" si="123"/>
        <v> </v>
      </c>
      <c r="T126" s="93" t="str">
        <f t="shared" si="124"/>
        <v> </v>
      </c>
      <c r="U126" s="93" t="str">
        <f t="shared" si="125"/>
        <v> </v>
      </c>
      <c r="V126" s="93">
        <f t="shared" si="126"/>
        <v>4</v>
      </c>
      <c r="W126" s="93" t="str">
        <f t="shared" si="127"/>
        <v> </v>
      </c>
      <c r="X126" s="67"/>
      <c r="Y126" s="67"/>
      <c r="Z126" s="67"/>
      <c r="AA126" s="67"/>
      <c r="AB126" s="67"/>
      <c r="AC126" s="85"/>
      <c r="AG126" s="86"/>
    </row>
    <row r="127" ht="12.75" customHeight="1">
      <c r="A127" s="1"/>
      <c r="B127" s="87"/>
      <c r="C127" s="94" t="s">
        <v>45</v>
      </c>
      <c r="D127" s="89">
        <v>0.85</v>
      </c>
      <c r="E127" s="90">
        <v>1.0</v>
      </c>
      <c r="F127" s="91">
        <v>2.0</v>
      </c>
      <c r="G127" s="92">
        <f>'Start Here'!$F$22*D127</f>
        <v>85</v>
      </c>
      <c r="H127" s="67"/>
      <c r="I127" s="67"/>
      <c r="J127" s="93">
        <f t="shared" si="128"/>
        <v>2</v>
      </c>
      <c r="K127" s="93">
        <f t="shared" si="129"/>
        <v>170</v>
      </c>
      <c r="L127" s="67"/>
      <c r="M127" s="67"/>
      <c r="N127" s="67" t="str">
        <f t="shared" si="118"/>
        <v> </v>
      </c>
      <c r="O127" s="67" t="str">
        <f t="shared" si="119"/>
        <v> </v>
      </c>
      <c r="P127" s="67" t="str">
        <f t="shared" si="120"/>
        <v> </v>
      </c>
      <c r="Q127" s="67" t="str">
        <f t="shared" si="121"/>
        <v> </v>
      </c>
      <c r="R127" s="67" t="str">
        <f t="shared" si="122"/>
        <v> </v>
      </c>
      <c r="S127" s="93" t="str">
        <f t="shared" si="123"/>
        <v> </v>
      </c>
      <c r="T127" s="93" t="str">
        <f t="shared" si="124"/>
        <v> </v>
      </c>
      <c r="U127" s="93" t="str">
        <f t="shared" si="125"/>
        <v> </v>
      </c>
      <c r="V127" s="93">
        <f t="shared" si="126"/>
        <v>2</v>
      </c>
      <c r="W127" s="93" t="str">
        <f t="shared" si="127"/>
        <v> </v>
      </c>
      <c r="X127" s="67"/>
      <c r="Y127" s="67"/>
      <c r="Z127" s="67"/>
      <c r="AA127" s="67"/>
      <c r="AB127" s="67"/>
      <c r="AC127" s="85"/>
      <c r="AG127" s="86"/>
    </row>
    <row r="128" ht="12.75" customHeight="1">
      <c r="A128" s="1"/>
      <c r="B128" s="87"/>
      <c r="C128" s="94" t="s">
        <v>45</v>
      </c>
      <c r="D128" s="89">
        <v>0.8</v>
      </c>
      <c r="E128" s="90">
        <v>2.0</v>
      </c>
      <c r="F128" s="91">
        <v>2.0</v>
      </c>
      <c r="G128" s="92">
        <f>'Start Here'!$F$22*D128</f>
        <v>80</v>
      </c>
      <c r="H128" s="67"/>
      <c r="I128" s="67"/>
      <c r="J128" s="93">
        <f t="shared" si="128"/>
        <v>4</v>
      </c>
      <c r="K128" s="93">
        <f t="shared" si="129"/>
        <v>320</v>
      </c>
      <c r="L128" s="67"/>
      <c r="M128" s="67"/>
      <c r="N128" s="67" t="str">
        <f t="shared" si="118"/>
        <v> </v>
      </c>
      <c r="O128" s="67" t="str">
        <f t="shared" si="119"/>
        <v> </v>
      </c>
      <c r="P128" s="67" t="str">
        <f t="shared" si="120"/>
        <v> </v>
      </c>
      <c r="Q128" s="67" t="str">
        <f t="shared" si="121"/>
        <v> </v>
      </c>
      <c r="R128" s="67" t="str">
        <f t="shared" si="122"/>
        <v> </v>
      </c>
      <c r="S128" s="93" t="str">
        <f t="shared" si="123"/>
        <v> </v>
      </c>
      <c r="T128" s="93" t="str">
        <f t="shared" si="124"/>
        <v> </v>
      </c>
      <c r="U128" s="93" t="str">
        <f t="shared" si="125"/>
        <v> </v>
      </c>
      <c r="V128" s="93">
        <f t="shared" si="126"/>
        <v>4</v>
      </c>
      <c r="W128" s="93" t="str">
        <f t="shared" si="127"/>
        <v> </v>
      </c>
      <c r="X128" s="67"/>
      <c r="Y128" s="67"/>
      <c r="Z128" s="67"/>
      <c r="AA128" s="67"/>
      <c r="AB128" s="67"/>
      <c r="AC128" s="85"/>
      <c r="AG128" s="86"/>
    </row>
    <row r="129" ht="12.75" customHeight="1">
      <c r="A129" s="1"/>
      <c r="B129" s="79">
        <v>3.0</v>
      </c>
      <c r="C129" s="95" t="s">
        <v>55</v>
      </c>
      <c r="D129" s="81">
        <v>0.5</v>
      </c>
      <c r="E129" s="82">
        <v>3.0</v>
      </c>
      <c r="F129" s="83">
        <v>1.0</v>
      </c>
      <c r="G129" s="84">
        <f>'Start Here'!$F$21*D129</f>
        <v>50</v>
      </c>
      <c r="H129" s="74">
        <f t="shared" ref="H129:H132" si="130">E129*F129</f>
        <v>3</v>
      </c>
      <c r="I129" s="75">
        <f t="shared" ref="I129:I132" si="131">G129*H129</f>
        <v>150</v>
      </c>
      <c r="J129" s="67"/>
      <c r="K129" s="67"/>
      <c r="L129" s="67"/>
      <c r="M129" s="67"/>
      <c r="N129" s="75">
        <f t="shared" si="118"/>
        <v>3</v>
      </c>
      <c r="O129" s="75" t="str">
        <f t="shared" si="119"/>
        <v> </v>
      </c>
      <c r="P129" s="75" t="str">
        <f t="shared" si="120"/>
        <v> </v>
      </c>
      <c r="Q129" s="75" t="str">
        <f t="shared" si="121"/>
        <v> </v>
      </c>
      <c r="R129" s="75" t="str">
        <f t="shared" si="122"/>
        <v> </v>
      </c>
      <c r="S129" s="67" t="str">
        <f t="shared" si="123"/>
        <v> </v>
      </c>
      <c r="T129" s="67" t="str">
        <f t="shared" si="124"/>
        <v> </v>
      </c>
      <c r="U129" s="67" t="str">
        <f t="shared" si="125"/>
        <v> </v>
      </c>
      <c r="V129" s="67" t="str">
        <f t="shared" si="126"/>
        <v> </v>
      </c>
      <c r="W129" s="67" t="str">
        <f t="shared" si="127"/>
        <v> </v>
      </c>
      <c r="X129" s="67"/>
      <c r="Y129" s="67"/>
      <c r="Z129" s="67"/>
      <c r="AA129" s="67"/>
      <c r="AB129" s="67"/>
      <c r="AC129" s="85"/>
      <c r="AG129" s="86"/>
    </row>
    <row r="130" ht="12.75" customHeight="1">
      <c r="A130" s="1"/>
      <c r="B130" s="79"/>
      <c r="C130" s="80" t="s">
        <v>55</v>
      </c>
      <c r="D130" s="81">
        <v>0.6</v>
      </c>
      <c r="E130" s="82">
        <v>3.0</v>
      </c>
      <c r="F130" s="83">
        <v>1.0</v>
      </c>
      <c r="G130" s="84">
        <f>'Start Here'!$F$21*D130</f>
        <v>60</v>
      </c>
      <c r="H130" s="74">
        <f t="shared" si="130"/>
        <v>3</v>
      </c>
      <c r="I130" s="75">
        <f t="shared" si="131"/>
        <v>180</v>
      </c>
      <c r="J130" s="67"/>
      <c r="K130" s="67"/>
      <c r="L130" s="67"/>
      <c r="M130" s="67"/>
      <c r="N130" s="75" t="str">
        <f t="shared" si="118"/>
        <v> </v>
      </c>
      <c r="O130" s="75">
        <f t="shared" si="119"/>
        <v>3</v>
      </c>
      <c r="P130" s="75" t="str">
        <f t="shared" si="120"/>
        <v> </v>
      </c>
      <c r="Q130" s="75" t="str">
        <f t="shared" si="121"/>
        <v> </v>
      </c>
      <c r="R130" s="75" t="str">
        <f t="shared" si="122"/>
        <v> </v>
      </c>
      <c r="S130" s="67" t="str">
        <f t="shared" si="123"/>
        <v> </v>
      </c>
      <c r="T130" s="67" t="str">
        <f t="shared" si="124"/>
        <v> </v>
      </c>
      <c r="U130" s="67" t="str">
        <f t="shared" si="125"/>
        <v> </v>
      </c>
      <c r="V130" s="67" t="str">
        <f t="shared" si="126"/>
        <v> </v>
      </c>
      <c r="W130" s="67" t="str">
        <f t="shared" si="127"/>
        <v> </v>
      </c>
      <c r="X130" s="67"/>
      <c r="Y130" s="67"/>
      <c r="Z130" s="67"/>
      <c r="AA130" s="67"/>
      <c r="AB130" s="67"/>
      <c r="AC130" s="85"/>
      <c r="AG130" s="86"/>
    </row>
    <row r="131" ht="12.75" customHeight="1">
      <c r="A131" s="1"/>
      <c r="B131" s="79"/>
      <c r="C131" s="80" t="s">
        <v>55</v>
      </c>
      <c r="D131" s="81">
        <v>0.7</v>
      </c>
      <c r="E131" s="82">
        <v>3.0</v>
      </c>
      <c r="F131" s="83">
        <v>1.0</v>
      </c>
      <c r="G131" s="84">
        <f>'Start Here'!$F$21*D131</f>
        <v>70</v>
      </c>
      <c r="H131" s="74">
        <f t="shared" si="130"/>
        <v>3</v>
      </c>
      <c r="I131" s="75">
        <f t="shared" si="131"/>
        <v>210</v>
      </c>
      <c r="J131" s="67"/>
      <c r="K131" s="67"/>
      <c r="L131" s="67"/>
      <c r="M131" s="67"/>
      <c r="N131" s="75" t="str">
        <f t="shared" si="118"/>
        <v> </v>
      </c>
      <c r="O131" s="75" t="str">
        <f t="shared" si="119"/>
        <v> </v>
      </c>
      <c r="P131" s="75">
        <f t="shared" si="120"/>
        <v>3</v>
      </c>
      <c r="Q131" s="75" t="str">
        <f t="shared" si="121"/>
        <v> </v>
      </c>
      <c r="R131" s="75" t="str">
        <f t="shared" si="122"/>
        <v> </v>
      </c>
      <c r="S131" s="67" t="str">
        <f t="shared" si="123"/>
        <v> </v>
      </c>
      <c r="T131" s="67" t="str">
        <f t="shared" si="124"/>
        <v> </v>
      </c>
      <c r="U131" s="67" t="str">
        <f t="shared" si="125"/>
        <v> </v>
      </c>
      <c r="V131" s="67" t="str">
        <f t="shared" si="126"/>
        <v> </v>
      </c>
      <c r="W131" s="67" t="str">
        <f t="shared" si="127"/>
        <v> </v>
      </c>
      <c r="X131" s="67"/>
      <c r="Y131" s="67"/>
      <c r="Z131" s="67"/>
      <c r="AA131" s="67"/>
      <c r="AB131" s="67"/>
      <c r="AC131" s="85"/>
      <c r="AG131" s="86"/>
    </row>
    <row r="132" ht="12.75" customHeight="1">
      <c r="A132" s="1"/>
      <c r="B132" s="79"/>
      <c r="C132" s="80" t="s">
        <v>55</v>
      </c>
      <c r="D132" s="81">
        <v>0.75</v>
      </c>
      <c r="E132" s="82">
        <v>2.0</v>
      </c>
      <c r="F132" s="83">
        <v>4.0</v>
      </c>
      <c r="G132" s="84">
        <f>'Start Here'!$F$21*D132</f>
        <v>75</v>
      </c>
      <c r="H132" s="74">
        <f t="shared" si="130"/>
        <v>8</v>
      </c>
      <c r="I132" s="75">
        <f t="shared" si="131"/>
        <v>600</v>
      </c>
      <c r="J132" s="67"/>
      <c r="K132" s="67"/>
      <c r="L132" s="67"/>
      <c r="M132" s="67"/>
      <c r="N132" s="75" t="str">
        <f t="shared" si="118"/>
        <v> </v>
      </c>
      <c r="O132" s="75" t="str">
        <f t="shared" si="119"/>
        <v> </v>
      </c>
      <c r="P132" s="75">
        <f t="shared" si="120"/>
        <v>8</v>
      </c>
      <c r="Q132" s="75" t="str">
        <f t="shared" si="121"/>
        <v> </v>
      </c>
      <c r="R132" s="75" t="str">
        <f t="shared" si="122"/>
        <v> </v>
      </c>
      <c r="S132" s="67" t="str">
        <f t="shared" si="123"/>
        <v> </v>
      </c>
      <c r="T132" s="67" t="str">
        <f t="shared" si="124"/>
        <v> </v>
      </c>
      <c r="U132" s="67" t="str">
        <f t="shared" si="125"/>
        <v> </v>
      </c>
      <c r="V132" s="67" t="str">
        <f t="shared" si="126"/>
        <v> </v>
      </c>
      <c r="W132" s="67" t="str">
        <f t="shared" si="127"/>
        <v> </v>
      </c>
      <c r="X132" s="67"/>
      <c r="Y132" s="67"/>
      <c r="Z132" s="67"/>
      <c r="AA132" s="67"/>
      <c r="AB132" s="67"/>
      <c r="AC132" s="85"/>
      <c r="AG132" s="86"/>
    </row>
    <row r="133" ht="12.75" customHeight="1">
      <c r="A133" s="1"/>
      <c r="B133" s="96">
        <v>4.0</v>
      </c>
      <c r="C133" s="97" t="s">
        <v>52</v>
      </c>
      <c r="D133" s="98"/>
      <c r="E133" s="98">
        <v>6.0</v>
      </c>
      <c r="F133" s="98">
        <v>5.0</v>
      </c>
      <c r="G133" s="99"/>
      <c r="H133" s="67"/>
      <c r="I133" s="67"/>
      <c r="J133" s="67"/>
      <c r="K133" s="67"/>
      <c r="L133" s="67"/>
      <c r="M133" s="67"/>
      <c r="N133" s="67"/>
      <c r="O133" s="67"/>
      <c r="P133" s="67"/>
      <c r="Q133" s="67"/>
      <c r="R133" s="67"/>
      <c r="S133" s="67"/>
      <c r="T133" s="67"/>
      <c r="U133" s="67"/>
      <c r="V133" s="67"/>
      <c r="W133" s="67"/>
      <c r="X133" s="67"/>
      <c r="Y133" s="67"/>
      <c r="Z133" s="67"/>
      <c r="AA133" s="67"/>
      <c r="AB133" s="67"/>
      <c r="AC133" s="85"/>
      <c r="AG133" s="86"/>
    </row>
    <row r="134" ht="12.75" customHeight="1">
      <c r="A134" s="1"/>
      <c r="B134" s="100">
        <v>5.0</v>
      </c>
      <c r="C134" s="101" t="s">
        <v>78</v>
      </c>
      <c r="D134" s="102"/>
      <c r="E134" s="102">
        <v>5.0</v>
      </c>
      <c r="F134" s="102">
        <v>4.0</v>
      </c>
      <c r="G134" s="103"/>
      <c r="H134" s="67"/>
      <c r="I134" s="67"/>
      <c r="J134" s="67"/>
      <c r="K134" s="67"/>
      <c r="L134" s="67"/>
      <c r="M134" s="67"/>
      <c r="N134" s="67"/>
      <c r="O134" s="67"/>
      <c r="P134" s="67"/>
      <c r="Q134" s="67"/>
      <c r="R134" s="67"/>
      <c r="S134" s="67"/>
      <c r="T134" s="67"/>
      <c r="U134" s="67"/>
      <c r="V134" s="67"/>
      <c r="W134" s="67"/>
      <c r="X134" s="67"/>
      <c r="Y134" s="67"/>
      <c r="Z134" s="67"/>
      <c r="AA134" s="67"/>
      <c r="AB134" s="67"/>
      <c r="AC134" s="104"/>
      <c r="AD134" s="105"/>
      <c r="AE134" s="105"/>
      <c r="AF134" s="105"/>
      <c r="AG134" s="106"/>
    </row>
    <row r="135" ht="12.75" customHeight="1">
      <c r="A135" s="1"/>
      <c r="B135" s="67"/>
      <c r="C135" s="67"/>
      <c r="D135" s="68"/>
      <c r="E135" s="68"/>
      <c r="F135" s="68"/>
      <c r="G135" s="68"/>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row>
    <row r="136" ht="42.0" customHeight="1">
      <c r="A136" s="1"/>
      <c r="B136" s="68" t="s">
        <v>49</v>
      </c>
      <c r="D136" s="68" t="s">
        <v>34</v>
      </c>
      <c r="E136" s="68" t="s">
        <v>35</v>
      </c>
      <c r="F136" s="68" t="s">
        <v>36</v>
      </c>
      <c r="G136" s="68" t="s">
        <v>37</v>
      </c>
      <c r="H136" s="67"/>
      <c r="I136" s="67"/>
      <c r="J136" s="67"/>
      <c r="K136" s="67"/>
      <c r="L136" s="67"/>
      <c r="M136" s="67"/>
      <c r="N136" s="67"/>
      <c r="O136" s="67"/>
      <c r="P136" s="67"/>
      <c r="Q136" s="67"/>
      <c r="R136" s="67"/>
      <c r="S136" s="67"/>
      <c r="T136" s="67"/>
      <c r="U136" s="67"/>
      <c r="V136" s="67"/>
      <c r="W136" s="67"/>
      <c r="X136" s="67"/>
      <c r="Y136" s="67"/>
      <c r="Z136" s="67"/>
      <c r="AA136" s="67"/>
      <c r="AB136" s="67"/>
      <c r="AC136" s="67" t="s">
        <v>43</v>
      </c>
      <c r="AD136" s="67"/>
      <c r="AE136" s="67"/>
      <c r="AF136" s="67"/>
      <c r="AG136" s="67"/>
    </row>
    <row r="137" ht="12.75" customHeight="1">
      <c r="A137" s="1"/>
      <c r="B137" s="107">
        <v>1.0</v>
      </c>
      <c r="C137" s="108" t="s">
        <v>79</v>
      </c>
      <c r="D137" s="109">
        <v>0.5</v>
      </c>
      <c r="E137" s="110">
        <v>3.0</v>
      </c>
      <c r="F137" s="111">
        <v>1.0</v>
      </c>
      <c r="G137" s="112">
        <f>'Start Here'!$F$23*D137</f>
        <v>50</v>
      </c>
      <c r="H137" s="67"/>
      <c r="I137" s="67"/>
      <c r="J137" s="67"/>
      <c r="K137" s="67"/>
      <c r="L137" s="113">
        <f t="shared" ref="L137:L140" si="132">E137*F137</f>
        <v>3</v>
      </c>
      <c r="M137" s="113">
        <f t="shared" ref="M137:M140" si="133">G137*L137</f>
        <v>150</v>
      </c>
      <c r="N137" s="67"/>
      <c r="O137" s="67"/>
      <c r="P137" s="67"/>
      <c r="Q137" s="67"/>
      <c r="R137" s="67"/>
      <c r="S137" s="67" t="str">
        <f t="shared" ref="S137:S151" si="134">IF(ISNUMBER(SEARCH("bench",$C137)),IF($D137&gt;=0.5,IF($D137&lt;0.6,$E137*$F137," ")," ")," ")</f>
        <v> </v>
      </c>
      <c r="T137" s="67" t="str">
        <f t="shared" ref="T137:T151" si="135">IF(ISNUMBER(SEARCH("bench",$C137)),IF($D137&gt;=0.6,IF($D137&lt;0.7,$E137*$F137," ")," ")," ")</f>
        <v> </v>
      </c>
      <c r="U137" s="67" t="str">
        <f t="shared" ref="U137:U151" si="136">IF(ISNUMBER(SEARCH("bench",$C137)),IF($D137&gt;=0.7,IF($D137&lt;0.8,$E137*$F137," ")," ")," ")</f>
        <v> </v>
      </c>
      <c r="V137" s="67" t="str">
        <f t="shared" ref="V137:V151" si="137">IF(ISNUMBER(SEARCH("bench",$C137)),IF($D137&gt;=0.8,IF($D137&lt;0.9,$E137*$F137," ")," ")," ")</f>
        <v> </v>
      </c>
      <c r="W137" s="67" t="str">
        <f t="shared" ref="W137:W151" si="138">IF(ISNUMBER(SEARCH("bench",$C137)),IF($D137&gt;=0.9,$E137*$F137," ")," ")</f>
        <v> </v>
      </c>
      <c r="X137" s="114">
        <f t="shared" ref="X137:X151" si="139">IF(ISNUMBER(SEARCH("deadlift",$C137)),IF($D137&gt;=0.5,IF($D137&lt;0.6,$E137*$F137," ")," ")," ")</f>
        <v>3</v>
      </c>
      <c r="Y137" s="114" t="str">
        <f t="shared" ref="Y137:Y151" si="140">IF(ISNUMBER(SEARCH("deadlift",$C137)),IF($D137&gt;=0.6,IF($D137&lt;0.7,$E137*$F137," ")," ")," ")</f>
        <v> </v>
      </c>
      <c r="Z137" s="114" t="str">
        <f t="shared" ref="Z137:Z151" si="141">IF(ISNUMBER(SEARCH("deadlift",$C137)),IF($D137&gt;=0.7,IF($D137&lt;0.8,$E137*$F137," ")," ")," ")</f>
        <v> </v>
      </c>
      <c r="AA137" s="114" t="str">
        <f t="shared" ref="AA137:AA151" si="142">IF(ISNUMBER(SEARCH("deadlift",$C137)),IF($D137&gt;=0.8,IF($D137&lt;0.9,$E137*$F137," ")," ")," ")</f>
        <v> </v>
      </c>
      <c r="AB137" s="114" t="str">
        <f t="shared" ref="AB137:AB151" si="143">IF(ISNUMBER(SEARCH("deadlift",$C137)),IF($D137&gt;=0.9,$E137*$F137," ")," ")</f>
        <v> </v>
      </c>
      <c r="AC137" s="76"/>
      <c r="AD137" s="77"/>
      <c r="AE137" s="77"/>
      <c r="AF137" s="77"/>
      <c r="AG137" s="78"/>
    </row>
    <row r="138" ht="12.75" customHeight="1">
      <c r="A138" s="1"/>
      <c r="B138" s="115"/>
      <c r="C138" s="122" t="s">
        <v>79</v>
      </c>
      <c r="D138" s="117">
        <v>0.6</v>
      </c>
      <c r="E138" s="118">
        <v>3.0</v>
      </c>
      <c r="F138" s="119">
        <v>1.0</v>
      </c>
      <c r="G138" s="120">
        <f>'Start Here'!$F$23*D138</f>
        <v>60</v>
      </c>
      <c r="H138" s="67"/>
      <c r="I138" s="67"/>
      <c r="J138" s="67"/>
      <c r="K138" s="67"/>
      <c r="L138" s="113">
        <f t="shared" si="132"/>
        <v>3</v>
      </c>
      <c r="M138" s="113">
        <f t="shared" si="133"/>
        <v>180</v>
      </c>
      <c r="N138" s="67"/>
      <c r="O138" s="67"/>
      <c r="P138" s="67"/>
      <c r="Q138" s="67"/>
      <c r="R138" s="67"/>
      <c r="S138" s="67" t="str">
        <f t="shared" si="134"/>
        <v> </v>
      </c>
      <c r="T138" s="67" t="str">
        <f t="shared" si="135"/>
        <v> </v>
      </c>
      <c r="U138" s="67" t="str">
        <f t="shared" si="136"/>
        <v> </v>
      </c>
      <c r="V138" s="67" t="str">
        <f t="shared" si="137"/>
        <v> </v>
      </c>
      <c r="W138" s="67" t="str">
        <f t="shared" si="138"/>
        <v> </v>
      </c>
      <c r="X138" s="114" t="str">
        <f t="shared" si="139"/>
        <v> </v>
      </c>
      <c r="Y138" s="114">
        <f t="shared" si="140"/>
        <v>3</v>
      </c>
      <c r="Z138" s="114" t="str">
        <f t="shared" si="141"/>
        <v> </v>
      </c>
      <c r="AA138" s="114" t="str">
        <f t="shared" si="142"/>
        <v> </v>
      </c>
      <c r="AB138" s="114" t="str">
        <f t="shared" si="143"/>
        <v> </v>
      </c>
      <c r="AC138" s="85"/>
      <c r="AG138" s="86"/>
    </row>
    <row r="139" ht="12.75" customHeight="1">
      <c r="A139" s="1"/>
      <c r="B139" s="115"/>
      <c r="C139" s="122" t="s">
        <v>79</v>
      </c>
      <c r="D139" s="117">
        <v>0.7</v>
      </c>
      <c r="E139" s="118">
        <v>3.0</v>
      </c>
      <c r="F139" s="119">
        <v>1.0</v>
      </c>
      <c r="G139" s="120">
        <f>'Start Here'!$F$23*D139</f>
        <v>70</v>
      </c>
      <c r="H139" s="67"/>
      <c r="I139" s="67"/>
      <c r="J139" s="67"/>
      <c r="K139" s="67"/>
      <c r="L139" s="113">
        <f t="shared" si="132"/>
        <v>3</v>
      </c>
      <c r="M139" s="113">
        <f t="shared" si="133"/>
        <v>210</v>
      </c>
      <c r="N139" s="67"/>
      <c r="O139" s="67"/>
      <c r="P139" s="67"/>
      <c r="Q139" s="67"/>
      <c r="R139" s="67"/>
      <c r="S139" s="67" t="str">
        <f t="shared" si="134"/>
        <v> </v>
      </c>
      <c r="T139" s="67" t="str">
        <f t="shared" si="135"/>
        <v> </v>
      </c>
      <c r="U139" s="67" t="str">
        <f t="shared" si="136"/>
        <v> </v>
      </c>
      <c r="V139" s="67" t="str">
        <f t="shared" si="137"/>
        <v> </v>
      </c>
      <c r="W139" s="67" t="str">
        <f t="shared" si="138"/>
        <v> </v>
      </c>
      <c r="X139" s="114" t="str">
        <f t="shared" si="139"/>
        <v> </v>
      </c>
      <c r="Y139" s="114" t="str">
        <f t="shared" si="140"/>
        <v> </v>
      </c>
      <c r="Z139" s="114">
        <f t="shared" si="141"/>
        <v>3</v>
      </c>
      <c r="AA139" s="114" t="str">
        <f t="shared" si="142"/>
        <v> </v>
      </c>
      <c r="AB139" s="114" t="str">
        <f t="shared" si="143"/>
        <v> </v>
      </c>
      <c r="AC139" s="85"/>
      <c r="AG139" s="86"/>
    </row>
    <row r="140" ht="12.75" customHeight="1">
      <c r="A140" s="1"/>
      <c r="B140" s="115"/>
      <c r="C140" s="122" t="s">
        <v>79</v>
      </c>
      <c r="D140" s="117">
        <v>0.75</v>
      </c>
      <c r="E140" s="118">
        <v>2.0</v>
      </c>
      <c r="F140" s="119">
        <v>4.0</v>
      </c>
      <c r="G140" s="120">
        <f>'Start Here'!$F$23*D140</f>
        <v>75</v>
      </c>
      <c r="H140" s="67"/>
      <c r="I140" s="67"/>
      <c r="J140" s="67"/>
      <c r="K140" s="67"/>
      <c r="L140" s="113">
        <f t="shared" si="132"/>
        <v>8</v>
      </c>
      <c r="M140" s="113">
        <f t="shared" si="133"/>
        <v>600</v>
      </c>
      <c r="N140" s="67"/>
      <c r="O140" s="67"/>
      <c r="P140" s="67"/>
      <c r="Q140" s="67"/>
      <c r="R140" s="67"/>
      <c r="S140" s="67" t="str">
        <f t="shared" si="134"/>
        <v> </v>
      </c>
      <c r="T140" s="67" t="str">
        <f t="shared" si="135"/>
        <v> </v>
      </c>
      <c r="U140" s="67" t="str">
        <f t="shared" si="136"/>
        <v> </v>
      </c>
      <c r="V140" s="67" t="str">
        <f t="shared" si="137"/>
        <v> </v>
      </c>
      <c r="W140" s="67" t="str">
        <f t="shared" si="138"/>
        <v> </v>
      </c>
      <c r="X140" s="114" t="str">
        <f t="shared" si="139"/>
        <v> </v>
      </c>
      <c r="Y140" s="114" t="str">
        <f t="shared" si="140"/>
        <v> </v>
      </c>
      <c r="Z140" s="114">
        <f t="shared" si="141"/>
        <v>8</v>
      </c>
      <c r="AA140" s="114" t="str">
        <f t="shared" si="142"/>
        <v> </v>
      </c>
      <c r="AB140" s="114" t="str">
        <f t="shared" si="143"/>
        <v> </v>
      </c>
      <c r="AC140" s="85"/>
      <c r="AG140" s="86"/>
    </row>
    <row r="141" ht="12.75" customHeight="1">
      <c r="A141" s="1"/>
      <c r="B141" s="87">
        <v>2.0</v>
      </c>
      <c r="C141" s="88" t="s">
        <v>45</v>
      </c>
      <c r="D141" s="89">
        <v>0.5</v>
      </c>
      <c r="E141" s="90">
        <v>5.0</v>
      </c>
      <c r="F141" s="91">
        <v>1.0</v>
      </c>
      <c r="G141" s="92">
        <f>'Start Here'!$F$22*D141</f>
        <v>50</v>
      </c>
      <c r="H141" s="67"/>
      <c r="I141" s="67"/>
      <c r="J141" s="93">
        <f t="shared" ref="J141:J148" si="144">E141*F141</f>
        <v>5</v>
      </c>
      <c r="K141" s="93">
        <f t="shared" ref="K141:K148" si="145">G141*J141</f>
        <v>250</v>
      </c>
      <c r="L141" s="67"/>
      <c r="M141" s="67"/>
      <c r="N141" s="67"/>
      <c r="O141" s="67"/>
      <c r="P141" s="67"/>
      <c r="Q141" s="67"/>
      <c r="R141" s="67"/>
      <c r="S141" s="93">
        <f t="shared" si="134"/>
        <v>5</v>
      </c>
      <c r="T141" s="93" t="str">
        <f t="shared" si="135"/>
        <v> </v>
      </c>
      <c r="U141" s="93" t="str">
        <f t="shared" si="136"/>
        <v> </v>
      </c>
      <c r="V141" s="93" t="str">
        <f t="shared" si="137"/>
        <v> </v>
      </c>
      <c r="W141" s="93" t="str">
        <f t="shared" si="138"/>
        <v> </v>
      </c>
      <c r="X141" s="67" t="str">
        <f t="shared" si="139"/>
        <v> </v>
      </c>
      <c r="Y141" s="67" t="str">
        <f t="shared" si="140"/>
        <v> </v>
      </c>
      <c r="Z141" s="67" t="str">
        <f t="shared" si="141"/>
        <v> </v>
      </c>
      <c r="AA141" s="67" t="str">
        <f t="shared" si="142"/>
        <v> </v>
      </c>
      <c r="AB141" s="67" t="str">
        <f t="shared" si="143"/>
        <v> </v>
      </c>
      <c r="AC141" s="85"/>
      <c r="AG141" s="86"/>
    </row>
    <row r="142" ht="12.75" customHeight="1">
      <c r="A142" s="1"/>
      <c r="B142" s="87"/>
      <c r="C142" s="94" t="s">
        <v>45</v>
      </c>
      <c r="D142" s="89">
        <v>0.6</v>
      </c>
      <c r="E142" s="90">
        <v>5.0</v>
      </c>
      <c r="F142" s="91">
        <v>1.0</v>
      </c>
      <c r="G142" s="92">
        <f>'Start Here'!$F$22*D142</f>
        <v>60</v>
      </c>
      <c r="H142" s="67"/>
      <c r="I142" s="67"/>
      <c r="J142" s="93">
        <f t="shared" si="144"/>
        <v>5</v>
      </c>
      <c r="K142" s="93">
        <f t="shared" si="145"/>
        <v>300</v>
      </c>
      <c r="L142" s="67"/>
      <c r="M142" s="67"/>
      <c r="N142" s="67"/>
      <c r="O142" s="67"/>
      <c r="P142" s="67"/>
      <c r="Q142" s="67"/>
      <c r="R142" s="67"/>
      <c r="S142" s="93" t="str">
        <f t="shared" si="134"/>
        <v> </v>
      </c>
      <c r="T142" s="93">
        <f t="shared" si="135"/>
        <v>5</v>
      </c>
      <c r="U142" s="93" t="str">
        <f t="shared" si="136"/>
        <v> </v>
      </c>
      <c r="V142" s="93" t="str">
        <f t="shared" si="137"/>
        <v> </v>
      </c>
      <c r="W142" s="93" t="str">
        <f t="shared" si="138"/>
        <v> </v>
      </c>
      <c r="X142" s="67" t="str">
        <f t="shared" si="139"/>
        <v> </v>
      </c>
      <c r="Y142" s="67" t="str">
        <f t="shared" si="140"/>
        <v> </v>
      </c>
      <c r="Z142" s="67" t="str">
        <f t="shared" si="141"/>
        <v> </v>
      </c>
      <c r="AA142" s="67" t="str">
        <f t="shared" si="142"/>
        <v> </v>
      </c>
      <c r="AB142" s="67" t="str">
        <f t="shared" si="143"/>
        <v> </v>
      </c>
      <c r="AC142" s="85"/>
      <c r="AG142" s="86"/>
    </row>
    <row r="143" ht="12.75" customHeight="1">
      <c r="A143" s="1"/>
      <c r="B143" s="87"/>
      <c r="C143" s="94" t="s">
        <v>45</v>
      </c>
      <c r="D143" s="89">
        <v>0.7</v>
      </c>
      <c r="E143" s="90">
        <v>3.0</v>
      </c>
      <c r="F143" s="91">
        <v>1.0</v>
      </c>
      <c r="G143" s="92">
        <f>'Start Here'!$F$22*D143</f>
        <v>70</v>
      </c>
      <c r="H143" s="67"/>
      <c r="I143" s="67"/>
      <c r="J143" s="93">
        <f t="shared" si="144"/>
        <v>3</v>
      </c>
      <c r="K143" s="93">
        <f t="shared" si="145"/>
        <v>210</v>
      </c>
      <c r="L143" s="67"/>
      <c r="M143" s="67"/>
      <c r="N143" s="67"/>
      <c r="O143" s="67"/>
      <c r="P143" s="67"/>
      <c r="Q143" s="67"/>
      <c r="R143" s="67"/>
      <c r="S143" s="93" t="str">
        <f t="shared" si="134"/>
        <v> </v>
      </c>
      <c r="T143" s="93" t="str">
        <f t="shared" si="135"/>
        <v> </v>
      </c>
      <c r="U143" s="93">
        <f t="shared" si="136"/>
        <v>3</v>
      </c>
      <c r="V143" s="93" t="str">
        <f t="shared" si="137"/>
        <v> </v>
      </c>
      <c r="W143" s="93" t="str">
        <f t="shared" si="138"/>
        <v> </v>
      </c>
      <c r="X143" s="67" t="str">
        <f t="shared" si="139"/>
        <v> </v>
      </c>
      <c r="Y143" s="67" t="str">
        <f t="shared" si="140"/>
        <v> </v>
      </c>
      <c r="Z143" s="67" t="str">
        <f t="shared" si="141"/>
        <v> </v>
      </c>
      <c r="AA143" s="67" t="str">
        <f t="shared" si="142"/>
        <v> </v>
      </c>
      <c r="AB143" s="67" t="str">
        <f t="shared" si="143"/>
        <v> </v>
      </c>
      <c r="AC143" s="85"/>
      <c r="AG143" s="86"/>
    </row>
    <row r="144" ht="12.75" customHeight="1">
      <c r="A144" s="1"/>
      <c r="B144" s="87"/>
      <c r="C144" s="94" t="s">
        <v>45</v>
      </c>
      <c r="D144" s="89">
        <v>0.7</v>
      </c>
      <c r="E144" s="90">
        <v>7.0</v>
      </c>
      <c r="F144" s="91">
        <v>1.0</v>
      </c>
      <c r="G144" s="92">
        <f>'Start Here'!$F$22*D144</f>
        <v>70</v>
      </c>
      <c r="H144" s="67"/>
      <c r="I144" s="67"/>
      <c r="J144" s="93">
        <f t="shared" si="144"/>
        <v>7</v>
      </c>
      <c r="K144" s="93">
        <f t="shared" si="145"/>
        <v>490</v>
      </c>
      <c r="L144" s="67"/>
      <c r="M144" s="67"/>
      <c r="N144" s="67"/>
      <c r="O144" s="67"/>
      <c r="P144" s="67"/>
      <c r="Q144" s="67"/>
      <c r="R144" s="67"/>
      <c r="S144" s="93" t="str">
        <f t="shared" si="134"/>
        <v> </v>
      </c>
      <c r="T144" s="93" t="str">
        <f t="shared" si="135"/>
        <v> </v>
      </c>
      <c r="U144" s="93">
        <f t="shared" si="136"/>
        <v>7</v>
      </c>
      <c r="V144" s="93" t="str">
        <f t="shared" si="137"/>
        <v> </v>
      </c>
      <c r="W144" s="93" t="str">
        <f t="shared" si="138"/>
        <v> </v>
      </c>
      <c r="X144" s="67" t="str">
        <f t="shared" si="139"/>
        <v> </v>
      </c>
      <c r="Y144" s="67" t="str">
        <f t="shared" si="140"/>
        <v> </v>
      </c>
      <c r="Z144" s="67" t="str">
        <f t="shared" si="141"/>
        <v> </v>
      </c>
      <c r="AA144" s="67" t="str">
        <f t="shared" si="142"/>
        <v> </v>
      </c>
      <c r="AB144" s="67" t="str">
        <f t="shared" si="143"/>
        <v> </v>
      </c>
      <c r="AC144" s="85"/>
      <c r="AG144" s="86"/>
    </row>
    <row r="145" ht="12.75" customHeight="1">
      <c r="A145" s="1"/>
      <c r="B145" s="87"/>
      <c r="C145" s="94" t="s">
        <v>45</v>
      </c>
      <c r="D145" s="89">
        <v>0.7</v>
      </c>
      <c r="E145" s="90">
        <v>4.0</v>
      </c>
      <c r="F145" s="91">
        <v>1.0</v>
      </c>
      <c r="G145" s="92">
        <f>'Start Here'!$F$22*D145</f>
        <v>70</v>
      </c>
      <c r="H145" s="67"/>
      <c r="I145" s="67"/>
      <c r="J145" s="93">
        <f t="shared" si="144"/>
        <v>4</v>
      </c>
      <c r="K145" s="93">
        <f t="shared" si="145"/>
        <v>280</v>
      </c>
      <c r="L145" s="67"/>
      <c r="M145" s="67"/>
      <c r="N145" s="67"/>
      <c r="O145" s="67"/>
      <c r="P145" s="67"/>
      <c r="Q145" s="67"/>
      <c r="R145" s="67"/>
      <c r="S145" s="93" t="str">
        <f t="shared" si="134"/>
        <v> </v>
      </c>
      <c r="T145" s="93" t="str">
        <f t="shared" si="135"/>
        <v> </v>
      </c>
      <c r="U145" s="93">
        <f t="shared" si="136"/>
        <v>4</v>
      </c>
      <c r="V145" s="93" t="str">
        <f t="shared" si="137"/>
        <v> </v>
      </c>
      <c r="W145" s="93" t="str">
        <f t="shared" si="138"/>
        <v> </v>
      </c>
      <c r="X145" s="67" t="str">
        <f t="shared" si="139"/>
        <v> </v>
      </c>
      <c r="Y145" s="67" t="str">
        <f t="shared" si="140"/>
        <v> </v>
      </c>
      <c r="Z145" s="67" t="str">
        <f t="shared" si="141"/>
        <v> </v>
      </c>
      <c r="AA145" s="67" t="str">
        <f t="shared" si="142"/>
        <v> </v>
      </c>
      <c r="AB145" s="67" t="str">
        <f t="shared" si="143"/>
        <v> </v>
      </c>
      <c r="AC145" s="85"/>
      <c r="AG145" s="86"/>
    </row>
    <row r="146" ht="12.75" customHeight="1">
      <c r="A146" s="1"/>
      <c r="B146" s="87"/>
      <c r="C146" s="94" t="s">
        <v>45</v>
      </c>
      <c r="D146" s="89">
        <v>0.7</v>
      </c>
      <c r="E146" s="90">
        <v>8.0</v>
      </c>
      <c r="F146" s="91">
        <v>1.0</v>
      </c>
      <c r="G146" s="92">
        <f>'Start Here'!$F$22*D146</f>
        <v>70</v>
      </c>
      <c r="H146" s="67"/>
      <c r="I146" s="67"/>
      <c r="J146" s="93">
        <f t="shared" si="144"/>
        <v>8</v>
      </c>
      <c r="K146" s="93">
        <f t="shared" si="145"/>
        <v>560</v>
      </c>
      <c r="L146" s="67"/>
      <c r="M146" s="67"/>
      <c r="N146" s="67"/>
      <c r="O146" s="67"/>
      <c r="P146" s="67"/>
      <c r="Q146" s="67"/>
      <c r="R146" s="67"/>
      <c r="S146" s="93" t="str">
        <f t="shared" si="134"/>
        <v> </v>
      </c>
      <c r="T146" s="93" t="str">
        <f t="shared" si="135"/>
        <v> </v>
      </c>
      <c r="U146" s="93">
        <f t="shared" si="136"/>
        <v>8</v>
      </c>
      <c r="V146" s="93" t="str">
        <f t="shared" si="137"/>
        <v> </v>
      </c>
      <c r="W146" s="93" t="str">
        <f t="shared" si="138"/>
        <v> </v>
      </c>
      <c r="X146" s="67" t="str">
        <f t="shared" si="139"/>
        <v> </v>
      </c>
      <c r="Y146" s="67" t="str">
        <f t="shared" si="140"/>
        <v> </v>
      </c>
      <c r="Z146" s="67" t="str">
        <f t="shared" si="141"/>
        <v> </v>
      </c>
      <c r="AA146" s="67" t="str">
        <f t="shared" si="142"/>
        <v> </v>
      </c>
      <c r="AB146" s="67" t="str">
        <f t="shared" si="143"/>
        <v> </v>
      </c>
      <c r="AC146" s="85"/>
      <c r="AG146" s="86"/>
    </row>
    <row r="147" ht="12.75" customHeight="1">
      <c r="A147" s="1"/>
      <c r="B147" s="87"/>
      <c r="C147" s="94" t="s">
        <v>45</v>
      </c>
      <c r="D147" s="89">
        <v>0.7</v>
      </c>
      <c r="E147" s="90">
        <v>2.0</v>
      </c>
      <c r="F147" s="91">
        <v>1.0</v>
      </c>
      <c r="G147" s="92">
        <f>'Start Here'!$F$22*D147</f>
        <v>70</v>
      </c>
      <c r="H147" s="67"/>
      <c r="I147" s="67"/>
      <c r="J147" s="93">
        <f t="shared" si="144"/>
        <v>2</v>
      </c>
      <c r="K147" s="93">
        <f t="shared" si="145"/>
        <v>140</v>
      </c>
      <c r="L147" s="67"/>
      <c r="M147" s="67"/>
      <c r="N147" s="67"/>
      <c r="O147" s="67"/>
      <c r="P147" s="67"/>
      <c r="Q147" s="67"/>
      <c r="R147" s="67"/>
      <c r="S147" s="93" t="str">
        <f t="shared" si="134"/>
        <v> </v>
      </c>
      <c r="T147" s="93" t="str">
        <f t="shared" si="135"/>
        <v> </v>
      </c>
      <c r="U147" s="93">
        <f t="shared" si="136"/>
        <v>2</v>
      </c>
      <c r="V147" s="93" t="str">
        <f t="shared" si="137"/>
        <v> </v>
      </c>
      <c r="W147" s="93" t="str">
        <f t="shared" si="138"/>
        <v> </v>
      </c>
      <c r="X147" s="67" t="str">
        <f t="shared" si="139"/>
        <v> </v>
      </c>
      <c r="Y147" s="67" t="str">
        <f t="shared" si="140"/>
        <v> </v>
      </c>
      <c r="Z147" s="67" t="str">
        <f t="shared" si="141"/>
        <v> </v>
      </c>
      <c r="AA147" s="67" t="str">
        <f t="shared" si="142"/>
        <v> </v>
      </c>
      <c r="AB147" s="67" t="str">
        <f t="shared" si="143"/>
        <v> </v>
      </c>
      <c r="AC147" s="85"/>
      <c r="AG147" s="86"/>
    </row>
    <row r="148" ht="12.75" customHeight="1">
      <c r="A148" s="1"/>
      <c r="B148" s="87"/>
      <c r="C148" s="94" t="s">
        <v>45</v>
      </c>
      <c r="D148" s="89">
        <v>0.7</v>
      </c>
      <c r="E148" s="90">
        <v>6.0</v>
      </c>
      <c r="F148" s="91">
        <v>1.0</v>
      </c>
      <c r="G148" s="92">
        <f>'Start Here'!$F$22*D148</f>
        <v>70</v>
      </c>
      <c r="H148" s="67"/>
      <c r="I148" s="67"/>
      <c r="J148" s="93">
        <f t="shared" si="144"/>
        <v>6</v>
      </c>
      <c r="K148" s="93">
        <f t="shared" si="145"/>
        <v>420</v>
      </c>
      <c r="L148" s="67"/>
      <c r="M148" s="67"/>
      <c r="N148" s="67"/>
      <c r="O148" s="67"/>
      <c r="P148" s="67"/>
      <c r="Q148" s="67"/>
      <c r="R148" s="67"/>
      <c r="S148" s="93" t="str">
        <f t="shared" si="134"/>
        <v> </v>
      </c>
      <c r="T148" s="93" t="str">
        <f t="shared" si="135"/>
        <v> </v>
      </c>
      <c r="U148" s="93">
        <f t="shared" si="136"/>
        <v>6</v>
      </c>
      <c r="V148" s="93" t="str">
        <f t="shared" si="137"/>
        <v> </v>
      </c>
      <c r="W148" s="93" t="str">
        <f t="shared" si="138"/>
        <v> </v>
      </c>
      <c r="X148" s="67" t="str">
        <f t="shared" si="139"/>
        <v> </v>
      </c>
      <c r="Y148" s="67" t="str">
        <f t="shared" si="140"/>
        <v> </v>
      </c>
      <c r="Z148" s="67" t="str">
        <f t="shared" si="141"/>
        <v> </v>
      </c>
      <c r="AA148" s="67" t="str">
        <f t="shared" si="142"/>
        <v> </v>
      </c>
      <c r="AB148" s="67" t="str">
        <f t="shared" si="143"/>
        <v> </v>
      </c>
      <c r="AC148" s="85"/>
      <c r="AG148" s="86"/>
    </row>
    <row r="149" ht="12.75" customHeight="1">
      <c r="A149" s="1"/>
      <c r="B149" s="115">
        <v>3.0</v>
      </c>
      <c r="C149" s="121" t="s">
        <v>61</v>
      </c>
      <c r="D149" s="117">
        <v>0.6</v>
      </c>
      <c r="E149" s="118">
        <v>4.0</v>
      </c>
      <c r="F149" s="119">
        <v>1.0</v>
      </c>
      <c r="G149" s="120">
        <f>'Start Here'!$F$23*D149</f>
        <v>60</v>
      </c>
      <c r="H149" s="67"/>
      <c r="I149" s="67"/>
      <c r="J149" s="67"/>
      <c r="K149" s="67"/>
      <c r="L149" s="113">
        <f t="shared" ref="L149:L151" si="146">E149*F149</f>
        <v>4</v>
      </c>
      <c r="M149" s="113">
        <f t="shared" ref="M149:M151" si="147">G149*L149</f>
        <v>240</v>
      </c>
      <c r="N149" s="67"/>
      <c r="O149" s="67"/>
      <c r="P149" s="67"/>
      <c r="Q149" s="67"/>
      <c r="R149" s="67"/>
      <c r="S149" s="67" t="str">
        <f t="shared" si="134"/>
        <v> </v>
      </c>
      <c r="T149" s="67" t="str">
        <f t="shared" si="135"/>
        <v> </v>
      </c>
      <c r="U149" s="67" t="str">
        <f t="shared" si="136"/>
        <v> </v>
      </c>
      <c r="V149" s="67" t="str">
        <f t="shared" si="137"/>
        <v> </v>
      </c>
      <c r="W149" s="67" t="str">
        <f t="shared" si="138"/>
        <v> </v>
      </c>
      <c r="X149" s="114" t="str">
        <f t="shared" si="139"/>
        <v> </v>
      </c>
      <c r="Y149" s="114">
        <f t="shared" si="140"/>
        <v>4</v>
      </c>
      <c r="Z149" s="114" t="str">
        <f t="shared" si="141"/>
        <v> </v>
      </c>
      <c r="AA149" s="114" t="str">
        <f t="shared" si="142"/>
        <v> </v>
      </c>
      <c r="AB149" s="114" t="str">
        <f t="shared" si="143"/>
        <v> </v>
      </c>
      <c r="AC149" s="85"/>
      <c r="AG149" s="86"/>
    </row>
    <row r="150" ht="12.75" customHeight="1">
      <c r="A150" s="1"/>
      <c r="B150" s="115"/>
      <c r="C150" s="122" t="s">
        <v>61</v>
      </c>
      <c r="D150" s="117">
        <v>0.7</v>
      </c>
      <c r="E150" s="118">
        <v>4.0</v>
      </c>
      <c r="F150" s="119">
        <v>1.0</v>
      </c>
      <c r="G150" s="120">
        <f>'Start Here'!$F$23*D150</f>
        <v>70</v>
      </c>
      <c r="H150" s="67"/>
      <c r="I150" s="67"/>
      <c r="J150" s="67"/>
      <c r="K150" s="67"/>
      <c r="L150" s="113">
        <f t="shared" si="146"/>
        <v>4</v>
      </c>
      <c r="M150" s="113">
        <f t="shared" si="147"/>
        <v>280</v>
      </c>
      <c r="N150" s="67"/>
      <c r="O150" s="67"/>
      <c r="P150" s="67"/>
      <c r="Q150" s="67"/>
      <c r="R150" s="67"/>
      <c r="S150" s="67" t="str">
        <f t="shared" si="134"/>
        <v> </v>
      </c>
      <c r="T150" s="67" t="str">
        <f t="shared" si="135"/>
        <v> </v>
      </c>
      <c r="U150" s="67" t="str">
        <f t="shared" si="136"/>
        <v> </v>
      </c>
      <c r="V150" s="67" t="str">
        <f t="shared" si="137"/>
        <v> </v>
      </c>
      <c r="W150" s="67" t="str">
        <f t="shared" si="138"/>
        <v> </v>
      </c>
      <c r="X150" s="114" t="str">
        <f t="shared" si="139"/>
        <v> </v>
      </c>
      <c r="Y150" s="114" t="str">
        <f t="shared" si="140"/>
        <v> </v>
      </c>
      <c r="Z150" s="114">
        <f t="shared" si="141"/>
        <v>4</v>
      </c>
      <c r="AA150" s="114" t="str">
        <f t="shared" si="142"/>
        <v> </v>
      </c>
      <c r="AB150" s="114" t="str">
        <f t="shared" si="143"/>
        <v> </v>
      </c>
      <c r="AC150" s="85"/>
      <c r="AG150" s="86"/>
    </row>
    <row r="151" ht="12.75" customHeight="1">
      <c r="A151" s="1"/>
      <c r="B151" s="115"/>
      <c r="C151" s="122" t="s">
        <v>61</v>
      </c>
      <c r="D151" s="117">
        <v>0.8</v>
      </c>
      <c r="E151" s="118">
        <v>4.0</v>
      </c>
      <c r="F151" s="119">
        <v>4.0</v>
      </c>
      <c r="G151" s="120">
        <f>'Start Here'!$F$23*D151</f>
        <v>80</v>
      </c>
      <c r="H151" s="67"/>
      <c r="I151" s="67"/>
      <c r="J151" s="67"/>
      <c r="K151" s="67"/>
      <c r="L151" s="113">
        <f t="shared" si="146"/>
        <v>16</v>
      </c>
      <c r="M151" s="113">
        <f t="shared" si="147"/>
        <v>1280</v>
      </c>
      <c r="N151" s="67"/>
      <c r="O151" s="67"/>
      <c r="P151" s="67"/>
      <c r="Q151" s="67"/>
      <c r="R151" s="67"/>
      <c r="S151" s="67" t="str">
        <f t="shared" si="134"/>
        <v> </v>
      </c>
      <c r="T151" s="67" t="str">
        <f t="shared" si="135"/>
        <v> </v>
      </c>
      <c r="U151" s="67" t="str">
        <f t="shared" si="136"/>
        <v> </v>
      </c>
      <c r="V151" s="67" t="str">
        <f t="shared" si="137"/>
        <v> </v>
      </c>
      <c r="W151" s="67" t="str">
        <f t="shared" si="138"/>
        <v> </v>
      </c>
      <c r="X151" s="114" t="str">
        <f t="shared" si="139"/>
        <v> </v>
      </c>
      <c r="Y151" s="114" t="str">
        <f t="shared" si="140"/>
        <v> </v>
      </c>
      <c r="Z151" s="114" t="str">
        <f t="shared" si="141"/>
        <v> </v>
      </c>
      <c r="AA151" s="114">
        <f t="shared" si="142"/>
        <v>16</v>
      </c>
      <c r="AB151" s="114" t="str">
        <f t="shared" si="143"/>
        <v> </v>
      </c>
      <c r="AC151" s="85"/>
      <c r="AG151" s="86"/>
    </row>
    <row r="152" ht="12.75" customHeight="1">
      <c r="A152" s="1"/>
      <c r="B152" s="96">
        <v>4.0</v>
      </c>
      <c r="C152" s="97" t="s">
        <v>47</v>
      </c>
      <c r="D152" s="98"/>
      <c r="E152" s="98">
        <v>6.0</v>
      </c>
      <c r="F152" s="98">
        <v>4.0</v>
      </c>
      <c r="G152" s="99"/>
      <c r="H152" s="67"/>
      <c r="I152" s="67"/>
      <c r="J152" s="67"/>
      <c r="K152" s="67"/>
      <c r="L152" s="67"/>
      <c r="M152" s="67"/>
      <c r="N152" s="67"/>
      <c r="O152" s="67"/>
      <c r="P152" s="67"/>
      <c r="Q152" s="67"/>
      <c r="R152" s="67"/>
      <c r="S152" s="67"/>
      <c r="T152" s="67"/>
      <c r="U152" s="67"/>
      <c r="V152" s="67"/>
      <c r="W152" s="67"/>
      <c r="X152" s="67"/>
      <c r="Y152" s="67"/>
      <c r="Z152" s="67"/>
      <c r="AA152" s="67"/>
      <c r="AB152" s="67"/>
      <c r="AC152" s="85"/>
      <c r="AG152" s="86"/>
    </row>
    <row r="153" ht="12.75" customHeight="1">
      <c r="A153" s="1"/>
      <c r="B153" s="100">
        <v>5.0</v>
      </c>
      <c r="C153" s="101" t="s">
        <v>48</v>
      </c>
      <c r="D153" s="102"/>
      <c r="E153" s="102">
        <v>10.0</v>
      </c>
      <c r="F153" s="102">
        <v>3.0</v>
      </c>
      <c r="G153" s="103"/>
      <c r="H153" s="67"/>
      <c r="I153" s="67"/>
      <c r="J153" s="67"/>
      <c r="K153" s="67"/>
      <c r="L153" s="67"/>
      <c r="M153" s="67"/>
      <c r="N153" s="67"/>
      <c r="O153" s="67"/>
      <c r="P153" s="67"/>
      <c r="Q153" s="67"/>
      <c r="R153" s="67"/>
      <c r="S153" s="67"/>
      <c r="T153" s="67"/>
      <c r="U153" s="67"/>
      <c r="V153" s="67"/>
      <c r="W153" s="67"/>
      <c r="X153" s="67"/>
      <c r="Y153" s="67"/>
      <c r="Z153" s="67"/>
      <c r="AA153" s="67"/>
      <c r="AB153" s="67"/>
      <c r="AC153" s="104"/>
      <c r="AD153" s="105"/>
      <c r="AE153" s="105"/>
      <c r="AF153" s="105"/>
      <c r="AG153" s="106"/>
    </row>
    <row r="154" ht="12.75" customHeight="1">
      <c r="A154" s="1"/>
      <c r="B154" s="67"/>
      <c r="C154" s="67"/>
      <c r="D154" s="68"/>
      <c r="E154" s="68"/>
      <c r="F154" s="68"/>
      <c r="G154" s="68"/>
      <c r="H154" s="67"/>
      <c r="I154" s="67"/>
      <c r="J154" s="67"/>
      <c r="K154" s="67"/>
      <c r="L154" s="67"/>
      <c r="M154" s="67"/>
      <c r="N154" s="67"/>
      <c r="O154" s="67"/>
      <c r="P154" s="67"/>
      <c r="Q154" s="67"/>
      <c r="R154" s="67"/>
      <c r="S154" s="67"/>
      <c r="T154" s="67"/>
      <c r="U154" s="67"/>
      <c r="V154" s="67"/>
      <c r="W154" s="67"/>
      <c r="X154" s="67"/>
      <c r="Y154" s="67"/>
      <c r="Z154" s="67"/>
      <c r="AA154" s="67"/>
      <c r="AB154" s="67"/>
      <c r="AC154" s="67"/>
      <c r="AD154" s="67"/>
      <c r="AE154" s="67"/>
      <c r="AF154" s="67"/>
      <c r="AG154" s="67"/>
    </row>
    <row r="155" ht="43.5" customHeight="1">
      <c r="A155" s="1"/>
      <c r="B155" s="68" t="s">
        <v>54</v>
      </c>
      <c r="D155" s="68" t="s">
        <v>34</v>
      </c>
      <c r="E155" s="68" t="s">
        <v>35</v>
      </c>
      <c r="F155" s="68" t="s">
        <v>36</v>
      </c>
      <c r="G155" s="68" t="s">
        <v>37</v>
      </c>
      <c r="H155" s="67"/>
      <c r="I155" s="67"/>
      <c r="J155" s="67"/>
      <c r="K155" s="67"/>
      <c r="L155" s="67"/>
      <c r="M155" s="67"/>
      <c r="N155" s="67"/>
      <c r="O155" s="67"/>
      <c r="P155" s="67"/>
      <c r="Q155" s="67"/>
      <c r="R155" s="67"/>
      <c r="S155" s="67"/>
      <c r="T155" s="67"/>
      <c r="U155" s="67"/>
      <c r="V155" s="67"/>
      <c r="W155" s="67"/>
      <c r="X155" s="67"/>
      <c r="Y155" s="67"/>
      <c r="Z155" s="67"/>
      <c r="AA155" s="67"/>
      <c r="AB155" s="67"/>
      <c r="AC155" s="67" t="s">
        <v>43</v>
      </c>
      <c r="AD155" s="67"/>
      <c r="AE155" s="67"/>
      <c r="AF155" s="67"/>
      <c r="AG155" s="67"/>
    </row>
    <row r="156" ht="12.75" customHeight="1">
      <c r="A156" s="1"/>
      <c r="B156" s="123">
        <v>1.0</v>
      </c>
      <c r="C156" s="124" t="s">
        <v>56</v>
      </c>
      <c r="D156" s="125">
        <v>0.55</v>
      </c>
      <c r="E156" s="126">
        <v>3.0</v>
      </c>
      <c r="F156" s="127">
        <v>1.0</v>
      </c>
      <c r="G156" s="128">
        <f>'Start Here'!$F$22*D156</f>
        <v>55</v>
      </c>
      <c r="H156" s="67"/>
      <c r="I156" s="67"/>
      <c r="J156" s="93">
        <f t="shared" ref="J156:J160" si="148">E156*F156</f>
        <v>3</v>
      </c>
      <c r="K156" s="93">
        <f t="shared" ref="K156:K160" si="149">G156*J156</f>
        <v>165</v>
      </c>
      <c r="L156" s="67"/>
      <c r="M156" s="67"/>
      <c r="N156" s="67" t="str">
        <f t="shared" ref="N156:N167" si="150">IF(ISNUMBER(SEARCH("squat",$C156)),IF($D156&gt;=0.5,IF($D156&lt;0.6,$E156*$F156," ")," ")," ")</f>
        <v> </v>
      </c>
      <c r="O156" s="67" t="str">
        <f t="shared" ref="O156:O167" si="151">IF(ISNUMBER(SEARCH("squat",$C156)),IF($D156&gt;=0.6,IF($D156&lt;0.7,$E156*$F156," ")," ")," ")</f>
        <v> </v>
      </c>
      <c r="P156" s="67" t="str">
        <f t="shared" ref="P156:P167" si="152">IF(ISNUMBER(SEARCH("squat",$C156)),IF($D156&gt;=0.7,IF($D156&lt;0.8,$E156*$F156," ")," ")," ")</f>
        <v> </v>
      </c>
      <c r="Q156" s="67" t="str">
        <f t="shared" ref="Q156:Q167" si="153">IF(ISNUMBER(SEARCH("squat",$C156)),IF($D156&gt;=0.8,IF($D156&lt;0.9,$E156*$F156," ")," ")," ")</f>
        <v> </v>
      </c>
      <c r="R156" s="67" t="str">
        <f t="shared" ref="R156:R167" si="154">IF(ISNUMBER(SEARCH("squat",$C156)),IF($D156&gt;=0.9,$E156*$F156," ")," ")</f>
        <v> </v>
      </c>
      <c r="S156" s="93">
        <f t="shared" ref="S156:S167" si="155">IF(ISNUMBER(SEARCH("bench",$C156)),IF($D156&gt;=0.5,IF($D156&lt;0.6,$E156*$F156," ")," ")," ")</f>
        <v>3</v>
      </c>
      <c r="T156" s="93" t="str">
        <f t="shared" ref="T156:T167" si="156">IF(ISNUMBER(SEARCH("bench",$C156)),IF($D156&gt;=0.6,IF($D156&lt;0.7,$E156*$F156," ")," ")," ")</f>
        <v> </v>
      </c>
      <c r="U156" s="93" t="str">
        <f t="shared" ref="U156:U167" si="157">IF(ISNUMBER(SEARCH("bench",$C156)),IF($D156&gt;=0.7,IF($D156&lt;0.8,$E156*$F156," ")," ")," ")</f>
        <v> </v>
      </c>
      <c r="V156" s="93" t="str">
        <f t="shared" ref="V156:V167" si="158">IF(ISNUMBER(SEARCH("bench",$C156)),IF($D156&gt;=0.8,IF($D156&lt;0.9,$E156*$F156," ")," ")," ")</f>
        <v> </v>
      </c>
      <c r="W156" s="93" t="str">
        <f t="shared" ref="W156:W167" si="159">IF(ISNUMBER(SEARCH("bench",$C156)),IF($D156&gt;=0.9,$E156*$F156," ")," ")</f>
        <v> </v>
      </c>
      <c r="X156" s="67"/>
      <c r="Y156" s="67"/>
      <c r="Z156" s="67"/>
      <c r="AA156" s="67"/>
      <c r="AB156" s="67"/>
      <c r="AC156" s="76"/>
      <c r="AD156" s="77"/>
      <c r="AE156" s="77"/>
      <c r="AF156" s="77"/>
      <c r="AG156" s="78"/>
    </row>
    <row r="157" ht="12.75" customHeight="1">
      <c r="A157" s="1"/>
      <c r="B157" s="87"/>
      <c r="C157" s="94" t="s">
        <v>56</v>
      </c>
      <c r="D157" s="89">
        <v>0.65</v>
      </c>
      <c r="E157" s="90">
        <v>3.0</v>
      </c>
      <c r="F157" s="91">
        <v>1.0</v>
      </c>
      <c r="G157" s="92">
        <f>'Start Here'!$F$22*D157</f>
        <v>65</v>
      </c>
      <c r="H157" s="67"/>
      <c r="I157" s="67"/>
      <c r="J157" s="93">
        <f t="shared" si="148"/>
        <v>3</v>
      </c>
      <c r="K157" s="93">
        <f t="shared" si="149"/>
        <v>195</v>
      </c>
      <c r="L157" s="67"/>
      <c r="M157" s="67"/>
      <c r="N157" s="67" t="str">
        <f t="shared" si="150"/>
        <v> </v>
      </c>
      <c r="O157" s="67" t="str">
        <f t="shared" si="151"/>
        <v> </v>
      </c>
      <c r="P157" s="67" t="str">
        <f t="shared" si="152"/>
        <v> </v>
      </c>
      <c r="Q157" s="67" t="str">
        <f t="shared" si="153"/>
        <v> </v>
      </c>
      <c r="R157" s="67" t="str">
        <f t="shared" si="154"/>
        <v> </v>
      </c>
      <c r="S157" s="93" t="str">
        <f t="shared" si="155"/>
        <v> </v>
      </c>
      <c r="T157" s="93">
        <f t="shared" si="156"/>
        <v>3</v>
      </c>
      <c r="U157" s="93" t="str">
        <f t="shared" si="157"/>
        <v> </v>
      </c>
      <c r="V157" s="93" t="str">
        <f t="shared" si="158"/>
        <v> </v>
      </c>
      <c r="W157" s="93" t="str">
        <f t="shared" si="159"/>
        <v> </v>
      </c>
      <c r="X157" s="67"/>
      <c r="Y157" s="67"/>
      <c r="Z157" s="67"/>
      <c r="AA157" s="67"/>
      <c r="AB157" s="67"/>
      <c r="AC157" s="85"/>
      <c r="AG157" s="86"/>
    </row>
    <row r="158" ht="12.75" customHeight="1">
      <c r="A158" s="1"/>
      <c r="B158" s="87"/>
      <c r="C158" s="94" t="s">
        <v>56</v>
      </c>
      <c r="D158" s="89">
        <v>0.75</v>
      </c>
      <c r="E158" s="90">
        <v>3.0</v>
      </c>
      <c r="F158" s="91">
        <v>1.0</v>
      </c>
      <c r="G158" s="92">
        <f>'Start Here'!$F$22*D158</f>
        <v>75</v>
      </c>
      <c r="H158" s="67"/>
      <c r="I158" s="67"/>
      <c r="J158" s="93">
        <f t="shared" si="148"/>
        <v>3</v>
      </c>
      <c r="K158" s="93">
        <f t="shared" si="149"/>
        <v>225</v>
      </c>
      <c r="L158" s="67"/>
      <c r="M158" s="67"/>
      <c r="N158" s="67" t="str">
        <f t="shared" si="150"/>
        <v> </v>
      </c>
      <c r="O158" s="67" t="str">
        <f t="shared" si="151"/>
        <v> </v>
      </c>
      <c r="P158" s="67" t="str">
        <f t="shared" si="152"/>
        <v> </v>
      </c>
      <c r="Q158" s="67" t="str">
        <f t="shared" si="153"/>
        <v> </v>
      </c>
      <c r="R158" s="67" t="str">
        <f t="shared" si="154"/>
        <v> </v>
      </c>
      <c r="S158" s="93" t="str">
        <f t="shared" si="155"/>
        <v> </v>
      </c>
      <c r="T158" s="93" t="str">
        <f t="shared" si="156"/>
        <v> </v>
      </c>
      <c r="U158" s="93">
        <f t="shared" si="157"/>
        <v>3</v>
      </c>
      <c r="V158" s="93" t="str">
        <f t="shared" si="158"/>
        <v> </v>
      </c>
      <c r="W158" s="93" t="str">
        <f t="shared" si="159"/>
        <v> </v>
      </c>
      <c r="X158" s="67"/>
      <c r="Y158" s="67"/>
      <c r="Z158" s="67"/>
      <c r="AA158" s="67"/>
      <c r="AB158" s="67"/>
      <c r="AC158" s="85"/>
      <c r="AG158" s="86"/>
    </row>
    <row r="159" ht="12.75" customHeight="1">
      <c r="A159" s="1"/>
      <c r="B159" s="87"/>
      <c r="C159" s="94" t="s">
        <v>56</v>
      </c>
      <c r="D159" s="89">
        <v>0.85</v>
      </c>
      <c r="E159" s="90">
        <v>2.0</v>
      </c>
      <c r="F159" s="91">
        <v>2.0</v>
      </c>
      <c r="G159" s="92">
        <f>'Start Here'!$F$22*D159</f>
        <v>85</v>
      </c>
      <c r="H159" s="67"/>
      <c r="I159" s="67"/>
      <c r="J159" s="93">
        <f t="shared" si="148"/>
        <v>4</v>
      </c>
      <c r="K159" s="93">
        <f t="shared" si="149"/>
        <v>340</v>
      </c>
      <c r="L159" s="67"/>
      <c r="M159" s="67"/>
      <c r="N159" s="67" t="str">
        <f t="shared" si="150"/>
        <v> </v>
      </c>
      <c r="O159" s="67" t="str">
        <f t="shared" si="151"/>
        <v> </v>
      </c>
      <c r="P159" s="67" t="str">
        <f t="shared" si="152"/>
        <v> </v>
      </c>
      <c r="Q159" s="67" t="str">
        <f t="shared" si="153"/>
        <v> </v>
      </c>
      <c r="R159" s="67" t="str">
        <f t="shared" si="154"/>
        <v> </v>
      </c>
      <c r="S159" s="93" t="str">
        <f t="shared" si="155"/>
        <v> </v>
      </c>
      <c r="T159" s="93" t="str">
        <f t="shared" si="156"/>
        <v> </v>
      </c>
      <c r="U159" s="93" t="str">
        <f t="shared" si="157"/>
        <v> </v>
      </c>
      <c r="V159" s="93">
        <f t="shared" si="158"/>
        <v>4</v>
      </c>
      <c r="W159" s="93" t="str">
        <f t="shared" si="159"/>
        <v> </v>
      </c>
      <c r="X159" s="67"/>
      <c r="Y159" s="67"/>
      <c r="Z159" s="67"/>
      <c r="AA159" s="67"/>
      <c r="AB159" s="67"/>
      <c r="AC159" s="85"/>
      <c r="AG159" s="86"/>
    </row>
    <row r="160" ht="12.75" customHeight="1">
      <c r="A160" s="1"/>
      <c r="B160" s="87"/>
      <c r="C160" s="94" t="s">
        <v>56</v>
      </c>
      <c r="D160" s="89">
        <v>0.9</v>
      </c>
      <c r="E160" s="90">
        <v>1.0</v>
      </c>
      <c r="F160" s="91">
        <v>3.0</v>
      </c>
      <c r="G160" s="92">
        <f>'Start Here'!$F$22*D160</f>
        <v>90</v>
      </c>
      <c r="H160" s="67"/>
      <c r="I160" s="67"/>
      <c r="J160" s="93">
        <f t="shared" si="148"/>
        <v>3</v>
      </c>
      <c r="K160" s="93">
        <f t="shared" si="149"/>
        <v>270</v>
      </c>
      <c r="L160" s="67"/>
      <c r="M160" s="67"/>
      <c r="N160" s="67" t="str">
        <f t="shared" si="150"/>
        <v> </v>
      </c>
      <c r="O160" s="67" t="str">
        <f t="shared" si="151"/>
        <v> </v>
      </c>
      <c r="P160" s="67" t="str">
        <f t="shared" si="152"/>
        <v> </v>
      </c>
      <c r="Q160" s="67" t="str">
        <f t="shared" si="153"/>
        <v> </v>
      </c>
      <c r="R160" s="67" t="str">
        <f t="shared" si="154"/>
        <v> </v>
      </c>
      <c r="S160" s="93" t="str">
        <f t="shared" si="155"/>
        <v> </v>
      </c>
      <c r="T160" s="93" t="str">
        <f t="shared" si="156"/>
        <v> </v>
      </c>
      <c r="U160" s="93" t="str">
        <f t="shared" si="157"/>
        <v> </v>
      </c>
      <c r="V160" s="93" t="str">
        <f t="shared" si="158"/>
        <v> </v>
      </c>
      <c r="W160" s="93">
        <f t="shared" si="159"/>
        <v>3</v>
      </c>
      <c r="X160" s="67"/>
      <c r="Y160" s="67"/>
      <c r="Z160" s="67"/>
      <c r="AA160" s="67"/>
      <c r="AB160" s="67"/>
      <c r="AC160" s="85"/>
      <c r="AG160" s="86"/>
    </row>
    <row r="161" ht="12.75" customHeight="1">
      <c r="A161" s="1"/>
      <c r="B161" s="79">
        <v>2.0</v>
      </c>
      <c r="C161" s="95" t="s">
        <v>46</v>
      </c>
      <c r="D161" s="81">
        <v>0.5</v>
      </c>
      <c r="E161" s="82">
        <v>5.0</v>
      </c>
      <c r="F161" s="83">
        <v>1.0</v>
      </c>
      <c r="G161" s="84">
        <f>'Start Here'!$F$21*D161</f>
        <v>50</v>
      </c>
      <c r="H161" s="74">
        <f t="shared" ref="H161:H164" si="160">E161*F161</f>
        <v>5</v>
      </c>
      <c r="I161" s="75">
        <f t="shared" ref="I161:I164" si="161">G161*H161</f>
        <v>250</v>
      </c>
      <c r="J161" s="67"/>
      <c r="K161" s="67"/>
      <c r="L161" s="67"/>
      <c r="M161" s="67"/>
      <c r="N161" s="75">
        <f t="shared" si="150"/>
        <v>5</v>
      </c>
      <c r="O161" s="75" t="str">
        <f t="shared" si="151"/>
        <v> </v>
      </c>
      <c r="P161" s="75" t="str">
        <f t="shared" si="152"/>
        <v> </v>
      </c>
      <c r="Q161" s="75" t="str">
        <f t="shared" si="153"/>
        <v> </v>
      </c>
      <c r="R161" s="75" t="str">
        <f t="shared" si="154"/>
        <v> </v>
      </c>
      <c r="S161" s="67" t="str">
        <f t="shared" si="155"/>
        <v> </v>
      </c>
      <c r="T161" s="67" t="str">
        <f t="shared" si="156"/>
        <v> </v>
      </c>
      <c r="U161" s="67" t="str">
        <f t="shared" si="157"/>
        <v> </v>
      </c>
      <c r="V161" s="67" t="str">
        <f t="shared" si="158"/>
        <v> </v>
      </c>
      <c r="W161" s="67" t="str">
        <f t="shared" si="159"/>
        <v> </v>
      </c>
      <c r="X161" s="67"/>
      <c r="Y161" s="67"/>
      <c r="Z161" s="67"/>
      <c r="AA161" s="67"/>
      <c r="AB161" s="67"/>
      <c r="AC161" s="85"/>
      <c r="AG161" s="86"/>
    </row>
    <row r="162" ht="12.75" customHeight="1">
      <c r="A162" s="1"/>
      <c r="B162" s="79"/>
      <c r="C162" s="80" t="s">
        <v>46</v>
      </c>
      <c r="D162" s="81">
        <v>0.6</v>
      </c>
      <c r="E162" s="82">
        <v>4.0</v>
      </c>
      <c r="F162" s="83">
        <v>1.0</v>
      </c>
      <c r="G162" s="84">
        <f>'Start Here'!$F$21*D162</f>
        <v>60</v>
      </c>
      <c r="H162" s="74">
        <f t="shared" si="160"/>
        <v>4</v>
      </c>
      <c r="I162" s="75">
        <f t="shared" si="161"/>
        <v>240</v>
      </c>
      <c r="J162" s="67"/>
      <c r="K162" s="67"/>
      <c r="L162" s="67"/>
      <c r="M162" s="67"/>
      <c r="N162" s="75" t="str">
        <f t="shared" si="150"/>
        <v> </v>
      </c>
      <c r="O162" s="75">
        <f t="shared" si="151"/>
        <v>4</v>
      </c>
      <c r="P162" s="75" t="str">
        <f t="shared" si="152"/>
        <v> </v>
      </c>
      <c r="Q162" s="75" t="str">
        <f t="shared" si="153"/>
        <v> </v>
      </c>
      <c r="R162" s="75" t="str">
        <f t="shared" si="154"/>
        <v> </v>
      </c>
      <c r="S162" s="67" t="str">
        <f t="shared" si="155"/>
        <v> </v>
      </c>
      <c r="T162" s="67" t="str">
        <f t="shared" si="156"/>
        <v> </v>
      </c>
      <c r="U162" s="67" t="str">
        <f t="shared" si="157"/>
        <v> </v>
      </c>
      <c r="V162" s="67" t="str">
        <f t="shared" si="158"/>
        <v> </v>
      </c>
      <c r="W162" s="67" t="str">
        <f t="shared" si="159"/>
        <v> </v>
      </c>
      <c r="X162" s="67"/>
      <c r="Y162" s="67"/>
      <c r="Z162" s="67"/>
      <c r="AA162" s="67"/>
      <c r="AB162" s="67"/>
      <c r="AC162" s="85"/>
      <c r="AG162" s="86"/>
    </row>
    <row r="163" ht="12.75" customHeight="1">
      <c r="A163" s="1"/>
      <c r="B163" s="79"/>
      <c r="C163" s="80" t="s">
        <v>46</v>
      </c>
      <c r="D163" s="81">
        <v>0.7</v>
      </c>
      <c r="E163" s="82">
        <v>3.0</v>
      </c>
      <c r="F163" s="83">
        <v>1.0</v>
      </c>
      <c r="G163" s="84">
        <f>'Start Here'!$F$21*D163</f>
        <v>70</v>
      </c>
      <c r="H163" s="74">
        <f t="shared" si="160"/>
        <v>3</v>
      </c>
      <c r="I163" s="75">
        <f t="shared" si="161"/>
        <v>210</v>
      </c>
      <c r="J163" s="67"/>
      <c r="K163" s="67"/>
      <c r="L163" s="67"/>
      <c r="M163" s="67"/>
      <c r="N163" s="75" t="str">
        <f t="shared" si="150"/>
        <v> </v>
      </c>
      <c r="O163" s="75" t="str">
        <f t="shared" si="151"/>
        <v> </v>
      </c>
      <c r="P163" s="75">
        <f t="shared" si="152"/>
        <v>3</v>
      </c>
      <c r="Q163" s="75" t="str">
        <f t="shared" si="153"/>
        <v> </v>
      </c>
      <c r="R163" s="75" t="str">
        <f t="shared" si="154"/>
        <v> </v>
      </c>
      <c r="S163" s="67" t="str">
        <f t="shared" si="155"/>
        <v> </v>
      </c>
      <c r="T163" s="67" t="str">
        <f t="shared" si="156"/>
        <v> </v>
      </c>
      <c r="U163" s="67" t="str">
        <f t="shared" si="157"/>
        <v> </v>
      </c>
      <c r="V163" s="67" t="str">
        <f t="shared" si="158"/>
        <v> </v>
      </c>
      <c r="W163" s="67" t="str">
        <f t="shared" si="159"/>
        <v> </v>
      </c>
      <c r="X163" s="67"/>
      <c r="Y163" s="67"/>
      <c r="Z163" s="67"/>
      <c r="AA163" s="67"/>
      <c r="AB163" s="67"/>
      <c r="AC163" s="85"/>
      <c r="AG163" s="86"/>
    </row>
    <row r="164" ht="12.75" customHeight="1">
      <c r="A164" s="1"/>
      <c r="B164" s="79"/>
      <c r="C164" s="80" t="s">
        <v>46</v>
      </c>
      <c r="D164" s="81">
        <v>0.8</v>
      </c>
      <c r="E164" s="82">
        <v>2.0</v>
      </c>
      <c r="F164" s="83">
        <v>5.0</v>
      </c>
      <c r="G164" s="84">
        <f>'Start Here'!$F$21*D164</f>
        <v>80</v>
      </c>
      <c r="H164" s="74">
        <f t="shared" si="160"/>
        <v>10</v>
      </c>
      <c r="I164" s="75">
        <f t="shared" si="161"/>
        <v>800</v>
      </c>
      <c r="J164" s="67"/>
      <c r="K164" s="67"/>
      <c r="L164" s="67"/>
      <c r="M164" s="67"/>
      <c r="N164" s="75" t="str">
        <f t="shared" si="150"/>
        <v> </v>
      </c>
      <c r="O164" s="75" t="str">
        <f t="shared" si="151"/>
        <v> </v>
      </c>
      <c r="P164" s="75" t="str">
        <f t="shared" si="152"/>
        <v> </v>
      </c>
      <c r="Q164" s="75">
        <f t="shared" si="153"/>
        <v>10</v>
      </c>
      <c r="R164" s="75" t="str">
        <f t="shared" si="154"/>
        <v> </v>
      </c>
      <c r="S164" s="67" t="str">
        <f t="shared" si="155"/>
        <v> </v>
      </c>
      <c r="T164" s="67" t="str">
        <f t="shared" si="156"/>
        <v> </v>
      </c>
      <c r="U164" s="67" t="str">
        <f t="shared" si="157"/>
        <v> </v>
      </c>
      <c r="V164" s="67" t="str">
        <f t="shared" si="158"/>
        <v> </v>
      </c>
      <c r="W164" s="67" t="str">
        <f t="shared" si="159"/>
        <v> </v>
      </c>
      <c r="X164" s="67"/>
      <c r="Y164" s="67"/>
      <c r="Z164" s="67"/>
      <c r="AA164" s="67"/>
      <c r="AB164" s="67"/>
      <c r="AC164" s="85"/>
      <c r="AG164" s="86"/>
    </row>
    <row r="165" ht="12.75" customHeight="1">
      <c r="A165" s="1"/>
      <c r="B165" s="87">
        <v>3.0</v>
      </c>
      <c r="C165" s="88" t="s">
        <v>67</v>
      </c>
      <c r="D165" s="89">
        <v>0.5</v>
      </c>
      <c r="E165" s="90">
        <v>4.0</v>
      </c>
      <c r="F165" s="91">
        <v>1.0</v>
      </c>
      <c r="G165" s="92">
        <f>'Start Here'!$F$22*D165</f>
        <v>50</v>
      </c>
      <c r="H165" s="67"/>
      <c r="I165" s="67"/>
      <c r="J165" s="93">
        <f t="shared" ref="J165:J167" si="162">E165*F165</f>
        <v>4</v>
      </c>
      <c r="K165" s="93">
        <f t="shared" ref="K165:K167" si="163">G165*J165</f>
        <v>200</v>
      </c>
      <c r="L165" s="67"/>
      <c r="M165" s="67"/>
      <c r="N165" s="67" t="str">
        <f t="shared" si="150"/>
        <v> </v>
      </c>
      <c r="O165" s="67" t="str">
        <f t="shared" si="151"/>
        <v> </v>
      </c>
      <c r="P165" s="67" t="str">
        <f t="shared" si="152"/>
        <v> </v>
      </c>
      <c r="Q165" s="67" t="str">
        <f t="shared" si="153"/>
        <v> </v>
      </c>
      <c r="R165" s="67" t="str">
        <f t="shared" si="154"/>
        <v> </v>
      </c>
      <c r="S165" s="93">
        <f t="shared" si="155"/>
        <v>4</v>
      </c>
      <c r="T165" s="93" t="str">
        <f t="shared" si="156"/>
        <v> </v>
      </c>
      <c r="U165" s="93" t="str">
        <f t="shared" si="157"/>
        <v> </v>
      </c>
      <c r="V165" s="93" t="str">
        <f t="shared" si="158"/>
        <v> </v>
      </c>
      <c r="W165" s="93" t="str">
        <f t="shared" si="159"/>
        <v> </v>
      </c>
      <c r="X165" s="67"/>
      <c r="Y165" s="67"/>
      <c r="Z165" s="67"/>
      <c r="AA165" s="67"/>
      <c r="AB165" s="67"/>
      <c r="AC165" s="85"/>
      <c r="AG165" s="86"/>
    </row>
    <row r="166" ht="12.75" customHeight="1">
      <c r="A166" s="1"/>
      <c r="B166" s="87"/>
      <c r="C166" s="94" t="s">
        <v>67</v>
      </c>
      <c r="D166" s="89">
        <v>0.6</v>
      </c>
      <c r="E166" s="90">
        <v>4.0</v>
      </c>
      <c r="F166" s="91">
        <v>1.0</v>
      </c>
      <c r="G166" s="92">
        <f>'Start Here'!$F$22*D166</f>
        <v>60</v>
      </c>
      <c r="H166" s="67"/>
      <c r="I166" s="67"/>
      <c r="J166" s="93">
        <f t="shared" si="162"/>
        <v>4</v>
      </c>
      <c r="K166" s="93">
        <f t="shared" si="163"/>
        <v>240</v>
      </c>
      <c r="L166" s="67"/>
      <c r="M166" s="67"/>
      <c r="N166" s="67" t="str">
        <f t="shared" si="150"/>
        <v> </v>
      </c>
      <c r="O166" s="67" t="str">
        <f t="shared" si="151"/>
        <v> </v>
      </c>
      <c r="P166" s="67" t="str">
        <f t="shared" si="152"/>
        <v> </v>
      </c>
      <c r="Q166" s="67" t="str">
        <f t="shared" si="153"/>
        <v> </v>
      </c>
      <c r="R166" s="67" t="str">
        <f t="shared" si="154"/>
        <v> </v>
      </c>
      <c r="S166" s="93" t="str">
        <f t="shared" si="155"/>
        <v> </v>
      </c>
      <c r="T166" s="93">
        <f t="shared" si="156"/>
        <v>4</v>
      </c>
      <c r="U166" s="93" t="str">
        <f t="shared" si="157"/>
        <v> </v>
      </c>
      <c r="V166" s="93" t="str">
        <f t="shared" si="158"/>
        <v> </v>
      </c>
      <c r="W166" s="93" t="str">
        <f t="shared" si="159"/>
        <v> </v>
      </c>
      <c r="X166" s="67"/>
      <c r="Y166" s="67"/>
      <c r="Z166" s="67"/>
      <c r="AA166" s="67"/>
      <c r="AB166" s="67"/>
      <c r="AC166" s="85"/>
      <c r="AG166" s="86"/>
    </row>
    <row r="167" ht="12.75" customHeight="1">
      <c r="A167" s="1"/>
      <c r="B167" s="87"/>
      <c r="C167" s="94" t="s">
        <v>67</v>
      </c>
      <c r="D167" s="89">
        <v>0.65</v>
      </c>
      <c r="E167" s="90">
        <v>4.0</v>
      </c>
      <c r="F167" s="91">
        <v>4.0</v>
      </c>
      <c r="G167" s="92">
        <f>'Start Here'!$F$22*D167</f>
        <v>65</v>
      </c>
      <c r="H167" s="67"/>
      <c r="I167" s="67"/>
      <c r="J167" s="93">
        <f t="shared" si="162"/>
        <v>16</v>
      </c>
      <c r="K167" s="93">
        <f t="shared" si="163"/>
        <v>1040</v>
      </c>
      <c r="L167" s="67"/>
      <c r="M167" s="67"/>
      <c r="N167" s="67" t="str">
        <f t="shared" si="150"/>
        <v> </v>
      </c>
      <c r="O167" s="67" t="str">
        <f t="shared" si="151"/>
        <v> </v>
      </c>
      <c r="P167" s="67" t="str">
        <f t="shared" si="152"/>
        <v> </v>
      </c>
      <c r="Q167" s="67" t="str">
        <f t="shared" si="153"/>
        <v> </v>
      </c>
      <c r="R167" s="67" t="str">
        <f t="shared" si="154"/>
        <v> </v>
      </c>
      <c r="S167" s="93" t="str">
        <f t="shared" si="155"/>
        <v> </v>
      </c>
      <c r="T167" s="93">
        <f t="shared" si="156"/>
        <v>16</v>
      </c>
      <c r="U167" s="93" t="str">
        <f t="shared" si="157"/>
        <v> </v>
      </c>
      <c r="V167" s="93" t="str">
        <f t="shared" si="158"/>
        <v> </v>
      </c>
      <c r="W167" s="93" t="str">
        <f t="shared" si="159"/>
        <v> </v>
      </c>
      <c r="X167" s="67"/>
      <c r="Y167" s="67"/>
      <c r="Z167" s="67"/>
      <c r="AA167" s="67"/>
      <c r="AB167" s="67"/>
      <c r="AC167" s="85"/>
      <c r="AG167" s="86"/>
    </row>
    <row r="168" ht="12.75" customHeight="1">
      <c r="A168" s="1"/>
      <c r="B168" s="96">
        <v>4.0</v>
      </c>
      <c r="C168" s="97" t="s">
        <v>52</v>
      </c>
      <c r="D168" s="98"/>
      <c r="E168" s="98">
        <v>8.0</v>
      </c>
      <c r="F168" s="98">
        <v>4.0</v>
      </c>
      <c r="G168" s="99"/>
      <c r="H168" s="67"/>
      <c r="I168" s="67"/>
      <c r="J168" s="67"/>
      <c r="K168" s="67"/>
      <c r="L168" s="67"/>
      <c r="M168" s="67"/>
      <c r="N168" s="67"/>
      <c r="O168" s="67"/>
      <c r="P168" s="67"/>
      <c r="Q168" s="67"/>
      <c r="R168" s="67"/>
      <c r="S168" s="67"/>
      <c r="T168" s="67"/>
      <c r="U168" s="67"/>
      <c r="V168" s="67"/>
      <c r="W168" s="67"/>
      <c r="X168" s="67"/>
      <c r="Y168" s="67"/>
      <c r="Z168" s="67"/>
      <c r="AA168" s="67"/>
      <c r="AB168" s="67"/>
      <c r="AC168" s="85"/>
      <c r="AG168" s="86"/>
    </row>
    <row r="169" ht="12.75" customHeight="1">
      <c r="A169" s="1"/>
      <c r="B169" s="100">
        <v>5.0</v>
      </c>
      <c r="C169" s="101" t="s">
        <v>80</v>
      </c>
      <c r="D169" s="102"/>
      <c r="E169" s="102">
        <v>4.0</v>
      </c>
      <c r="F169" s="102">
        <v>4.0</v>
      </c>
      <c r="G169" s="103"/>
      <c r="H169" s="67"/>
      <c r="I169" s="67"/>
      <c r="J169" s="67"/>
      <c r="K169" s="67"/>
      <c r="L169" s="67"/>
      <c r="M169" s="67"/>
      <c r="N169" s="67"/>
      <c r="O169" s="67"/>
      <c r="P169" s="67"/>
      <c r="Q169" s="67"/>
      <c r="R169" s="67"/>
      <c r="S169" s="67"/>
      <c r="T169" s="67"/>
      <c r="U169" s="67"/>
      <c r="V169" s="67"/>
      <c r="W169" s="67"/>
      <c r="X169" s="67"/>
      <c r="Y169" s="67"/>
      <c r="Z169" s="67"/>
      <c r="AA169" s="67"/>
      <c r="AB169" s="67"/>
      <c r="AC169" s="104"/>
      <c r="AD169" s="105"/>
      <c r="AE169" s="105"/>
      <c r="AF169" s="105"/>
      <c r="AG169" s="106"/>
    </row>
    <row r="170" ht="12.75" customHeight="1">
      <c r="A170" s="1"/>
      <c r="B170" s="67"/>
      <c r="C170" s="67"/>
      <c r="D170" s="68"/>
      <c r="E170" s="68"/>
      <c r="F170" s="68"/>
      <c r="G170" s="68"/>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row>
    <row r="171" ht="45.0" customHeight="1">
      <c r="A171" s="1"/>
      <c r="B171" s="68" t="s">
        <v>58</v>
      </c>
      <c r="D171" s="68" t="s">
        <v>34</v>
      </c>
      <c r="E171" s="68" t="s">
        <v>35</v>
      </c>
      <c r="F171" s="68" t="s">
        <v>36</v>
      </c>
      <c r="G171" s="68" t="s">
        <v>37</v>
      </c>
      <c r="H171" s="67"/>
      <c r="I171" s="67"/>
      <c r="J171" s="67"/>
      <c r="K171" s="67"/>
      <c r="L171" s="67"/>
      <c r="M171" s="67"/>
      <c r="N171" s="67"/>
      <c r="O171" s="67"/>
      <c r="P171" s="67"/>
      <c r="Q171" s="67"/>
      <c r="R171" s="67"/>
      <c r="S171" s="67"/>
      <c r="T171" s="67"/>
      <c r="U171" s="67"/>
      <c r="V171" s="67"/>
      <c r="W171" s="67"/>
      <c r="X171" s="67"/>
      <c r="Y171" s="67"/>
      <c r="Z171" s="67"/>
      <c r="AA171" s="67"/>
      <c r="AB171" s="67"/>
      <c r="AC171" s="67" t="s">
        <v>43</v>
      </c>
      <c r="AD171" s="67"/>
      <c r="AE171" s="67"/>
      <c r="AF171" s="67"/>
      <c r="AG171" s="67"/>
    </row>
    <row r="172" ht="12.75" customHeight="1">
      <c r="A172" s="1"/>
      <c r="B172" s="107">
        <v>1.0</v>
      </c>
      <c r="C172" s="108" t="s">
        <v>51</v>
      </c>
      <c r="D172" s="109">
        <v>0.5</v>
      </c>
      <c r="E172" s="110">
        <v>3.0</v>
      </c>
      <c r="F172" s="111">
        <v>1.0</v>
      </c>
      <c r="G172" s="112">
        <f>'Start Here'!$F$23*D172</f>
        <v>50</v>
      </c>
      <c r="H172" s="67"/>
      <c r="I172" s="67"/>
      <c r="J172" s="67"/>
      <c r="K172" s="67"/>
      <c r="L172" s="113">
        <f t="shared" ref="L172:L175" si="164">E172*F172</f>
        <v>3</v>
      </c>
      <c r="M172" s="113">
        <f t="shared" ref="M172:M175" si="165">G172*L172</f>
        <v>150</v>
      </c>
      <c r="N172" s="67"/>
      <c r="O172" s="67"/>
      <c r="P172" s="67"/>
      <c r="Q172" s="67"/>
      <c r="R172" s="67"/>
      <c r="S172" s="67" t="str">
        <f t="shared" ref="S172:S182" si="166">IF(ISNUMBER(SEARCH("bench",$C172)),IF($D172&gt;=0.5,IF($D172&lt;0.6,$E172*$F172," ")," ")," ")</f>
        <v> </v>
      </c>
      <c r="T172" s="67" t="str">
        <f t="shared" ref="T172:T182" si="167">IF(ISNUMBER(SEARCH("bench",$C172)),IF($D172&gt;=0.6,IF($D172&lt;0.7,$E172*$F172," ")," ")," ")</f>
        <v> </v>
      </c>
      <c r="U172" s="67" t="str">
        <f t="shared" ref="U172:U182" si="168">IF(ISNUMBER(SEARCH("bench",$C172)),IF($D172&gt;=0.7,IF($D172&lt;0.8,$E172*$F172," ")," ")," ")</f>
        <v> </v>
      </c>
      <c r="V172" s="67" t="str">
        <f t="shared" ref="V172:V182" si="169">IF(ISNUMBER(SEARCH("bench",$C172)),IF($D172&gt;=0.8,IF($D172&lt;0.9,$E172*$F172," ")," ")," ")</f>
        <v> </v>
      </c>
      <c r="W172" s="67" t="str">
        <f t="shared" ref="W172:W182" si="170">IF(ISNUMBER(SEARCH("bench",$C172)),IF($D172&gt;=0.9,$E172*$F172," ")," ")</f>
        <v> </v>
      </c>
      <c r="X172" s="114">
        <f t="shared" ref="X172:X182" si="171">IF(ISNUMBER(SEARCH("deadlift",$C172)),IF($D172&gt;=0.5,IF($D172&lt;0.6,$E172*$F172," ")," ")," ")</f>
        <v>3</v>
      </c>
      <c r="Y172" s="114" t="str">
        <f t="shared" ref="Y172:Y182" si="172">IF(ISNUMBER(SEARCH("deadlift",$C172)),IF($D172&gt;=0.6,IF($D172&lt;0.7,$E172*$F172," ")," ")," ")</f>
        <v> </v>
      </c>
      <c r="Z172" s="114" t="str">
        <f t="shared" ref="Z172:Z182" si="173">IF(ISNUMBER(SEARCH("deadlift",$C172)),IF($D172&gt;=0.7,IF($D172&lt;0.8,$E172*$F172," ")," ")," ")</f>
        <v> </v>
      </c>
      <c r="AA172" s="114" t="str">
        <f t="shared" ref="AA172:AA182" si="174">IF(ISNUMBER(SEARCH("deadlift",$C172)),IF($D172&gt;=0.8,IF($D172&lt;0.9,$E172*$F172," ")," ")," ")</f>
        <v> </v>
      </c>
      <c r="AB172" s="114" t="str">
        <f t="shared" ref="AB172:AB182" si="175">IF(ISNUMBER(SEARCH("deadlift",$C172)),IF($D172&gt;=0.9,$E172*$F172," ")," ")</f>
        <v> </v>
      </c>
      <c r="AC172" s="76"/>
      <c r="AD172" s="77"/>
      <c r="AE172" s="77"/>
      <c r="AF172" s="77"/>
      <c r="AG172" s="78"/>
    </row>
    <row r="173" ht="12.75" customHeight="1">
      <c r="A173" s="1"/>
      <c r="B173" s="115"/>
      <c r="C173" s="122" t="s">
        <v>51</v>
      </c>
      <c r="D173" s="117">
        <v>0.6</v>
      </c>
      <c r="E173" s="118">
        <v>3.0</v>
      </c>
      <c r="F173" s="119">
        <v>1.0</v>
      </c>
      <c r="G173" s="120">
        <f>'Start Here'!$F$23*D173</f>
        <v>60</v>
      </c>
      <c r="H173" s="67"/>
      <c r="I173" s="67"/>
      <c r="J173" s="67"/>
      <c r="K173" s="67"/>
      <c r="L173" s="113">
        <f t="shared" si="164"/>
        <v>3</v>
      </c>
      <c r="M173" s="113">
        <f t="shared" si="165"/>
        <v>180</v>
      </c>
      <c r="N173" s="67"/>
      <c r="O173" s="67"/>
      <c r="P173" s="67"/>
      <c r="Q173" s="67"/>
      <c r="R173" s="67"/>
      <c r="S173" s="67" t="str">
        <f t="shared" si="166"/>
        <v> </v>
      </c>
      <c r="T173" s="67" t="str">
        <f t="shared" si="167"/>
        <v> </v>
      </c>
      <c r="U173" s="67" t="str">
        <f t="shared" si="168"/>
        <v> </v>
      </c>
      <c r="V173" s="67" t="str">
        <f t="shared" si="169"/>
        <v> </v>
      </c>
      <c r="W173" s="67" t="str">
        <f t="shared" si="170"/>
        <v> </v>
      </c>
      <c r="X173" s="114" t="str">
        <f t="shared" si="171"/>
        <v> </v>
      </c>
      <c r="Y173" s="114">
        <f t="shared" si="172"/>
        <v>3</v>
      </c>
      <c r="Z173" s="114" t="str">
        <f t="shared" si="173"/>
        <v> </v>
      </c>
      <c r="AA173" s="114" t="str">
        <f t="shared" si="174"/>
        <v> </v>
      </c>
      <c r="AB173" s="114" t="str">
        <f t="shared" si="175"/>
        <v> </v>
      </c>
      <c r="AC173" s="85"/>
      <c r="AG173" s="86"/>
    </row>
    <row r="174" ht="12.75" customHeight="1">
      <c r="A174" s="1"/>
      <c r="B174" s="115"/>
      <c r="C174" s="122" t="s">
        <v>51</v>
      </c>
      <c r="D174" s="117">
        <v>0.7</v>
      </c>
      <c r="E174" s="118">
        <v>3.0</v>
      </c>
      <c r="F174" s="119">
        <v>1.0</v>
      </c>
      <c r="G174" s="120">
        <f>'Start Here'!$F$23*D174</f>
        <v>70</v>
      </c>
      <c r="H174" s="67"/>
      <c r="I174" s="67"/>
      <c r="J174" s="67"/>
      <c r="K174" s="67"/>
      <c r="L174" s="113">
        <f t="shared" si="164"/>
        <v>3</v>
      </c>
      <c r="M174" s="113">
        <f t="shared" si="165"/>
        <v>210</v>
      </c>
      <c r="N174" s="67"/>
      <c r="O174" s="67"/>
      <c r="P174" s="67"/>
      <c r="Q174" s="67"/>
      <c r="R174" s="67"/>
      <c r="S174" s="67" t="str">
        <f t="shared" si="166"/>
        <v> </v>
      </c>
      <c r="T174" s="67" t="str">
        <f t="shared" si="167"/>
        <v> </v>
      </c>
      <c r="U174" s="67" t="str">
        <f t="shared" si="168"/>
        <v> </v>
      </c>
      <c r="V174" s="67" t="str">
        <f t="shared" si="169"/>
        <v> </v>
      </c>
      <c r="W174" s="67" t="str">
        <f t="shared" si="170"/>
        <v> </v>
      </c>
      <c r="X174" s="114" t="str">
        <f t="shared" si="171"/>
        <v> </v>
      </c>
      <c r="Y174" s="114" t="str">
        <f t="shared" si="172"/>
        <v> </v>
      </c>
      <c r="Z174" s="114">
        <f t="shared" si="173"/>
        <v>3</v>
      </c>
      <c r="AA174" s="114" t="str">
        <f t="shared" si="174"/>
        <v> </v>
      </c>
      <c r="AB174" s="114" t="str">
        <f t="shared" si="175"/>
        <v> </v>
      </c>
      <c r="AC174" s="85"/>
      <c r="AG174" s="86"/>
    </row>
    <row r="175" ht="12.75" customHeight="1">
      <c r="A175" s="1"/>
      <c r="B175" s="115"/>
      <c r="C175" s="122" t="s">
        <v>51</v>
      </c>
      <c r="D175" s="117">
        <v>0.75</v>
      </c>
      <c r="E175" s="118">
        <v>2.0</v>
      </c>
      <c r="F175" s="119">
        <v>4.0</v>
      </c>
      <c r="G175" s="120">
        <f>'Start Here'!$F$23*D175</f>
        <v>75</v>
      </c>
      <c r="H175" s="67"/>
      <c r="I175" s="67"/>
      <c r="J175" s="67"/>
      <c r="K175" s="67"/>
      <c r="L175" s="113">
        <f t="shared" si="164"/>
        <v>8</v>
      </c>
      <c r="M175" s="113">
        <f t="shared" si="165"/>
        <v>600</v>
      </c>
      <c r="N175" s="67"/>
      <c r="O175" s="67"/>
      <c r="P175" s="67"/>
      <c r="Q175" s="67"/>
      <c r="R175" s="67"/>
      <c r="S175" s="67" t="str">
        <f t="shared" si="166"/>
        <v> </v>
      </c>
      <c r="T175" s="67" t="str">
        <f t="shared" si="167"/>
        <v> </v>
      </c>
      <c r="U175" s="67" t="str">
        <f t="shared" si="168"/>
        <v> </v>
      </c>
      <c r="V175" s="67" t="str">
        <f t="shared" si="169"/>
        <v> </v>
      </c>
      <c r="W175" s="67" t="str">
        <f t="shared" si="170"/>
        <v> </v>
      </c>
      <c r="X175" s="114" t="str">
        <f t="shared" si="171"/>
        <v> </v>
      </c>
      <c r="Y175" s="114" t="str">
        <f t="shared" si="172"/>
        <v> </v>
      </c>
      <c r="Z175" s="114">
        <f t="shared" si="173"/>
        <v>8</v>
      </c>
      <c r="AA175" s="114" t="str">
        <f t="shared" si="174"/>
        <v> </v>
      </c>
      <c r="AB175" s="114" t="str">
        <f t="shared" si="175"/>
        <v> </v>
      </c>
      <c r="AC175" s="85"/>
      <c r="AG175" s="86"/>
    </row>
    <row r="176" ht="12.75" customHeight="1">
      <c r="A176" s="1"/>
      <c r="B176" s="87">
        <v>2.0</v>
      </c>
      <c r="C176" s="88" t="s">
        <v>81</v>
      </c>
      <c r="D176" s="89">
        <v>0.5</v>
      </c>
      <c r="E176" s="90">
        <v>4.0</v>
      </c>
      <c r="F176" s="91">
        <v>1.0</v>
      </c>
      <c r="G176" s="92">
        <f>'Start Here'!$F$22*D176</f>
        <v>50</v>
      </c>
      <c r="H176" s="67"/>
      <c r="I176" s="67"/>
      <c r="J176" s="93">
        <f t="shared" ref="J176:J178" si="176">E176*F176</f>
        <v>4</v>
      </c>
      <c r="K176" s="93">
        <f t="shared" ref="K176:K178" si="177">G176*J176</f>
        <v>200</v>
      </c>
      <c r="L176" s="67"/>
      <c r="M176" s="67"/>
      <c r="N176" s="67"/>
      <c r="O176" s="67"/>
      <c r="P176" s="67"/>
      <c r="Q176" s="67"/>
      <c r="R176" s="67"/>
      <c r="S176" s="93">
        <f t="shared" si="166"/>
        <v>4</v>
      </c>
      <c r="T176" s="93" t="str">
        <f t="shared" si="167"/>
        <v> </v>
      </c>
      <c r="U176" s="93" t="str">
        <f t="shared" si="168"/>
        <v> </v>
      </c>
      <c r="V176" s="93" t="str">
        <f t="shared" si="169"/>
        <v> </v>
      </c>
      <c r="W176" s="93" t="str">
        <f t="shared" si="170"/>
        <v> </v>
      </c>
      <c r="X176" s="67" t="str">
        <f t="shared" si="171"/>
        <v> </v>
      </c>
      <c r="Y176" s="67" t="str">
        <f t="shared" si="172"/>
        <v> </v>
      </c>
      <c r="Z176" s="67" t="str">
        <f t="shared" si="173"/>
        <v> </v>
      </c>
      <c r="AA176" s="67" t="str">
        <f t="shared" si="174"/>
        <v> </v>
      </c>
      <c r="AB176" s="67" t="str">
        <f t="shared" si="175"/>
        <v> </v>
      </c>
      <c r="AC176" s="85"/>
      <c r="AG176" s="86"/>
    </row>
    <row r="177" ht="12.75" customHeight="1">
      <c r="A177" s="1"/>
      <c r="B177" s="87"/>
      <c r="C177" s="94" t="s">
        <v>81</v>
      </c>
      <c r="D177" s="89">
        <v>0.6</v>
      </c>
      <c r="E177" s="90">
        <v>4.0</v>
      </c>
      <c r="F177" s="91">
        <v>1.0</v>
      </c>
      <c r="G177" s="92">
        <f>'Start Here'!$F$22*D177</f>
        <v>60</v>
      </c>
      <c r="H177" s="67"/>
      <c r="I177" s="67"/>
      <c r="J177" s="93">
        <f t="shared" si="176"/>
        <v>4</v>
      </c>
      <c r="K177" s="93">
        <f t="shared" si="177"/>
        <v>240</v>
      </c>
      <c r="L177" s="67"/>
      <c r="M177" s="67"/>
      <c r="N177" s="67"/>
      <c r="O177" s="67"/>
      <c r="P177" s="67"/>
      <c r="Q177" s="67"/>
      <c r="R177" s="67"/>
      <c r="S177" s="93" t="str">
        <f t="shared" si="166"/>
        <v> </v>
      </c>
      <c r="T177" s="93">
        <f t="shared" si="167"/>
        <v>4</v>
      </c>
      <c r="U177" s="93" t="str">
        <f t="shared" si="168"/>
        <v> </v>
      </c>
      <c r="V177" s="93" t="str">
        <f t="shared" si="169"/>
        <v> </v>
      </c>
      <c r="W177" s="93" t="str">
        <f t="shared" si="170"/>
        <v> </v>
      </c>
      <c r="X177" s="67" t="str">
        <f t="shared" si="171"/>
        <v> </v>
      </c>
      <c r="Y177" s="67" t="str">
        <f t="shared" si="172"/>
        <v> </v>
      </c>
      <c r="Z177" s="67" t="str">
        <f t="shared" si="173"/>
        <v> </v>
      </c>
      <c r="AA177" s="67" t="str">
        <f t="shared" si="174"/>
        <v> </v>
      </c>
      <c r="AB177" s="67" t="str">
        <f t="shared" si="175"/>
        <v> </v>
      </c>
      <c r="AC177" s="85"/>
      <c r="AG177" s="86"/>
    </row>
    <row r="178" ht="12.75" customHeight="1">
      <c r="A178" s="1"/>
      <c r="B178" s="87"/>
      <c r="C178" s="94" t="s">
        <v>81</v>
      </c>
      <c r="D178" s="89">
        <v>0.65</v>
      </c>
      <c r="E178" s="90">
        <v>4.0</v>
      </c>
      <c r="F178" s="91">
        <v>4.0</v>
      </c>
      <c r="G178" s="92">
        <f>'Start Here'!$F$22*D178</f>
        <v>65</v>
      </c>
      <c r="H178" s="67"/>
      <c r="I178" s="67"/>
      <c r="J178" s="93">
        <f t="shared" si="176"/>
        <v>16</v>
      </c>
      <c r="K178" s="93">
        <f t="shared" si="177"/>
        <v>1040</v>
      </c>
      <c r="L178" s="67"/>
      <c r="M178" s="67"/>
      <c r="N178" s="67"/>
      <c r="O178" s="67"/>
      <c r="P178" s="67"/>
      <c r="Q178" s="67"/>
      <c r="R178" s="67"/>
      <c r="S178" s="93" t="str">
        <f t="shared" si="166"/>
        <v> </v>
      </c>
      <c r="T178" s="93">
        <f t="shared" si="167"/>
        <v>16</v>
      </c>
      <c r="U178" s="93" t="str">
        <f t="shared" si="168"/>
        <v> </v>
      </c>
      <c r="V178" s="93" t="str">
        <f t="shared" si="169"/>
        <v> </v>
      </c>
      <c r="W178" s="93" t="str">
        <f t="shared" si="170"/>
        <v> </v>
      </c>
      <c r="X178" s="67" t="str">
        <f t="shared" si="171"/>
        <v> </v>
      </c>
      <c r="Y178" s="67" t="str">
        <f t="shared" si="172"/>
        <v> </v>
      </c>
      <c r="Z178" s="67" t="str">
        <f t="shared" si="173"/>
        <v> </v>
      </c>
      <c r="AA178" s="67" t="str">
        <f t="shared" si="174"/>
        <v> </v>
      </c>
      <c r="AB178" s="67" t="str">
        <f t="shared" si="175"/>
        <v> </v>
      </c>
      <c r="AC178" s="85"/>
      <c r="AG178" s="86"/>
    </row>
    <row r="179" ht="12.75" customHeight="1">
      <c r="A179" s="1"/>
      <c r="B179" s="115">
        <v>3.0</v>
      </c>
      <c r="C179" s="121" t="s">
        <v>82</v>
      </c>
      <c r="D179" s="117">
        <v>0.5</v>
      </c>
      <c r="E179" s="118">
        <v>3.0</v>
      </c>
      <c r="F179" s="119">
        <v>1.0</v>
      </c>
      <c r="G179" s="120">
        <f>'Start Here'!$F$23*D179</f>
        <v>50</v>
      </c>
      <c r="H179" s="67"/>
      <c r="I179" s="67"/>
      <c r="J179" s="67"/>
      <c r="K179" s="67"/>
      <c r="L179" s="113">
        <f t="shared" ref="L179:L182" si="178">E179*F179</f>
        <v>3</v>
      </c>
      <c r="M179" s="113">
        <f t="shared" ref="M179:M182" si="179">G179*L179</f>
        <v>150</v>
      </c>
      <c r="N179" s="67"/>
      <c r="O179" s="67"/>
      <c r="P179" s="67"/>
      <c r="Q179" s="67"/>
      <c r="R179" s="67"/>
      <c r="S179" s="67" t="str">
        <f t="shared" si="166"/>
        <v> </v>
      </c>
      <c r="T179" s="67" t="str">
        <f t="shared" si="167"/>
        <v> </v>
      </c>
      <c r="U179" s="67" t="str">
        <f t="shared" si="168"/>
        <v> </v>
      </c>
      <c r="V179" s="67" t="str">
        <f t="shared" si="169"/>
        <v> </v>
      </c>
      <c r="W179" s="67" t="str">
        <f t="shared" si="170"/>
        <v> </v>
      </c>
      <c r="X179" s="114">
        <f t="shared" si="171"/>
        <v>3</v>
      </c>
      <c r="Y179" s="114" t="str">
        <f t="shared" si="172"/>
        <v> </v>
      </c>
      <c r="Z179" s="114" t="str">
        <f t="shared" si="173"/>
        <v> </v>
      </c>
      <c r="AA179" s="114" t="str">
        <f t="shared" si="174"/>
        <v> </v>
      </c>
      <c r="AB179" s="114" t="str">
        <f t="shared" si="175"/>
        <v> </v>
      </c>
      <c r="AC179" s="85"/>
      <c r="AG179" s="86"/>
    </row>
    <row r="180" ht="12.75" customHeight="1">
      <c r="A180" s="1"/>
      <c r="B180" s="115"/>
      <c r="C180" s="122" t="s">
        <v>82</v>
      </c>
      <c r="D180" s="117">
        <v>0.6</v>
      </c>
      <c r="E180" s="118">
        <v>3.0</v>
      </c>
      <c r="F180" s="119">
        <v>1.0</v>
      </c>
      <c r="G180" s="120">
        <f>'Start Here'!$F$23*D180</f>
        <v>60</v>
      </c>
      <c r="H180" s="67"/>
      <c r="I180" s="67"/>
      <c r="J180" s="67"/>
      <c r="K180" s="67"/>
      <c r="L180" s="113">
        <f t="shared" si="178"/>
        <v>3</v>
      </c>
      <c r="M180" s="113">
        <f t="shared" si="179"/>
        <v>180</v>
      </c>
      <c r="N180" s="67"/>
      <c r="O180" s="67"/>
      <c r="P180" s="67"/>
      <c r="Q180" s="67"/>
      <c r="R180" s="67"/>
      <c r="S180" s="67" t="str">
        <f t="shared" si="166"/>
        <v> </v>
      </c>
      <c r="T180" s="67" t="str">
        <f t="shared" si="167"/>
        <v> </v>
      </c>
      <c r="U180" s="67" t="str">
        <f t="shared" si="168"/>
        <v> </v>
      </c>
      <c r="V180" s="67" t="str">
        <f t="shared" si="169"/>
        <v> </v>
      </c>
      <c r="W180" s="67" t="str">
        <f t="shared" si="170"/>
        <v> </v>
      </c>
      <c r="X180" s="114" t="str">
        <f t="shared" si="171"/>
        <v> </v>
      </c>
      <c r="Y180" s="114">
        <f t="shared" si="172"/>
        <v>3</v>
      </c>
      <c r="Z180" s="114" t="str">
        <f t="shared" si="173"/>
        <v> </v>
      </c>
      <c r="AA180" s="114" t="str">
        <f t="shared" si="174"/>
        <v> </v>
      </c>
      <c r="AB180" s="114" t="str">
        <f t="shared" si="175"/>
        <v> </v>
      </c>
      <c r="AC180" s="85"/>
      <c r="AG180" s="86"/>
    </row>
    <row r="181" ht="12.75" customHeight="1">
      <c r="A181" s="1"/>
      <c r="B181" s="115"/>
      <c r="C181" s="122" t="s">
        <v>82</v>
      </c>
      <c r="D181" s="117">
        <v>0.7</v>
      </c>
      <c r="E181" s="118">
        <v>3.0</v>
      </c>
      <c r="F181" s="119">
        <v>1.0</v>
      </c>
      <c r="G181" s="120">
        <f>'Start Here'!$F$23*D181</f>
        <v>70</v>
      </c>
      <c r="H181" s="67"/>
      <c r="I181" s="67"/>
      <c r="J181" s="67"/>
      <c r="K181" s="67"/>
      <c r="L181" s="113">
        <f t="shared" si="178"/>
        <v>3</v>
      </c>
      <c r="M181" s="113">
        <f t="shared" si="179"/>
        <v>210</v>
      </c>
      <c r="N181" s="67"/>
      <c r="O181" s="67"/>
      <c r="P181" s="67"/>
      <c r="Q181" s="67"/>
      <c r="R181" s="67"/>
      <c r="S181" s="67" t="str">
        <f t="shared" si="166"/>
        <v> </v>
      </c>
      <c r="T181" s="67" t="str">
        <f t="shared" si="167"/>
        <v> </v>
      </c>
      <c r="U181" s="67" t="str">
        <f t="shared" si="168"/>
        <v> </v>
      </c>
      <c r="V181" s="67" t="str">
        <f t="shared" si="169"/>
        <v> </v>
      </c>
      <c r="W181" s="67" t="str">
        <f t="shared" si="170"/>
        <v> </v>
      </c>
      <c r="X181" s="114" t="str">
        <f t="shared" si="171"/>
        <v> </v>
      </c>
      <c r="Y181" s="114" t="str">
        <f t="shared" si="172"/>
        <v> </v>
      </c>
      <c r="Z181" s="114">
        <f t="shared" si="173"/>
        <v>3</v>
      </c>
      <c r="AA181" s="114" t="str">
        <f t="shared" si="174"/>
        <v> </v>
      </c>
      <c r="AB181" s="114" t="str">
        <f t="shared" si="175"/>
        <v> </v>
      </c>
      <c r="AC181" s="85"/>
      <c r="AG181" s="86"/>
    </row>
    <row r="182" ht="12.75" customHeight="1">
      <c r="A182" s="1"/>
      <c r="B182" s="115"/>
      <c r="C182" s="122" t="s">
        <v>82</v>
      </c>
      <c r="D182" s="117">
        <v>0.75</v>
      </c>
      <c r="E182" s="118">
        <v>2.0</v>
      </c>
      <c r="F182" s="119">
        <v>4.0</v>
      </c>
      <c r="G182" s="120">
        <f>'Start Here'!$F$23*D182</f>
        <v>75</v>
      </c>
      <c r="H182" s="67"/>
      <c r="I182" s="67"/>
      <c r="J182" s="67"/>
      <c r="K182" s="67"/>
      <c r="L182" s="113">
        <f t="shared" si="178"/>
        <v>8</v>
      </c>
      <c r="M182" s="113">
        <f t="shared" si="179"/>
        <v>600</v>
      </c>
      <c r="N182" s="67"/>
      <c r="O182" s="67"/>
      <c r="P182" s="67"/>
      <c r="Q182" s="67"/>
      <c r="R182" s="67"/>
      <c r="S182" s="67" t="str">
        <f t="shared" si="166"/>
        <v> </v>
      </c>
      <c r="T182" s="67" t="str">
        <f t="shared" si="167"/>
        <v> </v>
      </c>
      <c r="U182" s="67" t="str">
        <f t="shared" si="168"/>
        <v> </v>
      </c>
      <c r="V182" s="67" t="str">
        <f t="shared" si="169"/>
        <v> </v>
      </c>
      <c r="W182" s="67" t="str">
        <f t="shared" si="170"/>
        <v> </v>
      </c>
      <c r="X182" s="114" t="str">
        <f t="shared" si="171"/>
        <v> </v>
      </c>
      <c r="Y182" s="114" t="str">
        <f t="shared" si="172"/>
        <v> </v>
      </c>
      <c r="Z182" s="114">
        <f t="shared" si="173"/>
        <v>8</v>
      </c>
      <c r="AA182" s="114" t="str">
        <f t="shared" si="174"/>
        <v> </v>
      </c>
      <c r="AB182" s="114" t="str">
        <f t="shared" si="175"/>
        <v> </v>
      </c>
      <c r="AC182" s="85"/>
      <c r="AG182" s="86"/>
    </row>
    <row r="183" ht="12.75" customHeight="1">
      <c r="A183" s="1"/>
      <c r="B183" s="96">
        <v>4.0</v>
      </c>
      <c r="C183" s="97" t="s">
        <v>83</v>
      </c>
      <c r="D183" s="98"/>
      <c r="E183" s="98">
        <v>6.0</v>
      </c>
      <c r="F183" s="98">
        <v>5.0</v>
      </c>
      <c r="G183" s="99"/>
      <c r="H183" s="67"/>
      <c r="I183" s="67"/>
      <c r="J183" s="67"/>
      <c r="K183" s="67"/>
      <c r="L183" s="67"/>
      <c r="M183" s="67"/>
      <c r="N183" s="67"/>
      <c r="O183" s="67"/>
      <c r="P183" s="67"/>
      <c r="Q183" s="67"/>
      <c r="R183" s="67"/>
      <c r="S183" s="67"/>
      <c r="T183" s="67"/>
      <c r="U183" s="67"/>
      <c r="V183" s="67"/>
      <c r="W183" s="67"/>
      <c r="X183" s="67"/>
      <c r="Y183" s="67"/>
      <c r="Z183" s="67"/>
      <c r="AA183" s="67"/>
      <c r="AB183" s="67"/>
      <c r="AC183" s="85"/>
      <c r="AG183" s="86"/>
    </row>
    <row r="184" ht="12.75" customHeight="1">
      <c r="A184" s="1"/>
      <c r="B184" s="100">
        <v>5.0</v>
      </c>
      <c r="C184" s="101" t="s">
        <v>64</v>
      </c>
      <c r="D184" s="102"/>
      <c r="E184" s="102">
        <v>8.0</v>
      </c>
      <c r="F184" s="102">
        <v>4.0</v>
      </c>
      <c r="G184" s="103"/>
      <c r="H184" s="67"/>
      <c r="I184" s="67"/>
      <c r="J184" s="67"/>
      <c r="K184" s="67"/>
      <c r="L184" s="67"/>
      <c r="M184" s="67"/>
      <c r="N184" s="67"/>
      <c r="O184" s="67"/>
      <c r="P184" s="67"/>
      <c r="Q184" s="67"/>
      <c r="R184" s="67"/>
      <c r="S184" s="67"/>
      <c r="T184" s="67"/>
      <c r="U184" s="67"/>
      <c r="V184" s="67"/>
      <c r="W184" s="67"/>
      <c r="X184" s="67"/>
      <c r="Y184" s="67"/>
      <c r="Z184" s="67"/>
      <c r="AA184" s="67"/>
      <c r="AB184" s="67"/>
      <c r="AC184" s="104"/>
      <c r="AD184" s="105"/>
      <c r="AE184" s="105"/>
      <c r="AF184" s="105"/>
      <c r="AG184" s="106"/>
    </row>
    <row r="185" ht="12.75" customHeight="1">
      <c r="A185" s="141"/>
      <c r="B185" s="142"/>
      <c r="C185" s="142"/>
      <c r="D185" s="143"/>
      <c r="E185" s="143"/>
      <c r="F185" s="143"/>
      <c r="G185" s="143"/>
      <c r="H185" s="144">
        <f t="shared" ref="H185:AB185" si="180">SUM(H120:H184)</f>
        <v>56</v>
      </c>
      <c r="I185" s="144">
        <f t="shared" si="180"/>
        <v>3495</v>
      </c>
      <c r="J185" s="142">
        <f t="shared" si="180"/>
        <v>126</v>
      </c>
      <c r="K185" s="142">
        <f t="shared" si="180"/>
        <v>8315</v>
      </c>
      <c r="L185" s="142">
        <f t="shared" si="180"/>
        <v>75</v>
      </c>
      <c r="M185" s="142">
        <f t="shared" si="180"/>
        <v>5220</v>
      </c>
      <c r="N185" s="144">
        <f t="shared" si="180"/>
        <v>21</v>
      </c>
      <c r="O185" s="144">
        <f t="shared" si="180"/>
        <v>7</v>
      </c>
      <c r="P185" s="144">
        <f t="shared" si="180"/>
        <v>14</v>
      </c>
      <c r="Q185" s="144">
        <f t="shared" si="180"/>
        <v>10</v>
      </c>
      <c r="R185" s="144">
        <f t="shared" si="180"/>
        <v>0</v>
      </c>
      <c r="S185" s="142">
        <f t="shared" si="180"/>
        <v>21</v>
      </c>
      <c r="T185" s="142">
        <f t="shared" si="180"/>
        <v>52</v>
      </c>
      <c r="U185" s="142">
        <f t="shared" si="180"/>
        <v>36</v>
      </c>
      <c r="V185" s="142">
        <f t="shared" si="180"/>
        <v>14</v>
      </c>
      <c r="W185" s="142">
        <f t="shared" si="180"/>
        <v>3</v>
      </c>
      <c r="X185" s="142">
        <f t="shared" si="180"/>
        <v>9</v>
      </c>
      <c r="Y185" s="142">
        <f t="shared" si="180"/>
        <v>13</v>
      </c>
      <c r="Z185" s="142">
        <f t="shared" si="180"/>
        <v>37</v>
      </c>
      <c r="AA185" s="142">
        <f t="shared" si="180"/>
        <v>16</v>
      </c>
      <c r="AB185" s="142">
        <f t="shared" si="180"/>
        <v>0</v>
      </c>
      <c r="AC185" s="67"/>
      <c r="AD185" s="142"/>
      <c r="AE185" s="142"/>
      <c r="AF185" s="142"/>
      <c r="AG185" s="142"/>
    </row>
    <row r="186" ht="37.5" customHeight="1">
      <c r="A186" s="1"/>
      <c r="B186" s="66" t="s">
        <v>84</v>
      </c>
      <c r="H186" s="67"/>
      <c r="I186" s="67"/>
      <c r="J186" s="67"/>
      <c r="K186" s="67"/>
      <c r="L186" s="67"/>
      <c r="M186" s="67"/>
      <c r="N186" s="67"/>
      <c r="O186" s="67"/>
      <c r="P186" s="67"/>
      <c r="Q186" s="67"/>
      <c r="R186" s="67"/>
      <c r="S186" s="67"/>
      <c r="T186" s="67"/>
      <c r="U186" s="67"/>
      <c r="V186" s="67"/>
      <c r="W186" s="67"/>
      <c r="X186" s="67"/>
      <c r="Y186" s="67"/>
      <c r="Z186" s="67"/>
      <c r="AA186" s="67"/>
      <c r="AB186" s="67"/>
      <c r="AC186" s="67"/>
      <c r="AD186" s="67"/>
      <c r="AE186" s="67"/>
      <c r="AF186" s="67"/>
      <c r="AG186" s="67"/>
    </row>
    <row r="187" ht="48.0" customHeight="1">
      <c r="A187" s="1"/>
      <c r="B187" s="68" t="s">
        <v>33</v>
      </c>
      <c r="D187" s="68" t="s">
        <v>34</v>
      </c>
      <c r="E187" s="68" t="s">
        <v>35</v>
      </c>
      <c r="F187" s="68" t="s">
        <v>36</v>
      </c>
      <c r="G187" s="68" t="s">
        <v>37</v>
      </c>
      <c r="H187" s="67"/>
      <c r="I187" s="67"/>
      <c r="J187" s="67"/>
      <c r="K187" s="67"/>
      <c r="L187" s="67"/>
      <c r="M187" s="67"/>
      <c r="N187" s="67"/>
      <c r="O187" s="67"/>
      <c r="P187" s="67"/>
      <c r="Q187" s="67"/>
      <c r="R187" s="67"/>
      <c r="S187" s="67"/>
      <c r="T187" s="67"/>
      <c r="U187" s="67"/>
      <c r="V187" s="67"/>
      <c r="W187" s="67"/>
      <c r="X187" s="67"/>
      <c r="Y187" s="67"/>
      <c r="Z187" s="67"/>
      <c r="AA187" s="67"/>
      <c r="AB187" s="67"/>
      <c r="AC187" s="67" t="s">
        <v>43</v>
      </c>
      <c r="AD187" s="67"/>
      <c r="AE187" s="67"/>
      <c r="AF187" s="67"/>
      <c r="AG187" s="67"/>
    </row>
    <row r="188" ht="12.75" customHeight="1">
      <c r="A188" s="1"/>
      <c r="B188" s="69">
        <v>1.0</v>
      </c>
      <c r="C188" s="70" t="s">
        <v>44</v>
      </c>
      <c r="D188" s="71">
        <v>0.4</v>
      </c>
      <c r="E188" s="145">
        <v>3.0</v>
      </c>
      <c r="F188" s="72">
        <v>1.0</v>
      </c>
      <c r="G188" s="73">
        <f>'Start Here'!$F$21*D188</f>
        <v>40</v>
      </c>
      <c r="H188" s="74">
        <f t="shared" ref="H188:H191" si="181">E188*F188</f>
        <v>3</v>
      </c>
      <c r="I188" s="75">
        <f t="shared" ref="I188:I191" si="182">G188*H188</f>
        <v>120</v>
      </c>
      <c r="J188" s="67"/>
      <c r="K188" s="67"/>
      <c r="L188" s="67"/>
      <c r="M188" s="67"/>
      <c r="N188" s="75" t="str">
        <f t="shared" ref="N188:N201" si="183">IF(ISNUMBER(SEARCH("squat",$C188)),IF($D188&gt;=0.5,IF($D188&lt;0.6,$E188*$F188," ")," ")," ")</f>
        <v> </v>
      </c>
      <c r="O188" s="75" t="str">
        <f t="shared" ref="O188:O201" si="184">IF(ISNUMBER(SEARCH("squat",$C188)),IF($D188&gt;=0.6,IF($D188&lt;0.7,$E188*$F188," ")," ")," ")</f>
        <v> </v>
      </c>
      <c r="P188" s="75" t="str">
        <f t="shared" ref="P188:P201" si="185">IF(ISNUMBER(SEARCH("squat",$C188)),IF($D188&gt;=0.7,IF($D188&lt;0.8,$E188*$F188," ")," ")," ")</f>
        <v> </v>
      </c>
      <c r="Q188" s="75" t="str">
        <f t="shared" ref="Q188:Q201" si="186">IF(ISNUMBER(SEARCH("squat",$C188)),IF($D188&gt;=0.8,IF($D188&lt;0.9,$E188*$F188," ")," ")," ")</f>
        <v> </v>
      </c>
      <c r="R188" s="75" t="str">
        <f t="shared" ref="R188:R201" si="187">IF(ISNUMBER(SEARCH("squat",$C188)),IF($D188&gt;=0.9,$E188*$F188," ")," ")</f>
        <v> </v>
      </c>
      <c r="S188" s="67" t="str">
        <f t="shared" ref="S188:S201" si="188">IF(ISNUMBER(SEARCH("bench",$C188)),IF($D188&gt;=0.5,IF($D188&lt;0.6,$E188*$F188," ")," ")," ")</f>
        <v> </v>
      </c>
      <c r="T188" s="67" t="str">
        <f t="shared" ref="T188:T201" si="189">IF(ISNUMBER(SEARCH("bench",$C188)),IF($D188&gt;=0.6,IF($D188&lt;0.7,$E188*$F188," ")," ")," ")</f>
        <v> </v>
      </c>
      <c r="U188" s="67" t="str">
        <f t="shared" ref="U188:U201" si="190">IF(ISNUMBER(SEARCH("bench",$C188)),IF($D188&gt;=0.7,IF($D188&lt;0.8,$E188*$F188," ")," ")," ")</f>
        <v> </v>
      </c>
      <c r="V188" s="67" t="str">
        <f t="shared" ref="V188:V201" si="191">IF(ISNUMBER(SEARCH("bench",$C188)),IF($D188&gt;=0.8,IF($D188&lt;0.9,$E188*$F188," ")," ")," ")</f>
        <v> </v>
      </c>
      <c r="W188" s="67" t="str">
        <f t="shared" ref="W188:W201" si="192">IF(ISNUMBER(SEARCH("bench",$C188)),IF($D188&gt;=0.9,$E188*$F188," ")," ")</f>
        <v> </v>
      </c>
      <c r="X188" s="67"/>
      <c r="Y188" s="67"/>
      <c r="Z188" s="67"/>
      <c r="AA188" s="67"/>
      <c r="AB188" s="67"/>
      <c r="AC188" s="76"/>
      <c r="AD188" s="77"/>
      <c r="AE188" s="77"/>
      <c r="AF188" s="77"/>
      <c r="AG188" s="78"/>
    </row>
    <row r="189" ht="12.75" customHeight="1">
      <c r="A189" s="1"/>
      <c r="B189" s="79"/>
      <c r="C189" s="80" t="s">
        <v>44</v>
      </c>
      <c r="D189" s="81">
        <v>0.45</v>
      </c>
      <c r="E189" s="82">
        <v>3.0</v>
      </c>
      <c r="F189" s="83">
        <v>1.0</v>
      </c>
      <c r="G189" s="84">
        <f>'Start Here'!$F$21*D189</f>
        <v>45</v>
      </c>
      <c r="H189" s="74">
        <f t="shared" si="181"/>
        <v>3</v>
      </c>
      <c r="I189" s="75">
        <f t="shared" si="182"/>
        <v>135</v>
      </c>
      <c r="J189" s="67"/>
      <c r="K189" s="67"/>
      <c r="L189" s="67"/>
      <c r="M189" s="67"/>
      <c r="N189" s="75" t="str">
        <f t="shared" si="183"/>
        <v> </v>
      </c>
      <c r="O189" s="75" t="str">
        <f t="shared" si="184"/>
        <v> </v>
      </c>
      <c r="P189" s="75" t="str">
        <f t="shared" si="185"/>
        <v> </v>
      </c>
      <c r="Q189" s="75" t="str">
        <f t="shared" si="186"/>
        <v> </v>
      </c>
      <c r="R189" s="75" t="str">
        <f t="shared" si="187"/>
        <v> </v>
      </c>
      <c r="S189" s="67" t="str">
        <f t="shared" si="188"/>
        <v> </v>
      </c>
      <c r="T189" s="67" t="str">
        <f t="shared" si="189"/>
        <v> </v>
      </c>
      <c r="U189" s="67" t="str">
        <f t="shared" si="190"/>
        <v> </v>
      </c>
      <c r="V189" s="67" t="str">
        <f t="shared" si="191"/>
        <v> </v>
      </c>
      <c r="W189" s="67" t="str">
        <f t="shared" si="192"/>
        <v> </v>
      </c>
      <c r="X189" s="67"/>
      <c r="Y189" s="67"/>
      <c r="Z189" s="67"/>
      <c r="AA189" s="67"/>
      <c r="AB189" s="67"/>
      <c r="AC189" s="85"/>
      <c r="AG189" s="86"/>
    </row>
    <row r="190" ht="12.75" customHeight="1">
      <c r="A190" s="1"/>
      <c r="B190" s="79"/>
      <c r="C190" s="80" t="s">
        <v>44</v>
      </c>
      <c r="D190" s="81">
        <v>0.5</v>
      </c>
      <c r="E190" s="82">
        <v>3.0</v>
      </c>
      <c r="F190" s="83">
        <v>2.0</v>
      </c>
      <c r="G190" s="84">
        <f>'Start Here'!$F$21*D190</f>
        <v>50</v>
      </c>
      <c r="H190" s="74">
        <f t="shared" si="181"/>
        <v>6</v>
      </c>
      <c r="I190" s="75">
        <f t="shared" si="182"/>
        <v>300</v>
      </c>
      <c r="J190" s="67"/>
      <c r="K190" s="67"/>
      <c r="L190" s="67"/>
      <c r="M190" s="67"/>
      <c r="N190" s="75">
        <f t="shared" si="183"/>
        <v>6</v>
      </c>
      <c r="O190" s="75" t="str">
        <f t="shared" si="184"/>
        <v> </v>
      </c>
      <c r="P190" s="75" t="str">
        <f t="shared" si="185"/>
        <v> </v>
      </c>
      <c r="Q190" s="75" t="str">
        <f t="shared" si="186"/>
        <v> </v>
      </c>
      <c r="R190" s="75" t="str">
        <f t="shared" si="187"/>
        <v> </v>
      </c>
      <c r="S190" s="67" t="str">
        <f t="shared" si="188"/>
        <v> </v>
      </c>
      <c r="T190" s="67" t="str">
        <f t="shared" si="189"/>
        <v> </v>
      </c>
      <c r="U190" s="67" t="str">
        <f t="shared" si="190"/>
        <v> </v>
      </c>
      <c r="V190" s="67" t="str">
        <f t="shared" si="191"/>
        <v> </v>
      </c>
      <c r="W190" s="67" t="str">
        <f t="shared" si="192"/>
        <v> </v>
      </c>
      <c r="X190" s="67"/>
      <c r="Y190" s="67"/>
      <c r="Z190" s="67"/>
      <c r="AA190" s="67"/>
      <c r="AB190" s="67"/>
      <c r="AC190" s="85"/>
      <c r="AG190" s="86"/>
    </row>
    <row r="191" ht="12.75" customHeight="1">
      <c r="A191" s="1"/>
      <c r="B191" s="79"/>
      <c r="C191" s="80" t="s">
        <v>44</v>
      </c>
      <c r="D191" s="81">
        <v>0.55</v>
      </c>
      <c r="E191" s="82">
        <v>3.0</v>
      </c>
      <c r="F191" s="83">
        <v>3.0</v>
      </c>
      <c r="G191" s="84">
        <f>'Start Here'!$F$21*D191</f>
        <v>55</v>
      </c>
      <c r="H191" s="74">
        <f t="shared" si="181"/>
        <v>9</v>
      </c>
      <c r="I191" s="75">
        <f t="shared" si="182"/>
        <v>495</v>
      </c>
      <c r="J191" s="67"/>
      <c r="K191" s="67"/>
      <c r="L191" s="67"/>
      <c r="M191" s="67"/>
      <c r="N191" s="75">
        <f t="shared" si="183"/>
        <v>9</v>
      </c>
      <c r="O191" s="75" t="str">
        <f t="shared" si="184"/>
        <v> </v>
      </c>
      <c r="P191" s="75" t="str">
        <f t="shared" si="185"/>
        <v> </v>
      </c>
      <c r="Q191" s="75" t="str">
        <f t="shared" si="186"/>
        <v> </v>
      </c>
      <c r="R191" s="75" t="str">
        <f t="shared" si="187"/>
        <v> </v>
      </c>
      <c r="S191" s="67" t="str">
        <f t="shared" si="188"/>
        <v> </v>
      </c>
      <c r="T191" s="67" t="str">
        <f t="shared" si="189"/>
        <v> </v>
      </c>
      <c r="U191" s="67" t="str">
        <f t="shared" si="190"/>
        <v> </v>
      </c>
      <c r="V191" s="67" t="str">
        <f t="shared" si="191"/>
        <v> </v>
      </c>
      <c r="W191" s="67" t="str">
        <f t="shared" si="192"/>
        <v> </v>
      </c>
      <c r="X191" s="67"/>
      <c r="Y191" s="67"/>
      <c r="Z191" s="67"/>
      <c r="AA191" s="67"/>
      <c r="AB191" s="67"/>
      <c r="AC191" s="85"/>
      <c r="AG191" s="86"/>
    </row>
    <row r="192" ht="12.75" customHeight="1">
      <c r="A192" s="1"/>
      <c r="B192" s="87">
        <v>2.0</v>
      </c>
      <c r="C192" s="88" t="s">
        <v>45</v>
      </c>
      <c r="D192" s="89">
        <v>0.5</v>
      </c>
      <c r="E192" s="90">
        <v>5.0</v>
      </c>
      <c r="F192" s="91">
        <v>1.0</v>
      </c>
      <c r="G192" s="92">
        <f>'Start Here'!$F$22*D192</f>
        <v>50</v>
      </c>
      <c r="H192" s="67"/>
      <c r="I192" s="67"/>
      <c r="J192" s="93">
        <f t="shared" ref="J192:J197" si="193">E192*F192</f>
        <v>5</v>
      </c>
      <c r="K192" s="93">
        <f t="shared" ref="K192:K197" si="194">G192*J192</f>
        <v>250</v>
      </c>
      <c r="L192" s="67"/>
      <c r="M192" s="67"/>
      <c r="N192" s="67" t="str">
        <f t="shared" si="183"/>
        <v> </v>
      </c>
      <c r="O192" s="67" t="str">
        <f t="shared" si="184"/>
        <v> </v>
      </c>
      <c r="P192" s="67" t="str">
        <f t="shared" si="185"/>
        <v> </v>
      </c>
      <c r="Q192" s="67" t="str">
        <f t="shared" si="186"/>
        <v> </v>
      </c>
      <c r="R192" s="67" t="str">
        <f t="shared" si="187"/>
        <v> </v>
      </c>
      <c r="S192" s="93">
        <f t="shared" si="188"/>
        <v>5</v>
      </c>
      <c r="T192" s="93" t="str">
        <f t="shared" si="189"/>
        <v> </v>
      </c>
      <c r="U192" s="93" t="str">
        <f t="shared" si="190"/>
        <v> </v>
      </c>
      <c r="V192" s="93" t="str">
        <f t="shared" si="191"/>
        <v> </v>
      </c>
      <c r="W192" s="93" t="str">
        <f t="shared" si="192"/>
        <v> </v>
      </c>
      <c r="X192" s="67"/>
      <c r="Y192" s="67"/>
      <c r="Z192" s="67"/>
      <c r="AA192" s="67"/>
      <c r="AB192" s="67"/>
      <c r="AC192" s="85"/>
      <c r="AG192" s="86"/>
    </row>
    <row r="193" ht="12.75" customHeight="1">
      <c r="A193" s="1"/>
      <c r="B193" s="87"/>
      <c r="C193" s="94" t="s">
        <v>45</v>
      </c>
      <c r="D193" s="89">
        <v>0.6</v>
      </c>
      <c r="E193" s="90">
        <v>4.0</v>
      </c>
      <c r="F193" s="91">
        <v>1.0</v>
      </c>
      <c r="G193" s="92">
        <f>'Start Here'!$F$22*D193</f>
        <v>60</v>
      </c>
      <c r="H193" s="67"/>
      <c r="I193" s="67"/>
      <c r="J193" s="93">
        <f t="shared" si="193"/>
        <v>4</v>
      </c>
      <c r="K193" s="93">
        <f t="shared" si="194"/>
        <v>240</v>
      </c>
      <c r="L193" s="67"/>
      <c r="M193" s="67"/>
      <c r="N193" s="67" t="str">
        <f t="shared" si="183"/>
        <v> </v>
      </c>
      <c r="O193" s="67" t="str">
        <f t="shared" si="184"/>
        <v> </v>
      </c>
      <c r="P193" s="67" t="str">
        <f t="shared" si="185"/>
        <v> </v>
      </c>
      <c r="Q193" s="67" t="str">
        <f t="shared" si="186"/>
        <v> </v>
      </c>
      <c r="R193" s="67" t="str">
        <f t="shared" si="187"/>
        <v> </v>
      </c>
      <c r="S193" s="93" t="str">
        <f t="shared" si="188"/>
        <v> </v>
      </c>
      <c r="T193" s="93">
        <f t="shared" si="189"/>
        <v>4</v>
      </c>
      <c r="U193" s="93" t="str">
        <f t="shared" si="190"/>
        <v> </v>
      </c>
      <c r="V193" s="93" t="str">
        <f t="shared" si="191"/>
        <v> </v>
      </c>
      <c r="W193" s="93" t="str">
        <f t="shared" si="192"/>
        <v> </v>
      </c>
      <c r="X193" s="67"/>
      <c r="Y193" s="67"/>
      <c r="Z193" s="67"/>
      <c r="AA193" s="67"/>
      <c r="AB193" s="67"/>
      <c r="AC193" s="85"/>
      <c r="AG193" s="86"/>
    </row>
    <row r="194" ht="12.75" customHeight="1">
      <c r="A194" s="1"/>
      <c r="B194" s="87"/>
      <c r="C194" s="94" t="s">
        <v>45</v>
      </c>
      <c r="D194" s="89">
        <v>0.7</v>
      </c>
      <c r="E194" s="90">
        <v>3.0</v>
      </c>
      <c r="F194" s="91">
        <v>1.0</v>
      </c>
      <c r="G194" s="92">
        <f>'Start Here'!$F$22*D194</f>
        <v>70</v>
      </c>
      <c r="H194" s="67"/>
      <c r="I194" s="67"/>
      <c r="J194" s="93">
        <f t="shared" si="193"/>
        <v>3</v>
      </c>
      <c r="K194" s="93">
        <f t="shared" si="194"/>
        <v>210</v>
      </c>
      <c r="L194" s="67"/>
      <c r="M194" s="67"/>
      <c r="N194" s="67" t="str">
        <f t="shared" si="183"/>
        <v> </v>
      </c>
      <c r="O194" s="67" t="str">
        <f t="shared" si="184"/>
        <v> </v>
      </c>
      <c r="P194" s="67" t="str">
        <f t="shared" si="185"/>
        <v> </v>
      </c>
      <c r="Q194" s="67" t="str">
        <f t="shared" si="186"/>
        <v> </v>
      </c>
      <c r="R194" s="67" t="str">
        <f t="shared" si="187"/>
        <v> </v>
      </c>
      <c r="S194" s="93" t="str">
        <f t="shared" si="188"/>
        <v> </v>
      </c>
      <c r="T194" s="93" t="str">
        <f t="shared" si="189"/>
        <v> </v>
      </c>
      <c r="U194" s="93">
        <f t="shared" si="190"/>
        <v>3</v>
      </c>
      <c r="V194" s="93" t="str">
        <f t="shared" si="191"/>
        <v> </v>
      </c>
      <c r="W194" s="93" t="str">
        <f t="shared" si="192"/>
        <v> </v>
      </c>
      <c r="X194" s="67"/>
      <c r="Y194" s="67"/>
      <c r="Z194" s="67"/>
      <c r="AA194" s="67"/>
      <c r="AB194" s="67"/>
      <c r="AC194" s="85"/>
      <c r="AG194" s="86"/>
    </row>
    <row r="195" ht="12.75" customHeight="1">
      <c r="A195" s="1"/>
      <c r="B195" s="87"/>
      <c r="C195" s="94" t="s">
        <v>45</v>
      </c>
      <c r="D195" s="89">
        <v>0.8</v>
      </c>
      <c r="E195" s="90">
        <v>3.0</v>
      </c>
      <c r="F195" s="91">
        <v>2.0</v>
      </c>
      <c r="G195" s="92">
        <f>'Start Here'!$F$22*D195</f>
        <v>80</v>
      </c>
      <c r="H195" s="67"/>
      <c r="I195" s="67"/>
      <c r="J195" s="93">
        <f t="shared" si="193"/>
        <v>6</v>
      </c>
      <c r="K195" s="93">
        <f t="shared" si="194"/>
        <v>480</v>
      </c>
      <c r="L195" s="67"/>
      <c r="M195" s="67"/>
      <c r="N195" s="67" t="str">
        <f t="shared" si="183"/>
        <v> </v>
      </c>
      <c r="O195" s="67" t="str">
        <f t="shared" si="184"/>
        <v> </v>
      </c>
      <c r="P195" s="67" t="str">
        <f t="shared" si="185"/>
        <v> </v>
      </c>
      <c r="Q195" s="67" t="str">
        <f t="shared" si="186"/>
        <v> </v>
      </c>
      <c r="R195" s="67" t="str">
        <f t="shared" si="187"/>
        <v> </v>
      </c>
      <c r="S195" s="93" t="str">
        <f t="shared" si="188"/>
        <v> </v>
      </c>
      <c r="T195" s="93" t="str">
        <f t="shared" si="189"/>
        <v> </v>
      </c>
      <c r="U195" s="93" t="str">
        <f t="shared" si="190"/>
        <v> </v>
      </c>
      <c r="V195" s="93">
        <f t="shared" si="191"/>
        <v>6</v>
      </c>
      <c r="W195" s="93" t="str">
        <f t="shared" si="192"/>
        <v> </v>
      </c>
      <c r="X195" s="67"/>
      <c r="Y195" s="67"/>
      <c r="Z195" s="67"/>
      <c r="AA195" s="67"/>
      <c r="AB195" s="67"/>
      <c r="AC195" s="85"/>
      <c r="AG195" s="86"/>
    </row>
    <row r="196" ht="12.75" customHeight="1">
      <c r="A196" s="1"/>
      <c r="B196" s="87"/>
      <c r="C196" s="94" t="s">
        <v>45</v>
      </c>
      <c r="D196" s="89">
        <v>0.85</v>
      </c>
      <c r="E196" s="90">
        <v>2.0</v>
      </c>
      <c r="F196" s="91">
        <v>3.0</v>
      </c>
      <c r="G196" s="92">
        <f>'Start Here'!$F$22*D196</f>
        <v>85</v>
      </c>
      <c r="H196" s="67"/>
      <c r="I196" s="67"/>
      <c r="J196" s="93">
        <f t="shared" si="193"/>
        <v>6</v>
      </c>
      <c r="K196" s="93">
        <f t="shared" si="194"/>
        <v>510</v>
      </c>
      <c r="L196" s="67"/>
      <c r="M196" s="67"/>
      <c r="N196" s="67" t="str">
        <f t="shared" si="183"/>
        <v> </v>
      </c>
      <c r="O196" s="67" t="str">
        <f t="shared" si="184"/>
        <v> </v>
      </c>
      <c r="P196" s="67" t="str">
        <f t="shared" si="185"/>
        <v> </v>
      </c>
      <c r="Q196" s="67" t="str">
        <f t="shared" si="186"/>
        <v> </v>
      </c>
      <c r="R196" s="67" t="str">
        <f t="shared" si="187"/>
        <v> </v>
      </c>
      <c r="S196" s="93" t="str">
        <f t="shared" si="188"/>
        <v> </v>
      </c>
      <c r="T196" s="93" t="str">
        <f t="shared" si="189"/>
        <v> </v>
      </c>
      <c r="U196" s="93" t="str">
        <f t="shared" si="190"/>
        <v> </v>
      </c>
      <c r="V196" s="93">
        <f t="shared" si="191"/>
        <v>6</v>
      </c>
      <c r="W196" s="93" t="str">
        <f t="shared" si="192"/>
        <v> </v>
      </c>
      <c r="X196" s="67"/>
      <c r="Y196" s="67"/>
      <c r="Z196" s="67"/>
      <c r="AA196" s="67"/>
      <c r="AB196" s="67"/>
      <c r="AC196" s="85"/>
      <c r="AG196" s="86"/>
    </row>
    <row r="197" ht="12.75" customHeight="1">
      <c r="A197" s="1"/>
      <c r="B197" s="87"/>
      <c r="C197" s="94" t="s">
        <v>45</v>
      </c>
      <c r="D197" s="89">
        <v>0.8</v>
      </c>
      <c r="E197" s="90">
        <v>3.0</v>
      </c>
      <c r="F197" s="91">
        <v>2.0</v>
      </c>
      <c r="G197" s="92">
        <f>'Start Here'!$F$22*D197</f>
        <v>80</v>
      </c>
      <c r="H197" s="67"/>
      <c r="I197" s="67"/>
      <c r="J197" s="93">
        <f t="shared" si="193"/>
        <v>6</v>
      </c>
      <c r="K197" s="93">
        <f t="shared" si="194"/>
        <v>480</v>
      </c>
      <c r="L197" s="67"/>
      <c r="M197" s="67"/>
      <c r="N197" s="67" t="str">
        <f t="shared" si="183"/>
        <v> </v>
      </c>
      <c r="O197" s="67" t="str">
        <f t="shared" si="184"/>
        <v> </v>
      </c>
      <c r="P197" s="67" t="str">
        <f t="shared" si="185"/>
        <v> </v>
      </c>
      <c r="Q197" s="67" t="str">
        <f t="shared" si="186"/>
        <v> </v>
      </c>
      <c r="R197" s="67" t="str">
        <f t="shared" si="187"/>
        <v> </v>
      </c>
      <c r="S197" s="93" t="str">
        <f t="shared" si="188"/>
        <v> </v>
      </c>
      <c r="T197" s="93" t="str">
        <f t="shared" si="189"/>
        <v> </v>
      </c>
      <c r="U197" s="93" t="str">
        <f t="shared" si="190"/>
        <v> </v>
      </c>
      <c r="V197" s="93">
        <f t="shared" si="191"/>
        <v>6</v>
      </c>
      <c r="W197" s="93" t="str">
        <f t="shared" si="192"/>
        <v> </v>
      </c>
      <c r="X197" s="67"/>
      <c r="Y197" s="67"/>
      <c r="Z197" s="67"/>
      <c r="AA197" s="67"/>
      <c r="AB197" s="67"/>
      <c r="AC197" s="85"/>
      <c r="AG197" s="86"/>
    </row>
    <row r="198" ht="12.75" customHeight="1">
      <c r="A198" s="1"/>
      <c r="B198" s="79">
        <v>3.0</v>
      </c>
      <c r="C198" s="95" t="s">
        <v>46</v>
      </c>
      <c r="D198" s="81">
        <v>0.5</v>
      </c>
      <c r="E198" s="82">
        <v>3.0</v>
      </c>
      <c r="F198" s="83">
        <v>1.0</v>
      </c>
      <c r="G198" s="84">
        <f>'Start Here'!$F$21*D198</f>
        <v>50</v>
      </c>
      <c r="H198" s="74">
        <f t="shared" ref="H198:H201" si="195">E198*F198</f>
        <v>3</v>
      </c>
      <c r="I198" s="75">
        <f t="shared" ref="I198:I201" si="196">G198*H198</f>
        <v>150</v>
      </c>
      <c r="J198" s="67"/>
      <c r="K198" s="67"/>
      <c r="L198" s="67"/>
      <c r="M198" s="67"/>
      <c r="N198" s="75">
        <f t="shared" si="183"/>
        <v>3</v>
      </c>
      <c r="O198" s="75" t="str">
        <f t="shared" si="184"/>
        <v> </v>
      </c>
      <c r="P198" s="75" t="str">
        <f t="shared" si="185"/>
        <v> </v>
      </c>
      <c r="Q198" s="75" t="str">
        <f t="shared" si="186"/>
        <v> </v>
      </c>
      <c r="R198" s="75" t="str">
        <f t="shared" si="187"/>
        <v> </v>
      </c>
      <c r="S198" s="67" t="str">
        <f t="shared" si="188"/>
        <v> </v>
      </c>
      <c r="T198" s="67" t="str">
        <f t="shared" si="189"/>
        <v> </v>
      </c>
      <c r="U198" s="67" t="str">
        <f t="shared" si="190"/>
        <v> </v>
      </c>
      <c r="V198" s="67" t="str">
        <f t="shared" si="191"/>
        <v> </v>
      </c>
      <c r="W198" s="67" t="str">
        <f t="shared" si="192"/>
        <v> </v>
      </c>
      <c r="X198" s="67"/>
      <c r="Y198" s="67"/>
      <c r="Z198" s="67"/>
      <c r="AA198" s="67"/>
      <c r="AB198" s="67"/>
      <c r="AC198" s="85"/>
      <c r="AG198" s="86"/>
    </row>
    <row r="199" ht="12.75" customHeight="1">
      <c r="A199" s="1"/>
      <c r="B199" s="79"/>
      <c r="C199" s="80" t="s">
        <v>46</v>
      </c>
      <c r="D199" s="81">
        <v>0.6</v>
      </c>
      <c r="E199" s="82">
        <v>3.0</v>
      </c>
      <c r="F199" s="83">
        <v>1.0</v>
      </c>
      <c r="G199" s="84">
        <f>'Start Here'!$F$21*D199</f>
        <v>60</v>
      </c>
      <c r="H199" s="74">
        <f t="shared" si="195"/>
        <v>3</v>
      </c>
      <c r="I199" s="75">
        <f t="shared" si="196"/>
        <v>180</v>
      </c>
      <c r="J199" s="67"/>
      <c r="K199" s="67"/>
      <c r="L199" s="67"/>
      <c r="M199" s="67"/>
      <c r="N199" s="75" t="str">
        <f t="shared" si="183"/>
        <v> </v>
      </c>
      <c r="O199" s="75">
        <f t="shared" si="184"/>
        <v>3</v>
      </c>
      <c r="P199" s="75" t="str">
        <f t="shared" si="185"/>
        <v> </v>
      </c>
      <c r="Q199" s="75" t="str">
        <f t="shared" si="186"/>
        <v> </v>
      </c>
      <c r="R199" s="75" t="str">
        <f t="shared" si="187"/>
        <v> </v>
      </c>
      <c r="S199" s="67" t="str">
        <f t="shared" si="188"/>
        <v> </v>
      </c>
      <c r="T199" s="67" t="str">
        <f t="shared" si="189"/>
        <v> </v>
      </c>
      <c r="U199" s="67" t="str">
        <f t="shared" si="190"/>
        <v> </v>
      </c>
      <c r="V199" s="67" t="str">
        <f t="shared" si="191"/>
        <v> </v>
      </c>
      <c r="W199" s="67" t="str">
        <f t="shared" si="192"/>
        <v> </v>
      </c>
      <c r="X199" s="67"/>
      <c r="Y199" s="67"/>
      <c r="Z199" s="67"/>
      <c r="AA199" s="67"/>
      <c r="AB199" s="67"/>
      <c r="AC199" s="85"/>
      <c r="AG199" s="86"/>
    </row>
    <row r="200" ht="12.75" customHeight="1">
      <c r="A200" s="1"/>
      <c r="B200" s="79"/>
      <c r="C200" s="80" t="s">
        <v>46</v>
      </c>
      <c r="D200" s="81">
        <v>0.7</v>
      </c>
      <c r="E200" s="82">
        <v>3.0</v>
      </c>
      <c r="F200" s="83">
        <v>1.0</v>
      </c>
      <c r="G200" s="84">
        <f>'Start Here'!$F$21*D200</f>
        <v>70</v>
      </c>
      <c r="H200" s="74">
        <f t="shared" si="195"/>
        <v>3</v>
      </c>
      <c r="I200" s="75">
        <f t="shared" si="196"/>
        <v>210</v>
      </c>
      <c r="J200" s="67"/>
      <c r="K200" s="67"/>
      <c r="L200" s="67"/>
      <c r="M200" s="67"/>
      <c r="N200" s="75" t="str">
        <f t="shared" si="183"/>
        <v> </v>
      </c>
      <c r="O200" s="75" t="str">
        <f t="shared" si="184"/>
        <v> </v>
      </c>
      <c r="P200" s="75">
        <f t="shared" si="185"/>
        <v>3</v>
      </c>
      <c r="Q200" s="75" t="str">
        <f t="shared" si="186"/>
        <v> </v>
      </c>
      <c r="R200" s="75" t="str">
        <f t="shared" si="187"/>
        <v> </v>
      </c>
      <c r="S200" s="67" t="str">
        <f t="shared" si="188"/>
        <v> </v>
      </c>
      <c r="T200" s="67" t="str">
        <f t="shared" si="189"/>
        <v> </v>
      </c>
      <c r="U200" s="67" t="str">
        <f t="shared" si="190"/>
        <v> </v>
      </c>
      <c r="V200" s="67" t="str">
        <f t="shared" si="191"/>
        <v> </v>
      </c>
      <c r="W200" s="67" t="str">
        <f t="shared" si="192"/>
        <v> </v>
      </c>
      <c r="X200" s="67"/>
      <c r="Y200" s="67"/>
      <c r="Z200" s="67"/>
      <c r="AA200" s="67"/>
      <c r="AB200" s="67"/>
      <c r="AC200" s="85"/>
      <c r="AG200" s="86"/>
    </row>
    <row r="201" ht="12.75" customHeight="1">
      <c r="A201" s="1"/>
      <c r="B201" s="79"/>
      <c r="C201" s="80" t="s">
        <v>46</v>
      </c>
      <c r="D201" s="81">
        <v>0.8</v>
      </c>
      <c r="E201" s="82">
        <v>3.0</v>
      </c>
      <c r="F201" s="83">
        <v>4.0</v>
      </c>
      <c r="G201" s="84">
        <f>'Start Here'!$F$21*D201</f>
        <v>80</v>
      </c>
      <c r="H201" s="74">
        <f t="shared" si="195"/>
        <v>12</v>
      </c>
      <c r="I201" s="75">
        <f t="shared" si="196"/>
        <v>960</v>
      </c>
      <c r="J201" s="67"/>
      <c r="K201" s="67"/>
      <c r="L201" s="67"/>
      <c r="M201" s="67"/>
      <c r="N201" s="75" t="str">
        <f t="shared" si="183"/>
        <v> </v>
      </c>
      <c r="O201" s="75" t="str">
        <f t="shared" si="184"/>
        <v> </v>
      </c>
      <c r="P201" s="75" t="str">
        <f t="shared" si="185"/>
        <v> </v>
      </c>
      <c r="Q201" s="75">
        <f t="shared" si="186"/>
        <v>12</v>
      </c>
      <c r="R201" s="75" t="str">
        <f t="shared" si="187"/>
        <v> </v>
      </c>
      <c r="S201" s="67" t="str">
        <f t="shared" si="188"/>
        <v> </v>
      </c>
      <c r="T201" s="67" t="str">
        <f t="shared" si="189"/>
        <v> </v>
      </c>
      <c r="U201" s="67" t="str">
        <f t="shared" si="190"/>
        <v> </v>
      </c>
      <c r="V201" s="67" t="str">
        <f t="shared" si="191"/>
        <v> </v>
      </c>
      <c r="W201" s="67" t="str">
        <f t="shared" si="192"/>
        <v> </v>
      </c>
      <c r="X201" s="67"/>
      <c r="Y201" s="67"/>
      <c r="Z201" s="67"/>
      <c r="AA201" s="67"/>
      <c r="AB201" s="67"/>
      <c r="AC201" s="85"/>
      <c r="AG201" s="86"/>
    </row>
    <row r="202" ht="12.75" customHeight="1">
      <c r="A202" s="1"/>
      <c r="B202" s="96">
        <v>4.0</v>
      </c>
      <c r="C202" s="97" t="s">
        <v>85</v>
      </c>
      <c r="D202" s="98"/>
      <c r="E202" s="98">
        <v>6.0</v>
      </c>
      <c r="F202" s="98">
        <v>5.0</v>
      </c>
      <c r="G202" s="99"/>
      <c r="H202" s="67"/>
      <c r="I202" s="67"/>
      <c r="J202" s="67"/>
      <c r="K202" s="67"/>
      <c r="L202" s="67"/>
      <c r="M202" s="67"/>
      <c r="N202" s="67"/>
      <c r="O202" s="67"/>
      <c r="P202" s="67"/>
      <c r="Q202" s="67"/>
      <c r="R202" s="67"/>
      <c r="S202" s="67"/>
      <c r="T202" s="67"/>
      <c r="U202" s="67"/>
      <c r="V202" s="67"/>
      <c r="W202" s="67"/>
      <c r="X202" s="67"/>
      <c r="Y202" s="67"/>
      <c r="Z202" s="67"/>
      <c r="AA202" s="67"/>
      <c r="AB202" s="67"/>
      <c r="AC202" s="85"/>
      <c r="AG202" s="86"/>
    </row>
    <row r="203" ht="12.75" customHeight="1">
      <c r="A203" s="1"/>
      <c r="B203" s="135">
        <v>5.0</v>
      </c>
      <c r="C203" s="67" t="s">
        <v>52</v>
      </c>
      <c r="D203" s="68"/>
      <c r="E203" s="68">
        <v>6.0</v>
      </c>
      <c r="F203" s="68">
        <v>4.0</v>
      </c>
      <c r="G203" s="140"/>
      <c r="H203" s="67"/>
      <c r="I203" s="67"/>
      <c r="J203" s="67"/>
      <c r="K203" s="67"/>
      <c r="L203" s="67"/>
      <c r="M203" s="67"/>
      <c r="N203" s="67"/>
      <c r="O203" s="67"/>
      <c r="P203" s="67"/>
      <c r="Q203" s="67"/>
      <c r="R203" s="67"/>
      <c r="S203" s="67"/>
      <c r="T203" s="67"/>
      <c r="U203" s="67"/>
      <c r="V203" s="67"/>
      <c r="W203" s="67"/>
      <c r="X203" s="67"/>
      <c r="Y203" s="67"/>
      <c r="Z203" s="67"/>
      <c r="AA203" s="67"/>
      <c r="AB203" s="67"/>
      <c r="AC203" s="85"/>
      <c r="AG203" s="86"/>
    </row>
    <row r="204" ht="12.75" customHeight="1">
      <c r="A204" s="1"/>
      <c r="B204" s="100">
        <v>6.0</v>
      </c>
      <c r="C204" s="101" t="s">
        <v>57</v>
      </c>
      <c r="D204" s="102"/>
      <c r="E204" s="102">
        <v>8.0</v>
      </c>
      <c r="F204" s="102">
        <v>4.0</v>
      </c>
      <c r="G204" s="103"/>
      <c r="H204" s="67"/>
      <c r="I204" s="67"/>
      <c r="J204" s="67"/>
      <c r="K204" s="67"/>
      <c r="L204" s="67"/>
      <c r="M204" s="67"/>
      <c r="N204" s="67"/>
      <c r="O204" s="67"/>
      <c r="P204" s="67"/>
      <c r="Q204" s="67"/>
      <c r="R204" s="67"/>
      <c r="S204" s="67"/>
      <c r="T204" s="67"/>
      <c r="U204" s="67"/>
      <c r="V204" s="67"/>
      <c r="W204" s="67"/>
      <c r="X204" s="67"/>
      <c r="Y204" s="67"/>
      <c r="Z204" s="67"/>
      <c r="AA204" s="67"/>
      <c r="AB204" s="67"/>
      <c r="AC204" s="104"/>
      <c r="AD204" s="105"/>
      <c r="AE204" s="105"/>
      <c r="AF204" s="105"/>
      <c r="AG204" s="106"/>
    </row>
    <row r="205" ht="12.75" customHeight="1">
      <c r="A205" s="1"/>
      <c r="B205" s="67"/>
      <c r="C205" s="67"/>
      <c r="D205" s="68"/>
      <c r="E205" s="68"/>
      <c r="F205" s="68"/>
      <c r="G205" s="68"/>
      <c r="H205" s="67"/>
      <c r="I205" s="67"/>
      <c r="J205" s="67"/>
      <c r="K205" s="67"/>
      <c r="L205" s="67"/>
      <c r="M205" s="67"/>
      <c r="N205" s="67"/>
      <c r="O205" s="67"/>
      <c r="P205" s="67"/>
      <c r="Q205" s="67"/>
      <c r="R205" s="67"/>
      <c r="S205" s="67"/>
      <c r="T205" s="67"/>
      <c r="U205" s="67"/>
      <c r="V205" s="67"/>
      <c r="W205" s="67"/>
      <c r="X205" s="67"/>
      <c r="Y205" s="67"/>
      <c r="Z205" s="67"/>
      <c r="AA205" s="67"/>
      <c r="AB205" s="67"/>
      <c r="AC205" s="67"/>
      <c r="AD205" s="67"/>
      <c r="AE205" s="67"/>
      <c r="AF205" s="67"/>
      <c r="AG205" s="67"/>
    </row>
    <row r="206" ht="48.75" customHeight="1">
      <c r="A206" s="1"/>
      <c r="B206" s="68" t="s">
        <v>49</v>
      </c>
      <c r="D206" s="68" t="s">
        <v>34</v>
      </c>
      <c r="E206" s="68" t="s">
        <v>35</v>
      </c>
      <c r="F206" s="68" t="s">
        <v>36</v>
      </c>
      <c r="G206" s="68" t="s">
        <v>37</v>
      </c>
      <c r="H206" s="67"/>
      <c r="I206" s="67"/>
      <c r="J206" s="67"/>
      <c r="K206" s="67"/>
      <c r="L206" s="67"/>
      <c r="M206" s="67"/>
      <c r="N206" s="67"/>
      <c r="O206" s="67"/>
      <c r="P206" s="67"/>
      <c r="Q206" s="67"/>
      <c r="R206" s="67"/>
      <c r="S206" s="67"/>
      <c r="T206" s="67"/>
      <c r="U206" s="67"/>
      <c r="V206" s="67"/>
      <c r="W206" s="67"/>
      <c r="X206" s="67"/>
      <c r="Y206" s="67"/>
      <c r="Z206" s="67"/>
      <c r="AA206" s="67"/>
      <c r="AB206" s="67"/>
      <c r="AC206" s="67" t="s">
        <v>43</v>
      </c>
      <c r="AD206" s="67"/>
      <c r="AE206" s="67"/>
      <c r="AF206" s="67"/>
      <c r="AG206" s="67"/>
    </row>
    <row r="207" ht="12.75" customHeight="1">
      <c r="A207" s="1"/>
      <c r="B207" s="107">
        <v>1.0</v>
      </c>
      <c r="C207" s="108" t="s">
        <v>59</v>
      </c>
      <c r="D207" s="109">
        <v>0.5</v>
      </c>
      <c r="E207" s="110">
        <v>3.0</v>
      </c>
      <c r="F207" s="111">
        <v>1.0</v>
      </c>
      <c r="G207" s="112">
        <f>'Start Here'!$F$23*D207</f>
        <v>50</v>
      </c>
      <c r="H207" s="67"/>
      <c r="I207" s="67"/>
      <c r="J207" s="67"/>
      <c r="K207" s="67"/>
      <c r="L207" s="113">
        <f t="shared" ref="L207:L209" si="197">E207*F207</f>
        <v>3</v>
      </c>
      <c r="M207" s="113">
        <f t="shared" ref="M207:M209" si="198">G207*L207</f>
        <v>150</v>
      </c>
      <c r="N207" s="67"/>
      <c r="O207" s="67"/>
      <c r="P207" s="67"/>
      <c r="Q207" s="67"/>
      <c r="R207" s="67"/>
      <c r="S207" s="67" t="str">
        <f t="shared" ref="S207:S220" si="199">IF(ISNUMBER(SEARCH("bench",$C207)),IF($D207&gt;=0.5,IF($D207&lt;0.6,$E207*$F207," ")," ")," ")</f>
        <v> </v>
      </c>
      <c r="T207" s="67" t="str">
        <f t="shared" ref="T207:T220" si="200">IF(ISNUMBER(SEARCH("bench",$C207)),IF($D207&gt;=0.6,IF($D207&lt;0.7,$E207*$F207," ")," ")," ")</f>
        <v> </v>
      </c>
      <c r="U207" s="67" t="str">
        <f t="shared" ref="U207:U220" si="201">IF(ISNUMBER(SEARCH("bench",$C207)),IF($D207&gt;=0.7,IF($D207&lt;0.8,$E207*$F207," ")," ")," ")</f>
        <v> </v>
      </c>
      <c r="V207" s="67" t="str">
        <f t="shared" ref="V207:V220" si="202">IF(ISNUMBER(SEARCH("bench",$C207)),IF($D207&gt;=0.8,IF($D207&lt;0.9,$E207*$F207," ")," ")," ")</f>
        <v> </v>
      </c>
      <c r="W207" s="67" t="str">
        <f t="shared" ref="W207:W220" si="203">IF(ISNUMBER(SEARCH("bench",$C207)),IF($D207&gt;=0.9,$E207*$F207," ")," ")</f>
        <v> </v>
      </c>
      <c r="X207" s="114">
        <f t="shared" ref="X207:X220" si="204">IF(ISNUMBER(SEARCH("deadlift",$C207)),IF($D207&gt;=0.5,IF($D207&lt;0.6,$E207*$F207," ")," ")," ")</f>
        <v>3</v>
      </c>
      <c r="Y207" s="114" t="str">
        <f t="shared" ref="Y207:Y220" si="205">IF(ISNUMBER(SEARCH("deadlift",$C207)),IF($D207&gt;=0.6,IF($D207&lt;0.7,$E207*$F207," ")," ")," ")</f>
        <v> </v>
      </c>
      <c r="Z207" s="114" t="str">
        <f t="shared" ref="Z207:Z220" si="206">IF(ISNUMBER(SEARCH("deadlift",$C207)),IF($D207&gt;=0.7,IF($D207&lt;0.8,$E207*$F207," ")," ")," ")</f>
        <v> </v>
      </c>
      <c r="AA207" s="114" t="str">
        <f t="shared" ref="AA207:AA220" si="207">IF(ISNUMBER(SEARCH("deadlift",$C207)),IF($D207&gt;=0.8,IF($D207&lt;0.9,$E207*$F207," ")," ")," ")</f>
        <v> </v>
      </c>
      <c r="AB207" s="114" t="str">
        <f t="shared" ref="AB207:AB220" si="208">IF(ISNUMBER(SEARCH("deadlift",$C207)),IF($D207&gt;=0.9,$E207*$F207," ")," ")</f>
        <v> </v>
      </c>
      <c r="AC207" s="76"/>
      <c r="AD207" s="77"/>
      <c r="AE207" s="77"/>
      <c r="AF207" s="77"/>
      <c r="AG207" s="78"/>
    </row>
    <row r="208" ht="12.75" customHeight="1">
      <c r="A208" s="1"/>
      <c r="B208" s="115"/>
      <c r="C208" s="122" t="s">
        <v>59</v>
      </c>
      <c r="D208" s="117">
        <v>0.6</v>
      </c>
      <c r="E208" s="118">
        <v>3.0</v>
      </c>
      <c r="F208" s="119">
        <v>1.0</v>
      </c>
      <c r="G208" s="120">
        <f>'Start Here'!$F$23*D208</f>
        <v>60</v>
      </c>
      <c r="H208" s="67"/>
      <c r="I208" s="67"/>
      <c r="J208" s="67"/>
      <c r="K208" s="67"/>
      <c r="L208" s="113">
        <f t="shared" si="197"/>
        <v>3</v>
      </c>
      <c r="M208" s="113">
        <f t="shared" si="198"/>
        <v>180</v>
      </c>
      <c r="N208" s="67"/>
      <c r="O208" s="67"/>
      <c r="P208" s="67"/>
      <c r="Q208" s="67"/>
      <c r="R208" s="67"/>
      <c r="S208" s="67" t="str">
        <f t="shared" si="199"/>
        <v> </v>
      </c>
      <c r="T208" s="67" t="str">
        <f t="shared" si="200"/>
        <v> </v>
      </c>
      <c r="U208" s="67" t="str">
        <f t="shared" si="201"/>
        <v> </v>
      </c>
      <c r="V208" s="67" t="str">
        <f t="shared" si="202"/>
        <v> </v>
      </c>
      <c r="W208" s="67" t="str">
        <f t="shared" si="203"/>
        <v> </v>
      </c>
      <c r="X208" s="114" t="str">
        <f t="shared" si="204"/>
        <v> </v>
      </c>
      <c r="Y208" s="114">
        <f t="shared" si="205"/>
        <v>3</v>
      </c>
      <c r="Z208" s="114" t="str">
        <f t="shared" si="206"/>
        <v> </v>
      </c>
      <c r="AA208" s="114" t="str">
        <f t="shared" si="207"/>
        <v> </v>
      </c>
      <c r="AB208" s="114" t="str">
        <f t="shared" si="208"/>
        <v> </v>
      </c>
      <c r="AC208" s="85"/>
      <c r="AG208" s="86"/>
    </row>
    <row r="209" ht="12.75" customHeight="1">
      <c r="A209" s="1"/>
      <c r="B209" s="115"/>
      <c r="C209" s="122" t="s">
        <v>59</v>
      </c>
      <c r="D209" s="117">
        <v>0.7</v>
      </c>
      <c r="E209" s="118">
        <v>2.0</v>
      </c>
      <c r="F209" s="119">
        <v>4.0</v>
      </c>
      <c r="G209" s="120">
        <f>'Start Here'!$F$23*D209</f>
        <v>70</v>
      </c>
      <c r="H209" s="67"/>
      <c r="I209" s="67"/>
      <c r="J209" s="67"/>
      <c r="K209" s="67"/>
      <c r="L209" s="113">
        <f t="shared" si="197"/>
        <v>8</v>
      </c>
      <c r="M209" s="113">
        <f t="shared" si="198"/>
        <v>560</v>
      </c>
      <c r="N209" s="67"/>
      <c r="O209" s="67"/>
      <c r="P209" s="67"/>
      <c r="Q209" s="67"/>
      <c r="R209" s="67"/>
      <c r="S209" s="67" t="str">
        <f t="shared" si="199"/>
        <v> </v>
      </c>
      <c r="T209" s="67" t="str">
        <f t="shared" si="200"/>
        <v> </v>
      </c>
      <c r="U209" s="67" t="str">
        <f t="shared" si="201"/>
        <v> </v>
      </c>
      <c r="V209" s="67" t="str">
        <f t="shared" si="202"/>
        <v> </v>
      </c>
      <c r="W209" s="67" t="str">
        <f t="shared" si="203"/>
        <v> </v>
      </c>
      <c r="X209" s="114" t="str">
        <f t="shared" si="204"/>
        <v> </v>
      </c>
      <c r="Y209" s="114" t="str">
        <f t="shared" si="205"/>
        <v> </v>
      </c>
      <c r="Z209" s="114">
        <f t="shared" si="206"/>
        <v>8</v>
      </c>
      <c r="AA209" s="114" t="str">
        <f t="shared" si="207"/>
        <v> </v>
      </c>
      <c r="AB209" s="114" t="str">
        <f t="shared" si="208"/>
        <v> </v>
      </c>
      <c r="AC209" s="85"/>
      <c r="AG209" s="86"/>
    </row>
    <row r="210" ht="12.75" customHeight="1">
      <c r="A210" s="1"/>
      <c r="B210" s="87">
        <v>2.0</v>
      </c>
      <c r="C210" s="88" t="s">
        <v>56</v>
      </c>
      <c r="D210" s="89">
        <v>0.6</v>
      </c>
      <c r="E210" s="90">
        <v>3.0</v>
      </c>
      <c r="F210" s="91">
        <v>1.0</v>
      </c>
      <c r="G210" s="92">
        <f>'Start Here'!$F$22*D210</f>
        <v>60</v>
      </c>
      <c r="H210" s="67"/>
      <c r="I210" s="67"/>
      <c r="J210" s="93">
        <f t="shared" ref="J210:J215" si="209">E210*F210</f>
        <v>3</v>
      </c>
      <c r="K210" s="93">
        <f t="shared" ref="K210:K215" si="210">G210*J210</f>
        <v>180</v>
      </c>
      <c r="L210" s="67"/>
      <c r="M210" s="67"/>
      <c r="N210" s="67"/>
      <c r="O210" s="67"/>
      <c r="P210" s="67"/>
      <c r="Q210" s="67"/>
      <c r="R210" s="67"/>
      <c r="S210" s="93" t="str">
        <f t="shared" si="199"/>
        <v> </v>
      </c>
      <c r="T210" s="93">
        <f t="shared" si="200"/>
        <v>3</v>
      </c>
      <c r="U210" s="93" t="str">
        <f t="shared" si="201"/>
        <v> </v>
      </c>
      <c r="V210" s="93" t="str">
        <f t="shared" si="202"/>
        <v> </v>
      </c>
      <c r="W210" s="93" t="str">
        <f t="shared" si="203"/>
        <v> </v>
      </c>
      <c r="X210" s="67" t="str">
        <f t="shared" si="204"/>
        <v> </v>
      </c>
      <c r="Y210" s="67" t="str">
        <f t="shared" si="205"/>
        <v> </v>
      </c>
      <c r="Z210" s="67" t="str">
        <f t="shared" si="206"/>
        <v> </v>
      </c>
      <c r="AA210" s="67" t="str">
        <f t="shared" si="207"/>
        <v> </v>
      </c>
      <c r="AB210" s="67" t="str">
        <f t="shared" si="208"/>
        <v> </v>
      </c>
      <c r="AC210" s="85"/>
      <c r="AG210" s="86"/>
    </row>
    <row r="211" ht="12.75" customHeight="1">
      <c r="A211" s="1"/>
      <c r="B211" s="87"/>
      <c r="C211" s="94" t="s">
        <v>56</v>
      </c>
      <c r="D211" s="89">
        <v>0.7</v>
      </c>
      <c r="E211" s="90">
        <v>3.0</v>
      </c>
      <c r="F211" s="91">
        <v>1.0</v>
      </c>
      <c r="G211" s="92">
        <f>'Start Here'!$F$22*D211</f>
        <v>70</v>
      </c>
      <c r="H211" s="67"/>
      <c r="I211" s="67"/>
      <c r="J211" s="93">
        <f t="shared" si="209"/>
        <v>3</v>
      </c>
      <c r="K211" s="93">
        <f t="shared" si="210"/>
        <v>210</v>
      </c>
      <c r="L211" s="67"/>
      <c r="M211" s="67"/>
      <c r="N211" s="67"/>
      <c r="O211" s="67"/>
      <c r="P211" s="67"/>
      <c r="Q211" s="67"/>
      <c r="R211" s="67"/>
      <c r="S211" s="93" t="str">
        <f t="shared" si="199"/>
        <v> </v>
      </c>
      <c r="T211" s="93" t="str">
        <f t="shared" si="200"/>
        <v> </v>
      </c>
      <c r="U211" s="93">
        <f t="shared" si="201"/>
        <v>3</v>
      </c>
      <c r="V211" s="93" t="str">
        <f t="shared" si="202"/>
        <v> </v>
      </c>
      <c r="W211" s="93" t="str">
        <f t="shared" si="203"/>
        <v> </v>
      </c>
      <c r="X211" s="67" t="str">
        <f t="shared" si="204"/>
        <v> </v>
      </c>
      <c r="Y211" s="67" t="str">
        <f t="shared" si="205"/>
        <v> </v>
      </c>
      <c r="Z211" s="67" t="str">
        <f t="shared" si="206"/>
        <v> </v>
      </c>
      <c r="AA211" s="67" t="str">
        <f t="shared" si="207"/>
        <v> </v>
      </c>
      <c r="AB211" s="67" t="str">
        <f t="shared" si="208"/>
        <v> </v>
      </c>
      <c r="AC211" s="85"/>
      <c r="AG211" s="86"/>
    </row>
    <row r="212" ht="12.75" customHeight="1">
      <c r="A212" s="1"/>
      <c r="B212" s="87"/>
      <c r="C212" s="94" t="s">
        <v>56</v>
      </c>
      <c r="D212" s="89">
        <v>0.8</v>
      </c>
      <c r="E212" s="90">
        <v>3.0</v>
      </c>
      <c r="F212" s="91">
        <v>1.0</v>
      </c>
      <c r="G212" s="92">
        <f>'Start Here'!$F$22*D212</f>
        <v>80</v>
      </c>
      <c r="H212" s="67"/>
      <c r="I212" s="67"/>
      <c r="J212" s="93">
        <f t="shared" si="209"/>
        <v>3</v>
      </c>
      <c r="K212" s="93">
        <f t="shared" si="210"/>
        <v>240</v>
      </c>
      <c r="L212" s="67"/>
      <c r="M212" s="67"/>
      <c r="N212" s="67"/>
      <c r="O212" s="67"/>
      <c r="P212" s="67"/>
      <c r="Q212" s="67"/>
      <c r="R212" s="67"/>
      <c r="S212" s="93" t="str">
        <f t="shared" si="199"/>
        <v> </v>
      </c>
      <c r="T212" s="93" t="str">
        <f t="shared" si="200"/>
        <v> </v>
      </c>
      <c r="U212" s="93" t="str">
        <f t="shared" si="201"/>
        <v> </v>
      </c>
      <c r="V212" s="93">
        <f t="shared" si="202"/>
        <v>3</v>
      </c>
      <c r="W212" s="93" t="str">
        <f t="shared" si="203"/>
        <v> </v>
      </c>
      <c r="X212" s="67" t="str">
        <f t="shared" si="204"/>
        <v> </v>
      </c>
      <c r="Y212" s="67" t="str">
        <f t="shared" si="205"/>
        <v> </v>
      </c>
      <c r="Z212" s="67" t="str">
        <f t="shared" si="206"/>
        <v> </v>
      </c>
      <c r="AA212" s="67" t="str">
        <f t="shared" si="207"/>
        <v> </v>
      </c>
      <c r="AB212" s="67" t="str">
        <f t="shared" si="208"/>
        <v> </v>
      </c>
      <c r="AC212" s="85"/>
      <c r="AG212" s="86"/>
    </row>
    <row r="213" ht="12.75" customHeight="1">
      <c r="A213" s="1"/>
      <c r="B213" s="87"/>
      <c r="C213" s="94" t="s">
        <v>56</v>
      </c>
      <c r="D213" s="89">
        <v>0.85</v>
      </c>
      <c r="E213" s="90">
        <v>3.0</v>
      </c>
      <c r="F213" s="91">
        <v>1.0</v>
      </c>
      <c r="G213" s="92">
        <f>'Start Here'!$F$22*D213</f>
        <v>85</v>
      </c>
      <c r="H213" s="67"/>
      <c r="I213" s="67"/>
      <c r="J213" s="93">
        <f t="shared" si="209"/>
        <v>3</v>
      </c>
      <c r="K213" s="93">
        <f t="shared" si="210"/>
        <v>255</v>
      </c>
      <c r="L213" s="67"/>
      <c r="M213" s="67"/>
      <c r="N213" s="67"/>
      <c r="O213" s="67"/>
      <c r="P213" s="67"/>
      <c r="Q213" s="67"/>
      <c r="R213" s="67"/>
      <c r="S213" s="93" t="str">
        <f t="shared" si="199"/>
        <v> </v>
      </c>
      <c r="T213" s="93" t="str">
        <f t="shared" si="200"/>
        <v> </v>
      </c>
      <c r="U213" s="93" t="str">
        <f t="shared" si="201"/>
        <v> </v>
      </c>
      <c r="V213" s="93">
        <f t="shared" si="202"/>
        <v>3</v>
      </c>
      <c r="W213" s="93" t="str">
        <f t="shared" si="203"/>
        <v> </v>
      </c>
      <c r="X213" s="67" t="str">
        <f t="shared" si="204"/>
        <v> </v>
      </c>
      <c r="Y213" s="67" t="str">
        <f t="shared" si="205"/>
        <v> </v>
      </c>
      <c r="Z213" s="67" t="str">
        <f t="shared" si="206"/>
        <v> </v>
      </c>
      <c r="AA213" s="67" t="str">
        <f t="shared" si="207"/>
        <v> </v>
      </c>
      <c r="AB213" s="67" t="str">
        <f t="shared" si="208"/>
        <v> </v>
      </c>
      <c r="AC213" s="85"/>
      <c r="AG213" s="86"/>
    </row>
    <row r="214" ht="12.75" customHeight="1">
      <c r="A214" s="1"/>
      <c r="B214" s="87"/>
      <c r="C214" s="94" t="s">
        <v>56</v>
      </c>
      <c r="D214" s="89">
        <v>0.9</v>
      </c>
      <c r="E214" s="90">
        <v>2.0</v>
      </c>
      <c r="F214" s="91">
        <v>2.0</v>
      </c>
      <c r="G214" s="92">
        <f>'Start Here'!$F$22*D214</f>
        <v>90</v>
      </c>
      <c r="H214" s="67"/>
      <c r="I214" s="67"/>
      <c r="J214" s="93">
        <f t="shared" si="209"/>
        <v>4</v>
      </c>
      <c r="K214" s="93">
        <f t="shared" si="210"/>
        <v>360</v>
      </c>
      <c r="L214" s="67"/>
      <c r="M214" s="67"/>
      <c r="N214" s="67"/>
      <c r="O214" s="67"/>
      <c r="P214" s="67"/>
      <c r="Q214" s="67"/>
      <c r="R214" s="67"/>
      <c r="S214" s="93" t="str">
        <f t="shared" si="199"/>
        <v> </v>
      </c>
      <c r="T214" s="93" t="str">
        <f t="shared" si="200"/>
        <v> </v>
      </c>
      <c r="U214" s="93" t="str">
        <f t="shared" si="201"/>
        <v> </v>
      </c>
      <c r="V214" s="93" t="str">
        <f t="shared" si="202"/>
        <v> </v>
      </c>
      <c r="W214" s="93">
        <f t="shared" si="203"/>
        <v>4</v>
      </c>
      <c r="X214" s="67" t="str">
        <f t="shared" si="204"/>
        <v> </v>
      </c>
      <c r="Y214" s="67" t="str">
        <f t="shared" si="205"/>
        <v> </v>
      </c>
      <c r="Z214" s="67" t="str">
        <f t="shared" si="206"/>
        <v> </v>
      </c>
      <c r="AA214" s="67" t="str">
        <f t="shared" si="207"/>
        <v> </v>
      </c>
      <c r="AB214" s="67" t="str">
        <f t="shared" si="208"/>
        <v> </v>
      </c>
      <c r="AC214" s="85"/>
      <c r="AG214" s="86"/>
    </row>
    <row r="215" ht="12.75" customHeight="1">
      <c r="A215" s="1"/>
      <c r="B215" s="87"/>
      <c r="C215" s="94" t="s">
        <v>56</v>
      </c>
      <c r="D215" s="89">
        <v>0.95</v>
      </c>
      <c r="E215" s="90">
        <v>1.0</v>
      </c>
      <c r="F215" s="91">
        <v>2.0</v>
      </c>
      <c r="G215" s="92">
        <f>'Start Here'!$F$22*D215</f>
        <v>95</v>
      </c>
      <c r="H215" s="67"/>
      <c r="I215" s="67"/>
      <c r="J215" s="93">
        <f t="shared" si="209"/>
        <v>2</v>
      </c>
      <c r="K215" s="93">
        <f t="shared" si="210"/>
        <v>190</v>
      </c>
      <c r="L215" s="67"/>
      <c r="M215" s="67"/>
      <c r="N215" s="67"/>
      <c r="O215" s="67"/>
      <c r="P215" s="67"/>
      <c r="Q215" s="67"/>
      <c r="R215" s="67"/>
      <c r="S215" s="93" t="str">
        <f t="shared" si="199"/>
        <v> </v>
      </c>
      <c r="T215" s="93" t="str">
        <f t="shared" si="200"/>
        <v> </v>
      </c>
      <c r="U215" s="93" t="str">
        <f t="shared" si="201"/>
        <v> </v>
      </c>
      <c r="V215" s="93" t="str">
        <f t="shared" si="202"/>
        <v> </v>
      </c>
      <c r="W215" s="93">
        <f t="shared" si="203"/>
        <v>2</v>
      </c>
      <c r="X215" s="67" t="str">
        <f t="shared" si="204"/>
        <v> </v>
      </c>
      <c r="Y215" s="67" t="str">
        <f t="shared" si="205"/>
        <v> </v>
      </c>
      <c r="Z215" s="67" t="str">
        <f t="shared" si="206"/>
        <v> </v>
      </c>
      <c r="AA215" s="67" t="str">
        <f t="shared" si="207"/>
        <v> </v>
      </c>
      <c r="AB215" s="67" t="str">
        <f t="shared" si="208"/>
        <v> </v>
      </c>
      <c r="AC215" s="85"/>
      <c r="AG215" s="86"/>
    </row>
    <row r="216" ht="12.75" customHeight="1">
      <c r="A216" s="1"/>
      <c r="B216" s="115">
        <v>3.0</v>
      </c>
      <c r="C216" s="121" t="s">
        <v>86</v>
      </c>
      <c r="D216" s="117">
        <v>0.6</v>
      </c>
      <c r="E216" s="118">
        <v>3.0</v>
      </c>
      <c r="F216" s="119">
        <v>1.0</v>
      </c>
      <c r="G216" s="120">
        <f>'Start Here'!$F$23*D216</f>
        <v>60</v>
      </c>
      <c r="H216" s="67"/>
      <c r="I216" s="67"/>
      <c r="J216" s="67"/>
      <c r="K216" s="67"/>
      <c r="L216" s="113">
        <f t="shared" ref="L216:L220" si="211">E216*F216</f>
        <v>3</v>
      </c>
      <c r="M216" s="113">
        <f t="shared" ref="M216:M220" si="212">G216*L216</f>
        <v>180</v>
      </c>
      <c r="N216" s="67"/>
      <c r="O216" s="67"/>
      <c r="P216" s="67"/>
      <c r="Q216" s="67"/>
      <c r="R216" s="67"/>
      <c r="S216" s="67" t="str">
        <f t="shared" si="199"/>
        <v> </v>
      </c>
      <c r="T216" s="67" t="str">
        <f t="shared" si="200"/>
        <v> </v>
      </c>
      <c r="U216" s="67" t="str">
        <f t="shared" si="201"/>
        <v> </v>
      </c>
      <c r="V216" s="67" t="str">
        <f t="shared" si="202"/>
        <v> </v>
      </c>
      <c r="W216" s="67" t="str">
        <f t="shared" si="203"/>
        <v> </v>
      </c>
      <c r="X216" s="114" t="str">
        <f t="shared" si="204"/>
        <v> </v>
      </c>
      <c r="Y216" s="114">
        <f t="shared" si="205"/>
        <v>3</v>
      </c>
      <c r="Z216" s="114" t="str">
        <f t="shared" si="206"/>
        <v> </v>
      </c>
      <c r="AA216" s="114" t="str">
        <f t="shared" si="207"/>
        <v> </v>
      </c>
      <c r="AB216" s="114" t="str">
        <f t="shared" si="208"/>
        <v> </v>
      </c>
      <c r="AC216" s="85"/>
      <c r="AG216" s="86"/>
    </row>
    <row r="217" ht="12.75" customHeight="1">
      <c r="A217" s="1"/>
      <c r="B217" s="115"/>
      <c r="C217" s="122" t="s">
        <v>86</v>
      </c>
      <c r="D217" s="117">
        <v>0.7</v>
      </c>
      <c r="E217" s="118">
        <v>3.0</v>
      </c>
      <c r="F217" s="119">
        <v>1.0</v>
      </c>
      <c r="G217" s="120">
        <f>'Start Here'!$F$23*D217</f>
        <v>70</v>
      </c>
      <c r="H217" s="67"/>
      <c r="I217" s="67"/>
      <c r="J217" s="67"/>
      <c r="K217" s="67"/>
      <c r="L217" s="113">
        <f t="shared" si="211"/>
        <v>3</v>
      </c>
      <c r="M217" s="113">
        <f t="shared" si="212"/>
        <v>210</v>
      </c>
      <c r="N217" s="67"/>
      <c r="O217" s="67"/>
      <c r="P217" s="67"/>
      <c r="Q217" s="67"/>
      <c r="R217" s="67"/>
      <c r="S217" s="67" t="str">
        <f t="shared" si="199"/>
        <v> </v>
      </c>
      <c r="T217" s="67" t="str">
        <f t="shared" si="200"/>
        <v> </v>
      </c>
      <c r="U217" s="67" t="str">
        <f t="shared" si="201"/>
        <v> </v>
      </c>
      <c r="V217" s="67" t="str">
        <f t="shared" si="202"/>
        <v> </v>
      </c>
      <c r="W217" s="67" t="str">
        <f t="shared" si="203"/>
        <v> </v>
      </c>
      <c r="X217" s="114" t="str">
        <f t="shared" si="204"/>
        <v> </v>
      </c>
      <c r="Y217" s="114" t="str">
        <f t="shared" si="205"/>
        <v> </v>
      </c>
      <c r="Z217" s="114">
        <f t="shared" si="206"/>
        <v>3</v>
      </c>
      <c r="AA217" s="114" t="str">
        <f t="shared" si="207"/>
        <v> </v>
      </c>
      <c r="AB217" s="114" t="str">
        <f t="shared" si="208"/>
        <v> </v>
      </c>
      <c r="AC217" s="85"/>
      <c r="AG217" s="86"/>
    </row>
    <row r="218" ht="12.75" customHeight="1">
      <c r="A218" s="1"/>
      <c r="B218" s="115"/>
      <c r="C218" s="122" t="s">
        <v>86</v>
      </c>
      <c r="D218" s="117">
        <v>0.8</v>
      </c>
      <c r="E218" s="118">
        <v>3.0</v>
      </c>
      <c r="F218" s="119">
        <v>2.0</v>
      </c>
      <c r="G218" s="120">
        <f>'Start Here'!$F$23*D218</f>
        <v>80</v>
      </c>
      <c r="H218" s="67"/>
      <c r="I218" s="67"/>
      <c r="J218" s="67"/>
      <c r="K218" s="67"/>
      <c r="L218" s="113">
        <f t="shared" si="211"/>
        <v>6</v>
      </c>
      <c r="M218" s="113">
        <f t="shared" si="212"/>
        <v>480</v>
      </c>
      <c r="N218" s="67"/>
      <c r="O218" s="67"/>
      <c r="P218" s="67"/>
      <c r="Q218" s="67"/>
      <c r="R218" s="67"/>
      <c r="S218" s="67" t="str">
        <f t="shared" si="199"/>
        <v> </v>
      </c>
      <c r="T218" s="67" t="str">
        <f t="shared" si="200"/>
        <v> </v>
      </c>
      <c r="U218" s="67" t="str">
        <f t="shared" si="201"/>
        <v> </v>
      </c>
      <c r="V218" s="67" t="str">
        <f t="shared" si="202"/>
        <v> </v>
      </c>
      <c r="W218" s="67" t="str">
        <f t="shared" si="203"/>
        <v> </v>
      </c>
      <c r="X218" s="114" t="str">
        <f t="shared" si="204"/>
        <v> </v>
      </c>
      <c r="Y218" s="114" t="str">
        <f t="shared" si="205"/>
        <v> </v>
      </c>
      <c r="Z218" s="114" t="str">
        <f t="shared" si="206"/>
        <v> </v>
      </c>
      <c r="AA218" s="114">
        <f t="shared" si="207"/>
        <v>6</v>
      </c>
      <c r="AB218" s="114" t="str">
        <f t="shared" si="208"/>
        <v> </v>
      </c>
      <c r="AC218" s="85"/>
      <c r="AG218" s="86"/>
    </row>
    <row r="219" ht="12.75" customHeight="1">
      <c r="A219" s="1"/>
      <c r="B219" s="115"/>
      <c r="C219" s="122" t="s">
        <v>86</v>
      </c>
      <c r="D219" s="117">
        <v>0.9</v>
      </c>
      <c r="E219" s="118">
        <v>2.0</v>
      </c>
      <c r="F219" s="119">
        <v>2.0</v>
      </c>
      <c r="G219" s="120">
        <f>'Start Here'!$F$23*D219</f>
        <v>90</v>
      </c>
      <c r="H219" s="67"/>
      <c r="I219" s="67"/>
      <c r="J219" s="67"/>
      <c r="K219" s="67"/>
      <c r="L219" s="113">
        <f t="shared" si="211"/>
        <v>4</v>
      </c>
      <c r="M219" s="113">
        <f t="shared" si="212"/>
        <v>360</v>
      </c>
      <c r="N219" s="67"/>
      <c r="O219" s="67"/>
      <c r="P219" s="67"/>
      <c r="Q219" s="67"/>
      <c r="R219" s="67"/>
      <c r="S219" s="67" t="str">
        <f t="shared" si="199"/>
        <v> </v>
      </c>
      <c r="T219" s="67" t="str">
        <f t="shared" si="200"/>
        <v> </v>
      </c>
      <c r="U219" s="67" t="str">
        <f t="shared" si="201"/>
        <v> </v>
      </c>
      <c r="V219" s="67" t="str">
        <f t="shared" si="202"/>
        <v> </v>
      </c>
      <c r="W219" s="67" t="str">
        <f t="shared" si="203"/>
        <v> </v>
      </c>
      <c r="X219" s="114" t="str">
        <f t="shared" si="204"/>
        <v> </v>
      </c>
      <c r="Y219" s="114" t="str">
        <f t="shared" si="205"/>
        <v> </v>
      </c>
      <c r="Z219" s="114" t="str">
        <f t="shared" si="206"/>
        <v> </v>
      </c>
      <c r="AA219" s="114" t="str">
        <f t="shared" si="207"/>
        <v> </v>
      </c>
      <c r="AB219" s="114">
        <f t="shared" si="208"/>
        <v>4</v>
      </c>
      <c r="AC219" s="85"/>
      <c r="AG219" s="86"/>
    </row>
    <row r="220" ht="12.75" customHeight="1">
      <c r="A220" s="1"/>
      <c r="B220" s="115"/>
      <c r="C220" s="122" t="s">
        <v>86</v>
      </c>
      <c r="D220" s="117">
        <v>0.95</v>
      </c>
      <c r="E220" s="118">
        <v>1.0</v>
      </c>
      <c r="F220" s="119">
        <v>2.0</v>
      </c>
      <c r="G220" s="120">
        <f>'Start Here'!$F$23*D220</f>
        <v>95</v>
      </c>
      <c r="H220" s="67"/>
      <c r="I220" s="67"/>
      <c r="J220" s="67"/>
      <c r="K220" s="67"/>
      <c r="L220" s="113">
        <f t="shared" si="211"/>
        <v>2</v>
      </c>
      <c r="M220" s="113">
        <f t="shared" si="212"/>
        <v>190</v>
      </c>
      <c r="N220" s="67"/>
      <c r="O220" s="67"/>
      <c r="P220" s="67"/>
      <c r="Q220" s="67"/>
      <c r="R220" s="67"/>
      <c r="S220" s="67" t="str">
        <f t="shared" si="199"/>
        <v> </v>
      </c>
      <c r="T220" s="67" t="str">
        <f t="shared" si="200"/>
        <v> </v>
      </c>
      <c r="U220" s="67" t="str">
        <f t="shared" si="201"/>
        <v> </v>
      </c>
      <c r="V220" s="67" t="str">
        <f t="shared" si="202"/>
        <v> </v>
      </c>
      <c r="W220" s="67" t="str">
        <f t="shared" si="203"/>
        <v> </v>
      </c>
      <c r="X220" s="114" t="str">
        <f t="shared" si="204"/>
        <v> </v>
      </c>
      <c r="Y220" s="114" t="str">
        <f t="shared" si="205"/>
        <v> </v>
      </c>
      <c r="Z220" s="114" t="str">
        <f t="shared" si="206"/>
        <v> </v>
      </c>
      <c r="AA220" s="114" t="str">
        <f t="shared" si="207"/>
        <v> </v>
      </c>
      <c r="AB220" s="114">
        <f t="shared" si="208"/>
        <v>2</v>
      </c>
      <c r="AC220" s="85"/>
      <c r="AG220" s="86"/>
    </row>
    <row r="221" ht="12.75" customHeight="1">
      <c r="A221" s="1"/>
      <c r="B221" s="96">
        <v>4.0</v>
      </c>
      <c r="C221" s="97" t="s">
        <v>47</v>
      </c>
      <c r="D221" s="98"/>
      <c r="E221" s="98">
        <v>8.0</v>
      </c>
      <c r="F221" s="98">
        <v>4.0</v>
      </c>
      <c r="G221" s="99"/>
      <c r="H221" s="67"/>
      <c r="I221" s="67"/>
      <c r="J221" s="67"/>
      <c r="K221" s="67"/>
      <c r="L221" s="67"/>
      <c r="M221" s="67"/>
      <c r="N221" s="67"/>
      <c r="O221" s="67"/>
      <c r="P221" s="67"/>
      <c r="Q221" s="67"/>
      <c r="R221" s="67"/>
      <c r="S221" s="67"/>
      <c r="T221" s="67"/>
      <c r="U221" s="67"/>
      <c r="V221" s="67"/>
      <c r="W221" s="67"/>
      <c r="X221" s="67"/>
      <c r="Y221" s="67"/>
      <c r="Z221" s="67"/>
      <c r="AA221" s="67"/>
      <c r="AB221" s="67"/>
      <c r="AC221" s="85"/>
      <c r="AG221" s="86"/>
    </row>
    <row r="222" ht="12.75" customHeight="1">
      <c r="A222" s="1"/>
      <c r="B222" s="100">
        <v>5.0</v>
      </c>
      <c r="C222" s="101" t="s">
        <v>87</v>
      </c>
      <c r="D222" s="102"/>
      <c r="E222" s="102">
        <v>6.0</v>
      </c>
      <c r="F222" s="102">
        <v>5.0</v>
      </c>
      <c r="G222" s="103"/>
      <c r="H222" s="67"/>
      <c r="I222" s="67"/>
      <c r="J222" s="67"/>
      <c r="K222" s="67"/>
      <c r="L222" s="67"/>
      <c r="M222" s="67"/>
      <c r="N222" s="67"/>
      <c r="O222" s="67"/>
      <c r="P222" s="67"/>
      <c r="Q222" s="67"/>
      <c r="R222" s="67"/>
      <c r="S222" s="67"/>
      <c r="T222" s="67"/>
      <c r="U222" s="67"/>
      <c r="V222" s="67"/>
      <c r="W222" s="67"/>
      <c r="X222" s="67"/>
      <c r="Y222" s="67"/>
      <c r="Z222" s="67"/>
      <c r="AA222" s="67"/>
      <c r="AB222" s="67"/>
      <c r="AC222" s="104"/>
      <c r="AD222" s="105"/>
      <c r="AE222" s="105"/>
      <c r="AF222" s="105"/>
      <c r="AG222" s="106"/>
    </row>
    <row r="223" ht="12.75" customHeight="1">
      <c r="A223" s="1"/>
      <c r="B223" s="67"/>
      <c r="C223" s="67"/>
      <c r="D223" s="68"/>
      <c r="E223" s="68"/>
      <c r="F223" s="68"/>
      <c r="G223" s="68"/>
      <c r="H223" s="67"/>
      <c r="I223" s="67"/>
      <c r="J223" s="67"/>
      <c r="K223" s="67"/>
      <c r="L223" s="67"/>
      <c r="M223" s="67"/>
      <c r="N223" s="67"/>
      <c r="O223" s="67"/>
      <c r="P223" s="67"/>
      <c r="Q223" s="67"/>
      <c r="R223" s="67"/>
      <c r="S223" s="67"/>
      <c r="T223" s="67"/>
      <c r="U223" s="67"/>
      <c r="V223" s="67"/>
      <c r="W223" s="67"/>
      <c r="X223" s="67"/>
      <c r="Y223" s="67"/>
      <c r="Z223" s="67"/>
      <c r="AA223" s="67"/>
      <c r="AB223" s="67"/>
      <c r="AC223" s="67"/>
      <c r="AD223" s="67"/>
      <c r="AE223" s="67"/>
      <c r="AF223" s="67"/>
      <c r="AG223" s="67"/>
    </row>
    <row r="224" ht="40.5" customHeight="1">
      <c r="A224" s="1"/>
      <c r="B224" s="68" t="s">
        <v>54</v>
      </c>
      <c r="D224" s="68" t="s">
        <v>34</v>
      </c>
      <c r="E224" s="68" t="s">
        <v>35</v>
      </c>
      <c r="F224" s="68" t="s">
        <v>36</v>
      </c>
      <c r="G224" s="68" t="s">
        <v>37</v>
      </c>
      <c r="H224" s="67"/>
      <c r="I224" s="67"/>
      <c r="J224" s="67"/>
      <c r="K224" s="67"/>
      <c r="L224" s="67"/>
      <c r="M224" s="67"/>
      <c r="N224" s="67"/>
      <c r="O224" s="67"/>
      <c r="P224" s="67"/>
      <c r="Q224" s="67"/>
      <c r="R224" s="67"/>
      <c r="S224" s="67"/>
      <c r="T224" s="67"/>
      <c r="U224" s="67"/>
      <c r="V224" s="67"/>
      <c r="W224" s="67"/>
      <c r="X224" s="67"/>
      <c r="Y224" s="67"/>
      <c r="Z224" s="67"/>
      <c r="AA224" s="67"/>
      <c r="AB224" s="67"/>
      <c r="AC224" s="67" t="s">
        <v>43</v>
      </c>
      <c r="AD224" s="67"/>
      <c r="AE224" s="67"/>
      <c r="AF224" s="67"/>
      <c r="AG224" s="67"/>
    </row>
    <row r="225" ht="12.75" customHeight="1">
      <c r="A225" s="1"/>
      <c r="B225" s="123">
        <v>1.0</v>
      </c>
      <c r="C225" s="124" t="s">
        <v>45</v>
      </c>
      <c r="D225" s="125">
        <v>0.5</v>
      </c>
      <c r="E225" s="126">
        <v>5.0</v>
      </c>
      <c r="F225" s="127">
        <v>1.0</v>
      </c>
      <c r="G225" s="128">
        <f>'Start Here'!$F$22*D225</f>
        <v>50</v>
      </c>
      <c r="H225" s="67"/>
      <c r="I225" s="67"/>
      <c r="J225" s="93">
        <f t="shared" ref="J225:J228" si="213">E225*F225</f>
        <v>5</v>
      </c>
      <c r="K225" s="93">
        <f t="shared" ref="K225:K228" si="214">G225*J225</f>
        <v>250</v>
      </c>
      <c r="L225" s="67"/>
      <c r="M225" s="67"/>
      <c r="N225" s="67" t="str">
        <f t="shared" ref="N225:N236" si="215">IF(ISNUMBER(SEARCH("squat",$C225)),IF($D225&gt;=0.5,IF($D225&lt;0.6,$E225*$F225," ")," ")," ")</f>
        <v> </v>
      </c>
      <c r="O225" s="67" t="str">
        <f t="shared" ref="O225:O236" si="216">IF(ISNUMBER(SEARCH("squat",$C225)),IF($D225&gt;=0.6,IF($D225&lt;0.7,$E225*$F225," ")," ")," ")</f>
        <v> </v>
      </c>
      <c r="P225" s="67" t="str">
        <f t="shared" ref="P225:P236" si="217">IF(ISNUMBER(SEARCH("squat",$C225)),IF($D225&gt;=0.7,IF($D225&lt;0.8,$E225*$F225," ")," ")," ")</f>
        <v> </v>
      </c>
      <c r="Q225" s="67" t="str">
        <f t="shared" ref="Q225:Q236" si="218">IF(ISNUMBER(SEARCH("squat",$C225)),IF($D225&gt;=0.8,IF($D225&lt;0.9,$E225*$F225," ")," ")," ")</f>
        <v> </v>
      </c>
      <c r="R225" s="67" t="str">
        <f t="shared" ref="R225:R236" si="219">IF(ISNUMBER(SEARCH("squat",$C225)),IF($D225&gt;=0.9,$E225*$F225," ")," ")</f>
        <v> </v>
      </c>
      <c r="S225" s="93">
        <f t="shared" ref="S225:S236" si="220">IF(ISNUMBER(SEARCH("bench",$C225)),IF($D225&gt;=0.5,IF($D225&lt;0.6,$E225*$F225," ")," ")," ")</f>
        <v>5</v>
      </c>
      <c r="T225" s="93" t="str">
        <f t="shared" ref="T225:T236" si="221">IF(ISNUMBER(SEARCH("bench",$C225)),IF($D225&gt;=0.6,IF($D225&lt;0.7,$E225*$F225," ")," ")," ")</f>
        <v> </v>
      </c>
      <c r="U225" s="93" t="str">
        <f t="shared" ref="U225:U236" si="222">IF(ISNUMBER(SEARCH("bench",$C225)),IF($D225&gt;=0.7,IF($D225&lt;0.8,$E225*$F225," ")," ")," ")</f>
        <v> </v>
      </c>
      <c r="V225" s="93" t="str">
        <f t="shared" ref="V225:V236" si="223">IF(ISNUMBER(SEARCH("bench",$C225)),IF($D225&gt;=0.8,IF($D225&lt;0.9,$E225*$F225," ")," ")," ")</f>
        <v> </v>
      </c>
      <c r="W225" s="93" t="str">
        <f t="shared" ref="W225:W236" si="224">IF(ISNUMBER(SEARCH("bench",$C225)),IF($D225&gt;=0.9,$E225*$F225," ")," ")</f>
        <v> </v>
      </c>
      <c r="X225" s="67"/>
      <c r="Y225" s="67"/>
      <c r="Z225" s="67"/>
      <c r="AA225" s="67"/>
      <c r="AB225" s="67"/>
      <c r="AC225" s="76"/>
      <c r="AD225" s="77"/>
      <c r="AE225" s="77"/>
      <c r="AF225" s="77"/>
      <c r="AG225" s="78"/>
    </row>
    <row r="226" ht="12.75" customHeight="1">
      <c r="A226" s="1"/>
      <c r="B226" s="87"/>
      <c r="C226" s="94" t="s">
        <v>45</v>
      </c>
      <c r="D226" s="89">
        <v>0.6</v>
      </c>
      <c r="E226" s="90">
        <v>4.0</v>
      </c>
      <c r="F226" s="91">
        <v>1.0</v>
      </c>
      <c r="G226" s="92">
        <f>'Start Here'!$F$22*D226</f>
        <v>60</v>
      </c>
      <c r="H226" s="67"/>
      <c r="I226" s="67"/>
      <c r="J226" s="93">
        <f t="shared" si="213"/>
        <v>4</v>
      </c>
      <c r="K226" s="93">
        <f t="shared" si="214"/>
        <v>240</v>
      </c>
      <c r="L226" s="67"/>
      <c r="M226" s="67"/>
      <c r="N226" s="67" t="str">
        <f t="shared" si="215"/>
        <v> </v>
      </c>
      <c r="O226" s="67" t="str">
        <f t="shared" si="216"/>
        <v> </v>
      </c>
      <c r="P226" s="67" t="str">
        <f t="shared" si="217"/>
        <v> </v>
      </c>
      <c r="Q226" s="67" t="str">
        <f t="shared" si="218"/>
        <v> </v>
      </c>
      <c r="R226" s="67" t="str">
        <f t="shared" si="219"/>
        <v> </v>
      </c>
      <c r="S226" s="93" t="str">
        <f t="shared" si="220"/>
        <v> </v>
      </c>
      <c r="T226" s="93">
        <f t="shared" si="221"/>
        <v>4</v>
      </c>
      <c r="U226" s="93" t="str">
        <f t="shared" si="222"/>
        <v> </v>
      </c>
      <c r="V226" s="93" t="str">
        <f t="shared" si="223"/>
        <v> </v>
      </c>
      <c r="W226" s="93" t="str">
        <f t="shared" si="224"/>
        <v> </v>
      </c>
      <c r="X226" s="67"/>
      <c r="Y226" s="67"/>
      <c r="Z226" s="67"/>
      <c r="AA226" s="67"/>
      <c r="AB226" s="67"/>
      <c r="AC226" s="85"/>
      <c r="AG226" s="86"/>
    </row>
    <row r="227" ht="12.75" customHeight="1">
      <c r="A227" s="1"/>
      <c r="B227" s="87"/>
      <c r="C227" s="94" t="s">
        <v>45</v>
      </c>
      <c r="D227" s="89">
        <v>0.7</v>
      </c>
      <c r="E227" s="90">
        <v>3.0</v>
      </c>
      <c r="F227" s="91">
        <v>1.0</v>
      </c>
      <c r="G227" s="92">
        <f>'Start Here'!$F$22*D227</f>
        <v>70</v>
      </c>
      <c r="H227" s="67"/>
      <c r="I227" s="67"/>
      <c r="J227" s="93">
        <f t="shared" si="213"/>
        <v>3</v>
      </c>
      <c r="K227" s="93">
        <f t="shared" si="214"/>
        <v>210</v>
      </c>
      <c r="L227" s="67"/>
      <c r="M227" s="67"/>
      <c r="N227" s="67" t="str">
        <f t="shared" si="215"/>
        <v> </v>
      </c>
      <c r="O227" s="67" t="str">
        <f t="shared" si="216"/>
        <v> </v>
      </c>
      <c r="P227" s="67" t="str">
        <f t="shared" si="217"/>
        <v> </v>
      </c>
      <c r="Q227" s="67" t="str">
        <f t="shared" si="218"/>
        <v> </v>
      </c>
      <c r="R227" s="67" t="str">
        <f t="shared" si="219"/>
        <v> </v>
      </c>
      <c r="S227" s="93" t="str">
        <f t="shared" si="220"/>
        <v> </v>
      </c>
      <c r="T227" s="93" t="str">
        <f t="shared" si="221"/>
        <v> </v>
      </c>
      <c r="U227" s="93">
        <f t="shared" si="222"/>
        <v>3</v>
      </c>
      <c r="V227" s="93" t="str">
        <f t="shared" si="223"/>
        <v> </v>
      </c>
      <c r="W227" s="93" t="str">
        <f t="shared" si="224"/>
        <v> </v>
      </c>
      <c r="X227" s="67"/>
      <c r="Y227" s="67"/>
      <c r="Z227" s="67"/>
      <c r="AA227" s="67"/>
      <c r="AB227" s="67"/>
      <c r="AC227" s="85"/>
      <c r="AG227" s="86"/>
    </row>
    <row r="228" ht="12.75" customHeight="1">
      <c r="A228" s="1"/>
      <c r="B228" s="87"/>
      <c r="C228" s="94" t="s">
        <v>45</v>
      </c>
      <c r="D228" s="89">
        <v>0.8</v>
      </c>
      <c r="E228" s="90">
        <v>2.0</v>
      </c>
      <c r="F228" s="91">
        <v>4.0</v>
      </c>
      <c r="G228" s="92">
        <f>'Start Here'!$F$22*D228</f>
        <v>80</v>
      </c>
      <c r="H228" s="67"/>
      <c r="I228" s="67"/>
      <c r="J228" s="93">
        <f t="shared" si="213"/>
        <v>8</v>
      </c>
      <c r="K228" s="93">
        <f t="shared" si="214"/>
        <v>640</v>
      </c>
      <c r="L228" s="67"/>
      <c r="M228" s="67"/>
      <c r="N228" s="67" t="str">
        <f t="shared" si="215"/>
        <v> </v>
      </c>
      <c r="O228" s="67" t="str">
        <f t="shared" si="216"/>
        <v> </v>
      </c>
      <c r="P228" s="67" t="str">
        <f t="shared" si="217"/>
        <v> </v>
      </c>
      <c r="Q228" s="67" t="str">
        <f t="shared" si="218"/>
        <v> </v>
      </c>
      <c r="R228" s="67" t="str">
        <f t="shared" si="219"/>
        <v> </v>
      </c>
      <c r="S228" s="93" t="str">
        <f t="shared" si="220"/>
        <v> </v>
      </c>
      <c r="T228" s="93" t="str">
        <f t="shared" si="221"/>
        <v> </v>
      </c>
      <c r="U228" s="93" t="str">
        <f t="shared" si="222"/>
        <v> </v>
      </c>
      <c r="V228" s="93">
        <f t="shared" si="223"/>
        <v>8</v>
      </c>
      <c r="W228" s="93" t="str">
        <f t="shared" si="224"/>
        <v> </v>
      </c>
      <c r="X228" s="67"/>
      <c r="Y228" s="67"/>
      <c r="Z228" s="67"/>
      <c r="AA228" s="67"/>
      <c r="AB228" s="67"/>
      <c r="AC228" s="85"/>
      <c r="AG228" s="86"/>
    </row>
    <row r="229" ht="12.75" customHeight="1">
      <c r="A229" s="1"/>
      <c r="B229" s="79">
        <v>2.0</v>
      </c>
      <c r="C229" s="95" t="s">
        <v>46</v>
      </c>
      <c r="D229" s="81">
        <v>0.5</v>
      </c>
      <c r="E229" s="82">
        <v>5.0</v>
      </c>
      <c r="F229" s="83">
        <v>1.0</v>
      </c>
      <c r="G229" s="84">
        <f>'Start Here'!$F$21*D229</f>
        <v>50</v>
      </c>
      <c r="H229" s="74">
        <f t="shared" ref="H229:H232" si="225">E229*F229</f>
        <v>5</v>
      </c>
      <c r="I229" s="75">
        <f t="shared" ref="I229:I232" si="226">G229*H229</f>
        <v>250</v>
      </c>
      <c r="J229" s="67"/>
      <c r="K229" s="67"/>
      <c r="L229" s="67"/>
      <c r="M229" s="67"/>
      <c r="N229" s="75">
        <f t="shared" si="215"/>
        <v>5</v>
      </c>
      <c r="O229" s="75" t="str">
        <f t="shared" si="216"/>
        <v> </v>
      </c>
      <c r="P229" s="75" t="str">
        <f t="shared" si="217"/>
        <v> </v>
      </c>
      <c r="Q229" s="75" t="str">
        <f t="shared" si="218"/>
        <v> </v>
      </c>
      <c r="R229" s="75" t="str">
        <f t="shared" si="219"/>
        <v> </v>
      </c>
      <c r="S229" s="67" t="str">
        <f t="shared" si="220"/>
        <v> </v>
      </c>
      <c r="T229" s="67" t="str">
        <f t="shared" si="221"/>
        <v> </v>
      </c>
      <c r="U229" s="67" t="str">
        <f t="shared" si="222"/>
        <v> </v>
      </c>
      <c r="V229" s="67" t="str">
        <f t="shared" si="223"/>
        <v> </v>
      </c>
      <c r="W229" s="67" t="str">
        <f t="shared" si="224"/>
        <v> </v>
      </c>
      <c r="X229" s="67"/>
      <c r="Y229" s="67"/>
      <c r="Z229" s="67"/>
      <c r="AA229" s="67"/>
      <c r="AB229" s="67"/>
      <c r="AC229" s="85"/>
      <c r="AG229" s="86"/>
    </row>
    <row r="230" ht="12.75" customHeight="1">
      <c r="A230" s="1"/>
      <c r="B230" s="79"/>
      <c r="C230" s="80" t="s">
        <v>46</v>
      </c>
      <c r="D230" s="81">
        <v>0.6</v>
      </c>
      <c r="E230" s="82">
        <v>4.0</v>
      </c>
      <c r="F230" s="83">
        <v>1.0</v>
      </c>
      <c r="G230" s="84">
        <f>'Start Here'!$F$21*D230</f>
        <v>60</v>
      </c>
      <c r="H230" s="74">
        <f t="shared" si="225"/>
        <v>4</v>
      </c>
      <c r="I230" s="75">
        <f t="shared" si="226"/>
        <v>240</v>
      </c>
      <c r="J230" s="67"/>
      <c r="K230" s="67"/>
      <c r="L230" s="67"/>
      <c r="M230" s="67"/>
      <c r="N230" s="75" t="str">
        <f t="shared" si="215"/>
        <v> </v>
      </c>
      <c r="O230" s="75">
        <f t="shared" si="216"/>
        <v>4</v>
      </c>
      <c r="P230" s="75" t="str">
        <f t="shared" si="217"/>
        <v> </v>
      </c>
      <c r="Q230" s="75" t="str">
        <f t="shared" si="218"/>
        <v> </v>
      </c>
      <c r="R230" s="75" t="str">
        <f t="shared" si="219"/>
        <v> </v>
      </c>
      <c r="S230" s="67" t="str">
        <f t="shared" si="220"/>
        <v> </v>
      </c>
      <c r="T230" s="67" t="str">
        <f t="shared" si="221"/>
        <v> </v>
      </c>
      <c r="U230" s="67" t="str">
        <f t="shared" si="222"/>
        <v> </v>
      </c>
      <c r="V230" s="67" t="str">
        <f t="shared" si="223"/>
        <v> </v>
      </c>
      <c r="W230" s="67" t="str">
        <f t="shared" si="224"/>
        <v> </v>
      </c>
      <c r="X230" s="67"/>
      <c r="Y230" s="67"/>
      <c r="Z230" s="67"/>
      <c r="AA230" s="67"/>
      <c r="AB230" s="67"/>
      <c r="AC230" s="85"/>
      <c r="AG230" s="86"/>
    </row>
    <row r="231" ht="12.75" customHeight="1">
      <c r="A231" s="1"/>
      <c r="B231" s="79"/>
      <c r="C231" s="80" t="s">
        <v>46</v>
      </c>
      <c r="D231" s="81">
        <v>0.7</v>
      </c>
      <c r="E231" s="82">
        <v>3.0</v>
      </c>
      <c r="F231" s="83">
        <v>1.0</v>
      </c>
      <c r="G231" s="84">
        <f>'Start Here'!$F$21*D231</f>
        <v>70</v>
      </c>
      <c r="H231" s="74">
        <f t="shared" si="225"/>
        <v>3</v>
      </c>
      <c r="I231" s="75">
        <f t="shared" si="226"/>
        <v>210</v>
      </c>
      <c r="J231" s="67"/>
      <c r="K231" s="67"/>
      <c r="L231" s="67"/>
      <c r="M231" s="67"/>
      <c r="N231" s="75" t="str">
        <f t="shared" si="215"/>
        <v> </v>
      </c>
      <c r="O231" s="75" t="str">
        <f t="shared" si="216"/>
        <v> </v>
      </c>
      <c r="P231" s="75">
        <f t="shared" si="217"/>
        <v>3</v>
      </c>
      <c r="Q231" s="75" t="str">
        <f t="shared" si="218"/>
        <v> </v>
      </c>
      <c r="R231" s="75" t="str">
        <f t="shared" si="219"/>
        <v> </v>
      </c>
      <c r="S231" s="67" t="str">
        <f t="shared" si="220"/>
        <v> </v>
      </c>
      <c r="T231" s="67" t="str">
        <f t="shared" si="221"/>
        <v> </v>
      </c>
      <c r="U231" s="67" t="str">
        <f t="shared" si="222"/>
        <v> </v>
      </c>
      <c r="V231" s="67" t="str">
        <f t="shared" si="223"/>
        <v> </v>
      </c>
      <c r="W231" s="67" t="str">
        <f t="shared" si="224"/>
        <v> </v>
      </c>
      <c r="X231" s="67"/>
      <c r="Y231" s="67"/>
      <c r="Z231" s="67"/>
      <c r="AA231" s="67"/>
      <c r="AB231" s="67"/>
      <c r="AC231" s="85"/>
      <c r="AG231" s="86"/>
    </row>
    <row r="232" ht="12.75" customHeight="1">
      <c r="A232" s="1"/>
      <c r="B232" s="79"/>
      <c r="C232" s="80" t="s">
        <v>46</v>
      </c>
      <c r="D232" s="81">
        <v>0.8</v>
      </c>
      <c r="E232" s="82">
        <v>2.0</v>
      </c>
      <c r="F232" s="83">
        <v>4.0</v>
      </c>
      <c r="G232" s="84">
        <f>'Start Here'!$F$21*D232</f>
        <v>80</v>
      </c>
      <c r="H232" s="74">
        <f t="shared" si="225"/>
        <v>8</v>
      </c>
      <c r="I232" s="75">
        <f t="shared" si="226"/>
        <v>640</v>
      </c>
      <c r="J232" s="67"/>
      <c r="K232" s="67"/>
      <c r="L232" s="67"/>
      <c r="M232" s="67"/>
      <c r="N232" s="75" t="str">
        <f t="shared" si="215"/>
        <v> </v>
      </c>
      <c r="O232" s="75" t="str">
        <f t="shared" si="216"/>
        <v> </v>
      </c>
      <c r="P232" s="75" t="str">
        <f t="shared" si="217"/>
        <v> </v>
      </c>
      <c r="Q232" s="75">
        <f t="shared" si="218"/>
        <v>8</v>
      </c>
      <c r="R232" s="75" t="str">
        <f t="shared" si="219"/>
        <v> </v>
      </c>
      <c r="S232" s="67" t="str">
        <f t="shared" si="220"/>
        <v> </v>
      </c>
      <c r="T232" s="67" t="str">
        <f t="shared" si="221"/>
        <v> </v>
      </c>
      <c r="U232" s="67" t="str">
        <f t="shared" si="222"/>
        <v> </v>
      </c>
      <c r="V232" s="67" t="str">
        <f t="shared" si="223"/>
        <v> </v>
      </c>
      <c r="W232" s="67" t="str">
        <f t="shared" si="224"/>
        <v> </v>
      </c>
      <c r="X232" s="67"/>
      <c r="Y232" s="67"/>
      <c r="Z232" s="67"/>
      <c r="AA232" s="67"/>
      <c r="AB232" s="67"/>
      <c r="AC232" s="85"/>
      <c r="AG232" s="86"/>
    </row>
    <row r="233" ht="12.75" customHeight="1">
      <c r="A233" s="1"/>
      <c r="B233" s="87">
        <v>3.0</v>
      </c>
      <c r="C233" s="88" t="s">
        <v>67</v>
      </c>
      <c r="D233" s="89">
        <v>0.5</v>
      </c>
      <c r="E233" s="90">
        <v>3.0</v>
      </c>
      <c r="F233" s="91">
        <v>1.0</v>
      </c>
      <c r="G233" s="92">
        <f>'Start Here'!$F$22*D233</f>
        <v>50</v>
      </c>
      <c r="H233" s="67"/>
      <c r="I233" s="67"/>
      <c r="J233" s="93">
        <f t="shared" ref="J233:J236" si="227">E233*F233</f>
        <v>3</v>
      </c>
      <c r="K233" s="93">
        <f t="shared" ref="K233:K236" si="228">G233*J233</f>
        <v>150</v>
      </c>
      <c r="L233" s="67"/>
      <c r="M233" s="67"/>
      <c r="N233" s="67" t="str">
        <f t="shared" si="215"/>
        <v> </v>
      </c>
      <c r="O233" s="67" t="str">
        <f t="shared" si="216"/>
        <v> </v>
      </c>
      <c r="P233" s="67" t="str">
        <f t="shared" si="217"/>
        <v> </v>
      </c>
      <c r="Q233" s="67" t="str">
        <f t="shared" si="218"/>
        <v> </v>
      </c>
      <c r="R233" s="67" t="str">
        <f t="shared" si="219"/>
        <v> </v>
      </c>
      <c r="S233" s="93">
        <f t="shared" si="220"/>
        <v>3</v>
      </c>
      <c r="T233" s="93" t="str">
        <f t="shared" si="221"/>
        <v> </v>
      </c>
      <c r="U233" s="93" t="str">
        <f t="shared" si="222"/>
        <v> </v>
      </c>
      <c r="V233" s="93" t="str">
        <f t="shared" si="223"/>
        <v> </v>
      </c>
      <c r="W233" s="93" t="str">
        <f t="shared" si="224"/>
        <v> </v>
      </c>
      <c r="X233" s="67"/>
      <c r="Y233" s="67"/>
      <c r="Z233" s="67"/>
      <c r="AA233" s="67"/>
      <c r="AB233" s="67"/>
      <c r="AC233" s="85"/>
      <c r="AG233" s="86"/>
    </row>
    <row r="234" ht="12.75" customHeight="1">
      <c r="A234" s="1"/>
      <c r="B234" s="87"/>
      <c r="C234" s="94" t="s">
        <v>67</v>
      </c>
      <c r="D234" s="89">
        <v>0.6</v>
      </c>
      <c r="E234" s="90">
        <v>3.0</v>
      </c>
      <c r="F234" s="91">
        <v>1.0</v>
      </c>
      <c r="G234" s="92">
        <f>'Start Here'!$F$22*D234</f>
        <v>60</v>
      </c>
      <c r="H234" s="67"/>
      <c r="I234" s="67"/>
      <c r="J234" s="93">
        <f t="shared" si="227"/>
        <v>3</v>
      </c>
      <c r="K234" s="93">
        <f t="shared" si="228"/>
        <v>180</v>
      </c>
      <c r="L234" s="67"/>
      <c r="M234" s="67"/>
      <c r="N234" s="67" t="str">
        <f t="shared" si="215"/>
        <v> </v>
      </c>
      <c r="O234" s="67" t="str">
        <f t="shared" si="216"/>
        <v> </v>
      </c>
      <c r="P234" s="67" t="str">
        <f t="shared" si="217"/>
        <v> </v>
      </c>
      <c r="Q234" s="67" t="str">
        <f t="shared" si="218"/>
        <v> </v>
      </c>
      <c r="R234" s="67" t="str">
        <f t="shared" si="219"/>
        <v> </v>
      </c>
      <c r="S234" s="93" t="str">
        <f t="shared" si="220"/>
        <v> </v>
      </c>
      <c r="T234" s="93">
        <f t="shared" si="221"/>
        <v>3</v>
      </c>
      <c r="U234" s="93" t="str">
        <f t="shared" si="222"/>
        <v> </v>
      </c>
      <c r="V234" s="93" t="str">
        <f t="shared" si="223"/>
        <v> </v>
      </c>
      <c r="W234" s="93" t="str">
        <f t="shared" si="224"/>
        <v> </v>
      </c>
      <c r="X234" s="67"/>
      <c r="Y234" s="67"/>
      <c r="Z234" s="67"/>
      <c r="AA234" s="67"/>
      <c r="AB234" s="67"/>
      <c r="AC234" s="85"/>
      <c r="AG234" s="86"/>
    </row>
    <row r="235" ht="12.75" customHeight="1">
      <c r="A235" s="1"/>
      <c r="B235" s="87"/>
      <c r="C235" s="94" t="s">
        <v>67</v>
      </c>
      <c r="D235" s="89">
        <v>0.7</v>
      </c>
      <c r="E235" s="90">
        <v>3.0</v>
      </c>
      <c r="F235" s="91">
        <v>1.0</v>
      </c>
      <c r="G235" s="92">
        <f>'Start Here'!$F$22*D235</f>
        <v>70</v>
      </c>
      <c r="H235" s="67"/>
      <c r="I235" s="67"/>
      <c r="J235" s="93">
        <f t="shared" si="227"/>
        <v>3</v>
      </c>
      <c r="K235" s="93">
        <f t="shared" si="228"/>
        <v>210</v>
      </c>
      <c r="L235" s="67"/>
      <c r="M235" s="67"/>
      <c r="N235" s="67" t="str">
        <f t="shared" si="215"/>
        <v> </v>
      </c>
      <c r="O235" s="67" t="str">
        <f t="shared" si="216"/>
        <v> </v>
      </c>
      <c r="P235" s="67" t="str">
        <f t="shared" si="217"/>
        <v> </v>
      </c>
      <c r="Q235" s="67" t="str">
        <f t="shared" si="218"/>
        <v> </v>
      </c>
      <c r="R235" s="67" t="str">
        <f t="shared" si="219"/>
        <v> </v>
      </c>
      <c r="S235" s="93" t="str">
        <f t="shared" si="220"/>
        <v> </v>
      </c>
      <c r="T235" s="93" t="str">
        <f t="shared" si="221"/>
        <v> </v>
      </c>
      <c r="U235" s="93">
        <f t="shared" si="222"/>
        <v>3</v>
      </c>
      <c r="V235" s="93" t="str">
        <f t="shared" si="223"/>
        <v> </v>
      </c>
      <c r="W235" s="93" t="str">
        <f t="shared" si="224"/>
        <v> </v>
      </c>
      <c r="X235" s="67"/>
      <c r="Y235" s="67"/>
      <c r="Z235" s="67"/>
      <c r="AA235" s="67"/>
      <c r="AB235" s="67"/>
      <c r="AC235" s="85"/>
      <c r="AG235" s="86"/>
    </row>
    <row r="236" ht="12.75" customHeight="1">
      <c r="A236" s="1"/>
      <c r="B236" s="87"/>
      <c r="C236" s="94" t="s">
        <v>67</v>
      </c>
      <c r="D236" s="89">
        <v>0.75</v>
      </c>
      <c r="E236" s="90">
        <v>2.0</v>
      </c>
      <c r="F236" s="91">
        <v>4.0</v>
      </c>
      <c r="G236" s="92">
        <f>'Start Here'!$F$22*D236</f>
        <v>75</v>
      </c>
      <c r="H236" s="67"/>
      <c r="I236" s="67"/>
      <c r="J236" s="93">
        <f t="shared" si="227"/>
        <v>8</v>
      </c>
      <c r="K236" s="93">
        <f t="shared" si="228"/>
        <v>600</v>
      </c>
      <c r="L236" s="67"/>
      <c r="M236" s="67"/>
      <c r="N236" s="67" t="str">
        <f t="shared" si="215"/>
        <v> </v>
      </c>
      <c r="O236" s="67" t="str">
        <f t="shared" si="216"/>
        <v> </v>
      </c>
      <c r="P236" s="67" t="str">
        <f t="shared" si="217"/>
        <v> </v>
      </c>
      <c r="Q236" s="67" t="str">
        <f t="shared" si="218"/>
        <v> </v>
      </c>
      <c r="R236" s="67" t="str">
        <f t="shared" si="219"/>
        <v> </v>
      </c>
      <c r="S236" s="93" t="str">
        <f t="shared" si="220"/>
        <v> </v>
      </c>
      <c r="T236" s="93" t="str">
        <f t="shared" si="221"/>
        <v> </v>
      </c>
      <c r="U236" s="93">
        <f t="shared" si="222"/>
        <v>8</v>
      </c>
      <c r="V236" s="93" t="str">
        <f t="shared" si="223"/>
        <v> </v>
      </c>
      <c r="W236" s="93" t="str">
        <f t="shared" si="224"/>
        <v> </v>
      </c>
      <c r="X236" s="67"/>
      <c r="Y236" s="67"/>
      <c r="Z236" s="67"/>
      <c r="AA236" s="67"/>
      <c r="AB236" s="67"/>
      <c r="AC236" s="85"/>
      <c r="AG236" s="86"/>
    </row>
    <row r="237" ht="12.75" customHeight="1">
      <c r="A237" s="1"/>
      <c r="B237" s="96">
        <v>4.0</v>
      </c>
      <c r="C237" s="97" t="s">
        <v>69</v>
      </c>
      <c r="D237" s="98"/>
      <c r="E237" s="98">
        <v>6.0</v>
      </c>
      <c r="F237" s="98">
        <v>4.0</v>
      </c>
      <c r="G237" s="99"/>
      <c r="H237" s="67"/>
      <c r="I237" s="67"/>
      <c r="J237" s="67"/>
      <c r="K237" s="67"/>
      <c r="L237" s="67"/>
      <c r="M237" s="67"/>
      <c r="N237" s="67"/>
      <c r="O237" s="67"/>
      <c r="P237" s="67"/>
      <c r="Q237" s="67"/>
      <c r="R237" s="67"/>
      <c r="S237" s="67"/>
      <c r="T237" s="67"/>
      <c r="U237" s="67"/>
      <c r="V237" s="67"/>
      <c r="W237" s="67"/>
      <c r="X237" s="67"/>
      <c r="Y237" s="67"/>
      <c r="Z237" s="67"/>
      <c r="AA237" s="67"/>
      <c r="AB237" s="67"/>
      <c r="AC237" s="85"/>
      <c r="AG237" s="86"/>
    </row>
    <row r="238" ht="12.75" customHeight="1">
      <c r="A238" s="1"/>
      <c r="B238" s="100">
        <v>5.0</v>
      </c>
      <c r="C238" s="101" t="s">
        <v>48</v>
      </c>
      <c r="D238" s="102"/>
      <c r="E238" s="102">
        <v>10.0</v>
      </c>
      <c r="F238" s="102">
        <v>3.0</v>
      </c>
      <c r="G238" s="103"/>
      <c r="H238" s="67"/>
      <c r="I238" s="67"/>
      <c r="J238" s="67"/>
      <c r="K238" s="67"/>
      <c r="L238" s="67"/>
      <c r="M238" s="67"/>
      <c r="N238" s="67"/>
      <c r="O238" s="67"/>
      <c r="P238" s="67"/>
      <c r="Q238" s="67"/>
      <c r="R238" s="67"/>
      <c r="S238" s="67"/>
      <c r="T238" s="67"/>
      <c r="U238" s="67"/>
      <c r="V238" s="67"/>
      <c r="W238" s="67"/>
      <c r="X238" s="67"/>
      <c r="Y238" s="67"/>
      <c r="Z238" s="67"/>
      <c r="AA238" s="67"/>
      <c r="AB238" s="67"/>
      <c r="AC238" s="104"/>
      <c r="AD238" s="105"/>
      <c r="AE238" s="105"/>
      <c r="AF238" s="105"/>
      <c r="AG238" s="106"/>
    </row>
    <row r="239" ht="12.75" customHeight="1">
      <c r="A239" s="1"/>
      <c r="B239" s="67"/>
      <c r="C239" s="67"/>
      <c r="D239" s="68"/>
      <c r="E239" s="68"/>
      <c r="F239" s="68"/>
      <c r="G239" s="68"/>
      <c r="H239" s="67"/>
      <c r="I239" s="67"/>
      <c r="J239" s="67"/>
      <c r="K239" s="67"/>
      <c r="L239" s="67"/>
      <c r="M239" s="67"/>
      <c r="N239" s="67"/>
      <c r="O239" s="67"/>
      <c r="P239" s="67"/>
      <c r="Q239" s="67"/>
      <c r="R239" s="67"/>
      <c r="S239" s="67"/>
      <c r="T239" s="67"/>
      <c r="U239" s="67"/>
      <c r="V239" s="67"/>
      <c r="W239" s="67"/>
      <c r="X239" s="67"/>
      <c r="Y239" s="67"/>
      <c r="Z239" s="67"/>
      <c r="AA239" s="67"/>
      <c r="AB239" s="67"/>
      <c r="AC239" s="67"/>
      <c r="AD239" s="67"/>
      <c r="AE239" s="67"/>
      <c r="AF239" s="67"/>
      <c r="AG239" s="67"/>
    </row>
    <row r="240" ht="42.0" customHeight="1">
      <c r="A240" s="1"/>
      <c r="B240" s="68" t="s">
        <v>58</v>
      </c>
      <c r="D240" s="68" t="s">
        <v>34</v>
      </c>
      <c r="E240" s="68" t="s">
        <v>35</v>
      </c>
      <c r="F240" s="68" t="s">
        <v>36</v>
      </c>
      <c r="G240" s="68" t="s">
        <v>37</v>
      </c>
      <c r="H240" s="67"/>
      <c r="I240" s="67"/>
      <c r="J240" s="67"/>
      <c r="K240" s="67"/>
      <c r="L240" s="67"/>
      <c r="M240" s="67"/>
      <c r="N240" s="67"/>
      <c r="O240" s="67"/>
      <c r="P240" s="67"/>
      <c r="Q240" s="67"/>
      <c r="R240" s="67"/>
      <c r="S240" s="67"/>
      <c r="T240" s="67"/>
      <c r="U240" s="67"/>
      <c r="V240" s="67"/>
      <c r="W240" s="67"/>
      <c r="X240" s="67"/>
      <c r="Y240" s="67"/>
      <c r="Z240" s="67"/>
      <c r="AA240" s="67"/>
      <c r="AB240" s="67"/>
      <c r="AC240" s="67" t="s">
        <v>43</v>
      </c>
      <c r="AD240" s="67"/>
      <c r="AE240" s="67"/>
      <c r="AF240" s="67"/>
      <c r="AG240" s="67"/>
    </row>
    <row r="241" ht="12.75" customHeight="1">
      <c r="A241" s="1"/>
      <c r="B241" s="107">
        <v>1.0</v>
      </c>
      <c r="C241" s="108" t="s">
        <v>68</v>
      </c>
      <c r="D241" s="109">
        <v>0.5</v>
      </c>
      <c r="E241" s="110">
        <v>3.0</v>
      </c>
      <c r="F241" s="111">
        <v>1.0</v>
      </c>
      <c r="G241" s="112">
        <f>'Start Here'!$F$23*D241</f>
        <v>50</v>
      </c>
      <c r="H241" s="67"/>
      <c r="I241" s="67"/>
      <c r="J241" s="67"/>
      <c r="K241" s="67"/>
      <c r="L241" s="113">
        <f t="shared" ref="L241:L245" si="229">E241*F241</f>
        <v>3</v>
      </c>
      <c r="M241" s="113">
        <f t="shared" ref="M241:M245" si="230">G241*L241</f>
        <v>150</v>
      </c>
      <c r="N241" s="67"/>
      <c r="O241" s="67"/>
      <c r="P241" s="67"/>
      <c r="Q241" s="67"/>
      <c r="R241" s="67"/>
      <c r="S241" s="67" t="str">
        <f t="shared" ref="S241:S252" si="231">IF(ISNUMBER(SEARCH("bench",$C241)),IF($D241&gt;=0.5,IF($D241&lt;0.6,$E241*$F241," ")," ")," ")</f>
        <v> </v>
      </c>
      <c r="T241" s="67" t="str">
        <f t="shared" ref="T241:T252" si="232">IF(ISNUMBER(SEARCH("bench",$C241)),IF($D241&gt;=0.6,IF($D241&lt;0.7,$E241*$F241," ")," ")," ")</f>
        <v> </v>
      </c>
      <c r="U241" s="67" t="str">
        <f t="shared" ref="U241:U252" si="233">IF(ISNUMBER(SEARCH("bench",$C241)),IF($D241&gt;=0.7,IF($D241&lt;0.8,$E241*$F241," ")," ")," ")</f>
        <v> </v>
      </c>
      <c r="V241" s="67" t="str">
        <f t="shared" ref="V241:V252" si="234">IF(ISNUMBER(SEARCH("bench",$C241)),IF($D241&gt;=0.8,IF($D241&lt;0.9,$E241*$F241," ")," ")," ")</f>
        <v> </v>
      </c>
      <c r="W241" s="67" t="str">
        <f t="shared" ref="W241:W252" si="235">IF(ISNUMBER(SEARCH("bench",$C241)),IF($D241&gt;=0.9,$E241*$F241," ")," ")</f>
        <v> </v>
      </c>
      <c r="X241" s="114">
        <f t="shared" ref="X241:X252" si="236">IF(ISNUMBER(SEARCH("deadlift",$C241)),IF($D241&gt;=0.5,IF($D241&lt;0.6,$E241*$F241," ")," ")," ")</f>
        <v>3</v>
      </c>
      <c r="Y241" s="114" t="str">
        <f t="shared" ref="Y241:Y252" si="237">IF(ISNUMBER(SEARCH("deadlift",$C241)),IF($D241&gt;=0.6,IF($D241&lt;0.7,$E241*$F241," ")," ")," ")</f>
        <v> </v>
      </c>
      <c r="Z241" s="114" t="str">
        <f t="shared" ref="Z241:Z252" si="238">IF(ISNUMBER(SEARCH("deadlift",$C241)),IF($D241&gt;=0.7,IF($D241&lt;0.8,$E241*$F241," ")," ")," ")</f>
        <v> </v>
      </c>
      <c r="AA241" s="114" t="str">
        <f t="shared" ref="AA241:AA252" si="239">IF(ISNUMBER(SEARCH("deadlift",$C241)),IF($D241&gt;=0.8,IF($D241&lt;0.9,$E241*$F241," ")," ")," ")</f>
        <v> </v>
      </c>
      <c r="AB241" s="114" t="str">
        <f t="shared" ref="AB241:AB252" si="240">IF(ISNUMBER(SEARCH("deadlift",$C241)),IF($D241&gt;=0.9,$E241*$F241," ")," ")</f>
        <v> </v>
      </c>
      <c r="AC241" s="76"/>
      <c r="AD241" s="77"/>
      <c r="AE241" s="77"/>
      <c r="AF241" s="77"/>
      <c r="AG241" s="78"/>
    </row>
    <row r="242" ht="12.75" customHeight="1">
      <c r="A242" s="1"/>
      <c r="B242" s="115"/>
      <c r="C242" s="122" t="s">
        <v>68</v>
      </c>
      <c r="D242" s="117">
        <v>0.6</v>
      </c>
      <c r="E242" s="118">
        <v>3.0</v>
      </c>
      <c r="F242" s="119">
        <v>1.0</v>
      </c>
      <c r="G242" s="120">
        <f>'Start Here'!$F$23*D242</f>
        <v>60</v>
      </c>
      <c r="H242" s="67"/>
      <c r="I242" s="67"/>
      <c r="J242" s="67"/>
      <c r="K242" s="67"/>
      <c r="L242" s="113">
        <f t="shared" si="229"/>
        <v>3</v>
      </c>
      <c r="M242" s="113">
        <f t="shared" si="230"/>
        <v>180</v>
      </c>
      <c r="N242" s="67"/>
      <c r="O242" s="67"/>
      <c r="P242" s="67"/>
      <c r="Q242" s="67"/>
      <c r="R242" s="67"/>
      <c r="S242" s="67" t="str">
        <f t="shared" si="231"/>
        <v> </v>
      </c>
      <c r="T242" s="67" t="str">
        <f t="shared" si="232"/>
        <v> </v>
      </c>
      <c r="U242" s="67" t="str">
        <f t="shared" si="233"/>
        <v> </v>
      </c>
      <c r="V242" s="67" t="str">
        <f t="shared" si="234"/>
        <v> </v>
      </c>
      <c r="W242" s="67" t="str">
        <f t="shared" si="235"/>
        <v> </v>
      </c>
      <c r="X242" s="114" t="str">
        <f t="shared" si="236"/>
        <v> </v>
      </c>
      <c r="Y242" s="114">
        <f t="shared" si="237"/>
        <v>3</v>
      </c>
      <c r="Z242" s="114" t="str">
        <f t="shared" si="238"/>
        <v> </v>
      </c>
      <c r="AA242" s="114" t="str">
        <f t="shared" si="239"/>
        <v> </v>
      </c>
      <c r="AB242" s="114" t="str">
        <f t="shared" si="240"/>
        <v> </v>
      </c>
      <c r="AC242" s="85"/>
      <c r="AG242" s="86"/>
    </row>
    <row r="243" ht="12.75" customHeight="1">
      <c r="A243" s="1"/>
      <c r="B243" s="115"/>
      <c r="C243" s="122" t="s">
        <v>68</v>
      </c>
      <c r="D243" s="117">
        <v>0.7</v>
      </c>
      <c r="E243" s="118">
        <v>3.0</v>
      </c>
      <c r="F243" s="119">
        <v>1.0</v>
      </c>
      <c r="G243" s="120">
        <f>'Start Here'!$F$23*D243</f>
        <v>70</v>
      </c>
      <c r="H243" s="67"/>
      <c r="I243" s="67"/>
      <c r="J243" s="67"/>
      <c r="K243" s="67"/>
      <c r="L243" s="113">
        <f t="shared" si="229"/>
        <v>3</v>
      </c>
      <c r="M243" s="113">
        <f t="shared" si="230"/>
        <v>210</v>
      </c>
      <c r="N243" s="67"/>
      <c r="O243" s="67"/>
      <c r="P243" s="67"/>
      <c r="Q243" s="67"/>
      <c r="R243" s="67"/>
      <c r="S243" s="67" t="str">
        <f t="shared" si="231"/>
        <v> </v>
      </c>
      <c r="T243" s="67" t="str">
        <f t="shared" si="232"/>
        <v> </v>
      </c>
      <c r="U243" s="67" t="str">
        <f t="shared" si="233"/>
        <v> </v>
      </c>
      <c r="V243" s="67" t="str">
        <f t="shared" si="234"/>
        <v> </v>
      </c>
      <c r="W243" s="67" t="str">
        <f t="shared" si="235"/>
        <v> </v>
      </c>
      <c r="X243" s="114" t="str">
        <f t="shared" si="236"/>
        <v> </v>
      </c>
      <c r="Y243" s="114" t="str">
        <f t="shared" si="237"/>
        <v> </v>
      </c>
      <c r="Z243" s="114">
        <f t="shared" si="238"/>
        <v>3</v>
      </c>
      <c r="AA243" s="114" t="str">
        <f t="shared" si="239"/>
        <v> </v>
      </c>
      <c r="AB243" s="114" t="str">
        <f t="shared" si="240"/>
        <v> </v>
      </c>
      <c r="AC243" s="85"/>
      <c r="AG243" s="86"/>
    </row>
    <row r="244" ht="12.75" customHeight="1">
      <c r="A244" s="1"/>
      <c r="B244" s="115"/>
      <c r="C244" s="122" t="s">
        <v>68</v>
      </c>
      <c r="D244" s="117">
        <v>0.75</v>
      </c>
      <c r="E244" s="118">
        <v>2.0</v>
      </c>
      <c r="F244" s="119">
        <v>2.0</v>
      </c>
      <c r="G244" s="120">
        <f>'Start Here'!$F$23*D244</f>
        <v>75</v>
      </c>
      <c r="H244" s="67"/>
      <c r="I244" s="67"/>
      <c r="J244" s="67"/>
      <c r="K244" s="67"/>
      <c r="L244" s="113">
        <f t="shared" si="229"/>
        <v>4</v>
      </c>
      <c r="M244" s="113">
        <f t="shared" si="230"/>
        <v>300</v>
      </c>
      <c r="N244" s="67"/>
      <c r="O244" s="67"/>
      <c r="P244" s="67"/>
      <c r="Q244" s="67"/>
      <c r="R244" s="67"/>
      <c r="S244" s="67" t="str">
        <f t="shared" si="231"/>
        <v> </v>
      </c>
      <c r="T244" s="67" t="str">
        <f t="shared" si="232"/>
        <v> </v>
      </c>
      <c r="U244" s="67" t="str">
        <f t="shared" si="233"/>
        <v> </v>
      </c>
      <c r="V244" s="67" t="str">
        <f t="shared" si="234"/>
        <v> </v>
      </c>
      <c r="W244" s="67" t="str">
        <f t="shared" si="235"/>
        <v> </v>
      </c>
      <c r="X244" s="114" t="str">
        <f t="shared" si="236"/>
        <v> </v>
      </c>
      <c r="Y244" s="114" t="str">
        <f t="shared" si="237"/>
        <v> </v>
      </c>
      <c r="Z244" s="114">
        <f t="shared" si="238"/>
        <v>4</v>
      </c>
      <c r="AA244" s="114" t="str">
        <f t="shared" si="239"/>
        <v> </v>
      </c>
      <c r="AB244" s="114" t="str">
        <f t="shared" si="240"/>
        <v> </v>
      </c>
      <c r="AC244" s="85"/>
      <c r="AG244" s="86"/>
    </row>
    <row r="245" ht="12.75" customHeight="1">
      <c r="A245" s="1"/>
      <c r="B245" s="115"/>
      <c r="C245" s="122" t="s">
        <v>68</v>
      </c>
      <c r="D245" s="117">
        <v>0.8</v>
      </c>
      <c r="E245" s="118">
        <v>1.0</v>
      </c>
      <c r="F245" s="119">
        <v>3.0</v>
      </c>
      <c r="G245" s="120">
        <f>'Start Here'!$F$23*D245</f>
        <v>80</v>
      </c>
      <c r="H245" s="67"/>
      <c r="I245" s="67"/>
      <c r="J245" s="67"/>
      <c r="K245" s="67"/>
      <c r="L245" s="113">
        <f t="shared" si="229"/>
        <v>3</v>
      </c>
      <c r="M245" s="113">
        <f t="shared" si="230"/>
        <v>240</v>
      </c>
      <c r="N245" s="67"/>
      <c r="O245" s="67"/>
      <c r="P245" s="67"/>
      <c r="Q245" s="67"/>
      <c r="R245" s="67"/>
      <c r="S245" s="67" t="str">
        <f t="shared" si="231"/>
        <v> </v>
      </c>
      <c r="T245" s="67" t="str">
        <f t="shared" si="232"/>
        <v> </v>
      </c>
      <c r="U245" s="67" t="str">
        <f t="shared" si="233"/>
        <v> </v>
      </c>
      <c r="V245" s="67" t="str">
        <f t="shared" si="234"/>
        <v> </v>
      </c>
      <c r="W245" s="67" t="str">
        <f t="shared" si="235"/>
        <v> </v>
      </c>
      <c r="X245" s="114" t="str">
        <f t="shared" si="236"/>
        <v> </v>
      </c>
      <c r="Y245" s="114" t="str">
        <f t="shared" si="237"/>
        <v> </v>
      </c>
      <c r="Z245" s="114" t="str">
        <f t="shared" si="238"/>
        <v> </v>
      </c>
      <c r="AA245" s="114">
        <f t="shared" si="239"/>
        <v>3</v>
      </c>
      <c r="AB245" s="114" t="str">
        <f t="shared" si="240"/>
        <v> </v>
      </c>
      <c r="AC245" s="85"/>
      <c r="AG245" s="86"/>
    </row>
    <row r="246" ht="12.75" customHeight="1">
      <c r="A246" s="1"/>
      <c r="B246" s="87">
        <v>2.0</v>
      </c>
      <c r="C246" s="88" t="s">
        <v>88</v>
      </c>
      <c r="D246" s="89">
        <v>0.5</v>
      </c>
      <c r="E246" s="90">
        <v>6.0</v>
      </c>
      <c r="F246" s="91">
        <v>1.0</v>
      </c>
      <c r="G246" s="92">
        <f>'Start Here'!$F$22*D246</f>
        <v>50</v>
      </c>
      <c r="H246" s="67"/>
      <c r="I246" s="67"/>
      <c r="J246" s="93">
        <f t="shared" ref="J246:J248" si="241">E246*F246</f>
        <v>6</v>
      </c>
      <c r="K246" s="93">
        <f t="shared" ref="K246:K248" si="242">G246*J246</f>
        <v>300</v>
      </c>
      <c r="L246" s="67"/>
      <c r="M246" s="67"/>
      <c r="N246" s="67"/>
      <c r="O246" s="67"/>
      <c r="P246" s="67"/>
      <c r="Q246" s="67"/>
      <c r="R246" s="67"/>
      <c r="S246" s="93">
        <f t="shared" si="231"/>
        <v>6</v>
      </c>
      <c r="T246" s="93" t="str">
        <f t="shared" si="232"/>
        <v> </v>
      </c>
      <c r="U246" s="93" t="str">
        <f t="shared" si="233"/>
        <v> </v>
      </c>
      <c r="V246" s="93" t="str">
        <f t="shared" si="234"/>
        <v> </v>
      </c>
      <c r="W246" s="93" t="str">
        <f t="shared" si="235"/>
        <v> </v>
      </c>
      <c r="X246" s="67" t="str">
        <f t="shared" si="236"/>
        <v> </v>
      </c>
      <c r="Y246" s="67" t="str">
        <f t="shared" si="237"/>
        <v> </v>
      </c>
      <c r="Z246" s="67" t="str">
        <f t="shared" si="238"/>
        <v> </v>
      </c>
      <c r="AA246" s="67" t="str">
        <f t="shared" si="239"/>
        <v> </v>
      </c>
      <c r="AB246" s="67" t="str">
        <f t="shared" si="240"/>
        <v> </v>
      </c>
      <c r="AC246" s="85"/>
      <c r="AG246" s="86"/>
    </row>
    <row r="247" ht="12.75" customHeight="1">
      <c r="A247" s="1"/>
      <c r="B247" s="87"/>
      <c r="C247" s="94" t="s">
        <v>88</v>
      </c>
      <c r="D247" s="89">
        <v>0.6</v>
      </c>
      <c r="E247" s="90">
        <v>6.0</v>
      </c>
      <c r="F247" s="91">
        <v>1.0</v>
      </c>
      <c r="G247" s="92">
        <f>'Start Here'!$F$22*D247</f>
        <v>60</v>
      </c>
      <c r="H247" s="67"/>
      <c r="I247" s="67"/>
      <c r="J247" s="93">
        <f t="shared" si="241"/>
        <v>6</v>
      </c>
      <c r="K247" s="93">
        <f t="shared" si="242"/>
        <v>360</v>
      </c>
      <c r="L247" s="67"/>
      <c r="M247" s="67"/>
      <c r="N247" s="67"/>
      <c r="O247" s="67"/>
      <c r="P247" s="67"/>
      <c r="Q247" s="67"/>
      <c r="R247" s="67"/>
      <c r="S247" s="93" t="str">
        <f t="shared" si="231"/>
        <v> </v>
      </c>
      <c r="T247" s="93">
        <f t="shared" si="232"/>
        <v>6</v>
      </c>
      <c r="U247" s="93" t="str">
        <f t="shared" si="233"/>
        <v> </v>
      </c>
      <c r="V247" s="93" t="str">
        <f t="shared" si="234"/>
        <v> </v>
      </c>
      <c r="W247" s="93" t="str">
        <f t="shared" si="235"/>
        <v> </v>
      </c>
      <c r="X247" s="67" t="str">
        <f t="shared" si="236"/>
        <v> </v>
      </c>
      <c r="Y247" s="67" t="str">
        <f t="shared" si="237"/>
        <v> </v>
      </c>
      <c r="Z247" s="67" t="str">
        <f t="shared" si="238"/>
        <v> </v>
      </c>
      <c r="AA247" s="67" t="str">
        <f t="shared" si="239"/>
        <v> </v>
      </c>
      <c r="AB247" s="67" t="str">
        <f t="shared" si="240"/>
        <v> </v>
      </c>
      <c r="AC247" s="85"/>
      <c r="AG247" s="86"/>
    </row>
    <row r="248" ht="12.75" customHeight="1">
      <c r="A248" s="1"/>
      <c r="B248" s="87"/>
      <c r="C248" s="94" t="s">
        <v>88</v>
      </c>
      <c r="D248" s="89">
        <v>0.65</v>
      </c>
      <c r="E248" s="90">
        <v>6.0</v>
      </c>
      <c r="F248" s="91">
        <v>4.0</v>
      </c>
      <c r="G248" s="92">
        <f>'Start Here'!$F$22*D248</f>
        <v>65</v>
      </c>
      <c r="H248" s="67"/>
      <c r="I248" s="67"/>
      <c r="J248" s="93">
        <f t="shared" si="241"/>
        <v>24</v>
      </c>
      <c r="K248" s="93">
        <f t="shared" si="242"/>
        <v>1560</v>
      </c>
      <c r="L248" s="67"/>
      <c r="M248" s="67"/>
      <c r="N248" s="67"/>
      <c r="O248" s="67"/>
      <c r="P248" s="67"/>
      <c r="Q248" s="67"/>
      <c r="R248" s="67"/>
      <c r="S248" s="93" t="str">
        <f t="shared" si="231"/>
        <v> </v>
      </c>
      <c r="T248" s="93">
        <f t="shared" si="232"/>
        <v>24</v>
      </c>
      <c r="U248" s="93" t="str">
        <f t="shared" si="233"/>
        <v> </v>
      </c>
      <c r="V248" s="93" t="str">
        <f t="shared" si="234"/>
        <v> </v>
      </c>
      <c r="W248" s="93" t="str">
        <f t="shared" si="235"/>
        <v> </v>
      </c>
      <c r="X248" s="67" t="str">
        <f t="shared" si="236"/>
        <v> </v>
      </c>
      <c r="Y248" s="67" t="str">
        <f t="shared" si="237"/>
        <v> </v>
      </c>
      <c r="Z248" s="67" t="str">
        <f t="shared" si="238"/>
        <v> </v>
      </c>
      <c r="AA248" s="67" t="str">
        <f t="shared" si="239"/>
        <v> </v>
      </c>
      <c r="AB248" s="67" t="str">
        <f t="shared" si="240"/>
        <v> </v>
      </c>
      <c r="AC248" s="85"/>
      <c r="AG248" s="86"/>
    </row>
    <row r="249" ht="12.75" customHeight="1">
      <c r="A249" s="1"/>
      <c r="B249" s="115">
        <v>3.0</v>
      </c>
      <c r="C249" s="121" t="s">
        <v>89</v>
      </c>
      <c r="D249" s="117">
        <v>0.5</v>
      </c>
      <c r="E249" s="118">
        <v>3.0</v>
      </c>
      <c r="F249" s="119">
        <v>1.0</v>
      </c>
      <c r="G249" s="120">
        <f>'Start Here'!$F$23*D249</f>
        <v>50</v>
      </c>
      <c r="H249" s="67"/>
      <c r="I249" s="67"/>
      <c r="J249" s="67"/>
      <c r="K249" s="67"/>
      <c r="L249" s="113">
        <f t="shared" ref="L249:L252" si="243">E249*F249</f>
        <v>3</v>
      </c>
      <c r="M249" s="113">
        <f t="shared" ref="M249:M252" si="244">G249*L249</f>
        <v>150</v>
      </c>
      <c r="N249" s="67"/>
      <c r="O249" s="67"/>
      <c r="P249" s="67"/>
      <c r="Q249" s="67"/>
      <c r="R249" s="67"/>
      <c r="S249" s="67" t="str">
        <f t="shared" si="231"/>
        <v> </v>
      </c>
      <c r="T249" s="67" t="str">
        <f t="shared" si="232"/>
        <v> </v>
      </c>
      <c r="U249" s="67" t="str">
        <f t="shared" si="233"/>
        <v> </v>
      </c>
      <c r="V249" s="67" t="str">
        <f t="shared" si="234"/>
        <v> </v>
      </c>
      <c r="W249" s="67" t="str">
        <f t="shared" si="235"/>
        <v> </v>
      </c>
      <c r="X249" s="114">
        <f t="shared" si="236"/>
        <v>3</v>
      </c>
      <c r="Y249" s="114" t="str">
        <f t="shared" si="237"/>
        <v> </v>
      </c>
      <c r="Z249" s="114" t="str">
        <f t="shared" si="238"/>
        <v> </v>
      </c>
      <c r="AA249" s="114" t="str">
        <f t="shared" si="239"/>
        <v> </v>
      </c>
      <c r="AB249" s="114" t="str">
        <f t="shared" si="240"/>
        <v> </v>
      </c>
      <c r="AC249" s="85"/>
      <c r="AG249" s="86"/>
    </row>
    <row r="250" ht="12.75" customHeight="1">
      <c r="A250" s="1"/>
      <c r="B250" s="115"/>
      <c r="C250" s="122" t="s">
        <v>89</v>
      </c>
      <c r="D250" s="117">
        <v>0.6</v>
      </c>
      <c r="E250" s="118">
        <v>3.0</v>
      </c>
      <c r="F250" s="119">
        <v>1.0</v>
      </c>
      <c r="G250" s="120">
        <f>'Start Here'!$F$23*D250</f>
        <v>60</v>
      </c>
      <c r="H250" s="67"/>
      <c r="I250" s="67"/>
      <c r="J250" s="67"/>
      <c r="K250" s="67"/>
      <c r="L250" s="113">
        <f t="shared" si="243"/>
        <v>3</v>
      </c>
      <c r="M250" s="113">
        <f t="shared" si="244"/>
        <v>180</v>
      </c>
      <c r="N250" s="67"/>
      <c r="O250" s="67"/>
      <c r="P250" s="67"/>
      <c r="Q250" s="67"/>
      <c r="R250" s="67"/>
      <c r="S250" s="67" t="str">
        <f t="shared" si="231"/>
        <v> </v>
      </c>
      <c r="T250" s="67" t="str">
        <f t="shared" si="232"/>
        <v> </v>
      </c>
      <c r="U250" s="67" t="str">
        <f t="shared" si="233"/>
        <v> </v>
      </c>
      <c r="V250" s="67" t="str">
        <f t="shared" si="234"/>
        <v> </v>
      </c>
      <c r="W250" s="67" t="str">
        <f t="shared" si="235"/>
        <v> </v>
      </c>
      <c r="X250" s="114" t="str">
        <f t="shared" si="236"/>
        <v> </v>
      </c>
      <c r="Y250" s="114">
        <f t="shared" si="237"/>
        <v>3</v>
      </c>
      <c r="Z250" s="114" t="str">
        <f t="shared" si="238"/>
        <v> </v>
      </c>
      <c r="AA250" s="114" t="str">
        <f t="shared" si="239"/>
        <v> </v>
      </c>
      <c r="AB250" s="114" t="str">
        <f t="shared" si="240"/>
        <v> </v>
      </c>
      <c r="AC250" s="85"/>
      <c r="AG250" s="86"/>
    </row>
    <row r="251" ht="12.75" customHeight="1">
      <c r="A251" s="1"/>
      <c r="B251" s="115"/>
      <c r="C251" s="122" t="s">
        <v>89</v>
      </c>
      <c r="D251" s="117">
        <v>0.7</v>
      </c>
      <c r="E251" s="118">
        <v>3.0</v>
      </c>
      <c r="F251" s="119">
        <v>1.0</v>
      </c>
      <c r="G251" s="120">
        <f>'Start Here'!$F$23*D251</f>
        <v>70</v>
      </c>
      <c r="H251" s="67"/>
      <c r="I251" s="67"/>
      <c r="J251" s="67"/>
      <c r="K251" s="67"/>
      <c r="L251" s="113">
        <f t="shared" si="243"/>
        <v>3</v>
      </c>
      <c r="M251" s="113">
        <f t="shared" si="244"/>
        <v>210</v>
      </c>
      <c r="N251" s="67"/>
      <c r="O251" s="67"/>
      <c r="P251" s="67"/>
      <c r="Q251" s="67"/>
      <c r="R251" s="67"/>
      <c r="S251" s="67" t="str">
        <f t="shared" si="231"/>
        <v> </v>
      </c>
      <c r="T251" s="67" t="str">
        <f t="shared" si="232"/>
        <v> </v>
      </c>
      <c r="U251" s="67" t="str">
        <f t="shared" si="233"/>
        <v> </v>
      </c>
      <c r="V251" s="67" t="str">
        <f t="shared" si="234"/>
        <v> </v>
      </c>
      <c r="W251" s="67" t="str">
        <f t="shared" si="235"/>
        <v> </v>
      </c>
      <c r="X251" s="114" t="str">
        <f t="shared" si="236"/>
        <v> </v>
      </c>
      <c r="Y251" s="114" t="str">
        <f t="shared" si="237"/>
        <v> </v>
      </c>
      <c r="Z251" s="114">
        <f t="shared" si="238"/>
        <v>3</v>
      </c>
      <c r="AA251" s="114" t="str">
        <f t="shared" si="239"/>
        <v> </v>
      </c>
      <c r="AB251" s="114" t="str">
        <f t="shared" si="240"/>
        <v> </v>
      </c>
      <c r="AC251" s="85"/>
      <c r="AG251" s="86"/>
    </row>
    <row r="252" ht="12.75" customHeight="1">
      <c r="A252" s="1"/>
      <c r="B252" s="115"/>
      <c r="C252" s="122" t="s">
        <v>89</v>
      </c>
      <c r="D252" s="117">
        <v>0.75</v>
      </c>
      <c r="E252" s="118">
        <v>2.0</v>
      </c>
      <c r="F252" s="119">
        <v>4.0</v>
      </c>
      <c r="G252" s="120">
        <f>'Start Here'!$F$23*D252</f>
        <v>75</v>
      </c>
      <c r="H252" s="67"/>
      <c r="I252" s="67"/>
      <c r="J252" s="67"/>
      <c r="K252" s="67"/>
      <c r="L252" s="113">
        <f t="shared" si="243"/>
        <v>8</v>
      </c>
      <c r="M252" s="113">
        <f t="shared" si="244"/>
        <v>600</v>
      </c>
      <c r="N252" s="67"/>
      <c r="O252" s="67"/>
      <c r="P252" s="67"/>
      <c r="Q252" s="67"/>
      <c r="R252" s="67"/>
      <c r="S252" s="67" t="str">
        <f t="shared" si="231"/>
        <v> </v>
      </c>
      <c r="T252" s="67" t="str">
        <f t="shared" si="232"/>
        <v> </v>
      </c>
      <c r="U252" s="67" t="str">
        <f t="shared" si="233"/>
        <v> </v>
      </c>
      <c r="V252" s="67" t="str">
        <f t="shared" si="234"/>
        <v> </v>
      </c>
      <c r="W252" s="67" t="str">
        <f t="shared" si="235"/>
        <v> </v>
      </c>
      <c r="X252" s="114" t="str">
        <f t="shared" si="236"/>
        <v> </v>
      </c>
      <c r="Y252" s="114" t="str">
        <f t="shared" si="237"/>
        <v> </v>
      </c>
      <c r="Z252" s="114">
        <f t="shared" si="238"/>
        <v>8</v>
      </c>
      <c r="AA252" s="114" t="str">
        <f t="shared" si="239"/>
        <v> </v>
      </c>
      <c r="AB252" s="114" t="str">
        <f t="shared" si="240"/>
        <v> </v>
      </c>
      <c r="AC252" s="85"/>
      <c r="AG252" s="86"/>
    </row>
    <row r="253" ht="12.75" customHeight="1">
      <c r="A253" s="1"/>
      <c r="B253" s="96">
        <v>4.0</v>
      </c>
      <c r="C253" s="97" t="s">
        <v>76</v>
      </c>
      <c r="D253" s="98"/>
      <c r="E253" s="98">
        <v>5.0</v>
      </c>
      <c r="F253" s="98">
        <v>5.0</v>
      </c>
      <c r="G253" s="99"/>
      <c r="H253" s="67"/>
      <c r="I253" s="67"/>
      <c r="J253" s="67"/>
      <c r="K253" s="67"/>
      <c r="L253" s="67"/>
      <c r="M253" s="67"/>
      <c r="N253" s="67"/>
      <c r="O253" s="67"/>
      <c r="P253" s="67"/>
      <c r="Q253" s="67"/>
      <c r="R253" s="67"/>
      <c r="S253" s="67"/>
      <c r="T253" s="67"/>
      <c r="U253" s="67"/>
      <c r="V253" s="67"/>
      <c r="W253" s="67"/>
      <c r="X253" s="67"/>
      <c r="Y253" s="67"/>
      <c r="Z253" s="67"/>
      <c r="AA253" s="67"/>
      <c r="AB253" s="67"/>
      <c r="AC253" s="85"/>
      <c r="AG253" s="86"/>
    </row>
    <row r="254" ht="12.75" customHeight="1">
      <c r="A254" s="1"/>
      <c r="B254" s="100">
        <v>5.0</v>
      </c>
      <c r="C254" s="101" t="s">
        <v>64</v>
      </c>
      <c r="D254" s="102"/>
      <c r="E254" s="102">
        <v>8.0</v>
      </c>
      <c r="F254" s="102">
        <v>4.0</v>
      </c>
      <c r="G254" s="103"/>
      <c r="H254" s="144">
        <f t="shared" ref="H254:AB254" si="245">SUM(H188:H253)</f>
        <v>62</v>
      </c>
      <c r="I254" s="144">
        <f t="shared" si="245"/>
        <v>3890</v>
      </c>
      <c r="J254" s="142">
        <f t="shared" si="245"/>
        <v>121</v>
      </c>
      <c r="K254" s="142">
        <f t="shared" si="245"/>
        <v>8305</v>
      </c>
      <c r="L254" s="142">
        <f t="shared" si="245"/>
        <v>65</v>
      </c>
      <c r="M254" s="142">
        <f t="shared" si="245"/>
        <v>4530</v>
      </c>
      <c r="N254" s="144">
        <f t="shared" si="245"/>
        <v>23</v>
      </c>
      <c r="O254" s="144">
        <f t="shared" si="245"/>
        <v>7</v>
      </c>
      <c r="P254" s="144">
        <f t="shared" si="245"/>
        <v>6</v>
      </c>
      <c r="Q254" s="144">
        <f t="shared" si="245"/>
        <v>20</v>
      </c>
      <c r="R254" s="144">
        <f t="shared" si="245"/>
        <v>0</v>
      </c>
      <c r="S254" s="142">
        <f t="shared" si="245"/>
        <v>19</v>
      </c>
      <c r="T254" s="142">
        <f t="shared" si="245"/>
        <v>44</v>
      </c>
      <c r="U254" s="142">
        <f t="shared" si="245"/>
        <v>20</v>
      </c>
      <c r="V254" s="142">
        <f t="shared" si="245"/>
        <v>32</v>
      </c>
      <c r="W254" s="142">
        <f t="shared" si="245"/>
        <v>6</v>
      </c>
      <c r="X254" s="142">
        <f t="shared" si="245"/>
        <v>9</v>
      </c>
      <c r="Y254" s="142">
        <f t="shared" si="245"/>
        <v>12</v>
      </c>
      <c r="Z254" s="142">
        <f t="shared" si="245"/>
        <v>29</v>
      </c>
      <c r="AA254" s="142">
        <f t="shared" si="245"/>
        <v>9</v>
      </c>
      <c r="AB254" s="142">
        <f t="shared" si="245"/>
        <v>6</v>
      </c>
      <c r="AC254" s="104"/>
      <c r="AD254" s="105"/>
      <c r="AE254" s="105"/>
      <c r="AF254" s="105"/>
      <c r="AG254" s="106"/>
    </row>
    <row r="255" ht="12.75" customHeight="1">
      <c r="A255" s="1"/>
      <c r="B255" s="1"/>
      <c r="C255" s="1"/>
      <c r="D255" s="49"/>
      <c r="E255" s="49"/>
      <c r="F255" s="49"/>
      <c r="G255" s="49"/>
      <c r="H255" s="141"/>
      <c r="I255" s="141"/>
      <c r="J255" s="141"/>
      <c r="K255" s="141"/>
      <c r="L255" s="141"/>
      <c r="M255" s="141"/>
      <c r="N255" s="141"/>
      <c r="O255" s="141"/>
      <c r="P255" s="141"/>
      <c r="Q255" s="141"/>
      <c r="R255" s="141"/>
      <c r="S255" s="141"/>
      <c r="T255" s="141"/>
      <c r="U255" s="141"/>
      <c r="V255" s="141"/>
      <c r="W255" s="141"/>
      <c r="X255" s="141"/>
      <c r="Y255" s="141"/>
      <c r="Z255" s="141"/>
      <c r="AA255" s="141"/>
      <c r="AB255" s="141"/>
      <c r="AC255" s="1"/>
      <c r="AD255" s="1"/>
    </row>
    <row r="256" ht="12.75" customHeight="1">
      <c r="A256" s="146"/>
      <c r="B256" s="146"/>
      <c r="C256" s="146"/>
      <c r="D256" s="147"/>
      <c r="E256" s="147"/>
      <c r="F256" s="147"/>
      <c r="G256" s="147"/>
      <c r="H256" s="148">
        <f t="shared" ref="H256:AB256" si="246">SUM(H254+H185+H115+H64)</f>
        <v>170</v>
      </c>
      <c r="I256" s="148">
        <f t="shared" si="246"/>
        <v>10395</v>
      </c>
      <c r="J256" s="149">
        <f t="shared" si="246"/>
        <v>352</v>
      </c>
      <c r="K256" s="149">
        <f t="shared" si="246"/>
        <v>23760</v>
      </c>
      <c r="L256" s="149">
        <f t="shared" si="246"/>
        <v>201</v>
      </c>
      <c r="M256" s="149">
        <f t="shared" si="246"/>
        <v>13830</v>
      </c>
      <c r="N256" s="148">
        <f t="shared" si="246"/>
        <v>62</v>
      </c>
      <c r="O256" s="148">
        <f t="shared" si="246"/>
        <v>20</v>
      </c>
      <c r="P256" s="148">
        <f t="shared" si="246"/>
        <v>40</v>
      </c>
      <c r="Q256" s="148">
        <f t="shared" si="246"/>
        <v>30</v>
      </c>
      <c r="R256" s="148">
        <f t="shared" si="246"/>
        <v>0</v>
      </c>
      <c r="S256" s="149">
        <f t="shared" si="246"/>
        <v>55</v>
      </c>
      <c r="T256" s="149">
        <f t="shared" si="246"/>
        <v>112</v>
      </c>
      <c r="U256" s="149">
        <f t="shared" si="246"/>
        <v>118</v>
      </c>
      <c r="V256" s="149">
        <f t="shared" si="246"/>
        <v>58</v>
      </c>
      <c r="W256" s="149">
        <f t="shared" si="246"/>
        <v>9</v>
      </c>
      <c r="X256" s="149">
        <f t="shared" si="246"/>
        <v>30</v>
      </c>
      <c r="Y256" s="149">
        <f t="shared" si="246"/>
        <v>42</v>
      </c>
      <c r="Z256" s="149">
        <f t="shared" si="246"/>
        <v>92</v>
      </c>
      <c r="AA256" s="149">
        <f t="shared" si="246"/>
        <v>31</v>
      </c>
      <c r="AB256" s="149">
        <f t="shared" si="246"/>
        <v>6</v>
      </c>
      <c r="AC256" s="146"/>
      <c r="AD256" s="146"/>
      <c r="AE256" s="146"/>
      <c r="AF256" s="146"/>
      <c r="AG256" s="146"/>
    </row>
    <row r="257" ht="12.75" customHeight="1">
      <c r="A257" s="1"/>
      <c r="B257" s="1"/>
      <c r="C257" s="1"/>
      <c r="D257" s="49"/>
      <c r="E257" s="49"/>
      <c r="F257" s="49"/>
      <c r="G257" s="49"/>
      <c r="H257" s="1"/>
      <c r="I257" s="1"/>
      <c r="J257" s="1"/>
      <c r="K257" s="1"/>
      <c r="L257" s="1"/>
      <c r="M257" s="1"/>
      <c r="N257" s="1"/>
      <c r="O257" s="1"/>
      <c r="P257" s="1"/>
      <c r="Q257" s="1"/>
      <c r="R257" s="1"/>
      <c r="S257" s="1"/>
      <c r="T257" s="1"/>
      <c r="U257" s="1"/>
      <c r="V257" s="1"/>
      <c r="W257" s="1"/>
      <c r="X257" s="1"/>
      <c r="Y257" s="1"/>
      <c r="Z257" s="1"/>
      <c r="AA257" s="1"/>
      <c r="AB257" s="1"/>
      <c r="AC257" s="1"/>
      <c r="AD257" s="1"/>
    </row>
    <row r="258" ht="12.75" customHeight="1">
      <c r="A258" s="1"/>
      <c r="B258" s="146"/>
      <c r="C258" s="150"/>
      <c r="D258" s="151"/>
      <c r="E258" s="24"/>
      <c r="F258" s="24"/>
      <c r="G258" s="24"/>
      <c r="H258" s="152"/>
      <c r="I258" s="152"/>
      <c r="J258" s="153"/>
      <c r="K258" s="153"/>
      <c r="L258" s="154"/>
      <c r="M258" s="154"/>
      <c r="N258" s="155"/>
      <c r="O258" s="155"/>
      <c r="P258" s="155"/>
      <c r="Q258" s="155"/>
      <c r="R258" s="155"/>
      <c r="S258" s="156"/>
      <c r="T258" s="156"/>
      <c r="U258" s="156"/>
      <c r="V258" s="156"/>
      <c r="W258" s="156"/>
      <c r="X258" s="157"/>
      <c r="Y258" s="157"/>
      <c r="Z258" s="157"/>
      <c r="AA258" s="157"/>
      <c r="AB258" s="157"/>
      <c r="AC258" s="1"/>
      <c r="AD258" s="1"/>
    </row>
    <row r="259" ht="12.75" customHeight="1">
      <c r="A259" s="1"/>
      <c r="B259" s="146"/>
      <c r="C259" s="150"/>
      <c r="D259" s="151"/>
      <c r="E259" s="24"/>
      <c r="F259" s="24"/>
      <c r="G259" s="24"/>
      <c r="H259" s="152"/>
      <c r="I259" s="152"/>
      <c r="J259" s="153"/>
      <c r="K259" s="153"/>
      <c r="L259" s="154"/>
      <c r="M259" s="154"/>
      <c r="N259" s="155"/>
      <c r="O259" s="155"/>
      <c r="P259" s="155"/>
      <c r="Q259" s="155"/>
      <c r="R259" s="155"/>
      <c r="S259" s="156"/>
      <c r="T259" s="156"/>
      <c r="U259" s="156"/>
      <c r="V259" s="156"/>
      <c r="W259" s="156"/>
      <c r="X259" s="157"/>
      <c r="Y259" s="157"/>
      <c r="Z259" s="157"/>
      <c r="AA259" s="157"/>
      <c r="AB259" s="157"/>
      <c r="AC259" s="1"/>
      <c r="AD259" s="1"/>
    </row>
    <row r="260" ht="12.75" customHeight="1">
      <c r="A260" s="1"/>
      <c r="B260" s="146"/>
      <c r="C260" s="150"/>
      <c r="D260" s="151"/>
      <c r="E260" s="24"/>
      <c r="F260" s="24"/>
      <c r="G260" s="24"/>
      <c r="H260" s="152"/>
      <c r="I260" s="152"/>
      <c r="J260" s="153"/>
      <c r="K260" s="153"/>
      <c r="L260" s="154"/>
      <c r="M260" s="154"/>
      <c r="N260" s="155"/>
      <c r="O260" s="155"/>
      <c r="P260" s="155"/>
      <c r="Q260" s="155"/>
      <c r="R260" s="155"/>
      <c r="S260" s="156"/>
      <c r="T260" s="156"/>
      <c r="U260" s="156"/>
      <c r="V260" s="156"/>
      <c r="W260" s="156"/>
      <c r="X260" s="157"/>
      <c r="Y260" s="157"/>
      <c r="Z260" s="157"/>
      <c r="AA260" s="157"/>
      <c r="AB260" s="157"/>
      <c r="AC260" s="1"/>
      <c r="AD260" s="1"/>
    </row>
    <row r="261" ht="12.75" customHeight="1">
      <c r="A261" s="1"/>
      <c r="B261" s="146"/>
      <c r="C261" s="150"/>
      <c r="D261" s="151"/>
      <c r="E261" s="24"/>
      <c r="F261" s="24"/>
      <c r="G261" s="24"/>
      <c r="H261" s="152"/>
      <c r="I261" s="152"/>
      <c r="J261" s="153"/>
      <c r="K261" s="153"/>
      <c r="L261" s="154"/>
      <c r="M261" s="154"/>
      <c r="N261" s="155"/>
      <c r="O261" s="155"/>
      <c r="P261" s="155"/>
      <c r="Q261" s="155"/>
      <c r="R261" s="155"/>
      <c r="S261" s="156"/>
      <c r="T261" s="156"/>
      <c r="U261" s="156"/>
      <c r="V261" s="156"/>
      <c r="W261" s="156"/>
      <c r="X261" s="157"/>
      <c r="Y261" s="157"/>
      <c r="Z261" s="157"/>
      <c r="AA261" s="157"/>
      <c r="AB261" s="157"/>
      <c r="AC261" s="1"/>
      <c r="AD261" s="1"/>
    </row>
    <row r="262" ht="12.75" customHeight="1">
      <c r="A262" s="1"/>
      <c r="B262" s="146"/>
      <c r="C262" s="150"/>
      <c r="D262" s="151"/>
      <c r="E262" s="24"/>
      <c r="F262" s="24"/>
      <c r="G262" s="24"/>
      <c r="H262" s="152"/>
      <c r="I262" s="152"/>
      <c r="J262" s="153"/>
      <c r="K262" s="153"/>
      <c r="L262" s="154"/>
      <c r="M262" s="154"/>
      <c r="N262" s="155"/>
      <c r="O262" s="155"/>
      <c r="P262" s="155"/>
      <c r="Q262" s="155"/>
      <c r="R262" s="155"/>
      <c r="S262" s="156"/>
      <c r="T262" s="156"/>
      <c r="U262" s="156"/>
      <c r="V262" s="156"/>
      <c r="W262" s="156"/>
      <c r="X262" s="157"/>
      <c r="Y262" s="157"/>
      <c r="Z262" s="157"/>
      <c r="AA262" s="157"/>
      <c r="AB262" s="157"/>
      <c r="AC262" s="1"/>
      <c r="AD262" s="1"/>
    </row>
    <row r="263" ht="12.75" customHeight="1">
      <c r="A263" s="1"/>
      <c r="B263" s="146"/>
      <c r="C263" s="150"/>
      <c r="D263" s="151"/>
      <c r="E263" s="24"/>
      <c r="F263" s="24"/>
      <c r="G263" s="24"/>
      <c r="H263" s="152"/>
      <c r="I263" s="152"/>
      <c r="J263" s="153"/>
      <c r="K263" s="153"/>
      <c r="L263" s="154"/>
      <c r="M263" s="154"/>
      <c r="N263" s="155"/>
      <c r="O263" s="155"/>
      <c r="P263" s="155"/>
      <c r="Q263" s="155"/>
      <c r="R263" s="155"/>
      <c r="S263" s="156"/>
      <c r="T263" s="156"/>
      <c r="U263" s="156"/>
      <c r="V263" s="156"/>
      <c r="W263" s="156"/>
      <c r="X263" s="157"/>
      <c r="Y263" s="157"/>
      <c r="Z263" s="157"/>
      <c r="AA263" s="157"/>
      <c r="AB263" s="157"/>
      <c r="AC263" s="1"/>
      <c r="AD263" s="1"/>
    </row>
    <row r="264" ht="12.75" customHeight="1">
      <c r="A264" s="1"/>
      <c r="B264" s="146"/>
      <c r="C264" s="150"/>
      <c r="D264" s="151"/>
      <c r="E264" s="24"/>
      <c r="F264" s="24"/>
      <c r="G264" s="24"/>
      <c r="H264" s="152"/>
      <c r="I264" s="152"/>
      <c r="J264" s="153"/>
      <c r="K264" s="153"/>
      <c r="L264" s="154"/>
      <c r="M264" s="154"/>
      <c r="N264" s="155"/>
      <c r="O264" s="155"/>
      <c r="P264" s="155"/>
      <c r="Q264" s="155"/>
      <c r="R264" s="155"/>
      <c r="S264" s="156"/>
      <c r="T264" s="156"/>
      <c r="U264" s="156"/>
      <c r="V264" s="156"/>
      <c r="W264" s="156"/>
      <c r="X264" s="157"/>
      <c r="Y264" s="157"/>
      <c r="Z264" s="157"/>
      <c r="AA264" s="157"/>
      <c r="AB264" s="157"/>
      <c r="AC264" s="1"/>
      <c r="AD264" s="1"/>
    </row>
    <row r="265" ht="12.75" customHeight="1">
      <c r="A265" s="1"/>
      <c r="B265" s="146"/>
      <c r="C265" s="150"/>
      <c r="D265" s="151"/>
      <c r="E265" s="24"/>
      <c r="F265" s="24"/>
      <c r="G265" s="24"/>
      <c r="H265" s="152"/>
      <c r="I265" s="152"/>
      <c r="J265" s="153"/>
      <c r="K265" s="153"/>
      <c r="L265" s="154"/>
      <c r="M265" s="154"/>
      <c r="N265" s="155"/>
      <c r="O265" s="155"/>
      <c r="P265" s="155"/>
      <c r="Q265" s="155"/>
      <c r="R265" s="155"/>
      <c r="S265" s="156"/>
      <c r="T265" s="156"/>
      <c r="U265" s="156"/>
      <c r="V265" s="156"/>
      <c r="W265" s="156"/>
      <c r="X265" s="157"/>
      <c r="Y265" s="157"/>
      <c r="Z265" s="157"/>
      <c r="AA265" s="157"/>
      <c r="AB265" s="157"/>
      <c r="AC265" s="1"/>
      <c r="AD265" s="1"/>
    </row>
    <row r="266" ht="12.75" customHeight="1">
      <c r="A266" s="1"/>
      <c r="B266" s="146"/>
      <c r="C266" s="150"/>
      <c r="D266" s="151"/>
      <c r="E266" s="24"/>
      <c r="F266" s="24"/>
      <c r="G266" s="24"/>
      <c r="H266" s="152"/>
      <c r="I266" s="152"/>
      <c r="J266" s="153"/>
      <c r="K266" s="153"/>
      <c r="L266" s="154"/>
      <c r="M266" s="154"/>
      <c r="N266" s="155"/>
      <c r="O266" s="155"/>
      <c r="P266" s="155"/>
      <c r="Q266" s="155"/>
      <c r="R266" s="155"/>
      <c r="S266" s="156"/>
      <c r="T266" s="156"/>
      <c r="U266" s="156"/>
      <c r="V266" s="156"/>
      <c r="W266" s="156"/>
      <c r="X266" s="157"/>
      <c r="Y266" s="157"/>
      <c r="Z266" s="157"/>
      <c r="AA266" s="157"/>
      <c r="AB266" s="157"/>
      <c r="AC266" s="1"/>
      <c r="AD266" s="1"/>
    </row>
    <row r="267" ht="12.75" customHeight="1">
      <c r="A267" s="1"/>
      <c r="B267" s="146"/>
      <c r="C267" s="150"/>
      <c r="D267" s="151"/>
      <c r="E267" s="24"/>
      <c r="F267" s="24"/>
      <c r="G267" s="24"/>
      <c r="H267" s="152"/>
      <c r="I267" s="152"/>
      <c r="J267" s="153"/>
      <c r="K267" s="153"/>
      <c r="L267" s="154"/>
      <c r="M267" s="154"/>
      <c r="N267" s="155"/>
      <c r="O267" s="155"/>
      <c r="P267" s="155"/>
      <c r="Q267" s="155"/>
      <c r="R267" s="155"/>
      <c r="S267" s="156"/>
      <c r="T267" s="156"/>
      <c r="U267" s="156"/>
      <c r="V267" s="156"/>
      <c r="W267" s="156"/>
      <c r="X267" s="157"/>
      <c r="Y267" s="157"/>
      <c r="Z267" s="157"/>
      <c r="AA267" s="157"/>
      <c r="AB267" s="157"/>
      <c r="AC267" s="1"/>
      <c r="AD267" s="1"/>
    </row>
    <row r="268" ht="12.75" customHeight="1">
      <c r="A268" s="1"/>
      <c r="B268" s="146"/>
      <c r="C268" s="150"/>
      <c r="D268" s="151"/>
      <c r="E268" s="24"/>
      <c r="F268" s="24"/>
      <c r="G268" s="24"/>
      <c r="H268" s="152"/>
      <c r="I268" s="152"/>
      <c r="J268" s="153"/>
      <c r="K268" s="153"/>
      <c r="L268" s="154"/>
      <c r="M268" s="154"/>
      <c r="N268" s="155"/>
      <c r="O268" s="155"/>
      <c r="P268" s="155"/>
      <c r="Q268" s="155"/>
      <c r="R268" s="155"/>
      <c r="S268" s="156"/>
      <c r="T268" s="156"/>
      <c r="U268" s="156"/>
      <c r="V268" s="156"/>
      <c r="W268" s="156"/>
      <c r="X268" s="157"/>
      <c r="Y268" s="157"/>
      <c r="Z268" s="157"/>
      <c r="AA268" s="157"/>
      <c r="AB268" s="157"/>
      <c r="AC268" s="1"/>
      <c r="AD268" s="1"/>
    </row>
    <row r="269" ht="12.75" customHeight="1">
      <c r="A269" s="1"/>
      <c r="B269" s="146"/>
      <c r="C269" s="150"/>
      <c r="D269" s="151"/>
      <c r="E269" s="24"/>
      <c r="F269" s="24"/>
      <c r="G269" s="24"/>
      <c r="H269" s="152"/>
      <c r="I269" s="152"/>
      <c r="J269" s="153"/>
      <c r="K269" s="153"/>
      <c r="L269" s="154"/>
      <c r="M269" s="154"/>
      <c r="N269" s="155"/>
      <c r="O269" s="155"/>
      <c r="P269" s="155"/>
      <c r="Q269" s="155"/>
      <c r="R269" s="155"/>
      <c r="S269" s="156"/>
      <c r="T269" s="156"/>
      <c r="U269" s="156"/>
      <c r="V269" s="156"/>
      <c r="W269" s="156"/>
      <c r="X269" s="157"/>
      <c r="Y269" s="157"/>
      <c r="Z269" s="157"/>
      <c r="AA269" s="157"/>
      <c r="AB269" s="157"/>
      <c r="AC269" s="1"/>
      <c r="AD269" s="1"/>
    </row>
    <row r="270" ht="12.75" customHeight="1">
      <c r="A270" s="1"/>
      <c r="B270" s="146"/>
      <c r="C270" s="150"/>
      <c r="D270" s="151"/>
      <c r="E270" s="24"/>
      <c r="F270" s="24"/>
      <c r="G270" s="24"/>
      <c r="H270" s="152"/>
      <c r="I270" s="152"/>
      <c r="J270" s="153"/>
      <c r="K270" s="153"/>
      <c r="L270" s="154"/>
      <c r="M270" s="154"/>
      <c r="N270" s="155"/>
      <c r="O270" s="155"/>
      <c r="P270" s="155"/>
      <c r="Q270" s="155"/>
      <c r="R270" s="155"/>
      <c r="S270" s="156"/>
      <c r="T270" s="156"/>
      <c r="U270" s="156"/>
      <c r="V270" s="156"/>
      <c r="W270" s="156"/>
      <c r="X270" s="157"/>
      <c r="Y270" s="157"/>
      <c r="Z270" s="157"/>
      <c r="AA270" s="157"/>
      <c r="AB270" s="157"/>
      <c r="AC270" s="1"/>
      <c r="AD270" s="1"/>
    </row>
    <row r="271" ht="12.75" customHeight="1">
      <c r="A271" s="1"/>
      <c r="B271" s="146"/>
      <c r="C271" s="150"/>
      <c r="D271" s="151"/>
      <c r="E271" s="24"/>
      <c r="F271" s="24"/>
      <c r="G271" s="24"/>
      <c r="H271" s="152"/>
      <c r="I271" s="152"/>
      <c r="J271" s="153"/>
      <c r="K271" s="153"/>
      <c r="L271" s="154"/>
      <c r="M271" s="154"/>
      <c r="N271" s="155"/>
      <c r="O271" s="155"/>
      <c r="P271" s="155"/>
      <c r="Q271" s="155"/>
      <c r="R271" s="155"/>
      <c r="S271" s="156"/>
      <c r="T271" s="156"/>
      <c r="U271" s="156"/>
      <c r="V271" s="156"/>
      <c r="W271" s="156"/>
      <c r="X271" s="157"/>
      <c r="Y271" s="157"/>
      <c r="Z271" s="157"/>
      <c r="AA271" s="157"/>
      <c r="AB271" s="157"/>
      <c r="AC271" s="1"/>
      <c r="AD271" s="1"/>
    </row>
    <row r="272" ht="12.75" customHeight="1">
      <c r="A272" s="1"/>
      <c r="B272" s="146"/>
      <c r="C272" s="150"/>
      <c r="D272" s="151"/>
      <c r="E272" s="24"/>
      <c r="F272" s="24"/>
      <c r="G272" s="24"/>
      <c r="H272" s="152"/>
      <c r="I272" s="152"/>
      <c r="J272" s="153"/>
      <c r="K272" s="153"/>
      <c r="L272" s="154"/>
      <c r="M272" s="154"/>
      <c r="N272" s="155"/>
      <c r="O272" s="155"/>
      <c r="P272" s="155"/>
      <c r="Q272" s="155"/>
      <c r="R272" s="155"/>
      <c r="S272" s="156"/>
      <c r="T272" s="156"/>
      <c r="U272" s="156"/>
      <c r="V272" s="156"/>
      <c r="W272" s="156"/>
      <c r="X272" s="157"/>
      <c r="Y272" s="157"/>
      <c r="Z272" s="157"/>
      <c r="AA272" s="157"/>
      <c r="AB272" s="157"/>
      <c r="AC272" s="1"/>
      <c r="AD272" s="1"/>
    </row>
    <row r="273" ht="12.75" customHeight="1">
      <c r="A273" s="1"/>
      <c r="B273" s="146"/>
      <c r="C273" s="150"/>
      <c r="D273" s="151"/>
      <c r="E273" s="24"/>
      <c r="F273" s="24"/>
      <c r="G273" s="24"/>
      <c r="H273" s="152"/>
      <c r="I273" s="152"/>
      <c r="J273" s="153"/>
      <c r="K273" s="153"/>
      <c r="L273" s="154"/>
      <c r="M273" s="154"/>
      <c r="N273" s="155"/>
      <c r="O273" s="155"/>
      <c r="P273" s="155"/>
      <c r="Q273" s="155"/>
      <c r="R273" s="155"/>
      <c r="S273" s="156"/>
      <c r="T273" s="156"/>
      <c r="U273" s="156"/>
      <c r="V273" s="156"/>
      <c r="W273" s="156"/>
      <c r="X273" s="157"/>
      <c r="Y273" s="157"/>
      <c r="Z273" s="157"/>
      <c r="AA273" s="157"/>
      <c r="AB273" s="157"/>
      <c r="AC273" s="1"/>
      <c r="AD273" s="1"/>
    </row>
    <row r="274" ht="12.75" customHeight="1">
      <c r="A274" s="1"/>
      <c r="B274" s="146"/>
      <c r="C274" s="150"/>
      <c r="D274" s="151"/>
      <c r="E274" s="24"/>
      <c r="F274" s="24"/>
      <c r="G274" s="24"/>
      <c r="H274" s="152"/>
      <c r="I274" s="152"/>
      <c r="J274" s="153"/>
      <c r="K274" s="153"/>
      <c r="L274" s="154"/>
      <c r="M274" s="154"/>
      <c r="N274" s="155"/>
      <c r="O274" s="155"/>
      <c r="P274" s="155"/>
      <c r="Q274" s="155"/>
      <c r="R274" s="155"/>
      <c r="S274" s="156"/>
      <c r="T274" s="156"/>
      <c r="U274" s="156"/>
      <c r="V274" s="156"/>
      <c r="W274" s="156"/>
      <c r="X274" s="157"/>
      <c r="Y274" s="157"/>
      <c r="Z274" s="157"/>
      <c r="AA274" s="157"/>
      <c r="AB274" s="157"/>
      <c r="AC274" s="1"/>
      <c r="AD274" s="1"/>
    </row>
    <row r="275" ht="12.75" customHeight="1">
      <c r="A275" s="1"/>
      <c r="B275" s="146"/>
      <c r="C275" s="150"/>
      <c r="D275" s="151"/>
      <c r="E275" s="24"/>
      <c r="F275" s="24"/>
      <c r="G275" s="24"/>
      <c r="H275" s="152"/>
      <c r="I275" s="152"/>
      <c r="J275" s="153"/>
      <c r="K275" s="153"/>
      <c r="L275" s="154"/>
      <c r="M275" s="154"/>
      <c r="N275" s="155"/>
      <c r="O275" s="155"/>
      <c r="P275" s="155"/>
      <c r="Q275" s="155"/>
      <c r="R275" s="155"/>
      <c r="S275" s="156"/>
      <c r="T275" s="156"/>
      <c r="U275" s="156"/>
      <c r="V275" s="156"/>
      <c r="W275" s="156"/>
      <c r="X275" s="157"/>
      <c r="Y275" s="157"/>
      <c r="Z275" s="157"/>
      <c r="AA275" s="157"/>
      <c r="AB275" s="157"/>
      <c r="AC275" s="1"/>
      <c r="AD275" s="1"/>
    </row>
    <row r="276" ht="12.75" customHeight="1">
      <c r="A276" s="1"/>
      <c r="B276" s="146"/>
      <c r="C276" s="150"/>
      <c r="D276" s="151"/>
      <c r="E276" s="24"/>
      <c r="F276" s="24"/>
      <c r="G276" s="24"/>
      <c r="H276" s="152"/>
      <c r="I276" s="152"/>
      <c r="J276" s="153"/>
      <c r="K276" s="153"/>
      <c r="L276" s="154"/>
      <c r="M276" s="154"/>
      <c r="N276" s="155"/>
      <c r="O276" s="155"/>
      <c r="P276" s="155"/>
      <c r="Q276" s="155"/>
      <c r="R276" s="155"/>
      <c r="S276" s="156"/>
      <c r="T276" s="156"/>
      <c r="U276" s="156"/>
      <c r="V276" s="156"/>
      <c r="W276" s="156"/>
      <c r="X276" s="157"/>
      <c r="Y276" s="157"/>
      <c r="Z276" s="157"/>
      <c r="AA276" s="157"/>
      <c r="AB276" s="157"/>
      <c r="AC276" s="1"/>
      <c r="AD276" s="1"/>
    </row>
    <row r="277" ht="12.75" customHeight="1">
      <c r="A277" s="1"/>
      <c r="B277" s="146"/>
      <c r="C277" s="150"/>
      <c r="D277" s="151"/>
      <c r="E277" s="24"/>
      <c r="F277" s="24"/>
      <c r="G277" s="24"/>
      <c r="H277" s="152"/>
      <c r="I277" s="152"/>
      <c r="J277" s="153"/>
      <c r="K277" s="153"/>
      <c r="L277" s="154"/>
      <c r="M277" s="154"/>
      <c r="N277" s="155"/>
      <c r="O277" s="155"/>
      <c r="P277" s="155"/>
      <c r="Q277" s="155"/>
      <c r="R277" s="155"/>
      <c r="S277" s="156"/>
      <c r="T277" s="156"/>
      <c r="U277" s="156"/>
      <c r="V277" s="156"/>
      <c r="W277" s="156"/>
      <c r="X277" s="157"/>
      <c r="Y277" s="157"/>
      <c r="Z277" s="157"/>
      <c r="AA277" s="157"/>
      <c r="AB277" s="157"/>
      <c r="AC277" s="1"/>
      <c r="AD277" s="1"/>
    </row>
    <row r="278" ht="12.75" customHeight="1">
      <c r="A278" s="1"/>
      <c r="B278" s="146"/>
      <c r="C278" s="150"/>
      <c r="D278" s="151"/>
      <c r="E278" s="24"/>
      <c r="F278" s="24"/>
      <c r="G278" s="24"/>
      <c r="H278" s="152"/>
      <c r="I278" s="152"/>
      <c r="J278" s="153"/>
      <c r="K278" s="153"/>
      <c r="L278" s="154"/>
      <c r="M278" s="154"/>
      <c r="N278" s="155"/>
      <c r="O278" s="155"/>
      <c r="P278" s="155"/>
      <c r="Q278" s="155"/>
      <c r="R278" s="155"/>
      <c r="S278" s="156"/>
      <c r="T278" s="156"/>
      <c r="U278" s="156"/>
      <c r="V278" s="156"/>
      <c r="W278" s="156"/>
      <c r="X278" s="157"/>
      <c r="Y278" s="157"/>
      <c r="Z278" s="157"/>
      <c r="AA278" s="157"/>
      <c r="AB278" s="157"/>
      <c r="AC278" s="1"/>
      <c r="AD278" s="1"/>
    </row>
    <row r="279" ht="12.75" customHeight="1">
      <c r="A279" s="1"/>
      <c r="B279" s="146"/>
      <c r="C279" s="150"/>
      <c r="D279" s="151"/>
      <c r="E279" s="24"/>
      <c r="F279" s="24"/>
      <c r="G279" s="24"/>
      <c r="H279" s="152"/>
      <c r="I279" s="152"/>
      <c r="J279" s="153"/>
      <c r="K279" s="153"/>
      <c r="L279" s="154"/>
      <c r="M279" s="154"/>
      <c r="N279" s="155"/>
      <c r="O279" s="155"/>
      <c r="P279" s="155"/>
      <c r="Q279" s="155"/>
      <c r="R279" s="155"/>
      <c r="S279" s="156"/>
      <c r="T279" s="156"/>
      <c r="U279" s="156"/>
      <c r="V279" s="156"/>
      <c r="W279" s="156"/>
      <c r="X279" s="157"/>
      <c r="Y279" s="157"/>
      <c r="Z279" s="157"/>
      <c r="AA279" s="157"/>
      <c r="AB279" s="157"/>
      <c r="AC279" s="1"/>
      <c r="AD279" s="1"/>
    </row>
    <row r="280" ht="12.75" customHeight="1">
      <c r="A280" s="1"/>
      <c r="B280" s="146"/>
      <c r="C280" s="150"/>
      <c r="D280" s="151"/>
      <c r="E280" s="24"/>
      <c r="F280" s="24"/>
      <c r="G280" s="24"/>
      <c r="H280" s="152"/>
      <c r="I280" s="152"/>
      <c r="J280" s="153"/>
      <c r="K280" s="153"/>
      <c r="L280" s="154"/>
      <c r="M280" s="154"/>
      <c r="N280" s="155"/>
      <c r="O280" s="155"/>
      <c r="P280" s="155"/>
      <c r="Q280" s="155"/>
      <c r="R280" s="155"/>
      <c r="S280" s="156"/>
      <c r="T280" s="156"/>
      <c r="U280" s="156"/>
      <c r="V280" s="156"/>
      <c r="W280" s="156"/>
      <c r="X280" s="157"/>
      <c r="Y280" s="157"/>
      <c r="Z280" s="157"/>
      <c r="AA280" s="157"/>
      <c r="AB280" s="157"/>
      <c r="AC280" s="1"/>
      <c r="AD280" s="1"/>
    </row>
    <row r="281" ht="12.75" customHeight="1">
      <c r="A281" s="1"/>
      <c r="B281" s="146"/>
      <c r="C281" s="150"/>
      <c r="D281" s="151"/>
      <c r="E281" s="24"/>
      <c r="F281" s="24"/>
      <c r="G281" s="24"/>
      <c r="H281" s="152"/>
      <c r="I281" s="152"/>
      <c r="J281" s="153"/>
      <c r="K281" s="153"/>
      <c r="L281" s="154"/>
      <c r="M281" s="154"/>
      <c r="N281" s="155"/>
      <c r="O281" s="155"/>
      <c r="P281" s="155"/>
      <c r="Q281" s="155"/>
      <c r="R281" s="155"/>
      <c r="S281" s="156"/>
      <c r="T281" s="156"/>
      <c r="U281" s="156"/>
      <c r="V281" s="156"/>
      <c r="W281" s="156"/>
      <c r="X281" s="157"/>
      <c r="Y281" s="157"/>
      <c r="Z281" s="157"/>
      <c r="AA281" s="157"/>
      <c r="AB281" s="157"/>
      <c r="AC281" s="1"/>
      <c r="AD281" s="1"/>
    </row>
    <row r="282" ht="12.75" customHeight="1">
      <c r="A282" s="1"/>
      <c r="B282" s="146"/>
      <c r="C282" s="150"/>
      <c r="D282" s="151"/>
      <c r="E282" s="24"/>
      <c r="F282" s="24"/>
      <c r="G282" s="24"/>
      <c r="H282" s="152"/>
      <c r="I282" s="152"/>
      <c r="J282" s="153"/>
      <c r="K282" s="153"/>
      <c r="L282" s="154"/>
      <c r="M282" s="154"/>
      <c r="N282" s="155"/>
      <c r="O282" s="155"/>
      <c r="P282" s="155"/>
      <c r="Q282" s="155"/>
      <c r="R282" s="155"/>
      <c r="S282" s="156"/>
      <c r="T282" s="156"/>
      <c r="U282" s="156"/>
      <c r="V282" s="156"/>
      <c r="W282" s="156"/>
      <c r="X282" s="157"/>
      <c r="Y282" s="157"/>
      <c r="Z282" s="157"/>
      <c r="AA282" s="157"/>
      <c r="AB282" s="157"/>
      <c r="AC282" s="1"/>
      <c r="AD282" s="1"/>
    </row>
    <row r="283" ht="12.75" customHeight="1">
      <c r="A283" s="1"/>
      <c r="B283" s="146"/>
      <c r="C283" s="150"/>
      <c r="D283" s="151"/>
      <c r="E283" s="24"/>
      <c r="F283" s="24"/>
      <c r="G283" s="24"/>
      <c r="H283" s="152"/>
      <c r="I283" s="152"/>
      <c r="J283" s="153"/>
      <c r="K283" s="153"/>
      <c r="L283" s="154"/>
      <c r="M283" s="154"/>
      <c r="N283" s="155"/>
      <c r="O283" s="155"/>
      <c r="P283" s="155"/>
      <c r="Q283" s="155"/>
      <c r="R283" s="155"/>
      <c r="S283" s="156"/>
      <c r="T283" s="156"/>
      <c r="U283" s="156"/>
      <c r="V283" s="156"/>
      <c r="W283" s="156"/>
      <c r="X283" s="157"/>
      <c r="Y283" s="157"/>
      <c r="Z283" s="157"/>
      <c r="AA283" s="157"/>
      <c r="AB283" s="157"/>
      <c r="AC283" s="1"/>
      <c r="AD283" s="1"/>
    </row>
    <row r="284" ht="12.75" customHeight="1">
      <c r="A284" s="1"/>
      <c r="B284" s="146"/>
      <c r="C284" s="150"/>
      <c r="D284" s="151"/>
      <c r="E284" s="24"/>
      <c r="F284" s="24"/>
      <c r="G284" s="24"/>
      <c r="H284" s="152"/>
      <c r="I284" s="152"/>
      <c r="J284" s="153"/>
      <c r="K284" s="153"/>
      <c r="L284" s="154"/>
      <c r="M284" s="154"/>
      <c r="N284" s="155"/>
      <c r="O284" s="155"/>
      <c r="P284" s="155"/>
      <c r="Q284" s="155"/>
      <c r="R284" s="155"/>
      <c r="S284" s="156"/>
      <c r="T284" s="156"/>
      <c r="U284" s="156"/>
      <c r="V284" s="156"/>
      <c r="W284" s="156"/>
      <c r="X284" s="157"/>
      <c r="Y284" s="157"/>
      <c r="Z284" s="157"/>
      <c r="AA284" s="157"/>
      <c r="AB284" s="157"/>
      <c r="AC284" s="1"/>
      <c r="AD284" s="1"/>
    </row>
    <row r="285" ht="12.75" customHeight="1">
      <c r="A285" s="1"/>
      <c r="B285" s="146"/>
      <c r="C285" s="150"/>
      <c r="D285" s="151"/>
      <c r="E285" s="24"/>
      <c r="F285" s="24"/>
      <c r="G285" s="24"/>
      <c r="H285" s="152"/>
      <c r="I285" s="152"/>
      <c r="J285" s="153"/>
      <c r="K285" s="153"/>
      <c r="L285" s="154"/>
      <c r="M285" s="154"/>
      <c r="N285" s="155"/>
      <c r="O285" s="155"/>
      <c r="P285" s="155"/>
      <c r="Q285" s="155"/>
      <c r="R285" s="155"/>
      <c r="S285" s="156"/>
      <c r="T285" s="156"/>
      <c r="U285" s="156"/>
      <c r="V285" s="156"/>
      <c r="W285" s="156"/>
      <c r="X285" s="157"/>
      <c r="Y285" s="157"/>
      <c r="Z285" s="157"/>
      <c r="AA285" s="157"/>
      <c r="AB285" s="157"/>
      <c r="AC285" s="1"/>
      <c r="AD285" s="1"/>
    </row>
    <row r="286" ht="12.75" customHeight="1">
      <c r="A286" s="1"/>
      <c r="B286" s="146"/>
      <c r="C286" s="150"/>
      <c r="D286" s="151"/>
      <c r="E286" s="24"/>
      <c r="F286" s="24"/>
      <c r="G286" s="24"/>
      <c r="H286" s="152"/>
      <c r="I286" s="152"/>
      <c r="J286" s="153"/>
      <c r="K286" s="153"/>
      <c r="L286" s="154"/>
      <c r="M286" s="154"/>
      <c r="N286" s="155"/>
      <c r="O286" s="155"/>
      <c r="P286" s="155"/>
      <c r="Q286" s="155"/>
      <c r="R286" s="155"/>
      <c r="S286" s="156"/>
      <c r="T286" s="156"/>
      <c r="U286" s="156"/>
      <c r="V286" s="156"/>
      <c r="W286" s="156"/>
      <c r="X286" s="157"/>
      <c r="Y286" s="157"/>
      <c r="Z286" s="157"/>
      <c r="AA286" s="157"/>
      <c r="AB286" s="157"/>
      <c r="AC286" s="1"/>
      <c r="AD286" s="1"/>
    </row>
    <row r="287" ht="12.75" customHeight="1">
      <c r="A287" s="1"/>
      <c r="B287" s="146"/>
      <c r="C287" s="150"/>
      <c r="D287" s="151"/>
      <c r="E287" s="24"/>
      <c r="F287" s="24"/>
      <c r="G287" s="24"/>
      <c r="H287" s="152"/>
      <c r="I287" s="152"/>
      <c r="J287" s="153"/>
      <c r="K287" s="153"/>
      <c r="L287" s="154"/>
      <c r="M287" s="154"/>
      <c r="N287" s="155"/>
      <c r="O287" s="155"/>
      <c r="P287" s="155"/>
      <c r="Q287" s="155"/>
      <c r="R287" s="155"/>
      <c r="S287" s="156"/>
      <c r="T287" s="156"/>
      <c r="U287" s="156"/>
      <c r="V287" s="156"/>
      <c r="W287" s="156"/>
      <c r="X287" s="157"/>
      <c r="Y287" s="157"/>
      <c r="Z287" s="157"/>
      <c r="AA287" s="157"/>
      <c r="AB287" s="157"/>
      <c r="AC287" s="1"/>
      <c r="AD287" s="1"/>
    </row>
    <row r="288" ht="12.75" customHeight="1">
      <c r="A288" s="1"/>
      <c r="B288" s="146"/>
      <c r="C288" s="150"/>
      <c r="D288" s="151"/>
      <c r="E288" s="24"/>
      <c r="F288" s="24"/>
      <c r="G288" s="24"/>
      <c r="H288" s="152"/>
      <c r="I288" s="152"/>
      <c r="J288" s="153"/>
      <c r="K288" s="153"/>
      <c r="L288" s="154"/>
      <c r="M288" s="154"/>
      <c r="N288" s="155"/>
      <c r="O288" s="155"/>
      <c r="P288" s="155"/>
      <c r="Q288" s="155"/>
      <c r="R288" s="155"/>
      <c r="S288" s="156"/>
      <c r="T288" s="156"/>
      <c r="U288" s="156"/>
      <c r="V288" s="156"/>
      <c r="W288" s="156"/>
      <c r="X288" s="157"/>
      <c r="Y288" s="157"/>
      <c r="Z288" s="157"/>
      <c r="AA288" s="157"/>
      <c r="AB288" s="157"/>
      <c r="AC288" s="1"/>
      <c r="AD288" s="1"/>
    </row>
    <row r="289" ht="12.75" customHeight="1">
      <c r="A289" s="1"/>
      <c r="B289" s="146"/>
      <c r="C289" s="150"/>
      <c r="D289" s="151"/>
      <c r="E289" s="24"/>
      <c r="F289" s="24"/>
      <c r="G289" s="24"/>
      <c r="H289" s="152"/>
      <c r="I289" s="152"/>
      <c r="J289" s="153"/>
      <c r="K289" s="153"/>
      <c r="L289" s="154"/>
      <c r="M289" s="154"/>
      <c r="N289" s="155"/>
      <c r="O289" s="155"/>
      <c r="P289" s="155"/>
      <c r="Q289" s="155"/>
      <c r="R289" s="155"/>
      <c r="S289" s="156"/>
      <c r="T289" s="156"/>
      <c r="U289" s="156"/>
      <c r="V289" s="156"/>
      <c r="W289" s="156"/>
      <c r="X289" s="157"/>
      <c r="Y289" s="157"/>
      <c r="Z289" s="157"/>
      <c r="AA289" s="157"/>
      <c r="AB289" s="157"/>
      <c r="AC289" s="1"/>
      <c r="AD289" s="1"/>
    </row>
    <row r="290" ht="12.75" customHeight="1">
      <c r="A290" s="1"/>
      <c r="B290" s="146"/>
      <c r="C290" s="150"/>
      <c r="D290" s="151"/>
      <c r="E290" s="24"/>
      <c r="F290" s="24"/>
      <c r="G290" s="24"/>
      <c r="H290" s="152"/>
      <c r="I290" s="152"/>
      <c r="J290" s="153"/>
      <c r="K290" s="153"/>
      <c r="L290" s="154"/>
      <c r="M290" s="154"/>
      <c r="N290" s="155"/>
      <c r="O290" s="155"/>
      <c r="P290" s="155"/>
      <c r="Q290" s="155"/>
      <c r="R290" s="155"/>
      <c r="S290" s="156"/>
      <c r="T290" s="156"/>
      <c r="U290" s="156"/>
      <c r="V290" s="156"/>
      <c r="W290" s="156"/>
      <c r="X290" s="157"/>
      <c r="Y290" s="157"/>
      <c r="Z290" s="157"/>
      <c r="AA290" s="157"/>
      <c r="AB290" s="157"/>
      <c r="AC290" s="1"/>
      <c r="AD290" s="1"/>
    </row>
    <row r="291" ht="12.75" customHeight="1">
      <c r="A291" s="1"/>
      <c r="B291" s="146"/>
      <c r="C291" s="150"/>
      <c r="D291" s="151"/>
      <c r="E291" s="24"/>
      <c r="F291" s="24"/>
      <c r="G291" s="24"/>
      <c r="H291" s="152"/>
      <c r="I291" s="152"/>
      <c r="J291" s="153"/>
      <c r="K291" s="153"/>
      <c r="L291" s="154"/>
      <c r="M291" s="154"/>
      <c r="N291" s="155"/>
      <c r="O291" s="155"/>
      <c r="P291" s="155"/>
      <c r="Q291" s="155"/>
      <c r="R291" s="155"/>
      <c r="S291" s="156"/>
      <c r="T291" s="156"/>
      <c r="U291" s="156"/>
      <c r="V291" s="156"/>
      <c r="W291" s="156"/>
      <c r="X291" s="157"/>
      <c r="Y291" s="157"/>
      <c r="Z291" s="157"/>
      <c r="AA291" s="157"/>
      <c r="AB291" s="157"/>
      <c r="AC291" s="1"/>
      <c r="AD291" s="1"/>
    </row>
    <row r="292" ht="12.75" customHeight="1">
      <c r="A292" s="1"/>
      <c r="B292" s="146"/>
      <c r="C292" s="150"/>
      <c r="D292" s="151"/>
      <c r="E292" s="24"/>
      <c r="F292" s="24"/>
      <c r="G292" s="24"/>
      <c r="H292" s="152"/>
      <c r="I292" s="152"/>
      <c r="J292" s="153"/>
      <c r="K292" s="153"/>
      <c r="L292" s="154"/>
      <c r="M292" s="154"/>
      <c r="N292" s="155"/>
      <c r="O292" s="155"/>
      <c r="P292" s="155"/>
      <c r="Q292" s="155"/>
      <c r="R292" s="155"/>
      <c r="S292" s="156"/>
      <c r="T292" s="156"/>
      <c r="U292" s="156"/>
      <c r="V292" s="156"/>
      <c r="W292" s="156"/>
      <c r="X292" s="157"/>
      <c r="Y292" s="157"/>
      <c r="Z292" s="157"/>
      <c r="AA292" s="157"/>
      <c r="AB292" s="157"/>
      <c r="AC292" s="1"/>
      <c r="AD292" s="1"/>
    </row>
    <row r="293" ht="12.75" customHeight="1">
      <c r="A293" s="1"/>
      <c r="B293" s="146"/>
      <c r="C293" s="150"/>
      <c r="D293" s="151"/>
      <c r="E293" s="24"/>
      <c r="F293" s="24"/>
      <c r="G293" s="24"/>
      <c r="H293" s="152"/>
      <c r="I293" s="152"/>
      <c r="J293" s="153"/>
      <c r="K293" s="153"/>
      <c r="L293" s="154"/>
      <c r="M293" s="154"/>
      <c r="N293" s="155"/>
      <c r="O293" s="155"/>
      <c r="P293" s="155"/>
      <c r="Q293" s="155"/>
      <c r="R293" s="155"/>
      <c r="S293" s="156"/>
      <c r="T293" s="156"/>
      <c r="U293" s="156"/>
      <c r="V293" s="156"/>
      <c r="W293" s="156"/>
      <c r="X293" s="157"/>
      <c r="Y293" s="157"/>
      <c r="Z293" s="157"/>
      <c r="AA293" s="157"/>
      <c r="AB293" s="157"/>
      <c r="AC293" s="1"/>
      <c r="AD293" s="1"/>
    </row>
    <row r="294" ht="12.75" customHeight="1">
      <c r="A294" s="1"/>
      <c r="B294" s="146"/>
      <c r="C294" s="150"/>
      <c r="D294" s="151"/>
      <c r="E294" s="24"/>
      <c r="F294" s="24"/>
      <c r="G294" s="24"/>
      <c r="H294" s="152"/>
      <c r="I294" s="152"/>
      <c r="J294" s="153"/>
      <c r="K294" s="153"/>
      <c r="L294" s="154"/>
      <c r="M294" s="154"/>
      <c r="N294" s="155"/>
      <c r="O294" s="155"/>
      <c r="P294" s="155"/>
      <c r="Q294" s="155"/>
      <c r="R294" s="155"/>
      <c r="S294" s="156"/>
      <c r="T294" s="156"/>
      <c r="U294" s="156"/>
      <c r="V294" s="156"/>
      <c r="W294" s="156"/>
      <c r="X294" s="157"/>
      <c r="Y294" s="157"/>
      <c r="Z294" s="157"/>
      <c r="AA294" s="157"/>
      <c r="AB294" s="157"/>
      <c r="AC294" s="1"/>
      <c r="AD294" s="1"/>
    </row>
    <row r="295" ht="12.75" customHeight="1">
      <c r="A295" s="1"/>
      <c r="B295" s="146"/>
      <c r="C295" s="150"/>
      <c r="D295" s="151"/>
      <c r="E295" s="24"/>
      <c r="F295" s="24"/>
      <c r="G295" s="24"/>
      <c r="H295" s="152"/>
      <c r="I295" s="152"/>
      <c r="J295" s="153"/>
      <c r="K295" s="153"/>
      <c r="L295" s="154"/>
      <c r="M295" s="154"/>
      <c r="N295" s="155"/>
      <c r="O295" s="155"/>
      <c r="P295" s="155"/>
      <c r="Q295" s="155"/>
      <c r="R295" s="155"/>
      <c r="S295" s="156"/>
      <c r="T295" s="156"/>
      <c r="U295" s="156"/>
      <c r="V295" s="156"/>
      <c r="W295" s="156"/>
      <c r="X295" s="157"/>
      <c r="Y295" s="157"/>
      <c r="Z295" s="157"/>
      <c r="AA295" s="157"/>
      <c r="AB295" s="157"/>
      <c r="AC295" s="1"/>
      <c r="AD295" s="1"/>
    </row>
    <row r="296" ht="12.75" customHeight="1">
      <c r="A296" s="1"/>
      <c r="B296" s="146"/>
      <c r="C296" s="150"/>
      <c r="D296" s="151"/>
      <c r="E296" s="24"/>
      <c r="F296" s="24"/>
      <c r="G296" s="24"/>
      <c r="H296" s="152"/>
      <c r="I296" s="152"/>
      <c r="J296" s="153"/>
      <c r="K296" s="153"/>
      <c r="L296" s="154"/>
      <c r="M296" s="154"/>
      <c r="N296" s="155"/>
      <c r="O296" s="155"/>
      <c r="P296" s="155"/>
      <c r="Q296" s="155"/>
      <c r="R296" s="155"/>
      <c r="S296" s="156"/>
      <c r="T296" s="156"/>
      <c r="U296" s="156"/>
      <c r="V296" s="156"/>
      <c r="W296" s="156"/>
      <c r="X296" s="157"/>
      <c r="Y296" s="157"/>
      <c r="Z296" s="157"/>
      <c r="AA296" s="157"/>
      <c r="AB296" s="157"/>
      <c r="AC296" s="1"/>
      <c r="AD296" s="1"/>
    </row>
    <row r="297" ht="12.75" customHeight="1">
      <c r="A297" s="1"/>
      <c r="B297" s="146"/>
      <c r="C297" s="150"/>
      <c r="D297" s="151"/>
      <c r="E297" s="24"/>
      <c r="F297" s="24"/>
      <c r="G297" s="24"/>
      <c r="H297" s="152"/>
      <c r="I297" s="152"/>
      <c r="J297" s="153"/>
      <c r="K297" s="153"/>
      <c r="L297" s="154"/>
      <c r="M297" s="154"/>
      <c r="N297" s="155"/>
      <c r="O297" s="155"/>
      <c r="P297" s="155"/>
      <c r="Q297" s="155"/>
      <c r="R297" s="155"/>
      <c r="S297" s="156"/>
      <c r="T297" s="156"/>
      <c r="U297" s="156"/>
      <c r="V297" s="156"/>
      <c r="W297" s="156"/>
      <c r="X297" s="157"/>
      <c r="Y297" s="157"/>
      <c r="Z297" s="157"/>
      <c r="AA297" s="157"/>
      <c r="AB297" s="157"/>
      <c r="AC297" s="1"/>
      <c r="AD297" s="1"/>
    </row>
    <row r="298" ht="12.75" customHeight="1">
      <c r="A298" s="1"/>
      <c r="B298" s="146"/>
      <c r="C298" s="150"/>
      <c r="D298" s="151"/>
      <c r="E298" s="24"/>
      <c r="F298" s="24"/>
      <c r="G298" s="24"/>
      <c r="H298" s="152"/>
      <c r="I298" s="152"/>
      <c r="J298" s="153"/>
      <c r="K298" s="153"/>
      <c r="L298" s="154"/>
      <c r="M298" s="154"/>
      <c r="N298" s="155"/>
      <c r="O298" s="155"/>
      <c r="P298" s="155"/>
      <c r="Q298" s="155"/>
      <c r="R298" s="155"/>
      <c r="S298" s="156"/>
      <c r="T298" s="156"/>
      <c r="U298" s="156"/>
      <c r="V298" s="156"/>
      <c r="W298" s="156"/>
      <c r="X298" s="157"/>
      <c r="Y298" s="157"/>
      <c r="Z298" s="157"/>
      <c r="AA298" s="157"/>
      <c r="AB298" s="157"/>
      <c r="AC298" s="1"/>
      <c r="AD298" s="1"/>
    </row>
    <row r="299" ht="12.75" customHeight="1">
      <c r="A299" s="1"/>
      <c r="B299" s="146"/>
      <c r="C299" s="150"/>
      <c r="D299" s="151"/>
      <c r="E299" s="24"/>
      <c r="F299" s="24"/>
      <c r="G299" s="24"/>
      <c r="H299" s="152"/>
      <c r="I299" s="152"/>
      <c r="J299" s="153"/>
      <c r="K299" s="153"/>
      <c r="L299" s="154"/>
      <c r="M299" s="154"/>
      <c r="N299" s="155"/>
      <c r="O299" s="155"/>
      <c r="P299" s="155"/>
      <c r="Q299" s="155"/>
      <c r="R299" s="155"/>
      <c r="S299" s="156"/>
      <c r="T299" s="156"/>
      <c r="U299" s="156"/>
      <c r="V299" s="156"/>
      <c r="W299" s="156"/>
      <c r="X299" s="157"/>
      <c r="Y299" s="157"/>
      <c r="Z299" s="157"/>
      <c r="AA299" s="157"/>
      <c r="AB299" s="157"/>
      <c r="AC299" s="1"/>
      <c r="AD299" s="1"/>
    </row>
    <row r="300" ht="12.75" customHeight="1">
      <c r="A300" s="1"/>
      <c r="B300" s="146"/>
      <c r="C300" s="150"/>
      <c r="D300" s="151"/>
      <c r="E300" s="24"/>
      <c r="F300" s="24"/>
      <c r="G300" s="24"/>
      <c r="H300" s="152"/>
      <c r="I300" s="152"/>
      <c r="J300" s="153"/>
      <c r="K300" s="153"/>
      <c r="L300" s="154"/>
      <c r="M300" s="154"/>
      <c r="N300" s="155"/>
      <c r="O300" s="155"/>
      <c r="P300" s="155"/>
      <c r="Q300" s="155"/>
      <c r="R300" s="155"/>
      <c r="S300" s="156"/>
      <c r="T300" s="156"/>
      <c r="U300" s="156"/>
      <c r="V300" s="156"/>
      <c r="W300" s="156"/>
      <c r="X300" s="157"/>
      <c r="Y300" s="157"/>
      <c r="Z300" s="157"/>
      <c r="AA300" s="157"/>
      <c r="AB300" s="157"/>
      <c r="AC300" s="1"/>
      <c r="AD300" s="1"/>
    </row>
    <row r="301" ht="12.75" customHeight="1">
      <c r="A301" s="1"/>
      <c r="B301" s="146"/>
      <c r="C301" s="150"/>
      <c r="D301" s="151"/>
      <c r="E301" s="24"/>
      <c r="F301" s="24"/>
      <c r="G301" s="24"/>
      <c r="H301" s="152"/>
      <c r="I301" s="152"/>
      <c r="J301" s="153"/>
      <c r="K301" s="153"/>
      <c r="L301" s="154"/>
      <c r="M301" s="154"/>
      <c r="N301" s="155"/>
      <c r="O301" s="155"/>
      <c r="P301" s="155"/>
      <c r="Q301" s="155"/>
      <c r="R301" s="155"/>
      <c r="S301" s="156"/>
      <c r="T301" s="156"/>
      <c r="U301" s="156"/>
      <c r="V301" s="156"/>
      <c r="W301" s="156"/>
      <c r="X301" s="157"/>
      <c r="Y301" s="157"/>
      <c r="Z301" s="157"/>
      <c r="AA301" s="157"/>
      <c r="AB301" s="157"/>
      <c r="AC301" s="1"/>
      <c r="AD301" s="1"/>
    </row>
    <row r="302" ht="12.75" customHeight="1">
      <c r="A302" s="1"/>
      <c r="B302" s="146"/>
      <c r="C302" s="150"/>
      <c r="D302" s="151"/>
      <c r="E302" s="24"/>
      <c r="F302" s="24"/>
      <c r="G302" s="24"/>
      <c r="H302" s="152"/>
      <c r="I302" s="152"/>
      <c r="J302" s="153"/>
      <c r="K302" s="153"/>
      <c r="L302" s="154"/>
      <c r="M302" s="154"/>
      <c r="N302" s="155"/>
      <c r="O302" s="155"/>
      <c r="P302" s="155"/>
      <c r="Q302" s="155"/>
      <c r="R302" s="155"/>
      <c r="S302" s="156"/>
      <c r="T302" s="156"/>
      <c r="U302" s="156"/>
      <c r="V302" s="156"/>
      <c r="W302" s="156"/>
      <c r="X302" s="157"/>
      <c r="Y302" s="157"/>
      <c r="Z302" s="157"/>
      <c r="AA302" s="157"/>
      <c r="AB302" s="157"/>
      <c r="AC302" s="1"/>
      <c r="AD302" s="1"/>
    </row>
    <row r="303" ht="12.75" customHeight="1">
      <c r="A303" s="1"/>
      <c r="B303" s="146"/>
      <c r="C303" s="150"/>
      <c r="D303" s="151"/>
      <c r="E303" s="24"/>
      <c r="F303" s="24"/>
      <c r="G303" s="24"/>
      <c r="H303" s="152"/>
      <c r="I303" s="152"/>
      <c r="J303" s="153"/>
      <c r="K303" s="153"/>
      <c r="L303" s="154"/>
      <c r="M303" s="154"/>
      <c r="N303" s="155"/>
      <c r="O303" s="155"/>
      <c r="P303" s="155"/>
      <c r="Q303" s="155"/>
      <c r="R303" s="155"/>
      <c r="S303" s="156"/>
      <c r="T303" s="156"/>
      <c r="U303" s="156"/>
      <c r="V303" s="156"/>
      <c r="W303" s="156"/>
      <c r="X303" s="157"/>
      <c r="Y303" s="157"/>
      <c r="Z303" s="157"/>
      <c r="AA303" s="157"/>
      <c r="AB303" s="157"/>
      <c r="AC303" s="1"/>
      <c r="AD303" s="1"/>
    </row>
    <row r="304" ht="12.75" customHeight="1">
      <c r="A304" s="1"/>
      <c r="B304" s="146"/>
      <c r="C304" s="150"/>
      <c r="D304" s="151"/>
      <c r="E304" s="24"/>
      <c r="F304" s="24"/>
      <c r="G304" s="24"/>
      <c r="H304" s="152"/>
      <c r="I304" s="152"/>
      <c r="J304" s="153"/>
      <c r="K304" s="153"/>
      <c r="L304" s="154"/>
      <c r="M304" s="154"/>
      <c r="N304" s="155"/>
      <c r="O304" s="155"/>
      <c r="P304" s="155"/>
      <c r="Q304" s="155"/>
      <c r="R304" s="155"/>
      <c r="S304" s="156"/>
      <c r="T304" s="156"/>
      <c r="U304" s="156"/>
      <c r="V304" s="156"/>
      <c r="W304" s="156"/>
      <c r="X304" s="157"/>
      <c r="Y304" s="157"/>
      <c r="Z304" s="157"/>
      <c r="AA304" s="157"/>
      <c r="AB304" s="157"/>
      <c r="AC304" s="1"/>
      <c r="AD304" s="1"/>
    </row>
    <row r="305" ht="12.75" customHeight="1">
      <c r="A305" s="1"/>
      <c r="B305" s="146"/>
      <c r="C305" s="150"/>
      <c r="D305" s="151"/>
      <c r="E305" s="24"/>
      <c r="F305" s="24"/>
      <c r="G305" s="24"/>
      <c r="H305" s="152"/>
      <c r="I305" s="152"/>
      <c r="J305" s="153"/>
      <c r="K305" s="153"/>
      <c r="L305" s="154"/>
      <c r="M305" s="154"/>
      <c r="N305" s="155"/>
      <c r="O305" s="155"/>
      <c r="P305" s="155"/>
      <c r="Q305" s="155"/>
      <c r="R305" s="155"/>
      <c r="S305" s="156"/>
      <c r="T305" s="156"/>
      <c r="U305" s="156"/>
      <c r="V305" s="156"/>
      <c r="W305" s="156"/>
      <c r="X305" s="157"/>
      <c r="Y305" s="157"/>
      <c r="Z305" s="157"/>
      <c r="AA305" s="157"/>
      <c r="AB305" s="157"/>
      <c r="AC305" s="1"/>
      <c r="AD305" s="1"/>
    </row>
    <row r="306" ht="12.75" customHeight="1">
      <c r="A306" s="1"/>
      <c r="B306" s="146"/>
      <c r="C306" s="150"/>
      <c r="D306" s="151"/>
      <c r="E306" s="24"/>
      <c r="F306" s="24"/>
      <c r="G306" s="24"/>
      <c r="H306" s="152"/>
      <c r="I306" s="152"/>
      <c r="J306" s="153"/>
      <c r="K306" s="153"/>
      <c r="L306" s="154"/>
      <c r="M306" s="154"/>
      <c r="N306" s="155"/>
      <c r="O306" s="155"/>
      <c r="P306" s="155"/>
      <c r="Q306" s="155"/>
      <c r="R306" s="155"/>
      <c r="S306" s="156"/>
      <c r="T306" s="156"/>
      <c r="U306" s="156"/>
      <c r="V306" s="156"/>
      <c r="W306" s="156"/>
      <c r="X306" s="157"/>
      <c r="Y306" s="157"/>
      <c r="Z306" s="157"/>
      <c r="AA306" s="157"/>
      <c r="AB306" s="157"/>
      <c r="AC306" s="1"/>
      <c r="AD306" s="1"/>
    </row>
    <row r="307" ht="12.75" customHeight="1">
      <c r="A307" s="1"/>
      <c r="B307" s="146"/>
      <c r="C307" s="150"/>
      <c r="D307" s="151"/>
      <c r="E307" s="24"/>
      <c r="F307" s="24"/>
      <c r="G307" s="24"/>
      <c r="H307" s="152"/>
      <c r="I307" s="152"/>
      <c r="J307" s="153"/>
      <c r="K307" s="153"/>
      <c r="L307" s="154"/>
      <c r="M307" s="154"/>
      <c r="N307" s="155"/>
      <c r="O307" s="155"/>
      <c r="P307" s="155"/>
      <c r="Q307" s="155"/>
      <c r="R307" s="155"/>
      <c r="S307" s="156"/>
      <c r="T307" s="156"/>
      <c r="U307" s="156"/>
      <c r="V307" s="156"/>
      <c r="W307" s="156"/>
      <c r="X307" s="157"/>
      <c r="Y307" s="157"/>
      <c r="Z307" s="157"/>
      <c r="AA307" s="157"/>
      <c r="AB307" s="157"/>
      <c r="AC307" s="1"/>
      <c r="AD307" s="1"/>
    </row>
    <row r="308" ht="12.75" customHeight="1">
      <c r="A308" s="1"/>
      <c r="B308" s="146"/>
      <c r="C308" s="150"/>
      <c r="D308" s="151"/>
      <c r="E308" s="24"/>
      <c r="F308" s="24"/>
      <c r="G308" s="24"/>
      <c r="H308" s="152"/>
      <c r="I308" s="152"/>
      <c r="J308" s="153"/>
      <c r="K308" s="153"/>
      <c r="L308" s="154"/>
      <c r="M308" s="154"/>
      <c r="N308" s="155"/>
      <c r="O308" s="155"/>
      <c r="P308" s="155"/>
      <c r="Q308" s="155"/>
      <c r="R308" s="155"/>
      <c r="S308" s="156"/>
      <c r="T308" s="156"/>
      <c r="U308" s="156"/>
      <c r="V308" s="156"/>
      <c r="W308" s="156"/>
      <c r="X308" s="157"/>
      <c r="Y308" s="157"/>
      <c r="Z308" s="157"/>
      <c r="AA308" s="157"/>
      <c r="AB308" s="157"/>
      <c r="AC308" s="1"/>
      <c r="AD308" s="1"/>
    </row>
    <row r="309" ht="12.75" customHeight="1">
      <c r="A309" s="1"/>
      <c r="B309" s="146"/>
      <c r="C309" s="150"/>
      <c r="D309" s="151"/>
      <c r="E309" s="24"/>
      <c r="F309" s="24"/>
      <c r="G309" s="24"/>
      <c r="H309" s="152"/>
      <c r="I309" s="152"/>
      <c r="J309" s="153"/>
      <c r="K309" s="153"/>
      <c r="L309" s="154"/>
      <c r="M309" s="154"/>
      <c r="N309" s="155"/>
      <c r="O309" s="155"/>
      <c r="P309" s="155"/>
      <c r="Q309" s="155"/>
      <c r="R309" s="155"/>
      <c r="S309" s="156"/>
      <c r="T309" s="156"/>
      <c r="U309" s="156"/>
      <c r="V309" s="156"/>
      <c r="W309" s="156"/>
      <c r="X309" s="157"/>
      <c r="Y309" s="157"/>
      <c r="Z309" s="157"/>
      <c r="AA309" s="157"/>
      <c r="AB309" s="157"/>
      <c r="AC309" s="1"/>
      <c r="AD309" s="1"/>
    </row>
    <row r="310" ht="12.75" customHeight="1">
      <c r="A310" s="1"/>
      <c r="B310" s="146"/>
      <c r="C310" s="150"/>
      <c r="D310" s="151"/>
      <c r="E310" s="24"/>
      <c r="F310" s="24"/>
      <c r="G310" s="24"/>
      <c r="H310" s="152"/>
      <c r="I310" s="152"/>
      <c r="J310" s="153"/>
      <c r="K310" s="153"/>
      <c r="L310" s="154"/>
      <c r="M310" s="154"/>
      <c r="N310" s="155"/>
      <c r="O310" s="155"/>
      <c r="P310" s="155"/>
      <c r="Q310" s="155"/>
      <c r="R310" s="155"/>
      <c r="S310" s="156"/>
      <c r="T310" s="156"/>
      <c r="U310" s="156"/>
      <c r="V310" s="156"/>
      <c r="W310" s="156"/>
      <c r="X310" s="157"/>
      <c r="Y310" s="157"/>
      <c r="Z310" s="157"/>
      <c r="AA310" s="157"/>
      <c r="AB310" s="157"/>
      <c r="AC310" s="1"/>
      <c r="AD310" s="1"/>
    </row>
    <row r="311" ht="12.75" customHeight="1">
      <c r="A311" s="1"/>
      <c r="B311" s="146"/>
      <c r="C311" s="150"/>
      <c r="D311" s="151"/>
      <c r="E311" s="24"/>
      <c r="F311" s="24"/>
      <c r="G311" s="24"/>
      <c r="H311" s="152"/>
      <c r="I311" s="152"/>
      <c r="J311" s="153"/>
      <c r="K311" s="153"/>
      <c r="L311" s="154"/>
      <c r="M311" s="154"/>
      <c r="N311" s="155"/>
      <c r="O311" s="155"/>
      <c r="P311" s="155"/>
      <c r="Q311" s="155"/>
      <c r="R311" s="155"/>
      <c r="S311" s="156"/>
      <c r="T311" s="156"/>
      <c r="U311" s="156"/>
      <c r="V311" s="156"/>
      <c r="W311" s="156"/>
      <c r="X311" s="157"/>
      <c r="Y311" s="157"/>
      <c r="Z311" s="157"/>
      <c r="AA311" s="157"/>
      <c r="AB311" s="157"/>
      <c r="AC311" s="1"/>
      <c r="AD311" s="1"/>
    </row>
    <row r="312" ht="12.75" customHeight="1">
      <c r="A312" s="1"/>
      <c r="B312" s="146"/>
      <c r="C312" s="150"/>
      <c r="D312" s="151"/>
      <c r="E312" s="24"/>
      <c r="F312" s="24"/>
      <c r="G312" s="24"/>
      <c r="H312" s="152"/>
      <c r="I312" s="152"/>
      <c r="J312" s="153"/>
      <c r="K312" s="153"/>
      <c r="L312" s="154"/>
      <c r="M312" s="154"/>
      <c r="N312" s="155"/>
      <c r="O312" s="155"/>
      <c r="P312" s="155"/>
      <c r="Q312" s="155"/>
      <c r="R312" s="155"/>
      <c r="S312" s="156"/>
      <c r="T312" s="156"/>
      <c r="U312" s="156"/>
      <c r="V312" s="156"/>
      <c r="W312" s="156"/>
      <c r="X312" s="157"/>
      <c r="Y312" s="157"/>
      <c r="Z312" s="157"/>
      <c r="AA312" s="157"/>
      <c r="AB312" s="157"/>
      <c r="AC312" s="1"/>
      <c r="AD312" s="1"/>
    </row>
    <row r="313" ht="12.75" customHeight="1">
      <c r="A313" s="1"/>
      <c r="B313" s="146"/>
      <c r="C313" s="150"/>
      <c r="D313" s="151"/>
      <c r="E313" s="24"/>
      <c r="F313" s="24"/>
      <c r="G313" s="24"/>
      <c r="H313" s="152"/>
      <c r="I313" s="152"/>
      <c r="J313" s="153"/>
      <c r="K313" s="153"/>
      <c r="L313" s="154"/>
      <c r="M313" s="154"/>
      <c r="N313" s="155"/>
      <c r="O313" s="155"/>
      <c r="P313" s="155"/>
      <c r="Q313" s="155"/>
      <c r="R313" s="155"/>
      <c r="S313" s="156"/>
      <c r="T313" s="156"/>
      <c r="U313" s="156"/>
      <c r="V313" s="156"/>
      <c r="W313" s="156"/>
      <c r="X313" s="157"/>
      <c r="Y313" s="157"/>
      <c r="Z313" s="157"/>
      <c r="AA313" s="157"/>
      <c r="AB313" s="157"/>
      <c r="AC313" s="1"/>
      <c r="AD313" s="1"/>
    </row>
    <row r="314" ht="12.75" customHeight="1">
      <c r="A314" s="1"/>
      <c r="B314" s="146"/>
      <c r="C314" s="150"/>
      <c r="D314" s="151"/>
      <c r="E314" s="24"/>
      <c r="F314" s="24"/>
      <c r="G314" s="24"/>
      <c r="H314" s="152"/>
      <c r="I314" s="152"/>
      <c r="J314" s="153"/>
      <c r="K314" s="153"/>
      <c r="L314" s="154"/>
      <c r="M314" s="154"/>
      <c r="N314" s="155"/>
      <c r="O314" s="155"/>
      <c r="P314" s="155"/>
      <c r="Q314" s="155"/>
      <c r="R314" s="155"/>
      <c r="S314" s="156"/>
      <c r="T314" s="156"/>
      <c r="U314" s="156"/>
      <c r="V314" s="156"/>
      <c r="W314" s="156"/>
      <c r="X314" s="157"/>
      <c r="Y314" s="157"/>
      <c r="Z314" s="157"/>
      <c r="AA314" s="157"/>
      <c r="AB314" s="157"/>
      <c r="AC314" s="1"/>
      <c r="AD314" s="1"/>
    </row>
    <row r="315" ht="12.75" customHeight="1">
      <c r="A315" s="1"/>
      <c r="B315" s="146"/>
      <c r="C315" s="150"/>
      <c r="D315" s="151"/>
      <c r="E315" s="24"/>
      <c r="F315" s="24"/>
      <c r="G315" s="24"/>
      <c r="H315" s="152"/>
      <c r="I315" s="152"/>
      <c r="J315" s="153"/>
      <c r="K315" s="153"/>
      <c r="L315" s="154"/>
      <c r="M315" s="154"/>
      <c r="N315" s="155"/>
      <c r="O315" s="155"/>
      <c r="P315" s="155"/>
      <c r="Q315" s="155"/>
      <c r="R315" s="155"/>
      <c r="S315" s="156"/>
      <c r="T315" s="156"/>
      <c r="U315" s="156"/>
      <c r="V315" s="156"/>
      <c r="W315" s="156"/>
      <c r="X315" s="157"/>
      <c r="Y315" s="157"/>
      <c r="Z315" s="157"/>
      <c r="AA315" s="157"/>
      <c r="AB315" s="157"/>
      <c r="AC315" s="1"/>
      <c r="AD315" s="1"/>
    </row>
    <row r="316" ht="12.75" customHeight="1">
      <c r="A316" s="1"/>
      <c r="B316" s="146"/>
      <c r="C316" s="150"/>
      <c r="D316" s="151"/>
      <c r="E316" s="24"/>
      <c r="F316" s="24"/>
      <c r="G316" s="24"/>
      <c r="H316" s="152"/>
      <c r="I316" s="152"/>
      <c r="J316" s="153"/>
      <c r="K316" s="153"/>
      <c r="L316" s="154"/>
      <c r="M316" s="154"/>
      <c r="N316" s="155"/>
      <c r="O316" s="155"/>
      <c r="P316" s="155"/>
      <c r="Q316" s="155"/>
      <c r="R316" s="155"/>
      <c r="S316" s="156"/>
      <c r="T316" s="156"/>
      <c r="U316" s="156"/>
      <c r="V316" s="156"/>
      <c r="W316" s="156"/>
      <c r="X316" s="157"/>
      <c r="Y316" s="157"/>
      <c r="Z316" s="157"/>
      <c r="AA316" s="157"/>
      <c r="AB316" s="157"/>
      <c r="AC316" s="1"/>
      <c r="AD316" s="1"/>
    </row>
    <row r="317" ht="12.75" customHeight="1">
      <c r="A317" s="1"/>
      <c r="B317" s="146"/>
      <c r="C317" s="150"/>
      <c r="D317" s="151"/>
      <c r="E317" s="24"/>
      <c r="F317" s="24"/>
      <c r="G317" s="24"/>
      <c r="H317" s="152"/>
      <c r="I317" s="152"/>
      <c r="J317" s="153"/>
      <c r="K317" s="153"/>
      <c r="L317" s="154"/>
      <c r="M317" s="154"/>
      <c r="N317" s="155"/>
      <c r="O317" s="155"/>
      <c r="P317" s="155"/>
      <c r="Q317" s="155"/>
      <c r="R317" s="155"/>
      <c r="S317" s="156"/>
      <c r="T317" s="156"/>
      <c r="U317" s="156"/>
      <c r="V317" s="156"/>
      <c r="W317" s="156"/>
      <c r="X317" s="157"/>
      <c r="Y317" s="157"/>
      <c r="Z317" s="157"/>
      <c r="AA317" s="157"/>
      <c r="AB317" s="157"/>
      <c r="AC317" s="1"/>
      <c r="AD317" s="1"/>
    </row>
    <row r="318" ht="12.75" customHeight="1">
      <c r="A318" s="1"/>
      <c r="B318" s="146"/>
      <c r="C318" s="150"/>
      <c r="D318" s="151"/>
      <c r="E318" s="24"/>
      <c r="F318" s="24"/>
      <c r="G318" s="24"/>
      <c r="H318" s="152"/>
      <c r="I318" s="152"/>
      <c r="J318" s="153"/>
      <c r="K318" s="153"/>
      <c r="L318" s="154"/>
      <c r="M318" s="154"/>
      <c r="N318" s="155"/>
      <c r="O318" s="155"/>
      <c r="P318" s="155"/>
      <c r="Q318" s="155"/>
      <c r="R318" s="155"/>
      <c r="S318" s="156"/>
      <c r="T318" s="156"/>
      <c r="U318" s="156"/>
      <c r="V318" s="156"/>
      <c r="W318" s="156"/>
      <c r="X318" s="157"/>
      <c r="Y318" s="157"/>
      <c r="Z318" s="157"/>
      <c r="AA318" s="157"/>
      <c r="AB318" s="157"/>
      <c r="AC318" s="1"/>
      <c r="AD318" s="1"/>
    </row>
    <row r="319" ht="12.75" customHeight="1">
      <c r="A319" s="1"/>
      <c r="B319" s="146"/>
      <c r="C319" s="150"/>
      <c r="D319" s="151"/>
      <c r="E319" s="24"/>
      <c r="F319" s="24"/>
      <c r="G319" s="24"/>
      <c r="H319" s="152"/>
      <c r="I319" s="152"/>
      <c r="J319" s="153"/>
      <c r="K319" s="153"/>
      <c r="L319" s="154"/>
      <c r="M319" s="154"/>
      <c r="N319" s="155"/>
      <c r="O319" s="155"/>
      <c r="P319" s="155"/>
      <c r="Q319" s="155"/>
      <c r="R319" s="155"/>
      <c r="S319" s="156"/>
      <c r="T319" s="156"/>
      <c r="U319" s="156"/>
      <c r="V319" s="156"/>
      <c r="W319" s="156"/>
      <c r="X319" s="157"/>
      <c r="Y319" s="157"/>
      <c r="Z319" s="157"/>
      <c r="AA319" s="157"/>
      <c r="AB319" s="157"/>
      <c r="AC319" s="1"/>
      <c r="AD319" s="1"/>
    </row>
    <row r="320" ht="12.75" customHeight="1">
      <c r="A320" s="1"/>
      <c r="B320" s="146"/>
      <c r="C320" s="150"/>
      <c r="D320" s="151"/>
      <c r="E320" s="24"/>
      <c r="F320" s="24"/>
      <c r="G320" s="24"/>
      <c r="H320" s="152"/>
      <c r="I320" s="152"/>
      <c r="J320" s="153"/>
      <c r="K320" s="153"/>
      <c r="L320" s="154"/>
      <c r="M320" s="154"/>
      <c r="N320" s="155"/>
      <c r="O320" s="155"/>
      <c r="P320" s="155"/>
      <c r="Q320" s="155"/>
      <c r="R320" s="155"/>
      <c r="S320" s="156"/>
      <c r="T320" s="156"/>
      <c r="U320" s="156"/>
      <c r="V320" s="156"/>
      <c r="W320" s="156"/>
      <c r="X320" s="157"/>
      <c r="Y320" s="157"/>
      <c r="Z320" s="157"/>
      <c r="AA320" s="157"/>
      <c r="AB320" s="157"/>
      <c r="AC320" s="1"/>
      <c r="AD320" s="1"/>
    </row>
    <row r="321" ht="12.75" customHeight="1">
      <c r="A321" s="1"/>
      <c r="B321" s="146"/>
      <c r="C321" s="150"/>
      <c r="D321" s="151"/>
      <c r="E321" s="24"/>
      <c r="F321" s="24"/>
      <c r="G321" s="24"/>
      <c r="H321" s="152"/>
      <c r="I321" s="152"/>
      <c r="J321" s="153"/>
      <c r="K321" s="153"/>
      <c r="L321" s="154"/>
      <c r="M321" s="154"/>
      <c r="N321" s="155"/>
      <c r="O321" s="155"/>
      <c r="P321" s="155"/>
      <c r="Q321" s="155"/>
      <c r="R321" s="155"/>
      <c r="S321" s="156"/>
      <c r="T321" s="156"/>
      <c r="U321" s="156"/>
      <c r="V321" s="156"/>
      <c r="W321" s="156"/>
      <c r="X321" s="157"/>
      <c r="Y321" s="157"/>
      <c r="Z321" s="157"/>
      <c r="AA321" s="157"/>
      <c r="AB321" s="157"/>
      <c r="AC321" s="1"/>
      <c r="AD321" s="1"/>
    </row>
    <row r="322" ht="12.75" customHeight="1">
      <c r="A322" s="1"/>
      <c r="B322" s="146"/>
      <c r="C322" s="150"/>
      <c r="D322" s="151"/>
      <c r="E322" s="24"/>
      <c r="F322" s="24"/>
      <c r="G322" s="24"/>
      <c r="H322" s="152"/>
      <c r="I322" s="152"/>
      <c r="J322" s="153"/>
      <c r="K322" s="153"/>
      <c r="L322" s="154"/>
      <c r="M322" s="154"/>
      <c r="N322" s="155"/>
      <c r="O322" s="155"/>
      <c r="P322" s="155"/>
      <c r="Q322" s="155"/>
      <c r="R322" s="155"/>
      <c r="S322" s="156"/>
      <c r="T322" s="156"/>
      <c r="U322" s="156"/>
      <c r="V322" s="156"/>
      <c r="W322" s="156"/>
      <c r="X322" s="157"/>
      <c r="Y322" s="157"/>
      <c r="Z322" s="157"/>
      <c r="AA322" s="157"/>
      <c r="AB322" s="157"/>
      <c r="AC322" s="1"/>
      <c r="AD322" s="1"/>
    </row>
    <row r="323" ht="12.75" customHeight="1">
      <c r="A323" s="1"/>
      <c r="B323" s="146"/>
      <c r="C323" s="150"/>
      <c r="D323" s="151"/>
      <c r="E323" s="24"/>
      <c r="F323" s="24"/>
      <c r="G323" s="24"/>
      <c r="H323" s="152"/>
      <c r="I323" s="152"/>
      <c r="J323" s="153"/>
      <c r="K323" s="153"/>
      <c r="L323" s="154"/>
      <c r="M323" s="154"/>
      <c r="N323" s="155"/>
      <c r="O323" s="155"/>
      <c r="P323" s="155"/>
      <c r="Q323" s="155"/>
      <c r="R323" s="155"/>
      <c r="S323" s="156"/>
      <c r="T323" s="156"/>
      <c r="U323" s="156"/>
      <c r="V323" s="156"/>
      <c r="W323" s="156"/>
      <c r="X323" s="157"/>
      <c r="Y323" s="157"/>
      <c r="Z323" s="157"/>
      <c r="AA323" s="157"/>
      <c r="AB323" s="157"/>
      <c r="AC323" s="1"/>
      <c r="AD323" s="1"/>
    </row>
    <row r="324" ht="12.75" customHeight="1">
      <c r="A324" s="1"/>
      <c r="B324" s="146"/>
      <c r="C324" s="150"/>
      <c r="D324" s="151"/>
      <c r="E324" s="24"/>
      <c r="F324" s="24"/>
      <c r="G324" s="24"/>
      <c r="H324" s="152"/>
      <c r="I324" s="152"/>
      <c r="J324" s="153"/>
      <c r="K324" s="153"/>
      <c r="L324" s="154"/>
      <c r="M324" s="154"/>
      <c r="N324" s="155"/>
      <c r="O324" s="155"/>
      <c r="P324" s="155"/>
      <c r="Q324" s="155"/>
      <c r="R324" s="155"/>
      <c r="S324" s="156"/>
      <c r="T324" s="156"/>
      <c r="U324" s="156"/>
      <c r="V324" s="156"/>
      <c r="W324" s="156"/>
      <c r="X324" s="157"/>
      <c r="Y324" s="157"/>
      <c r="Z324" s="157"/>
      <c r="AA324" s="157"/>
      <c r="AB324" s="157"/>
      <c r="AC324" s="1"/>
      <c r="AD324" s="1"/>
    </row>
    <row r="325" ht="12.75" customHeight="1">
      <c r="A325" s="1"/>
      <c r="B325" s="146"/>
      <c r="C325" s="150"/>
      <c r="D325" s="151"/>
      <c r="E325" s="24"/>
      <c r="F325" s="24"/>
      <c r="G325" s="24"/>
      <c r="H325" s="152"/>
      <c r="I325" s="152"/>
      <c r="J325" s="153"/>
      <c r="K325" s="153"/>
      <c r="L325" s="154"/>
      <c r="M325" s="154"/>
      <c r="N325" s="155"/>
      <c r="O325" s="155"/>
      <c r="P325" s="155"/>
      <c r="Q325" s="155"/>
      <c r="R325" s="155"/>
      <c r="S325" s="156"/>
      <c r="T325" s="156"/>
      <c r="U325" s="156"/>
      <c r="V325" s="156"/>
      <c r="W325" s="156"/>
      <c r="X325" s="157"/>
      <c r="Y325" s="157"/>
      <c r="Z325" s="157"/>
      <c r="AA325" s="157"/>
      <c r="AB325" s="157"/>
      <c r="AC325" s="1"/>
      <c r="AD325" s="1"/>
    </row>
    <row r="326" ht="12.75" customHeight="1">
      <c r="A326" s="1"/>
      <c r="B326" s="146"/>
      <c r="C326" s="150"/>
      <c r="D326" s="151"/>
      <c r="E326" s="24"/>
      <c r="F326" s="24"/>
      <c r="G326" s="24"/>
      <c r="H326" s="152"/>
      <c r="I326" s="152"/>
      <c r="J326" s="153"/>
      <c r="K326" s="153"/>
      <c r="L326" s="154"/>
      <c r="M326" s="154"/>
      <c r="N326" s="155"/>
      <c r="O326" s="155"/>
      <c r="P326" s="155"/>
      <c r="Q326" s="155"/>
      <c r="R326" s="155"/>
      <c r="S326" s="156"/>
      <c r="T326" s="156"/>
      <c r="U326" s="156"/>
      <c r="V326" s="156"/>
      <c r="W326" s="156"/>
      <c r="X326" s="157"/>
      <c r="Y326" s="157"/>
      <c r="Z326" s="157"/>
      <c r="AA326" s="157"/>
      <c r="AB326" s="157"/>
      <c r="AC326" s="1"/>
      <c r="AD326" s="1"/>
    </row>
    <row r="327" ht="12.75" customHeight="1">
      <c r="A327" s="1"/>
      <c r="B327" s="146"/>
      <c r="C327" s="150"/>
      <c r="D327" s="151"/>
      <c r="E327" s="24"/>
      <c r="F327" s="24"/>
      <c r="G327" s="24"/>
      <c r="H327" s="152"/>
      <c r="I327" s="152"/>
      <c r="J327" s="153"/>
      <c r="K327" s="153"/>
      <c r="L327" s="154"/>
      <c r="M327" s="154"/>
      <c r="N327" s="155"/>
      <c r="O327" s="155"/>
      <c r="P327" s="155"/>
      <c r="Q327" s="155"/>
      <c r="R327" s="155"/>
      <c r="S327" s="156"/>
      <c r="T327" s="156"/>
      <c r="U327" s="156"/>
      <c r="V327" s="156"/>
      <c r="W327" s="156"/>
      <c r="X327" s="157"/>
      <c r="Y327" s="157"/>
      <c r="Z327" s="157"/>
      <c r="AA327" s="157"/>
      <c r="AB327" s="157"/>
      <c r="AC327" s="1"/>
      <c r="AD327" s="1"/>
    </row>
    <row r="328" ht="12.75" customHeight="1">
      <c r="A328" s="1"/>
      <c r="B328" s="146"/>
      <c r="C328" s="150"/>
      <c r="D328" s="151"/>
      <c r="E328" s="24"/>
      <c r="F328" s="24"/>
      <c r="G328" s="24"/>
      <c r="H328" s="152"/>
      <c r="I328" s="152"/>
      <c r="J328" s="153"/>
      <c r="K328" s="153"/>
      <c r="L328" s="154"/>
      <c r="M328" s="154"/>
      <c r="N328" s="155"/>
      <c r="O328" s="155"/>
      <c r="P328" s="155"/>
      <c r="Q328" s="155"/>
      <c r="R328" s="155"/>
      <c r="S328" s="156"/>
      <c r="T328" s="156"/>
      <c r="U328" s="156"/>
      <c r="V328" s="156"/>
      <c r="W328" s="156"/>
      <c r="X328" s="157"/>
      <c r="Y328" s="157"/>
      <c r="Z328" s="157"/>
      <c r="AA328" s="157"/>
      <c r="AB328" s="157"/>
      <c r="AC328" s="1"/>
      <c r="AD328" s="1"/>
    </row>
    <row r="329" ht="12.75" customHeight="1">
      <c r="A329" s="1"/>
      <c r="B329" s="146"/>
      <c r="C329" s="150"/>
      <c r="D329" s="151"/>
      <c r="E329" s="24"/>
      <c r="F329" s="24"/>
      <c r="G329" s="24"/>
      <c r="H329" s="152"/>
      <c r="I329" s="152"/>
      <c r="J329" s="153"/>
      <c r="K329" s="153"/>
      <c r="L329" s="154"/>
      <c r="M329" s="154"/>
      <c r="N329" s="155"/>
      <c r="O329" s="155"/>
      <c r="P329" s="155"/>
      <c r="Q329" s="155"/>
      <c r="R329" s="155"/>
      <c r="S329" s="156"/>
      <c r="T329" s="156"/>
      <c r="U329" s="156"/>
      <c r="V329" s="156"/>
      <c r="W329" s="156"/>
      <c r="X329" s="157"/>
      <c r="Y329" s="157"/>
      <c r="Z329" s="157"/>
      <c r="AA329" s="157"/>
      <c r="AB329" s="157"/>
      <c r="AC329" s="1"/>
      <c r="AD329" s="1"/>
    </row>
    <row r="330" ht="12.75" customHeight="1">
      <c r="A330" s="1"/>
      <c r="B330" s="146"/>
      <c r="C330" s="150"/>
      <c r="D330" s="151"/>
      <c r="E330" s="24"/>
      <c r="F330" s="24"/>
      <c r="G330" s="24"/>
      <c r="H330" s="152"/>
      <c r="I330" s="152"/>
      <c r="J330" s="153"/>
      <c r="K330" s="153"/>
      <c r="L330" s="154"/>
      <c r="M330" s="154"/>
      <c r="N330" s="155"/>
      <c r="O330" s="155"/>
      <c r="P330" s="155"/>
      <c r="Q330" s="155"/>
      <c r="R330" s="155"/>
      <c r="S330" s="156"/>
      <c r="T330" s="156"/>
      <c r="U330" s="156"/>
      <c r="V330" s="156"/>
      <c r="W330" s="156"/>
      <c r="X330" s="157"/>
      <c r="Y330" s="157"/>
      <c r="Z330" s="157"/>
      <c r="AA330" s="157"/>
      <c r="AB330" s="157"/>
      <c r="AC330" s="1"/>
      <c r="AD330" s="1"/>
    </row>
    <row r="331" ht="12.75" customHeight="1">
      <c r="A331" s="1"/>
      <c r="B331" s="146"/>
      <c r="C331" s="150"/>
      <c r="D331" s="151"/>
      <c r="E331" s="24"/>
      <c r="F331" s="24"/>
      <c r="G331" s="24"/>
      <c r="H331" s="152"/>
      <c r="I331" s="152"/>
      <c r="J331" s="153"/>
      <c r="K331" s="153"/>
      <c r="L331" s="154"/>
      <c r="M331" s="154"/>
      <c r="N331" s="155"/>
      <c r="O331" s="155"/>
      <c r="P331" s="155"/>
      <c r="Q331" s="155"/>
      <c r="R331" s="155"/>
      <c r="S331" s="156"/>
      <c r="T331" s="156"/>
      <c r="U331" s="156"/>
      <c r="V331" s="156"/>
      <c r="W331" s="156"/>
      <c r="X331" s="157"/>
      <c r="Y331" s="157"/>
      <c r="Z331" s="157"/>
      <c r="AA331" s="157"/>
      <c r="AB331" s="157"/>
      <c r="AC331" s="1"/>
      <c r="AD331" s="1"/>
    </row>
    <row r="332" ht="12.75" customHeight="1">
      <c r="A332" s="1"/>
      <c r="B332" s="146"/>
      <c r="C332" s="150"/>
      <c r="D332" s="151"/>
      <c r="E332" s="24"/>
      <c r="F332" s="24"/>
      <c r="G332" s="24"/>
      <c r="H332" s="152"/>
      <c r="I332" s="152"/>
      <c r="J332" s="153"/>
      <c r="K332" s="153"/>
      <c r="L332" s="154"/>
      <c r="M332" s="154"/>
      <c r="N332" s="155"/>
      <c r="O332" s="155"/>
      <c r="P332" s="155"/>
      <c r="Q332" s="155"/>
      <c r="R332" s="155"/>
      <c r="S332" s="156"/>
      <c r="T332" s="156"/>
      <c r="U332" s="156"/>
      <c r="V332" s="156"/>
      <c r="W332" s="156"/>
      <c r="X332" s="157"/>
      <c r="Y332" s="157"/>
      <c r="Z332" s="157"/>
      <c r="AA332" s="157"/>
      <c r="AB332" s="157"/>
      <c r="AC332" s="1"/>
      <c r="AD332" s="1"/>
    </row>
    <row r="333" ht="12.75" customHeight="1">
      <c r="A333" s="1"/>
      <c r="B333" s="146"/>
      <c r="C333" s="150"/>
      <c r="D333" s="151"/>
      <c r="E333" s="24"/>
      <c r="F333" s="24"/>
      <c r="G333" s="24"/>
      <c r="H333" s="152"/>
      <c r="I333" s="152"/>
      <c r="J333" s="153"/>
      <c r="K333" s="153"/>
      <c r="L333" s="154"/>
      <c r="M333" s="154"/>
      <c r="N333" s="155"/>
      <c r="O333" s="155"/>
      <c r="P333" s="155"/>
      <c r="Q333" s="155"/>
      <c r="R333" s="155"/>
      <c r="S333" s="156"/>
      <c r="T333" s="156"/>
      <c r="U333" s="156"/>
      <c r="V333" s="156"/>
      <c r="W333" s="156"/>
      <c r="X333" s="157"/>
      <c r="Y333" s="157"/>
      <c r="Z333" s="157"/>
      <c r="AA333" s="157"/>
      <c r="AB333" s="157"/>
      <c r="AC333" s="1"/>
      <c r="AD333" s="1"/>
    </row>
    <row r="334" ht="12.75" customHeight="1">
      <c r="A334" s="1"/>
      <c r="B334" s="146"/>
      <c r="C334" s="150"/>
      <c r="D334" s="151"/>
      <c r="E334" s="24"/>
      <c r="F334" s="24"/>
      <c r="G334" s="24"/>
      <c r="H334" s="152"/>
      <c r="I334" s="152"/>
      <c r="J334" s="153"/>
      <c r="K334" s="153"/>
      <c r="L334" s="154"/>
      <c r="M334" s="154"/>
      <c r="N334" s="155"/>
      <c r="O334" s="155"/>
      <c r="P334" s="155"/>
      <c r="Q334" s="155"/>
      <c r="R334" s="155"/>
      <c r="S334" s="156"/>
      <c r="T334" s="156"/>
      <c r="U334" s="156"/>
      <c r="V334" s="156"/>
      <c r="W334" s="156"/>
      <c r="X334" s="157"/>
      <c r="Y334" s="157"/>
      <c r="Z334" s="157"/>
      <c r="AA334" s="157"/>
      <c r="AB334" s="157"/>
      <c r="AC334" s="1"/>
      <c r="AD334" s="1"/>
    </row>
    <row r="335" ht="12.75" customHeight="1">
      <c r="A335" s="1"/>
      <c r="B335" s="146"/>
      <c r="C335" s="150"/>
      <c r="D335" s="151"/>
      <c r="E335" s="24"/>
      <c r="F335" s="24"/>
      <c r="G335" s="24"/>
      <c r="H335" s="152"/>
      <c r="I335" s="152"/>
      <c r="J335" s="153"/>
      <c r="K335" s="153"/>
      <c r="L335" s="154"/>
      <c r="M335" s="154"/>
      <c r="N335" s="155"/>
      <c r="O335" s="155"/>
      <c r="P335" s="155"/>
      <c r="Q335" s="155"/>
      <c r="R335" s="155"/>
      <c r="S335" s="156"/>
      <c r="T335" s="156"/>
      <c r="U335" s="156"/>
      <c r="V335" s="156"/>
      <c r="W335" s="156"/>
      <c r="X335" s="157"/>
      <c r="Y335" s="157"/>
      <c r="Z335" s="157"/>
      <c r="AA335" s="157"/>
      <c r="AB335" s="157"/>
      <c r="AC335" s="1"/>
      <c r="AD335" s="1"/>
    </row>
    <row r="336" ht="12.75" customHeight="1">
      <c r="A336" s="1"/>
      <c r="B336" s="146"/>
      <c r="C336" s="150"/>
      <c r="D336" s="151"/>
      <c r="E336" s="24"/>
      <c r="F336" s="24"/>
      <c r="G336" s="24"/>
      <c r="H336" s="152"/>
      <c r="I336" s="152"/>
      <c r="J336" s="153"/>
      <c r="K336" s="153"/>
      <c r="L336" s="154"/>
      <c r="M336" s="154"/>
      <c r="N336" s="155"/>
      <c r="O336" s="155"/>
      <c r="P336" s="155"/>
      <c r="Q336" s="155"/>
      <c r="R336" s="155"/>
      <c r="S336" s="156"/>
      <c r="T336" s="156"/>
      <c r="U336" s="156"/>
      <c r="V336" s="156"/>
      <c r="W336" s="156"/>
      <c r="X336" s="157"/>
      <c r="Y336" s="157"/>
      <c r="Z336" s="157"/>
      <c r="AA336" s="157"/>
      <c r="AB336" s="157"/>
      <c r="AC336" s="1"/>
      <c r="AD336" s="1"/>
    </row>
    <row r="337" ht="12.75" customHeight="1">
      <c r="A337" s="1"/>
      <c r="B337" s="146"/>
      <c r="C337" s="150"/>
      <c r="D337" s="151"/>
      <c r="E337" s="24"/>
      <c r="F337" s="24"/>
      <c r="G337" s="24"/>
      <c r="H337" s="152"/>
      <c r="I337" s="152"/>
      <c r="J337" s="153"/>
      <c r="K337" s="153"/>
      <c r="L337" s="154"/>
      <c r="M337" s="154"/>
      <c r="N337" s="155"/>
      <c r="O337" s="155"/>
      <c r="P337" s="155"/>
      <c r="Q337" s="155"/>
      <c r="R337" s="155"/>
      <c r="S337" s="156"/>
      <c r="T337" s="156"/>
      <c r="U337" s="156"/>
      <c r="V337" s="156"/>
      <c r="W337" s="156"/>
      <c r="X337" s="157"/>
      <c r="Y337" s="157"/>
      <c r="Z337" s="157"/>
      <c r="AA337" s="157"/>
      <c r="AB337" s="157"/>
      <c r="AC337" s="1"/>
      <c r="AD337" s="1"/>
    </row>
    <row r="338" ht="12.75" customHeight="1">
      <c r="A338" s="1"/>
      <c r="B338" s="146"/>
      <c r="C338" s="150"/>
      <c r="D338" s="151"/>
      <c r="E338" s="24"/>
      <c r="F338" s="24"/>
      <c r="G338" s="24"/>
      <c r="H338" s="152"/>
      <c r="I338" s="152"/>
      <c r="J338" s="153"/>
      <c r="K338" s="153"/>
      <c r="L338" s="154"/>
      <c r="M338" s="154"/>
      <c r="N338" s="155"/>
      <c r="O338" s="155"/>
      <c r="P338" s="155"/>
      <c r="Q338" s="155"/>
      <c r="R338" s="155"/>
      <c r="S338" s="156"/>
      <c r="T338" s="156"/>
      <c r="U338" s="156"/>
      <c r="V338" s="156"/>
      <c r="W338" s="156"/>
      <c r="X338" s="157"/>
      <c r="Y338" s="157"/>
      <c r="Z338" s="157"/>
      <c r="AA338" s="157"/>
      <c r="AB338" s="157"/>
      <c r="AC338" s="1"/>
      <c r="AD338" s="1"/>
    </row>
    <row r="339" ht="12.75" customHeight="1">
      <c r="A339" s="1"/>
      <c r="B339" s="146"/>
      <c r="C339" s="150"/>
      <c r="D339" s="151"/>
      <c r="E339" s="24"/>
      <c r="F339" s="24"/>
      <c r="G339" s="24"/>
      <c r="H339" s="152"/>
      <c r="I339" s="152"/>
      <c r="J339" s="153"/>
      <c r="K339" s="153"/>
      <c r="L339" s="154"/>
      <c r="M339" s="154"/>
      <c r="N339" s="155"/>
      <c r="O339" s="155"/>
      <c r="P339" s="155"/>
      <c r="Q339" s="155"/>
      <c r="R339" s="155"/>
      <c r="S339" s="156"/>
      <c r="T339" s="156"/>
      <c r="U339" s="156"/>
      <c r="V339" s="156"/>
      <c r="W339" s="156"/>
      <c r="X339" s="157"/>
      <c r="Y339" s="157"/>
      <c r="Z339" s="157"/>
      <c r="AA339" s="157"/>
      <c r="AB339" s="157"/>
      <c r="AC339" s="1"/>
      <c r="AD339" s="1"/>
    </row>
    <row r="340" ht="12.75" customHeight="1">
      <c r="A340" s="1"/>
      <c r="B340" s="146"/>
      <c r="C340" s="150"/>
      <c r="D340" s="151"/>
      <c r="E340" s="24"/>
      <c r="F340" s="24"/>
      <c r="G340" s="24"/>
      <c r="H340" s="152"/>
      <c r="I340" s="152"/>
      <c r="J340" s="153"/>
      <c r="K340" s="153"/>
      <c r="L340" s="154"/>
      <c r="M340" s="154"/>
      <c r="N340" s="155"/>
      <c r="O340" s="155"/>
      <c r="P340" s="155"/>
      <c r="Q340" s="155"/>
      <c r="R340" s="155"/>
      <c r="S340" s="156"/>
      <c r="T340" s="156"/>
      <c r="U340" s="156"/>
      <c r="V340" s="156"/>
      <c r="W340" s="156"/>
      <c r="X340" s="157"/>
      <c r="Y340" s="157"/>
      <c r="Z340" s="157"/>
      <c r="AA340" s="157"/>
      <c r="AB340" s="157"/>
      <c r="AC340" s="1"/>
      <c r="AD340" s="1"/>
    </row>
    <row r="341" ht="12.75" customHeight="1">
      <c r="A341" s="1"/>
      <c r="B341" s="146"/>
      <c r="C341" s="150"/>
      <c r="D341" s="151"/>
      <c r="E341" s="24"/>
      <c r="F341" s="24"/>
      <c r="G341" s="24"/>
      <c r="H341" s="152"/>
      <c r="I341" s="152"/>
      <c r="J341" s="153"/>
      <c r="K341" s="153"/>
      <c r="L341" s="154"/>
      <c r="M341" s="154"/>
      <c r="N341" s="155"/>
      <c r="O341" s="155"/>
      <c r="P341" s="155"/>
      <c r="Q341" s="155"/>
      <c r="R341" s="155"/>
      <c r="S341" s="156"/>
      <c r="T341" s="156"/>
      <c r="U341" s="156"/>
      <c r="V341" s="156"/>
      <c r="W341" s="156"/>
      <c r="X341" s="157"/>
      <c r="Y341" s="157"/>
      <c r="Z341" s="157"/>
      <c r="AA341" s="157"/>
      <c r="AB341" s="157"/>
      <c r="AC341" s="1"/>
      <c r="AD341" s="1"/>
    </row>
    <row r="342" ht="12.75" customHeight="1">
      <c r="A342" s="1"/>
      <c r="B342" s="146"/>
      <c r="C342" s="150"/>
      <c r="D342" s="151"/>
      <c r="E342" s="24"/>
      <c r="F342" s="24"/>
      <c r="G342" s="24"/>
      <c r="H342" s="152"/>
      <c r="I342" s="152"/>
      <c r="J342" s="153"/>
      <c r="K342" s="153"/>
      <c r="L342" s="154"/>
      <c r="M342" s="154"/>
      <c r="N342" s="155"/>
      <c r="O342" s="155"/>
      <c r="P342" s="155"/>
      <c r="Q342" s="155"/>
      <c r="R342" s="155"/>
      <c r="S342" s="156"/>
      <c r="T342" s="156"/>
      <c r="U342" s="156"/>
      <c r="V342" s="156"/>
      <c r="W342" s="156"/>
      <c r="X342" s="157"/>
      <c r="Y342" s="157"/>
      <c r="Z342" s="157"/>
      <c r="AA342" s="157"/>
      <c r="AB342" s="157"/>
      <c r="AC342" s="1"/>
      <c r="AD342" s="1"/>
    </row>
    <row r="343" ht="12.75" customHeight="1">
      <c r="A343" s="1"/>
      <c r="B343" s="146"/>
      <c r="C343" s="150"/>
      <c r="D343" s="151"/>
      <c r="E343" s="24"/>
      <c r="F343" s="24"/>
      <c r="G343" s="24"/>
      <c r="H343" s="152"/>
      <c r="I343" s="152"/>
      <c r="J343" s="153"/>
      <c r="K343" s="153"/>
      <c r="L343" s="154"/>
      <c r="M343" s="154"/>
      <c r="N343" s="155"/>
      <c r="O343" s="155"/>
      <c r="P343" s="155"/>
      <c r="Q343" s="155"/>
      <c r="R343" s="155"/>
      <c r="S343" s="156"/>
      <c r="T343" s="156"/>
      <c r="U343" s="156"/>
      <c r="V343" s="156"/>
      <c r="W343" s="156"/>
      <c r="X343" s="157"/>
      <c r="Y343" s="157"/>
      <c r="Z343" s="157"/>
      <c r="AA343" s="157"/>
      <c r="AB343" s="157"/>
      <c r="AC343" s="1"/>
      <c r="AD343" s="1"/>
    </row>
    <row r="344" ht="12.75" customHeight="1">
      <c r="A344" s="1"/>
      <c r="B344" s="146"/>
      <c r="C344" s="150"/>
      <c r="D344" s="151"/>
      <c r="E344" s="24"/>
      <c r="F344" s="24"/>
      <c r="G344" s="24"/>
      <c r="H344" s="152"/>
      <c r="I344" s="152"/>
      <c r="J344" s="153"/>
      <c r="K344" s="153"/>
      <c r="L344" s="154"/>
      <c r="M344" s="154"/>
      <c r="N344" s="155"/>
      <c r="O344" s="155"/>
      <c r="P344" s="155"/>
      <c r="Q344" s="155"/>
      <c r="R344" s="155"/>
      <c r="S344" s="156"/>
      <c r="T344" s="156"/>
      <c r="U344" s="156"/>
      <c r="V344" s="156"/>
      <c r="W344" s="156"/>
      <c r="X344" s="157"/>
      <c r="Y344" s="157"/>
      <c r="Z344" s="157"/>
      <c r="AA344" s="157"/>
      <c r="AB344" s="157"/>
      <c r="AC344" s="1"/>
      <c r="AD344" s="1"/>
    </row>
    <row r="345" ht="12.75" customHeight="1">
      <c r="A345" s="1"/>
      <c r="B345" s="146"/>
      <c r="C345" s="150"/>
      <c r="D345" s="151"/>
      <c r="E345" s="24"/>
      <c r="F345" s="24"/>
      <c r="G345" s="24"/>
      <c r="H345" s="152"/>
      <c r="I345" s="152"/>
      <c r="J345" s="153"/>
      <c r="K345" s="153"/>
      <c r="L345" s="154"/>
      <c r="M345" s="154"/>
      <c r="N345" s="155"/>
      <c r="O345" s="155"/>
      <c r="P345" s="155"/>
      <c r="Q345" s="155"/>
      <c r="R345" s="155"/>
      <c r="S345" s="156"/>
      <c r="T345" s="156"/>
      <c r="U345" s="156"/>
      <c r="V345" s="156"/>
      <c r="W345" s="156"/>
      <c r="X345" s="157"/>
      <c r="Y345" s="157"/>
      <c r="Z345" s="157"/>
      <c r="AA345" s="157"/>
      <c r="AB345" s="157"/>
      <c r="AC345" s="1"/>
      <c r="AD345" s="1"/>
    </row>
    <row r="346" ht="12.75" customHeight="1">
      <c r="A346" s="1"/>
      <c r="B346" s="146"/>
      <c r="C346" s="150"/>
      <c r="D346" s="151"/>
      <c r="E346" s="24"/>
      <c r="F346" s="24"/>
      <c r="G346" s="24"/>
      <c r="H346" s="152"/>
      <c r="I346" s="152"/>
      <c r="J346" s="153"/>
      <c r="K346" s="153"/>
      <c r="L346" s="154"/>
      <c r="M346" s="154"/>
      <c r="N346" s="155"/>
      <c r="O346" s="155"/>
      <c r="P346" s="155"/>
      <c r="Q346" s="155"/>
      <c r="R346" s="155"/>
      <c r="S346" s="156"/>
      <c r="T346" s="156"/>
      <c r="U346" s="156"/>
      <c r="V346" s="156"/>
      <c r="W346" s="156"/>
      <c r="X346" s="157"/>
      <c r="Y346" s="157"/>
      <c r="Z346" s="157"/>
      <c r="AA346" s="157"/>
      <c r="AB346" s="157"/>
      <c r="AC346" s="1"/>
      <c r="AD346" s="1"/>
    </row>
    <row r="347" ht="12.75" customHeight="1">
      <c r="A347" s="1"/>
      <c r="B347" s="146"/>
      <c r="C347" s="150"/>
      <c r="D347" s="151"/>
      <c r="E347" s="24"/>
      <c r="F347" s="24"/>
      <c r="G347" s="24"/>
      <c r="H347" s="152"/>
      <c r="I347" s="152"/>
      <c r="J347" s="153"/>
      <c r="K347" s="153"/>
      <c r="L347" s="154"/>
      <c r="M347" s="154"/>
      <c r="N347" s="155"/>
      <c r="O347" s="155"/>
      <c r="P347" s="155"/>
      <c r="Q347" s="155"/>
      <c r="R347" s="155"/>
      <c r="S347" s="156"/>
      <c r="T347" s="156"/>
      <c r="U347" s="156"/>
      <c r="V347" s="156"/>
      <c r="W347" s="156"/>
      <c r="X347" s="157"/>
      <c r="Y347" s="157"/>
      <c r="Z347" s="157"/>
      <c r="AA347" s="157"/>
      <c r="AB347" s="157"/>
      <c r="AC347" s="1"/>
      <c r="AD347" s="1"/>
    </row>
    <row r="348" ht="12.75" customHeight="1">
      <c r="A348" s="1"/>
      <c r="B348" s="146"/>
      <c r="C348" s="150"/>
      <c r="D348" s="151"/>
      <c r="E348" s="24"/>
      <c r="F348" s="24"/>
      <c r="G348" s="24"/>
      <c r="H348" s="152"/>
      <c r="I348" s="152"/>
      <c r="J348" s="153"/>
      <c r="K348" s="153"/>
      <c r="L348" s="154"/>
      <c r="M348" s="154"/>
      <c r="N348" s="155"/>
      <c r="O348" s="155"/>
      <c r="P348" s="155"/>
      <c r="Q348" s="155"/>
      <c r="R348" s="155"/>
      <c r="S348" s="156"/>
      <c r="T348" s="156"/>
      <c r="U348" s="156"/>
      <c r="V348" s="156"/>
      <c r="W348" s="156"/>
      <c r="X348" s="157"/>
      <c r="Y348" s="157"/>
      <c r="Z348" s="157"/>
      <c r="AA348" s="157"/>
      <c r="AB348" s="157"/>
      <c r="AC348" s="1"/>
      <c r="AD348" s="1"/>
    </row>
    <row r="349" ht="12.75" customHeight="1">
      <c r="A349" s="1"/>
      <c r="B349" s="146"/>
      <c r="C349" s="150"/>
      <c r="D349" s="151"/>
      <c r="E349" s="24"/>
      <c r="F349" s="24"/>
      <c r="G349" s="24"/>
      <c r="H349" s="152"/>
      <c r="I349" s="152"/>
      <c r="J349" s="153"/>
      <c r="K349" s="153"/>
      <c r="L349" s="154"/>
      <c r="M349" s="154"/>
      <c r="N349" s="155"/>
      <c r="O349" s="155"/>
      <c r="P349" s="155"/>
      <c r="Q349" s="155"/>
      <c r="R349" s="155"/>
      <c r="S349" s="156"/>
      <c r="T349" s="156"/>
      <c r="U349" s="156"/>
      <c r="V349" s="156"/>
      <c r="W349" s="156"/>
      <c r="X349" s="157"/>
      <c r="Y349" s="157"/>
      <c r="Z349" s="157"/>
      <c r="AA349" s="157"/>
      <c r="AB349" s="157"/>
      <c r="AC349" s="1"/>
      <c r="AD349" s="1"/>
    </row>
    <row r="350" ht="12.75" customHeight="1">
      <c r="A350" s="1"/>
      <c r="B350" s="146"/>
      <c r="C350" s="150"/>
      <c r="D350" s="151"/>
      <c r="E350" s="24"/>
      <c r="F350" s="24"/>
      <c r="G350" s="24"/>
      <c r="H350" s="152"/>
      <c r="I350" s="152"/>
      <c r="J350" s="153"/>
      <c r="K350" s="153"/>
      <c r="L350" s="154"/>
      <c r="M350" s="154"/>
      <c r="N350" s="155"/>
      <c r="O350" s="155"/>
      <c r="P350" s="155"/>
      <c r="Q350" s="155"/>
      <c r="R350" s="155"/>
      <c r="S350" s="156"/>
      <c r="T350" s="156"/>
      <c r="U350" s="156"/>
      <c r="V350" s="156"/>
      <c r="W350" s="156"/>
      <c r="X350" s="157"/>
      <c r="Y350" s="157"/>
      <c r="Z350" s="157"/>
      <c r="AA350" s="157"/>
      <c r="AB350" s="157"/>
      <c r="AC350" s="1"/>
      <c r="AD350" s="1"/>
    </row>
    <row r="351" ht="12.75" customHeight="1">
      <c r="A351" s="1"/>
      <c r="B351" s="146"/>
      <c r="C351" s="150"/>
      <c r="D351" s="151"/>
      <c r="E351" s="24"/>
      <c r="F351" s="24"/>
      <c r="G351" s="24"/>
      <c r="H351" s="152"/>
      <c r="I351" s="152"/>
      <c r="J351" s="153"/>
      <c r="K351" s="153"/>
      <c r="L351" s="154"/>
      <c r="M351" s="154"/>
      <c r="N351" s="155"/>
      <c r="O351" s="155"/>
      <c r="P351" s="155"/>
      <c r="Q351" s="155"/>
      <c r="R351" s="155"/>
      <c r="S351" s="156"/>
      <c r="T351" s="156"/>
      <c r="U351" s="156"/>
      <c r="V351" s="156"/>
      <c r="W351" s="156"/>
      <c r="X351" s="157"/>
      <c r="Y351" s="157"/>
      <c r="Z351" s="157"/>
      <c r="AA351" s="157"/>
      <c r="AB351" s="157"/>
      <c r="AC351" s="1"/>
      <c r="AD351" s="1"/>
    </row>
    <row r="352" ht="12.75" customHeight="1">
      <c r="A352" s="1"/>
      <c r="B352" s="146"/>
      <c r="C352" s="150"/>
      <c r="D352" s="151"/>
      <c r="E352" s="24"/>
      <c r="F352" s="24"/>
      <c r="G352" s="24"/>
      <c r="H352" s="152"/>
      <c r="I352" s="152"/>
      <c r="J352" s="153"/>
      <c r="K352" s="153"/>
      <c r="L352" s="154"/>
      <c r="M352" s="154"/>
      <c r="N352" s="155"/>
      <c r="O352" s="155"/>
      <c r="P352" s="155"/>
      <c r="Q352" s="155"/>
      <c r="R352" s="155"/>
      <c r="S352" s="156"/>
      <c r="T352" s="156"/>
      <c r="U352" s="156"/>
      <c r="V352" s="156"/>
      <c r="W352" s="156"/>
      <c r="X352" s="157"/>
      <c r="Y352" s="157"/>
      <c r="Z352" s="157"/>
      <c r="AA352" s="157"/>
      <c r="AB352" s="157"/>
      <c r="AC352" s="1"/>
      <c r="AD352" s="1"/>
    </row>
    <row r="353" ht="12.75" customHeight="1">
      <c r="A353" s="1"/>
      <c r="B353" s="146"/>
      <c r="C353" s="150"/>
      <c r="D353" s="151"/>
      <c r="E353" s="24"/>
      <c r="F353" s="24"/>
      <c r="G353" s="24"/>
      <c r="H353" s="152"/>
      <c r="I353" s="152"/>
      <c r="J353" s="153"/>
      <c r="K353" s="153"/>
      <c r="L353" s="154"/>
      <c r="M353" s="154"/>
      <c r="N353" s="155"/>
      <c r="O353" s="155"/>
      <c r="P353" s="155"/>
      <c r="Q353" s="155"/>
      <c r="R353" s="155"/>
      <c r="S353" s="156"/>
      <c r="T353" s="156"/>
      <c r="U353" s="156"/>
      <c r="V353" s="156"/>
      <c r="W353" s="156"/>
      <c r="X353" s="157"/>
      <c r="Y353" s="157"/>
      <c r="Z353" s="157"/>
      <c r="AA353" s="157"/>
      <c r="AB353" s="157"/>
      <c r="AC353" s="1"/>
      <c r="AD353" s="1"/>
    </row>
    <row r="354" ht="12.75" customHeight="1">
      <c r="A354" s="1"/>
      <c r="B354" s="146"/>
      <c r="C354" s="150"/>
      <c r="D354" s="151"/>
      <c r="E354" s="24"/>
      <c r="F354" s="24"/>
      <c r="G354" s="24"/>
      <c r="H354" s="152"/>
      <c r="I354" s="152"/>
      <c r="J354" s="153"/>
      <c r="K354" s="153"/>
      <c r="L354" s="154"/>
      <c r="M354" s="154"/>
      <c r="N354" s="155"/>
      <c r="O354" s="155"/>
      <c r="P354" s="155"/>
      <c r="Q354" s="155"/>
      <c r="R354" s="155"/>
      <c r="S354" s="156"/>
      <c r="T354" s="156"/>
      <c r="U354" s="156"/>
      <c r="V354" s="156"/>
      <c r="W354" s="156"/>
      <c r="X354" s="157"/>
      <c r="Y354" s="157"/>
      <c r="Z354" s="157"/>
      <c r="AA354" s="157"/>
      <c r="AB354" s="157"/>
      <c r="AC354" s="1"/>
      <c r="AD354" s="1"/>
    </row>
    <row r="355" ht="12.75" customHeight="1">
      <c r="A355" s="1"/>
      <c r="B355" s="146"/>
      <c r="C355" s="150"/>
      <c r="D355" s="151"/>
      <c r="E355" s="24"/>
      <c r="F355" s="24"/>
      <c r="G355" s="24"/>
      <c r="H355" s="152"/>
      <c r="I355" s="152"/>
      <c r="J355" s="153"/>
      <c r="K355" s="153"/>
      <c r="L355" s="154"/>
      <c r="M355" s="154"/>
      <c r="N355" s="155"/>
      <c r="O355" s="155"/>
      <c r="P355" s="155"/>
      <c r="Q355" s="155"/>
      <c r="R355" s="155"/>
      <c r="S355" s="156"/>
      <c r="T355" s="156"/>
      <c r="U355" s="156"/>
      <c r="V355" s="156"/>
      <c r="W355" s="156"/>
      <c r="X355" s="157"/>
      <c r="Y355" s="157"/>
      <c r="Z355" s="157"/>
      <c r="AA355" s="157"/>
      <c r="AB355" s="157"/>
      <c r="AC355" s="1"/>
      <c r="AD355" s="1"/>
    </row>
    <row r="356" ht="12.75" customHeight="1">
      <c r="A356" s="1"/>
      <c r="B356" s="146"/>
      <c r="C356" s="150"/>
      <c r="D356" s="151"/>
      <c r="E356" s="24"/>
      <c r="F356" s="24"/>
      <c r="G356" s="24"/>
      <c r="H356" s="152"/>
      <c r="I356" s="152"/>
      <c r="J356" s="153"/>
      <c r="K356" s="153"/>
      <c r="L356" s="154"/>
      <c r="M356" s="154"/>
      <c r="N356" s="155"/>
      <c r="O356" s="155"/>
      <c r="P356" s="155"/>
      <c r="Q356" s="155"/>
      <c r="R356" s="155"/>
      <c r="S356" s="156"/>
      <c r="T356" s="156"/>
      <c r="U356" s="156"/>
      <c r="V356" s="156"/>
      <c r="W356" s="156"/>
      <c r="X356" s="157"/>
      <c r="Y356" s="157"/>
      <c r="Z356" s="157"/>
      <c r="AA356" s="157"/>
      <c r="AB356" s="157"/>
      <c r="AC356" s="1"/>
      <c r="AD356" s="1"/>
    </row>
    <row r="357" ht="12.75" customHeight="1">
      <c r="A357" s="1"/>
      <c r="B357" s="146"/>
      <c r="C357" s="150"/>
      <c r="D357" s="151"/>
      <c r="E357" s="24"/>
      <c r="F357" s="24"/>
      <c r="G357" s="24"/>
      <c r="H357" s="152"/>
      <c r="I357" s="152"/>
      <c r="J357" s="153"/>
      <c r="K357" s="153"/>
      <c r="L357" s="154"/>
      <c r="M357" s="154"/>
      <c r="N357" s="155"/>
      <c r="O357" s="155"/>
      <c r="P357" s="155"/>
      <c r="Q357" s="155"/>
      <c r="R357" s="155"/>
      <c r="S357" s="156"/>
      <c r="T357" s="156"/>
      <c r="U357" s="156"/>
      <c r="V357" s="156"/>
      <c r="W357" s="156"/>
      <c r="X357" s="157"/>
      <c r="Y357" s="157"/>
      <c r="Z357" s="157"/>
      <c r="AA357" s="157"/>
      <c r="AB357" s="157"/>
      <c r="AC357" s="1"/>
      <c r="AD357" s="1"/>
    </row>
    <row r="358" ht="12.75" customHeight="1">
      <c r="A358" s="1"/>
      <c r="B358" s="146"/>
      <c r="C358" s="150"/>
      <c r="D358" s="151"/>
      <c r="E358" s="24"/>
      <c r="F358" s="24"/>
      <c r="G358" s="24"/>
      <c r="H358" s="152"/>
      <c r="I358" s="152"/>
      <c r="J358" s="153"/>
      <c r="K358" s="153"/>
      <c r="L358" s="154"/>
      <c r="M358" s="154"/>
      <c r="N358" s="155"/>
      <c r="O358" s="155"/>
      <c r="P358" s="155"/>
      <c r="Q358" s="155"/>
      <c r="R358" s="155"/>
      <c r="S358" s="156"/>
      <c r="T358" s="156"/>
      <c r="U358" s="156"/>
      <c r="V358" s="156"/>
      <c r="W358" s="156"/>
      <c r="X358" s="157"/>
      <c r="Y358" s="157"/>
      <c r="Z358" s="157"/>
      <c r="AA358" s="157"/>
      <c r="AB358" s="157"/>
      <c r="AC358" s="1"/>
      <c r="AD358" s="1"/>
    </row>
    <row r="359" ht="12.75" customHeight="1">
      <c r="A359" s="1"/>
      <c r="B359" s="146"/>
      <c r="C359" s="150"/>
      <c r="D359" s="151"/>
      <c r="E359" s="24"/>
      <c r="F359" s="24"/>
      <c r="G359" s="24"/>
      <c r="H359" s="152"/>
      <c r="I359" s="152"/>
      <c r="J359" s="153"/>
      <c r="K359" s="153"/>
      <c r="L359" s="154"/>
      <c r="M359" s="154"/>
      <c r="N359" s="155"/>
      <c r="O359" s="155"/>
      <c r="P359" s="155"/>
      <c r="Q359" s="155"/>
      <c r="R359" s="155"/>
      <c r="S359" s="156"/>
      <c r="T359" s="156"/>
      <c r="U359" s="156"/>
      <c r="V359" s="156"/>
      <c r="W359" s="156"/>
      <c r="X359" s="157"/>
      <c r="Y359" s="157"/>
      <c r="Z359" s="157"/>
      <c r="AA359" s="157"/>
      <c r="AB359" s="157"/>
      <c r="AC359" s="1"/>
      <c r="AD359" s="1"/>
    </row>
    <row r="360" ht="12.75" customHeight="1">
      <c r="A360" s="1"/>
      <c r="B360" s="146"/>
      <c r="C360" s="150"/>
      <c r="D360" s="151"/>
      <c r="E360" s="24"/>
      <c r="F360" s="24"/>
      <c r="G360" s="24"/>
      <c r="H360" s="152"/>
      <c r="I360" s="152"/>
      <c r="J360" s="153"/>
      <c r="K360" s="153"/>
      <c r="L360" s="154"/>
      <c r="M360" s="154"/>
      <c r="N360" s="155"/>
      <c r="O360" s="155"/>
      <c r="P360" s="155"/>
      <c r="Q360" s="155"/>
      <c r="R360" s="155"/>
      <c r="S360" s="156"/>
      <c r="T360" s="156"/>
      <c r="U360" s="156"/>
      <c r="V360" s="156"/>
      <c r="W360" s="156"/>
      <c r="X360" s="157"/>
      <c r="Y360" s="157"/>
      <c r="Z360" s="157"/>
      <c r="AA360" s="157"/>
      <c r="AB360" s="157"/>
      <c r="AC360" s="1"/>
      <c r="AD360" s="1"/>
    </row>
    <row r="361" ht="12.75" customHeight="1">
      <c r="A361" s="1"/>
      <c r="B361" s="146"/>
      <c r="C361" s="150"/>
      <c r="D361" s="151"/>
      <c r="E361" s="24"/>
      <c r="F361" s="24"/>
      <c r="G361" s="24"/>
      <c r="H361" s="152"/>
      <c r="I361" s="152"/>
      <c r="J361" s="153"/>
      <c r="K361" s="153"/>
      <c r="L361" s="154"/>
      <c r="M361" s="154"/>
      <c r="N361" s="155"/>
      <c r="O361" s="155"/>
      <c r="P361" s="155"/>
      <c r="Q361" s="155"/>
      <c r="R361" s="155"/>
      <c r="S361" s="156"/>
      <c r="T361" s="156"/>
      <c r="U361" s="156"/>
      <c r="V361" s="156"/>
      <c r="W361" s="156"/>
      <c r="X361" s="157"/>
      <c r="Y361" s="157"/>
      <c r="Z361" s="157"/>
      <c r="AA361" s="157"/>
      <c r="AB361" s="157"/>
      <c r="AC361" s="1"/>
      <c r="AD361" s="1"/>
    </row>
    <row r="362" ht="12.75" customHeight="1">
      <c r="A362" s="1"/>
      <c r="B362" s="146"/>
      <c r="C362" s="150"/>
      <c r="D362" s="151"/>
      <c r="E362" s="24"/>
      <c r="F362" s="24"/>
      <c r="G362" s="24"/>
      <c r="H362" s="152"/>
      <c r="I362" s="152"/>
      <c r="J362" s="153"/>
      <c r="K362" s="153"/>
      <c r="L362" s="154"/>
      <c r="M362" s="154"/>
      <c r="N362" s="155"/>
      <c r="O362" s="155"/>
      <c r="P362" s="155"/>
      <c r="Q362" s="155"/>
      <c r="R362" s="155"/>
      <c r="S362" s="156"/>
      <c r="T362" s="156"/>
      <c r="U362" s="156"/>
      <c r="V362" s="156"/>
      <c r="W362" s="156"/>
      <c r="X362" s="157"/>
      <c r="Y362" s="157"/>
      <c r="Z362" s="157"/>
      <c r="AA362" s="157"/>
      <c r="AB362" s="157"/>
      <c r="AC362" s="1"/>
      <c r="AD362" s="1"/>
    </row>
    <row r="363" ht="12.75" customHeight="1">
      <c r="A363" s="1"/>
      <c r="B363" s="146"/>
      <c r="C363" s="150"/>
      <c r="D363" s="151"/>
      <c r="E363" s="24"/>
      <c r="F363" s="24"/>
      <c r="G363" s="24"/>
      <c r="H363" s="152"/>
      <c r="I363" s="152"/>
      <c r="J363" s="153"/>
      <c r="K363" s="153"/>
      <c r="L363" s="154"/>
      <c r="M363" s="154"/>
      <c r="N363" s="155"/>
      <c r="O363" s="155"/>
      <c r="P363" s="155"/>
      <c r="Q363" s="155"/>
      <c r="R363" s="155"/>
      <c r="S363" s="156"/>
      <c r="T363" s="156"/>
      <c r="U363" s="156"/>
      <c r="V363" s="156"/>
      <c r="W363" s="156"/>
      <c r="X363" s="157"/>
      <c r="Y363" s="157"/>
      <c r="Z363" s="157"/>
      <c r="AA363" s="157"/>
      <c r="AB363" s="157"/>
      <c r="AC363" s="1"/>
      <c r="AD363" s="1"/>
    </row>
    <row r="364" ht="12.75" customHeight="1">
      <c r="A364" s="1"/>
      <c r="B364" s="146"/>
      <c r="C364" s="150"/>
      <c r="D364" s="151"/>
      <c r="E364" s="24"/>
      <c r="F364" s="24"/>
      <c r="G364" s="24"/>
      <c r="H364" s="152"/>
      <c r="I364" s="152"/>
      <c r="J364" s="153"/>
      <c r="K364" s="153"/>
      <c r="L364" s="154"/>
      <c r="M364" s="154"/>
      <c r="N364" s="155"/>
      <c r="O364" s="155"/>
      <c r="P364" s="155"/>
      <c r="Q364" s="155"/>
      <c r="R364" s="155"/>
      <c r="S364" s="156"/>
      <c r="T364" s="156"/>
      <c r="U364" s="156"/>
      <c r="V364" s="156"/>
      <c r="W364" s="156"/>
      <c r="X364" s="157"/>
      <c r="Y364" s="157"/>
      <c r="Z364" s="157"/>
      <c r="AA364" s="157"/>
      <c r="AB364" s="157"/>
      <c r="AC364" s="1"/>
      <c r="AD364" s="1"/>
    </row>
    <row r="365" ht="12.75" customHeight="1">
      <c r="A365" s="1"/>
      <c r="B365" s="146"/>
      <c r="C365" s="150"/>
      <c r="D365" s="151"/>
      <c r="E365" s="24"/>
      <c r="F365" s="24"/>
      <c r="G365" s="24"/>
      <c r="H365" s="152"/>
      <c r="I365" s="152"/>
      <c r="J365" s="153"/>
      <c r="K365" s="153"/>
      <c r="L365" s="154"/>
      <c r="M365" s="154"/>
      <c r="N365" s="155"/>
      <c r="O365" s="155"/>
      <c r="P365" s="155"/>
      <c r="Q365" s="155"/>
      <c r="R365" s="155"/>
      <c r="S365" s="156"/>
      <c r="T365" s="156"/>
      <c r="U365" s="156"/>
      <c r="V365" s="156"/>
      <c r="W365" s="156"/>
      <c r="X365" s="157"/>
      <c r="Y365" s="157"/>
      <c r="Z365" s="157"/>
      <c r="AA365" s="157"/>
      <c r="AB365" s="157"/>
      <c r="AC365" s="1"/>
      <c r="AD365" s="1"/>
    </row>
    <row r="366" ht="12.75" customHeight="1">
      <c r="A366" s="1"/>
      <c r="B366" s="146"/>
      <c r="C366" s="150"/>
      <c r="D366" s="151"/>
      <c r="E366" s="24"/>
      <c r="F366" s="24"/>
      <c r="G366" s="24"/>
      <c r="H366" s="152"/>
      <c r="I366" s="152"/>
      <c r="J366" s="153"/>
      <c r="K366" s="153"/>
      <c r="L366" s="154"/>
      <c r="M366" s="154"/>
      <c r="N366" s="155"/>
      <c r="O366" s="155"/>
      <c r="P366" s="155"/>
      <c r="Q366" s="155"/>
      <c r="R366" s="155"/>
      <c r="S366" s="156"/>
      <c r="T366" s="156"/>
      <c r="U366" s="156"/>
      <c r="V366" s="156"/>
      <c r="W366" s="156"/>
      <c r="X366" s="157"/>
      <c r="Y366" s="157"/>
      <c r="Z366" s="157"/>
      <c r="AA366" s="157"/>
      <c r="AB366" s="157"/>
      <c r="AC366" s="1"/>
      <c r="AD366" s="1"/>
    </row>
    <row r="367" ht="12.75" customHeight="1">
      <c r="A367" s="1"/>
      <c r="B367" s="146"/>
      <c r="C367" s="150"/>
      <c r="D367" s="151"/>
      <c r="E367" s="24"/>
      <c r="F367" s="24"/>
      <c r="G367" s="24"/>
      <c r="H367" s="152"/>
      <c r="I367" s="152"/>
      <c r="J367" s="153"/>
      <c r="K367" s="153"/>
      <c r="L367" s="154"/>
      <c r="M367" s="154"/>
      <c r="N367" s="155"/>
      <c r="O367" s="155"/>
      <c r="P367" s="155"/>
      <c r="Q367" s="155"/>
      <c r="R367" s="155"/>
      <c r="S367" s="156"/>
      <c r="T367" s="156"/>
      <c r="U367" s="156"/>
      <c r="V367" s="156"/>
      <c r="W367" s="156"/>
      <c r="X367" s="157"/>
      <c r="Y367" s="157"/>
      <c r="Z367" s="157"/>
      <c r="AA367" s="157"/>
      <c r="AB367" s="157"/>
      <c r="AC367" s="1"/>
      <c r="AD367" s="1"/>
    </row>
    <row r="368" ht="12.75" customHeight="1">
      <c r="A368" s="1"/>
      <c r="B368" s="146"/>
      <c r="C368" s="150"/>
      <c r="D368" s="151"/>
      <c r="E368" s="24"/>
      <c r="F368" s="24"/>
      <c r="G368" s="24"/>
      <c r="H368" s="152"/>
      <c r="I368" s="152"/>
      <c r="J368" s="153"/>
      <c r="K368" s="153"/>
      <c r="L368" s="154"/>
      <c r="M368" s="154"/>
      <c r="N368" s="155"/>
      <c r="O368" s="155"/>
      <c r="P368" s="155"/>
      <c r="Q368" s="155"/>
      <c r="R368" s="155"/>
      <c r="S368" s="156"/>
      <c r="T368" s="156"/>
      <c r="U368" s="156"/>
      <c r="V368" s="156"/>
      <c r="W368" s="156"/>
      <c r="X368" s="157"/>
      <c r="Y368" s="157"/>
      <c r="Z368" s="157"/>
      <c r="AA368" s="157"/>
      <c r="AB368" s="157"/>
      <c r="AC368" s="1"/>
      <c r="AD368" s="1"/>
    </row>
    <row r="369" ht="12.75" customHeight="1">
      <c r="A369" s="1"/>
      <c r="B369" s="146"/>
      <c r="C369" s="150"/>
      <c r="D369" s="151"/>
      <c r="E369" s="24"/>
      <c r="F369" s="24"/>
      <c r="G369" s="24"/>
      <c r="H369" s="152"/>
      <c r="I369" s="152"/>
      <c r="J369" s="153"/>
      <c r="K369" s="153"/>
      <c r="L369" s="154"/>
      <c r="M369" s="154"/>
      <c r="N369" s="155"/>
      <c r="O369" s="155"/>
      <c r="P369" s="155"/>
      <c r="Q369" s="155"/>
      <c r="R369" s="155"/>
      <c r="S369" s="156"/>
      <c r="T369" s="156"/>
      <c r="U369" s="156"/>
      <c r="V369" s="156"/>
      <c r="W369" s="156"/>
      <c r="X369" s="157"/>
      <c r="Y369" s="157"/>
      <c r="Z369" s="157"/>
      <c r="AA369" s="157"/>
      <c r="AB369" s="157"/>
      <c r="AC369" s="1"/>
      <c r="AD369" s="1"/>
    </row>
    <row r="370" ht="12.75" customHeight="1">
      <c r="A370" s="1"/>
      <c r="B370" s="146"/>
      <c r="C370" s="150"/>
      <c r="D370" s="151"/>
      <c r="E370" s="24"/>
      <c r="F370" s="24"/>
      <c r="G370" s="24"/>
      <c r="H370" s="152"/>
      <c r="I370" s="152"/>
      <c r="J370" s="153"/>
      <c r="K370" s="153"/>
      <c r="L370" s="154"/>
      <c r="M370" s="154"/>
      <c r="N370" s="155"/>
      <c r="O370" s="155"/>
      <c r="P370" s="155"/>
      <c r="Q370" s="155"/>
      <c r="R370" s="155"/>
      <c r="S370" s="156"/>
      <c r="T370" s="156"/>
      <c r="U370" s="156"/>
      <c r="V370" s="156"/>
      <c r="W370" s="156"/>
      <c r="X370" s="157"/>
      <c r="Y370" s="157"/>
      <c r="Z370" s="157"/>
      <c r="AA370" s="157"/>
      <c r="AB370" s="157"/>
      <c r="AC370" s="1"/>
      <c r="AD370" s="1"/>
    </row>
    <row r="371" ht="12.75" customHeight="1">
      <c r="A371" s="1"/>
      <c r="B371" s="146"/>
      <c r="C371" s="150"/>
      <c r="D371" s="151"/>
      <c r="E371" s="24"/>
      <c r="F371" s="24"/>
      <c r="G371" s="24"/>
      <c r="H371" s="152"/>
      <c r="I371" s="152"/>
      <c r="J371" s="153"/>
      <c r="K371" s="153"/>
      <c r="L371" s="154"/>
      <c r="M371" s="154"/>
      <c r="N371" s="155"/>
      <c r="O371" s="155"/>
      <c r="P371" s="155"/>
      <c r="Q371" s="155"/>
      <c r="R371" s="155"/>
      <c r="S371" s="156"/>
      <c r="T371" s="156"/>
      <c r="U371" s="156"/>
      <c r="V371" s="156"/>
      <c r="W371" s="156"/>
      <c r="X371" s="157"/>
      <c r="Y371" s="157"/>
      <c r="Z371" s="157"/>
      <c r="AA371" s="157"/>
      <c r="AB371" s="157"/>
      <c r="AC371" s="1"/>
      <c r="AD371" s="1"/>
    </row>
    <row r="372" ht="12.75" customHeight="1">
      <c r="A372" s="1"/>
      <c r="B372" s="146"/>
      <c r="C372" s="150"/>
      <c r="D372" s="151"/>
      <c r="E372" s="24"/>
      <c r="F372" s="24"/>
      <c r="G372" s="24"/>
      <c r="H372" s="152"/>
      <c r="I372" s="152"/>
      <c r="J372" s="153"/>
      <c r="K372" s="153"/>
      <c r="L372" s="154"/>
      <c r="M372" s="154"/>
      <c r="N372" s="155"/>
      <c r="O372" s="155"/>
      <c r="P372" s="155"/>
      <c r="Q372" s="155"/>
      <c r="R372" s="155"/>
      <c r="S372" s="156"/>
      <c r="T372" s="156"/>
      <c r="U372" s="156"/>
      <c r="V372" s="156"/>
      <c r="W372" s="156"/>
      <c r="X372" s="157"/>
      <c r="Y372" s="157"/>
      <c r="Z372" s="157"/>
      <c r="AA372" s="157"/>
      <c r="AB372" s="157"/>
      <c r="AC372" s="1"/>
      <c r="AD372" s="1"/>
    </row>
    <row r="373" ht="12.75" customHeight="1">
      <c r="A373" s="1"/>
      <c r="B373" s="146"/>
      <c r="C373" s="150"/>
      <c r="D373" s="151"/>
      <c r="E373" s="24"/>
      <c r="F373" s="24"/>
      <c r="G373" s="24"/>
      <c r="H373" s="152"/>
      <c r="I373" s="152"/>
      <c r="J373" s="153"/>
      <c r="K373" s="153"/>
      <c r="L373" s="154"/>
      <c r="M373" s="154"/>
      <c r="N373" s="155"/>
      <c r="O373" s="155"/>
      <c r="P373" s="155"/>
      <c r="Q373" s="155"/>
      <c r="R373" s="155"/>
      <c r="S373" s="156"/>
      <c r="T373" s="156"/>
      <c r="U373" s="156"/>
      <c r="V373" s="156"/>
      <c r="W373" s="156"/>
      <c r="X373" s="157"/>
      <c r="Y373" s="157"/>
      <c r="Z373" s="157"/>
      <c r="AA373" s="157"/>
      <c r="AB373" s="157"/>
      <c r="AC373" s="1"/>
      <c r="AD373" s="1"/>
    </row>
    <row r="374" ht="12.75" customHeight="1">
      <c r="A374" s="1"/>
      <c r="B374" s="146"/>
      <c r="C374" s="150"/>
      <c r="D374" s="151"/>
      <c r="E374" s="24"/>
      <c r="F374" s="24"/>
      <c r="G374" s="24"/>
      <c r="H374" s="152"/>
      <c r="I374" s="152"/>
      <c r="J374" s="153"/>
      <c r="K374" s="153"/>
      <c r="L374" s="154"/>
      <c r="M374" s="154"/>
      <c r="N374" s="155"/>
      <c r="O374" s="155"/>
      <c r="P374" s="155"/>
      <c r="Q374" s="155"/>
      <c r="R374" s="155"/>
      <c r="S374" s="156"/>
      <c r="T374" s="156"/>
      <c r="U374" s="156"/>
      <c r="V374" s="156"/>
      <c r="W374" s="156"/>
      <c r="X374" s="157"/>
      <c r="Y374" s="157"/>
      <c r="Z374" s="157"/>
      <c r="AA374" s="157"/>
      <c r="AB374" s="157"/>
      <c r="AC374" s="1"/>
      <c r="AD374" s="1"/>
    </row>
    <row r="375" ht="12.75" customHeight="1">
      <c r="A375" s="1"/>
      <c r="B375" s="146"/>
      <c r="C375" s="150"/>
      <c r="D375" s="151"/>
      <c r="E375" s="24"/>
      <c r="F375" s="24"/>
      <c r="G375" s="24"/>
      <c r="H375" s="152"/>
      <c r="I375" s="152"/>
      <c r="J375" s="153"/>
      <c r="K375" s="153"/>
      <c r="L375" s="154"/>
      <c r="M375" s="154"/>
      <c r="N375" s="155"/>
      <c r="O375" s="155"/>
      <c r="P375" s="155"/>
      <c r="Q375" s="155"/>
      <c r="R375" s="155"/>
      <c r="S375" s="156"/>
      <c r="T375" s="156"/>
      <c r="U375" s="156"/>
      <c r="V375" s="156"/>
      <c r="W375" s="156"/>
      <c r="X375" s="157"/>
      <c r="Y375" s="157"/>
      <c r="Z375" s="157"/>
      <c r="AA375" s="157"/>
      <c r="AB375" s="157"/>
      <c r="AC375" s="1"/>
      <c r="AD375" s="1"/>
    </row>
    <row r="376" ht="12.75" customHeight="1">
      <c r="A376" s="1"/>
      <c r="B376" s="146"/>
      <c r="C376" s="150"/>
      <c r="D376" s="151"/>
      <c r="E376" s="24"/>
      <c r="F376" s="24"/>
      <c r="G376" s="24"/>
      <c r="H376" s="152"/>
      <c r="I376" s="152"/>
      <c r="J376" s="153"/>
      <c r="K376" s="153"/>
      <c r="L376" s="154"/>
      <c r="M376" s="154"/>
      <c r="N376" s="155"/>
      <c r="O376" s="155"/>
      <c r="P376" s="155"/>
      <c r="Q376" s="155"/>
      <c r="R376" s="155"/>
      <c r="S376" s="156"/>
      <c r="T376" s="156"/>
      <c r="U376" s="156"/>
      <c r="V376" s="156"/>
      <c r="W376" s="156"/>
      <c r="X376" s="157"/>
      <c r="Y376" s="157"/>
      <c r="Z376" s="157"/>
      <c r="AA376" s="157"/>
      <c r="AB376" s="157"/>
      <c r="AC376" s="1"/>
      <c r="AD376" s="1"/>
    </row>
    <row r="377" ht="12.75" customHeight="1">
      <c r="A377" s="1"/>
      <c r="B377" s="146"/>
      <c r="C377" s="150"/>
      <c r="D377" s="151"/>
      <c r="E377" s="24"/>
      <c r="F377" s="24"/>
      <c r="G377" s="24"/>
      <c r="H377" s="152"/>
      <c r="I377" s="152"/>
      <c r="J377" s="153"/>
      <c r="K377" s="153"/>
      <c r="L377" s="154"/>
      <c r="M377" s="154"/>
      <c r="N377" s="155"/>
      <c r="O377" s="155"/>
      <c r="P377" s="155"/>
      <c r="Q377" s="155"/>
      <c r="R377" s="155"/>
      <c r="S377" s="156"/>
      <c r="T377" s="156"/>
      <c r="U377" s="156"/>
      <c r="V377" s="156"/>
      <c r="W377" s="156"/>
      <c r="X377" s="157"/>
      <c r="Y377" s="157"/>
      <c r="Z377" s="157"/>
      <c r="AA377" s="157"/>
      <c r="AB377" s="157"/>
      <c r="AC377" s="1"/>
      <c r="AD377" s="1"/>
    </row>
    <row r="378" ht="12.75" customHeight="1">
      <c r="A378" s="1"/>
      <c r="B378" s="146"/>
      <c r="C378" s="150"/>
      <c r="D378" s="151"/>
      <c r="E378" s="24"/>
      <c r="F378" s="24"/>
      <c r="G378" s="24"/>
      <c r="H378" s="152"/>
      <c r="I378" s="152"/>
      <c r="J378" s="153"/>
      <c r="K378" s="153"/>
      <c r="L378" s="154"/>
      <c r="M378" s="154"/>
      <c r="N378" s="155"/>
      <c r="O378" s="155"/>
      <c r="P378" s="155"/>
      <c r="Q378" s="155"/>
      <c r="R378" s="155"/>
      <c r="S378" s="156"/>
      <c r="T378" s="156"/>
      <c r="U378" s="156"/>
      <c r="V378" s="156"/>
      <c r="W378" s="156"/>
      <c r="X378" s="157"/>
      <c r="Y378" s="157"/>
      <c r="Z378" s="157"/>
      <c r="AA378" s="157"/>
      <c r="AB378" s="157"/>
      <c r="AC378" s="1"/>
      <c r="AD378" s="1"/>
    </row>
    <row r="379" ht="12.75" customHeight="1">
      <c r="A379" s="1"/>
      <c r="B379" s="146"/>
      <c r="C379" s="150"/>
      <c r="D379" s="151"/>
      <c r="E379" s="24"/>
      <c r="F379" s="24"/>
      <c r="G379" s="24"/>
      <c r="H379" s="152"/>
      <c r="I379" s="152"/>
      <c r="J379" s="153"/>
      <c r="K379" s="153"/>
      <c r="L379" s="154"/>
      <c r="M379" s="154"/>
      <c r="N379" s="155"/>
      <c r="O379" s="155"/>
      <c r="P379" s="155"/>
      <c r="Q379" s="155"/>
      <c r="R379" s="155"/>
      <c r="S379" s="156"/>
      <c r="T379" s="156"/>
      <c r="U379" s="156"/>
      <c r="V379" s="156"/>
      <c r="W379" s="156"/>
      <c r="X379" s="157"/>
      <c r="Y379" s="157"/>
      <c r="Z379" s="157"/>
      <c r="AA379" s="157"/>
      <c r="AB379" s="157"/>
      <c r="AC379" s="1"/>
      <c r="AD379" s="1"/>
    </row>
    <row r="380" ht="12.75" customHeight="1">
      <c r="A380" s="1"/>
      <c r="B380" s="146"/>
      <c r="C380" s="150"/>
      <c r="D380" s="151"/>
      <c r="E380" s="24"/>
      <c r="F380" s="24"/>
      <c r="G380" s="24"/>
      <c r="H380" s="152"/>
      <c r="I380" s="152"/>
      <c r="J380" s="153"/>
      <c r="K380" s="153"/>
      <c r="L380" s="154"/>
      <c r="M380" s="154"/>
      <c r="N380" s="155"/>
      <c r="O380" s="155"/>
      <c r="P380" s="155"/>
      <c r="Q380" s="155"/>
      <c r="R380" s="155"/>
      <c r="S380" s="156"/>
      <c r="T380" s="156"/>
      <c r="U380" s="156"/>
      <c r="V380" s="156"/>
      <c r="W380" s="156"/>
      <c r="X380" s="157"/>
      <c r="Y380" s="157"/>
      <c r="Z380" s="157"/>
      <c r="AA380" s="157"/>
      <c r="AB380" s="157"/>
      <c r="AC380" s="1"/>
      <c r="AD380" s="1"/>
    </row>
    <row r="381" ht="12.75" customHeight="1">
      <c r="A381" s="1"/>
      <c r="B381" s="146"/>
      <c r="C381" s="150"/>
      <c r="D381" s="151"/>
      <c r="E381" s="24"/>
      <c r="F381" s="24"/>
      <c r="G381" s="24"/>
      <c r="H381" s="152"/>
      <c r="I381" s="152"/>
      <c r="J381" s="153"/>
      <c r="K381" s="153"/>
      <c r="L381" s="154"/>
      <c r="M381" s="154"/>
      <c r="N381" s="155"/>
      <c r="O381" s="155"/>
      <c r="P381" s="155"/>
      <c r="Q381" s="155"/>
      <c r="R381" s="155"/>
      <c r="S381" s="156"/>
      <c r="T381" s="156"/>
      <c r="U381" s="156"/>
      <c r="V381" s="156"/>
      <c r="W381" s="156"/>
      <c r="X381" s="157"/>
      <c r="Y381" s="157"/>
      <c r="Z381" s="157"/>
      <c r="AA381" s="157"/>
      <c r="AB381" s="157"/>
      <c r="AC381" s="1"/>
      <c r="AD381" s="1"/>
    </row>
    <row r="382" ht="12.75" customHeight="1">
      <c r="A382" s="1"/>
      <c r="B382" s="146"/>
      <c r="C382" s="150"/>
      <c r="D382" s="151"/>
      <c r="E382" s="24"/>
      <c r="F382" s="24"/>
      <c r="G382" s="24"/>
      <c r="H382" s="152"/>
      <c r="I382" s="152"/>
      <c r="J382" s="153"/>
      <c r="K382" s="153"/>
      <c r="L382" s="154"/>
      <c r="M382" s="154"/>
      <c r="N382" s="155"/>
      <c r="O382" s="155"/>
      <c r="P382" s="155"/>
      <c r="Q382" s="155"/>
      <c r="R382" s="155"/>
      <c r="S382" s="156"/>
      <c r="T382" s="156"/>
      <c r="U382" s="156"/>
      <c r="V382" s="156"/>
      <c r="W382" s="156"/>
      <c r="X382" s="157"/>
      <c r="Y382" s="157"/>
      <c r="Z382" s="157"/>
      <c r="AA382" s="157"/>
      <c r="AB382" s="157"/>
      <c r="AC382" s="1"/>
      <c r="AD382" s="1"/>
    </row>
    <row r="383" ht="12.75" customHeight="1">
      <c r="A383" s="1"/>
      <c r="B383" s="146"/>
      <c r="C383" s="150"/>
      <c r="D383" s="151"/>
      <c r="E383" s="24"/>
      <c r="F383" s="24"/>
      <c r="G383" s="24"/>
      <c r="H383" s="152"/>
      <c r="I383" s="152"/>
      <c r="J383" s="153"/>
      <c r="K383" s="153"/>
      <c r="L383" s="154"/>
      <c r="M383" s="154"/>
      <c r="N383" s="155"/>
      <c r="O383" s="155"/>
      <c r="P383" s="155"/>
      <c r="Q383" s="155"/>
      <c r="R383" s="155"/>
      <c r="S383" s="156"/>
      <c r="T383" s="156"/>
      <c r="U383" s="156"/>
      <c r="V383" s="156"/>
      <c r="W383" s="156"/>
      <c r="X383" s="157"/>
      <c r="Y383" s="157"/>
      <c r="Z383" s="157"/>
      <c r="AA383" s="157"/>
      <c r="AB383" s="157"/>
      <c r="AC383" s="1"/>
      <c r="AD383" s="1"/>
    </row>
    <row r="384" ht="12.75" customHeight="1">
      <c r="A384" s="1"/>
      <c r="B384" s="146"/>
      <c r="C384" s="150"/>
      <c r="D384" s="151"/>
      <c r="E384" s="24"/>
      <c r="F384" s="24"/>
      <c r="G384" s="24"/>
      <c r="H384" s="152"/>
      <c r="I384" s="152"/>
      <c r="J384" s="153"/>
      <c r="K384" s="153"/>
      <c r="L384" s="154"/>
      <c r="M384" s="154"/>
      <c r="N384" s="155"/>
      <c r="O384" s="155"/>
      <c r="P384" s="155"/>
      <c r="Q384" s="155"/>
      <c r="R384" s="155"/>
      <c r="S384" s="156"/>
      <c r="T384" s="156"/>
      <c r="U384" s="156"/>
      <c r="V384" s="156"/>
      <c r="W384" s="156"/>
      <c r="X384" s="157"/>
      <c r="Y384" s="157"/>
      <c r="Z384" s="157"/>
      <c r="AA384" s="157"/>
      <c r="AB384" s="157"/>
      <c r="AC384" s="1"/>
      <c r="AD384" s="1"/>
    </row>
    <row r="385" ht="12.75" customHeight="1">
      <c r="A385" s="1"/>
      <c r="B385" s="146"/>
      <c r="C385" s="150"/>
      <c r="D385" s="151"/>
      <c r="E385" s="24"/>
      <c r="F385" s="24"/>
      <c r="G385" s="24"/>
      <c r="H385" s="152"/>
      <c r="I385" s="152"/>
      <c r="J385" s="153"/>
      <c r="K385" s="153"/>
      <c r="L385" s="154"/>
      <c r="M385" s="154"/>
      <c r="N385" s="155"/>
      <c r="O385" s="155"/>
      <c r="P385" s="155"/>
      <c r="Q385" s="155"/>
      <c r="R385" s="155"/>
      <c r="S385" s="156"/>
      <c r="T385" s="156"/>
      <c r="U385" s="156"/>
      <c r="V385" s="156"/>
      <c r="W385" s="156"/>
      <c r="X385" s="157"/>
      <c r="Y385" s="157"/>
      <c r="Z385" s="157"/>
      <c r="AA385" s="157"/>
      <c r="AB385" s="157"/>
      <c r="AC385" s="1"/>
      <c r="AD385" s="1"/>
    </row>
    <row r="386" ht="12.75" customHeight="1">
      <c r="A386" s="1"/>
      <c r="B386" s="146"/>
      <c r="C386" s="150"/>
      <c r="D386" s="151"/>
      <c r="E386" s="24"/>
      <c r="F386" s="24"/>
      <c r="G386" s="24"/>
      <c r="H386" s="152"/>
      <c r="I386" s="152"/>
      <c r="J386" s="153"/>
      <c r="K386" s="153"/>
      <c r="L386" s="154"/>
      <c r="M386" s="154"/>
      <c r="N386" s="155"/>
      <c r="O386" s="155"/>
      <c r="P386" s="155"/>
      <c r="Q386" s="155"/>
      <c r="R386" s="155"/>
      <c r="S386" s="156"/>
      <c r="T386" s="156"/>
      <c r="U386" s="156"/>
      <c r="V386" s="156"/>
      <c r="W386" s="156"/>
      <c r="X386" s="157"/>
      <c r="Y386" s="157"/>
      <c r="Z386" s="157"/>
      <c r="AA386" s="157"/>
      <c r="AB386" s="157"/>
      <c r="AC386" s="1"/>
      <c r="AD386" s="1"/>
    </row>
    <row r="387" ht="12.75" customHeight="1">
      <c r="A387" s="1"/>
      <c r="B387" s="146"/>
      <c r="C387" s="150"/>
      <c r="D387" s="151"/>
      <c r="E387" s="24"/>
      <c r="F387" s="24"/>
      <c r="G387" s="24"/>
      <c r="H387" s="152"/>
      <c r="I387" s="152"/>
      <c r="J387" s="153"/>
      <c r="K387" s="153"/>
      <c r="L387" s="154"/>
      <c r="M387" s="154"/>
      <c r="N387" s="155"/>
      <c r="O387" s="155"/>
      <c r="P387" s="155"/>
      <c r="Q387" s="155"/>
      <c r="R387" s="155"/>
      <c r="S387" s="156"/>
      <c r="T387" s="156"/>
      <c r="U387" s="156"/>
      <c r="V387" s="156"/>
      <c r="W387" s="156"/>
      <c r="X387" s="157"/>
      <c r="Y387" s="157"/>
      <c r="Z387" s="157"/>
      <c r="AA387" s="157"/>
      <c r="AB387" s="157"/>
      <c r="AC387" s="1"/>
      <c r="AD387" s="1"/>
    </row>
    <row r="388" ht="12.75" customHeight="1">
      <c r="A388" s="1"/>
      <c r="B388" s="146"/>
      <c r="C388" s="150"/>
      <c r="D388" s="151"/>
      <c r="E388" s="24"/>
      <c r="F388" s="24"/>
      <c r="G388" s="24"/>
      <c r="H388" s="152"/>
      <c r="I388" s="152"/>
      <c r="J388" s="153"/>
      <c r="K388" s="153"/>
      <c r="L388" s="154"/>
      <c r="M388" s="154"/>
      <c r="N388" s="155"/>
      <c r="O388" s="155"/>
      <c r="P388" s="155"/>
      <c r="Q388" s="155"/>
      <c r="R388" s="155"/>
      <c r="S388" s="156"/>
      <c r="T388" s="156"/>
      <c r="U388" s="156"/>
      <c r="V388" s="156"/>
      <c r="W388" s="156"/>
      <c r="X388" s="157"/>
      <c r="Y388" s="157"/>
      <c r="Z388" s="157"/>
      <c r="AA388" s="157"/>
      <c r="AB388" s="157"/>
      <c r="AC388" s="1"/>
      <c r="AD388" s="1"/>
    </row>
    <row r="389" ht="12.75" customHeight="1">
      <c r="A389" s="1"/>
      <c r="B389" s="146"/>
      <c r="C389" s="150"/>
      <c r="D389" s="151"/>
      <c r="E389" s="24"/>
      <c r="F389" s="24"/>
      <c r="G389" s="24"/>
      <c r="H389" s="152"/>
      <c r="I389" s="152"/>
      <c r="J389" s="153"/>
      <c r="K389" s="153"/>
      <c r="L389" s="154"/>
      <c r="M389" s="154"/>
      <c r="N389" s="155"/>
      <c r="O389" s="155"/>
      <c r="P389" s="155"/>
      <c r="Q389" s="155"/>
      <c r="R389" s="155"/>
      <c r="S389" s="156"/>
      <c r="T389" s="156"/>
      <c r="U389" s="156"/>
      <c r="V389" s="156"/>
      <c r="W389" s="156"/>
      <c r="X389" s="157"/>
      <c r="Y389" s="157"/>
      <c r="Z389" s="157"/>
      <c r="AA389" s="157"/>
      <c r="AB389" s="157"/>
      <c r="AC389" s="1"/>
      <c r="AD389" s="1"/>
    </row>
    <row r="390" ht="12.75" customHeight="1">
      <c r="A390" s="1"/>
      <c r="B390" s="146"/>
      <c r="C390" s="150"/>
      <c r="D390" s="151"/>
      <c r="E390" s="24"/>
      <c r="F390" s="24"/>
      <c r="G390" s="24"/>
      <c r="H390" s="152"/>
      <c r="I390" s="152"/>
      <c r="J390" s="153"/>
      <c r="K390" s="153"/>
      <c r="L390" s="154"/>
      <c r="M390" s="154"/>
      <c r="N390" s="155"/>
      <c r="O390" s="155"/>
      <c r="P390" s="155"/>
      <c r="Q390" s="155"/>
      <c r="R390" s="155"/>
      <c r="S390" s="156"/>
      <c r="T390" s="156"/>
      <c r="U390" s="156"/>
      <c r="V390" s="156"/>
      <c r="W390" s="156"/>
      <c r="X390" s="157"/>
      <c r="Y390" s="157"/>
      <c r="Z390" s="157"/>
      <c r="AA390" s="157"/>
      <c r="AB390" s="157"/>
      <c r="AC390" s="1"/>
      <c r="AD390" s="1"/>
    </row>
    <row r="391" ht="12.75" customHeight="1">
      <c r="A391" s="1"/>
      <c r="B391" s="146"/>
      <c r="C391" s="150"/>
      <c r="D391" s="151"/>
      <c r="E391" s="24"/>
      <c r="F391" s="24"/>
      <c r="G391" s="24"/>
      <c r="H391" s="152"/>
      <c r="I391" s="152"/>
      <c r="J391" s="153"/>
      <c r="K391" s="153"/>
      <c r="L391" s="154"/>
      <c r="M391" s="154"/>
      <c r="N391" s="155"/>
      <c r="O391" s="155"/>
      <c r="P391" s="155"/>
      <c r="Q391" s="155"/>
      <c r="R391" s="155"/>
      <c r="S391" s="156"/>
      <c r="T391" s="156"/>
      <c r="U391" s="156"/>
      <c r="V391" s="156"/>
      <c r="W391" s="156"/>
      <c r="X391" s="157"/>
      <c r="Y391" s="157"/>
      <c r="Z391" s="157"/>
      <c r="AA391" s="157"/>
      <c r="AB391" s="157"/>
      <c r="AC391" s="1"/>
      <c r="AD391" s="1"/>
    </row>
    <row r="392" ht="12.75" customHeight="1">
      <c r="A392" s="1"/>
      <c r="B392" s="146"/>
      <c r="C392" s="150"/>
      <c r="D392" s="151"/>
      <c r="E392" s="24"/>
      <c r="F392" s="24"/>
      <c r="G392" s="24"/>
      <c r="H392" s="152"/>
      <c r="I392" s="152"/>
      <c r="J392" s="153"/>
      <c r="K392" s="153"/>
      <c r="L392" s="154"/>
      <c r="M392" s="154"/>
      <c r="N392" s="155"/>
      <c r="O392" s="155"/>
      <c r="P392" s="155"/>
      <c r="Q392" s="155"/>
      <c r="R392" s="155"/>
      <c r="S392" s="156"/>
      <c r="T392" s="156"/>
      <c r="U392" s="156"/>
      <c r="V392" s="156"/>
      <c r="W392" s="156"/>
      <c r="X392" s="157"/>
      <c r="Y392" s="157"/>
      <c r="Z392" s="157"/>
      <c r="AA392" s="157"/>
      <c r="AB392" s="157"/>
      <c r="AC392" s="1"/>
      <c r="AD392" s="1"/>
    </row>
    <row r="393" ht="12.75" customHeight="1">
      <c r="A393" s="1"/>
      <c r="B393" s="146"/>
      <c r="C393" s="150"/>
      <c r="D393" s="151"/>
      <c r="E393" s="24"/>
      <c r="F393" s="24"/>
      <c r="G393" s="24"/>
      <c r="H393" s="152"/>
      <c r="I393" s="152"/>
      <c r="J393" s="153"/>
      <c r="K393" s="153"/>
      <c r="L393" s="154"/>
      <c r="M393" s="154"/>
      <c r="N393" s="155"/>
      <c r="O393" s="155"/>
      <c r="P393" s="155"/>
      <c r="Q393" s="155"/>
      <c r="R393" s="155"/>
      <c r="S393" s="156"/>
      <c r="T393" s="156"/>
      <c r="U393" s="156"/>
      <c r="V393" s="156"/>
      <c r="W393" s="156"/>
      <c r="X393" s="157"/>
      <c r="Y393" s="157"/>
      <c r="Z393" s="157"/>
      <c r="AA393" s="157"/>
      <c r="AB393" s="157"/>
      <c r="AC393" s="1"/>
      <c r="AD393" s="1"/>
    </row>
    <row r="394" ht="12.75" customHeight="1">
      <c r="A394" s="1"/>
      <c r="B394" s="146"/>
      <c r="C394" s="150"/>
      <c r="D394" s="151"/>
      <c r="E394" s="24"/>
      <c r="F394" s="24"/>
      <c r="G394" s="24"/>
      <c r="H394" s="152"/>
      <c r="I394" s="152"/>
      <c r="J394" s="153"/>
      <c r="K394" s="153"/>
      <c r="L394" s="154"/>
      <c r="M394" s="154"/>
      <c r="N394" s="155"/>
      <c r="O394" s="155"/>
      <c r="P394" s="155"/>
      <c r="Q394" s="155"/>
      <c r="R394" s="155"/>
      <c r="S394" s="156"/>
      <c r="T394" s="156"/>
      <c r="U394" s="156"/>
      <c r="V394" s="156"/>
      <c r="W394" s="156"/>
      <c r="X394" s="157"/>
      <c r="Y394" s="157"/>
      <c r="Z394" s="157"/>
      <c r="AA394" s="157"/>
      <c r="AB394" s="157"/>
      <c r="AC394" s="1"/>
      <c r="AD394" s="1"/>
    </row>
    <row r="395" ht="12.75" customHeight="1">
      <c r="A395" s="1"/>
      <c r="B395" s="146"/>
      <c r="C395" s="150"/>
      <c r="D395" s="151"/>
      <c r="E395" s="24"/>
      <c r="F395" s="24"/>
      <c r="G395" s="24"/>
      <c r="H395" s="152"/>
      <c r="I395" s="152"/>
      <c r="J395" s="153"/>
      <c r="K395" s="153"/>
      <c r="L395" s="154"/>
      <c r="M395" s="154"/>
      <c r="N395" s="155"/>
      <c r="O395" s="155"/>
      <c r="P395" s="155"/>
      <c r="Q395" s="155"/>
      <c r="R395" s="155"/>
      <c r="S395" s="156"/>
      <c r="T395" s="156"/>
      <c r="U395" s="156"/>
      <c r="V395" s="156"/>
      <c r="W395" s="156"/>
      <c r="X395" s="157"/>
      <c r="Y395" s="157"/>
      <c r="Z395" s="157"/>
      <c r="AA395" s="157"/>
      <c r="AB395" s="157"/>
      <c r="AC395" s="1"/>
      <c r="AD395" s="1"/>
    </row>
    <row r="396" ht="12.75" customHeight="1">
      <c r="A396" s="1"/>
      <c r="B396" s="146"/>
      <c r="C396" s="150"/>
      <c r="D396" s="151"/>
      <c r="E396" s="24"/>
      <c r="F396" s="24"/>
      <c r="G396" s="24"/>
      <c r="H396" s="152"/>
      <c r="I396" s="152"/>
      <c r="J396" s="153"/>
      <c r="K396" s="153"/>
      <c r="L396" s="154"/>
      <c r="M396" s="154"/>
      <c r="N396" s="155"/>
      <c r="O396" s="155"/>
      <c r="P396" s="155"/>
      <c r="Q396" s="155"/>
      <c r="R396" s="155"/>
      <c r="S396" s="156"/>
      <c r="T396" s="156"/>
      <c r="U396" s="156"/>
      <c r="V396" s="156"/>
      <c r="W396" s="156"/>
      <c r="X396" s="157"/>
      <c r="Y396" s="157"/>
      <c r="Z396" s="157"/>
      <c r="AA396" s="157"/>
      <c r="AB396" s="157"/>
      <c r="AC396" s="1"/>
      <c r="AD396" s="1"/>
    </row>
    <row r="397" ht="12.75" customHeight="1">
      <c r="A397" s="1"/>
      <c r="B397" s="146"/>
      <c r="C397" s="150"/>
      <c r="D397" s="151"/>
      <c r="E397" s="24"/>
      <c r="F397" s="24"/>
      <c r="G397" s="24"/>
      <c r="H397" s="152"/>
      <c r="I397" s="152"/>
      <c r="J397" s="153"/>
      <c r="K397" s="153"/>
      <c r="L397" s="154"/>
      <c r="M397" s="154"/>
      <c r="N397" s="155"/>
      <c r="O397" s="155"/>
      <c r="P397" s="155"/>
      <c r="Q397" s="155"/>
      <c r="R397" s="155"/>
      <c r="S397" s="156"/>
      <c r="T397" s="156"/>
      <c r="U397" s="156"/>
      <c r="V397" s="156"/>
      <c r="W397" s="156"/>
      <c r="X397" s="157"/>
      <c r="Y397" s="157"/>
      <c r="Z397" s="157"/>
      <c r="AA397" s="157"/>
      <c r="AB397" s="157"/>
      <c r="AC397" s="1"/>
      <c r="AD397" s="1"/>
    </row>
    <row r="398" ht="12.75" customHeight="1">
      <c r="A398" s="1"/>
      <c r="B398" s="146"/>
      <c r="C398" s="150"/>
      <c r="D398" s="151"/>
      <c r="E398" s="24"/>
      <c r="F398" s="24"/>
      <c r="G398" s="24"/>
      <c r="H398" s="152"/>
      <c r="I398" s="152"/>
      <c r="J398" s="153"/>
      <c r="K398" s="153"/>
      <c r="L398" s="154"/>
      <c r="M398" s="154"/>
      <c r="N398" s="155"/>
      <c r="O398" s="155"/>
      <c r="P398" s="155"/>
      <c r="Q398" s="155"/>
      <c r="R398" s="155"/>
      <c r="S398" s="156"/>
      <c r="T398" s="156"/>
      <c r="U398" s="156"/>
      <c r="V398" s="156"/>
      <c r="W398" s="156"/>
      <c r="X398" s="157"/>
      <c r="Y398" s="157"/>
      <c r="Z398" s="157"/>
      <c r="AA398" s="157"/>
      <c r="AB398" s="157"/>
      <c r="AC398" s="1"/>
      <c r="AD398" s="1"/>
    </row>
    <row r="399" ht="12.75" customHeight="1">
      <c r="A399" s="1"/>
      <c r="B399" s="146"/>
      <c r="C399" s="150"/>
      <c r="D399" s="151"/>
      <c r="E399" s="24"/>
      <c r="F399" s="24"/>
      <c r="G399" s="24"/>
      <c r="H399" s="152"/>
      <c r="I399" s="152"/>
      <c r="J399" s="153"/>
      <c r="K399" s="153"/>
      <c r="L399" s="154"/>
      <c r="M399" s="154"/>
      <c r="N399" s="155"/>
      <c r="O399" s="155"/>
      <c r="P399" s="155"/>
      <c r="Q399" s="155"/>
      <c r="R399" s="155"/>
      <c r="S399" s="156"/>
      <c r="T399" s="156"/>
      <c r="U399" s="156"/>
      <c r="V399" s="156"/>
      <c r="W399" s="156"/>
      <c r="X399" s="157"/>
      <c r="Y399" s="157"/>
      <c r="Z399" s="157"/>
      <c r="AA399" s="157"/>
      <c r="AB399" s="157"/>
      <c r="AC399" s="1"/>
      <c r="AD399" s="1"/>
    </row>
    <row r="400" ht="12.75" customHeight="1">
      <c r="A400" s="1"/>
      <c r="B400" s="146"/>
      <c r="C400" s="150"/>
      <c r="D400" s="151"/>
      <c r="E400" s="24"/>
      <c r="F400" s="24"/>
      <c r="G400" s="24"/>
      <c r="H400" s="152"/>
      <c r="I400" s="152"/>
      <c r="J400" s="153"/>
      <c r="K400" s="153"/>
      <c r="L400" s="154"/>
      <c r="M400" s="154"/>
      <c r="N400" s="155"/>
      <c r="O400" s="155"/>
      <c r="P400" s="155"/>
      <c r="Q400" s="155"/>
      <c r="R400" s="155"/>
      <c r="S400" s="156"/>
      <c r="T400" s="156"/>
      <c r="U400" s="156"/>
      <c r="V400" s="156"/>
      <c r="W400" s="156"/>
      <c r="X400" s="157"/>
      <c r="Y400" s="157"/>
      <c r="Z400" s="157"/>
      <c r="AA400" s="157"/>
      <c r="AB400" s="157"/>
      <c r="AC400" s="1"/>
      <c r="AD400" s="1"/>
    </row>
    <row r="401" ht="12.75" customHeight="1">
      <c r="A401" s="1"/>
      <c r="B401" s="146"/>
      <c r="C401" s="150"/>
      <c r="D401" s="151"/>
      <c r="E401" s="24"/>
      <c r="F401" s="24"/>
      <c r="G401" s="24"/>
      <c r="H401" s="152"/>
      <c r="I401" s="152"/>
      <c r="J401" s="153"/>
      <c r="K401" s="153"/>
      <c r="L401" s="154"/>
      <c r="M401" s="154"/>
      <c r="N401" s="155"/>
      <c r="O401" s="155"/>
      <c r="P401" s="155"/>
      <c r="Q401" s="155"/>
      <c r="R401" s="155"/>
      <c r="S401" s="156"/>
      <c r="T401" s="156"/>
      <c r="U401" s="156"/>
      <c r="V401" s="156"/>
      <c r="W401" s="156"/>
      <c r="X401" s="157"/>
      <c r="Y401" s="157"/>
      <c r="Z401" s="157"/>
      <c r="AA401" s="157"/>
      <c r="AB401" s="157"/>
      <c r="AC401" s="1"/>
      <c r="AD401" s="1"/>
    </row>
    <row r="402" ht="12.75" customHeight="1">
      <c r="A402" s="1"/>
      <c r="B402" s="146"/>
      <c r="C402" s="150"/>
      <c r="D402" s="151"/>
      <c r="E402" s="24"/>
      <c r="F402" s="24"/>
      <c r="G402" s="24"/>
      <c r="H402" s="152"/>
      <c r="I402" s="152"/>
      <c r="J402" s="153"/>
      <c r="K402" s="153"/>
      <c r="L402" s="154"/>
      <c r="M402" s="154"/>
      <c r="N402" s="155"/>
      <c r="O402" s="155"/>
      <c r="P402" s="155"/>
      <c r="Q402" s="155"/>
      <c r="R402" s="155"/>
      <c r="S402" s="156"/>
      <c r="T402" s="156"/>
      <c r="U402" s="156"/>
      <c r="V402" s="156"/>
      <c r="W402" s="156"/>
      <c r="X402" s="157"/>
      <c r="Y402" s="157"/>
      <c r="Z402" s="157"/>
      <c r="AA402" s="157"/>
      <c r="AB402" s="157"/>
      <c r="AC402" s="1"/>
      <c r="AD402" s="1"/>
    </row>
    <row r="403" ht="12.75" customHeight="1">
      <c r="A403" s="1"/>
      <c r="B403" s="146"/>
      <c r="C403" s="150"/>
      <c r="D403" s="151"/>
      <c r="E403" s="24"/>
      <c r="F403" s="24"/>
      <c r="G403" s="24"/>
      <c r="H403" s="152"/>
      <c r="I403" s="152"/>
      <c r="J403" s="153"/>
      <c r="K403" s="153"/>
      <c r="L403" s="154"/>
      <c r="M403" s="154"/>
      <c r="N403" s="155"/>
      <c r="O403" s="155"/>
      <c r="P403" s="155"/>
      <c r="Q403" s="155"/>
      <c r="R403" s="155"/>
      <c r="S403" s="156"/>
      <c r="T403" s="156"/>
      <c r="U403" s="156"/>
      <c r="V403" s="156"/>
      <c r="W403" s="156"/>
      <c r="X403" s="157"/>
      <c r="Y403" s="157"/>
      <c r="Z403" s="157"/>
      <c r="AA403" s="157"/>
      <c r="AB403" s="157"/>
      <c r="AC403" s="1"/>
      <c r="AD403" s="1"/>
    </row>
    <row r="404" ht="12.75" customHeight="1">
      <c r="A404" s="1"/>
      <c r="B404" s="146"/>
      <c r="C404" s="150"/>
      <c r="D404" s="151"/>
      <c r="E404" s="24"/>
      <c r="F404" s="24"/>
      <c r="G404" s="24"/>
      <c r="H404" s="152"/>
      <c r="I404" s="152"/>
      <c r="J404" s="153"/>
      <c r="K404" s="153"/>
      <c r="L404" s="154"/>
      <c r="M404" s="154"/>
      <c r="N404" s="155"/>
      <c r="O404" s="155"/>
      <c r="P404" s="155"/>
      <c r="Q404" s="155"/>
      <c r="R404" s="155"/>
      <c r="S404" s="156"/>
      <c r="T404" s="156"/>
      <c r="U404" s="156"/>
      <c r="V404" s="156"/>
      <c r="W404" s="156"/>
      <c r="X404" s="157"/>
      <c r="Y404" s="157"/>
      <c r="Z404" s="157"/>
      <c r="AA404" s="157"/>
      <c r="AB404" s="157"/>
      <c r="AC404" s="1"/>
      <c r="AD404" s="1"/>
    </row>
    <row r="405" ht="12.75" customHeight="1">
      <c r="A405" s="1"/>
      <c r="B405" s="146"/>
      <c r="C405" s="150"/>
      <c r="D405" s="151"/>
      <c r="E405" s="24"/>
      <c r="F405" s="24"/>
      <c r="G405" s="24"/>
      <c r="H405" s="152"/>
      <c r="I405" s="152"/>
      <c r="J405" s="153"/>
      <c r="K405" s="153"/>
      <c r="L405" s="154"/>
      <c r="M405" s="154"/>
      <c r="N405" s="155"/>
      <c r="O405" s="155"/>
      <c r="P405" s="155"/>
      <c r="Q405" s="155"/>
      <c r="R405" s="155"/>
      <c r="S405" s="156"/>
      <c r="T405" s="156"/>
      <c r="U405" s="156"/>
      <c r="V405" s="156"/>
      <c r="W405" s="156"/>
      <c r="X405" s="157"/>
      <c r="Y405" s="157"/>
      <c r="Z405" s="157"/>
      <c r="AA405" s="157"/>
      <c r="AB405" s="157"/>
      <c r="AC405" s="1"/>
      <c r="AD405" s="1"/>
    </row>
    <row r="406" ht="12.75" customHeight="1">
      <c r="A406" s="1"/>
      <c r="B406" s="146"/>
      <c r="C406" s="150"/>
      <c r="D406" s="151"/>
      <c r="E406" s="24"/>
      <c r="F406" s="24"/>
      <c r="G406" s="24"/>
      <c r="H406" s="152"/>
      <c r="I406" s="152"/>
      <c r="J406" s="153"/>
      <c r="K406" s="153"/>
      <c r="L406" s="154"/>
      <c r="M406" s="154"/>
      <c r="N406" s="155"/>
      <c r="O406" s="155"/>
      <c r="P406" s="155"/>
      <c r="Q406" s="155"/>
      <c r="R406" s="155"/>
      <c r="S406" s="156"/>
      <c r="T406" s="156"/>
      <c r="U406" s="156"/>
      <c r="V406" s="156"/>
      <c r="W406" s="156"/>
      <c r="X406" s="157"/>
      <c r="Y406" s="157"/>
      <c r="Z406" s="157"/>
      <c r="AA406" s="157"/>
      <c r="AB406" s="157"/>
      <c r="AC406" s="1"/>
      <c r="AD406" s="1"/>
    </row>
    <row r="407" ht="12.75" customHeight="1">
      <c r="A407" s="1"/>
      <c r="B407" s="146"/>
      <c r="C407" s="150"/>
      <c r="D407" s="151"/>
      <c r="E407" s="24"/>
      <c r="F407" s="24"/>
      <c r="G407" s="24"/>
      <c r="H407" s="152"/>
      <c r="I407" s="152"/>
      <c r="J407" s="153"/>
      <c r="K407" s="153"/>
      <c r="L407" s="154"/>
      <c r="M407" s="154"/>
      <c r="N407" s="155"/>
      <c r="O407" s="155"/>
      <c r="P407" s="155"/>
      <c r="Q407" s="155"/>
      <c r="R407" s="155"/>
      <c r="S407" s="156"/>
      <c r="T407" s="156"/>
      <c r="U407" s="156"/>
      <c r="V407" s="156"/>
      <c r="W407" s="156"/>
      <c r="X407" s="157"/>
      <c r="Y407" s="157"/>
      <c r="Z407" s="157"/>
      <c r="AA407" s="157"/>
      <c r="AB407" s="157"/>
      <c r="AC407" s="1"/>
      <c r="AD407" s="1"/>
    </row>
    <row r="408" ht="12.75" customHeight="1">
      <c r="A408" s="1"/>
      <c r="B408" s="146"/>
      <c r="C408" s="150"/>
      <c r="D408" s="151"/>
      <c r="E408" s="24"/>
      <c r="F408" s="24"/>
      <c r="G408" s="24"/>
      <c r="H408" s="152"/>
      <c r="I408" s="152"/>
      <c r="J408" s="153"/>
      <c r="K408" s="153"/>
      <c r="L408" s="154"/>
      <c r="M408" s="154"/>
      <c r="N408" s="155"/>
      <c r="O408" s="155"/>
      <c r="P408" s="155"/>
      <c r="Q408" s="155"/>
      <c r="R408" s="155"/>
      <c r="S408" s="156"/>
      <c r="T408" s="156"/>
      <c r="U408" s="156"/>
      <c r="V408" s="156"/>
      <c r="W408" s="156"/>
      <c r="X408" s="157"/>
      <c r="Y408" s="157"/>
      <c r="Z408" s="157"/>
      <c r="AA408" s="157"/>
      <c r="AB408" s="157"/>
      <c r="AC408" s="1"/>
      <c r="AD408" s="1"/>
    </row>
    <row r="409" ht="12.75" customHeight="1">
      <c r="A409" s="1"/>
      <c r="B409" s="146"/>
      <c r="C409" s="150"/>
      <c r="D409" s="151"/>
      <c r="E409" s="24"/>
      <c r="F409" s="24"/>
      <c r="G409" s="24"/>
      <c r="H409" s="152"/>
      <c r="I409" s="152"/>
      <c r="J409" s="153"/>
      <c r="K409" s="153"/>
      <c r="L409" s="154"/>
      <c r="M409" s="154"/>
      <c r="N409" s="155"/>
      <c r="O409" s="155"/>
      <c r="P409" s="155"/>
      <c r="Q409" s="155"/>
      <c r="R409" s="155"/>
      <c r="S409" s="156"/>
      <c r="T409" s="156"/>
      <c r="U409" s="156"/>
      <c r="V409" s="156"/>
      <c r="W409" s="156"/>
      <c r="X409" s="157"/>
      <c r="Y409" s="157"/>
      <c r="Z409" s="157"/>
      <c r="AA409" s="157"/>
      <c r="AB409" s="157"/>
      <c r="AC409" s="1"/>
      <c r="AD409" s="1"/>
    </row>
    <row r="410" ht="12.75" customHeight="1">
      <c r="A410" s="1"/>
      <c r="B410" s="146"/>
      <c r="C410" s="150"/>
      <c r="D410" s="151"/>
      <c r="E410" s="24"/>
      <c r="F410" s="24"/>
      <c r="G410" s="24"/>
      <c r="H410" s="152"/>
      <c r="I410" s="152"/>
      <c r="J410" s="153"/>
      <c r="K410" s="153"/>
      <c r="L410" s="154"/>
      <c r="M410" s="154"/>
      <c r="N410" s="155"/>
      <c r="O410" s="155"/>
      <c r="P410" s="155"/>
      <c r="Q410" s="155"/>
      <c r="R410" s="155"/>
      <c r="S410" s="156"/>
      <c r="T410" s="156"/>
      <c r="U410" s="156"/>
      <c r="V410" s="156"/>
      <c r="W410" s="156"/>
      <c r="X410" s="157"/>
      <c r="Y410" s="157"/>
      <c r="Z410" s="157"/>
      <c r="AA410" s="157"/>
      <c r="AB410" s="157"/>
      <c r="AC410" s="1"/>
      <c r="AD410" s="1"/>
    </row>
    <row r="411" ht="12.75" customHeight="1">
      <c r="A411" s="1"/>
      <c r="B411" s="146"/>
      <c r="C411" s="150"/>
      <c r="D411" s="151"/>
      <c r="E411" s="24"/>
      <c r="F411" s="24"/>
      <c r="G411" s="24"/>
      <c r="H411" s="152"/>
      <c r="I411" s="152"/>
      <c r="J411" s="153"/>
      <c r="K411" s="153"/>
      <c r="L411" s="154"/>
      <c r="M411" s="154"/>
      <c r="N411" s="155"/>
      <c r="O411" s="155"/>
      <c r="P411" s="155"/>
      <c r="Q411" s="155"/>
      <c r="R411" s="155"/>
      <c r="S411" s="156"/>
      <c r="T411" s="156"/>
      <c r="U411" s="156"/>
      <c r="V411" s="156"/>
      <c r="W411" s="156"/>
      <c r="X411" s="157"/>
      <c r="Y411" s="157"/>
      <c r="Z411" s="157"/>
      <c r="AA411" s="157"/>
      <c r="AB411" s="157"/>
      <c r="AC411" s="1"/>
      <c r="AD411" s="1"/>
    </row>
    <row r="412" ht="12.75" customHeight="1">
      <c r="A412" s="1"/>
      <c r="B412" s="146"/>
      <c r="C412" s="150"/>
      <c r="D412" s="151"/>
      <c r="E412" s="24"/>
      <c r="F412" s="24"/>
      <c r="G412" s="24"/>
      <c r="H412" s="152"/>
      <c r="I412" s="152"/>
      <c r="J412" s="153"/>
      <c r="K412" s="153"/>
      <c r="L412" s="154"/>
      <c r="M412" s="154"/>
      <c r="N412" s="155"/>
      <c r="O412" s="155"/>
      <c r="P412" s="155"/>
      <c r="Q412" s="155"/>
      <c r="R412" s="155"/>
      <c r="S412" s="156"/>
      <c r="T412" s="156"/>
      <c r="U412" s="156"/>
      <c r="V412" s="156"/>
      <c r="W412" s="156"/>
      <c r="X412" s="157"/>
      <c r="Y412" s="157"/>
      <c r="Z412" s="157"/>
      <c r="AA412" s="157"/>
      <c r="AB412" s="157"/>
      <c r="AC412" s="1"/>
      <c r="AD412" s="1"/>
    </row>
    <row r="413" ht="12.75" customHeight="1">
      <c r="A413" s="1"/>
      <c r="B413" s="146"/>
      <c r="C413" s="150"/>
      <c r="D413" s="151"/>
      <c r="E413" s="24"/>
      <c r="F413" s="24"/>
      <c r="G413" s="24"/>
      <c r="H413" s="152"/>
      <c r="I413" s="152"/>
      <c r="J413" s="153"/>
      <c r="K413" s="153"/>
      <c r="L413" s="154"/>
      <c r="M413" s="154"/>
      <c r="N413" s="155"/>
      <c r="O413" s="155"/>
      <c r="P413" s="155"/>
      <c r="Q413" s="155"/>
      <c r="R413" s="155"/>
      <c r="S413" s="156"/>
      <c r="T413" s="156"/>
      <c r="U413" s="156"/>
      <c r="V413" s="156"/>
      <c r="W413" s="156"/>
      <c r="X413" s="157"/>
      <c r="Y413" s="157"/>
      <c r="Z413" s="157"/>
      <c r="AA413" s="157"/>
      <c r="AB413" s="157"/>
      <c r="AC413" s="1"/>
      <c r="AD413" s="1"/>
    </row>
    <row r="414" ht="12.75" customHeight="1">
      <c r="A414" s="1"/>
      <c r="B414" s="146"/>
      <c r="C414" s="150"/>
      <c r="D414" s="151"/>
      <c r="E414" s="24"/>
      <c r="F414" s="24"/>
      <c r="G414" s="24"/>
      <c r="H414" s="152"/>
      <c r="I414" s="152"/>
      <c r="J414" s="153"/>
      <c r="K414" s="153"/>
      <c r="L414" s="154"/>
      <c r="M414" s="154"/>
      <c r="N414" s="155"/>
      <c r="O414" s="155"/>
      <c r="P414" s="155"/>
      <c r="Q414" s="155"/>
      <c r="R414" s="155"/>
      <c r="S414" s="156"/>
      <c r="T414" s="156"/>
      <c r="U414" s="156"/>
      <c r="V414" s="156"/>
      <c r="W414" s="156"/>
      <c r="X414" s="157"/>
      <c r="Y414" s="157"/>
      <c r="Z414" s="157"/>
      <c r="AA414" s="157"/>
      <c r="AB414" s="157"/>
      <c r="AC414" s="1"/>
      <c r="AD414" s="1"/>
    </row>
    <row r="415" ht="12.75" customHeight="1">
      <c r="A415" s="1"/>
      <c r="B415" s="146"/>
      <c r="C415" s="150"/>
      <c r="D415" s="151"/>
      <c r="E415" s="24"/>
      <c r="F415" s="24"/>
      <c r="G415" s="24"/>
      <c r="H415" s="152"/>
      <c r="I415" s="152"/>
      <c r="J415" s="153"/>
      <c r="K415" s="153"/>
      <c r="L415" s="154"/>
      <c r="M415" s="154"/>
      <c r="N415" s="155"/>
      <c r="O415" s="155"/>
      <c r="P415" s="155"/>
      <c r="Q415" s="155"/>
      <c r="R415" s="155"/>
      <c r="S415" s="156"/>
      <c r="T415" s="156"/>
      <c r="U415" s="156"/>
      <c r="V415" s="156"/>
      <c r="W415" s="156"/>
      <c r="X415" s="157"/>
      <c r="Y415" s="157"/>
      <c r="Z415" s="157"/>
      <c r="AA415" s="157"/>
      <c r="AB415" s="157"/>
      <c r="AC415" s="1"/>
      <c r="AD415" s="1"/>
    </row>
    <row r="416" ht="12.75" customHeight="1">
      <c r="A416" s="1"/>
      <c r="B416" s="146"/>
      <c r="C416" s="150"/>
      <c r="D416" s="151"/>
      <c r="E416" s="24"/>
      <c r="F416" s="24"/>
      <c r="G416" s="24"/>
      <c r="H416" s="152"/>
      <c r="I416" s="152"/>
      <c r="J416" s="153"/>
      <c r="K416" s="153"/>
      <c r="L416" s="154"/>
      <c r="M416" s="154"/>
      <c r="N416" s="155"/>
      <c r="O416" s="155"/>
      <c r="P416" s="155"/>
      <c r="Q416" s="155"/>
      <c r="R416" s="155"/>
      <c r="S416" s="156"/>
      <c r="T416" s="156"/>
      <c r="U416" s="156"/>
      <c r="V416" s="156"/>
      <c r="W416" s="156"/>
      <c r="X416" s="157"/>
      <c r="Y416" s="157"/>
      <c r="Z416" s="157"/>
      <c r="AA416" s="157"/>
      <c r="AB416" s="157"/>
      <c r="AC416" s="1"/>
      <c r="AD416" s="1"/>
    </row>
    <row r="417" ht="12.75" customHeight="1">
      <c r="A417" s="1"/>
      <c r="B417" s="146"/>
      <c r="C417" s="150"/>
      <c r="D417" s="151"/>
      <c r="E417" s="24"/>
      <c r="F417" s="24"/>
      <c r="G417" s="24"/>
      <c r="H417" s="152"/>
      <c r="I417" s="152"/>
      <c r="J417" s="153"/>
      <c r="K417" s="153"/>
      <c r="L417" s="154"/>
      <c r="M417" s="154"/>
      <c r="N417" s="155"/>
      <c r="O417" s="155"/>
      <c r="P417" s="155"/>
      <c r="Q417" s="155"/>
      <c r="R417" s="155"/>
      <c r="S417" s="156"/>
      <c r="T417" s="156"/>
      <c r="U417" s="156"/>
      <c r="V417" s="156"/>
      <c r="W417" s="156"/>
      <c r="X417" s="157"/>
      <c r="Y417" s="157"/>
      <c r="Z417" s="157"/>
      <c r="AA417" s="157"/>
      <c r="AB417" s="157"/>
      <c r="AC417" s="1"/>
      <c r="AD417" s="1"/>
    </row>
    <row r="418" ht="12.75" customHeight="1">
      <c r="A418" s="1"/>
      <c r="B418" s="146"/>
      <c r="C418" s="150"/>
      <c r="D418" s="151"/>
      <c r="E418" s="24"/>
      <c r="F418" s="24"/>
      <c r="G418" s="24"/>
      <c r="H418" s="152"/>
      <c r="I418" s="152"/>
      <c r="J418" s="153"/>
      <c r="K418" s="153"/>
      <c r="L418" s="154"/>
      <c r="M418" s="154"/>
      <c r="N418" s="155"/>
      <c r="O418" s="155"/>
      <c r="P418" s="155"/>
      <c r="Q418" s="155"/>
      <c r="R418" s="155"/>
      <c r="S418" s="156"/>
      <c r="T418" s="156"/>
      <c r="U418" s="156"/>
      <c r="V418" s="156"/>
      <c r="W418" s="156"/>
      <c r="X418" s="157"/>
      <c r="Y418" s="157"/>
      <c r="Z418" s="157"/>
      <c r="AA418" s="157"/>
      <c r="AB418" s="157"/>
      <c r="AC418" s="1"/>
      <c r="AD418" s="1"/>
    </row>
    <row r="419" ht="12.75" customHeight="1">
      <c r="A419" s="1"/>
      <c r="B419" s="146"/>
      <c r="C419" s="150"/>
      <c r="D419" s="151"/>
      <c r="E419" s="24"/>
      <c r="F419" s="24"/>
      <c r="G419" s="24"/>
      <c r="H419" s="152"/>
      <c r="I419" s="152"/>
      <c r="J419" s="153"/>
      <c r="K419" s="153"/>
      <c r="L419" s="154"/>
      <c r="M419" s="154"/>
      <c r="N419" s="155"/>
      <c r="O419" s="155"/>
      <c r="P419" s="155"/>
      <c r="Q419" s="155"/>
      <c r="R419" s="155"/>
      <c r="S419" s="156"/>
      <c r="T419" s="156"/>
      <c r="U419" s="156"/>
      <c r="V419" s="156"/>
      <c r="W419" s="156"/>
      <c r="X419" s="157"/>
      <c r="Y419" s="157"/>
      <c r="Z419" s="157"/>
      <c r="AA419" s="157"/>
      <c r="AB419" s="157"/>
      <c r="AC419" s="1"/>
      <c r="AD419" s="1"/>
    </row>
    <row r="420" ht="12.75" customHeight="1">
      <c r="A420" s="1"/>
      <c r="B420" s="146"/>
      <c r="C420" s="150"/>
      <c r="D420" s="151"/>
      <c r="E420" s="24"/>
      <c r="F420" s="24"/>
      <c r="G420" s="24"/>
      <c r="H420" s="152"/>
      <c r="I420" s="152"/>
      <c r="J420" s="153"/>
      <c r="K420" s="153"/>
      <c r="L420" s="154"/>
      <c r="M420" s="154"/>
      <c r="N420" s="155"/>
      <c r="O420" s="155"/>
      <c r="P420" s="155"/>
      <c r="Q420" s="155"/>
      <c r="R420" s="155"/>
      <c r="S420" s="156"/>
      <c r="T420" s="156"/>
      <c r="U420" s="156"/>
      <c r="V420" s="156"/>
      <c r="W420" s="156"/>
      <c r="X420" s="157"/>
      <c r="Y420" s="157"/>
      <c r="Z420" s="157"/>
      <c r="AA420" s="157"/>
      <c r="AB420" s="157"/>
      <c r="AC420" s="1"/>
      <c r="AD420" s="1"/>
    </row>
    <row r="421" ht="12.75" customHeight="1">
      <c r="A421" s="1"/>
      <c r="B421" s="146"/>
      <c r="C421" s="150"/>
      <c r="D421" s="151"/>
      <c r="E421" s="24"/>
      <c r="F421" s="24"/>
      <c r="G421" s="24"/>
      <c r="H421" s="152"/>
      <c r="I421" s="152"/>
      <c r="J421" s="153"/>
      <c r="K421" s="153"/>
      <c r="L421" s="154"/>
      <c r="M421" s="154"/>
      <c r="N421" s="155"/>
      <c r="O421" s="155"/>
      <c r="P421" s="155"/>
      <c r="Q421" s="155"/>
      <c r="R421" s="155"/>
      <c r="S421" s="156"/>
      <c r="T421" s="156"/>
      <c r="U421" s="156"/>
      <c r="V421" s="156"/>
      <c r="W421" s="156"/>
      <c r="X421" s="157"/>
      <c r="Y421" s="157"/>
      <c r="Z421" s="157"/>
      <c r="AA421" s="157"/>
      <c r="AB421" s="157"/>
      <c r="AC421" s="1"/>
      <c r="AD421" s="1"/>
    </row>
    <row r="422" ht="12.75" customHeight="1">
      <c r="A422" s="1"/>
      <c r="B422" s="146"/>
      <c r="C422" s="150"/>
      <c r="D422" s="151"/>
      <c r="E422" s="24"/>
      <c r="F422" s="24"/>
      <c r="G422" s="24"/>
      <c r="H422" s="152"/>
      <c r="I422" s="152"/>
      <c r="J422" s="153"/>
      <c r="K422" s="153"/>
      <c r="L422" s="154"/>
      <c r="M422" s="154"/>
      <c r="N422" s="155"/>
      <c r="O422" s="155"/>
      <c r="P422" s="155"/>
      <c r="Q422" s="155"/>
      <c r="R422" s="155"/>
      <c r="S422" s="156"/>
      <c r="T422" s="156"/>
      <c r="U422" s="156"/>
      <c r="V422" s="156"/>
      <c r="W422" s="156"/>
      <c r="X422" s="157"/>
      <c r="Y422" s="157"/>
      <c r="Z422" s="157"/>
      <c r="AA422" s="157"/>
      <c r="AB422" s="157"/>
      <c r="AC422" s="1"/>
      <c r="AD422" s="1"/>
    </row>
    <row r="423" ht="12.75" customHeight="1">
      <c r="A423" s="1"/>
      <c r="B423" s="146"/>
      <c r="C423" s="150"/>
      <c r="D423" s="151"/>
      <c r="E423" s="24"/>
      <c r="F423" s="24"/>
      <c r="G423" s="24"/>
      <c r="H423" s="152"/>
      <c r="I423" s="152"/>
      <c r="J423" s="153"/>
      <c r="K423" s="153"/>
      <c r="L423" s="154"/>
      <c r="M423" s="154"/>
      <c r="N423" s="155"/>
      <c r="O423" s="155"/>
      <c r="P423" s="155"/>
      <c r="Q423" s="155"/>
      <c r="R423" s="155"/>
      <c r="S423" s="156"/>
      <c r="T423" s="156"/>
      <c r="U423" s="156"/>
      <c r="V423" s="156"/>
      <c r="W423" s="156"/>
      <c r="X423" s="157"/>
      <c r="Y423" s="157"/>
      <c r="Z423" s="157"/>
      <c r="AA423" s="157"/>
      <c r="AB423" s="157"/>
      <c r="AC423" s="1"/>
      <c r="AD423" s="1"/>
    </row>
    <row r="424" ht="12.75" customHeight="1">
      <c r="A424" s="1"/>
      <c r="B424" s="146"/>
      <c r="C424" s="150"/>
      <c r="D424" s="151"/>
      <c r="E424" s="24"/>
      <c r="F424" s="24"/>
      <c r="G424" s="24"/>
      <c r="H424" s="152"/>
      <c r="I424" s="152"/>
      <c r="J424" s="153"/>
      <c r="K424" s="153"/>
      <c r="L424" s="154"/>
      <c r="M424" s="154"/>
      <c r="N424" s="155"/>
      <c r="O424" s="155"/>
      <c r="P424" s="155"/>
      <c r="Q424" s="155"/>
      <c r="R424" s="155"/>
      <c r="S424" s="156"/>
      <c r="T424" s="156"/>
      <c r="U424" s="156"/>
      <c r="V424" s="156"/>
      <c r="W424" s="156"/>
      <c r="X424" s="157"/>
      <c r="Y424" s="157"/>
      <c r="Z424" s="157"/>
      <c r="AA424" s="157"/>
      <c r="AB424" s="157"/>
      <c r="AC424" s="1"/>
      <c r="AD424" s="1"/>
    </row>
    <row r="425" ht="12.75" customHeight="1">
      <c r="A425" s="1"/>
      <c r="B425" s="146"/>
      <c r="C425" s="150"/>
      <c r="D425" s="151"/>
      <c r="E425" s="24"/>
      <c r="F425" s="24"/>
      <c r="G425" s="24"/>
      <c r="H425" s="152"/>
      <c r="I425" s="152"/>
      <c r="J425" s="153"/>
      <c r="K425" s="153"/>
      <c r="L425" s="154"/>
      <c r="M425" s="154"/>
      <c r="N425" s="155"/>
      <c r="O425" s="155"/>
      <c r="P425" s="155"/>
      <c r="Q425" s="155"/>
      <c r="R425" s="155"/>
      <c r="S425" s="156"/>
      <c r="T425" s="156"/>
      <c r="U425" s="156"/>
      <c r="V425" s="156"/>
      <c r="W425" s="156"/>
      <c r="X425" s="157"/>
      <c r="Y425" s="157"/>
      <c r="Z425" s="157"/>
      <c r="AA425" s="157"/>
      <c r="AB425" s="157"/>
      <c r="AC425" s="1"/>
      <c r="AD425" s="1"/>
    </row>
    <row r="426" ht="12.75" customHeight="1">
      <c r="A426" s="1"/>
      <c r="B426" s="146"/>
      <c r="C426" s="150"/>
      <c r="D426" s="151"/>
      <c r="E426" s="24"/>
      <c r="F426" s="24"/>
      <c r="G426" s="24"/>
      <c r="H426" s="152"/>
      <c r="I426" s="152"/>
      <c r="J426" s="153"/>
      <c r="K426" s="153"/>
      <c r="L426" s="154"/>
      <c r="M426" s="154"/>
      <c r="N426" s="155"/>
      <c r="O426" s="155"/>
      <c r="P426" s="155"/>
      <c r="Q426" s="155"/>
      <c r="R426" s="155"/>
      <c r="S426" s="156"/>
      <c r="T426" s="156"/>
      <c r="U426" s="156"/>
      <c r="V426" s="156"/>
      <c r="W426" s="156"/>
      <c r="X426" s="157"/>
      <c r="Y426" s="157"/>
      <c r="Z426" s="157"/>
      <c r="AA426" s="157"/>
      <c r="AB426" s="157"/>
      <c r="AC426" s="1"/>
      <c r="AD426" s="1"/>
    </row>
    <row r="427" ht="12.75" customHeight="1">
      <c r="A427" s="1"/>
      <c r="B427" s="146"/>
      <c r="C427" s="150"/>
      <c r="D427" s="151"/>
      <c r="E427" s="24"/>
      <c r="F427" s="24"/>
      <c r="G427" s="24"/>
      <c r="H427" s="152"/>
      <c r="I427" s="152"/>
      <c r="J427" s="153"/>
      <c r="K427" s="153"/>
      <c r="L427" s="154"/>
      <c r="M427" s="154"/>
      <c r="N427" s="155"/>
      <c r="O427" s="155"/>
      <c r="P427" s="155"/>
      <c r="Q427" s="155"/>
      <c r="R427" s="155"/>
      <c r="S427" s="156"/>
      <c r="T427" s="156"/>
      <c r="U427" s="156"/>
      <c r="V427" s="156"/>
      <c r="W427" s="156"/>
      <c r="X427" s="157"/>
      <c r="Y427" s="157"/>
      <c r="Z427" s="157"/>
      <c r="AA427" s="157"/>
      <c r="AB427" s="157"/>
      <c r="AC427" s="1"/>
      <c r="AD427" s="1"/>
    </row>
    <row r="428" ht="12.75" customHeight="1">
      <c r="A428" s="1"/>
      <c r="B428" s="146"/>
      <c r="C428" s="150"/>
      <c r="D428" s="151"/>
      <c r="E428" s="24"/>
      <c r="F428" s="24"/>
      <c r="G428" s="24"/>
      <c r="H428" s="152"/>
      <c r="I428" s="152"/>
      <c r="J428" s="153"/>
      <c r="K428" s="153"/>
      <c r="L428" s="154"/>
      <c r="M428" s="154"/>
      <c r="N428" s="155"/>
      <c r="O428" s="155"/>
      <c r="P428" s="155"/>
      <c r="Q428" s="155"/>
      <c r="R428" s="155"/>
      <c r="S428" s="156"/>
      <c r="T428" s="156"/>
      <c r="U428" s="156"/>
      <c r="V428" s="156"/>
      <c r="W428" s="156"/>
      <c r="X428" s="157"/>
      <c r="Y428" s="157"/>
      <c r="Z428" s="157"/>
      <c r="AA428" s="157"/>
      <c r="AB428" s="157"/>
      <c r="AC428" s="1"/>
      <c r="AD428" s="1"/>
    </row>
    <row r="429" ht="12.75" customHeight="1">
      <c r="A429" s="1"/>
      <c r="B429" s="146"/>
      <c r="C429" s="150"/>
      <c r="D429" s="151"/>
      <c r="E429" s="24"/>
      <c r="F429" s="24"/>
      <c r="G429" s="24"/>
      <c r="H429" s="152"/>
      <c r="I429" s="152"/>
      <c r="J429" s="153"/>
      <c r="K429" s="153"/>
      <c r="L429" s="154"/>
      <c r="M429" s="154"/>
      <c r="N429" s="155"/>
      <c r="O429" s="155"/>
      <c r="P429" s="155"/>
      <c r="Q429" s="155"/>
      <c r="R429" s="155"/>
      <c r="S429" s="156"/>
      <c r="T429" s="156"/>
      <c r="U429" s="156"/>
      <c r="V429" s="156"/>
      <c r="W429" s="156"/>
      <c r="X429" s="157"/>
      <c r="Y429" s="157"/>
      <c r="Z429" s="157"/>
      <c r="AA429" s="157"/>
      <c r="AB429" s="157"/>
      <c r="AC429" s="1"/>
      <c r="AD429" s="1"/>
    </row>
    <row r="430" ht="12.75" customHeight="1">
      <c r="A430" s="1"/>
      <c r="B430" s="146"/>
      <c r="C430" s="150"/>
      <c r="D430" s="151"/>
      <c r="E430" s="24"/>
      <c r="F430" s="24"/>
      <c r="G430" s="24"/>
      <c r="H430" s="152"/>
      <c r="I430" s="152"/>
      <c r="J430" s="153"/>
      <c r="K430" s="153"/>
      <c r="L430" s="154"/>
      <c r="M430" s="154"/>
      <c r="N430" s="155"/>
      <c r="O430" s="155"/>
      <c r="P430" s="155"/>
      <c r="Q430" s="155"/>
      <c r="R430" s="155"/>
      <c r="S430" s="156"/>
      <c r="T430" s="156"/>
      <c r="U430" s="156"/>
      <c r="V430" s="156"/>
      <c r="W430" s="156"/>
      <c r="X430" s="157"/>
      <c r="Y430" s="157"/>
      <c r="Z430" s="157"/>
      <c r="AA430" s="157"/>
      <c r="AB430" s="157"/>
      <c r="AC430" s="1"/>
      <c r="AD430" s="1"/>
    </row>
    <row r="431" ht="12.75" customHeight="1">
      <c r="A431" s="1"/>
      <c r="B431" s="146"/>
      <c r="C431" s="150"/>
      <c r="D431" s="151"/>
      <c r="E431" s="24"/>
      <c r="F431" s="24"/>
      <c r="G431" s="24"/>
      <c r="H431" s="152"/>
      <c r="I431" s="152"/>
      <c r="J431" s="153"/>
      <c r="K431" s="153"/>
      <c r="L431" s="154"/>
      <c r="M431" s="154"/>
      <c r="N431" s="155"/>
      <c r="O431" s="155"/>
      <c r="P431" s="155"/>
      <c r="Q431" s="155"/>
      <c r="R431" s="155"/>
      <c r="S431" s="156"/>
      <c r="T431" s="156"/>
      <c r="U431" s="156"/>
      <c r="V431" s="156"/>
      <c r="W431" s="156"/>
      <c r="X431" s="157"/>
      <c r="Y431" s="157"/>
      <c r="Z431" s="157"/>
      <c r="AA431" s="157"/>
      <c r="AB431" s="157"/>
      <c r="AC431" s="1"/>
      <c r="AD431" s="1"/>
    </row>
    <row r="432" ht="12.75" customHeight="1">
      <c r="A432" s="1"/>
      <c r="B432" s="146"/>
      <c r="C432" s="150"/>
      <c r="D432" s="151"/>
      <c r="E432" s="24"/>
      <c r="F432" s="24"/>
      <c r="G432" s="24"/>
      <c r="H432" s="152"/>
      <c r="I432" s="152"/>
      <c r="J432" s="153"/>
      <c r="K432" s="153"/>
      <c r="L432" s="154"/>
      <c r="M432" s="154"/>
      <c r="N432" s="155"/>
      <c r="O432" s="155"/>
      <c r="P432" s="155"/>
      <c r="Q432" s="155"/>
      <c r="R432" s="155"/>
      <c r="S432" s="156"/>
      <c r="T432" s="156"/>
      <c r="U432" s="156"/>
      <c r="V432" s="156"/>
      <c r="W432" s="156"/>
      <c r="X432" s="157"/>
      <c r="Y432" s="157"/>
      <c r="Z432" s="157"/>
      <c r="AA432" s="157"/>
      <c r="AB432" s="157"/>
      <c r="AC432" s="1"/>
      <c r="AD432" s="1"/>
    </row>
    <row r="433" ht="12.75" customHeight="1">
      <c r="A433" s="1"/>
      <c r="B433" s="146"/>
      <c r="C433" s="150"/>
      <c r="D433" s="151"/>
      <c r="E433" s="24"/>
      <c r="F433" s="24"/>
      <c r="G433" s="24"/>
      <c r="H433" s="152"/>
      <c r="I433" s="152"/>
      <c r="J433" s="153"/>
      <c r="K433" s="153"/>
      <c r="L433" s="154"/>
      <c r="M433" s="154"/>
      <c r="N433" s="155"/>
      <c r="O433" s="155"/>
      <c r="P433" s="155"/>
      <c r="Q433" s="155"/>
      <c r="R433" s="155"/>
      <c r="S433" s="156"/>
      <c r="T433" s="156"/>
      <c r="U433" s="156"/>
      <c r="V433" s="156"/>
      <c r="W433" s="156"/>
      <c r="X433" s="157"/>
      <c r="Y433" s="157"/>
      <c r="Z433" s="157"/>
      <c r="AA433" s="157"/>
      <c r="AB433" s="157"/>
      <c r="AC433" s="1"/>
      <c r="AD433" s="1"/>
    </row>
    <row r="434" ht="12.75" customHeight="1">
      <c r="A434" s="1"/>
      <c r="B434" s="146"/>
      <c r="C434" s="150"/>
      <c r="D434" s="151"/>
      <c r="E434" s="24"/>
      <c r="F434" s="24"/>
      <c r="G434" s="24"/>
      <c r="H434" s="152"/>
      <c r="I434" s="152"/>
      <c r="J434" s="153"/>
      <c r="K434" s="153"/>
      <c r="L434" s="154"/>
      <c r="M434" s="154"/>
      <c r="N434" s="155"/>
      <c r="O434" s="155"/>
      <c r="P434" s="155"/>
      <c r="Q434" s="155"/>
      <c r="R434" s="155"/>
      <c r="S434" s="156"/>
      <c r="T434" s="156"/>
      <c r="U434" s="156"/>
      <c r="V434" s="156"/>
      <c r="W434" s="156"/>
      <c r="X434" s="157"/>
      <c r="Y434" s="157"/>
      <c r="Z434" s="157"/>
      <c r="AA434" s="157"/>
      <c r="AB434" s="157"/>
      <c r="AC434" s="1"/>
      <c r="AD434" s="1"/>
    </row>
    <row r="435" ht="12.75" customHeight="1">
      <c r="A435" s="1"/>
      <c r="B435" s="146"/>
      <c r="C435" s="150"/>
      <c r="D435" s="151"/>
      <c r="E435" s="24"/>
      <c r="F435" s="24"/>
      <c r="G435" s="24"/>
      <c r="H435" s="152"/>
      <c r="I435" s="152"/>
      <c r="J435" s="153"/>
      <c r="K435" s="153"/>
      <c r="L435" s="154"/>
      <c r="M435" s="154"/>
      <c r="N435" s="155"/>
      <c r="O435" s="155"/>
      <c r="P435" s="155"/>
      <c r="Q435" s="155"/>
      <c r="R435" s="155"/>
      <c r="S435" s="156"/>
      <c r="T435" s="156"/>
      <c r="U435" s="156"/>
      <c r="V435" s="156"/>
      <c r="W435" s="156"/>
      <c r="X435" s="157"/>
      <c r="Y435" s="157"/>
      <c r="Z435" s="157"/>
      <c r="AA435" s="157"/>
      <c r="AB435" s="157"/>
      <c r="AC435" s="1"/>
      <c r="AD435" s="1"/>
    </row>
    <row r="436" ht="12.75" customHeight="1">
      <c r="A436" s="1"/>
      <c r="B436" s="146"/>
      <c r="C436" s="150"/>
      <c r="D436" s="151"/>
      <c r="E436" s="24"/>
      <c r="F436" s="24"/>
      <c r="G436" s="24"/>
      <c r="H436" s="152"/>
      <c r="I436" s="152"/>
      <c r="J436" s="153"/>
      <c r="K436" s="153"/>
      <c r="L436" s="154"/>
      <c r="M436" s="154"/>
      <c r="N436" s="155"/>
      <c r="O436" s="155"/>
      <c r="P436" s="155"/>
      <c r="Q436" s="155"/>
      <c r="R436" s="155"/>
      <c r="S436" s="156"/>
      <c r="T436" s="156"/>
      <c r="U436" s="156"/>
      <c r="V436" s="156"/>
      <c r="W436" s="156"/>
      <c r="X436" s="157"/>
      <c r="Y436" s="157"/>
      <c r="Z436" s="157"/>
      <c r="AA436" s="157"/>
      <c r="AB436" s="157"/>
      <c r="AC436" s="1"/>
      <c r="AD436" s="1"/>
    </row>
    <row r="437" ht="12.75" customHeight="1">
      <c r="A437" s="1"/>
      <c r="B437" s="146"/>
      <c r="C437" s="150"/>
      <c r="D437" s="151"/>
      <c r="E437" s="24"/>
      <c r="F437" s="24"/>
      <c r="G437" s="24"/>
      <c r="H437" s="152"/>
      <c r="I437" s="152"/>
      <c r="J437" s="153"/>
      <c r="K437" s="153"/>
      <c r="L437" s="154"/>
      <c r="M437" s="154"/>
      <c r="N437" s="155"/>
      <c r="O437" s="155"/>
      <c r="P437" s="155"/>
      <c r="Q437" s="155"/>
      <c r="R437" s="155"/>
      <c r="S437" s="156"/>
      <c r="T437" s="156"/>
      <c r="U437" s="156"/>
      <c r="V437" s="156"/>
      <c r="W437" s="156"/>
      <c r="X437" s="157"/>
      <c r="Y437" s="157"/>
      <c r="Z437" s="157"/>
      <c r="AA437" s="157"/>
      <c r="AB437" s="157"/>
      <c r="AC437" s="1"/>
      <c r="AD437" s="1"/>
    </row>
    <row r="438" ht="12.75" customHeight="1">
      <c r="A438" s="1"/>
      <c r="B438" s="146"/>
      <c r="C438" s="150"/>
      <c r="D438" s="151"/>
      <c r="E438" s="24"/>
      <c r="F438" s="24"/>
      <c r="G438" s="24"/>
      <c r="H438" s="152"/>
      <c r="I438" s="152"/>
      <c r="J438" s="153"/>
      <c r="K438" s="153"/>
      <c r="L438" s="154"/>
      <c r="M438" s="154"/>
      <c r="N438" s="155"/>
      <c r="O438" s="155"/>
      <c r="P438" s="155"/>
      <c r="Q438" s="155"/>
      <c r="R438" s="155"/>
      <c r="S438" s="156"/>
      <c r="T438" s="156"/>
      <c r="U438" s="156"/>
      <c r="V438" s="156"/>
      <c r="W438" s="156"/>
      <c r="X438" s="157"/>
      <c r="Y438" s="157"/>
      <c r="Z438" s="157"/>
      <c r="AA438" s="157"/>
      <c r="AB438" s="157"/>
      <c r="AC438" s="1"/>
      <c r="AD438" s="1"/>
    </row>
    <row r="439" ht="12.75" customHeight="1">
      <c r="A439" s="1"/>
      <c r="B439" s="146"/>
      <c r="C439" s="150"/>
      <c r="D439" s="151"/>
      <c r="E439" s="24"/>
      <c r="F439" s="24"/>
      <c r="G439" s="24"/>
      <c r="H439" s="152"/>
      <c r="I439" s="152"/>
      <c r="J439" s="153"/>
      <c r="K439" s="153"/>
      <c r="L439" s="154"/>
      <c r="M439" s="154"/>
      <c r="N439" s="155"/>
      <c r="O439" s="155"/>
      <c r="P439" s="155"/>
      <c r="Q439" s="155"/>
      <c r="R439" s="155"/>
      <c r="S439" s="156"/>
      <c r="T439" s="156"/>
      <c r="U439" s="156"/>
      <c r="V439" s="156"/>
      <c r="W439" s="156"/>
      <c r="X439" s="157"/>
      <c r="Y439" s="157"/>
      <c r="Z439" s="157"/>
      <c r="AA439" s="157"/>
      <c r="AB439" s="157"/>
      <c r="AC439" s="1"/>
      <c r="AD439" s="1"/>
    </row>
    <row r="440" ht="12.75" customHeight="1">
      <c r="A440" s="1"/>
      <c r="B440" s="146"/>
      <c r="C440" s="150"/>
      <c r="D440" s="151"/>
      <c r="E440" s="24"/>
      <c r="F440" s="24"/>
      <c r="G440" s="24"/>
      <c r="H440" s="152"/>
      <c r="I440" s="152"/>
      <c r="J440" s="153"/>
      <c r="K440" s="153"/>
      <c r="L440" s="154"/>
      <c r="M440" s="154"/>
      <c r="N440" s="155"/>
      <c r="O440" s="155"/>
      <c r="P440" s="155"/>
      <c r="Q440" s="155"/>
      <c r="R440" s="155"/>
      <c r="S440" s="156"/>
      <c r="T440" s="156"/>
      <c r="U440" s="156"/>
      <c r="V440" s="156"/>
      <c r="W440" s="156"/>
      <c r="X440" s="157"/>
      <c r="Y440" s="157"/>
      <c r="Z440" s="157"/>
      <c r="AA440" s="157"/>
      <c r="AB440" s="157"/>
      <c r="AC440" s="1"/>
      <c r="AD440" s="1"/>
    </row>
    <row r="441" ht="12.75" customHeight="1">
      <c r="A441" s="1"/>
      <c r="B441" s="146"/>
      <c r="C441" s="150"/>
      <c r="D441" s="151"/>
      <c r="E441" s="24"/>
      <c r="F441" s="24"/>
      <c r="G441" s="24"/>
      <c r="H441" s="152"/>
      <c r="I441" s="152"/>
      <c r="J441" s="153"/>
      <c r="K441" s="153"/>
      <c r="L441" s="154"/>
      <c r="M441" s="154"/>
      <c r="N441" s="155"/>
      <c r="O441" s="155"/>
      <c r="P441" s="155"/>
      <c r="Q441" s="155"/>
      <c r="R441" s="155"/>
      <c r="S441" s="156"/>
      <c r="T441" s="156"/>
      <c r="U441" s="156"/>
      <c r="V441" s="156"/>
      <c r="W441" s="156"/>
      <c r="X441" s="157"/>
      <c r="Y441" s="157"/>
      <c r="Z441" s="157"/>
      <c r="AA441" s="157"/>
      <c r="AB441" s="157"/>
      <c r="AC441" s="1"/>
      <c r="AD441" s="1"/>
    </row>
    <row r="442" ht="12.75" customHeight="1">
      <c r="A442" s="1"/>
      <c r="B442" s="146"/>
      <c r="C442" s="150"/>
      <c r="D442" s="151"/>
      <c r="E442" s="24"/>
      <c r="F442" s="24"/>
      <c r="G442" s="24"/>
      <c r="H442" s="152"/>
      <c r="I442" s="152"/>
      <c r="J442" s="153"/>
      <c r="K442" s="153"/>
      <c r="L442" s="154"/>
      <c r="M442" s="154"/>
      <c r="N442" s="155"/>
      <c r="O442" s="155"/>
      <c r="P442" s="155"/>
      <c r="Q442" s="155"/>
      <c r="R442" s="155"/>
      <c r="S442" s="156"/>
      <c r="T442" s="156"/>
      <c r="U442" s="156"/>
      <c r="V442" s="156"/>
      <c r="W442" s="156"/>
      <c r="X442" s="157"/>
      <c r="Y442" s="157"/>
      <c r="Z442" s="157"/>
      <c r="AA442" s="157"/>
      <c r="AB442" s="157"/>
      <c r="AC442" s="1"/>
      <c r="AD442" s="1"/>
    </row>
    <row r="443" ht="12.75" customHeight="1">
      <c r="A443" s="1"/>
      <c r="B443" s="146"/>
      <c r="C443" s="150"/>
      <c r="D443" s="151"/>
      <c r="E443" s="24"/>
      <c r="F443" s="24"/>
      <c r="G443" s="24"/>
      <c r="H443" s="152"/>
      <c r="I443" s="152"/>
      <c r="J443" s="153"/>
      <c r="K443" s="153"/>
      <c r="L443" s="154"/>
      <c r="M443" s="154"/>
      <c r="N443" s="155"/>
      <c r="O443" s="155"/>
      <c r="P443" s="155"/>
      <c r="Q443" s="155"/>
      <c r="R443" s="155"/>
      <c r="S443" s="156"/>
      <c r="T443" s="156"/>
      <c r="U443" s="156"/>
      <c r="V443" s="156"/>
      <c r="W443" s="156"/>
      <c r="X443" s="157"/>
      <c r="Y443" s="157"/>
      <c r="Z443" s="157"/>
      <c r="AA443" s="157"/>
      <c r="AB443" s="157"/>
      <c r="AC443" s="1"/>
      <c r="AD443" s="1"/>
    </row>
    <row r="444" ht="12.75" customHeight="1">
      <c r="A444" s="1"/>
      <c r="B444" s="146"/>
      <c r="C444" s="150"/>
      <c r="D444" s="151"/>
      <c r="E444" s="24"/>
      <c r="F444" s="24"/>
      <c r="G444" s="24"/>
      <c r="H444" s="152"/>
      <c r="I444" s="152"/>
      <c r="J444" s="153"/>
      <c r="K444" s="153"/>
      <c r="L444" s="154"/>
      <c r="M444" s="154"/>
      <c r="N444" s="155"/>
      <c r="O444" s="155"/>
      <c r="P444" s="155"/>
      <c r="Q444" s="155"/>
      <c r="R444" s="155"/>
      <c r="S444" s="156"/>
      <c r="T444" s="156"/>
      <c r="U444" s="156"/>
      <c r="V444" s="156"/>
      <c r="W444" s="156"/>
      <c r="X444" s="157"/>
      <c r="Y444" s="157"/>
      <c r="Z444" s="157"/>
      <c r="AA444" s="157"/>
      <c r="AB444" s="157"/>
      <c r="AC444" s="1"/>
      <c r="AD444" s="1"/>
    </row>
    <row r="445" ht="12.75" customHeight="1">
      <c r="A445" s="1"/>
      <c r="B445" s="146"/>
      <c r="C445" s="150"/>
      <c r="D445" s="151"/>
      <c r="E445" s="24"/>
      <c r="F445" s="24"/>
      <c r="G445" s="24"/>
      <c r="H445" s="152"/>
      <c r="I445" s="152"/>
      <c r="J445" s="153"/>
      <c r="K445" s="153"/>
      <c r="L445" s="154"/>
      <c r="M445" s="154"/>
      <c r="N445" s="155"/>
      <c r="O445" s="155"/>
      <c r="P445" s="155"/>
      <c r="Q445" s="155"/>
      <c r="R445" s="155"/>
      <c r="S445" s="156"/>
      <c r="T445" s="156"/>
      <c r="U445" s="156"/>
      <c r="V445" s="156"/>
      <c r="W445" s="156"/>
      <c r="X445" s="157"/>
      <c r="Y445" s="157"/>
      <c r="Z445" s="157"/>
      <c r="AA445" s="157"/>
      <c r="AB445" s="157"/>
      <c r="AC445" s="1"/>
      <c r="AD445" s="1"/>
    </row>
    <row r="446" ht="12.75" customHeight="1">
      <c r="A446" s="1"/>
      <c r="B446" s="146"/>
      <c r="C446" s="150"/>
      <c r="D446" s="151"/>
      <c r="E446" s="24"/>
      <c r="F446" s="24"/>
      <c r="G446" s="24"/>
      <c r="H446" s="152"/>
      <c r="I446" s="152"/>
      <c r="J446" s="153"/>
      <c r="K446" s="153"/>
      <c r="L446" s="154"/>
      <c r="M446" s="154"/>
      <c r="N446" s="155"/>
      <c r="O446" s="155"/>
      <c r="P446" s="155"/>
      <c r="Q446" s="155"/>
      <c r="R446" s="155"/>
      <c r="S446" s="156"/>
      <c r="T446" s="156"/>
      <c r="U446" s="156"/>
      <c r="V446" s="156"/>
      <c r="W446" s="156"/>
      <c r="X446" s="157"/>
      <c r="Y446" s="157"/>
      <c r="Z446" s="157"/>
      <c r="AA446" s="157"/>
      <c r="AB446" s="157"/>
      <c r="AC446" s="1"/>
      <c r="AD446" s="1"/>
    </row>
    <row r="447" ht="12.75" customHeight="1">
      <c r="A447" s="1"/>
      <c r="B447" s="146"/>
      <c r="C447" s="150"/>
      <c r="D447" s="151"/>
      <c r="E447" s="24"/>
      <c r="F447" s="24"/>
      <c r="G447" s="24"/>
      <c r="H447" s="152"/>
      <c r="I447" s="152"/>
      <c r="J447" s="153"/>
      <c r="K447" s="153"/>
      <c r="L447" s="154"/>
      <c r="M447" s="154"/>
      <c r="N447" s="155"/>
      <c r="O447" s="155"/>
      <c r="P447" s="155"/>
      <c r="Q447" s="155"/>
      <c r="R447" s="155"/>
      <c r="S447" s="156"/>
      <c r="T447" s="156"/>
      <c r="U447" s="156"/>
      <c r="V447" s="156"/>
      <c r="W447" s="156"/>
      <c r="X447" s="157"/>
      <c r="Y447" s="157"/>
      <c r="Z447" s="157"/>
      <c r="AA447" s="157"/>
      <c r="AB447" s="157"/>
      <c r="AC447" s="1"/>
      <c r="AD447" s="1"/>
    </row>
    <row r="448" ht="12.75" customHeight="1">
      <c r="A448" s="1"/>
      <c r="B448" s="146"/>
      <c r="C448" s="150"/>
      <c r="D448" s="151"/>
      <c r="E448" s="24"/>
      <c r="F448" s="24"/>
      <c r="G448" s="24"/>
      <c r="H448" s="152"/>
      <c r="I448" s="152"/>
      <c r="J448" s="153"/>
      <c r="K448" s="153"/>
      <c r="L448" s="154"/>
      <c r="M448" s="154"/>
      <c r="N448" s="155"/>
      <c r="O448" s="155"/>
      <c r="P448" s="155"/>
      <c r="Q448" s="155"/>
      <c r="R448" s="155"/>
      <c r="S448" s="156"/>
      <c r="T448" s="156"/>
      <c r="U448" s="156"/>
      <c r="V448" s="156"/>
      <c r="W448" s="156"/>
      <c r="X448" s="157"/>
      <c r="Y448" s="157"/>
      <c r="Z448" s="157"/>
      <c r="AA448" s="157"/>
      <c r="AB448" s="157"/>
      <c r="AC448" s="1"/>
      <c r="AD448" s="1"/>
    </row>
    <row r="449" ht="12.75" customHeight="1">
      <c r="A449" s="1"/>
      <c r="B449" s="146"/>
      <c r="C449" s="150"/>
      <c r="D449" s="151"/>
      <c r="E449" s="24"/>
      <c r="F449" s="24"/>
      <c r="G449" s="24"/>
      <c r="H449" s="152"/>
      <c r="I449" s="152"/>
      <c r="J449" s="153"/>
      <c r="K449" s="153"/>
      <c r="L449" s="154"/>
      <c r="M449" s="154"/>
      <c r="N449" s="155"/>
      <c r="O449" s="155"/>
      <c r="P449" s="155"/>
      <c r="Q449" s="155"/>
      <c r="R449" s="155"/>
      <c r="S449" s="156"/>
      <c r="T449" s="156"/>
      <c r="U449" s="156"/>
      <c r="V449" s="156"/>
      <c r="W449" s="156"/>
      <c r="X449" s="157"/>
      <c r="Y449" s="157"/>
      <c r="Z449" s="157"/>
      <c r="AA449" s="157"/>
      <c r="AB449" s="157"/>
      <c r="AC449" s="1"/>
      <c r="AD449" s="1"/>
    </row>
    <row r="450" ht="12.75" customHeight="1">
      <c r="A450" s="1"/>
      <c r="B450" s="146"/>
      <c r="C450" s="150"/>
      <c r="D450" s="151"/>
      <c r="E450" s="24"/>
      <c r="F450" s="24"/>
      <c r="G450" s="24"/>
      <c r="H450" s="152"/>
      <c r="I450" s="152"/>
      <c r="J450" s="153"/>
      <c r="K450" s="153"/>
      <c r="L450" s="154"/>
      <c r="M450" s="154"/>
      <c r="N450" s="155"/>
      <c r="O450" s="155"/>
      <c r="P450" s="155"/>
      <c r="Q450" s="155"/>
      <c r="R450" s="155"/>
      <c r="S450" s="156"/>
      <c r="T450" s="156"/>
      <c r="U450" s="156"/>
      <c r="V450" s="156"/>
      <c r="W450" s="156"/>
      <c r="X450" s="157"/>
      <c r="Y450" s="157"/>
      <c r="Z450" s="157"/>
      <c r="AA450" s="157"/>
      <c r="AB450" s="157"/>
      <c r="AC450" s="1"/>
      <c r="AD450" s="1"/>
    </row>
    <row r="451" ht="12.75" customHeight="1">
      <c r="A451" s="1"/>
      <c r="B451" s="146"/>
      <c r="C451" s="150"/>
      <c r="D451" s="151"/>
      <c r="E451" s="24"/>
      <c r="F451" s="24"/>
      <c r="G451" s="24"/>
      <c r="H451" s="152"/>
      <c r="I451" s="152"/>
      <c r="J451" s="153"/>
      <c r="K451" s="153"/>
      <c r="L451" s="154"/>
      <c r="M451" s="154"/>
      <c r="N451" s="155"/>
      <c r="O451" s="155"/>
      <c r="P451" s="155"/>
      <c r="Q451" s="155"/>
      <c r="R451" s="155"/>
      <c r="S451" s="156"/>
      <c r="T451" s="156"/>
      <c r="U451" s="156"/>
      <c r="V451" s="156"/>
      <c r="W451" s="156"/>
      <c r="X451" s="157"/>
      <c r="Y451" s="157"/>
      <c r="Z451" s="157"/>
      <c r="AA451" s="157"/>
      <c r="AB451" s="157"/>
      <c r="AC451" s="1"/>
      <c r="AD451" s="1"/>
    </row>
    <row r="452" ht="12.75" customHeight="1">
      <c r="A452" s="1"/>
      <c r="B452" s="146"/>
      <c r="C452" s="150"/>
      <c r="D452" s="151"/>
      <c r="E452" s="24"/>
      <c r="F452" s="24"/>
      <c r="G452" s="24"/>
      <c r="H452" s="152"/>
      <c r="I452" s="152"/>
      <c r="J452" s="153"/>
      <c r="K452" s="153"/>
      <c r="L452" s="154"/>
      <c r="M452" s="154"/>
      <c r="N452" s="155"/>
      <c r="O452" s="155"/>
      <c r="P452" s="155"/>
      <c r="Q452" s="155"/>
      <c r="R452" s="155"/>
      <c r="S452" s="156"/>
      <c r="T452" s="156"/>
      <c r="U452" s="156"/>
      <c r="V452" s="156"/>
      <c r="W452" s="156"/>
      <c r="X452" s="157"/>
      <c r="Y452" s="157"/>
      <c r="Z452" s="157"/>
      <c r="AA452" s="157"/>
      <c r="AB452" s="157"/>
      <c r="AC452" s="1"/>
      <c r="AD452" s="1"/>
    </row>
    <row r="453" ht="12.75" customHeight="1">
      <c r="A453" s="1"/>
      <c r="B453" s="146"/>
      <c r="C453" s="150"/>
      <c r="D453" s="151"/>
      <c r="E453" s="24"/>
      <c r="F453" s="24"/>
      <c r="G453" s="24"/>
      <c r="H453" s="152"/>
      <c r="I453" s="152"/>
      <c r="J453" s="153"/>
      <c r="K453" s="153"/>
      <c r="L453" s="154"/>
      <c r="M453" s="154"/>
      <c r="N453" s="155"/>
      <c r="O453" s="155"/>
      <c r="P453" s="155"/>
      <c r="Q453" s="155"/>
      <c r="R453" s="155"/>
      <c r="S453" s="156"/>
      <c r="T453" s="156"/>
      <c r="U453" s="156"/>
      <c r="V453" s="156"/>
      <c r="W453" s="156"/>
      <c r="X453" s="157"/>
      <c r="Y453" s="157"/>
      <c r="Z453" s="157"/>
      <c r="AA453" s="157"/>
      <c r="AB453" s="157"/>
      <c r="AC453" s="1"/>
      <c r="AD453" s="1"/>
    </row>
    <row r="454" ht="12.75" customHeight="1">
      <c r="A454" s="1"/>
      <c r="B454" s="146"/>
      <c r="C454" s="150"/>
      <c r="D454" s="151"/>
      <c r="E454" s="24"/>
      <c r="F454" s="24"/>
      <c r="G454" s="24"/>
      <c r="H454" s="152"/>
      <c r="I454" s="152"/>
      <c r="J454" s="153"/>
      <c r="K454" s="153"/>
      <c r="L454" s="154"/>
      <c r="M454" s="154"/>
      <c r="N454" s="155"/>
      <c r="O454" s="155"/>
      <c r="P454" s="155"/>
      <c r="Q454" s="155"/>
      <c r="R454" s="155"/>
      <c r="S454" s="156"/>
      <c r="T454" s="156"/>
      <c r="U454" s="156"/>
      <c r="V454" s="156"/>
      <c r="W454" s="156"/>
      <c r="X454" s="157"/>
      <c r="Y454" s="157"/>
      <c r="Z454" s="157"/>
      <c r="AA454" s="157"/>
      <c r="AB454" s="157"/>
      <c r="AC454" s="1"/>
      <c r="AD454" s="1"/>
    </row>
    <row r="455" ht="12.75" customHeight="1">
      <c r="A455" s="1"/>
      <c r="B455" s="146"/>
      <c r="C455" s="150"/>
      <c r="D455" s="151"/>
      <c r="E455" s="24"/>
      <c r="F455" s="24"/>
      <c r="G455" s="24"/>
      <c r="H455" s="152"/>
      <c r="I455" s="152"/>
      <c r="J455" s="153"/>
      <c r="K455" s="153"/>
      <c r="L455" s="154"/>
      <c r="M455" s="154"/>
      <c r="N455" s="155"/>
      <c r="O455" s="155"/>
      <c r="P455" s="155"/>
      <c r="Q455" s="155"/>
      <c r="R455" s="155"/>
      <c r="S455" s="156"/>
      <c r="T455" s="156"/>
      <c r="U455" s="156"/>
      <c r="V455" s="156"/>
      <c r="W455" s="156"/>
      <c r="X455" s="157"/>
      <c r="Y455" s="157"/>
      <c r="Z455" s="157"/>
      <c r="AA455" s="157"/>
      <c r="AB455" s="157"/>
      <c r="AC455" s="1"/>
      <c r="AD455" s="1"/>
    </row>
    <row r="456" ht="12.75" customHeight="1">
      <c r="A456" s="1"/>
      <c r="B456" s="146"/>
      <c r="C456" s="150"/>
      <c r="D456" s="151"/>
      <c r="E456" s="24"/>
      <c r="F456" s="24"/>
      <c r="G456" s="24"/>
      <c r="H456" s="152"/>
      <c r="I456" s="152"/>
      <c r="J456" s="153"/>
      <c r="K456" s="153"/>
      <c r="L456" s="154"/>
      <c r="M456" s="154"/>
      <c r="N456" s="155"/>
      <c r="O456" s="155"/>
      <c r="P456" s="155"/>
      <c r="Q456" s="155"/>
      <c r="R456" s="155"/>
      <c r="S456" s="156"/>
      <c r="T456" s="156"/>
      <c r="U456" s="156"/>
      <c r="V456" s="156"/>
      <c r="W456" s="156"/>
      <c r="X456" s="157"/>
      <c r="Y456" s="157"/>
      <c r="Z456" s="157"/>
      <c r="AA456" s="157"/>
      <c r="AB456" s="157"/>
      <c r="AC456" s="1"/>
      <c r="AD456" s="1"/>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B2:AG2"/>
    <mergeCell ref="A3:AG3"/>
    <mergeCell ref="B5:G5"/>
    <mergeCell ref="B6:C6"/>
    <mergeCell ref="AC7:AG18"/>
    <mergeCell ref="B20:C20"/>
    <mergeCell ref="B38:C38"/>
    <mergeCell ref="B53:C53"/>
    <mergeCell ref="B65:G65"/>
    <mergeCell ref="B66:C66"/>
    <mergeCell ref="B80:C80"/>
    <mergeCell ref="B93:C93"/>
    <mergeCell ref="B106:C106"/>
    <mergeCell ref="B118:G118"/>
    <mergeCell ref="AC120:AG134"/>
    <mergeCell ref="AC137:AG153"/>
    <mergeCell ref="AC156:AG169"/>
    <mergeCell ref="AC172:AG184"/>
    <mergeCell ref="AC188:AG204"/>
    <mergeCell ref="AC207:AG222"/>
    <mergeCell ref="AC225:AG238"/>
    <mergeCell ref="AC241:AG254"/>
    <mergeCell ref="AC21:AG36"/>
    <mergeCell ref="AC39:AG51"/>
    <mergeCell ref="AC54:AG63"/>
    <mergeCell ref="AC67:AG78"/>
    <mergeCell ref="AC81:AG91"/>
    <mergeCell ref="AC94:AG104"/>
    <mergeCell ref="AC107:AG116"/>
    <mergeCell ref="B224:C224"/>
    <mergeCell ref="B240:C240"/>
    <mergeCell ref="B119:C119"/>
    <mergeCell ref="B136:C136"/>
    <mergeCell ref="B155:C155"/>
    <mergeCell ref="B171:C171"/>
    <mergeCell ref="B186:G186"/>
    <mergeCell ref="B187:C187"/>
    <mergeCell ref="B206:C20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5.43"/>
    <col customWidth="1" min="2" max="2" width="2.14"/>
    <col customWidth="1" min="3" max="3" width="24.29"/>
    <col customWidth="1" min="4" max="4" width="0.14"/>
    <col customWidth="1" min="5" max="5" width="10.71"/>
    <col customWidth="1" min="6" max="6" width="9.14"/>
    <col customWidth="1" min="7" max="7" width="10.71"/>
    <col customWidth="1" hidden="1" min="8" max="8" width="0.14"/>
    <col customWidth="1" hidden="1" min="9" max="9" width="7.57"/>
    <col customWidth="1" hidden="1" min="10" max="11" width="7.43"/>
    <col customWidth="1" hidden="1" min="12" max="12" width="7.57"/>
    <col customWidth="1" hidden="1" min="13" max="13" width="7.43"/>
    <col customWidth="1" hidden="1" min="14" max="14" width="7.57"/>
    <col customWidth="1" hidden="1" min="15" max="15" width="7.14"/>
    <col customWidth="1" hidden="1" min="16" max="17" width="7.43"/>
    <col customWidth="1" hidden="1" min="18" max="20" width="7.57"/>
    <col customWidth="1" hidden="1" min="21" max="21" width="7.71"/>
    <col customWidth="1" hidden="1" min="22" max="22" width="8.0"/>
    <col customWidth="1" hidden="1" min="23" max="24" width="7.71"/>
    <col customWidth="1" hidden="1" min="25" max="26" width="7.86"/>
    <col customWidth="1" hidden="1" min="27" max="27" width="7.71"/>
    <col customWidth="1" hidden="1" min="28" max="28" width="8.0"/>
    <col customWidth="1" min="29" max="33" width="8.71"/>
  </cols>
  <sheetData>
    <row r="1" ht="12.75" customHeight="1">
      <c r="A1" s="1"/>
      <c r="B1" s="67"/>
      <c r="C1" s="68"/>
      <c r="D1" s="68"/>
      <c r="E1" s="68"/>
      <c r="F1" s="68"/>
      <c r="G1" s="68"/>
      <c r="H1" s="138"/>
      <c r="I1" s="138"/>
      <c r="J1" s="138"/>
      <c r="K1" s="138"/>
      <c r="L1" s="138"/>
      <c r="M1" s="138"/>
      <c r="N1" s="67"/>
      <c r="O1" s="67"/>
      <c r="P1" s="67"/>
      <c r="Q1" s="67"/>
      <c r="R1" s="67"/>
      <c r="S1" s="67"/>
      <c r="T1" s="67"/>
      <c r="U1" s="67"/>
      <c r="V1" s="67"/>
      <c r="W1" s="67"/>
      <c r="X1" s="67"/>
      <c r="Y1" s="67"/>
      <c r="Z1" s="67"/>
      <c r="AA1" s="67"/>
      <c r="AB1" s="67"/>
      <c r="AC1" s="67"/>
      <c r="AD1" s="67"/>
      <c r="AE1" s="67"/>
      <c r="AF1" s="67"/>
      <c r="AG1" s="67"/>
    </row>
    <row r="2" ht="19.5" customHeight="1">
      <c r="A2" s="1"/>
      <c r="B2" s="158" t="s">
        <v>90</v>
      </c>
      <c r="C2" s="159"/>
      <c r="D2" s="160"/>
      <c r="E2" s="161"/>
      <c r="F2" s="161"/>
      <c r="G2" s="161"/>
      <c r="H2" s="161"/>
      <c r="I2" s="161"/>
      <c r="J2" s="162"/>
      <c r="K2" s="162"/>
      <c r="L2" s="162"/>
      <c r="M2" s="162"/>
      <c r="N2" s="163"/>
      <c r="O2" s="163"/>
      <c r="P2" s="163"/>
      <c r="Q2" s="163"/>
      <c r="R2" s="163"/>
      <c r="S2" s="163"/>
      <c r="T2" s="163"/>
      <c r="U2" s="163"/>
      <c r="V2" s="163"/>
      <c r="W2" s="163"/>
      <c r="X2" s="163"/>
      <c r="Y2" s="163"/>
      <c r="Z2" s="163"/>
      <c r="AA2" s="163"/>
      <c r="AB2" s="163"/>
      <c r="AC2" s="163"/>
      <c r="AD2" s="163"/>
      <c r="AE2" s="163"/>
      <c r="AF2" s="163"/>
      <c r="AG2" s="163"/>
    </row>
    <row r="3" ht="3.0"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ht="9.0" customHeight="1">
      <c r="A4" s="1"/>
      <c r="B4" s="136"/>
      <c r="C4" s="136"/>
      <c r="D4" s="136"/>
      <c r="E4" s="164"/>
      <c r="F4" s="138"/>
      <c r="G4" s="68"/>
      <c r="H4" s="138"/>
      <c r="I4" s="138"/>
      <c r="J4" s="138"/>
      <c r="K4" s="138"/>
      <c r="L4" s="138"/>
      <c r="M4" s="138"/>
      <c r="N4" s="67"/>
      <c r="O4" s="67"/>
      <c r="P4" s="67"/>
      <c r="Q4" s="67"/>
      <c r="R4" s="67"/>
      <c r="S4" s="67"/>
      <c r="T4" s="67"/>
      <c r="U4" s="67"/>
      <c r="V4" s="67"/>
      <c r="W4" s="67"/>
      <c r="X4" s="67"/>
      <c r="Y4" s="67"/>
      <c r="Z4" s="67"/>
      <c r="AA4" s="67"/>
      <c r="AB4" s="67"/>
      <c r="AC4" s="67"/>
      <c r="AD4" s="67"/>
      <c r="AE4" s="67"/>
      <c r="AF4" s="67"/>
      <c r="AG4" s="67"/>
    </row>
    <row r="5" ht="27.0" customHeight="1">
      <c r="A5" s="1"/>
      <c r="B5" s="66" t="s">
        <v>29</v>
      </c>
      <c r="H5" s="138"/>
      <c r="I5" s="138"/>
      <c r="J5" s="138"/>
      <c r="K5" s="138"/>
      <c r="L5" s="138"/>
      <c r="M5" s="138"/>
      <c r="N5" s="67" t="s">
        <v>30</v>
      </c>
      <c r="O5" s="67"/>
      <c r="P5" s="67"/>
      <c r="Q5" s="67"/>
      <c r="R5" s="67"/>
      <c r="S5" s="67" t="s">
        <v>31</v>
      </c>
      <c r="T5" s="67"/>
      <c r="U5" s="67"/>
      <c r="V5" s="67"/>
      <c r="W5" s="67"/>
      <c r="X5" s="67" t="s">
        <v>32</v>
      </c>
      <c r="Y5" s="67"/>
      <c r="Z5" s="67"/>
      <c r="AA5" s="67"/>
      <c r="AB5" s="67"/>
      <c r="AC5" s="67"/>
      <c r="AD5" s="67"/>
      <c r="AE5" s="67"/>
      <c r="AF5" s="67"/>
      <c r="AG5" s="67"/>
    </row>
    <row r="6" ht="30.0" customHeight="1">
      <c r="A6" s="1"/>
      <c r="B6" s="68" t="s">
        <v>33</v>
      </c>
      <c r="D6" s="137" t="s">
        <v>34</v>
      </c>
      <c r="E6" s="138" t="s">
        <v>35</v>
      </c>
      <c r="F6" s="138" t="s">
        <v>36</v>
      </c>
      <c r="G6" s="138" t="s">
        <v>37</v>
      </c>
      <c r="H6" s="138"/>
      <c r="I6" s="138"/>
      <c r="J6" s="138"/>
      <c r="K6" s="138"/>
      <c r="L6" s="138"/>
      <c r="M6" s="138"/>
      <c r="N6" s="67" t="s">
        <v>38</v>
      </c>
      <c r="O6" s="67" t="s">
        <v>39</v>
      </c>
      <c r="P6" s="67" t="s">
        <v>40</v>
      </c>
      <c r="Q6" s="67" t="s">
        <v>41</v>
      </c>
      <c r="R6" s="67" t="s">
        <v>42</v>
      </c>
      <c r="S6" s="67" t="s">
        <v>38</v>
      </c>
      <c r="T6" s="67" t="s">
        <v>39</v>
      </c>
      <c r="U6" s="67" t="s">
        <v>40</v>
      </c>
      <c r="V6" s="67" t="s">
        <v>41</v>
      </c>
      <c r="W6" s="67" t="s">
        <v>42</v>
      </c>
      <c r="X6" s="67" t="s">
        <v>38</v>
      </c>
      <c r="Y6" s="67" t="s">
        <v>39</v>
      </c>
      <c r="Z6" s="67" t="s">
        <v>40</v>
      </c>
      <c r="AA6" s="67" t="s">
        <v>41</v>
      </c>
      <c r="AB6" s="67" t="s">
        <v>42</v>
      </c>
      <c r="AC6" s="67" t="s">
        <v>43</v>
      </c>
      <c r="AD6" s="67"/>
      <c r="AE6" s="67"/>
      <c r="AF6" s="67"/>
      <c r="AG6" s="67"/>
    </row>
    <row r="7" ht="12.75" customHeight="1">
      <c r="A7" s="1"/>
      <c r="B7" s="123">
        <v>1.0</v>
      </c>
      <c r="C7" s="124" t="s">
        <v>45</v>
      </c>
      <c r="D7" s="125">
        <v>0.5</v>
      </c>
      <c r="E7" s="126">
        <v>5.0</v>
      </c>
      <c r="F7" s="127">
        <v>1.0</v>
      </c>
      <c r="G7" s="128">
        <f>'Start Here'!$F$22*D7</f>
        <v>50</v>
      </c>
      <c r="H7" s="138"/>
      <c r="I7" s="165"/>
      <c r="J7" s="166">
        <f t="shared" ref="J7:J10" si="1">E7*F7</f>
        <v>5</v>
      </c>
      <c r="K7" s="165">
        <f t="shared" ref="K7:K10" si="2">G7*J7</f>
        <v>250</v>
      </c>
      <c r="L7" s="166"/>
      <c r="M7" s="138"/>
      <c r="N7" s="67"/>
      <c r="O7" s="67"/>
      <c r="P7" s="67"/>
      <c r="Q7" s="67"/>
      <c r="R7" s="67"/>
      <c r="S7" s="93">
        <f t="shared" ref="S7:S10" si="3">IF(ISNUMBER(SEARCH("bench",$C7)),IF($D7&gt;=0.5,IF($D7&lt;0.6,$E7*$F7," ")," ")," ")</f>
        <v>5</v>
      </c>
      <c r="T7" s="93" t="str">
        <f t="shared" ref="T7:T10" si="4">IF(ISNUMBER(SEARCH("bench",$C7)),IF($D7&gt;=0.6,IF($D7&lt;0.7,$E7*$F7," ")," ")," ")</f>
        <v> </v>
      </c>
      <c r="U7" s="93" t="str">
        <f t="shared" ref="U7:U10" si="5">IF(ISNUMBER(SEARCH("bench",$C7)),IF($D7&gt;=0.7,IF($D7&lt;0.8,$E7*$F7," ")," ")," ")</f>
        <v> </v>
      </c>
      <c r="V7" s="93" t="str">
        <f t="shared" ref="V7:V10" si="6">IF(ISNUMBER(SEARCH("bench",$C7)),IF($D7&gt;=0.8,IF($D7&lt;0.9,$E7*$F7," ")," ")," ")</f>
        <v> </v>
      </c>
      <c r="W7" s="93" t="str">
        <f t="shared" ref="W7:W10" si="7">IF(ISNUMBER(SEARCH("bench",$C7)),IF($D7&gt;=0.9,$E7*$F7," ")," ")</f>
        <v> </v>
      </c>
      <c r="X7" s="67"/>
      <c r="Y7" s="67"/>
      <c r="Z7" s="67"/>
      <c r="AA7" s="67"/>
      <c r="AB7" s="67"/>
      <c r="AC7" s="76"/>
      <c r="AD7" s="77"/>
      <c r="AE7" s="77"/>
      <c r="AF7" s="77"/>
      <c r="AG7" s="78"/>
    </row>
    <row r="8" ht="12.75" customHeight="1">
      <c r="A8" s="1"/>
      <c r="B8" s="87"/>
      <c r="C8" s="94" t="s">
        <v>45</v>
      </c>
      <c r="D8" s="89">
        <v>0.6</v>
      </c>
      <c r="E8" s="90">
        <v>4.0</v>
      </c>
      <c r="F8" s="91">
        <v>1.0</v>
      </c>
      <c r="G8" s="92">
        <f>'Start Here'!$F$22*D8</f>
        <v>60</v>
      </c>
      <c r="H8" s="138"/>
      <c r="I8" s="165"/>
      <c r="J8" s="166">
        <f t="shared" si="1"/>
        <v>4</v>
      </c>
      <c r="K8" s="165">
        <f t="shared" si="2"/>
        <v>240</v>
      </c>
      <c r="L8" s="166"/>
      <c r="M8" s="138"/>
      <c r="N8" s="67"/>
      <c r="O8" s="67"/>
      <c r="P8" s="67"/>
      <c r="Q8" s="67"/>
      <c r="R8" s="67"/>
      <c r="S8" s="93" t="str">
        <f t="shared" si="3"/>
        <v> </v>
      </c>
      <c r="T8" s="93">
        <f t="shared" si="4"/>
        <v>4</v>
      </c>
      <c r="U8" s="93" t="str">
        <f t="shared" si="5"/>
        <v> </v>
      </c>
      <c r="V8" s="93" t="str">
        <f t="shared" si="6"/>
        <v> </v>
      </c>
      <c r="W8" s="93" t="str">
        <f t="shared" si="7"/>
        <v> </v>
      </c>
      <c r="X8" s="67"/>
      <c r="Y8" s="67"/>
      <c r="Z8" s="67"/>
      <c r="AA8" s="67"/>
      <c r="AB8" s="67"/>
      <c r="AC8" s="85"/>
      <c r="AG8" s="86"/>
    </row>
    <row r="9" ht="12.75" customHeight="1">
      <c r="A9" s="1"/>
      <c r="B9" s="87"/>
      <c r="C9" s="94" t="s">
        <v>45</v>
      </c>
      <c r="D9" s="89">
        <v>0.7</v>
      </c>
      <c r="E9" s="90">
        <v>3.0</v>
      </c>
      <c r="F9" s="91">
        <v>1.0</v>
      </c>
      <c r="G9" s="92">
        <f>'Start Here'!$F$22*D9</f>
        <v>70</v>
      </c>
      <c r="H9" s="138"/>
      <c r="I9" s="165"/>
      <c r="J9" s="166">
        <f t="shared" si="1"/>
        <v>3</v>
      </c>
      <c r="K9" s="165">
        <f t="shared" si="2"/>
        <v>210</v>
      </c>
      <c r="L9" s="166"/>
      <c r="M9" s="138"/>
      <c r="N9" s="67"/>
      <c r="O9" s="67"/>
      <c r="P9" s="67"/>
      <c r="Q9" s="67"/>
      <c r="R9" s="67"/>
      <c r="S9" s="93" t="str">
        <f t="shared" si="3"/>
        <v> </v>
      </c>
      <c r="T9" s="93" t="str">
        <f t="shared" si="4"/>
        <v> </v>
      </c>
      <c r="U9" s="93">
        <f t="shared" si="5"/>
        <v>3</v>
      </c>
      <c r="V9" s="93" t="str">
        <f t="shared" si="6"/>
        <v> </v>
      </c>
      <c r="W9" s="93" t="str">
        <f t="shared" si="7"/>
        <v> </v>
      </c>
      <c r="X9" s="67"/>
      <c r="Y9" s="67"/>
      <c r="Z9" s="67"/>
      <c r="AA9" s="67"/>
      <c r="AB9" s="67"/>
      <c r="AC9" s="85"/>
      <c r="AG9" s="86"/>
    </row>
    <row r="10" ht="12.75" customHeight="1">
      <c r="A10" s="1"/>
      <c r="B10" s="87"/>
      <c r="C10" s="94" t="s">
        <v>45</v>
      </c>
      <c r="D10" s="89">
        <v>0.8</v>
      </c>
      <c r="E10" s="90">
        <v>3.0</v>
      </c>
      <c r="F10" s="91">
        <v>4.0</v>
      </c>
      <c r="G10" s="92">
        <f>'Start Here'!$F$22*D10</f>
        <v>80</v>
      </c>
      <c r="H10" s="138"/>
      <c r="I10" s="165"/>
      <c r="J10" s="166">
        <f t="shared" si="1"/>
        <v>12</v>
      </c>
      <c r="K10" s="165">
        <f t="shared" si="2"/>
        <v>960</v>
      </c>
      <c r="L10" s="166"/>
      <c r="M10" s="138"/>
      <c r="N10" s="67"/>
      <c r="O10" s="67"/>
      <c r="P10" s="67"/>
      <c r="Q10" s="67"/>
      <c r="R10" s="67"/>
      <c r="S10" s="93" t="str">
        <f t="shared" si="3"/>
        <v> </v>
      </c>
      <c r="T10" s="93" t="str">
        <f t="shared" si="4"/>
        <v> </v>
      </c>
      <c r="U10" s="93" t="str">
        <f t="shared" si="5"/>
        <v> </v>
      </c>
      <c r="V10" s="93">
        <f t="shared" si="6"/>
        <v>12</v>
      </c>
      <c r="W10" s="93" t="str">
        <f t="shared" si="7"/>
        <v> </v>
      </c>
      <c r="X10" s="67"/>
      <c r="Y10" s="67"/>
      <c r="Z10" s="67"/>
      <c r="AA10" s="67"/>
      <c r="AB10" s="67"/>
      <c r="AC10" s="85"/>
      <c r="AG10" s="86"/>
    </row>
    <row r="11" ht="12.75" customHeight="1">
      <c r="A11" s="1"/>
      <c r="B11" s="79">
        <v>2.0</v>
      </c>
      <c r="C11" s="95" t="s">
        <v>46</v>
      </c>
      <c r="D11" s="81">
        <v>0.5</v>
      </c>
      <c r="E11" s="82">
        <v>5.0</v>
      </c>
      <c r="F11" s="83">
        <v>1.0</v>
      </c>
      <c r="G11" s="84">
        <f>'Start Here'!$F$21*D11</f>
        <v>50</v>
      </c>
      <c r="H11" s="138">
        <f t="shared" ref="H11:H18" si="8">E11*F11</f>
        <v>5</v>
      </c>
      <c r="I11" s="165">
        <f t="shared" ref="I11:I18" si="9">G11*H11</f>
        <v>250</v>
      </c>
      <c r="J11" s="166"/>
      <c r="K11" s="165"/>
      <c r="L11" s="166"/>
      <c r="M11" s="138"/>
      <c r="N11" s="75">
        <f t="shared" ref="N11:N18" si="10">IF(ISNUMBER(SEARCH("squat",$C11)),IF($D11&gt;=0.5,IF($D11&lt;0.6,$E11*$F11," ")," ")," ")</f>
        <v>5</v>
      </c>
      <c r="O11" s="75" t="str">
        <f t="shared" ref="O11:O18" si="11">IF(ISNUMBER(SEARCH("squat",$C11)),IF($D11&gt;=0.6,IF($D11&lt;0.7,$E11*$F11," ")," ")," ")</f>
        <v> </v>
      </c>
      <c r="P11" s="75" t="str">
        <f t="shared" ref="P11:P18" si="12">IF(ISNUMBER(SEARCH("squat",$C11)),IF($D11&gt;=0.7,IF($D11&lt;0.8,$E11*$F11," ")," ")," ")</f>
        <v> </v>
      </c>
      <c r="Q11" s="75" t="str">
        <f t="shared" ref="Q11:Q18" si="13">IF(ISNUMBER(SEARCH("squat",$C11)),IF($D11&gt;=0.8,IF($D11&lt;0.9,$E11*$F11," ")," ")," ")</f>
        <v> </v>
      </c>
      <c r="R11" s="75" t="str">
        <f t="shared" ref="R11:R18" si="14">IF(ISNUMBER(SEARCH("squat",$C11)),IF($D11&gt;=0.9,$E11*$F11," ")," ")</f>
        <v> </v>
      </c>
      <c r="S11" s="67"/>
      <c r="T11" s="67"/>
      <c r="U11" s="67"/>
      <c r="V11" s="67"/>
      <c r="W11" s="67"/>
      <c r="X11" s="67"/>
      <c r="Y11" s="67"/>
      <c r="Z11" s="67"/>
      <c r="AA11" s="67"/>
      <c r="AB11" s="67"/>
      <c r="AC11" s="85"/>
      <c r="AG11" s="86"/>
    </row>
    <row r="12" ht="12.75" customHeight="1">
      <c r="A12" s="1"/>
      <c r="B12" s="79"/>
      <c r="C12" s="80" t="s">
        <v>46</v>
      </c>
      <c r="D12" s="81">
        <v>0.6</v>
      </c>
      <c r="E12" s="82">
        <v>5.0</v>
      </c>
      <c r="F12" s="83">
        <v>1.0</v>
      </c>
      <c r="G12" s="84">
        <f>'Start Here'!$F$21*D12</f>
        <v>60</v>
      </c>
      <c r="H12" s="138">
        <f t="shared" si="8"/>
        <v>5</v>
      </c>
      <c r="I12" s="165">
        <f t="shared" si="9"/>
        <v>300</v>
      </c>
      <c r="J12" s="166"/>
      <c r="K12" s="165"/>
      <c r="L12" s="166"/>
      <c r="M12" s="138"/>
      <c r="N12" s="75" t="str">
        <f t="shared" si="10"/>
        <v> </v>
      </c>
      <c r="O12" s="75">
        <f t="shared" si="11"/>
        <v>5</v>
      </c>
      <c r="P12" s="75" t="str">
        <f t="shared" si="12"/>
        <v> </v>
      </c>
      <c r="Q12" s="75" t="str">
        <f t="shared" si="13"/>
        <v> </v>
      </c>
      <c r="R12" s="75" t="str">
        <f t="shared" si="14"/>
        <v> </v>
      </c>
      <c r="S12" s="67"/>
      <c r="T12" s="67"/>
      <c r="U12" s="67"/>
      <c r="V12" s="67"/>
      <c r="W12" s="67"/>
      <c r="X12" s="67"/>
      <c r="Y12" s="67"/>
      <c r="Z12" s="67"/>
      <c r="AA12" s="67"/>
      <c r="AB12" s="67"/>
      <c r="AC12" s="85"/>
      <c r="AG12" s="86"/>
    </row>
    <row r="13" ht="12.75" customHeight="1">
      <c r="A13" s="1"/>
      <c r="B13" s="79"/>
      <c r="C13" s="80" t="s">
        <v>46</v>
      </c>
      <c r="D13" s="81">
        <v>0.7</v>
      </c>
      <c r="E13" s="82">
        <v>3.0</v>
      </c>
      <c r="F13" s="83">
        <v>1.0</v>
      </c>
      <c r="G13" s="84">
        <f>'Start Here'!$F$21*D13</f>
        <v>70</v>
      </c>
      <c r="H13" s="138">
        <f t="shared" si="8"/>
        <v>3</v>
      </c>
      <c r="I13" s="165">
        <f t="shared" si="9"/>
        <v>210</v>
      </c>
      <c r="J13" s="166"/>
      <c r="K13" s="165"/>
      <c r="L13" s="166"/>
      <c r="M13" s="138"/>
      <c r="N13" s="75" t="str">
        <f t="shared" si="10"/>
        <v> </v>
      </c>
      <c r="O13" s="75" t="str">
        <f t="shared" si="11"/>
        <v> </v>
      </c>
      <c r="P13" s="75">
        <f t="shared" si="12"/>
        <v>3</v>
      </c>
      <c r="Q13" s="75" t="str">
        <f t="shared" si="13"/>
        <v> </v>
      </c>
      <c r="R13" s="75" t="str">
        <f t="shared" si="14"/>
        <v> </v>
      </c>
      <c r="S13" s="67"/>
      <c r="T13" s="67"/>
      <c r="U13" s="67"/>
      <c r="V13" s="67"/>
      <c r="W13" s="67"/>
      <c r="X13" s="67"/>
      <c r="Y13" s="67"/>
      <c r="Z13" s="67"/>
      <c r="AA13" s="67"/>
      <c r="AB13" s="67"/>
      <c r="AC13" s="85"/>
      <c r="AG13" s="86"/>
    </row>
    <row r="14" ht="12.75" customHeight="1">
      <c r="A14" s="1"/>
      <c r="B14" s="79"/>
      <c r="C14" s="80" t="s">
        <v>46</v>
      </c>
      <c r="D14" s="81">
        <v>0.7</v>
      </c>
      <c r="E14" s="82">
        <v>7.0</v>
      </c>
      <c r="F14" s="83">
        <v>1.0</v>
      </c>
      <c r="G14" s="84">
        <f>'Start Here'!$F$21*D14</f>
        <v>70</v>
      </c>
      <c r="H14" s="138">
        <f t="shared" si="8"/>
        <v>7</v>
      </c>
      <c r="I14" s="165">
        <f t="shared" si="9"/>
        <v>490</v>
      </c>
      <c r="J14" s="166"/>
      <c r="K14" s="165"/>
      <c r="L14" s="166"/>
      <c r="M14" s="138"/>
      <c r="N14" s="75" t="str">
        <f t="shared" si="10"/>
        <v> </v>
      </c>
      <c r="O14" s="75" t="str">
        <f t="shared" si="11"/>
        <v> </v>
      </c>
      <c r="P14" s="75">
        <f t="shared" si="12"/>
        <v>7</v>
      </c>
      <c r="Q14" s="75" t="str">
        <f t="shared" si="13"/>
        <v> </v>
      </c>
      <c r="R14" s="75" t="str">
        <f t="shared" si="14"/>
        <v> </v>
      </c>
      <c r="S14" s="67"/>
      <c r="T14" s="67"/>
      <c r="U14" s="67"/>
      <c r="V14" s="67"/>
      <c r="W14" s="67"/>
      <c r="X14" s="67"/>
      <c r="Y14" s="67"/>
      <c r="Z14" s="67"/>
      <c r="AA14" s="67"/>
      <c r="AB14" s="67"/>
      <c r="AC14" s="85"/>
      <c r="AG14" s="86"/>
    </row>
    <row r="15" ht="12.75" customHeight="1">
      <c r="A15" s="1"/>
      <c r="B15" s="79"/>
      <c r="C15" s="80" t="s">
        <v>46</v>
      </c>
      <c r="D15" s="81">
        <v>0.7</v>
      </c>
      <c r="E15" s="82">
        <v>4.0</v>
      </c>
      <c r="F15" s="83">
        <v>1.0</v>
      </c>
      <c r="G15" s="84">
        <f>'Start Here'!$F$21*D15</f>
        <v>70</v>
      </c>
      <c r="H15" s="138">
        <f t="shared" si="8"/>
        <v>4</v>
      </c>
      <c r="I15" s="165">
        <f t="shared" si="9"/>
        <v>280</v>
      </c>
      <c r="J15" s="166"/>
      <c r="K15" s="165"/>
      <c r="L15" s="166"/>
      <c r="M15" s="138"/>
      <c r="N15" s="75" t="str">
        <f t="shared" si="10"/>
        <v> </v>
      </c>
      <c r="O15" s="75" t="str">
        <f t="shared" si="11"/>
        <v> </v>
      </c>
      <c r="P15" s="75">
        <f t="shared" si="12"/>
        <v>4</v>
      </c>
      <c r="Q15" s="75" t="str">
        <f t="shared" si="13"/>
        <v> </v>
      </c>
      <c r="R15" s="75" t="str">
        <f t="shared" si="14"/>
        <v> </v>
      </c>
      <c r="S15" s="67"/>
      <c r="T15" s="67"/>
      <c r="U15" s="67"/>
      <c r="V15" s="67"/>
      <c r="W15" s="67"/>
      <c r="X15" s="67"/>
      <c r="Y15" s="67"/>
      <c r="Z15" s="67"/>
      <c r="AA15" s="67"/>
      <c r="AB15" s="67"/>
      <c r="AC15" s="85"/>
      <c r="AG15" s="86"/>
    </row>
    <row r="16" ht="12.75" customHeight="1">
      <c r="A16" s="1"/>
      <c r="B16" s="79"/>
      <c r="C16" s="80" t="s">
        <v>46</v>
      </c>
      <c r="D16" s="81">
        <v>0.7</v>
      </c>
      <c r="E16" s="82">
        <v>8.0</v>
      </c>
      <c r="F16" s="83">
        <v>1.0</v>
      </c>
      <c r="G16" s="84">
        <f>'Start Here'!$F$21*D16</f>
        <v>70</v>
      </c>
      <c r="H16" s="138">
        <f t="shared" si="8"/>
        <v>8</v>
      </c>
      <c r="I16" s="165">
        <f t="shared" si="9"/>
        <v>560</v>
      </c>
      <c r="J16" s="166"/>
      <c r="K16" s="165"/>
      <c r="L16" s="166"/>
      <c r="M16" s="138"/>
      <c r="N16" s="75" t="str">
        <f t="shared" si="10"/>
        <v> </v>
      </c>
      <c r="O16" s="75" t="str">
        <f t="shared" si="11"/>
        <v> </v>
      </c>
      <c r="P16" s="75">
        <f t="shared" si="12"/>
        <v>8</v>
      </c>
      <c r="Q16" s="75" t="str">
        <f t="shared" si="13"/>
        <v> </v>
      </c>
      <c r="R16" s="75" t="str">
        <f t="shared" si="14"/>
        <v> </v>
      </c>
      <c r="S16" s="67"/>
      <c r="T16" s="67"/>
      <c r="U16" s="67"/>
      <c r="V16" s="67"/>
      <c r="W16" s="67"/>
      <c r="X16" s="67"/>
      <c r="Y16" s="67"/>
      <c r="Z16" s="67"/>
      <c r="AA16" s="67"/>
      <c r="AB16" s="67"/>
      <c r="AC16" s="85"/>
      <c r="AG16" s="86"/>
    </row>
    <row r="17" ht="12.75" customHeight="1">
      <c r="A17" s="1"/>
      <c r="B17" s="79"/>
      <c r="C17" s="80" t="s">
        <v>46</v>
      </c>
      <c r="D17" s="81">
        <v>0.7</v>
      </c>
      <c r="E17" s="82">
        <v>2.0</v>
      </c>
      <c r="F17" s="83">
        <v>1.0</v>
      </c>
      <c r="G17" s="84">
        <f>'Start Here'!$F$21*D17</f>
        <v>70</v>
      </c>
      <c r="H17" s="138">
        <f t="shared" si="8"/>
        <v>2</v>
      </c>
      <c r="I17" s="165">
        <f t="shared" si="9"/>
        <v>140</v>
      </c>
      <c r="J17" s="166"/>
      <c r="K17" s="165"/>
      <c r="L17" s="166"/>
      <c r="M17" s="138"/>
      <c r="N17" s="75" t="str">
        <f t="shared" si="10"/>
        <v> </v>
      </c>
      <c r="O17" s="75" t="str">
        <f t="shared" si="11"/>
        <v> </v>
      </c>
      <c r="P17" s="75">
        <f t="shared" si="12"/>
        <v>2</v>
      </c>
      <c r="Q17" s="75" t="str">
        <f t="shared" si="13"/>
        <v> </v>
      </c>
      <c r="R17" s="75" t="str">
        <f t="shared" si="14"/>
        <v> </v>
      </c>
      <c r="S17" s="67"/>
      <c r="T17" s="67"/>
      <c r="U17" s="67"/>
      <c r="V17" s="67"/>
      <c r="W17" s="67"/>
      <c r="X17" s="67"/>
      <c r="Y17" s="67"/>
      <c r="Z17" s="67"/>
      <c r="AA17" s="67"/>
      <c r="AB17" s="67"/>
      <c r="AC17" s="85"/>
      <c r="AG17" s="86"/>
    </row>
    <row r="18" ht="12.75" customHeight="1">
      <c r="A18" s="1"/>
      <c r="B18" s="79"/>
      <c r="C18" s="80" t="s">
        <v>46</v>
      </c>
      <c r="D18" s="81">
        <v>0.7</v>
      </c>
      <c r="E18" s="82">
        <v>5.0</v>
      </c>
      <c r="F18" s="83">
        <v>1.0</v>
      </c>
      <c r="G18" s="84">
        <f>'Start Here'!$F$21*D18</f>
        <v>70</v>
      </c>
      <c r="H18" s="138">
        <f t="shared" si="8"/>
        <v>5</v>
      </c>
      <c r="I18" s="165">
        <f t="shared" si="9"/>
        <v>350</v>
      </c>
      <c r="J18" s="166"/>
      <c r="K18" s="165"/>
      <c r="L18" s="166"/>
      <c r="M18" s="138"/>
      <c r="N18" s="75" t="str">
        <f t="shared" si="10"/>
        <v> </v>
      </c>
      <c r="O18" s="75" t="str">
        <f t="shared" si="11"/>
        <v> </v>
      </c>
      <c r="P18" s="75">
        <f t="shared" si="12"/>
        <v>5</v>
      </c>
      <c r="Q18" s="75" t="str">
        <f t="shared" si="13"/>
        <v> </v>
      </c>
      <c r="R18" s="75" t="str">
        <f t="shared" si="14"/>
        <v> </v>
      </c>
      <c r="S18" s="67"/>
      <c r="T18" s="67"/>
      <c r="U18" s="67"/>
      <c r="V18" s="67"/>
      <c r="W18" s="67"/>
      <c r="X18" s="67"/>
      <c r="Y18" s="67"/>
      <c r="Z18" s="67"/>
      <c r="AA18" s="67"/>
      <c r="AB18" s="67"/>
      <c r="AC18" s="85"/>
      <c r="AG18" s="86"/>
    </row>
    <row r="19" ht="12.75" customHeight="1">
      <c r="A19" s="1"/>
      <c r="B19" s="87">
        <v>3.0</v>
      </c>
      <c r="C19" s="88" t="s">
        <v>91</v>
      </c>
      <c r="D19" s="89">
        <v>0.6</v>
      </c>
      <c r="E19" s="90">
        <v>3.0</v>
      </c>
      <c r="F19" s="91">
        <v>1.0</v>
      </c>
      <c r="G19" s="92">
        <f>'Start Here'!$F$22*D19</f>
        <v>60</v>
      </c>
      <c r="H19" s="138"/>
      <c r="I19" s="165"/>
      <c r="J19" s="166">
        <f t="shared" ref="J19:J22" si="15">E19*F19</f>
        <v>3</v>
      </c>
      <c r="K19" s="165">
        <f t="shared" ref="K19:K22" si="16">G19*J19</f>
        <v>180</v>
      </c>
      <c r="L19" s="166"/>
      <c r="M19" s="138"/>
      <c r="N19" s="67"/>
      <c r="O19" s="67"/>
      <c r="P19" s="67"/>
      <c r="Q19" s="67"/>
      <c r="R19" s="67"/>
      <c r="S19" s="93" t="str">
        <f t="shared" ref="S19:S22" si="17">IF(ISNUMBER(SEARCH("bench",$C19)),IF($D19&gt;=0.5,IF($D19&lt;0.6,$E19*$F19," ")," ")," ")</f>
        <v> </v>
      </c>
      <c r="T19" s="93">
        <f t="shared" ref="T19:T22" si="18">IF(ISNUMBER(SEARCH("bench",$C19)),IF($D19&gt;=0.6,IF($D19&lt;0.7,$E19*$F19," ")," ")," ")</f>
        <v>3</v>
      </c>
      <c r="U19" s="93" t="str">
        <f t="shared" ref="U19:U22" si="19">IF(ISNUMBER(SEARCH("bench",$C19)),IF($D19&gt;=0.7,IF($D19&lt;0.8,$E19*$F19," ")," ")," ")</f>
        <v> </v>
      </c>
      <c r="V19" s="93" t="str">
        <f t="shared" ref="V19:V22" si="20">IF(ISNUMBER(SEARCH("bench",$C19)),IF($D19&gt;=0.8,IF($D19&lt;0.9,$E19*$F19," ")," ")," ")</f>
        <v> </v>
      </c>
      <c r="W19" s="93" t="str">
        <f t="shared" ref="W19:W22" si="21">IF(ISNUMBER(SEARCH("bench",$C19)),IF($D19&gt;=0.9,$E19*$F19," ")," ")</f>
        <v> </v>
      </c>
      <c r="X19" s="67"/>
      <c r="Y19" s="67"/>
      <c r="Z19" s="67"/>
      <c r="AA19" s="67"/>
      <c r="AB19" s="67"/>
      <c r="AC19" s="85"/>
      <c r="AG19" s="86"/>
    </row>
    <row r="20" ht="12.75" customHeight="1">
      <c r="A20" s="1"/>
      <c r="B20" s="87"/>
      <c r="C20" s="94" t="s">
        <v>91</v>
      </c>
      <c r="D20" s="89">
        <v>0.7</v>
      </c>
      <c r="E20" s="90">
        <v>3.0</v>
      </c>
      <c r="F20" s="91">
        <v>1.0</v>
      </c>
      <c r="G20" s="92">
        <f>'Start Here'!$F$22*D20</f>
        <v>70</v>
      </c>
      <c r="H20" s="138"/>
      <c r="I20" s="165"/>
      <c r="J20" s="166">
        <f t="shared" si="15"/>
        <v>3</v>
      </c>
      <c r="K20" s="165">
        <f t="shared" si="16"/>
        <v>210</v>
      </c>
      <c r="L20" s="166"/>
      <c r="M20" s="138"/>
      <c r="N20" s="67"/>
      <c r="O20" s="67"/>
      <c r="P20" s="67"/>
      <c r="Q20" s="67"/>
      <c r="R20" s="67"/>
      <c r="S20" s="93" t="str">
        <f t="shared" si="17"/>
        <v> </v>
      </c>
      <c r="T20" s="93" t="str">
        <f t="shared" si="18"/>
        <v> </v>
      </c>
      <c r="U20" s="93">
        <f t="shared" si="19"/>
        <v>3</v>
      </c>
      <c r="V20" s="93" t="str">
        <f t="shared" si="20"/>
        <v> </v>
      </c>
      <c r="W20" s="93" t="str">
        <f t="shared" si="21"/>
        <v> </v>
      </c>
      <c r="X20" s="67"/>
      <c r="Y20" s="67"/>
      <c r="Z20" s="67"/>
      <c r="AA20" s="67"/>
      <c r="AB20" s="67"/>
      <c r="AC20" s="85"/>
      <c r="AG20" s="86"/>
    </row>
    <row r="21" ht="12.75" customHeight="1">
      <c r="A21" s="1"/>
      <c r="B21" s="87"/>
      <c r="C21" s="94" t="s">
        <v>91</v>
      </c>
      <c r="D21" s="89">
        <v>0.8</v>
      </c>
      <c r="E21" s="90">
        <v>3.0</v>
      </c>
      <c r="F21" s="91">
        <v>2.0</v>
      </c>
      <c r="G21" s="92">
        <f>'Start Here'!$F$22*D21</f>
        <v>80</v>
      </c>
      <c r="H21" s="138"/>
      <c r="I21" s="165"/>
      <c r="J21" s="166">
        <f t="shared" si="15"/>
        <v>6</v>
      </c>
      <c r="K21" s="165">
        <f t="shared" si="16"/>
        <v>480</v>
      </c>
      <c r="L21" s="166"/>
      <c r="M21" s="138"/>
      <c r="N21" s="67"/>
      <c r="O21" s="67"/>
      <c r="P21" s="67"/>
      <c r="Q21" s="67"/>
      <c r="R21" s="67"/>
      <c r="S21" s="93" t="str">
        <f t="shared" si="17"/>
        <v> </v>
      </c>
      <c r="T21" s="93" t="str">
        <f t="shared" si="18"/>
        <v> </v>
      </c>
      <c r="U21" s="93" t="str">
        <f t="shared" si="19"/>
        <v> </v>
      </c>
      <c r="V21" s="93">
        <f t="shared" si="20"/>
        <v>6</v>
      </c>
      <c r="W21" s="93" t="str">
        <f t="shared" si="21"/>
        <v> </v>
      </c>
      <c r="X21" s="67"/>
      <c r="Y21" s="67"/>
      <c r="Z21" s="67"/>
      <c r="AA21" s="67"/>
      <c r="AB21" s="67"/>
      <c r="AC21" s="85"/>
      <c r="AG21" s="86"/>
    </row>
    <row r="22" ht="12.75" customHeight="1">
      <c r="A22" s="1"/>
      <c r="B22" s="87"/>
      <c r="C22" s="94" t="s">
        <v>91</v>
      </c>
      <c r="D22" s="89">
        <v>0.85</v>
      </c>
      <c r="E22" s="90">
        <v>2.0</v>
      </c>
      <c r="F22" s="91">
        <v>3.0</v>
      </c>
      <c r="G22" s="92">
        <f>'Start Here'!$F$22*D22</f>
        <v>85</v>
      </c>
      <c r="H22" s="138"/>
      <c r="I22" s="165"/>
      <c r="J22" s="166">
        <f t="shared" si="15"/>
        <v>6</v>
      </c>
      <c r="K22" s="165">
        <f t="shared" si="16"/>
        <v>510</v>
      </c>
      <c r="L22" s="166"/>
      <c r="M22" s="138"/>
      <c r="N22" s="67"/>
      <c r="O22" s="67"/>
      <c r="P22" s="67"/>
      <c r="Q22" s="67"/>
      <c r="R22" s="67"/>
      <c r="S22" s="93" t="str">
        <f t="shared" si="17"/>
        <v> </v>
      </c>
      <c r="T22" s="93" t="str">
        <f t="shared" si="18"/>
        <v> </v>
      </c>
      <c r="U22" s="93" t="str">
        <f t="shared" si="19"/>
        <v> </v>
      </c>
      <c r="V22" s="93">
        <f t="shared" si="20"/>
        <v>6</v>
      </c>
      <c r="W22" s="93" t="str">
        <f t="shared" si="21"/>
        <v> </v>
      </c>
      <c r="X22" s="67"/>
      <c r="Y22" s="67"/>
      <c r="Z22" s="67"/>
      <c r="AA22" s="67"/>
      <c r="AB22" s="67"/>
      <c r="AC22" s="85"/>
      <c r="AG22" s="86"/>
    </row>
    <row r="23" ht="12.75" customHeight="1">
      <c r="A23" s="1"/>
      <c r="B23" s="96">
        <v>4.0</v>
      </c>
      <c r="C23" s="167" t="s">
        <v>92</v>
      </c>
      <c r="D23" s="168"/>
      <c r="E23" s="98">
        <v>8.0</v>
      </c>
      <c r="F23" s="169">
        <v>4.0</v>
      </c>
      <c r="G23" s="170"/>
      <c r="H23" s="138"/>
      <c r="I23" s="165"/>
      <c r="J23" s="166"/>
      <c r="K23" s="165"/>
      <c r="L23" s="166"/>
      <c r="M23" s="138"/>
      <c r="N23" s="67"/>
      <c r="O23" s="67"/>
      <c r="P23" s="67"/>
      <c r="Q23" s="67"/>
      <c r="R23" s="67"/>
      <c r="S23" s="67"/>
      <c r="T23" s="67"/>
      <c r="U23" s="67"/>
      <c r="V23" s="67"/>
      <c r="W23" s="67"/>
      <c r="X23" s="67"/>
      <c r="Y23" s="67"/>
      <c r="Z23" s="67"/>
      <c r="AA23" s="67"/>
      <c r="AB23" s="67"/>
      <c r="AC23" s="85"/>
      <c r="AG23" s="86"/>
    </row>
    <row r="24" ht="12.75" customHeight="1">
      <c r="A24" s="1"/>
      <c r="B24" s="100">
        <v>5.0</v>
      </c>
      <c r="C24" s="171" t="s">
        <v>48</v>
      </c>
      <c r="D24" s="172"/>
      <c r="E24" s="102">
        <v>8.0</v>
      </c>
      <c r="F24" s="173">
        <v>3.0</v>
      </c>
      <c r="G24" s="174"/>
      <c r="H24" s="138"/>
      <c r="I24" s="165"/>
      <c r="J24" s="166"/>
      <c r="K24" s="165"/>
      <c r="L24" s="166"/>
      <c r="M24" s="138"/>
      <c r="N24" s="67"/>
      <c r="O24" s="67"/>
      <c r="P24" s="67"/>
      <c r="Q24" s="67"/>
      <c r="R24" s="67"/>
      <c r="S24" s="67"/>
      <c r="T24" s="67"/>
      <c r="U24" s="67"/>
      <c r="V24" s="67"/>
      <c r="W24" s="67"/>
      <c r="X24" s="67"/>
      <c r="Y24" s="67"/>
      <c r="Z24" s="67"/>
      <c r="AA24" s="67"/>
      <c r="AB24" s="67"/>
      <c r="AC24" s="104"/>
      <c r="AD24" s="105"/>
      <c r="AE24" s="105"/>
      <c r="AF24" s="105"/>
      <c r="AG24" s="106"/>
    </row>
    <row r="25" ht="12.75" customHeight="1">
      <c r="A25" s="1"/>
      <c r="B25" s="67"/>
      <c r="C25" s="136"/>
      <c r="D25" s="137"/>
      <c r="E25" s="138"/>
      <c r="F25" s="138"/>
      <c r="G25" s="138"/>
      <c r="H25" s="166"/>
      <c r="I25" s="165"/>
      <c r="J25" s="166"/>
      <c r="K25" s="165"/>
      <c r="L25" s="166"/>
      <c r="M25" s="138"/>
      <c r="N25" s="67"/>
      <c r="O25" s="67"/>
      <c r="P25" s="67"/>
      <c r="Q25" s="67"/>
      <c r="R25" s="67"/>
      <c r="S25" s="67"/>
      <c r="T25" s="67"/>
      <c r="U25" s="67"/>
      <c r="V25" s="67"/>
      <c r="W25" s="67"/>
      <c r="X25" s="67"/>
      <c r="Y25" s="67"/>
      <c r="Z25" s="67"/>
      <c r="AA25" s="67"/>
      <c r="AB25" s="67"/>
      <c r="AC25" s="67"/>
      <c r="AD25" s="67"/>
      <c r="AE25" s="67"/>
      <c r="AF25" s="67"/>
      <c r="AG25" s="67"/>
    </row>
    <row r="26" ht="33.75" customHeight="1">
      <c r="A26" s="1"/>
      <c r="B26" s="68" t="s">
        <v>49</v>
      </c>
      <c r="D26" s="137" t="s">
        <v>34</v>
      </c>
      <c r="E26" s="138" t="s">
        <v>35</v>
      </c>
      <c r="F26" s="138" t="s">
        <v>36</v>
      </c>
      <c r="G26" s="138" t="s">
        <v>37</v>
      </c>
      <c r="H26" s="166"/>
      <c r="I26" s="165"/>
      <c r="J26" s="166"/>
      <c r="K26" s="165"/>
      <c r="L26" s="166"/>
      <c r="M26" s="138"/>
      <c r="N26" s="67"/>
      <c r="O26" s="67"/>
      <c r="P26" s="67"/>
      <c r="Q26" s="67"/>
      <c r="R26" s="67"/>
      <c r="S26" s="67"/>
      <c r="T26" s="67"/>
      <c r="U26" s="67"/>
      <c r="V26" s="67"/>
      <c r="W26" s="67"/>
      <c r="X26" s="67"/>
      <c r="Y26" s="67"/>
      <c r="Z26" s="67"/>
      <c r="AA26" s="67"/>
      <c r="AB26" s="67"/>
      <c r="AC26" s="67" t="s">
        <v>43</v>
      </c>
      <c r="AD26" s="67"/>
      <c r="AE26" s="67"/>
      <c r="AF26" s="67"/>
      <c r="AG26" s="67"/>
    </row>
    <row r="27" ht="12.75" customHeight="1">
      <c r="A27" s="1"/>
      <c r="B27" s="107">
        <v>1.0</v>
      </c>
      <c r="C27" s="108" t="s">
        <v>59</v>
      </c>
      <c r="D27" s="109">
        <v>0.5</v>
      </c>
      <c r="E27" s="110">
        <v>3.0</v>
      </c>
      <c r="F27" s="111">
        <v>1.0</v>
      </c>
      <c r="G27" s="112">
        <f>'Start Here'!$F$23*D27</f>
        <v>50</v>
      </c>
      <c r="H27" s="138"/>
      <c r="I27" s="165"/>
      <c r="J27" s="166"/>
      <c r="K27" s="165"/>
      <c r="L27" s="166">
        <f t="shared" ref="L27:L29" si="22">E27*F27</f>
        <v>3</v>
      </c>
      <c r="M27" s="138">
        <f t="shared" ref="M27:M29" si="23">G27*L27</f>
        <v>150</v>
      </c>
      <c r="N27" s="67"/>
      <c r="O27" s="67"/>
      <c r="P27" s="67"/>
      <c r="Q27" s="67"/>
      <c r="R27" s="67"/>
      <c r="S27" s="67"/>
      <c r="T27" s="67"/>
      <c r="U27" s="67"/>
      <c r="V27" s="67"/>
      <c r="W27" s="67"/>
      <c r="X27" s="114">
        <f t="shared" ref="X27:X29" si="24">IF(ISNUMBER(SEARCH("deadlift",$C27)),IF($D27&gt;=0.5,IF($D27&lt;0.6,$E27*$F27," ")," ")," ")</f>
        <v>3</v>
      </c>
      <c r="Y27" s="114" t="str">
        <f t="shared" ref="Y27:Y29" si="25">IF(ISNUMBER(SEARCH("deadlift",$C27)),IF($D27&gt;=0.6,IF($D27&lt;0.7,$E27*$F27," ")," ")," ")</f>
        <v> </v>
      </c>
      <c r="Z27" s="114" t="str">
        <f t="shared" ref="Z27:Z29" si="26">IF(ISNUMBER(SEARCH("deadlift",$C27)),IF($D27&gt;=0.7,IF($D27&lt;0.8,$E27*$F27," ")," ")," ")</f>
        <v> </v>
      </c>
      <c r="AA27" s="114" t="str">
        <f t="shared" ref="AA27:AA29" si="27">IF(ISNUMBER(SEARCH("deadlift",$C27)),IF($D27&gt;=0.8,IF($D27&lt;0.9,$E27*$F27," ")," ")," ")</f>
        <v> </v>
      </c>
      <c r="AB27" s="114" t="str">
        <f t="shared" ref="AB27:AB29" si="28">IF(ISNUMBER(SEARCH("deadlift",$C27)),IF($D27&gt;=0.9,$E27*$F27," ")," ")</f>
        <v> </v>
      </c>
      <c r="AC27" s="76"/>
      <c r="AD27" s="77"/>
      <c r="AE27" s="77"/>
      <c r="AF27" s="77"/>
      <c r="AG27" s="78"/>
    </row>
    <row r="28" ht="12.75" customHeight="1">
      <c r="A28" s="1"/>
      <c r="B28" s="115"/>
      <c r="C28" s="122" t="s">
        <v>59</v>
      </c>
      <c r="D28" s="117">
        <v>0.6</v>
      </c>
      <c r="E28" s="118">
        <v>3.0</v>
      </c>
      <c r="F28" s="119">
        <v>1.0</v>
      </c>
      <c r="G28" s="120">
        <f>'Start Here'!$F$23*D28</f>
        <v>60</v>
      </c>
      <c r="H28" s="138"/>
      <c r="I28" s="165"/>
      <c r="J28" s="166"/>
      <c r="K28" s="165"/>
      <c r="L28" s="166">
        <f t="shared" si="22"/>
        <v>3</v>
      </c>
      <c r="M28" s="138">
        <f t="shared" si="23"/>
        <v>180</v>
      </c>
      <c r="N28" s="67"/>
      <c r="O28" s="67"/>
      <c r="P28" s="67"/>
      <c r="Q28" s="67"/>
      <c r="R28" s="67"/>
      <c r="S28" s="67"/>
      <c r="T28" s="67"/>
      <c r="U28" s="67"/>
      <c r="V28" s="67"/>
      <c r="W28" s="67"/>
      <c r="X28" s="114" t="str">
        <f t="shared" si="24"/>
        <v> </v>
      </c>
      <c r="Y28" s="114">
        <f t="shared" si="25"/>
        <v>3</v>
      </c>
      <c r="Z28" s="114" t="str">
        <f t="shared" si="26"/>
        <v> </v>
      </c>
      <c r="AA28" s="114" t="str">
        <f t="shared" si="27"/>
        <v> </v>
      </c>
      <c r="AB28" s="114" t="str">
        <f t="shared" si="28"/>
        <v> </v>
      </c>
      <c r="AC28" s="85"/>
      <c r="AG28" s="86"/>
    </row>
    <row r="29" ht="12.75" customHeight="1">
      <c r="A29" s="1"/>
      <c r="B29" s="115"/>
      <c r="C29" s="122" t="s">
        <v>59</v>
      </c>
      <c r="D29" s="117">
        <v>0.7</v>
      </c>
      <c r="E29" s="118">
        <v>2.0</v>
      </c>
      <c r="F29" s="119">
        <v>4.0</v>
      </c>
      <c r="G29" s="120">
        <f>'Start Here'!$F$23*D29</f>
        <v>70</v>
      </c>
      <c r="H29" s="138"/>
      <c r="I29" s="165"/>
      <c r="J29" s="166"/>
      <c r="K29" s="165"/>
      <c r="L29" s="166">
        <f t="shared" si="22"/>
        <v>8</v>
      </c>
      <c r="M29" s="138">
        <f t="shared" si="23"/>
        <v>560</v>
      </c>
      <c r="N29" s="67"/>
      <c r="O29" s="67"/>
      <c r="P29" s="67"/>
      <c r="Q29" s="67"/>
      <c r="R29" s="67"/>
      <c r="S29" s="67"/>
      <c r="T29" s="67"/>
      <c r="U29" s="67"/>
      <c r="V29" s="67"/>
      <c r="W29" s="67"/>
      <c r="X29" s="114" t="str">
        <f t="shared" si="24"/>
        <v> </v>
      </c>
      <c r="Y29" s="114" t="str">
        <f t="shared" si="25"/>
        <v> </v>
      </c>
      <c r="Z29" s="114">
        <f t="shared" si="26"/>
        <v>8</v>
      </c>
      <c r="AA29" s="114" t="str">
        <f t="shared" si="27"/>
        <v> </v>
      </c>
      <c r="AB29" s="114" t="str">
        <f t="shared" si="28"/>
        <v> </v>
      </c>
      <c r="AC29" s="85"/>
      <c r="AG29" s="86"/>
    </row>
    <row r="30" ht="12.75" customHeight="1">
      <c r="A30" s="1"/>
      <c r="B30" s="87">
        <v>2.0</v>
      </c>
      <c r="C30" s="88" t="s">
        <v>93</v>
      </c>
      <c r="D30" s="89">
        <v>0.5</v>
      </c>
      <c r="E30" s="90">
        <v>3.0</v>
      </c>
      <c r="F30" s="91">
        <v>1.0</v>
      </c>
      <c r="G30" s="92">
        <f>'Start Here'!$F$22*D30</f>
        <v>50</v>
      </c>
      <c r="H30" s="138"/>
      <c r="I30" s="165"/>
      <c r="J30" s="166">
        <f t="shared" ref="J30:J33" si="29">E30*F30</f>
        <v>3</v>
      </c>
      <c r="K30" s="165">
        <f t="shared" ref="K30:K33" si="30">G30*J30</f>
        <v>150</v>
      </c>
      <c r="L30" s="166"/>
      <c r="M30" s="138"/>
      <c r="N30" s="67"/>
      <c r="O30" s="67"/>
      <c r="P30" s="67"/>
      <c r="Q30" s="67"/>
      <c r="R30" s="67"/>
      <c r="S30" s="93">
        <f t="shared" ref="S30:S33" si="31">IF(ISNUMBER(SEARCH("bench",$C30)),IF($D30&gt;=0.5,IF($D30&lt;0.6,$E30*$F30," ")," ")," ")</f>
        <v>3</v>
      </c>
      <c r="T30" s="93" t="str">
        <f t="shared" ref="T30:T33" si="32">IF(ISNUMBER(SEARCH("bench",$C30)),IF($D30&gt;=0.6,IF($D30&lt;0.7,$E30*$F30," ")," ")," ")</f>
        <v> </v>
      </c>
      <c r="U30" s="93" t="str">
        <f t="shared" ref="U30:U33" si="33">IF(ISNUMBER(SEARCH("bench",$C30)),IF($D30&gt;=0.7,IF($D30&lt;0.8,$E30*$F30," ")," ")," ")</f>
        <v> </v>
      </c>
      <c r="V30" s="93" t="str">
        <f t="shared" ref="V30:V33" si="34">IF(ISNUMBER(SEARCH("bench",$C30)),IF($D30&gt;=0.8,IF($D30&lt;0.9,$E30*$F30," ")," ")," ")</f>
        <v> </v>
      </c>
      <c r="W30" s="93" t="str">
        <f t="shared" ref="W30:W33" si="35">IF(ISNUMBER(SEARCH("bench",$C30)),IF($D30&gt;=0.9,$E30*$F30," ")," ")</f>
        <v> </v>
      </c>
      <c r="X30" s="67"/>
      <c r="Y30" s="67"/>
      <c r="Z30" s="67"/>
      <c r="AA30" s="67"/>
      <c r="AB30" s="67"/>
      <c r="AC30" s="85"/>
      <c r="AG30" s="86"/>
    </row>
    <row r="31" ht="12.75" customHeight="1">
      <c r="A31" s="1"/>
      <c r="B31" s="87"/>
      <c r="C31" s="94" t="s">
        <v>93</v>
      </c>
      <c r="D31" s="89">
        <v>0.6</v>
      </c>
      <c r="E31" s="90">
        <v>3.0</v>
      </c>
      <c r="F31" s="91">
        <v>1.0</v>
      </c>
      <c r="G31" s="92">
        <f>'Start Here'!$F$22*D31</f>
        <v>60</v>
      </c>
      <c r="H31" s="138"/>
      <c r="I31" s="165"/>
      <c r="J31" s="166">
        <f t="shared" si="29"/>
        <v>3</v>
      </c>
      <c r="K31" s="165">
        <f t="shared" si="30"/>
        <v>180</v>
      </c>
      <c r="L31" s="166"/>
      <c r="M31" s="138"/>
      <c r="N31" s="67"/>
      <c r="O31" s="67"/>
      <c r="P31" s="67"/>
      <c r="Q31" s="67"/>
      <c r="R31" s="67"/>
      <c r="S31" s="93" t="str">
        <f t="shared" si="31"/>
        <v> </v>
      </c>
      <c r="T31" s="93">
        <f t="shared" si="32"/>
        <v>3</v>
      </c>
      <c r="U31" s="93" t="str">
        <f t="shared" si="33"/>
        <v> </v>
      </c>
      <c r="V31" s="93" t="str">
        <f t="shared" si="34"/>
        <v> </v>
      </c>
      <c r="W31" s="93" t="str">
        <f t="shared" si="35"/>
        <v> </v>
      </c>
      <c r="X31" s="67"/>
      <c r="Y31" s="67"/>
      <c r="Z31" s="67"/>
      <c r="AA31" s="67"/>
      <c r="AB31" s="67"/>
      <c r="AC31" s="85"/>
      <c r="AG31" s="86"/>
    </row>
    <row r="32" ht="12.75" customHeight="1">
      <c r="A32" s="1"/>
      <c r="B32" s="87"/>
      <c r="C32" s="94" t="s">
        <v>93</v>
      </c>
      <c r="D32" s="89">
        <v>0.7</v>
      </c>
      <c r="E32" s="90">
        <v>3.0</v>
      </c>
      <c r="F32" s="91">
        <v>1.0</v>
      </c>
      <c r="G32" s="92">
        <f>'Start Here'!$F$22*D32</f>
        <v>70</v>
      </c>
      <c r="H32" s="138"/>
      <c r="I32" s="165"/>
      <c r="J32" s="166">
        <f t="shared" si="29"/>
        <v>3</v>
      </c>
      <c r="K32" s="165">
        <f t="shared" si="30"/>
        <v>210</v>
      </c>
      <c r="L32" s="166"/>
      <c r="M32" s="138"/>
      <c r="N32" s="67"/>
      <c r="O32" s="67"/>
      <c r="P32" s="67"/>
      <c r="Q32" s="67"/>
      <c r="R32" s="67"/>
      <c r="S32" s="93" t="str">
        <f t="shared" si="31"/>
        <v> </v>
      </c>
      <c r="T32" s="93" t="str">
        <f t="shared" si="32"/>
        <v> </v>
      </c>
      <c r="U32" s="93">
        <f t="shared" si="33"/>
        <v>3</v>
      </c>
      <c r="V32" s="93" t="str">
        <f t="shared" si="34"/>
        <v> </v>
      </c>
      <c r="W32" s="93" t="str">
        <f t="shared" si="35"/>
        <v> </v>
      </c>
      <c r="X32" s="67"/>
      <c r="Y32" s="67"/>
      <c r="Z32" s="67"/>
      <c r="AA32" s="67"/>
      <c r="AB32" s="67"/>
      <c r="AC32" s="85"/>
      <c r="AG32" s="86"/>
    </row>
    <row r="33" ht="12.75" customHeight="1">
      <c r="A33" s="1"/>
      <c r="B33" s="87"/>
      <c r="C33" s="94" t="s">
        <v>93</v>
      </c>
      <c r="D33" s="89">
        <v>0.75</v>
      </c>
      <c r="E33" s="90">
        <v>2.0</v>
      </c>
      <c r="F33" s="91">
        <v>4.0</v>
      </c>
      <c r="G33" s="92">
        <f>'Start Here'!$F$22*D33</f>
        <v>75</v>
      </c>
      <c r="H33" s="138"/>
      <c r="I33" s="165"/>
      <c r="J33" s="166">
        <f t="shared" si="29"/>
        <v>8</v>
      </c>
      <c r="K33" s="165">
        <f t="shared" si="30"/>
        <v>600</v>
      </c>
      <c r="L33" s="166"/>
      <c r="M33" s="138"/>
      <c r="N33" s="67"/>
      <c r="O33" s="67"/>
      <c r="P33" s="67"/>
      <c r="Q33" s="67"/>
      <c r="R33" s="67"/>
      <c r="S33" s="93" t="str">
        <f t="shared" si="31"/>
        <v> </v>
      </c>
      <c r="T33" s="93" t="str">
        <f t="shared" si="32"/>
        <v> </v>
      </c>
      <c r="U33" s="93">
        <f t="shared" si="33"/>
        <v>8</v>
      </c>
      <c r="V33" s="93" t="str">
        <f t="shared" si="34"/>
        <v> </v>
      </c>
      <c r="W33" s="93" t="str">
        <f t="shared" si="35"/>
        <v> </v>
      </c>
      <c r="X33" s="67"/>
      <c r="Y33" s="67"/>
      <c r="Z33" s="67"/>
      <c r="AA33" s="67"/>
      <c r="AB33" s="67"/>
      <c r="AC33" s="85"/>
      <c r="AG33" s="86"/>
    </row>
    <row r="34" ht="12.75" customHeight="1">
      <c r="A34" s="1"/>
      <c r="B34" s="115">
        <v>3.0</v>
      </c>
      <c r="C34" s="121" t="s">
        <v>94</v>
      </c>
      <c r="D34" s="117">
        <v>0.6</v>
      </c>
      <c r="E34" s="118">
        <v>3.0</v>
      </c>
      <c r="F34" s="119">
        <v>1.0</v>
      </c>
      <c r="G34" s="120">
        <f>'Start Here'!$F$23*D34</f>
        <v>60</v>
      </c>
      <c r="H34" s="138"/>
      <c r="I34" s="165"/>
      <c r="J34" s="166"/>
      <c r="K34" s="165"/>
      <c r="L34" s="166">
        <f t="shared" ref="L34:L37" si="36">E34*F34</f>
        <v>3</v>
      </c>
      <c r="M34" s="138">
        <f t="shared" ref="M34:M37" si="37">G34*L34</f>
        <v>180</v>
      </c>
      <c r="N34" s="67"/>
      <c r="O34" s="67"/>
      <c r="P34" s="67"/>
      <c r="Q34" s="67"/>
      <c r="R34" s="67"/>
      <c r="S34" s="67"/>
      <c r="T34" s="67"/>
      <c r="U34" s="67"/>
      <c r="V34" s="67"/>
      <c r="W34" s="67"/>
      <c r="X34" s="114" t="str">
        <f t="shared" ref="X34:X37" si="38">IF(ISNUMBER(SEARCH("deadlift",$C34)),IF($D34&gt;=0.5,IF($D34&lt;0.6,$E34*$F34," ")," ")," ")</f>
        <v> </v>
      </c>
      <c r="Y34" s="114">
        <f t="shared" ref="Y34:Y37" si="39">IF(ISNUMBER(SEARCH("deadlift",$C34)),IF($D34&gt;=0.6,IF($D34&lt;0.7,$E34*$F34," ")," ")," ")</f>
        <v>3</v>
      </c>
      <c r="Z34" s="114" t="str">
        <f t="shared" ref="Z34:Z37" si="40">IF(ISNUMBER(SEARCH("deadlift",$C34)),IF($D34&gt;=0.7,IF($D34&lt;0.8,$E34*$F34," ")," ")," ")</f>
        <v> </v>
      </c>
      <c r="AA34" s="114" t="str">
        <f t="shared" ref="AA34:AA37" si="41">IF(ISNUMBER(SEARCH("deadlift",$C34)),IF($D34&gt;=0.8,IF($D34&lt;0.9,$E34*$F34," ")," ")," ")</f>
        <v> </v>
      </c>
      <c r="AB34" s="114" t="str">
        <f t="shared" ref="AB34:AB37" si="42">IF(ISNUMBER(SEARCH("deadlift",$C34)),IF($D34&gt;=0.9,$E34*$F34," ")," ")</f>
        <v> </v>
      </c>
      <c r="AC34" s="85"/>
      <c r="AG34" s="86"/>
    </row>
    <row r="35" ht="12.75" customHeight="1">
      <c r="A35" s="1"/>
      <c r="B35" s="115"/>
      <c r="C35" s="122" t="s">
        <v>94</v>
      </c>
      <c r="D35" s="117">
        <v>0.7</v>
      </c>
      <c r="E35" s="118">
        <v>3.0</v>
      </c>
      <c r="F35" s="119">
        <v>1.0</v>
      </c>
      <c r="G35" s="120">
        <f>'Start Here'!$F$23*D35</f>
        <v>70</v>
      </c>
      <c r="H35" s="138"/>
      <c r="I35" s="165"/>
      <c r="J35" s="166"/>
      <c r="K35" s="165"/>
      <c r="L35" s="166">
        <f t="shared" si="36"/>
        <v>3</v>
      </c>
      <c r="M35" s="138">
        <f t="shared" si="37"/>
        <v>210</v>
      </c>
      <c r="N35" s="67"/>
      <c r="O35" s="67"/>
      <c r="P35" s="67"/>
      <c r="Q35" s="67"/>
      <c r="R35" s="67"/>
      <c r="S35" s="67"/>
      <c r="T35" s="67"/>
      <c r="U35" s="67"/>
      <c r="V35" s="67"/>
      <c r="W35" s="67"/>
      <c r="X35" s="114" t="str">
        <f t="shared" si="38"/>
        <v> </v>
      </c>
      <c r="Y35" s="114" t="str">
        <f t="shared" si="39"/>
        <v> </v>
      </c>
      <c r="Z35" s="114">
        <f t="shared" si="40"/>
        <v>3</v>
      </c>
      <c r="AA35" s="114" t="str">
        <f t="shared" si="41"/>
        <v> </v>
      </c>
      <c r="AB35" s="114" t="str">
        <f t="shared" si="42"/>
        <v> </v>
      </c>
      <c r="AC35" s="85"/>
      <c r="AG35" s="86"/>
    </row>
    <row r="36" ht="12.75" customHeight="1">
      <c r="A36" s="1"/>
      <c r="B36" s="115"/>
      <c r="C36" s="122" t="s">
        <v>94</v>
      </c>
      <c r="D36" s="117">
        <v>0.8</v>
      </c>
      <c r="E36" s="118">
        <v>3.0</v>
      </c>
      <c r="F36" s="119">
        <v>2.0</v>
      </c>
      <c r="G36" s="120">
        <f>'Start Here'!$F$23*D36</f>
        <v>80</v>
      </c>
      <c r="H36" s="138"/>
      <c r="I36" s="165"/>
      <c r="J36" s="166"/>
      <c r="K36" s="165"/>
      <c r="L36" s="166">
        <f t="shared" si="36"/>
        <v>6</v>
      </c>
      <c r="M36" s="138">
        <f t="shared" si="37"/>
        <v>480</v>
      </c>
      <c r="N36" s="67"/>
      <c r="O36" s="67"/>
      <c r="P36" s="67"/>
      <c r="Q36" s="67"/>
      <c r="R36" s="67"/>
      <c r="S36" s="67"/>
      <c r="T36" s="67"/>
      <c r="U36" s="67"/>
      <c r="V36" s="67"/>
      <c r="W36" s="67"/>
      <c r="X36" s="114" t="str">
        <f t="shared" si="38"/>
        <v> </v>
      </c>
      <c r="Y36" s="114" t="str">
        <f t="shared" si="39"/>
        <v> </v>
      </c>
      <c r="Z36" s="114" t="str">
        <f t="shared" si="40"/>
        <v> </v>
      </c>
      <c r="AA36" s="114">
        <f t="shared" si="41"/>
        <v>6</v>
      </c>
      <c r="AB36" s="114" t="str">
        <f t="shared" si="42"/>
        <v> </v>
      </c>
      <c r="AC36" s="85"/>
      <c r="AG36" s="86"/>
    </row>
    <row r="37" ht="12.75" customHeight="1">
      <c r="A37" s="1"/>
      <c r="B37" s="115"/>
      <c r="C37" s="122" t="s">
        <v>94</v>
      </c>
      <c r="D37" s="117">
        <v>0.85</v>
      </c>
      <c r="E37" s="118">
        <v>3.0</v>
      </c>
      <c r="F37" s="119">
        <v>3.0</v>
      </c>
      <c r="G37" s="120">
        <f>'Start Here'!$F$23*D37</f>
        <v>85</v>
      </c>
      <c r="H37" s="138"/>
      <c r="I37" s="165"/>
      <c r="J37" s="166"/>
      <c r="K37" s="165"/>
      <c r="L37" s="166">
        <f t="shared" si="36"/>
        <v>9</v>
      </c>
      <c r="M37" s="138">
        <f t="shared" si="37"/>
        <v>765</v>
      </c>
      <c r="N37" s="67"/>
      <c r="O37" s="67"/>
      <c r="P37" s="67"/>
      <c r="Q37" s="67"/>
      <c r="R37" s="67"/>
      <c r="S37" s="67"/>
      <c r="T37" s="67"/>
      <c r="U37" s="67"/>
      <c r="V37" s="67"/>
      <c r="W37" s="67"/>
      <c r="X37" s="114" t="str">
        <f t="shared" si="38"/>
        <v> </v>
      </c>
      <c r="Y37" s="114" t="str">
        <f t="shared" si="39"/>
        <v> </v>
      </c>
      <c r="Z37" s="114" t="str">
        <f t="shared" si="40"/>
        <v> </v>
      </c>
      <c r="AA37" s="114">
        <f t="shared" si="41"/>
        <v>9</v>
      </c>
      <c r="AB37" s="114" t="str">
        <f t="shared" si="42"/>
        <v> </v>
      </c>
      <c r="AC37" s="85"/>
      <c r="AG37" s="86"/>
    </row>
    <row r="38" ht="12.75" customHeight="1">
      <c r="A38" s="1"/>
      <c r="B38" s="96">
        <v>4.0</v>
      </c>
      <c r="C38" s="167" t="s">
        <v>95</v>
      </c>
      <c r="D38" s="168"/>
      <c r="E38" s="169">
        <v>6.0</v>
      </c>
      <c r="F38" s="169">
        <v>5.0</v>
      </c>
      <c r="G38" s="170"/>
      <c r="H38" s="138"/>
      <c r="I38" s="165"/>
      <c r="J38" s="166"/>
      <c r="K38" s="165"/>
      <c r="L38" s="166"/>
      <c r="M38" s="138"/>
      <c r="N38" s="67"/>
      <c r="O38" s="67"/>
      <c r="P38" s="67"/>
      <c r="Q38" s="67"/>
      <c r="R38" s="67"/>
      <c r="S38" s="67"/>
      <c r="T38" s="67"/>
      <c r="U38" s="67"/>
      <c r="V38" s="67"/>
      <c r="W38" s="67"/>
      <c r="X38" s="67"/>
      <c r="Y38" s="67"/>
      <c r="Z38" s="67"/>
      <c r="AA38" s="67"/>
      <c r="AB38" s="67"/>
      <c r="AC38" s="85"/>
      <c r="AG38" s="86"/>
    </row>
    <row r="39" ht="12.75" customHeight="1">
      <c r="A39" s="1"/>
      <c r="B39" s="135">
        <v>5.0</v>
      </c>
      <c r="C39" s="136" t="s">
        <v>96</v>
      </c>
      <c r="D39" s="137"/>
      <c r="E39" s="138">
        <v>5.0</v>
      </c>
      <c r="F39" s="138">
        <v>5.0</v>
      </c>
      <c r="G39" s="139"/>
      <c r="H39" s="138"/>
      <c r="I39" s="165"/>
      <c r="J39" s="166"/>
      <c r="K39" s="165"/>
      <c r="L39" s="166"/>
      <c r="M39" s="138"/>
      <c r="N39" s="67"/>
      <c r="O39" s="67"/>
      <c r="P39" s="67"/>
      <c r="Q39" s="67"/>
      <c r="R39" s="67"/>
      <c r="S39" s="67"/>
      <c r="T39" s="67"/>
      <c r="U39" s="67"/>
      <c r="V39" s="67"/>
      <c r="W39" s="67"/>
      <c r="X39" s="67"/>
      <c r="Y39" s="67"/>
      <c r="Z39" s="67"/>
      <c r="AA39" s="67"/>
      <c r="AB39" s="67"/>
      <c r="AC39" s="85"/>
      <c r="AG39" s="86"/>
    </row>
    <row r="40" ht="12.75" customHeight="1">
      <c r="A40" s="1"/>
      <c r="B40" s="100">
        <v>6.0</v>
      </c>
      <c r="C40" s="171" t="s">
        <v>78</v>
      </c>
      <c r="D40" s="172"/>
      <c r="E40" s="102">
        <v>5.0</v>
      </c>
      <c r="F40" s="173">
        <v>5.0</v>
      </c>
      <c r="G40" s="174"/>
      <c r="H40" s="138"/>
      <c r="I40" s="165"/>
      <c r="J40" s="166"/>
      <c r="K40" s="165"/>
      <c r="L40" s="166"/>
      <c r="M40" s="138"/>
      <c r="N40" s="67"/>
      <c r="O40" s="67"/>
      <c r="P40" s="67"/>
      <c r="Q40" s="67"/>
      <c r="R40" s="67"/>
      <c r="S40" s="67"/>
      <c r="T40" s="67"/>
      <c r="U40" s="67"/>
      <c r="V40" s="67"/>
      <c r="W40" s="67"/>
      <c r="X40" s="67"/>
      <c r="Y40" s="67"/>
      <c r="Z40" s="67"/>
      <c r="AA40" s="67"/>
      <c r="AB40" s="67"/>
      <c r="AC40" s="104"/>
      <c r="AD40" s="105"/>
      <c r="AE40" s="105"/>
      <c r="AF40" s="105"/>
      <c r="AG40" s="106"/>
    </row>
    <row r="41" ht="12.75" customHeight="1">
      <c r="A41" s="1"/>
      <c r="B41" s="67"/>
      <c r="C41" s="136"/>
      <c r="D41" s="137"/>
      <c r="E41" s="138"/>
      <c r="F41" s="138"/>
      <c r="G41" s="138"/>
      <c r="H41" s="166"/>
      <c r="I41" s="165"/>
      <c r="J41" s="166"/>
      <c r="K41" s="165"/>
      <c r="L41" s="166"/>
      <c r="M41" s="138"/>
      <c r="N41" s="67"/>
      <c r="O41" s="67"/>
      <c r="P41" s="67"/>
      <c r="Q41" s="67"/>
      <c r="R41" s="67"/>
      <c r="S41" s="67"/>
      <c r="T41" s="67"/>
      <c r="U41" s="67"/>
      <c r="V41" s="67"/>
      <c r="W41" s="67"/>
      <c r="X41" s="67"/>
      <c r="Y41" s="67"/>
      <c r="Z41" s="67"/>
      <c r="AA41" s="67"/>
      <c r="AB41" s="67"/>
      <c r="AC41" s="67"/>
      <c r="AD41" s="67"/>
      <c r="AE41" s="67"/>
      <c r="AF41" s="67"/>
      <c r="AG41" s="67"/>
    </row>
    <row r="42" ht="39.75" customHeight="1">
      <c r="A42" s="1"/>
      <c r="B42" s="68" t="s">
        <v>54</v>
      </c>
      <c r="D42" s="137" t="s">
        <v>34</v>
      </c>
      <c r="E42" s="138" t="s">
        <v>35</v>
      </c>
      <c r="F42" s="138" t="s">
        <v>36</v>
      </c>
      <c r="G42" s="138" t="s">
        <v>37</v>
      </c>
      <c r="H42" s="166"/>
      <c r="I42" s="165"/>
      <c r="J42" s="166"/>
      <c r="K42" s="165"/>
      <c r="L42" s="166"/>
      <c r="M42" s="138"/>
      <c r="N42" s="67"/>
      <c r="O42" s="67"/>
      <c r="P42" s="67"/>
      <c r="Q42" s="67"/>
      <c r="R42" s="67"/>
      <c r="S42" s="67"/>
      <c r="T42" s="67"/>
      <c r="U42" s="67"/>
      <c r="V42" s="67"/>
      <c r="W42" s="67"/>
      <c r="X42" s="67"/>
      <c r="Y42" s="67"/>
      <c r="Z42" s="67"/>
      <c r="AA42" s="67"/>
      <c r="AB42" s="67"/>
      <c r="AC42" s="67" t="s">
        <v>43</v>
      </c>
      <c r="AD42" s="67"/>
      <c r="AE42" s="67"/>
      <c r="AF42" s="67"/>
      <c r="AG42" s="67"/>
    </row>
    <row r="43" ht="12.75" customHeight="1">
      <c r="A43" s="1"/>
      <c r="B43" s="123">
        <v>1.0</v>
      </c>
      <c r="C43" s="124" t="s">
        <v>45</v>
      </c>
      <c r="D43" s="125">
        <v>0.55</v>
      </c>
      <c r="E43" s="126">
        <v>5.0</v>
      </c>
      <c r="F43" s="127">
        <v>1.0</v>
      </c>
      <c r="G43" s="128">
        <f>'Start Here'!$F$22*D43</f>
        <v>55</v>
      </c>
      <c r="H43" s="138"/>
      <c r="I43" s="165"/>
      <c r="J43" s="166">
        <f t="shared" ref="J43:J46" si="43">E43*F43</f>
        <v>5</v>
      </c>
      <c r="K43" s="165">
        <f t="shared" ref="K43:K46" si="44">G43*J43</f>
        <v>275</v>
      </c>
      <c r="L43" s="166"/>
      <c r="M43" s="138"/>
      <c r="N43" s="67"/>
      <c r="O43" s="67"/>
      <c r="P43" s="67"/>
      <c r="Q43" s="67"/>
      <c r="R43" s="67"/>
      <c r="S43" s="93">
        <f t="shared" ref="S43:S46" si="45">IF(ISNUMBER(SEARCH("bench",$C43)),IF($D43&gt;=0.5,IF($D43&lt;0.6,$E43*$F43," ")," ")," ")</f>
        <v>5</v>
      </c>
      <c r="T43" s="93" t="str">
        <f t="shared" ref="T43:T46" si="46">IF(ISNUMBER(SEARCH("bench",$C43)),IF($D43&gt;=0.6,IF($D43&lt;0.7,$E43*$F43," ")," ")," ")</f>
        <v> </v>
      </c>
      <c r="U43" s="93" t="str">
        <f t="shared" ref="U43:U46" si="47">IF(ISNUMBER(SEARCH("bench",$C43)),IF($D43&gt;=0.7,IF($D43&lt;0.8,$E43*$F43," ")," ")," ")</f>
        <v> </v>
      </c>
      <c r="V43" s="93" t="str">
        <f t="shared" ref="V43:V46" si="48">IF(ISNUMBER(SEARCH("bench",$C43)),IF($D43&gt;=0.8,IF($D43&lt;0.9,$E43*$F43," ")," ")," ")</f>
        <v> </v>
      </c>
      <c r="W43" s="93" t="str">
        <f t="shared" ref="W43:W46" si="49">IF(ISNUMBER(SEARCH("bench",$C43)),IF($D43&gt;=0.9,$E43*$F43," ")," ")</f>
        <v> </v>
      </c>
      <c r="X43" s="67"/>
      <c r="Y43" s="67"/>
      <c r="Z43" s="67"/>
      <c r="AA43" s="67"/>
      <c r="AB43" s="67"/>
      <c r="AC43" s="76"/>
      <c r="AD43" s="77"/>
      <c r="AE43" s="77"/>
      <c r="AF43" s="77"/>
      <c r="AG43" s="78"/>
    </row>
    <row r="44" ht="12.75" customHeight="1">
      <c r="A44" s="1"/>
      <c r="B44" s="87"/>
      <c r="C44" s="94" t="s">
        <v>45</v>
      </c>
      <c r="D44" s="89">
        <v>0.65</v>
      </c>
      <c r="E44" s="90">
        <v>4.0</v>
      </c>
      <c r="F44" s="91">
        <v>1.0</v>
      </c>
      <c r="G44" s="92">
        <f>'Start Here'!$F$22*D44</f>
        <v>65</v>
      </c>
      <c r="H44" s="138"/>
      <c r="I44" s="165"/>
      <c r="J44" s="166">
        <f t="shared" si="43"/>
        <v>4</v>
      </c>
      <c r="K44" s="165">
        <f t="shared" si="44"/>
        <v>260</v>
      </c>
      <c r="L44" s="166"/>
      <c r="M44" s="138"/>
      <c r="N44" s="67"/>
      <c r="O44" s="67"/>
      <c r="P44" s="67"/>
      <c r="Q44" s="67"/>
      <c r="R44" s="67"/>
      <c r="S44" s="93" t="str">
        <f t="shared" si="45"/>
        <v> </v>
      </c>
      <c r="T44" s="93">
        <f t="shared" si="46"/>
        <v>4</v>
      </c>
      <c r="U44" s="93" t="str">
        <f t="shared" si="47"/>
        <v> </v>
      </c>
      <c r="V44" s="93" t="str">
        <f t="shared" si="48"/>
        <v> </v>
      </c>
      <c r="W44" s="93" t="str">
        <f t="shared" si="49"/>
        <v> </v>
      </c>
      <c r="X44" s="67"/>
      <c r="Y44" s="67"/>
      <c r="Z44" s="67"/>
      <c r="AA44" s="67"/>
      <c r="AB44" s="67"/>
      <c r="AC44" s="85"/>
      <c r="AG44" s="86"/>
    </row>
    <row r="45" ht="12.75" customHeight="1">
      <c r="A45" s="1"/>
      <c r="B45" s="87"/>
      <c r="C45" s="94" t="s">
        <v>45</v>
      </c>
      <c r="D45" s="89">
        <v>0.75</v>
      </c>
      <c r="E45" s="90">
        <v>3.0</v>
      </c>
      <c r="F45" s="91">
        <v>1.0</v>
      </c>
      <c r="G45" s="92">
        <f>'Start Here'!$F$22*D45</f>
        <v>75</v>
      </c>
      <c r="H45" s="138"/>
      <c r="I45" s="165"/>
      <c r="J45" s="166">
        <f t="shared" si="43"/>
        <v>3</v>
      </c>
      <c r="K45" s="165">
        <f t="shared" si="44"/>
        <v>225</v>
      </c>
      <c r="L45" s="166"/>
      <c r="M45" s="138"/>
      <c r="N45" s="67"/>
      <c r="O45" s="67"/>
      <c r="P45" s="67"/>
      <c r="Q45" s="67"/>
      <c r="R45" s="67"/>
      <c r="S45" s="93" t="str">
        <f t="shared" si="45"/>
        <v> </v>
      </c>
      <c r="T45" s="93" t="str">
        <f t="shared" si="46"/>
        <v> </v>
      </c>
      <c r="U45" s="93">
        <f t="shared" si="47"/>
        <v>3</v>
      </c>
      <c r="V45" s="93" t="str">
        <f t="shared" si="48"/>
        <v> </v>
      </c>
      <c r="W45" s="93" t="str">
        <f t="shared" si="49"/>
        <v> </v>
      </c>
      <c r="X45" s="67"/>
      <c r="Y45" s="67"/>
      <c r="Z45" s="67"/>
      <c r="AA45" s="67"/>
      <c r="AB45" s="67"/>
      <c r="AC45" s="85"/>
      <c r="AG45" s="86"/>
    </row>
    <row r="46" ht="12.75" customHeight="1">
      <c r="A46" s="1"/>
      <c r="B46" s="87"/>
      <c r="C46" s="94" t="s">
        <v>45</v>
      </c>
      <c r="D46" s="89">
        <v>0.85</v>
      </c>
      <c r="E46" s="90">
        <v>2.0</v>
      </c>
      <c r="F46" s="91">
        <v>4.0</v>
      </c>
      <c r="G46" s="92">
        <f>'Start Here'!$F$22*D46</f>
        <v>85</v>
      </c>
      <c r="H46" s="138"/>
      <c r="I46" s="165"/>
      <c r="J46" s="166">
        <f t="shared" si="43"/>
        <v>8</v>
      </c>
      <c r="K46" s="165">
        <f t="shared" si="44"/>
        <v>680</v>
      </c>
      <c r="L46" s="166"/>
      <c r="M46" s="138"/>
      <c r="N46" s="67"/>
      <c r="O46" s="67"/>
      <c r="P46" s="67"/>
      <c r="Q46" s="67"/>
      <c r="R46" s="67"/>
      <c r="S46" s="93" t="str">
        <f t="shared" si="45"/>
        <v> </v>
      </c>
      <c r="T46" s="93" t="str">
        <f t="shared" si="46"/>
        <v> </v>
      </c>
      <c r="U46" s="93" t="str">
        <f t="shared" si="47"/>
        <v> </v>
      </c>
      <c r="V46" s="93">
        <f t="shared" si="48"/>
        <v>8</v>
      </c>
      <c r="W46" s="93" t="str">
        <f t="shared" si="49"/>
        <v> </v>
      </c>
      <c r="X46" s="67"/>
      <c r="Y46" s="67"/>
      <c r="Z46" s="67"/>
      <c r="AA46" s="67"/>
      <c r="AB46" s="67"/>
      <c r="AC46" s="85"/>
      <c r="AG46" s="86"/>
    </row>
    <row r="47" ht="12.75" customHeight="1">
      <c r="A47" s="1"/>
      <c r="B47" s="79">
        <v>2.0</v>
      </c>
      <c r="C47" s="95" t="s">
        <v>46</v>
      </c>
      <c r="D47" s="81">
        <v>0.5</v>
      </c>
      <c r="E47" s="82">
        <v>5.0</v>
      </c>
      <c r="F47" s="83">
        <v>1.0</v>
      </c>
      <c r="G47" s="84">
        <f>'Start Here'!$F$21*D47</f>
        <v>50</v>
      </c>
      <c r="H47" s="138">
        <f t="shared" ref="H47:H50" si="50">E47*F47</f>
        <v>5</v>
      </c>
      <c r="I47" s="165">
        <f t="shared" ref="I47:I50" si="51">G47*H47</f>
        <v>250</v>
      </c>
      <c r="J47" s="166"/>
      <c r="K47" s="165"/>
      <c r="L47" s="166"/>
      <c r="M47" s="138"/>
      <c r="N47" s="75">
        <f t="shared" ref="N47:N50" si="52">IF(ISNUMBER(SEARCH("squat",$C47)),IF($D47&gt;=0.5,IF($D47&lt;0.6,$E47*$F47," ")," ")," ")</f>
        <v>5</v>
      </c>
      <c r="O47" s="75" t="str">
        <f t="shared" ref="O47:O50" si="53">IF(ISNUMBER(SEARCH("squat",$C47)),IF($D47&gt;=0.6,IF($D47&lt;0.7,$E47*$F47," ")," ")," ")</f>
        <v> </v>
      </c>
      <c r="P47" s="75" t="str">
        <f t="shared" ref="P47:P50" si="54">IF(ISNUMBER(SEARCH("squat",$C47)),IF($D47&gt;=0.7,IF($D47&lt;0.8,$E47*$F47," ")," ")," ")</f>
        <v> </v>
      </c>
      <c r="Q47" s="75" t="str">
        <f t="shared" ref="Q47:Q50" si="55">IF(ISNUMBER(SEARCH("squat",$C47)),IF($D47&gt;=0.8,IF($D47&lt;0.9,$E47*$F47," ")," ")," ")</f>
        <v> </v>
      </c>
      <c r="R47" s="75" t="str">
        <f t="shared" ref="R47:R50" si="56">IF(ISNUMBER(SEARCH("squat",$C47)),IF($D47&gt;=0.9,$E47*$F47," ")," ")</f>
        <v> </v>
      </c>
      <c r="S47" s="67"/>
      <c r="T47" s="67"/>
      <c r="U47" s="67"/>
      <c r="V47" s="67"/>
      <c r="W47" s="67"/>
      <c r="X47" s="67"/>
      <c r="Y47" s="67"/>
      <c r="Z47" s="67"/>
      <c r="AA47" s="67"/>
      <c r="AB47" s="67"/>
      <c r="AC47" s="85"/>
      <c r="AG47" s="86"/>
    </row>
    <row r="48" ht="12.75" customHeight="1">
      <c r="A48" s="1"/>
      <c r="B48" s="79"/>
      <c r="C48" s="80" t="s">
        <v>46</v>
      </c>
      <c r="D48" s="81">
        <v>0.6</v>
      </c>
      <c r="E48" s="82">
        <v>4.0</v>
      </c>
      <c r="F48" s="83">
        <v>1.0</v>
      </c>
      <c r="G48" s="84">
        <f>'Start Here'!$F$21*D48</f>
        <v>60</v>
      </c>
      <c r="H48" s="138">
        <f t="shared" si="50"/>
        <v>4</v>
      </c>
      <c r="I48" s="165">
        <f t="shared" si="51"/>
        <v>240</v>
      </c>
      <c r="J48" s="166"/>
      <c r="K48" s="165"/>
      <c r="L48" s="166"/>
      <c r="M48" s="138"/>
      <c r="N48" s="75" t="str">
        <f t="shared" si="52"/>
        <v> </v>
      </c>
      <c r="O48" s="75">
        <f t="shared" si="53"/>
        <v>4</v>
      </c>
      <c r="P48" s="75" t="str">
        <f t="shared" si="54"/>
        <v> </v>
      </c>
      <c r="Q48" s="75" t="str">
        <f t="shared" si="55"/>
        <v> </v>
      </c>
      <c r="R48" s="75" t="str">
        <f t="shared" si="56"/>
        <v> </v>
      </c>
      <c r="S48" s="67"/>
      <c r="T48" s="67"/>
      <c r="U48" s="67"/>
      <c r="V48" s="67"/>
      <c r="W48" s="67"/>
      <c r="X48" s="67"/>
      <c r="Y48" s="67"/>
      <c r="Z48" s="67"/>
      <c r="AA48" s="67"/>
      <c r="AB48" s="67"/>
      <c r="AC48" s="85"/>
      <c r="AG48" s="86"/>
    </row>
    <row r="49" ht="12.75" customHeight="1">
      <c r="A49" s="1"/>
      <c r="B49" s="79"/>
      <c r="C49" s="80" t="s">
        <v>46</v>
      </c>
      <c r="D49" s="81">
        <v>0.7</v>
      </c>
      <c r="E49" s="82">
        <v>3.0</v>
      </c>
      <c r="F49" s="83">
        <v>1.0</v>
      </c>
      <c r="G49" s="84">
        <f>'Start Here'!$F$21*D49</f>
        <v>70</v>
      </c>
      <c r="H49" s="138">
        <f t="shared" si="50"/>
        <v>3</v>
      </c>
      <c r="I49" s="165">
        <f t="shared" si="51"/>
        <v>210</v>
      </c>
      <c r="J49" s="166"/>
      <c r="K49" s="165"/>
      <c r="L49" s="166"/>
      <c r="M49" s="138"/>
      <c r="N49" s="75" t="str">
        <f t="shared" si="52"/>
        <v> </v>
      </c>
      <c r="O49" s="75" t="str">
        <f t="shared" si="53"/>
        <v> </v>
      </c>
      <c r="P49" s="75">
        <f t="shared" si="54"/>
        <v>3</v>
      </c>
      <c r="Q49" s="75" t="str">
        <f t="shared" si="55"/>
        <v> </v>
      </c>
      <c r="R49" s="75" t="str">
        <f t="shared" si="56"/>
        <v> </v>
      </c>
      <c r="S49" s="67"/>
      <c r="T49" s="67"/>
      <c r="U49" s="67"/>
      <c r="V49" s="67"/>
      <c r="W49" s="67"/>
      <c r="X49" s="67"/>
      <c r="Y49" s="67"/>
      <c r="Z49" s="67"/>
      <c r="AA49" s="67"/>
      <c r="AB49" s="67"/>
      <c r="AC49" s="85"/>
      <c r="AG49" s="86"/>
    </row>
    <row r="50" ht="12.75" customHeight="1">
      <c r="A50" s="1"/>
      <c r="B50" s="79"/>
      <c r="C50" s="80" t="s">
        <v>46</v>
      </c>
      <c r="D50" s="81">
        <v>0.8</v>
      </c>
      <c r="E50" s="82">
        <v>2.0</v>
      </c>
      <c r="F50" s="83">
        <v>4.0</v>
      </c>
      <c r="G50" s="84">
        <f>'Start Here'!$F$21*D50</f>
        <v>80</v>
      </c>
      <c r="H50" s="138">
        <f t="shared" si="50"/>
        <v>8</v>
      </c>
      <c r="I50" s="165">
        <f t="shared" si="51"/>
        <v>640</v>
      </c>
      <c r="J50" s="166"/>
      <c r="K50" s="165"/>
      <c r="L50" s="166"/>
      <c r="M50" s="138"/>
      <c r="N50" s="75" t="str">
        <f t="shared" si="52"/>
        <v> </v>
      </c>
      <c r="O50" s="75" t="str">
        <f t="shared" si="53"/>
        <v> </v>
      </c>
      <c r="P50" s="75" t="str">
        <f t="shared" si="54"/>
        <v> </v>
      </c>
      <c r="Q50" s="75">
        <f t="shared" si="55"/>
        <v>8</v>
      </c>
      <c r="R50" s="75" t="str">
        <f t="shared" si="56"/>
        <v> </v>
      </c>
      <c r="S50" s="67"/>
      <c r="T50" s="67"/>
      <c r="U50" s="67"/>
      <c r="V50" s="67"/>
      <c r="W50" s="67"/>
      <c r="X50" s="67"/>
      <c r="Y50" s="67"/>
      <c r="Z50" s="67"/>
      <c r="AA50" s="67"/>
      <c r="AB50" s="67"/>
      <c r="AC50" s="85"/>
      <c r="AG50" s="86"/>
    </row>
    <row r="51" ht="12.75" customHeight="1">
      <c r="A51" s="1"/>
      <c r="B51" s="87">
        <v>3.0</v>
      </c>
      <c r="C51" s="88" t="s">
        <v>45</v>
      </c>
      <c r="D51" s="89">
        <v>0.5</v>
      </c>
      <c r="E51" s="90">
        <v>4.0</v>
      </c>
      <c r="F51" s="91">
        <v>1.0</v>
      </c>
      <c r="G51" s="92">
        <f>'Start Here'!$F$22*D51</f>
        <v>50</v>
      </c>
      <c r="H51" s="138"/>
      <c r="I51" s="165"/>
      <c r="J51" s="166">
        <f t="shared" ref="J51:J53" si="57">E51*F51</f>
        <v>4</v>
      </c>
      <c r="K51" s="165">
        <f t="shared" ref="K51:K53" si="58">G51*J51</f>
        <v>200</v>
      </c>
      <c r="L51" s="166"/>
      <c r="M51" s="138"/>
      <c r="N51" s="67"/>
      <c r="O51" s="67"/>
      <c r="P51" s="67"/>
      <c r="Q51" s="67"/>
      <c r="R51" s="67"/>
      <c r="S51" s="93">
        <f t="shared" ref="S51:S53" si="59">IF(ISNUMBER(SEARCH("bench",$C51)),IF($D51&gt;=0.5,IF($D51&lt;0.6,$E51*$F51," ")," ")," ")</f>
        <v>4</v>
      </c>
      <c r="T51" s="93" t="str">
        <f t="shared" ref="T51:T53" si="60">IF(ISNUMBER(SEARCH("bench",$C51)),IF($D51&gt;=0.6,IF($D51&lt;0.7,$E51*$F51," ")," ")," ")</f>
        <v> </v>
      </c>
      <c r="U51" s="93" t="str">
        <f t="shared" ref="U51:U53" si="61">IF(ISNUMBER(SEARCH("bench",$C51)),IF($D51&gt;=0.7,IF($D51&lt;0.8,$E51*$F51," ")," ")," ")</f>
        <v> </v>
      </c>
      <c r="V51" s="93" t="str">
        <f t="shared" ref="V51:V53" si="62">IF(ISNUMBER(SEARCH("bench",$C51)),IF($D51&gt;=0.8,IF($D51&lt;0.9,$E51*$F51," ")," ")," ")</f>
        <v> </v>
      </c>
      <c r="W51" s="93" t="str">
        <f t="shared" ref="W51:W53" si="63">IF(ISNUMBER(SEARCH("bench",$C51)),IF($D51&gt;=0.9,$E51*$F51," ")," ")</f>
        <v> </v>
      </c>
      <c r="X51" s="67"/>
      <c r="Y51" s="67"/>
      <c r="Z51" s="67"/>
      <c r="AA51" s="67"/>
      <c r="AB51" s="67"/>
      <c r="AC51" s="85"/>
      <c r="AG51" s="86"/>
    </row>
    <row r="52" ht="12.75" customHeight="1">
      <c r="A52" s="1"/>
      <c r="B52" s="87"/>
      <c r="C52" s="94" t="s">
        <v>45</v>
      </c>
      <c r="D52" s="89">
        <v>0.6</v>
      </c>
      <c r="E52" s="90">
        <v>4.0</v>
      </c>
      <c r="F52" s="91">
        <v>1.0</v>
      </c>
      <c r="G52" s="92">
        <f>'Start Here'!$F$22*D52</f>
        <v>60</v>
      </c>
      <c r="H52" s="138"/>
      <c r="I52" s="165"/>
      <c r="J52" s="166">
        <f t="shared" si="57"/>
        <v>4</v>
      </c>
      <c r="K52" s="165">
        <f t="shared" si="58"/>
        <v>240</v>
      </c>
      <c r="L52" s="166"/>
      <c r="M52" s="138"/>
      <c r="N52" s="67"/>
      <c r="O52" s="67"/>
      <c r="P52" s="67"/>
      <c r="Q52" s="67"/>
      <c r="R52" s="67"/>
      <c r="S52" s="93" t="str">
        <f t="shared" si="59"/>
        <v> </v>
      </c>
      <c r="T52" s="93">
        <f t="shared" si="60"/>
        <v>4</v>
      </c>
      <c r="U52" s="93" t="str">
        <f t="shared" si="61"/>
        <v> </v>
      </c>
      <c r="V52" s="93" t="str">
        <f t="shared" si="62"/>
        <v> </v>
      </c>
      <c r="W52" s="93" t="str">
        <f t="shared" si="63"/>
        <v> </v>
      </c>
      <c r="X52" s="67"/>
      <c r="Y52" s="67"/>
      <c r="Z52" s="67"/>
      <c r="AA52" s="67"/>
      <c r="AB52" s="67"/>
      <c r="AC52" s="85"/>
      <c r="AG52" s="86"/>
    </row>
    <row r="53" ht="12.75" customHeight="1">
      <c r="A53" s="1"/>
      <c r="B53" s="87"/>
      <c r="C53" s="94" t="s">
        <v>45</v>
      </c>
      <c r="D53" s="89">
        <v>0.7</v>
      </c>
      <c r="E53" s="90">
        <v>4.0</v>
      </c>
      <c r="F53" s="91">
        <v>4.0</v>
      </c>
      <c r="G53" s="92">
        <f>'Start Here'!$F$22*D53</f>
        <v>70</v>
      </c>
      <c r="H53" s="138"/>
      <c r="I53" s="165"/>
      <c r="J53" s="166">
        <f t="shared" si="57"/>
        <v>16</v>
      </c>
      <c r="K53" s="165">
        <f t="shared" si="58"/>
        <v>1120</v>
      </c>
      <c r="L53" s="166"/>
      <c r="M53" s="138"/>
      <c r="N53" s="67"/>
      <c r="O53" s="67"/>
      <c r="P53" s="67"/>
      <c r="Q53" s="67"/>
      <c r="R53" s="67"/>
      <c r="S53" s="93" t="str">
        <f t="shared" si="59"/>
        <v> </v>
      </c>
      <c r="T53" s="93" t="str">
        <f t="shared" si="60"/>
        <v> </v>
      </c>
      <c r="U53" s="93">
        <f t="shared" si="61"/>
        <v>16</v>
      </c>
      <c r="V53" s="93" t="str">
        <f t="shared" si="62"/>
        <v> </v>
      </c>
      <c r="W53" s="93" t="str">
        <f t="shared" si="63"/>
        <v> </v>
      </c>
      <c r="X53" s="67"/>
      <c r="Y53" s="67"/>
      <c r="Z53" s="67"/>
      <c r="AA53" s="67"/>
      <c r="AB53" s="67"/>
      <c r="AC53" s="85"/>
      <c r="AG53" s="86"/>
    </row>
    <row r="54" ht="12.75" customHeight="1">
      <c r="A54" s="1"/>
      <c r="B54" s="96">
        <v>4.0</v>
      </c>
      <c r="C54" s="167" t="s">
        <v>92</v>
      </c>
      <c r="D54" s="168"/>
      <c r="E54" s="169">
        <v>6.0</v>
      </c>
      <c r="F54" s="169">
        <v>5.0</v>
      </c>
      <c r="G54" s="170"/>
      <c r="H54" s="138"/>
      <c r="I54" s="165"/>
      <c r="J54" s="166"/>
      <c r="K54" s="165"/>
      <c r="L54" s="166"/>
      <c r="M54" s="138"/>
      <c r="N54" s="67"/>
      <c r="O54" s="67"/>
      <c r="P54" s="67"/>
      <c r="Q54" s="67"/>
      <c r="R54" s="67"/>
      <c r="S54" s="67"/>
      <c r="T54" s="67"/>
      <c r="U54" s="67"/>
      <c r="V54" s="67"/>
      <c r="W54" s="67"/>
      <c r="X54" s="67"/>
      <c r="Y54" s="67"/>
      <c r="Z54" s="67"/>
      <c r="AA54" s="67"/>
      <c r="AB54" s="67"/>
      <c r="AC54" s="85"/>
      <c r="AG54" s="86"/>
    </row>
    <row r="55" ht="12.75" customHeight="1">
      <c r="A55" s="1"/>
      <c r="B55" s="175">
        <v>5.0</v>
      </c>
      <c r="C55" s="176" t="s">
        <v>48</v>
      </c>
      <c r="D55" s="177"/>
      <c r="E55" s="178">
        <v>10.0</v>
      </c>
      <c r="F55" s="179">
        <v>3.0</v>
      </c>
      <c r="G55" s="180"/>
      <c r="H55" s="138"/>
      <c r="I55" s="165"/>
      <c r="J55" s="166"/>
      <c r="K55" s="165"/>
      <c r="L55" s="166"/>
      <c r="M55" s="138"/>
      <c r="N55" s="67"/>
      <c r="O55" s="67"/>
      <c r="P55" s="67"/>
      <c r="Q55" s="67"/>
      <c r="R55" s="67"/>
      <c r="S55" s="67"/>
      <c r="T55" s="67"/>
      <c r="U55" s="67"/>
      <c r="V55" s="67"/>
      <c r="W55" s="67"/>
      <c r="X55" s="67"/>
      <c r="Y55" s="67"/>
      <c r="Z55" s="67"/>
      <c r="AA55" s="67"/>
      <c r="AB55" s="67"/>
      <c r="AC55" s="104"/>
      <c r="AD55" s="105"/>
      <c r="AE55" s="105"/>
      <c r="AF55" s="105"/>
      <c r="AG55" s="106"/>
    </row>
    <row r="56" ht="12.75" customHeight="1">
      <c r="A56" s="1"/>
      <c r="B56" s="67"/>
      <c r="C56" s="136"/>
      <c r="D56" s="137"/>
      <c r="E56" s="138"/>
      <c r="F56" s="138"/>
      <c r="G56" s="138"/>
      <c r="H56" s="166"/>
      <c r="I56" s="165"/>
      <c r="J56" s="166"/>
      <c r="K56" s="165"/>
      <c r="L56" s="166"/>
      <c r="M56" s="138"/>
      <c r="N56" s="67"/>
      <c r="O56" s="67"/>
      <c r="P56" s="67"/>
      <c r="Q56" s="67"/>
      <c r="R56" s="67"/>
      <c r="S56" s="67"/>
      <c r="T56" s="67"/>
      <c r="U56" s="67"/>
      <c r="V56" s="67"/>
      <c r="W56" s="67"/>
      <c r="X56" s="67"/>
      <c r="Y56" s="67"/>
      <c r="Z56" s="67"/>
      <c r="AA56" s="67"/>
      <c r="AB56" s="67"/>
      <c r="AC56" s="67"/>
      <c r="AD56" s="67"/>
      <c r="AE56" s="67"/>
      <c r="AF56" s="67"/>
      <c r="AG56" s="67"/>
    </row>
    <row r="57" ht="33.75" customHeight="1">
      <c r="A57" s="1"/>
      <c r="B57" s="68" t="s">
        <v>58</v>
      </c>
      <c r="D57" s="137" t="s">
        <v>34</v>
      </c>
      <c r="E57" s="138" t="s">
        <v>35</v>
      </c>
      <c r="F57" s="138" t="s">
        <v>36</v>
      </c>
      <c r="G57" s="138" t="s">
        <v>37</v>
      </c>
      <c r="H57" s="166"/>
      <c r="I57" s="165"/>
      <c r="J57" s="166"/>
      <c r="K57" s="165"/>
      <c r="L57" s="166"/>
      <c r="M57" s="138"/>
      <c r="N57" s="67"/>
      <c r="O57" s="67"/>
      <c r="P57" s="67"/>
      <c r="Q57" s="67"/>
      <c r="R57" s="67"/>
      <c r="S57" s="67"/>
      <c r="T57" s="67"/>
      <c r="U57" s="67"/>
      <c r="V57" s="67"/>
      <c r="W57" s="67"/>
      <c r="X57" s="67"/>
      <c r="Y57" s="67"/>
      <c r="Z57" s="67"/>
      <c r="AA57" s="67"/>
      <c r="AB57" s="67"/>
      <c r="AC57" s="67" t="s">
        <v>43</v>
      </c>
      <c r="AD57" s="67"/>
      <c r="AE57" s="67"/>
      <c r="AF57" s="67"/>
      <c r="AG57" s="67"/>
    </row>
    <row r="58" ht="12.75" customHeight="1">
      <c r="A58" s="1"/>
      <c r="B58" s="107">
        <v>1.0</v>
      </c>
      <c r="C58" s="108" t="s">
        <v>97</v>
      </c>
      <c r="D58" s="109">
        <v>0.6</v>
      </c>
      <c r="E58" s="110">
        <v>3.0</v>
      </c>
      <c r="F58" s="111">
        <v>1.0</v>
      </c>
      <c r="G58" s="112">
        <f>'Start Here'!$F$23*D58</f>
        <v>60</v>
      </c>
      <c r="H58" s="138"/>
      <c r="I58" s="165"/>
      <c r="J58" s="166"/>
      <c r="K58" s="165"/>
      <c r="L58" s="166">
        <f t="shared" ref="L58:L61" si="64">E58*F58</f>
        <v>3</v>
      </c>
      <c r="M58" s="138">
        <f t="shared" ref="M58:M61" si="65">G58*L58</f>
        <v>180</v>
      </c>
      <c r="N58" s="67"/>
      <c r="O58" s="67"/>
      <c r="P58" s="67"/>
      <c r="Q58" s="67"/>
      <c r="R58" s="67"/>
      <c r="S58" s="67"/>
      <c r="T58" s="67"/>
      <c r="U58" s="67"/>
      <c r="V58" s="67"/>
      <c r="W58" s="67"/>
      <c r="X58" s="114" t="str">
        <f t="shared" ref="X58:X61" si="66">IF(ISNUMBER(SEARCH("deadlift",$C58)),IF($D58&gt;=0.5,IF($D58&lt;0.6,$E58*$F58," ")," ")," ")</f>
        <v> </v>
      </c>
      <c r="Y58" s="114">
        <f t="shared" ref="Y58:Y61" si="67">IF(ISNUMBER(SEARCH("deadlift",$C58)),IF($D58&gt;=0.6,IF($D58&lt;0.7,$E58*$F58," ")," ")," ")</f>
        <v>3</v>
      </c>
      <c r="Z58" s="114" t="str">
        <f t="shared" ref="Z58:Z61" si="68">IF(ISNUMBER(SEARCH("deadlift",$C58)),IF($D58&gt;=0.7,IF($D58&lt;0.8,$E58*$F58," ")," ")," ")</f>
        <v> </v>
      </c>
      <c r="AA58" s="114" t="str">
        <f t="shared" ref="AA58:AA61" si="69">IF(ISNUMBER(SEARCH("deadlift",$C58)),IF($D58&gt;=0.8,IF($D58&lt;0.9,$E58*$F58," ")," ")," ")</f>
        <v> </v>
      </c>
      <c r="AB58" s="114" t="str">
        <f t="shared" ref="AB58:AB61" si="70">IF(ISNUMBER(SEARCH("deadlift",$C58)),IF($D58&gt;=0.9,$E58*$F58," ")," ")</f>
        <v> </v>
      </c>
      <c r="AC58" s="76"/>
      <c r="AD58" s="77"/>
      <c r="AE58" s="77"/>
      <c r="AF58" s="77"/>
      <c r="AG58" s="78"/>
    </row>
    <row r="59" ht="12.75" customHeight="1">
      <c r="A59" s="1"/>
      <c r="B59" s="115"/>
      <c r="C59" s="122" t="s">
        <v>97</v>
      </c>
      <c r="D59" s="117">
        <v>0.7</v>
      </c>
      <c r="E59" s="118">
        <v>3.0</v>
      </c>
      <c r="F59" s="119">
        <v>1.0</v>
      </c>
      <c r="G59" s="120">
        <f>'Start Here'!$F$23*D59</f>
        <v>70</v>
      </c>
      <c r="H59" s="138"/>
      <c r="I59" s="165"/>
      <c r="J59" s="166"/>
      <c r="K59" s="165"/>
      <c r="L59" s="166">
        <f t="shared" si="64"/>
        <v>3</v>
      </c>
      <c r="M59" s="138">
        <f t="shared" si="65"/>
        <v>210</v>
      </c>
      <c r="N59" s="67"/>
      <c r="O59" s="67"/>
      <c r="P59" s="67"/>
      <c r="Q59" s="67"/>
      <c r="R59" s="67"/>
      <c r="S59" s="67"/>
      <c r="T59" s="67"/>
      <c r="U59" s="67"/>
      <c r="V59" s="67"/>
      <c r="W59" s="67"/>
      <c r="X59" s="114" t="str">
        <f t="shared" si="66"/>
        <v> </v>
      </c>
      <c r="Y59" s="114" t="str">
        <f t="shared" si="67"/>
        <v> </v>
      </c>
      <c r="Z59" s="114">
        <f t="shared" si="68"/>
        <v>3</v>
      </c>
      <c r="AA59" s="114" t="str">
        <f t="shared" si="69"/>
        <v> </v>
      </c>
      <c r="AB59" s="114" t="str">
        <f t="shared" si="70"/>
        <v> </v>
      </c>
      <c r="AC59" s="85"/>
      <c r="AG59" s="86"/>
    </row>
    <row r="60" ht="12.75" customHeight="1">
      <c r="A60" s="1"/>
      <c r="B60" s="115"/>
      <c r="C60" s="122" t="s">
        <v>97</v>
      </c>
      <c r="D60" s="117">
        <v>0.8</v>
      </c>
      <c r="E60" s="118">
        <v>3.0</v>
      </c>
      <c r="F60" s="119">
        <v>2.0</v>
      </c>
      <c r="G60" s="120">
        <f>'Start Here'!$F$23*D60</f>
        <v>80</v>
      </c>
      <c r="H60" s="138"/>
      <c r="I60" s="165"/>
      <c r="J60" s="166"/>
      <c r="K60" s="165"/>
      <c r="L60" s="166">
        <f t="shared" si="64"/>
        <v>6</v>
      </c>
      <c r="M60" s="138">
        <f t="shared" si="65"/>
        <v>480</v>
      </c>
      <c r="N60" s="67"/>
      <c r="O60" s="67"/>
      <c r="P60" s="67"/>
      <c r="Q60" s="67"/>
      <c r="R60" s="67"/>
      <c r="S60" s="67"/>
      <c r="T60" s="67"/>
      <c r="U60" s="67"/>
      <c r="V60" s="67"/>
      <c r="W60" s="67"/>
      <c r="X60" s="114" t="str">
        <f t="shared" si="66"/>
        <v> </v>
      </c>
      <c r="Y60" s="114" t="str">
        <f t="shared" si="67"/>
        <v> </v>
      </c>
      <c r="Z60" s="114" t="str">
        <f t="shared" si="68"/>
        <v> </v>
      </c>
      <c r="AA60" s="114">
        <f t="shared" si="69"/>
        <v>6</v>
      </c>
      <c r="AB60" s="114" t="str">
        <f t="shared" si="70"/>
        <v> </v>
      </c>
      <c r="AC60" s="85"/>
      <c r="AG60" s="86"/>
    </row>
    <row r="61" ht="12.75" customHeight="1">
      <c r="A61" s="1"/>
      <c r="B61" s="115"/>
      <c r="C61" s="122" t="s">
        <v>97</v>
      </c>
      <c r="D61" s="117">
        <v>0.85</v>
      </c>
      <c r="E61" s="118">
        <v>3.0</v>
      </c>
      <c r="F61" s="119">
        <v>4.0</v>
      </c>
      <c r="G61" s="120">
        <f>'Start Here'!$F$23*D61</f>
        <v>85</v>
      </c>
      <c r="H61" s="138"/>
      <c r="I61" s="165"/>
      <c r="J61" s="166"/>
      <c r="K61" s="165"/>
      <c r="L61" s="166">
        <f t="shared" si="64"/>
        <v>12</v>
      </c>
      <c r="M61" s="138">
        <f t="shared" si="65"/>
        <v>1020</v>
      </c>
      <c r="N61" s="67"/>
      <c r="O61" s="67"/>
      <c r="P61" s="67"/>
      <c r="Q61" s="67"/>
      <c r="R61" s="67"/>
      <c r="S61" s="67"/>
      <c r="T61" s="67"/>
      <c r="U61" s="67"/>
      <c r="V61" s="67"/>
      <c r="W61" s="67"/>
      <c r="X61" s="114" t="str">
        <f t="shared" si="66"/>
        <v> </v>
      </c>
      <c r="Y61" s="114" t="str">
        <f t="shared" si="67"/>
        <v> </v>
      </c>
      <c r="Z61" s="114" t="str">
        <f t="shared" si="68"/>
        <v> </v>
      </c>
      <c r="AA61" s="114">
        <f t="shared" si="69"/>
        <v>12</v>
      </c>
      <c r="AB61" s="114" t="str">
        <f t="shared" si="70"/>
        <v> </v>
      </c>
      <c r="AC61" s="85"/>
      <c r="AG61" s="86"/>
    </row>
    <row r="62" ht="12.75" customHeight="1">
      <c r="A62" s="1"/>
      <c r="B62" s="96">
        <v>2.0</v>
      </c>
      <c r="C62" s="167" t="s">
        <v>98</v>
      </c>
      <c r="D62" s="168"/>
      <c r="E62" s="98">
        <v>3.0</v>
      </c>
      <c r="F62" s="169">
        <v>5.0</v>
      </c>
      <c r="G62" s="170"/>
      <c r="H62" s="138"/>
      <c r="I62" s="165"/>
      <c r="J62" s="166"/>
      <c r="K62" s="165"/>
      <c r="L62" s="166"/>
      <c r="M62" s="138"/>
      <c r="N62" s="67"/>
      <c r="O62" s="67"/>
      <c r="P62" s="67"/>
      <c r="Q62" s="67"/>
      <c r="R62" s="67"/>
      <c r="S62" s="67"/>
      <c r="T62" s="67"/>
      <c r="U62" s="67"/>
      <c r="V62" s="67"/>
      <c r="W62" s="67"/>
      <c r="X62" s="67"/>
      <c r="Y62" s="67"/>
      <c r="Z62" s="67"/>
      <c r="AA62" s="67"/>
      <c r="AB62" s="67"/>
      <c r="AC62" s="85"/>
      <c r="AG62" s="86"/>
    </row>
    <row r="63" ht="12.75" customHeight="1">
      <c r="A63" s="1"/>
      <c r="B63" s="135">
        <v>3.0</v>
      </c>
      <c r="C63" s="136" t="s">
        <v>69</v>
      </c>
      <c r="D63" s="137"/>
      <c r="E63" s="68">
        <v>6.0</v>
      </c>
      <c r="F63" s="138">
        <v>4.0</v>
      </c>
      <c r="G63" s="139"/>
      <c r="H63" s="138"/>
      <c r="I63" s="165"/>
      <c r="J63" s="166"/>
      <c r="K63" s="165"/>
      <c r="L63" s="166"/>
      <c r="M63" s="138"/>
      <c r="N63" s="67"/>
      <c r="O63" s="67"/>
      <c r="P63" s="67"/>
      <c r="Q63" s="67"/>
      <c r="R63" s="67"/>
      <c r="S63" s="67"/>
      <c r="T63" s="67"/>
      <c r="U63" s="67"/>
      <c r="V63" s="67"/>
      <c r="W63" s="67"/>
      <c r="X63" s="67"/>
      <c r="Y63" s="67"/>
      <c r="Z63" s="67"/>
      <c r="AA63" s="67"/>
      <c r="AB63" s="67"/>
      <c r="AC63" s="85"/>
      <c r="AG63" s="86"/>
    </row>
    <row r="64" ht="12.75" customHeight="1">
      <c r="A64" s="1"/>
      <c r="B64" s="135">
        <v>4.0</v>
      </c>
      <c r="C64" s="136" t="s">
        <v>95</v>
      </c>
      <c r="D64" s="137"/>
      <c r="E64" s="68">
        <v>6.0</v>
      </c>
      <c r="F64" s="138">
        <v>5.0</v>
      </c>
      <c r="G64" s="139"/>
      <c r="H64" s="138"/>
      <c r="I64" s="165"/>
      <c r="J64" s="166"/>
      <c r="K64" s="165"/>
      <c r="L64" s="166"/>
      <c r="M64" s="138"/>
      <c r="N64" s="67"/>
      <c r="O64" s="67"/>
      <c r="P64" s="67"/>
      <c r="Q64" s="67"/>
      <c r="R64" s="67"/>
      <c r="S64" s="67"/>
      <c r="T64" s="67"/>
      <c r="U64" s="67"/>
      <c r="V64" s="67"/>
      <c r="W64" s="67"/>
      <c r="X64" s="67"/>
      <c r="Y64" s="67"/>
      <c r="Z64" s="67"/>
      <c r="AA64" s="67"/>
      <c r="AB64" s="67"/>
      <c r="AC64" s="85"/>
      <c r="AG64" s="86"/>
    </row>
    <row r="65" ht="12.75" customHeight="1">
      <c r="A65" s="1"/>
      <c r="B65" s="100">
        <v>5.0</v>
      </c>
      <c r="C65" s="171" t="s">
        <v>57</v>
      </c>
      <c r="D65" s="172"/>
      <c r="E65" s="102">
        <v>8.0</v>
      </c>
      <c r="F65" s="173">
        <v>4.0</v>
      </c>
      <c r="G65" s="174"/>
      <c r="H65" s="138"/>
      <c r="I65" s="165"/>
      <c r="J65" s="166"/>
      <c r="K65" s="165"/>
      <c r="L65" s="166"/>
      <c r="M65" s="138"/>
      <c r="N65" s="67"/>
      <c r="O65" s="67"/>
      <c r="P65" s="67"/>
      <c r="Q65" s="67"/>
      <c r="R65" s="67"/>
      <c r="S65" s="67"/>
      <c r="T65" s="67"/>
      <c r="U65" s="67"/>
      <c r="V65" s="67"/>
      <c r="W65" s="67"/>
      <c r="X65" s="67"/>
      <c r="Y65" s="67"/>
      <c r="Z65" s="67"/>
      <c r="AA65" s="67"/>
      <c r="AB65" s="67"/>
      <c r="AC65" s="104"/>
      <c r="AD65" s="105"/>
      <c r="AE65" s="105"/>
      <c r="AF65" s="105"/>
      <c r="AG65" s="106"/>
    </row>
    <row r="66" ht="12.75" customHeight="1">
      <c r="A66" s="181"/>
      <c r="B66" s="142"/>
      <c r="C66" s="182"/>
      <c r="D66" s="183"/>
      <c r="E66" s="184"/>
      <c r="F66" s="184"/>
      <c r="G66" s="184"/>
      <c r="H66" s="185">
        <f t="shared" ref="H66:AB66" si="71">SUM(H7:H65)</f>
        <v>59</v>
      </c>
      <c r="I66" s="186">
        <f t="shared" si="71"/>
        <v>3920</v>
      </c>
      <c r="J66" s="185">
        <f t="shared" si="71"/>
        <v>103</v>
      </c>
      <c r="K66" s="186">
        <f t="shared" si="71"/>
        <v>7180</v>
      </c>
      <c r="L66" s="185">
        <f t="shared" si="71"/>
        <v>59</v>
      </c>
      <c r="M66" s="184">
        <f t="shared" si="71"/>
        <v>4415</v>
      </c>
      <c r="N66" s="142">
        <f t="shared" si="71"/>
        <v>10</v>
      </c>
      <c r="O66" s="142">
        <f t="shared" si="71"/>
        <v>9</v>
      </c>
      <c r="P66" s="142">
        <f t="shared" si="71"/>
        <v>32</v>
      </c>
      <c r="Q66" s="142">
        <f t="shared" si="71"/>
        <v>8</v>
      </c>
      <c r="R66" s="142">
        <f t="shared" si="71"/>
        <v>0</v>
      </c>
      <c r="S66" s="187">
        <f t="shared" si="71"/>
        <v>17</v>
      </c>
      <c r="T66" s="187">
        <f t="shared" si="71"/>
        <v>18</v>
      </c>
      <c r="U66" s="187">
        <f t="shared" si="71"/>
        <v>36</v>
      </c>
      <c r="V66" s="187">
        <f t="shared" si="71"/>
        <v>32</v>
      </c>
      <c r="W66" s="187">
        <f t="shared" si="71"/>
        <v>0</v>
      </c>
      <c r="X66" s="144">
        <f t="shared" si="71"/>
        <v>3</v>
      </c>
      <c r="Y66" s="144">
        <f t="shared" si="71"/>
        <v>9</v>
      </c>
      <c r="Z66" s="144">
        <f t="shared" si="71"/>
        <v>14</v>
      </c>
      <c r="AA66" s="144">
        <f t="shared" si="71"/>
        <v>33</v>
      </c>
      <c r="AB66" s="144">
        <f t="shared" si="71"/>
        <v>0</v>
      </c>
      <c r="AC66" s="142"/>
      <c r="AD66" s="142"/>
      <c r="AE66" s="142"/>
      <c r="AF66" s="142"/>
      <c r="AG66" s="142"/>
    </row>
    <row r="67" ht="36.0" customHeight="1">
      <c r="A67" s="1"/>
      <c r="B67" s="66" t="s">
        <v>65</v>
      </c>
      <c r="H67" s="138"/>
      <c r="I67" s="165"/>
      <c r="J67" s="166"/>
      <c r="K67" s="165"/>
      <c r="L67" s="166"/>
      <c r="M67" s="138"/>
      <c r="N67" s="67"/>
      <c r="O67" s="67"/>
      <c r="P67" s="67"/>
      <c r="Q67" s="67"/>
      <c r="R67" s="67"/>
      <c r="S67" s="67"/>
      <c r="T67" s="67"/>
      <c r="U67" s="67"/>
      <c r="V67" s="67"/>
      <c r="W67" s="67"/>
      <c r="X67" s="67"/>
      <c r="Y67" s="67"/>
      <c r="Z67" s="67"/>
      <c r="AA67" s="67"/>
      <c r="AB67" s="67"/>
      <c r="AC67" s="67"/>
      <c r="AD67" s="67"/>
      <c r="AE67" s="67"/>
      <c r="AF67" s="67"/>
      <c r="AG67" s="67"/>
    </row>
    <row r="68" ht="28.5" customHeight="1">
      <c r="A68" s="1"/>
      <c r="B68" s="68" t="s">
        <v>33</v>
      </c>
      <c r="D68" s="137" t="s">
        <v>34</v>
      </c>
      <c r="E68" s="138" t="s">
        <v>35</v>
      </c>
      <c r="F68" s="138" t="s">
        <v>36</v>
      </c>
      <c r="G68" s="138" t="s">
        <v>37</v>
      </c>
      <c r="H68" s="166"/>
      <c r="I68" s="165"/>
      <c r="J68" s="166"/>
      <c r="K68" s="165"/>
      <c r="L68" s="166"/>
      <c r="M68" s="138"/>
      <c r="N68" s="67"/>
      <c r="O68" s="67"/>
      <c r="P68" s="67"/>
      <c r="Q68" s="67"/>
      <c r="R68" s="67"/>
      <c r="S68" s="67"/>
      <c r="T68" s="67"/>
      <c r="U68" s="67"/>
      <c r="V68" s="67"/>
      <c r="W68" s="67"/>
      <c r="X68" s="67"/>
      <c r="Y68" s="67"/>
      <c r="Z68" s="67"/>
      <c r="AA68" s="67"/>
      <c r="AB68" s="67"/>
      <c r="AC68" s="67" t="s">
        <v>43</v>
      </c>
      <c r="AD68" s="67"/>
      <c r="AE68" s="67"/>
      <c r="AF68" s="67"/>
      <c r="AG68" s="67"/>
    </row>
    <row r="69" ht="12.75" customHeight="1">
      <c r="A69" s="1"/>
      <c r="B69" s="123">
        <v>1.0</v>
      </c>
      <c r="C69" s="124" t="s">
        <v>45</v>
      </c>
      <c r="D69" s="125">
        <v>0.5</v>
      </c>
      <c r="E69" s="126">
        <v>5.0</v>
      </c>
      <c r="F69" s="127">
        <v>1.0</v>
      </c>
      <c r="G69" s="128">
        <f>'Start Here'!$F$22*D69</f>
        <v>50</v>
      </c>
      <c r="H69" s="138"/>
      <c r="I69" s="165"/>
      <c r="J69" s="166">
        <f t="shared" ref="J69:J72" si="72">E69*F69</f>
        <v>5</v>
      </c>
      <c r="K69" s="165">
        <f t="shared" ref="K69:K72" si="73">G69*J69</f>
        <v>250</v>
      </c>
      <c r="L69" s="166"/>
      <c r="M69" s="138"/>
      <c r="N69" s="67"/>
      <c r="O69" s="67"/>
      <c r="P69" s="67"/>
      <c r="Q69" s="67"/>
      <c r="R69" s="67"/>
      <c r="S69" s="93">
        <f t="shared" ref="S69:S72" si="74">IF(ISNUMBER(SEARCH("bench",$C69)),IF($D69&gt;=0.5,IF($D69&lt;0.6,$E69*$F69," ")," ")," ")</f>
        <v>5</v>
      </c>
      <c r="T69" s="93" t="str">
        <f t="shared" ref="T69:T72" si="75">IF(ISNUMBER(SEARCH("bench",$C69)),IF($D69&gt;=0.6,IF($D69&lt;0.7,$E69*$F69," ")," ")," ")</f>
        <v> </v>
      </c>
      <c r="U69" s="93" t="str">
        <f t="shared" ref="U69:U72" si="76">IF(ISNUMBER(SEARCH("bench",$C69)),IF($D69&gt;=0.7,IF($D69&lt;0.8,$E69*$F69," ")," ")," ")</f>
        <v> </v>
      </c>
      <c r="V69" s="93" t="str">
        <f t="shared" ref="V69:V72" si="77">IF(ISNUMBER(SEARCH("bench",$C69)),IF($D69&gt;=0.8,IF($D69&lt;0.9,$E69*$F69," ")," ")," ")</f>
        <v> </v>
      </c>
      <c r="W69" s="93" t="str">
        <f t="shared" ref="W69:W72" si="78">IF(ISNUMBER(SEARCH("bench",$C69)),IF($D69&gt;=0.9,$E69*$F69," ")," ")</f>
        <v> </v>
      </c>
      <c r="X69" s="67"/>
      <c r="Y69" s="67"/>
      <c r="Z69" s="67"/>
      <c r="AA69" s="67"/>
      <c r="AB69" s="67"/>
      <c r="AC69" s="76"/>
      <c r="AD69" s="77"/>
      <c r="AE69" s="77"/>
      <c r="AF69" s="77"/>
      <c r="AG69" s="78"/>
    </row>
    <row r="70" ht="12.75" customHeight="1">
      <c r="A70" s="1"/>
      <c r="B70" s="87"/>
      <c r="C70" s="94" t="s">
        <v>45</v>
      </c>
      <c r="D70" s="89">
        <v>0.6</v>
      </c>
      <c r="E70" s="90">
        <v>4.0</v>
      </c>
      <c r="F70" s="91">
        <v>1.0</v>
      </c>
      <c r="G70" s="92">
        <f>'Start Here'!$F$22*D70</f>
        <v>60</v>
      </c>
      <c r="H70" s="138"/>
      <c r="I70" s="165"/>
      <c r="J70" s="166">
        <f t="shared" si="72"/>
        <v>4</v>
      </c>
      <c r="K70" s="165">
        <f t="shared" si="73"/>
        <v>240</v>
      </c>
      <c r="L70" s="166"/>
      <c r="M70" s="138"/>
      <c r="N70" s="67"/>
      <c r="O70" s="67"/>
      <c r="P70" s="67"/>
      <c r="Q70" s="67"/>
      <c r="R70" s="67"/>
      <c r="S70" s="93" t="str">
        <f t="shared" si="74"/>
        <v> </v>
      </c>
      <c r="T70" s="93">
        <f t="shared" si="75"/>
        <v>4</v>
      </c>
      <c r="U70" s="93" t="str">
        <f t="shared" si="76"/>
        <v> </v>
      </c>
      <c r="V70" s="93" t="str">
        <f t="shared" si="77"/>
        <v> </v>
      </c>
      <c r="W70" s="93" t="str">
        <f t="shared" si="78"/>
        <v> </v>
      </c>
      <c r="X70" s="67"/>
      <c r="Y70" s="67"/>
      <c r="Z70" s="67"/>
      <c r="AA70" s="67"/>
      <c r="AB70" s="67"/>
      <c r="AC70" s="85"/>
      <c r="AG70" s="86"/>
    </row>
    <row r="71" ht="12.75" customHeight="1">
      <c r="A71" s="1"/>
      <c r="B71" s="87"/>
      <c r="C71" s="94" t="s">
        <v>45</v>
      </c>
      <c r="D71" s="89">
        <v>0.7</v>
      </c>
      <c r="E71" s="90">
        <v>3.0</v>
      </c>
      <c r="F71" s="91">
        <v>1.0</v>
      </c>
      <c r="G71" s="92">
        <f>'Start Here'!$F$22*D71</f>
        <v>70</v>
      </c>
      <c r="H71" s="138"/>
      <c r="I71" s="165"/>
      <c r="J71" s="166">
        <f t="shared" si="72"/>
        <v>3</v>
      </c>
      <c r="K71" s="165">
        <f t="shared" si="73"/>
        <v>210</v>
      </c>
      <c r="L71" s="166"/>
      <c r="M71" s="138"/>
      <c r="N71" s="67"/>
      <c r="O71" s="67"/>
      <c r="P71" s="67"/>
      <c r="Q71" s="67"/>
      <c r="R71" s="67"/>
      <c r="S71" s="93" t="str">
        <f t="shared" si="74"/>
        <v> </v>
      </c>
      <c r="T71" s="93" t="str">
        <f t="shared" si="75"/>
        <v> </v>
      </c>
      <c r="U71" s="93">
        <f t="shared" si="76"/>
        <v>3</v>
      </c>
      <c r="V71" s="93" t="str">
        <f t="shared" si="77"/>
        <v> </v>
      </c>
      <c r="W71" s="93" t="str">
        <f t="shared" si="78"/>
        <v> </v>
      </c>
      <c r="X71" s="67"/>
      <c r="Y71" s="67"/>
      <c r="Z71" s="67"/>
      <c r="AA71" s="67"/>
      <c r="AB71" s="67"/>
      <c r="AC71" s="85"/>
      <c r="AG71" s="86"/>
    </row>
    <row r="72" ht="12.75" customHeight="1">
      <c r="A72" s="1"/>
      <c r="B72" s="87"/>
      <c r="C72" s="94" t="s">
        <v>45</v>
      </c>
      <c r="D72" s="89">
        <v>0.8</v>
      </c>
      <c r="E72" s="90">
        <v>2.0</v>
      </c>
      <c r="F72" s="91">
        <v>4.0</v>
      </c>
      <c r="G72" s="92">
        <f>'Start Here'!$F$22*D72</f>
        <v>80</v>
      </c>
      <c r="H72" s="138"/>
      <c r="I72" s="165"/>
      <c r="J72" s="166">
        <f t="shared" si="72"/>
        <v>8</v>
      </c>
      <c r="K72" s="165">
        <f t="shared" si="73"/>
        <v>640</v>
      </c>
      <c r="L72" s="166"/>
      <c r="M72" s="138"/>
      <c r="N72" s="67"/>
      <c r="O72" s="67"/>
      <c r="P72" s="67"/>
      <c r="Q72" s="67"/>
      <c r="R72" s="67"/>
      <c r="S72" s="93" t="str">
        <f t="shared" si="74"/>
        <v> </v>
      </c>
      <c r="T72" s="93" t="str">
        <f t="shared" si="75"/>
        <v> </v>
      </c>
      <c r="U72" s="93" t="str">
        <f t="shared" si="76"/>
        <v> </v>
      </c>
      <c r="V72" s="93">
        <f t="shared" si="77"/>
        <v>8</v>
      </c>
      <c r="W72" s="93" t="str">
        <f t="shared" si="78"/>
        <v> </v>
      </c>
      <c r="X72" s="67"/>
      <c r="Y72" s="67"/>
      <c r="Z72" s="67"/>
      <c r="AA72" s="67"/>
      <c r="AB72" s="67"/>
      <c r="AC72" s="85"/>
      <c r="AG72" s="86"/>
    </row>
    <row r="73" ht="12.75" customHeight="1">
      <c r="A73" s="1"/>
      <c r="B73" s="79">
        <v>2.0</v>
      </c>
      <c r="C73" s="95" t="s">
        <v>46</v>
      </c>
      <c r="D73" s="81">
        <v>0.5</v>
      </c>
      <c r="E73" s="82">
        <v>5.0</v>
      </c>
      <c r="F73" s="83">
        <v>1.0</v>
      </c>
      <c r="G73" s="84">
        <f>'Start Here'!$F$21*D73</f>
        <v>50</v>
      </c>
      <c r="H73" s="138">
        <f t="shared" ref="H73:H76" si="79">E73*F73</f>
        <v>5</v>
      </c>
      <c r="I73" s="165">
        <f t="shared" ref="I73:I76" si="80">G73*H73</f>
        <v>250</v>
      </c>
      <c r="J73" s="166"/>
      <c r="K73" s="165"/>
      <c r="L73" s="166"/>
      <c r="M73" s="138"/>
      <c r="N73" s="75">
        <f t="shared" ref="N73:N76" si="81">IF(ISNUMBER(SEARCH("squat",$C73)),IF($D73&gt;=0.5,IF($D73&lt;0.6,$E73*$F73," ")," ")," ")</f>
        <v>5</v>
      </c>
      <c r="O73" s="75" t="str">
        <f t="shared" ref="O73:O76" si="82">IF(ISNUMBER(SEARCH("squat",$C73)),IF($D73&gt;=0.6,IF($D73&lt;0.7,$E73*$F73," ")," ")," ")</f>
        <v> </v>
      </c>
      <c r="P73" s="75" t="str">
        <f t="shared" ref="P73:P76" si="83">IF(ISNUMBER(SEARCH("squat",$C73)),IF($D73&gt;=0.7,IF($D73&lt;0.8,$E73*$F73," ")," ")," ")</f>
        <v> </v>
      </c>
      <c r="Q73" s="75" t="str">
        <f t="shared" ref="Q73:Q76" si="84">IF(ISNUMBER(SEARCH("squat",$C73)),IF($D73&gt;=0.8,IF($D73&lt;0.9,$E73*$F73," ")," ")," ")</f>
        <v> </v>
      </c>
      <c r="R73" s="75" t="str">
        <f t="shared" ref="R73:R76" si="85">IF(ISNUMBER(SEARCH("squat",$C73)),IF($D73&gt;=0.9,$E73*$F73," ")," ")</f>
        <v> </v>
      </c>
      <c r="S73" s="67"/>
      <c r="T73" s="67"/>
      <c r="U73" s="67"/>
      <c r="V73" s="67"/>
      <c r="W73" s="67"/>
      <c r="X73" s="67"/>
      <c r="Y73" s="67"/>
      <c r="Z73" s="67"/>
      <c r="AA73" s="67"/>
      <c r="AB73" s="67"/>
      <c r="AC73" s="85"/>
      <c r="AG73" s="86"/>
    </row>
    <row r="74" ht="12.75" customHeight="1">
      <c r="A74" s="1"/>
      <c r="B74" s="79"/>
      <c r="C74" s="80" t="s">
        <v>46</v>
      </c>
      <c r="D74" s="81">
        <v>0.6</v>
      </c>
      <c r="E74" s="82">
        <v>4.0</v>
      </c>
      <c r="F74" s="83">
        <v>1.0</v>
      </c>
      <c r="G74" s="84">
        <f>'Start Here'!$F$21*D74</f>
        <v>60</v>
      </c>
      <c r="H74" s="138">
        <f t="shared" si="79"/>
        <v>4</v>
      </c>
      <c r="I74" s="165">
        <f t="shared" si="80"/>
        <v>240</v>
      </c>
      <c r="J74" s="166"/>
      <c r="K74" s="165"/>
      <c r="L74" s="166"/>
      <c r="M74" s="138"/>
      <c r="N74" s="75" t="str">
        <f t="shared" si="81"/>
        <v> </v>
      </c>
      <c r="O74" s="75">
        <f t="shared" si="82"/>
        <v>4</v>
      </c>
      <c r="P74" s="75" t="str">
        <f t="shared" si="83"/>
        <v> </v>
      </c>
      <c r="Q74" s="75" t="str">
        <f t="shared" si="84"/>
        <v> </v>
      </c>
      <c r="R74" s="75" t="str">
        <f t="shared" si="85"/>
        <v> </v>
      </c>
      <c r="S74" s="67"/>
      <c r="T74" s="67"/>
      <c r="U74" s="67"/>
      <c r="V74" s="67"/>
      <c r="W74" s="67"/>
      <c r="X74" s="67"/>
      <c r="Y74" s="67"/>
      <c r="Z74" s="67"/>
      <c r="AA74" s="67"/>
      <c r="AB74" s="67"/>
      <c r="AC74" s="85"/>
      <c r="AG74" s="86"/>
    </row>
    <row r="75" ht="12.75" customHeight="1">
      <c r="A75" s="1"/>
      <c r="B75" s="79"/>
      <c r="C75" s="80" t="s">
        <v>46</v>
      </c>
      <c r="D75" s="81">
        <v>0.7</v>
      </c>
      <c r="E75" s="82">
        <v>3.0</v>
      </c>
      <c r="F75" s="83">
        <v>1.0</v>
      </c>
      <c r="G75" s="84">
        <f>'Start Here'!$F$21*D75</f>
        <v>70</v>
      </c>
      <c r="H75" s="138">
        <f t="shared" si="79"/>
        <v>3</v>
      </c>
      <c r="I75" s="165">
        <f t="shared" si="80"/>
        <v>210</v>
      </c>
      <c r="J75" s="166"/>
      <c r="K75" s="165"/>
      <c r="L75" s="166"/>
      <c r="M75" s="138"/>
      <c r="N75" s="75" t="str">
        <f t="shared" si="81"/>
        <v> </v>
      </c>
      <c r="O75" s="75" t="str">
        <f t="shared" si="82"/>
        <v> </v>
      </c>
      <c r="P75" s="75">
        <f t="shared" si="83"/>
        <v>3</v>
      </c>
      <c r="Q75" s="75" t="str">
        <f t="shared" si="84"/>
        <v> </v>
      </c>
      <c r="R75" s="75" t="str">
        <f t="shared" si="85"/>
        <v> </v>
      </c>
      <c r="S75" s="67"/>
      <c r="T75" s="67"/>
      <c r="U75" s="67"/>
      <c r="V75" s="67"/>
      <c r="W75" s="67"/>
      <c r="X75" s="67"/>
      <c r="Y75" s="67"/>
      <c r="Z75" s="67"/>
      <c r="AA75" s="67"/>
      <c r="AB75" s="67"/>
      <c r="AC75" s="85"/>
      <c r="AG75" s="86"/>
    </row>
    <row r="76" ht="12.75" customHeight="1">
      <c r="A76" s="1"/>
      <c r="B76" s="79"/>
      <c r="C76" s="80" t="s">
        <v>46</v>
      </c>
      <c r="D76" s="81">
        <v>0.8</v>
      </c>
      <c r="E76" s="82">
        <v>2.0</v>
      </c>
      <c r="F76" s="83">
        <v>4.0</v>
      </c>
      <c r="G76" s="84">
        <f>'Start Here'!$F$21*D76</f>
        <v>80</v>
      </c>
      <c r="H76" s="138">
        <f t="shared" si="79"/>
        <v>8</v>
      </c>
      <c r="I76" s="165">
        <f t="shared" si="80"/>
        <v>640</v>
      </c>
      <c r="J76" s="166"/>
      <c r="K76" s="165"/>
      <c r="L76" s="166"/>
      <c r="M76" s="138"/>
      <c r="N76" s="75" t="str">
        <f t="shared" si="81"/>
        <v> </v>
      </c>
      <c r="O76" s="75" t="str">
        <f t="shared" si="82"/>
        <v> </v>
      </c>
      <c r="P76" s="75" t="str">
        <f t="shared" si="83"/>
        <v> </v>
      </c>
      <c r="Q76" s="75">
        <f t="shared" si="84"/>
        <v>8</v>
      </c>
      <c r="R76" s="75" t="str">
        <f t="shared" si="85"/>
        <v> </v>
      </c>
      <c r="S76" s="67"/>
      <c r="T76" s="67"/>
      <c r="U76" s="67"/>
      <c r="V76" s="67"/>
      <c r="W76" s="67"/>
      <c r="X76" s="67"/>
      <c r="Y76" s="67"/>
      <c r="Z76" s="67"/>
      <c r="AA76" s="67"/>
      <c r="AB76" s="67"/>
      <c r="AC76" s="85"/>
      <c r="AG76" s="86"/>
    </row>
    <row r="77" ht="12.75" customHeight="1">
      <c r="A77" s="1"/>
      <c r="B77" s="87">
        <v>3.0</v>
      </c>
      <c r="C77" s="88" t="s">
        <v>99</v>
      </c>
      <c r="D77" s="89">
        <v>0.5</v>
      </c>
      <c r="E77" s="90">
        <v>3.0</v>
      </c>
      <c r="F77" s="91">
        <v>1.0</v>
      </c>
      <c r="G77" s="92">
        <f>'Start Here'!$F$22*D77</f>
        <v>50</v>
      </c>
      <c r="H77" s="138"/>
      <c r="I77" s="165"/>
      <c r="J77" s="166">
        <f t="shared" ref="J77:J80" si="86">E77*F77</f>
        <v>3</v>
      </c>
      <c r="K77" s="165">
        <f t="shared" ref="K77:K80" si="87">G77*J77</f>
        <v>150</v>
      </c>
      <c r="L77" s="166"/>
      <c r="M77" s="138"/>
      <c r="N77" s="67"/>
      <c r="O77" s="67"/>
      <c r="P77" s="67"/>
      <c r="Q77" s="67"/>
      <c r="R77" s="67"/>
      <c r="S77" s="93">
        <f t="shared" ref="S77:S80" si="88">IF(ISNUMBER(SEARCH("bench",$C77)),IF($D77&gt;=0.5,IF($D77&lt;0.6,$E77*$F77," ")," ")," ")</f>
        <v>3</v>
      </c>
      <c r="T77" s="93" t="str">
        <f t="shared" ref="T77:T80" si="89">IF(ISNUMBER(SEARCH("bench",$C77)),IF($D77&gt;=0.6,IF($D77&lt;0.7,$E77*$F77," ")," ")," ")</f>
        <v> </v>
      </c>
      <c r="U77" s="93" t="str">
        <f t="shared" ref="U77:U80" si="90">IF(ISNUMBER(SEARCH("bench",$C77)),IF($D77&gt;=0.7,IF($D77&lt;0.8,$E77*$F77," ")," ")," ")</f>
        <v> </v>
      </c>
      <c r="V77" s="93" t="str">
        <f t="shared" ref="V77:V80" si="91">IF(ISNUMBER(SEARCH("bench",$C77)),IF($D77&gt;=0.8,IF($D77&lt;0.9,$E77*$F77," ")," ")," ")</f>
        <v> </v>
      </c>
      <c r="W77" s="93" t="str">
        <f t="shared" ref="W77:W80" si="92">IF(ISNUMBER(SEARCH("bench",$C77)),IF($D77&gt;=0.9,$E77*$F77," ")," ")</f>
        <v> </v>
      </c>
      <c r="X77" s="67"/>
      <c r="Y77" s="67"/>
      <c r="Z77" s="67"/>
      <c r="AA77" s="67"/>
      <c r="AB77" s="67"/>
      <c r="AC77" s="85"/>
      <c r="AG77" s="86"/>
    </row>
    <row r="78" ht="12.75" customHeight="1">
      <c r="A78" s="1"/>
      <c r="B78" s="87"/>
      <c r="C78" s="94" t="s">
        <v>99</v>
      </c>
      <c r="D78" s="89">
        <v>0.6</v>
      </c>
      <c r="E78" s="90">
        <v>3.0</v>
      </c>
      <c r="F78" s="91">
        <v>1.0</v>
      </c>
      <c r="G78" s="92">
        <f>'Start Here'!$F$22*D78</f>
        <v>60</v>
      </c>
      <c r="H78" s="138"/>
      <c r="I78" s="165"/>
      <c r="J78" s="166">
        <f t="shared" si="86"/>
        <v>3</v>
      </c>
      <c r="K78" s="165">
        <f t="shared" si="87"/>
        <v>180</v>
      </c>
      <c r="L78" s="166"/>
      <c r="M78" s="138"/>
      <c r="N78" s="67"/>
      <c r="O78" s="67"/>
      <c r="P78" s="67"/>
      <c r="Q78" s="67"/>
      <c r="R78" s="67"/>
      <c r="S78" s="93" t="str">
        <f t="shared" si="88"/>
        <v> </v>
      </c>
      <c r="T78" s="93">
        <f t="shared" si="89"/>
        <v>3</v>
      </c>
      <c r="U78" s="93" t="str">
        <f t="shared" si="90"/>
        <v> </v>
      </c>
      <c r="V78" s="93" t="str">
        <f t="shared" si="91"/>
        <v> </v>
      </c>
      <c r="W78" s="93" t="str">
        <f t="shared" si="92"/>
        <v> </v>
      </c>
      <c r="X78" s="67"/>
      <c r="Y78" s="67"/>
      <c r="Z78" s="67"/>
      <c r="AA78" s="67"/>
      <c r="AB78" s="67"/>
      <c r="AC78" s="85"/>
      <c r="AG78" s="86"/>
    </row>
    <row r="79" ht="12.75" customHeight="1">
      <c r="A79" s="1"/>
      <c r="B79" s="87"/>
      <c r="C79" s="94" t="s">
        <v>99</v>
      </c>
      <c r="D79" s="89">
        <v>0.7</v>
      </c>
      <c r="E79" s="90">
        <v>3.0</v>
      </c>
      <c r="F79" s="91">
        <v>1.0</v>
      </c>
      <c r="G79" s="92">
        <f>'Start Here'!$F$22*D79</f>
        <v>70</v>
      </c>
      <c r="H79" s="138"/>
      <c r="I79" s="165"/>
      <c r="J79" s="166">
        <f t="shared" si="86"/>
        <v>3</v>
      </c>
      <c r="K79" s="165">
        <f t="shared" si="87"/>
        <v>210</v>
      </c>
      <c r="L79" s="166"/>
      <c r="M79" s="138"/>
      <c r="N79" s="67"/>
      <c r="O79" s="67"/>
      <c r="P79" s="67"/>
      <c r="Q79" s="67"/>
      <c r="R79" s="67"/>
      <c r="S79" s="93" t="str">
        <f t="shared" si="88"/>
        <v> </v>
      </c>
      <c r="T79" s="93" t="str">
        <f t="shared" si="89"/>
        <v> </v>
      </c>
      <c r="U79" s="93">
        <f t="shared" si="90"/>
        <v>3</v>
      </c>
      <c r="V79" s="93" t="str">
        <f t="shared" si="91"/>
        <v> </v>
      </c>
      <c r="W79" s="93" t="str">
        <f t="shared" si="92"/>
        <v> </v>
      </c>
      <c r="X79" s="67"/>
      <c r="Y79" s="67"/>
      <c r="Z79" s="67"/>
      <c r="AA79" s="67"/>
      <c r="AB79" s="67"/>
      <c r="AC79" s="85"/>
      <c r="AG79" s="86"/>
    </row>
    <row r="80" ht="12.75" customHeight="1">
      <c r="A80" s="1"/>
      <c r="B80" s="87"/>
      <c r="C80" s="94" t="s">
        <v>99</v>
      </c>
      <c r="D80" s="89">
        <v>0.75</v>
      </c>
      <c r="E80" s="90">
        <v>2.0</v>
      </c>
      <c r="F80" s="91">
        <v>4.0</v>
      </c>
      <c r="G80" s="92">
        <f>'Start Here'!$F$22*D80</f>
        <v>75</v>
      </c>
      <c r="H80" s="138"/>
      <c r="I80" s="165"/>
      <c r="J80" s="166">
        <f t="shared" si="86"/>
        <v>8</v>
      </c>
      <c r="K80" s="165">
        <f t="shared" si="87"/>
        <v>600</v>
      </c>
      <c r="L80" s="166"/>
      <c r="M80" s="138"/>
      <c r="N80" s="67"/>
      <c r="O80" s="67"/>
      <c r="P80" s="67"/>
      <c r="Q80" s="67"/>
      <c r="R80" s="67"/>
      <c r="S80" s="93" t="str">
        <f t="shared" si="88"/>
        <v> </v>
      </c>
      <c r="T80" s="93" t="str">
        <f t="shared" si="89"/>
        <v> </v>
      </c>
      <c r="U80" s="93">
        <f t="shared" si="90"/>
        <v>8</v>
      </c>
      <c r="V80" s="93" t="str">
        <f t="shared" si="91"/>
        <v> </v>
      </c>
      <c r="W80" s="93" t="str">
        <f t="shared" si="92"/>
        <v> </v>
      </c>
      <c r="X80" s="67"/>
      <c r="Y80" s="67"/>
      <c r="Z80" s="67"/>
      <c r="AA80" s="67"/>
      <c r="AB80" s="67"/>
      <c r="AC80" s="85"/>
      <c r="AG80" s="86"/>
    </row>
    <row r="81" ht="12.75" customHeight="1">
      <c r="A81" s="1"/>
      <c r="B81" s="96">
        <v>4.0</v>
      </c>
      <c r="C81" s="167" t="s">
        <v>92</v>
      </c>
      <c r="D81" s="168"/>
      <c r="E81" s="169">
        <v>8.0</v>
      </c>
      <c r="F81" s="169">
        <v>5.0</v>
      </c>
      <c r="G81" s="170"/>
      <c r="H81" s="138"/>
      <c r="I81" s="165"/>
      <c r="J81" s="166"/>
      <c r="K81" s="165"/>
      <c r="L81" s="166"/>
      <c r="M81" s="138"/>
      <c r="N81" s="67"/>
      <c r="O81" s="67"/>
      <c r="P81" s="67"/>
      <c r="Q81" s="67"/>
      <c r="R81" s="67"/>
      <c r="S81" s="67"/>
      <c r="T81" s="67"/>
      <c r="U81" s="67"/>
      <c r="V81" s="67"/>
      <c r="W81" s="67"/>
      <c r="X81" s="67"/>
      <c r="Y81" s="67"/>
      <c r="Z81" s="67"/>
      <c r="AA81" s="67"/>
      <c r="AB81" s="67"/>
      <c r="AC81" s="85"/>
      <c r="AG81" s="86"/>
    </row>
    <row r="82" ht="12.75" customHeight="1">
      <c r="A82" s="1"/>
      <c r="B82" s="175">
        <v>5.0</v>
      </c>
      <c r="C82" s="176" t="s">
        <v>53</v>
      </c>
      <c r="D82" s="177"/>
      <c r="E82" s="178">
        <v>5.0</v>
      </c>
      <c r="F82" s="179">
        <v>5.0</v>
      </c>
      <c r="G82" s="180"/>
      <c r="H82" s="138"/>
      <c r="I82" s="165"/>
      <c r="J82" s="166"/>
      <c r="K82" s="165"/>
      <c r="L82" s="166"/>
      <c r="M82" s="138"/>
      <c r="N82" s="67"/>
      <c r="O82" s="67"/>
      <c r="P82" s="67"/>
      <c r="Q82" s="67"/>
      <c r="R82" s="67"/>
      <c r="S82" s="67"/>
      <c r="T82" s="67"/>
      <c r="U82" s="67"/>
      <c r="V82" s="67"/>
      <c r="W82" s="67"/>
      <c r="X82" s="67"/>
      <c r="Y82" s="67"/>
      <c r="Z82" s="67"/>
      <c r="AA82" s="67"/>
      <c r="AB82" s="67"/>
      <c r="AC82" s="104"/>
      <c r="AD82" s="105"/>
      <c r="AE82" s="105"/>
      <c r="AF82" s="105"/>
      <c r="AG82" s="106"/>
    </row>
    <row r="83" ht="12.75" customHeight="1">
      <c r="A83" s="1"/>
      <c r="B83" s="67"/>
      <c r="C83" s="136"/>
      <c r="D83" s="137"/>
      <c r="E83" s="138"/>
      <c r="F83" s="138"/>
      <c r="G83" s="138"/>
      <c r="H83" s="166"/>
      <c r="I83" s="165"/>
      <c r="J83" s="166"/>
      <c r="K83" s="165"/>
      <c r="L83" s="166"/>
      <c r="M83" s="138"/>
      <c r="N83" s="67"/>
      <c r="O83" s="67"/>
      <c r="P83" s="67"/>
      <c r="Q83" s="67"/>
      <c r="R83" s="67"/>
      <c r="S83" s="67"/>
      <c r="T83" s="67"/>
      <c r="U83" s="67"/>
      <c r="V83" s="67"/>
      <c r="W83" s="67"/>
      <c r="X83" s="67"/>
      <c r="Y83" s="67"/>
      <c r="Z83" s="67"/>
      <c r="AA83" s="67"/>
      <c r="AB83" s="67"/>
      <c r="AC83" s="67"/>
      <c r="AD83" s="67"/>
      <c r="AE83" s="67"/>
      <c r="AF83" s="67"/>
      <c r="AG83" s="67"/>
    </row>
    <row r="84" ht="42.75" customHeight="1">
      <c r="A84" s="1"/>
      <c r="B84" s="68" t="s">
        <v>49</v>
      </c>
      <c r="D84" s="137" t="s">
        <v>34</v>
      </c>
      <c r="E84" s="138" t="s">
        <v>35</v>
      </c>
      <c r="F84" s="138" t="s">
        <v>36</v>
      </c>
      <c r="G84" s="138" t="s">
        <v>37</v>
      </c>
      <c r="H84" s="166"/>
      <c r="I84" s="165"/>
      <c r="J84" s="166"/>
      <c r="K84" s="165"/>
      <c r="L84" s="166"/>
      <c r="M84" s="138"/>
      <c r="N84" s="67"/>
      <c r="O84" s="67"/>
      <c r="P84" s="67"/>
      <c r="Q84" s="67"/>
      <c r="R84" s="67"/>
      <c r="S84" s="67"/>
      <c r="T84" s="67"/>
      <c r="U84" s="67"/>
      <c r="V84" s="67"/>
      <c r="W84" s="67"/>
      <c r="X84" s="67"/>
      <c r="Y84" s="67"/>
      <c r="Z84" s="67"/>
      <c r="AA84" s="67"/>
      <c r="AB84" s="67"/>
      <c r="AC84" s="67" t="s">
        <v>43</v>
      </c>
      <c r="AD84" s="67"/>
      <c r="AE84" s="67"/>
      <c r="AF84" s="67"/>
      <c r="AG84" s="67"/>
    </row>
    <row r="85" ht="12.75" customHeight="1">
      <c r="A85" s="1"/>
      <c r="B85" s="107">
        <v>1.0</v>
      </c>
      <c r="C85" s="108" t="s">
        <v>100</v>
      </c>
      <c r="D85" s="109">
        <v>0.5</v>
      </c>
      <c r="E85" s="110">
        <v>3.0</v>
      </c>
      <c r="F85" s="111">
        <v>1.0</v>
      </c>
      <c r="G85" s="112">
        <f>'Start Here'!$F$23*D85</f>
        <v>50</v>
      </c>
      <c r="H85" s="138"/>
      <c r="I85" s="165"/>
      <c r="J85" s="166"/>
      <c r="K85" s="165"/>
      <c r="L85" s="166">
        <f t="shared" ref="L85:L87" si="93">E85*F85</f>
        <v>3</v>
      </c>
      <c r="M85" s="138">
        <f t="shared" ref="M85:M87" si="94">G85*L85</f>
        <v>150</v>
      </c>
      <c r="N85" s="67"/>
      <c r="O85" s="67"/>
      <c r="P85" s="67"/>
      <c r="Q85" s="67"/>
      <c r="R85" s="67"/>
      <c r="S85" s="67"/>
      <c r="T85" s="67"/>
      <c r="U85" s="67"/>
      <c r="V85" s="67"/>
      <c r="W85" s="67"/>
      <c r="X85" s="114">
        <f t="shared" ref="X85:X87" si="95">IF(ISNUMBER(SEARCH("deadlift",$C85)),IF($D85&gt;=0.5,IF($D85&lt;0.6,$E85*$F85," ")," ")," ")</f>
        <v>3</v>
      </c>
      <c r="Y85" s="114" t="str">
        <f t="shared" ref="Y85:Y87" si="96">IF(ISNUMBER(SEARCH("deadlift",$C85)),IF($D85&gt;=0.6,IF($D85&lt;0.7,$E85*$F85," ")," ")," ")</f>
        <v> </v>
      </c>
      <c r="Z85" s="114" t="str">
        <f t="shared" ref="Z85:Z87" si="97">IF(ISNUMBER(SEARCH("deadlift",$C85)),IF($D85&gt;=0.7,IF($D85&lt;0.8,$E85*$F85," ")," ")," ")</f>
        <v> </v>
      </c>
      <c r="AA85" s="114" t="str">
        <f t="shared" ref="AA85:AA87" si="98">IF(ISNUMBER(SEARCH("deadlift",$C85)),IF($D85&gt;=0.8,IF($D85&lt;0.9,$E85*$F85," ")," ")," ")</f>
        <v> </v>
      </c>
      <c r="AB85" s="114" t="str">
        <f t="shared" ref="AB85:AB87" si="99">IF(ISNUMBER(SEARCH("deadlift",$C85)),IF($D85&gt;=0.9,$E85*$F85," ")," ")</f>
        <v> </v>
      </c>
      <c r="AC85" s="76"/>
      <c r="AD85" s="77"/>
      <c r="AE85" s="77"/>
      <c r="AF85" s="77"/>
      <c r="AG85" s="78"/>
    </row>
    <row r="86" ht="12.75" customHeight="1">
      <c r="A86" s="1"/>
      <c r="B86" s="115"/>
      <c r="C86" s="122" t="s">
        <v>100</v>
      </c>
      <c r="D86" s="117">
        <v>0.6</v>
      </c>
      <c r="E86" s="118">
        <v>3.0</v>
      </c>
      <c r="F86" s="119">
        <v>1.0</v>
      </c>
      <c r="G86" s="120">
        <f>'Start Here'!$F$23*D86</f>
        <v>60</v>
      </c>
      <c r="H86" s="138"/>
      <c r="I86" s="165"/>
      <c r="J86" s="166"/>
      <c r="K86" s="165"/>
      <c r="L86" s="166">
        <f t="shared" si="93"/>
        <v>3</v>
      </c>
      <c r="M86" s="138">
        <f t="shared" si="94"/>
        <v>180</v>
      </c>
      <c r="N86" s="67"/>
      <c r="O86" s="67"/>
      <c r="P86" s="67"/>
      <c r="Q86" s="67"/>
      <c r="R86" s="67"/>
      <c r="S86" s="67"/>
      <c r="T86" s="67"/>
      <c r="U86" s="67"/>
      <c r="V86" s="67"/>
      <c r="W86" s="67"/>
      <c r="X86" s="114" t="str">
        <f t="shared" si="95"/>
        <v> </v>
      </c>
      <c r="Y86" s="114">
        <f t="shared" si="96"/>
        <v>3</v>
      </c>
      <c r="Z86" s="114" t="str">
        <f t="shared" si="97"/>
        <v> </v>
      </c>
      <c r="AA86" s="114" t="str">
        <f t="shared" si="98"/>
        <v> </v>
      </c>
      <c r="AB86" s="114" t="str">
        <f t="shared" si="99"/>
        <v> </v>
      </c>
      <c r="AC86" s="85"/>
      <c r="AG86" s="86"/>
    </row>
    <row r="87" ht="12.75" customHeight="1">
      <c r="A87" s="1"/>
      <c r="B87" s="115"/>
      <c r="C87" s="122" t="s">
        <v>100</v>
      </c>
      <c r="D87" s="117">
        <v>0.7</v>
      </c>
      <c r="E87" s="118">
        <v>2.0</v>
      </c>
      <c r="F87" s="119">
        <v>4.0</v>
      </c>
      <c r="G87" s="120">
        <f>'Start Here'!$F$23*D87</f>
        <v>70</v>
      </c>
      <c r="H87" s="138"/>
      <c r="I87" s="165"/>
      <c r="J87" s="166"/>
      <c r="K87" s="165"/>
      <c r="L87" s="166">
        <f t="shared" si="93"/>
        <v>8</v>
      </c>
      <c r="M87" s="138">
        <f t="shared" si="94"/>
        <v>560</v>
      </c>
      <c r="N87" s="67"/>
      <c r="O87" s="67"/>
      <c r="P87" s="67"/>
      <c r="Q87" s="67"/>
      <c r="R87" s="67"/>
      <c r="S87" s="67"/>
      <c r="T87" s="67"/>
      <c r="U87" s="67"/>
      <c r="V87" s="67"/>
      <c r="W87" s="67"/>
      <c r="X87" s="114" t="str">
        <f t="shared" si="95"/>
        <v> </v>
      </c>
      <c r="Y87" s="114" t="str">
        <f t="shared" si="96"/>
        <v> </v>
      </c>
      <c r="Z87" s="114">
        <f t="shared" si="97"/>
        <v>8</v>
      </c>
      <c r="AA87" s="114" t="str">
        <f t="shared" si="98"/>
        <v> </v>
      </c>
      <c r="AB87" s="114" t="str">
        <f t="shared" si="99"/>
        <v> </v>
      </c>
      <c r="AC87" s="85"/>
      <c r="AG87" s="86"/>
    </row>
    <row r="88" ht="12.75" customHeight="1">
      <c r="A88" s="1"/>
      <c r="B88" s="87">
        <v>2.0</v>
      </c>
      <c r="C88" s="88" t="s">
        <v>91</v>
      </c>
      <c r="D88" s="89">
        <v>0.55</v>
      </c>
      <c r="E88" s="90">
        <v>5.0</v>
      </c>
      <c r="F88" s="91">
        <v>1.0</v>
      </c>
      <c r="G88" s="92">
        <f>'Start Here'!$F$22*D88</f>
        <v>55</v>
      </c>
      <c r="H88" s="138"/>
      <c r="I88" s="165"/>
      <c r="J88" s="166">
        <f t="shared" ref="J88:J92" si="100">E88*F88</f>
        <v>5</v>
      </c>
      <c r="K88" s="165">
        <f t="shared" ref="K88:K92" si="101">G88*J88</f>
        <v>275</v>
      </c>
      <c r="L88" s="166"/>
      <c r="M88" s="138"/>
      <c r="N88" s="67"/>
      <c r="O88" s="67"/>
      <c r="P88" s="67"/>
      <c r="Q88" s="67"/>
      <c r="R88" s="67"/>
      <c r="S88" s="93">
        <f t="shared" ref="S88:S92" si="102">IF(ISNUMBER(SEARCH("bench",$C88)),IF($D88&gt;=0.5,IF($D88&lt;0.6,$E88*$F88," ")," ")," ")</f>
        <v>5</v>
      </c>
      <c r="T88" s="93" t="str">
        <f t="shared" ref="T88:T92" si="103">IF(ISNUMBER(SEARCH("bench",$C88)),IF($D88&gt;=0.6,IF($D88&lt;0.7,$E88*$F88," ")," ")," ")</f>
        <v> </v>
      </c>
      <c r="U88" s="93" t="str">
        <f t="shared" ref="U88:U92" si="104">IF(ISNUMBER(SEARCH("bench",$C88)),IF($D88&gt;=0.7,IF($D88&lt;0.8,$E88*$F88," ")," ")," ")</f>
        <v> </v>
      </c>
      <c r="V88" s="93" t="str">
        <f t="shared" ref="V88:V92" si="105">IF(ISNUMBER(SEARCH("bench",$C88)),IF($D88&gt;=0.8,IF($D88&lt;0.9,$E88*$F88," ")," ")," ")</f>
        <v> </v>
      </c>
      <c r="W88" s="93" t="str">
        <f t="shared" ref="W88:W92" si="106">IF(ISNUMBER(SEARCH("bench",$C88)),IF($D88&gt;=0.9,$E88*$F88," ")," ")</f>
        <v> </v>
      </c>
      <c r="X88" s="67"/>
      <c r="Y88" s="67"/>
      <c r="Z88" s="67"/>
      <c r="AA88" s="67"/>
      <c r="AB88" s="67"/>
      <c r="AC88" s="85"/>
      <c r="AG88" s="86"/>
    </row>
    <row r="89" ht="12.75" customHeight="1">
      <c r="A89" s="1"/>
      <c r="B89" s="87"/>
      <c r="C89" s="94" t="s">
        <v>91</v>
      </c>
      <c r="D89" s="89">
        <v>0.65</v>
      </c>
      <c r="E89" s="90">
        <v>4.0</v>
      </c>
      <c r="F89" s="91">
        <v>1.0</v>
      </c>
      <c r="G89" s="92">
        <f>'Start Here'!$F$22*D89</f>
        <v>65</v>
      </c>
      <c r="H89" s="138"/>
      <c r="I89" s="165"/>
      <c r="J89" s="166">
        <f t="shared" si="100"/>
        <v>4</v>
      </c>
      <c r="K89" s="165">
        <f t="shared" si="101"/>
        <v>260</v>
      </c>
      <c r="L89" s="166"/>
      <c r="M89" s="138"/>
      <c r="N89" s="67"/>
      <c r="O89" s="67"/>
      <c r="P89" s="67"/>
      <c r="Q89" s="67"/>
      <c r="R89" s="67"/>
      <c r="S89" s="93" t="str">
        <f t="shared" si="102"/>
        <v> </v>
      </c>
      <c r="T89" s="93">
        <f t="shared" si="103"/>
        <v>4</v>
      </c>
      <c r="U89" s="93" t="str">
        <f t="shared" si="104"/>
        <v> </v>
      </c>
      <c r="V89" s="93" t="str">
        <f t="shared" si="105"/>
        <v> </v>
      </c>
      <c r="W89" s="93" t="str">
        <f t="shared" si="106"/>
        <v> </v>
      </c>
      <c r="X89" s="67"/>
      <c r="Y89" s="67"/>
      <c r="Z89" s="67"/>
      <c r="AA89" s="67"/>
      <c r="AB89" s="67"/>
      <c r="AC89" s="85"/>
      <c r="AG89" s="86"/>
    </row>
    <row r="90" ht="12.75" customHeight="1">
      <c r="A90" s="1"/>
      <c r="B90" s="87"/>
      <c r="C90" s="94" t="s">
        <v>91</v>
      </c>
      <c r="D90" s="89">
        <v>0.75</v>
      </c>
      <c r="E90" s="90">
        <v>4.0</v>
      </c>
      <c r="F90" s="91">
        <v>2.0</v>
      </c>
      <c r="G90" s="92">
        <f>'Start Here'!$F$22*D90</f>
        <v>75</v>
      </c>
      <c r="H90" s="138"/>
      <c r="I90" s="165"/>
      <c r="J90" s="166">
        <f t="shared" si="100"/>
        <v>8</v>
      </c>
      <c r="K90" s="165">
        <f t="shared" si="101"/>
        <v>600</v>
      </c>
      <c r="L90" s="166"/>
      <c r="M90" s="138"/>
      <c r="N90" s="67"/>
      <c r="O90" s="67"/>
      <c r="P90" s="67"/>
      <c r="Q90" s="67"/>
      <c r="R90" s="67"/>
      <c r="S90" s="93" t="str">
        <f t="shared" si="102"/>
        <v> </v>
      </c>
      <c r="T90" s="93" t="str">
        <f t="shared" si="103"/>
        <v> </v>
      </c>
      <c r="U90" s="93">
        <f t="shared" si="104"/>
        <v>8</v>
      </c>
      <c r="V90" s="93" t="str">
        <f t="shared" si="105"/>
        <v> </v>
      </c>
      <c r="W90" s="93" t="str">
        <f t="shared" si="106"/>
        <v> </v>
      </c>
      <c r="X90" s="67"/>
      <c r="Y90" s="67"/>
      <c r="Z90" s="67"/>
      <c r="AA90" s="67"/>
      <c r="AB90" s="67"/>
      <c r="AC90" s="85"/>
      <c r="AG90" s="86"/>
    </row>
    <row r="91" ht="12.75" customHeight="1">
      <c r="A91" s="1"/>
      <c r="B91" s="87"/>
      <c r="C91" s="94" t="s">
        <v>91</v>
      </c>
      <c r="D91" s="89">
        <v>0.85</v>
      </c>
      <c r="E91" s="90">
        <v>3.0</v>
      </c>
      <c r="F91" s="91">
        <v>2.0</v>
      </c>
      <c r="G91" s="92">
        <f>'Start Here'!$F$22*D91</f>
        <v>85</v>
      </c>
      <c r="H91" s="138"/>
      <c r="I91" s="165"/>
      <c r="J91" s="166">
        <f t="shared" si="100"/>
        <v>6</v>
      </c>
      <c r="K91" s="165">
        <f t="shared" si="101"/>
        <v>510</v>
      </c>
      <c r="L91" s="166"/>
      <c r="M91" s="138"/>
      <c r="N91" s="67"/>
      <c r="O91" s="67"/>
      <c r="P91" s="67"/>
      <c r="Q91" s="67"/>
      <c r="R91" s="67"/>
      <c r="S91" s="93" t="str">
        <f t="shared" si="102"/>
        <v> </v>
      </c>
      <c r="T91" s="93" t="str">
        <f t="shared" si="103"/>
        <v> </v>
      </c>
      <c r="U91" s="93" t="str">
        <f t="shared" si="104"/>
        <v> </v>
      </c>
      <c r="V91" s="93">
        <f t="shared" si="105"/>
        <v>6</v>
      </c>
      <c r="W91" s="93" t="str">
        <f t="shared" si="106"/>
        <v> </v>
      </c>
      <c r="X91" s="67"/>
      <c r="Y91" s="67"/>
      <c r="Z91" s="67"/>
      <c r="AA91" s="67"/>
      <c r="AB91" s="67"/>
      <c r="AC91" s="85"/>
      <c r="AG91" s="86"/>
    </row>
    <row r="92" ht="12.75" customHeight="1">
      <c r="A92" s="1"/>
      <c r="B92" s="87"/>
      <c r="C92" s="94" t="s">
        <v>91</v>
      </c>
      <c r="D92" s="89">
        <v>0.9</v>
      </c>
      <c r="E92" s="90">
        <v>2.0</v>
      </c>
      <c r="F92" s="91">
        <v>3.0</v>
      </c>
      <c r="G92" s="92">
        <f>'Start Here'!$F$22*D92</f>
        <v>90</v>
      </c>
      <c r="H92" s="138"/>
      <c r="I92" s="165"/>
      <c r="J92" s="166">
        <f t="shared" si="100"/>
        <v>6</v>
      </c>
      <c r="K92" s="165">
        <f t="shared" si="101"/>
        <v>540</v>
      </c>
      <c r="L92" s="166"/>
      <c r="M92" s="138"/>
      <c r="N92" s="67"/>
      <c r="O92" s="67"/>
      <c r="P92" s="67"/>
      <c r="Q92" s="67"/>
      <c r="R92" s="67"/>
      <c r="S92" s="93" t="str">
        <f t="shared" si="102"/>
        <v> </v>
      </c>
      <c r="T92" s="93" t="str">
        <f t="shared" si="103"/>
        <v> </v>
      </c>
      <c r="U92" s="93" t="str">
        <f t="shared" si="104"/>
        <v> </v>
      </c>
      <c r="V92" s="93" t="str">
        <f t="shared" si="105"/>
        <v> </v>
      </c>
      <c r="W92" s="93">
        <f t="shared" si="106"/>
        <v>6</v>
      </c>
      <c r="X92" s="67"/>
      <c r="Y92" s="67"/>
      <c r="Z92" s="67"/>
      <c r="AA92" s="67"/>
      <c r="AB92" s="67"/>
      <c r="AC92" s="85"/>
      <c r="AG92" s="86"/>
    </row>
    <row r="93" ht="12.75" customHeight="1">
      <c r="A93" s="1"/>
      <c r="B93" s="115">
        <v>3.0</v>
      </c>
      <c r="C93" s="121" t="s">
        <v>89</v>
      </c>
      <c r="D93" s="117">
        <v>0.5</v>
      </c>
      <c r="E93" s="118">
        <v>3.0</v>
      </c>
      <c r="F93" s="119">
        <v>1.0</v>
      </c>
      <c r="G93" s="120">
        <f>'Start Here'!$F$23*D93</f>
        <v>50</v>
      </c>
      <c r="H93" s="138"/>
      <c r="I93" s="165"/>
      <c r="J93" s="166"/>
      <c r="K93" s="165"/>
      <c r="L93" s="166">
        <f t="shared" ref="L93:L96" si="107">E93*F93</f>
        <v>3</v>
      </c>
      <c r="M93" s="138">
        <f t="shared" ref="M93:M96" si="108">G93*L93</f>
        <v>150</v>
      </c>
      <c r="N93" s="67"/>
      <c r="O93" s="67"/>
      <c r="P93" s="67"/>
      <c r="Q93" s="67"/>
      <c r="R93" s="67"/>
      <c r="S93" s="67"/>
      <c r="T93" s="67"/>
      <c r="U93" s="67"/>
      <c r="V93" s="67"/>
      <c r="W93" s="67"/>
      <c r="X93" s="114">
        <f t="shared" ref="X93:X96" si="109">IF(ISNUMBER(SEARCH("deadlift",$C93)),IF($D93&gt;=0.5,IF($D93&lt;0.6,$E93*$F93," ")," ")," ")</f>
        <v>3</v>
      </c>
      <c r="Y93" s="114" t="str">
        <f t="shared" ref="Y93:Y96" si="110">IF(ISNUMBER(SEARCH("deadlift",$C93)),IF($D93&gt;=0.6,IF($D93&lt;0.7,$E93*$F93," ")," ")," ")</f>
        <v> </v>
      </c>
      <c r="Z93" s="114" t="str">
        <f t="shared" ref="Z93:Z96" si="111">IF(ISNUMBER(SEARCH("deadlift",$C93)),IF($D93&gt;=0.7,IF($D93&lt;0.8,$E93*$F93," ")," ")," ")</f>
        <v> </v>
      </c>
      <c r="AA93" s="114" t="str">
        <f t="shared" ref="AA93:AA96" si="112">IF(ISNUMBER(SEARCH("deadlift",$C93)),IF($D93&gt;=0.8,IF($D93&lt;0.9,$E93*$F93," ")," ")," ")</f>
        <v> </v>
      </c>
      <c r="AB93" s="114" t="str">
        <f t="shared" ref="AB93:AB96" si="113">IF(ISNUMBER(SEARCH("deadlift",$C93)),IF($D93&gt;=0.9,$E93*$F93," ")," ")</f>
        <v> </v>
      </c>
      <c r="AC93" s="85"/>
      <c r="AG93" s="86"/>
    </row>
    <row r="94" ht="12.75" customHeight="1">
      <c r="A94" s="1"/>
      <c r="B94" s="115"/>
      <c r="C94" s="122" t="s">
        <v>89</v>
      </c>
      <c r="D94" s="117">
        <v>0.6</v>
      </c>
      <c r="E94" s="118">
        <v>3.0</v>
      </c>
      <c r="F94" s="119">
        <v>1.0</v>
      </c>
      <c r="G94" s="120">
        <f>'Start Here'!$F$23*D94</f>
        <v>60</v>
      </c>
      <c r="H94" s="138"/>
      <c r="I94" s="165"/>
      <c r="J94" s="166"/>
      <c r="K94" s="165"/>
      <c r="L94" s="166">
        <f t="shared" si="107"/>
        <v>3</v>
      </c>
      <c r="M94" s="138">
        <f t="shared" si="108"/>
        <v>180</v>
      </c>
      <c r="N94" s="67"/>
      <c r="O94" s="67"/>
      <c r="P94" s="67"/>
      <c r="Q94" s="67"/>
      <c r="R94" s="67"/>
      <c r="S94" s="67"/>
      <c r="T94" s="67"/>
      <c r="U94" s="67"/>
      <c r="V94" s="67"/>
      <c r="W94" s="67"/>
      <c r="X94" s="114" t="str">
        <f t="shared" si="109"/>
        <v> </v>
      </c>
      <c r="Y94" s="114">
        <f t="shared" si="110"/>
        <v>3</v>
      </c>
      <c r="Z94" s="114" t="str">
        <f t="shared" si="111"/>
        <v> </v>
      </c>
      <c r="AA94" s="114" t="str">
        <f t="shared" si="112"/>
        <v> </v>
      </c>
      <c r="AB94" s="114" t="str">
        <f t="shared" si="113"/>
        <v> </v>
      </c>
      <c r="AC94" s="85"/>
      <c r="AG94" s="86"/>
    </row>
    <row r="95" ht="12.75" customHeight="1">
      <c r="A95" s="1"/>
      <c r="B95" s="115"/>
      <c r="C95" s="122" t="s">
        <v>89</v>
      </c>
      <c r="D95" s="117">
        <v>0.7</v>
      </c>
      <c r="E95" s="118">
        <v>3.0</v>
      </c>
      <c r="F95" s="119">
        <v>1.0</v>
      </c>
      <c r="G95" s="120">
        <f>'Start Here'!$F$23*D95</f>
        <v>70</v>
      </c>
      <c r="H95" s="138"/>
      <c r="I95" s="165"/>
      <c r="J95" s="166"/>
      <c r="K95" s="165"/>
      <c r="L95" s="166">
        <f t="shared" si="107"/>
        <v>3</v>
      </c>
      <c r="M95" s="138">
        <f t="shared" si="108"/>
        <v>210</v>
      </c>
      <c r="N95" s="67"/>
      <c r="O95" s="67"/>
      <c r="P95" s="67"/>
      <c r="Q95" s="67"/>
      <c r="R95" s="67"/>
      <c r="S95" s="67"/>
      <c r="T95" s="67"/>
      <c r="U95" s="67"/>
      <c r="V95" s="67"/>
      <c r="W95" s="67"/>
      <c r="X95" s="114" t="str">
        <f t="shared" si="109"/>
        <v> </v>
      </c>
      <c r="Y95" s="114" t="str">
        <f t="shared" si="110"/>
        <v> </v>
      </c>
      <c r="Z95" s="114">
        <f t="shared" si="111"/>
        <v>3</v>
      </c>
      <c r="AA95" s="114" t="str">
        <f t="shared" si="112"/>
        <v> </v>
      </c>
      <c r="AB95" s="114" t="str">
        <f t="shared" si="113"/>
        <v> </v>
      </c>
      <c r="AC95" s="85"/>
      <c r="AG95" s="86"/>
    </row>
    <row r="96" ht="12.75" customHeight="1">
      <c r="A96" s="1"/>
      <c r="B96" s="115"/>
      <c r="C96" s="122" t="s">
        <v>89</v>
      </c>
      <c r="D96" s="117">
        <v>0.75</v>
      </c>
      <c r="E96" s="118">
        <v>2.0</v>
      </c>
      <c r="F96" s="119">
        <v>4.0</v>
      </c>
      <c r="G96" s="120">
        <f>'Start Here'!$F$23*D96</f>
        <v>75</v>
      </c>
      <c r="H96" s="138"/>
      <c r="I96" s="165"/>
      <c r="J96" s="166"/>
      <c r="K96" s="165"/>
      <c r="L96" s="166">
        <f t="shared" si="107"/>
        <v>8</v>
      </c>
      <c r="M96" s="138">
        <f t="shared" si="108"/>
        <v>600</v>
      </c>
      <c r="N96" s="67"/>
      <c r="O96" s="67"/>
      <c r="P96" s="67"/>
      <c r="Q96" s="67"/>
      <c r="R96" s="67"/>
      <c r="S96" s="67"/>
      <c r="T96" s="67"/>
      <c r="U96" s="67"/>
      <c r="V96" s="67"/>
      <c r="W96" s="67"/>
      <c r="X96" s="114" t="str">
        <f t="shared" si="109"/>
        <v> </v>
      </c>
      <c r="Y96" s="114" t="str">
        <f t="shared" si="110"/>
        <v> </v>
      </c>
      <c r="Z96" s="114">
        <f t="shared" si="111"/>
        <v>8</v>
      </c>
      <c r="AA96" s="114" t="str">
        <f t="shared" si="112"/>
        <v> </v>
      </c>
      <c r="AB96" s="114" t="str">
        <f t="shared" si="113"/>
        <v> </v>
      </c>
      <c r="AC96" s="85"/>
      <c r="AG96" s="86"/>
    </row>
    <row r="97" ht="12.75" customHeight="1">
      <c r="A97" s="1"/>
      <c r="B97" s="96">
        <v>4.0</v>
      </c>
      <c r="C97" s="167" t="s">
        <v>83</v>
      </c>
      <c r="D97" s="168"/>
      <c r="E97" s="169">
        <v>6.0</v>
      </c>
      <c r="F97" s="169">
        <v>5.0</v>
      </c>
      <c r="G97" s="170"/>
      <c r="H97" s="138"/>
      <c r="I97" s="165"/>
      <c r="J97" s="166"/>
      <c r="K97" s="165"/>
      <c r="L97" s="166"/>
      <c r="M97" s="138"/>
      <c r="N97" s="67"/>
      <c r="O97" s="67"/>
      <c r="P97" s="67"/>
      <c r="Q97" s="67"/>
      <c r="R97" s="67"/>
      <c r="S97" s="67"/>
      <c r="T97" s="67"/>
      <c r="U97" s="67"/>
      <c r="V97" s="67"/>
      <c r="W97" s="67"/>
      <c r="X97" s="67"/>
      <c r="Y97" s="67"/>
      <c r="Z97" s="67"/>
      <c r="AA97" s="67"/>
      <c r="AB97" s="67"/>
      <c r="AC97" s="85"/>
      <c r="AG97" s="86"/>
    </row>
    <row r="98" ht="12.75" customHeight="1">
      <c r="A98" s="1"/>
      <c r="B98" s="100">
        <v>5.0</v>
      </c>
      <c r="C98" s="171" t="s">
        <v>48</v>
      </c>
      <c r="D98" s="172"/>
      <c r="E98" s="102">
        <v>10.0</v>
      </c>
      <c r="F98" s="173">
        <v>4.0</v>
      </c>
      <c r="G98" s="174"/>
      <c r="H98" s="138"/>
      <c r="I98" s="165"/>
      <c r="J98" s="166"/>
      <c r="K98" s="165"/>
      <c r="L98" s="166"/>
      <c r="M98" s="138"/>
      <c r="N98" s="67"/>
      <c r="O98" s="67"/>
      <c r="P98" s="67"/>
      <c r="Q98" s="67"/>
      <c r="R98" s="67"/>
      <c r="S98" s="67"/>
      <c r="T98" s="67"/>
      <c r="U98" s="67"/>
      <c r="V98" s="67"/>
      <c r="W98" s="67"/>
      <c r="X98" s="67"/>
      <c r="Y98" s="67"/>
      <c r="Z98" s="67"/>
      <c r="AA98" s="67"/>
      <c r="AB98" s="67"/>
      <c r="AC98" s="104"/>
      <c r="AD98" s="105"/>
      <c r="AE98" s="105"/>
      <c r="AF98" s="105"/>
      <c r="AG98" s="106"/>
    </row>
    <row r="99" ht="12.75" customHeight="1">
      <c r="A99" s="1"/>
      <c r="B99" s="67"/>
      <c r="C99" s="136"/>
      <c r="D99" s="137"/>
      <c r="E99" s="138"/>
      <c r="F99" s="138"/>
      <c r="G99" s="138"/>
      <c r="H99" s="166"/>
      <c r="I99" s="165"/>
      <c r="J99" s="166"/>
      <c r="K99" s="165"/>
      <c r="L99" s="166"/>
      <c r="M99" s="138"/>
      <c r="N99" s="67"/>
      <c r="O99" s="67"/>
      <c r="P99" s="67"/>
      <c r="Q99" s="67"/>
      <c r="R99" s="67"/>
      <c r="S99" s="67"/>
      <c r="T99" s="67"/>
      <c r="U99" s="67"/>
      <c r="V99" s="67"/>
      <c r="W99" s="67"/>
      <c r="X99" s="67"/>
      <c r="Y99" s="67"/>
      <c r="Z99" s="67"/>
      <c r="AA99" s="67"/>
      <c r="AB99" s="67"/>
      <c r="AC99" s="67"/>
      <c r="AD99" s="67"/>
      <c r="AE99" s="67"/>
      <c r="AF99" s="67"/>
      <c r="AG99" s="67"/>
    </row>
    <row r="100" ht="42.75" customHeight="1">
      <c r="A100" s="1"/>
      <c r="B100" s="68" t="s">
        <v>54</v>
      </c>
      <c r="D100" s="137" t="s">
        <v>34</v>
      </c>
      <c r="E100" s="138" t="s">
        <v>35</v>
      </c>
      <c r="F100" s="138" t="s">
        <v>36</v>
      </c>
      <c r="G100" s="138" t="s">
        <v>37</v>
      </c>
      <c r="H100" s="166"/>
      <c r="I100" s="165"/>
      <c r="J100" s="166"/>
      <c r="K100" s="165"/>
      <c r="L100" s="166"/>
      <c r="M100" s="138"/>
      <c r="N100" s="67"/>
      <c r="O100" s="67"/>
      <c r="P100" s="67"/>
      <c r="Q100" s="67"/>
      <c r="R100" s="67"/>
      <c r="S100" s="67"/>
      <c r="T100" s="67"/>
      <c r="U100" s="67"/>
      <c r="V100" s="67"/>
      <c r="W100" s="67"/>
      <c r="X100" s="67"/>
      <c r="Y100" s="67"/>
      <c r="Z100" s="67"/>
      <c r="AA100" s="67"/>
      <c r="AB100" s="67"/>
      <c r="AC100" s="67" t="s">
        <v>43</v>
      </c>
      <c r="AD100" s="67"/>
      <c r="AE100" s="67"/>
      <c r="AF100" s="67"/>
      <c r="AG100" s="67"/>
    </row>
    <row r="101" ht="12.75" customHeight="1">
      <c r="A101" s="1"/>
      <c r="B101" s="69">
        <v>1.0</v>
      </c>
      <c r="C101" s="70" t="s">
        <v>46</v>
      </c>
      <c r="D101" s="71">
        <v>0.55</v>
      </c>
      <c r="E101" s="145">
        <v>5.0</v>
      </c>
      <c r="F101" s="72">
        <v>1.0</v>
      </c>
      <c r="G101" s="73">
        <f>'Start Here'!$F$21*D101</f>
        <v>55</v>
      </c>
      <c r="H101" s="138">
        <f t="shared" ref="H101:H104" si="114">E101*F101</f>
        <v>5</v>
      </c>
      <c r="I101" s="165">
        <f t="shared" ref="I101:I104" si="115">G101*H101</f>
        <v>275</v>
      </c>
      <c r="J101" s="166"/>
      <c r="K101" s="165"/>
      <c r="L101" s="166"/>
      <c r="M101" s="138"/>
      <c r="N101" s="75">
        <f t="shared" ref="N101:N104" si="116">IF(ISNUMBER(SEARCH("squat",$C101)),IF($D101&gt;=0.5,IF($D101&lt;0.6,$E101*$F101," ")," ")," ")</f>
        <v>5</v>
      </c>
      <c r="O101" s="75" t="str">
        <f t="shared" ref="O101:O104" si="117">IF(ISNUMBER(SEARCH("squat",$C101)),IF($D101&gt;=0.6,IF($D101&lt;0.7,$E101*$F101," ")," ")," ")</f>
        <v> </v>
      </c>
      <c r="P101" s="75" t="str">
        <f t="shared" ref="P101:P104" si="118">IF(ISNUMBER(SEARCH("squat",$C101)),IF($D101&gt;=0.7,IF($D101&lt;0.8,$E101*$F101," ")," ")," ")</f>
        <v> </v>
      </c>
      <c r="Q101" s="75" t="str">
        <f t="shared" ref="Q101:Q104" si="119">IF(ISNUMBER(SEARCH("squat",$C101)),IF($D101&gt;=0.8,IF($D101&lt;0.9,$E101*$F101," ")," ")," ")</f>
        <v> </v>
      </c>
      <c r="R101" s="75" t="str">
        <f t="shared" ref="R101:R104" si="120">IF(ISNUMBER(SEARCH("squat",$C101)),IF($D101&gt;=0.9,$E101*$F101," ")," ")</f>
        <v> </v>
      </c>
      <c r="S101" s="67"/>
      <c r="T101" s="67"/>
      <c r="U101" s="67"/>
      <c r="V101" s="67"/>
      <c r="W101" s="67"/>
      <c r="X101" s="67"/>
      <c r="Y101" s="67"/>
      <c r="Z101" s="67"/>
      <c r="AA101" s="67"/>
      <c r="AB101" s="67"/>
      <c r="AC101" s="76"/>
      <c r="AD101" s="77"/>
      <c r="AE101" s="77"/>
      <c r="AF101" s="77"/>
      <c r="AG101" s="78"/>
    </row>
    <row r="102" ht="12.75" customHeight="1">
      <c r="A102" s="1"/>
      <c r="B102" s="79"/>
      <c r="C102" s="80" t="s">
        <v>46</v>
      </c>
      <c r="D102" s="81">
        <v>0.65</v>
      </c>
      <c r="E102" s="82">
        <v>4.0</v>
      </c>
      <c r="F102" s="83">
        <v>1.0</v>
      </c>
      <c r="G102" s="84">
        <f>'Start Here'!$F$21*D102</f>
        <v>65</v>
      </c>
      <c r="H102" s="138">
        <f t="shared" si="114"/>
        <v>4</v>
      </c>
      <c r="I102" s="165">
        <f t="shared" si="115"/>
        <v>260</v>
      </c>
      <c r="J102" s="166"/>
      <c r="K102" s="165"/>
      <c r="L102" s="166"/>
      <c r="M102" s="138"/>
      <c r="N102" s="75" t="str">
        <f t="shared" si="116"/>
        <v> </v>
      </c>
      <c r="O102" s="75">
        <f t="shared" si="117"/>
        <v>4</v>
      </c>
      <c r="P102" s="75" t="str">
        <f t="shared" si="118"/>
        <v> </v>
      </c>
      <c r="Q102" s="75" t="str">
        <f t="shared" si="119"/>
        <v> </v>
      </c>
      <c r="R102" s="75" t="str">
        <f t="shared" si="120"/>
        <v> </v>
      </c>
      <c r="S102" s="67"/>
      <c r="T102" s="67"/>
      <c r="U102" s="67"/>
      <c r="V102" s="67"/>
      <c r="W102" s="67"/>
      <c r="X102" s="67"/>
      <c r="Y102" s="67"/>
      <c r="Z102" s="67"/>
      <c r="AA102" s="67"/>
      <c r="AB102" s="67"/>
      <c r="AC102" s="85"/>
      <c r="AG102" s="86"/>
    </row>
    <row r="103" ht="12.75" customHeight="1">
      <c r="A103" s="1"/>
      <c r="B103" s="79"/>
      <c r="C103" s="80" t="s">
        <v>46</v>
      </c>
      <c r="D103" s="81">
        <v>0.75</v>
      </c>
      <c r="E103" s="82">
        <v>3.0</v>
      </c>
      <c r="F103" s="83">
        <v>1.0</v>
      </c>
      <c r="G103" s="84">
        <f>'Start Here'!$F$21*D103</f>
        <v>75</v>
      </c>
      <c r="H103" s="138">
        <f t="shared" si="114"/>
        <v>3</v>
      </c>
      <c r="I103" s="165">
        <f t="shared" si="115"/>
        <v>225</v>
      </c>
      <c r="J103" s="166"/>
      <c r="K103" s="165"/>
      <c r="L103" s="166"/>
      <c r="M103" s="138"/>
      <c r="N103" s="75" t="str">
        <f t="shared" si="116"/>
        <v> </v>
      </c>
      <c r="O103" s="75" t="str">
        <f t="shared" si="117"/>
        <v> </v>
      </c>
      <c r="P103" s="75">
        <f t="shared" si="118"/>
        <v>3</v>
      </c>
      <c r="Q103" s="75" t="str">
        <f t="shared" si="119"/>
        <v> </v>
      </c>
      <c r="R103" s="75" t="str">
        <f t="shared" si="120"/>
        <v> </v>
      </c>
      <c r="S103" s="67"/>
      <c r="T103" s="67"/>
      <c r="U103" s="67"/>
      <c r="V103" s="67"/>
      <c r="W103" s="67"/>
      <c r="X103" s="67"/>
      <c r="Y103" s="67"/>
      <c r="Z103" s="67"/>
      <c r="AA103" s="67"/>
      <c r="AB103" s="67"/>
      <c r="AC103" s="85"/>
      <c r="AG103" s="86"/>
    </row>
    <row r="104" ht="12.75" customHeight="1">
      <c r="A104" s="1"/>
      <c r="B104" s="79"/>
      <c r="C104" s="80" t="s">
        <v>46</v>
      </c>
      <c r="D104" s="81">
        <v>0.85</v>
      </c>
      <c r="E104" s="82">
        <v>2.0</v>
      </c>
      <c r="F104" s="83">
        <v>4.0</v>
      </c>
      <c r="G104" s="84">
        <f>'Start Here'!$F$21*D104</f>
        <v>85</v>
      </c>
      <c r="H104" s="138">
        <f t="shared" si="114"/>
        <v>8</v>
      </c>
      <c r="I104" s="165">
        <f t="shared" si="115"/>
        <v>680</v>
      </c>
      <c r="J104" s="166"/>
      <c r="K104" s="165"/>
      <c r="L104" s="166"/>
      <c r="M104" s="138"/>
      <c r="N104" s="75" t="str">
        <f t="shared" si="116"/>
        <v> </v>
      </c>
      <c r="O104" s="75" t="str">
        <f t="shared" si="117"/>
        <v> </v>
      </c>
      <c r="P104" s="75" t="str">
        <f t="shared" si="118"/>
        <v> </v>
      </c>
      <c r="Q104" s="75">
        <f t="shared" si="119"/>
        <v>8</v>
      </c>
      <c r="R104" s="75" t="str">
        <f t="shared" si="120"/>
        <v> </v>
      </c>
      <c r="S104" s="67"/>
      <c r="T104" s="67"/>
      <c r="U104" s="67"/>
      <c r="V104" s="67"/>
      <c r="W104" s="67"/>
      <c r="X104" s="67"/>
      <c r="Y104" s="67"/>
      <c r="Z104" s="67"/>
      <c r="AA104" s="67"/>
      <c r="AB104" s="67"/>
      <c r="AC104" s="85"/>
      <c r="AG104" s="86"/>
    </row>
    <row r="105" ht="12.75" customHeight="1">
      <c r="A105" s="1"/>
      <c r="B105" s="87">
        <v>2.0</v>
      </c>
      <c r="C105" s="88" t="s">
        <v>45</v>
      </c>
      <c r="D105" s="89">
        <v>0.5</v>
      </c>
      <c r="E105" s="90">
        <v>5.0</v>
      </c>
      <c r="F105" s="91">
        <v>1.0</v>
      </c>
      <c r="G105" s="92">
        <f>'Start Here'!$F$22*D105</f>
        <v>50</v>
      </c>
      <c r="H105" s="138"/>
      <c r="I105" s="165"/>
      <c r="J105" s="166">
        <f t="shared" ref="J105:J108" si="121">E105*F105</f>
        <v>5</v>
      </c>
      <c r="K105" s="165">
        <f t="shared" ref="K105:K108" si="122">G105*J105</f>
        <v>250</v>
      </c>
      <c r="L105" s="166"/>
      <c r="M105" s="138"/>
      <c r="N105" s="67"/>
      <c r="O105" s="67"/>
      <c r="P105" s="67"/>
      <c r="Q105" s="67"/>
      <c r="R105" s="67"/>
      <c r="S105" s="93">
        <f t="shared" ref="S105:S108" si="123">IF(ISNUMBER(SEARCH("bench",$C105)),IF($D105&gt;=0.5,IF($D105&lt;0.6,$E105*$F105," ")," ")," ")</f>
        <v>5</v>
      </c>
      <c r="T105" s="93" t="str">
        <f t="shared" ref="T105:T108" si="124">IF(ISNUMBER(SEARCH("bench",$C105)),IF($D105&gt;=0.6,IF($D105&lt;0.7,$E105*$F105," ")," ")," ")</f>
        <v> </v>
      </c>
      <c r="U105" s="93" t="str">
        <f t="shared" ref="U105:U108" si="125">IF(ISNUMBER(SEARCH("bench",$C105)),IF($D105&gt;=0.7,IF($D105&lt;0.8,$E105*$F105," ")," ")," ")</f>
        <v> </v>
      </c>
      <c r="V105" s="93" t="str">
        <f t="shared" ref="V105:V108" si="126">IF(ISNUMBER(SEARCH("bench",$C105)),IF($D105&gt;=0.8,IF($D105&lt;0.9,$E105*$F105," ")," ")," ")</f>
        <v> </v>
      </c>
      <c r="W105" s="93" t="str">
        <f t="shared" ref="W105:W108" si="127">IF(ISNUMBER(SEARCH("bench",$C105)),IF($D105&gt;=0.9,$E105*$F105," ")," ")</f>
        <v> </v>
      </c>
      <c r="X105" s="67"/>
      <c r="Y105" s="67"/>
      <c r="Z105" s="67"/>
      <c r="AA105" s="67"/>
      <c r="AB105" s="67"/>
      <c r="AC105" s="85"/>
      <c r="AG105" s="86"/>
    </row>
    <row r="106" ht="12.75" customHeight="1">
      <c r="A106" s="1"/>
      <c r="B106" s="87"/>
      <c r="C106" s="94" t="s">
        <v>45</v>
      </c>
      <c r="D106" s="89">
        <v>0.6</v>
      </c>
      <c r="E106" s="90">
        <v>4.0</v>
      </c>
      <c r="F106" s="91">
        <v>1.0</v>
      </c>
      <c r="G106" s="92">
        <f>'Start Here'!$F$22*D106</f>
        <v>60</v>
      </c>
      <c r="H106" s="138"/>
      <c r="I106" s="165"/>
      <c r="J106" s="166">
        <f t="shared" si="121"/>
        <v>4</v>
      </c>
      <c r="K106" s="165">
        <f t="shared" si="122"/>
        <v>240</v>
      </c>
      <c r="L106" s="166"/>
      <c r="M106" s="138"/>
      <c r="N106" s="67"/>
      <c r="O106" s="67"/>
      <c r="P106" s="67"/>
      <c r="Q106" s="67"/>
      <c r="R106" s="67"/>
      <c r="S106" s="93" t="str">
        <f t="shared" si="123"/>
        <v> </v>
      </c>
      <c r="T106" s="93">
        <f t="shared" si="124"/>
        <v>4</v>
      </c>
      <c r="U106" s="93" t="str">
        <f t="shared" si="125"/>
        <v> </v>
      </c>
      <c r="V106" s="93" t="str">
        <f t="shared" si="126"/>
        <v> </v>
      </c>
      <c r="W106" s="93" t="str">
        <f t="shared" si="127"/>
        <v> </v>
      </c>
      <c r="X106" s="67"/>
      <c r="Y106" s="67"/>
      <c r="Z106" s="67"/>
      <c r="AA106" s="67"/>
      <c r="AB106" s="67"/>
      <c r="AC106" s="85"/>
      <c r="AG106" s="86"/>
    </row>
    <row r="107" ht="12.75" customHeight="1">
      <c r="A107" s="1"/>
      <c r="B107" s="87"/>
      <c r="C107" s="94" t="s">
        <v>45</v>
      </c>
      <c r="D107" s="89">
        <v>0.7</v>
      </c>
      <c r="E107" s="90">
        <v>3.0</v>
      </c>
      <c r="F107" s="91">
        <v>1.0</v>
      </c>
      <c r="G107" s="92">
        <f>'Start Here'!$F$22*D107</f>
        <v>70</v>
      </c>
      <c r="H107" s="138"/>
      <c r="I107" s="165"/>
      <c r="J107" s="166">
        <f t="shared" si="121"/>
        <v>3</v>
      </c>
      <c r="K107" s="165">
        <f t="shared" si="122"/>
        <v>210</v>
      </c>
      <c r="L107" s="166"/>
      <c r="M107" s="138"/>
      <c r="N107" s="67"/>
      <c r="O107" s="67"/>
      <c r="P107" s="67"/>
      <c r="Q107" s="67"/>
      <c r="R107" s="67"/>
      <c r="S107" s="93" t="str">
        <f t="shared" si="123"/>
        <v> </v>
      </c>
      <c r="T107" s="93" t="str">
        <f t="shared" si="124"/>
        <v> </v>
      </c>
      <c r="U107" s="93">
        <f t="shared" si="125"/>
        <v>3</v>
      </c>
      <c r="V107" s="93" t="str">
        <f t="shared" si="126"/>
        <v> </v>
      </c>
      <c r="W107" s="93" t="str">
        <f t="shared" si="127"/>
        <v> </v>
      </c>
      <c r="X107" s="67"/>
      <c r="Y107" s="67"/>
      <c r="Z107" s="67"/>
      <c r="AA107" s="67"/>
      <c r="AB107" s="67"/>
      <c r="AC107" s="85"/>
      <c r="AG107" s="86"/>
    </row>
    <row r="108" ht="12.75" customHeight="1">
      <c r="A108" s="1"/>
      <c r="B108" s="87"/>
      <c r="C108" s="94" t="s">
        <v>45</v>
      </c>
      <c r="D108" s="89">
        <v>0.8</v>
      </c>
      <c r="E108" s="90">
        <v>3.0</v>
      </c>
      <c r="F108" s="91">
        <v>5.0</v>
      </c>
      <c r="G108" s="92">
        <f>'Start Here'!$F$22*D108</f>
        <v>80</v>
      </c>
      <c r="H108" s="138"/>
      <c r="I108" s="165"/>
      <c r="J108" s="166">
        <f t="shared" si="121"/>
        <v>15</v>
      </c>
      <c r="K108" s="165">
        <f t="shared" si="122"/>
        <v>1200</v>
      </c>
      <c r="L108" s="166"/>
      <c r="M108" s="138"/>
      <c r="N108" s="67"/>
      <c r="O108" s="67"/>
      <c r="P108" s="67"/>
      <c r="Q108" s="67"/>
      <c r="R108" s="67"/>
      <c r="S108" s="93" t="str">
        <f t="shared" si="123"/>
        <v> </v>
      </c>
      <c r="T108" s="93" t="str">
        <f t="shared" si="124"/>
        <v> </v>
      </c>
      <c r="U108" s="93" t="str">
        <f t="shared" si="125"/>
        <v> </v>
      </c>
      <c r="V108" s="93">
        <f t="shared" si="126"/>
        <v>15</v>
      </c>
      <c r="W108" s="93" t="str">
        <f t="shared" si="127"/>
        <v> </v>
      </c>
      <c r="X108" s="67"/>
      <c r="Y108" s="67"/>
      <c r="Z108" s="67"/>
      <c r="AA108" s="67"/>
      <c r="AB108" s="67"/>
      <c r="AC108" s="85"/>
      <c r="AG108" s="86"/>
    </row>
    <row r="109" ht="12.75" customHeight="1">
      <c r="A109" s="1"/>
      <c r="B109" s="79">
        <v>3.0</v>
      </c>
      <c r="C109" s="95" t="s">
        <v>46</v>
      </c>
      <c r="D109" s="81">
        <v>0.5</v>
      </c>
      <c r="E109" s="82">
        <v>3.0</v>
      </c>
      <c r="F109" s="83">
        <v>1.0</v>
      </c>
      <c r="G109" s="84">
        <f>'Start Here'!$F$21*D109</f>
        <v>50</v>
      </c>
      <c r="H109" s="138">
        <f t="shared" ref="H109:H112" si="128">E109*F109</f>
        <v>3</v>
      </c>
      <c r="I109" s="165">
        <f t="shared" ref="I109:I112" si="129">G109*H109</f>
        <v>150</v>
      </c>
      <c r="J109" s="166"/>
      <c r="K109" s="165"/>
      <c r="L109" s="166"/>
      <c r="M109" s="138"/>
      <c r="N109" s="75">
        <f t="shared" ref="N109:N112" si="130">IF(ISNUMBER(SEARCH("squat",$C109)),IF($D109&gt;=0.5,IF($D109&lt;0.6,$E109*$F109," ")," ")," ")</f>
        <v>3</v>
      </c>
      <c r="O109" s="75" t="str">
        <f t="shared" ref="O109:O112" si="131">IF(ISNUMBER(SEARCH("squat",$C109)),IF($D109&gt;=0.6,IF($D109&lt;0.7,$E109*$F109," ")," ")," ")</f>
        <v> </v>
      </c>
      <c r="P109" s="75" t="str">
        <f t="shared" ref="P109:P112" si="132">IF(ISNUMBER(SEARCH("squat",$C109)),IF($D109&gt;=0.7,IF($D109&lt;0.8,$E109*$F109," ")," ")," ")</f>
        <v> </v>
      </c>
      <c r="Q109" s="75" t="str">
        <f t="shared" ref="Q109:Q112" si="133">IF(ISNUMBER(SEARCH("squat",$C109)),IF($D109&gt;=0.8,IF($D109&lt;0.9,$E109*$F109," ")," ")," ")</f>
        <v> </v>
      </c>
      <c r="R109" s="75" t="str">
        <f t="shared" ref="R109:R112" si="134">IF(ISNUMBER(SEARCH("squat",$C109)),IF($D109&gt;=0.9,$E109*$F109," ")," ")</f>
        <v> </v>
      </c>
      <c r="S109" s="67"/>
      <c r="T109" s="67"/>
      <c r="U109" s="67"/>
      <c r="V109" s="67"/>
      <c r="W109" s="67"/>
      <c r="X109" s="67"/>
      <c r="Y109" s="67"/>
      <c r="Z109" s="67"/>
      <c r="AA109" s="67"/>
      <c r="AB109" s="67"/>
      <c r="AC109" s="85"/>
      <c r="AG109" s="86"/>
    </row>
    <row r="110" ht="12.75" customHeight="1">
      <c r="A110" s="1"/>
      <c r="B110" s="79"/>
      <c r="C110" s="80" t="s">
        <v>46</v>
      </c>
      <c r="D110" s="81">
        <v>0.6</v>
      </c>
      <c r="E110" s="82">
        <v>3.0</v>
      </c>
      <c r="F110" s="83">
        <v>1.0</v>
      </c>
      <c r="G110" s="84">
        <f>'Start Here'!$F$21*D110</f>
        <v>60</v>
      </c>
      <c r="H110" s="138">
        <f t="shared" si="128"/>
        <v>3</v>
      </c>
      <c r="I110" s="165">
        <f t="shared" si="129"/>
        <v>180</v>
      </c>
      <c r="J110" s="166"/>
      <c r="K110" s="165"/>
      <c r="L110" s="166"/>
      <c r="M110" s="138"/>
      <c r="N110" s="75" t="str">
        <f t="shared" si="130"/>
        <v> </v>
      </c>
      <c r="O110" s="75">
        <f t="shared" si="131"/>
        <v>3</v>
      </c>
      <c r="P110" s="75" t="str">
        <f t="shared" si="132"/>
        <v> </v>
      </c>
      <c r="Q110" s="75" t="str">
        <f t="shared" si="133"/>
        <v> </v>
      </c>
      <c r="R110" s="75" t="str">
        <f t="shared" si="134"/>
        <v> </v>
      </c>
      <c r="S110" s="67"/>
      <c r="T110" s="67"/>
      <c r="U110" s="67"/>
      <c r="V110" s="67"/>
      <c r="W110" s="67"/>
      <c r="X110" s="67"/>
      <c r="Y110" s="67"/>
      <c r="Z110" s="67"/>
      <c r="AA110" s="67"/>
      <c r="AB110" s="67"/>
      <c r="AC110" s="85"/>
      <c r="AG110" s="86"/>
    </row>
    <row r="111" ht="12.75" customHeight="1">
      <c r="A111" s="1"/>
      <c r="B111" s="79"/>
      <c r="C111" s="80" t="s">
        <v>46</v>
      </c>
      <c r="D111" s="81">
        <v>0.7</v>
      </c>
      <c r="E111" s="82">
        <v>3.0</v>
      </c>
      <c r="F111" s="83">
        <v>1.0</v>
      </c>
      <c r="G111" s="84">
        <f>'Start Here'!$F$21*D111</f>
        <v>70</v>
      </c>
      <c r="H111" s="138">
        <f t="shared" si="128"/>
        <v>3</v>
      </c>
      <c r="I111" s="165">
        <f t="shared" si="129"/>
        <v>210</v>
      </c>
      <c r="J111" s="166"/>
      <c r="K111" s="165"/>
      <c r="L111" s="166"/>
      <c r="M111" s="138"/>
      <c r="N111" s="75" t="str">
        <f t="shared" si="130"/>
        <v> </v>
      </c>
      <c r="O111" s="75" t="str">
        <f t="shared" si="131"/>
        <v> </v>
      </c>
      <c r="P111" s="75">
        <f t="shared" si="132"/>
        <v>3</v>
      </c>
      <c r="Q111" s="75" t="str">
        <f t="shared" si="133"/>
        <v> </v>
      </c>
      <c r="R111" s="75" t="str">
        <f t="shared" si="134"/>
        <v> </v>
      </c>
      <c r="S111" s="67"/>
      <c r="T111" s="67"/>
      <c r="U111" s="67"/>
      <c r="V111" s="67"/>
      <c r="W111" s="67"/>
      <c r="X111" s="67"/>
      <c r="Y111" s="67"/>
      <c r="Z111" s="67"/>
      <c r="AA111" s="67"/>
      <c r="AB111" s="67"/>
      <c r="AC111" s="85"/>
      <c r="AG111" s="86"/>
    </row>
    <row r="112" ht="12.75" customHeight="1">
      <c r="A112" s="1"/>
      <c r="B112" s="79"/>
      <c r="C112" s="80" t="s">
        <v>46</v>
      </c>
      <c r="D112" s="81">
        <v>0.8</v>
      </c>
      <c r="E112" s="82">
        <v>2.0</v>
      </c>
      <c r="F112" s="83">
        <v>3.0</v>
      </c>
      <c r="G112" s="84">
        <f>'Start Here'!$F$21*D112</f>
        <v>80</v>
      </c>
      <c r="H112" s="138">
        <f t="shared" si="128"/>
        <v>6</v>
      </c>
      <c r="I112" s="165">
        <f t="shared" si="129"/>
        <v>480</v>
      </c>
      <c r="J112" s="166"/>
      <c r="K112" s="165"/>
      <c r="L112" s="166"/>
      <c r="M112" s="138"/>
      <c r="N112" s="75" t="str">
        <f t="shared" si="130"/>
        <v> </v>
      </c>
      <c r="O112" s="75" t="str">
        <f t="shared" si="131"/>
        <v> </v>
      </c>
      <c r="P112" s="75" t="str">
        <f t="shared" si="132"/>
        <v> </v>
      </c>
      <c r="Q112" s="75">
        <f t="shared" si="133"/>
        <v>6</v>
      </c>
      <c r="R112" s="75" t="str">
        <f t="shared" si="134"/>
        <v> </v>
      </c>
      <c r="S112" s="67"/>
      <c r="T112" s="67"/>
      <c r="U112" s="67"/>
      <c r="V112" s="67"/>
      <c r="W112" s="67"/>
      <c r="X112" s="67"/>
      <c r="Y112" s="67"/>
      <c r="Z112" s="67"/>
      <c r="AA112" s="67"/>
      <c r="AB112" s="67"/>
      <c r="AC112" s="85"/>
      <c r="AG112" s="86"/>
    </row>
    <row r="113" ht="12.75" customHeight="1">
      <c r="A113" s="1"/>
      <c r="B113" s="96">
        <v>4.0</v>
      </c>
      <c r="C113" s="167" t="s">
        <v>101</v>
      </c>
      <c r="D113" s="168"/>
      <c r="E113" s="98">
        <v>6.0</v>
      </c>
      <c r="F113" s="169">
        <v>5.0</v>
      </c>
      <c r="G113" s="170"/>
      <c r="H113" s="138"/>
      <c r="I113" s="165"/>
      <c r="J113" s="166"/>
      <c r="K113" s="165"/>
      <c r="L113" s="166"/>
      <c r="M113" s="138"/>
      <c r="N113" s="67"/>
      <c r="O113" s="67"/>
      <c r="P113" s="67"/>
      <c r="Q113" s="67"/>
      <c r="R113" s="67"/>
      <c r="S113" s="67"/>
      <c r="T113" s="67"/>
      <c r="U113" s="67"/>
      <c r="V113" s="67"/>
      <c r="W113" s="67"/>
      <c r="X113" s="67"/>
      <c r="Y113" s="67"/>
      <c r="Z113" s="67"/>
      <c r="AA113" s="67"/>
      <c r="AB113" s="67"/>
      <c r="AC113" s="85"/>
      <c r="AG113" s="86"/>
    </row>
    <row r="114" ht="12.75" customHeight="1">
      <c r="A114" s="1"/>
      <c r="B114" s="175">
        <v>5.0</v>
      </c>
      <c r="C114" s="176" t="s">
        <v>57</v>
      </c>
      <c r="D114" s="177"/>
      <c r="E114" s="178">
        <v>8.0</v>
      </c>
      <c r="F114" s="179">
        <v>4.0</v>
      </c>
      <c r="G114" s="180"/>
      <c r="H114" s="138"/>
      <c r="I114" s="165"/>
      <c r="J114" s="166"/>
      <c r="K114" s="165"/>
      <c r="L114" s="166"/>
      <c r="M114" s="138"/>
      <c r="N114" s="67"/>
      <c r="O114" s="67"/>
      <c r="P114" s="67"/>
      <c r="Q114" s="67"/>
      <c r="R114" s="67"/>
      <c r="S114" s="67"/>
      <c r="T114" s="67"/>
      <c r="U114" s="67"/>
      <c r="V114" s="67"/>
      <c r="W114" s="67"/>
      <c r="X114" s="67"/>
      <c r="Y114" s="67"/>
      <c r="Z114" s="67"/>
      <c r="AA114" s="67"/>
      <c r="AB114" s="67"/>
      <c r="AC114" s="104"/>
      <c r="AD114" s="105"/>
      <c r="AE114" s="105"/>
      <c r="AF114" s="105"/>
      <c r="AG114" s="106"/>
    </row>
    <row r="115" ht="12.75" customHeight="1">
      <c r="A115" s="1"/>
      <c r="B115" s="67"/>
      <c r="C115" s="136"/>
      <c r="D115" s="137"/>
      <c r="E115" s="138"/>
      <c r="F115" s="138"/>
      <c r="G115" s="138"/>
      <c r="H115" s="166"/>
      <c r="I115" s="165"/>
      <c r="J115" s="166"/>
      <c r="K115" s="165"/>
      <c r="L115" s="166"/>
      <c r="M115" s="138"/>
      <c r="N115" s="67"/>
      <c r="O115" s="67"/>
      <c r="P115" s="67"/>
      <c r="Q115" s="67"/>
      <c r="R115" s="67"/>
      <c r="S115" s="67"/>
      <c r="T115" s="67"/>
      <c r="U115" s="67"/>
      <c r="V115" s="67"/>
      <c r="W115" s="67"/>
      <c r="X115" s="67"/>
      <c r="Y115" s="67"/>
      <c r="Z115" s="67"/>
      <c r="AA115" s="67"/>
      <c r="AB115" s="67"/>
      <c r="AC115" s="67"/>
      <c r="AD115" s="67"/>
      <c r="AE115" s="67"/>
      <c r="AF115" s="67"/>
      <c r="AG115" s="67"/>
    </row>
    <row r="116" ht="36.75" customHeight="1">
      <c r="A116" s="1"/>
      <c r="B116" s="68" t="s">
        <v>58</v>
      </c>
      <c r="D116" s="137" t="s">
        <v>34</v>
      </c>
      <c r="E116" s="138" t="s">
        <v>35</v>
      </c>
      <c r="F116" s="138" t="s">
        <v>36</v>
      </c>
      <c r="G116" s="138" t="s">
        <v>37</v>
      </c>
      <c r="H116" s="166"/>
      <c r="I116" s="165"/>
      <c r="J116" s="166"/>
      <c r="K116" s="165"/>
      <c r="L116" s="166"/>
      <c r="M116" s="138"/>
      <c r="N116" s="67"/>
      <c r="O116" s="67"/>
      <c r="P116" s="67"/>
      <c r="Q116" s="67"/>
      <c r="R116" s="67"/>
      <c r="S116" s="67"/>
      <c r="T116" s="67"/>
      <c r="U116" s="67"/>
      <c r="V116" s="67"/>
      <c r="W116" s="67"/>
      <c r="X116" s="67"/>
      <c r="Y116" s="67"/>
      <c r="Z116" s="67"/>
      <c r="AA116" s="67"/>
      <c r="AB116" s="67"/>
      <c r="AC116" s="67" t="s">
        <v>43</v>
      </c>
      <c r="AD116" s="67"/>
      <c r="AE116" s="67"/>
      <c r="AF116" s="67"/>
      <c r="AG116" s="67"/>
    </row>
    <row r="117" ht="12.75" customHeight="1">
      <c r="A117" s="1"/>
      <c r="B117" s="107">
        <v>1.0</v>
      </c>
      <c r="C117" s="108" t="s">
        <v>102</v>
      </c>
      <c r="D117" s="109">
        <v>0.5</v>
      </c>
      <c r="E117" s="110">
        <v>3.0</v>
      </c>
      <c r="F117" s="111">
        <v>1.0</v>
      </c>
      <c r="G117" s="112">
        <f>'Start Here'!$F$23*D117</f>
        <v>50</v>
      </c>
      <c r="H117" s="138"/>
      <c r="I117" s="165"/>
      <c r="J117" s="166"/>
      <c r="K117" s="165"/>
      <c r="L117" s="166">
        <f t="shared" ref="L117:L120" si="135">E117*F117</f>
        <v>3</v>
      </c>
      <c r="M117" s="138">
        <f t="shared" ref="M117:M120" si="136">G117*L117</f>
        <v>150</v>
      </c>
      <c r="N117" s="67"/>
      <c r="O117" s="67"/>
      <c r="P117" s="67"/>
      <c r="Q117" s="67"/>
      <c r="R117" s="67"/>
      <c r="S117" s="67"/>
      <c r="T117" s="67"/>
      <c r="U117" s="67"/>
      <c r="V117" s="67"/>
      <c r="W117" s="67"/>
      <c r="X117" s="114">
        <f t="shared" ref="X117:X120" si="137">IF(ISNUMBER(SEARCH("deadlift",$C117)),IF($D117&gt;=0.5,IF($D117&lt;0.6,$E117*$F117," ")," ")," ")</f>
        <v>3</v>
      </c>
      <c r="Y117" s="114" t="str">
        <f t="shared" ref="Y117:Y120" si="138">IF(ISNUMBER(SEARCH("deadlift",$C117)),IF($D117&gt;=0.6,IF($D117&lt;0.7,$E117*$F117," ")," ")," ")</f>
        <v> </v>
      </c>
      <c r="Z117" s="114" t="str">
        <f t="shared" ref="Z117:Z120" si="139">IF(ISNUMBER(SEARCH("deadlift",$C117)),IF($D117&gt;=0.7,IF($D117&lt;0.8,$E117*$F117," ")," ")," ")</f>
        <v> </v>
      </c>
      <c r="AA117" s="114" t="str">
        <f t="shared" ref="AA117:AA120" si="140">IF(ISNUMBER(SEARCH("deadlift",$C117)),IF($D117&gt;=0.8,IF($D117&lt;0.9,$E117*$F117," ")," ")," ")</f>
        <v> </v>
      </c>
      <c r="AB117" s="114" t="str">
        <f t="shared" ref="AB117:AB120" si="141">IF(ISNUMBER(SEARCH("deadlift",$C117)),IF($D117&gt;=0.9,$E117*$F117," ")," ")</f>
        <v> </v>
      </c>
      <c r="AC117" s="76"/>
      <c r="AD117" s="77"/>
      <c r="AE117" s="77"/>
      <c r="AF117" s="77"/>
      <c r="AG117" s="78"/>
    </row>
    <row r="118" ht="12.75" customHeight="1">
      <c r="A118" s="1"/>
      <c r="B118" s="115"/>
      <c r="C118" s="122" t="s">
        <v>102</v>
      </c>
      <c r="D118" s="117">
        <v>0.6</v>
      </c>
      <c r="E118" s="118">
        <v>3.0</v>
      </c>
      <c r="F118" s="119">
        <v>1.0</v>
      </c>
      <c r="G118" s="120">
        <f>'Start Here'!$F$23*D118</f>
        <v>60</v>
      </c>
      <c r="H118" s="138"/>
      <c r="I118" s="165"/>
      <c r="J118" s="166"/>
      <c r="K118" s="165"/>
      <c r="L118" s="166">
        <f t="shared" si="135"/>
        <v>3</v>
      </c>
      <c r="M118" s="138">
        <f t="shared" si="136"/>
        <v>180</v>
      </c>
      <c r="N118" s="67"/>
      <c r="O118" s="67"/>
      <c r="P118" s="67"/>
      <c r="Q118" s="67"/>
      <c r="R118" s="67"/>
      <c r="S118" s="67"/>
      <c r="T118" s="67"/>
      <c r="U118" s="67"/>
      <c r="V118" s="67"/>
      <c r="W118" s="67"/>
      <c r="X118" s="114" t="str">
        <f t="shared" si="137"/>
        <v> </v>
      </c>
      <c r="Y118" s="114">
        <f t="shared" si="138"/>
        <v>3</v>
      </c>
      <c r="Z118" s="114" t="str">
        <f t="shared" si="139"/>
        <v> </v>
      </c>
      <c r="AA118" s="114" t="str">
        <f t="shared" si="140"/>
        <v> </v>
      </c>
      <c r="AB118" s="114" t="str">
        <f t="shared" si="141"/>
        <v> </v>
      </c>
      <c r="AC118" s="85"/>
      <c r="AG118" s="86"/>
    </row>
    <row r="119" ht="12.75" customHeight="1">
      <c r="A119" s="1"/>
      <c r="B119" s="115"/>
      <c r="C119" s="122" t="s">
        <v>102</v>
      </c>
      <c r="D119" s="117">
        <v>0.7</v>
      </c>
      <c r="E119" s="118">
        <v>3.0</v>
      </c>
      <c r="F119" s="119">
        <v>1.0</v>
      </c>
      <c r="G119" s="120">
        <f>'Start Here'!$F$23*D119</f>
        <v>70</v>
      </c>
      <c r="H119" s="138"/>
      <c r="I119" s="165"/>
      <c r="J119" s="166"/>
      <c r="K119" s="165"/>
      <c r="L119" s="166">
        <f t="shared" si="135"/>
        <v>3</v>
      </c>
      <c r="M119" s="138">
        <f t="shared" si="136"/>
        <v>210</v>
      </c>
      <c r="N119" s="67"/>
      <c r="O119" s="67"/>
      <c r="P119" s="67"/>
      <c r="Q119" s="67"/>
      <c r="R119" s="67"/>
      <c r="S119" s="67"/>
      <c r="T119" s="67"/>
      <c r="U119" s="67"/>
      <c r="V119" s="67"/>
      <c r="W119" s="67"/>
      <c r="X119" s="114" t="str">
        <f t="shared" si="137"/>
        <v> </v>
      </c>
      <c r="Y119" s="114" t="str">
        <f t="shared" si="138"/>
        <v> </v>
      </c>
      <c r="Z119" s="114">
        <f t="shared" si="139"/>
        <v>3</v>
      </c>
      <c r="AA119" s="114" t="str">
        <f t="shared" si="140"/>
        <v> </v>
      </c>
      <c r="AB119" s="114" t="str">
        <f t="shared" si="141"/>
        <v> </v>
      </c>
      <c r="AC119" s="85"/>
      <c r="AG119" s="86"/>
    </row>
    <row r="120" ht="12.75" customHeight="1">
      <c r="A120" s="1"/>
      <c r="B120" s="115"/>
      <c r="C120" s="122" t="s">
        <v>102</v>
      </c>
      <c r="D120" s="117">
        <v>0.75</v>
      </c>
      <c r="E120" s="118">
        <v>2.0</v>
      </c>
      <c r="F120" s="119">
        <v>4.0</v>
      </c>
      <c r="G120" s="120">
        <f>'Start Here'!$F$23*D120</f>
        <v>75</v>
      </c>
      <c r="H120" s="138"/>
      <c r="I120" s="165"/>
      <c r="J120" s="166"/>
      <c r="K120" s="165"/>
      <c r="L120" s="166">
        <f t="shared" si="135"/>
        <v>8</v>
      </c>
      <c r="M120" s="138">
        <f t="shared" si="136"/>
        <v>600</v>
      </c>
      <c r="N120" s="67"/>
      <c r="O120" s="67"/>
      <c r="P120" s="67"/>
      <c r="Q120" s="67"/>
      <c r="R120" s="67"/>
      <c r="S120" s="67"/>
      <c r="T120" s="67"/>
      <c r="U120" s="67"/>
      <c r="V120" s="67"/>
      <c r="W120" s="67"/>
      <c r="X120" s="114" t="str">
        <f t="shared" si="137"/>
        <v> </v>
      </c>
      <c r="Y120" s="114" t="str">
        <f t="shared" si="138"/>
        <v> </v>
      </c>
      <c r="Z120" s="114">
        <f t="shared" si="139"/>
        <v>8</v>
      </c>
      <c r="AA120" s="114" t="str">
        <f t="shared" si="140"/>
        <v> </v>
      </c>
      <c r="AB120" s="114" t="str">
        <f t="shared" si="141"/>
        <v> </v>
      </c>
      <c r="AC120" s="85"/>
      <c r="AG120" s="86"/>
    </row>
    <row r="121" ht="12.75" customHeight="1">
      <c r="A121" s="1"/>
      <c r="B121" s="96">
        <v>2.0</v>
      </c>
      <c r="C121" s="167" t="s">
        <v>103</v>
      </c>
      <c r="D121" s="168"/>
      <c r="E121" s="169">
        <v>3.0</v>
      </c>
      <c r="F121" s="169">
        <v>5.0</v>
      </c>
      <c r="G121" s="188"/>
      <c r="H121" s="138"/>
      <c r="I121" s="165"/>
      <c r="J121" s="166"/>
      <c r="K121" s="165"/>
      <c r="L121" s="166"/>
      <c r="M121" s="138"/>
      <c r="N121" s="67"/>
      <c r="O121" s="67"/>
      <c r="P121" s="67"/>
      <c r="Q121" s="67"/>
      <c r="R121" s="67"/>
      <c r="S121" s="67"/>
      <c r="T121" s="67"/>
      <c r="U121" s="67"/>
      <c r="V121" s="67"/>
      <c r="W121" s="67"/>
      <c r="X121" s="67"/>
      <c r="Y121" s="67"/>
      <c r="Z121" s="67"/>
      <c r="AA121" s="67"/>
      <c r="AB121" s="67"/>
      <c r="AC121" s="85"/>
      <c r="AG121" s="86"/>
    </row>
    <row r="122" ht="12.75" customHeight="1">
      <c r="A122" s="1"/>
      <c r="B122" s="135">
        <v>3.0</v>
      </c>
      <c r="C122" s="136" t="s">
        <v>96</v>
      </c>
      <c r="D122" s="137"/>
      <c r="E122" s="68">
        <v>5.0</v>
      </c>
      <c r="F122" s="138">
        <v>5.0</v>
      </c>
      <c r="G122" s="139"/>
      <c r="H122" s="138"/>
      <c r="I122" s="165"/>
      <c r="J122" s="166"/>
      <c r="K122" s="165"/>
      <c r="L122" s="166"/>
      <c r="M122" s="138"/>
      <c r="N122" s="67"/>
      <c r="O122" s="67"/>
      <c r="P122" s="67"/>
      <c r="Q122" s="67"/>
      <c r="R122" s="67"/>
      <c r="S122" s="67"/>
      <c r="T122" s="67"/>
      <c r="U122" s="67"/>
      <c r="V122" s="67"/>
      <c r="W122" s="67"/>
      <c r="X122" s="67"/>
      <c r="Y122" s="67"/>
      <c r="Z122" s="67"/>
      <c r="AA122" s="67"/>
      <c r="AB122" s="67"/>
      <c r="AC122" s="85"/>
      <c r="AG122" s="86"/>
    </row>
    <row r="123" ht="12.75" customHeight="1">
      <c r="A123" s="1"/>
      <c r="B123" s="100">
        <v>4.0</v>
      </c>
      <c r="C123" s="171" t="s">
        <v>95</v>
      </c>
      <c r="D123" s="172"/>
      <c r="E123" s="102">
        <v>6.0</v>
      </c>
      <c r="F123" s="173">
        <v>5.0</v>
      </c>
      <c r="G123" s="174"/>
      <c r="H123" s="138"/>
      <c r="I123" s="165"/>
      <c r="J123" s="166"/>
      <c r="K123" s="165"/>
      <c r="L123" s="166"/>
      <c r="M123" s="138"/>
      <c r="N123" s="67"/>
      <c r="O123" s="67"/>
      <c r="P123" s="67"/>
      <c r="Q123" s="67"/>
      <c r="R123" s="67"/>
      <c r="S123" s="67"/>
      <c r="T123" s="67"/>
      <c r="U123" s="67"/>
      <c r="V123" s="67"/>
      <c r="W123" s="67"/>
      <c r="X123" s="67"/>
      <c r="Y123" s="67"/>
      <c r="Z123" s="67"/>
      <c r="AA123" s="67"/>
      <c r="AB123" s="67"/>
      <c r="AC123" s="104"/>
      <c r="AD123" s="105"/>
      <c r="AE123" s="105"/>
      <c r="AF123" s="105"/>
      <c r="AG123" s="106"/>
    </row>
    <row r="124" ht="12.75" customHeight="1">
      <c r="A124" s="181"/>
      <c r="B124" s="142"/>
      <c r="C124" s="182"/>
      <c r="D124" s="183"/>
      <c r="E124" s="184"/>
      <c r="F124" s="184"/>
      <c r="G124" s="184"/>
      <c r="H124" s="185">
        <f t="shared" ref="H124:AB124" si="142">SUM(H69:H123)</f>
        <v>55</v>
      </c>
      <c r="I124" s="186">
        <f t="shared" si="142"/>
        <v>3800</v>
      </c>
      <c r="J124" s="185">
        <f t="shared" si="142"/>
        <v>93</v>
      </c>
      <c r="K124" s="186">
        <f t="shared" si="142"/>
        <v>6565</v>
      </c>
      <c r="L124" s="185">
        <f t="shared" si="142"/>
        <v>48</v>
      </c>
      <c r="M124" s="184">
        <f t="shared" si="142"/>
        <v>3170</v>
      </c>
      <c r="N124" s="67">
        <f t="shared" si="142"/>
        <v>13</v>
      </c>
      <c r="O124" s="67">
        <f t="shared" si="142"/>
        <v>11</v>
      </c>
      <c r="P124" s="67">
        <f t="shared" si="142"/>
        <v>9</v>
      </c>
      <c r="Q124" s="67">
        <f t="shared" si="142"/>
        <v>22</v>
      </c>
      <c r="R124" s="67">
        <f t="shared" si="142"/>
        <v>0</v>
      </c>
      <c r="S124" s="187">
        <f t="shared" si="142"/>
        <v>18</v>
      </c>
      <c r="T124" s="187">
        <f t="shared" si="142"/>
        <v>15</v>
      </c>
      <c r="U124" s="187">
        <f t="shared" si="142"/>
        <v>25</v>
      </c>
      <c r="V124" s="187">
        <f t="shared" si="142"/>
        <v>29</v>
      </c>
      <c r="W124" s="187">
        <f t="shared" si="142"/>
        <v>6</v>
      </c>
      <c r="X124" s="144">
        <f t="shared" si="142"/>
        <v>9</v>
      </c>
      <c r="Y124" s="144">
        <f t="shared" si="142"/>
        <v>9</v>
      </c>
      <c r="Z124" s="144">
        <f t="shared" si="142"/>
        <v>30</v>
      </c>
      <c r="AA124" s="144">
        <f t="shared" si="142"/>
        <v>0</v>
      </c>
      <c r="AB124" s="144">
        <f t="shared" si="142"/>
        <v>0</v>
      </c>
      <c r="AC124" s="142"/>
      <c r="AD124" s="142"/>
      <c r="AE124" s="142"/>
      <c r="AF124" s="142"/>
      <c r="AG124" s="142"/>
    </row>
    <row r="125" ht="33.0" customHeight="1">
      <c r="A125" s="1"/>
      <c r="B125" s="66" t="s">
        <v>77</v>
      </c>
      <c r="H125" s="138"/>
      <c r="I125" s="165"/>
      <c r="J125" s="166"/>
      <c r="K125" s="165"/>
      <c r="L125" s="166"/>
      <c r="M125" s="138"/>
      <c r="N125" s="67"/>
      <c r="O125" s="67"/>
      <c r="P125" s="67"/>
      <c r="Q125" s="67"/>
      <c r="R125" s="67"/>
      <c r="S125" s="67"/>
      <c r="T125" s="67"/>
      <c r="U125" s="67"/>
      <c r="V125" s="67"/>
      <c r="W125" s="67"/>
      <c r="X125" s="67"/>
      <c r="Y125" s="67"/>
      <c r="Z125" s="67"/>
      <c r="AA125" s="67"/>
      <c r="AB125" s="67"/>
      <c r="AC125" s="67"/>
      <c r="AD125" s="67"/>
      <c r="AE125" s="67"/>
      <c r="AF125" s="67"/>
      <c r="AG125" s="67"/>
    </row>
    <row r="126" ht="30.75" customHeight="1">
      <c r="A126" s="1"/>
      <c r="B126" s="68" t="s">
        <v>33</v>
      </c>
      <c r="D126" s="137" t="s">
        <v>34</v>
      </c>
      <c r="E126" s="138" t="s">
        <v>35</v>
      </c>
      <c r="F126" s="138" t="s">
        <v>36</v>
      </c>
      <c r="G126" s="138" t="s">
        <v>37</v>
      </c>
      <c r="H126" s="166"/>
      <c r="I126" s="165"/>
      <c r="J126" s="166"/>
      <c r="K126" s="165"/>
      <c r="L126" s="166"/>
      <c r="M126" s="138"/>
      <c r="N126" s="67"/>
      <c r="O126" s="67"/>
      <c r="P126" s="67"/>
      <c r="Q126" s="67"/>
      <c r="R126" s="67"/>
      <c r="S126" s="67"/>
      <c r="T126" s="67"/>
      <c r="U126" s="67"/>
      <c r="V126" s="67"/>
      <c r="W126" s="67"/>
      <c r="X126" s="67"/>
      <c r="Y126" s="67"/>
      <c r="Z126" s="67"/>
      <c r="AA126" s="67"/>
      <c r="AB126" s="67"/>
      <c r="AC126" s="67" t="s">
        <v>43</v>
      </c>
      <c r="AD126" s="67"/>
      <c r="AE126" s="67"/>
      <c r="AF126" s="67"/>
      <c r="AG126" s="67"/>
    </row>
    <row r="127" ht="12.75" customHeight="1">
      <c r="A127" s="1"/>
      <c r="B127" s="123">
        <v>1.0</v>
      </c>
      <c r="C127" s="124" t="s">
        <v>45</v>
      </c>
      <c r="D127" s="125">
        <v>0.55</v>
      </c>
      <c r="E127" s="126">
        <v>5.0</v>
      </c>
      <c r="F127" s="127">
        <v>1.0</v>
      </c>
      <c r="G127" s="128">
        <f>'Start Here'!$F$22*D127</f>
        <v>55</v>
      </c>
      <c r="H127" s="138"/>
      <c r="I127" s="165"/>
      <c r="J127" s="166">
        <f t="shared" ref="J127:J130" si="143">E127*F127</f>
        <v>5</v>
      </c>
      <c r="K127" s="165">
        <f t="shared" ref="K127:K130" si="144">G127*J127</f>
        <v>275</v>
      </c>
      <c r="L127" s="166"/>
      <c r="M127" s="138"/>
      <c r="N127" s="67"/>
      <c r="O127" s="67"/>
      <c r="P127" s="67"/>
      <c r="Q127" s="67"/>
      <c r="R127" s="67"/>
      <c r="S127" s="93">
        <f t="shared" ref="S127:S130" si="145">IF(ISNUMBER(SEARCH("bench",$C127)),IF($D127&gt;=0.5,IF($D127&lt;0.6,$E127*$F127," ")," ")," ")</f>
        <v>5</v>
      </c>
      <c r="T127" s="93" t="str">
        <f t="shared" ref="T127:T130" si="146">IF(ISNUMBER(SEARCH("bench",$C127)),IF($D127&gt;=0.6,IF($D127&lt;0.7,$E127*$F127," ")," ")," ")</f>
        <v> </v>
      </c>
      <c r="U127" s="93" t="str">
        <f t="shared" ref="U127:U130" si="147">IF(ISNUMBER(SEARCH("bench",$C127)),IF($D127&gt;=0.7,IF($D127&lt;0.8,$E127*$F127," ")," ")," ")</f>
        <v> </v>
      </c>
      <c r="V127" s="93" t="str">
        <f t="shared" ref="V127:V130" si="148">IF(ISNUMBER(SEARCH("bench",$C127)),IF($D127&gt;=0.8,IF($D127&lt;0.9,$E127*$F127," ")," ")," ")</f>
        <v> </v>
      </c>
      <c r="W127" s="93" t="str">
        <f t="shared" ref="W127:W130" si="149">IF(ISNUMBER(SEARCH("bench",$C127)),IF($D127&gt;=0.9,$E127*$F127," ")," ")</f>
        <v> </v>
      </c>
      <c r="X127" s="67"/>
      <c r="Y127" s="67"/>
      <c r="Z127" s="67"/>
      <c r="AA127" s="67"/>
      <c r="AB127" s="67"/>
      <c r="AC127" s="76"/>
      <c r="AD127" s="77"/>
      <c r="AE127" s="77"/>
      <c r="AF127" s="77"/>
      <c r="AG127" s="78"/>
    </row>
    <row r="128" ht="12.75" customHeight="1">
      <c r="A128" s="1"/>
      <c r="B128" s="87"/>
      <c r="C128" s="94" t="s">
        <v>45</v>
      </c>
      <c r="D128" s="89">
        <v>0.65</v>
      </c>
      <c r="E128" s="90">
        <v>4.0</v>
      </c>
      <c r="F128" s="91">
        <v>1.0</v>
      </c>
      <c r="G128" s="92">
        <f>'Start Here'!$F$22*D128</f>
        <v>65</v>
      </c>
      <c r="H128" s="138"/>
      <c r="I128" s="165"/>
      <c r="J128" s="166">
        <f t="shared" si="143"/>
        <v>4</v>
      </c>
      <c r="K128" s="165">
        <f t="shared" si="144"/>
        <v>260</v>
      </c>
      <c r="L128" s="166"/>
      <c r="M128" s="138"/>
      <c r="N128" s="67"/>
      <c r="O128" s="67"/>
      <c r="P128" s="67"/>
      <c r="Q128" s="67"/>
      <c r="R128" s="67"/>
      <c r="S128" s="93" t="str">
        <f t="shared" si="145"/>
        <v> </v>
      </c>
      <c r="T128" s="93">
        <f t="shared" si="146"/>
        <v>4</v>
      </c>
      <c r="U128" s="93" t="str">
        <f t="shared" si="147"/>
        <v> </v>
      </c>
      <c r="V128" s="93" t="str">
        <f t="shared" si="148"/>
        <v> </v>
      </c>
      <c r="W128" s="93" t="str">
        <f t="shared" si="149"/>
        <v> </v>
      </c>
      <c r="X128" s="67"/>
      <c r="Y128" s="67"/>
      <c r="Z128" s="67"/>
      <c r="AA128" s="67"/>
      <c r="AB128" s="67"/>
      <c r="AC128" s="85"/>
      <c r="AG128" s="86"/>
    </row>
    <row r="129" ht="12.75" customHeight="1">
      <c r="A129" s="1"/>
      <c r="B129" s="87"/>
      <c r="C129" s="94" t="s">
        <v>45</v>
      </c>
      <c r="D129" s="89">
        <v>0.75</v>
      </c>
      <c r="E129" s="90">
        <v>3.0</v>
      </c>
      <c r="F129" s="91">
        <v>1.0</v>
      </c>
      <c r="G129" s="92">
        <f>'Start Here'!$F$22*D129</f>
        <v>75</v>
      </c>
      <c r="H129" s="138"/>
      <c r="I129" s="165"/>
      <c r="J129" s="166">
        <f t="shared" si="143"/>
        <v>3</v>
      </c>
      <c r="K129" s="165">
        <f t="shared" si="144"/>
        <v>225</v>
      </c>
      <c r="L129" s="166"/>
      <c r="M129" s="138"/>
      <c r="N129" s="67"/>
      <c r="O129" s="67"/>
      <c r="P129" s="67"/>
      <c r="Q129" s="67"/>
      <c r="R129" s="67"/>
      <c r="S129" s="93" t="str">
        <f t="shared" si="145"/>
        <v> </v>
      </c>
      <c r="T129" s="93" t="str">
        <f t="shared" si="146"/>
        <v> </v>
      </c>
      <c r="U129" s="93">
        <f t="shared" si="147"/>
        <v>3</v>
      </c>
      <c r="V129" s="93" t="str">
        <f t="shared" si="148"/>
        <v> </v>
      </c>
      <c r="W129" s="93" t="str">
        <f t="shared" si="149"/>
        <v> </v>
      </c>
      <c r="X129" s="67"/>
      <c r="Y129" s="67"/>
      <c r="Z129" s="67"/>
      <c r="AA129" s="67"/>
      <c r="AB129" s="67"/>
      <c r="AC129" s="85"/>
      <c r="AG129" s="86"/>
    </row>
    <row r="130" ht="12.75" customHeight="1">
      <c r="A130" s="1"/>
      <c r="B130" s="87"/>
      <c r="C130" s="94" t="s">
        <v>45</v>
      </c>
      <c r="D130" s="89">
        <v>0.85</v>
      </c>
      <c r="E130" s="90">
        <v>2.0</v>
      </c>
      <c r="F130" s="91">
        <v>4.0</v>
      </c>
      <c r="G130" s="92">
        <f>'Start Here'!$F$22*D130</f>
        <v>85</v>
      </c>
      <c r="H130" s="138"/>
      <c r="I130" s="165"/>
      <c r="J130" s="166">
        <f t="shared" si="143"/>
        <v>8</v>
      </c>
      <c r="K130" s="165">
        <f t="shared" si="144"/>
        <v>680</v>
      </c>
      <c r="L130" s="166"/>
      <c r="M130" s="138"/>
      <c r="N130" s="67"/>
      <c r="O130" s="67"/>
      <c r="P130" s="67"/>
      <c r="Q130" s="67"/>
      <c r="R130" s="67"/>
      <c r="S130" s="93" t="str">
        <f t="shared" si="145"/>
        <v> </v>
      </c>
      <c r="T130" s="93" t="str">
        <f t="shared" si="146"/>
        <v> </v>
      </c>
      <c r="U130" s="93" t="str">
        <f t="shared" si="147"/>
        <v> </v>
      </c>
      <c r="V130" s="93">
        <f t="shared" si="148"/>
        <v>8</v>
      </c>
      <c r="W130" s="93" t="str">
        <f t="shared" si="149"/>
        <v> </v>
      </c>
      <c r="X130" s="67"/>
      <c r="Y130" s="67"/>
      <c r="Z130" s="67"/>
      <c r="AA130" s="67"/>
      <c r="AB130" s="67"/>
      <c r="AC130" s="85"/>
      <c r="AG130" s="86"/>
    </row>
    <row r="131" ht="12.75" customHeight="1">
      <c r="A131" s="1"/>
      <c r="B131" s="79">
        <v>2.0</v>
      </c>
      <c r="C131" s="95" t="s">
        <v>46</v>
      </c>
      <c r="D131" s="81">
        <v>0.5</v>
      </c>
      <c r="E131" s="82">
        <v>5.0</v>
      </c>
      <c r="F131" s="83">
        <v>1.0</v>
      </c>
      <c r="G131" s="84">
        <f>'Start Here'!$F$21*D131</f>
        <v>50</v>
      </c>
      <c r="H131" s="138">
        <f t="shared" ref="H131:H138" si="150">E131*F131</f>
        <v>5</v>
      </c>
      <c r="I131" s="165">
        <f t="shared" ref="I131:I138" si="151">G131*H131</f>
        <v>250</v>
      </c>
      <c r="J131" s="166"/>
      <c r="K131" s="165"/>
      <c r="L131" s="166"/>
      <c r="M131" s="138"/>
      <c r="N131" s="75">
        <f t="shared" ref="N131:N138" si="152">IF(ISNUMBER(SEARCH("squat",$C131)),IF($D131&gt;=0.5,IF($D131&lt;0.6,$E131*$F131," ")," ")," ")</f>
        <v>5</v>
      </c>
      <c r="O131" s="75" t="str">
        <f t="shared" ref="O131:O138" si="153">IF(ISNUMBER(SEARCH("squat",$C131)),IF($D131&gt;=0.6,IF($D131&lt;0.7,$E131*$F131," ")," ")," ")</f>
        <v> </v>
      </c>
      <c r="P131" s="75" t="str">
        <f t="shared" ref="P131:P138" si="154">IF(ISNUMBER(SEARCH("squat",$C131)),IF($D131&gt;=0.7,IF($D131&lt;0.8,$E131*$F131," ")," ")," ")</f>
        <v> </v>
      </c>
      <c r="Q131" s="75" t="str">
        <f t="shared" ref="Q131:Q138" si="155">IF(ISNUMBER(SEARCH("squat",$C131)),IF($D131&gt;=0.8,IF($D131&lt;0.9,$E131*$F131," ")," ")," ")</f>
        <v> </v>
      </c>
      <c r="R131" s="75" t="str">
        <f t="shared" ref="R131:R138" si="156">IF(ISNUMBER(SEARCH("squat",$C131)),IF($D131&gt;=0.9,$E131*$F131," ")," ")</f>
        <v> </v>
      </c>
      <c r="S131" s="67"/>
      <c r="T131" s="67"/>
      <c r="U131" s="67"/>
      <c r="V131" s="67"/>
      <c r="W131" s="67"/>
      <c r="X131" s="67"/>
      <c r="Y131" s="67"/>
      <c r="Z131" s="67"/>
      <c r="AA131" s="67"/>
      <c r="AB131" s="67"/>
      <c r="AC131" s="85"/>
      <c r="AG131" s="86"/>
    </row>
    <row r="132" ht="12.75" customHeight="1">
      <c r="A132" s="1"/>
      <c r="B132" s="79"/>
      <c r="C132" s="80" t="s">
        <v>46</v>
      </c>
      <c r="D132" s="81">
        <v>0.6</v>
      </c>
      <c r="E132" s="82">
        <v>5.0</v>
      </c>
      <c r="F132" s="83">
        <v>1.0</v>
      </c>
      <c r="G132" s="84">
        <f>'Start Here'!$F$21*D132</f>
        <v>60</v>
      </c>
      <c r="H132" s="138">
        <f t="shared" si="150"/>
        <v>5</v>
      </c>
      <c r="I132" s="165">
        <f t="shared" si="151"/>
        <v>300</v>
      </c>
      <c r="J132" s="166"/>
      <c r="K132" s="165"/>
      <c r="L132" s="166"/>
      <c r="M132" s="138"/>
      <c r="N132" s="75" t="str">
        <f t="shared" si="152"/>
        <v> </v>
      </c>
      <c r="O132" s="75">
        <f t="shared" si="153"/>
        <v>5</v>
      </c>
      <c r="P132" s="75" t="str">
        <f t="shared" si="154"/>
        <v> </v>
      </c>
      <c r="Q132" s="75" t="str">
        <f t="shared" si="155"/>
        <v> </v>
      </c>
      <c r="R132" s="75" t="str">
        <f t="shared" si="156"/>
        <v> </v>
      </c>
      <c r="S132" s="67"/>
      <c r="T132" s="67"/>
      <c r="U132" s="67"/>
      <c r="V132" s="67"/>
      <c r="W132" s="67"/>
      <c r="X132" s="67"/>
      <c r="Y132" s="67"/>
      <c r="Z132" s="67"/>
      <c r="AA132" s="67"/>
      <c r="AB132" s="67"/>
      <c r="AC132" s="85"/>
      <c r="AG132" s="86"/>
    </row>
    <row r="133" ht="12.75" customHeight="1">
      <c r="A133" s="1"/>
      <c r="B133" s="79"/>
      <c r="C133" s="80" t="s">
        <v>46</v>
      </c>
      <c r="D133" s="81">
        <v>0.7</v>
      </c>
      <c r="E133" s="82">
        <v>3.0</v>
      </c>
      <c r="F133" s="83">
        <v>1.0</v>
      </c>
      <c r="G133" s="84">
        <f>'Start Here'!$F$21*D133</f>
        <v>70</v>
      </c>
      <c r="H133" s="138">
        <f t="shared" si="150"/>
        <v>3</v>
      </c>
      <c r="I133" s="165">
        <f t="shared" si="151"/>
        <v>210</v>
      </c>
      <c r="J133" s="166"/>
      <c r="K133" s="165"/>
      <c r="L133" s="166"/>
      <c r="M133" s="138"/>
      <c r="N133" s="75" t="str">
        <f t="shared" si="152"/>
        <v> </v>
      </c>
      <c r="O133" s="75" t="str">
        <f t="shared" si="153"/>
        <v> </v>
      </c>
      <c r="P133" s="75">
        <f t="shared" si="154"/>
        <v>3</v>
      </c>
      <c r="Q133" s="75" t="str">
        <f t="shared" si="155"/>
        <v> </v>
      </c>
      <c r="R133" s="75" t="str">
        <f t="shared" si="156"/>
        <v> </v>
      </c>
      <c r="S133" s="67"/>
      <c r="T133" s="67"/>
      <c r="U133" s="67"/>
      <c r="V133" s="67"/>
      <c r="W133" s="67"/>
      <c r="X133" s="67"/>
      <c r="Y133" s="67"/>
      <c r="Z133" s="67"/>
      <c r="AA133" s="67"/>
      <c r="AB133" s="67"/>
      <c r="AC133" s="85"/>
      <c r="AG133" s="86"/>
    </row>
    <row r="134" ht="12.75" customHeight="1">
      <c r="A134" s="1"/>
      <c r="B134" s="79"/>
      <c r="C134" s="80" t="s">
        <v>46</v>
      </c>
      <c r="D134" s="81">
        <v>0.7</v>
      </c>
      <c r="E134" s="82">
        <v>7.0</v>
      </c>
      <c r="F134" s="83">
        <v>1.0</v>
      </c>
      <c r="G134" s="84">
        <f>'Start Here'!$F$21*D134</f>
        <v>70</v>
      </c>
      <c r="H134" s="138">
        <f t="shared" si="150"/>
        <v>7</v>
      </c>
      <c r="I134" s="165">
        <f t="shared" si="151"/>
        <v>490</v>
      </c>
      <c r="J134" s="166"/>
      <c r="K134" s="165"/>
      <c r="L134" s="166"/>
      <c r="M134" s="138"/>
      <c r="N134" s="75" t="str">
        <f t="shared" si="152"/>
        <v> </v>
      </c>
      <c r="O134" s="75" t="str">
        <f t="shared" si="153"/>
        <v> </v>
      </c>
      <c r="P134" s="75">
        <f t="shared" si="154"/>
        <v>7</v>
      </c>
      <c r="Q134" s="75" t="str">
        <f t="shared" si="155"/>
        <v> </v>
      </c>
      <c r="R134" s="75" t="str">
        <f t="shared" si="156"/>
        <v> </v>
      </c>
      <c r="S134" s="67"/>
      <c r="T134" s="67"/>
      <c r="U134" s="67"/>
      <c r="V134" s="67"/>
      <c r="W134" s="67"/>
      <c r="X134" s="67"/>
      <c r="Y134" s="67"/>
      <c r="Z134" s="67"/>
      <c r="AA134" s="67"/>
      <c r="AB134" s="67"/>
      <c r="AC134" s="85"/>
      <c r="AG134" s="86"/>
    </row>
    <row r="135" ht="12.75" customHeight="1">
      <c r="A135" s="1"/>
      <c r="B135" s="79"/>
      <c r="C135" s="80" t="s">
        <v>46</v>
      </c>
      <c r="D135" s="81">
        <v>0.7</v>
      </c>
      <c r="E135" s="82">
        <v>4.0</v>
      </c>
      <c r="F135" s="83">
        <v>1.0</v>
      </c>
      <c r="G135" s="84">
        <f>'Start Here'!$F$21*D135</f>
        <v>70</v>
      </c>
      <c r="H135" s="138">
        <f t="shared" si="150"/>
        <v>4</v>
      </c>
      <c r="I135" s="165">
        <f t="shared" si="151"/>
        <v>280</v>
      </c>
      <c r="J135" s="166"/>
      <c r="K135" s="165"/>
      <c r="L135" s="166"/>
      <c r="M135" s="138"/>
      <c r="N135" s="75" t="str">
        <f t="shared" si="152"/>
        <v> </v>
      </c>
      <c r="O135" s="75" t="str">
        <f t="shared" si="153"/>
        <v> </v>
      </c>
      <c r="P135" s="75">
        <f t="shared" si="154"/>
        <v>4</v>
      </c>
      <c r="Q135" s="75" t="str">
        <f t="shared" si="155"/>
        <v> </v>
      </c>
      <c r="R135" s="75" t="str">
        <f t="shared" si="156"/>
        <v> </v>
      </c>
      <c r="S135" s="67"/>
      <c r="T135" s="67"/>
      <c r="U135" s="67"/>
      <c r="V135" s="67"/>
      <c r="W135" s="67"/>
      <c r="X135" s="67"/>
      <c r="Y135" s="67"/>
      <c r="Z135" s="67"/>
      <c r="AA135" s="67"/>
      <c r="AB135" s="67"/>
      <c r="AC135" s="85"/>
      <c r="AG135" s="86"/>
    </row>
    <row r="136" ht="12.75" customHeight="1">
      <c r="A136" s="1"/>
      <c r="B136" s="79"/>
      <c r="C136" s="80" t="s">
        <v>46</v>
      </c>
      <c r="D136" s="81">
        <v>0.7</v>
      </c>
      <c r="E136" s="82">
        <v>8.0</v>
      </c>
      <c r="F136" s="83">
        <v>1.0</v>
      </c>
      <c r="G136" s="84">
        <f>'Start Here'!$F$21*D136</f>
        <v>70</v>
      </c>
      <c r="H136" s="138">
        <f t="shared" si="150"/>
        <v>8</v>
      </c>
      <c r="I136" s="165">
        <f t="shared" si="151"/>
        <v>560</v>
      </c>
      <c r="J136" s="166"/>
      <c r="K136" s="165"/>
      <c r="L136" s="166"/>
      <c r="M136" s="138"/>
      <c r="N136" s="75" t="str">
        <f t="shared" si="152"/>
        <v> </v>
      </c>
      <c r="O136" s="75" t="str">
        <f t="shared" si="153"/>
        <v> </v>
      </c>
      <c r="P136" s="75">
        <f t="shared" si="154"/>
        <v>8</v>
      </c>
      <c r="Q136" s="75" t="str">
        <f t="shared" si="155"/>
        <v> </v>
      </c>
      <c r="R136" s="75" t="str">
        <f t="shared" si="156"/>
        <v> </v>
      </c>
      <c r="S136" s="67"/>
      <c r="T136" s="67"/>
      <c r="U136" s="67"/>
      <c r="V136" s="67"/>
      <c r="W136" s="67"/>
      <c r="X136" s="67"/>
      <c r="Y136" s="67"/>
      <c r="Z136" s="67"/>
      <c r="AA136" s="67"/>
      <c r="AB136" s="67"/>
      <c r="AC136" s="85"/>
      <c r="AG136" s="86"/>
    </row>
    <row r="137" ht="12.75" customHeight="1">
      <c r="A137" s="1"/>
      <c r="B137" s="79"/>
      <c r="C137" s="80" t="s">
        <v>46</v>
      </c>
      <c r="D137" s="81">
        <v>0.7</v>
      </c>
      <c r="E137" s="82">
        <v>2.0</v>
      </c>
      <c r="F137" s="83">
        <v>1.0</v>
      </c>
      <c r="G137" s="84">
        <f>'Start Here'!$F$21*D137</f>
        <v>70</v>
      </c>
      <c r="H137" s="138">
        <f t="shared" si="150"/>
        <v>2</v>
      </c>
      <c r="I137" s="165">
        <f t="shared" si="151"/>
        <v>140</v>
      </c>
      <c r="J137" s="166"/>
      <c r="K137" s="165"/>
      <c r="L137" s="166"/>
      <c r="M137" s="138"/>
      <c r="N137" s="75" t="str">
        <f t="shared" si="152"/>
        <v> </v>
      </c>
      <c r="O137" s="75" t="str">
        <f t="shared" si="153"/>
        <v> </v>
      </c>
      <c r="P137" s="75">
        <f t="shared" si="154"/>
        <v>2</v>
      </c>
      <c r="Q137" s="75" t="str">
        <f t="shared" si="155"/>
        <v> </v>
      </c>
      <c r="R137" s="75" t="str">
        <f t="shared" si="156"/>
        <v> </v>
      </c>
      <c r="S137" s="67"/>
      <c r="T137" s="67"/>
      <c r="U137" s="67"/>
      <c r="V137" s="67"/>
      <c r="W137" s="67"/>
      <c r="X137" s="67"/>
      <c r="Y137" s="67"/>
      <c r="Z137" s="67"/>
      <c r="AA137" s="67"/>
      <c r="AB137" s="67"/>
      <c r="AC137" s="85"/>
      <c r="AG137" s="86"/>
    </row>
    <row r="138" ht="12.75" customHeight="1">
      <c r="A138" s="1"/>
      <c r="B138" s="79"/>
      <c r="C138" s="80" t="s">
        <v>46</v>
      </c>
      <c r="D138" s="81">
        <v>0.7</v>
      </c>
      <c r="E138" s="82">
        <v>6.0</v>
      </c>
      <c r="F138" s="83">
        <v>1.0</v>
      </c>
      <c r="G138" s="84">
        <f>'Start Here'!$F$21*D138</f>
        <v>70</v>
      </c>
      <c r="H138" s="138">
        <f t="shared" si="150"/>
        <v>6</v>
      </c>
      <c r="I138" s="165">
        <f t="shared" si="151"/>
        <v>420</v>
      </c>
      <c r="J138" s="166"/>
      <c r="K138" s="165"/>
      <c r="L138" s="166"/>
      <c r="M138" s="138"/>
      <c r="N138" s="75" t="str">
        <f t="shared" si="152"/>
        <v> </v>
      </c>
      <c r="O138" s="75" t="str">
        <f t="shared" si="153"/>
        <v> </v>
      </c>
      <c r="P138" s="75">
        <f t="shared" si="154"/>
        <v>6</v>
      </c>
      <c r="Q138" s="75" t="str">
        <f t="shared" si="155"/>
        <v> </v>
      </c>
      <c r="R138" s="75" t="str">
        <f t="shared" si="156"/>
        <v> </v>
      </c>
      <c r="S138" s="67"/>
      <c r="T138" s="67"/>
      <c r="U138" s="67"/>
      <c r="V138" s="67"/>
      <c r="W138" s="67"/>
      <c r="X138" s="67"/>
      <c r="Y138" s="67"/>
      <c r="Z138" s="67"/>
      <c r="AA138" s="67"/>
      <c r="AB138" s="67"/>
      <c r="AC138" s="85"/>
      <c r="AG138" s="86"/>
    </row>
    <row r="139" ht="12.75" customHeight="1">
      <c r="A139" s="1"/>
      <c r="B139" s="87">
        <v>3.0</v>
      </c>
      <c r="C139" s="88" t="s">
        <v>45</v>
      </c>
      <c r="D139" s="89">
        <v>0.5</v>
      </c>
      <c r="E139" s="90">
        <v>3.0</v>
      </c>
      <c r="F139" s="91">
        <v>1.0</v>
      </c>
      <c r="G139" s="92">
        <f>'Start Here'!$F$22*D139</f>
        <v>50</v>
      </c>
      <c r="H139" s="138"/>
      <c r="I139" s="165"/>
      <c r="J139" s="166">
        <f t="shared" ref="J139:J142" si="157">E139*F139</f>
        <v>3</v>
      </c>
      <c r="K139" s="165">
        <f t="shared" ref="K139:K142" si="158">G139*J139</f>
        <v>150</v>
      </c>
      <c r="L139" s="166"/>
      <c r="M139" s="138"/>
      <c r="N139" s="67"/>
      <c r="O139" s="67"/>
      <c r="P139" s="67"/>
      <c r="Q139" s="67"/>
      <c r="R139" s="67"/>
      <c r="S139" s="93">
        <f t="shared" ref="S139:S142" si="159">IF(ISNUMBER(SEARCH("bench",$C139)),IF($D139&gt;=0.5,IF($D139&lt;0.6,$E139*$F139," ")," ")," ")</f>
        <v>3</v>
      </c>
      <c r="T139" s="93" t="str">
        <f t="shared" ref="T139:T142" si="160">IF(ISNUMBER(SEARCH("bench",$C139)),IF($D139&gt;=0.6,IF($D139&lt;0.7,$E139*$F139," ")," ")," ")</f>
        <v> </v>
      </c>
      <c r="U139" s="93" t="str">
        <f t="shared" ref="U139:U142" si="161">IF(ISNUMBER(SEARCH("bench",$C139)),IF($D139&gt;=0.7,IF($D139&lt;0.8,$E139*$F139," ")," ")," ")</f>
        <v> </v>
      </c>
      <c r="V139" s="93" t="str">
        <f t="shared" ref="V139:V142" si="162">IF(ISNUMBER(SEARCH("bench",$C139)),IF($D139&gt;=0.8,IF($D139&lt;0.9,$E139*$F139," ")," ")," ")</f>
        <v> </v>
      </c>
      <c r="W139" s="93" t="str">
        <f t="shared" ref="W139:W142" si="163">IF(ISNUMBER(SEARCH("bench",$C139)),IF($D139&gt;=0.9,$E139*$F139," ")," ")</f>
        <v> </v>
      </c>
      <c r="X139" s="67"/>
      <c r="Y139" s="67"/>
      <c r="Z139" s="67"/>
      <c r="AA139" s="67"/>
      <c r="AB139" s="67"/>
      <c r="AC139" s="85"/>
      <c r="AG139" s="86"/>
    </row>
    <row r="140" ht="12.75" customHeight="1">
      <c r="A140" s="1"/>
      <c r="B140" s="87"/>
      <c r="C140" s="94" t="s">
        <v>45</v>
      </c>
      <c r="D140" s="89">
        <v>0.6</v>
      </c>
      <c r="E140" s="90">
        <v>3.0</v>
      </c>
      <c r="F140" s="91">
        <v>1.0</v>
      </c>
      <c r="G140" s="92">
        <f>'Start Here'!$F$22*D140</f>
        <v>60</v>
      </c>
      <c r="H140" s="138"/>
      <c r="I140" s="165"/>
      <c r="J140" s="166">
        <f t="shared" si="157"/>
        <v>3</v>
      </c>
      <c r="K140" s="165">
        <f t="shared" si="158"/>
        <v>180</v>
      </c>
      <c r="L140" s="166"/>
      <c r="M140" s="138"/>
      <c r="N140" s="67"/>
      <c r="O140" s="67"/>
      <c r="P140" s="67"/>
      <c r="Q140" s="67"/>
      <c r="R140" s="67"/>
      <c r="S140" s="93" t="str">
        <f t="shared" si="159"/>
        <v> </v>
      </c>
      <c r="T140" s="93">
        <f t="shared" si="160"/>
        <v>3</v>
      </c>
      <c r="U140" s="93" t="str">
        <f t="shared" si="161"/>
        <v> </v>
      </c>
      <c r="V140" s="93" t="str">
        <f t="shared" si="162"/>
        <v> </v>
      </c>
      <c r="W140" s="93" t="str">
        <f t="shared" si="163"/>
        <v> </v>
      </c>
      <c r="X140" s="67"/>
      <c r="Y140" s="67"/>
      <c r="Z140" s="67"/>
      <c r="AA140" s="67"/>
      <c r="AB140" s="67"/>
      <c r="AC140" s="85"/>
      <c r="AG140" s="86"/>
    </row>
    <row r="141" ht="12.75" customHeight="1">
      <c r="A141" s="1"/>
      <c r="B141" s="87"/>
      <c r="C141" s="94" t="s">
        <v>45</v>
      </c>
      <c r="D141" s="89">
        <v>0.7</v>
      </c>
      <c r="E141" s="90">
        <v>3.0</v>
      </c>
      <c r="F141" s="91">
        <v>1.0</v>
      </c>
      <c r="G141" s="92">
        <f>'Start Here'!$F$22*D141</f>
        <v>70</v>
      </c>
      <c r="H141" s="138"/>
      <c r="I141" s="165"/>
      <c r="J141" s="166">
        <f t="shared" si="157"/>
        <v>3</v>
      </c>
      <c r="K141" s="165">
        <f t="shared" si="158"/>
        <v>210</v>
      </c>
      <c r="L141" s="166"/>
      <c r="M141" s="138"/>
      <c r="N141" s="67"/>
      <c r="O141" s="67"/>
      <c r="P141" s="67"/>
      <c r="Q141" s="67"/>
      <c r="R141" s="67"/>
      <c r="S141" s="93" t="str">
        <f t="shared" si="159"/>
        <v> </v>
      </c>
      <c r="T141" s="93" t="str">
        <f t="shared" si="160"/>
        <v> </v>
      </c>
      <c r="U141" s="93">
        <f t="shared" si="161"/>
        <v>3</v>
      </c>
      <c r="V141" s="93" t="str">
        <f t="shared" si="162"/>
        <v> </v>
      </c>
      <c r="W141" s="93" t="str">
        <f t="shared" si="163"/>
        <v> </v>
      </c>
      <c r="X141" s="67"/>
      <c r="Y141" s="67"/>
      <c r="Z141" s="67"/>
      <c r="AA141" s="67"/>
      <c r="AB141" s="67"/>
      <c r="AC141" s="85"/>
      <c r="AG141" s="86"/>
    </row>
    <row r="142" ht="12.75" customHeight="1">
      <c r="A142" s="1"/>
      <c r="B142" s="87"/>
      <c r="C142" s="94" t="s">
        <v>45</v>
      </c>
      <c r="D142" s="89">
        <v>0.8</v>
      </c>
      <c r="E142" s="90">
        <v>2.0</v>
      </c>
      <c r="F142" s="91">
        <v>4.0</v>
      </c>
      <c r="G142" s="92">
        <f>'Start Here'!$F$22*D142</f>
        <v>80</v>
      </c>
      <c r="H142" s="138"/>
      <c r="I142" s="165"/>
      <c r="J142" s="166">
        <f t="shared" si="157"/>
        <v>8</v>
      </c>
      <c r="K142" s="165">
        <f t="shared" si="158"/>
        <v>640</v>
      </c>
      <c r="L142" s="166"/>
      <c r="M142" s="138"/>
      <c r="N142" s="67"/>
      <c r="O142" s="67"/>
      <c r="P142" s="67"/>
      <c r="Q142" s="67"/>
      <c r="R142" s="67"/>
      <c r="S142" s="93" t="str">
        <f t="shared" si="159"/>
        <v> </v>
      </c>
      <c r="T142" s="93" t="str">
        <f t="shared" si="160"/>
        <v> </v>
      </c>
      <c r="U142" s="93" t="str">
        <f t="shared" si="161"/>
        <v> </v>
      </c>
      <c r="V142" s="93">
        <f t="shared" si="162"/>
        <v>8</v>
      </c>
      <c r="W142" s="93" t="str">
        <f t="shared" si="163"/>
        <v> </v>
      </c>
      <c r="X142" s="67"/>
      <c r="Y142" s="67"/>
      <c r="Z142" s="67"/>
      <c r="AA142" s="67"/>
      <c r="AB142" s="67"/>
      <c r="AC142" s="85"/>
      <c r="AG142" s="86"/>
    </row>
    <row r="143" ht="12.75" customHeight="1">
      <c r="A143" s="1"/>
      <c r="B143" s="96">
        <v>4.0</v>
      </c>
      <c r="C143" s="167" t="s">
        <v>92</v>
      </c>
      <c r="D143" s="168"/>
      <c r="E143" s="98">
        <v>6.0</v>
      </c>
      <c r="F143" s="169">
        <v>4.0</v>
      </c>
      <c r="G143" s="170"/>
      <c r="H143" s="138"/>
      <c r="I143" s="165"/>
      <c r="J143" s="166"/>
      <c r="K143" s="165"/>
      <c r="L143" s="166"/>
      <c r="M143" s="138"/>
      <c r="N143" s="67"/>
      <c r="O143" s="67"/>
      <c r="P143" s="67"/>
      <c r="Q143" s="67"/>
      <c r="R143" s="67"/>
      <c r="S143" s="67"/>
      <c r="T143" s="67"/>
      <c r="U143" s="67"/>
      <c r="V143" s="67"/>
      <c r="W143" s="67"/>
      <c r="X143" s="67"/>
      <c r="Y143" s="67"/>
      <c r="Z143" s="67"/>
      <c r="AA143" s="67"/>
      <c r="AB143" s="67"/>
      <c r="AC143" s="85"/>
      <c r="AG143" s="86"/>
    </row>
    <row r="144" ht="12.75" customHeight="1">
      <c r="A144" s="1"/>
      <c r="B144" s="175">
        <v>5.0</v>
      </c>
      <c r="C144" s="176" t="s">
        <v>104</v>
      </c>
      <c r="D144" s="177"/>
      <c r="E144" s="178">
        <v>5.0</v>
      </c>
      <c r="F144" s="179">
        <v>5.0</v>
      </c>
      <c r="G144" s="180"/>
      <c r="H144" s="138"/>
      <c r="I144" s="165"/>
      <c r="J144" s="166"/>
      <c r="K144" s="165"/>
      <c r="L144" s="166"/>
      <c r="M144" s="138"/>
      <c r="N144" s="67"/>
      <c r="O144" s="67"/>
      <c r="P144" s="67"/>
      <c r="Q144" s="67"/>
      <c r="R144" s="67"/>
      <c r="S144" s="67"/>
      <c r="T144" s="67"/>
      <c r="U144" s="67"/>
      <c r="V144" s="67"/>
      <c r="W144" s="67"/>
      <c r="X144" s="67"/>
      <c r="Y144" s="67"/>
      <c r="Z144" s="67"/>
      <c r="AA144" s="67"/>
      <c r="AB144" s="67"/>
      <c r="AC144" s="104"/>
      <c r="AD144" s="105"/>
      <c r="AE144" s="105"/>
      <c r="AF144" s="105"/>
      <c r="AG144" s="106"/>
    </row>
    <row r="145" ht="12.75" customHeight="1">
      <c r="A145" s="1"/>
      <c r="B145" s="67"/>
      <c r="C145" s="136"/>
      <c r="D145" s="137"/>
      <c r="E145" s="138"/>
      <c r="F145" s="138"/>
      <c r="G145" s="138"/>
      <c r="H145" s="166"/>
      <c r="I145" s="165"/>
      <c r="J145" s="166"/>
      <c r="K145" s="165"/>
      <c r="L145" s="166"/>
      <c r="M145" s="138"/>
      <c r="N145" s="67"/>
      <c r="O145" s="67"/>
      <c r="P145" s="67"/>
      <c r="Q145" s="67"/>
      <c r="R145" s="67"/>
      <c r="S145" s="67"/>
      <c r="T145" s="67"/>
      <c r="U145" s="67"/>
      <c r="V145" s="67"/>
      <c r="W145" s="67"/>
      <c r="X145" s="67"/>
      <c r="Y145" s="67"/>
      <c r="Z145" s="67"/>
      <c r="AA145" s="67"/>
      <c r="AB145" s="67"/>
      <c r="AC145" s="67"/>
      <c r="AD145" s="67"/>
      <c r="AE145" s="67"/>
      <c r="AF145" s="67"/>
      <c r="AG145" s="67"/>
    </row>
    <row r="146" ht="46.5" customHeight="1">
      <c r="A146" s="1"/>
      <c r="B146" s="68" t="s">
        <v>49</v>
      </c>
      <c r="D146" s="137" t="s">
        <v>34</v>
      </c>
      <c r="E146" s="138" t="s">
        <v>35</v>
      </c>
      <c r="F146" s="138" t="s">
        <v>36</v>
      </c>
      <c r="G146" s="138" t="s">
        <v>37</v>
      </c>
      <c r="H146" s="166"/>
      <c r="I146" s="165"/>
      <c r="J146" s="166"/>
      <c r="K146" s="165"/>
      <c r="L146" s="166"/>
      <c r="M146" s="138"/>
      <c r="N146" s="67"/>
      <c r="O146" s="67"/>
      <c r="P146" s="67"/>
      <c r="Q146" s="67"/>
      <c r="R146" s="67"/>
      <c r="S146" s="67"/>
      <c r="T146" s="67"/>
      <c r="U146" s="67"/>
      <c r="V146" s="67"/>
      <c r="W146" s="67"/>
      <c r="X146" s="67"/>
      <c r="Y146" s="67"/>
      <c r="Z146" s="67"/>
      <c r="AA146" s="67"/>
      <c r="AB146" s="67"/>
      <c r="AC146" s="67" t="s">
        <v>43</v>
      </c>
      <c r="AD146" s="67"/>
      <c r="AE146" s="67"/>
      <c r="AF146" s="67"/>
      <c r="AG146" s="67"/>
    </row>
    <row r="147" ht="12.75" customHeight="1">
      <c r="A147" s="1"/>
      <c r="B147" s="107">
        <v>1.0</v>
      </c>
      <c r="C147" s="108" t="s">
        <v>105</v>
      </c>
      <c r="D147" s="109">
        <v>0.5</v>
      </c>
      <c r="E147" s="110">
        <v>3.0</v>
      </c>
      <c r="F147" s="111">
        <v>1.0</v>
      </c>
      <c r="G147" s="112">
        <f>'Start Here'!$F$23*D147</f>
        <v>50</v>
      </c>
      <c r="H147" s="138"/>
      <c r="I147" s="165"/>
      <c r="J147" s="166"/>
      <c r="K147" s="165"/>
      <c r="L147" s="166">
        <f t="shared" ref="L147:L149" si="164">E147*F147</f>
        <v>3</v>
      </c>
      <c r="M147" s="138">
        <f t="shared" ref="M147:M149" si="165">G147*L147</f>
        <v>150</v>
      </c>
      <c r="N147" s="67"/>
      <c r="O147" s="67"/>
      <c r="P147" s="67"/>
      <c r="Q147" s="67"/>
      <c r="R147" s="67"/>
      <c r="S147" s="67"/>
      <c r="T147" s="67"/>
      <c r="U147" s="67"/>
      <c r="V147" s="67"/>
      <c r="W147" s="67"/>
      <c r="X147" s="114">
        <f t="shared" ref="X147:X149" si="166">IF(ISNUMBER(SEARCH("deadlift",$C147)),IF($D147&gt;=0.5,IF($D147&lt;0.6,$E147*$F147," ")," ")," ")</f>
        <v>3</v>
      </c>
      <c r="Y147" s="114" t="str">
        <f t="shared" ref="Y147:Y149" si="167">IF(ISNUMBER(SEARCH("deadlift",$C147)),IF($D147&gt;=0.6,IF($D147&lt;0.7,$E147*$F147," ")," ")," ")</f>
        <v> </v>
      </c>
      <c r="Z147" s="114" t="str">
        <f t="shared" ref="Z147:Z149" si="168">IF(ISNUMBER(SEARCH("deadlift",$C147)),IF($D147&gt;=0.7,IF($D147&lt;0.8,$E147*$F147," ")," ")," ")</f>
        <v> </v>
      </c>
      <c r="AA147" s="114" t="str">
        <f t="shared" ref="AA147:AA149" si="169">IF(ISNUMBER(SEARCH("deadlift",$C147)),IF($D147&gt;=0.8,IF($D147&lt;0.9,$E147*$F147," ")," ")," ")</f>
        <v> </v>
      </c>
      <c r="AB147" s="114" t="str">
        <f t="shared" ref="AB147:AB149" si="170">IF(ISNUMBER(SEARCH("deadlift",$C147)),IF($D147&gt;=0.9,$E147*$F147," ")," ")</f>
        <v> </v>
      </c>
      <c r="AC147" s="76"/>
      <c r="AD147" s="77"/>
      <c r="AE147" s="77"/>
      <c r="AF147" s="77"/>
      <c r="AG147" s="78"/>
    </row>
    <row r="148" ht="12.75" customHeight="1">
      <c r="A148" s="1"/>
      <c r="B148" s="115"/>
      <c r="C148" s="122" t="s">
        <v>105</v>
      </c>
      <c r="D148" s="117">
        <v>0.6</v>
      </c>
      <c r="E148" s="118">
        <v>3.0</v>
      </c>
      <c r="F148" s="119">
        <v>1.0</v>
      </c>
      <c r="G148" s="120">
        <f>'Start Here'!$F$23*D148</f>
        <v>60</v>
      </c>
      <c r="H148" s="138"/>
      <c r="I148" s="165"/>
      <c r="J148" s="166"/>
      <c r="K148" s="165"/>
      <c r="L148" s="166">
        <f t="shared" si="164"/>
        <v>3</v>
      </c>
      <c r="M148" s="138">
        <f t="shared" si="165"/>
        <v>180</v>
      </c>
      <c r="N148" s="67"/>
      <c r="O148" s="67"/>
      <c r="P148" s="67"/>
      <c r="Q148" s="67"/>
      <c r="R148" s="67"/>
      <c r="S148" s="67"/>
      <c r="T148" s="67"/>
      <c r="U148" s="67"/>
      <c r="V148" s="67"/>
      <c r="W148" s="67"/>
      <c r="X148" s="114" t="str">
        <f t="shared" si="166"/>
        <v> </v>
      </c>
      <c r="Y148" s="114">
        <f t="shared" si="167"/>
        <v>3</v>
      </c>
      <c r="Z148" s="114" t="str">
        <f t="shared" si="168"/>
        <v> </v>
      </c>
      <c r="AA148" s="114" t="str">
        <f t="shared" si="169"/>
        <v> </v>
      </c>
      <c r="AB148" s="114" t="str">
        <f t="shared" si="170"/>
        <v> </v>
      </c>
      <c r="AC148" s="85"/>
      <c r="AG148" s="86"/>
    </row>
    <row r="149" ht="12.75" customHeight="1">
      <c r="A149" s="1"/>
      <c r="B149" s="115"/>
      <c r="C149" s="122" t="s">
        <v>105</v>
      </c>
      <c r="D149" s="117">
        <v>0.7</v>
      </c>
      <c r="E149" s="118">
        <v>2.0</v>
      </c>
      <c r="F149" s="119">
        <v>4.0</v>
      </c>
      <c r="G149" s="120">
        <f>'Start Here'!$F$23*D149</f>
        <v>70</v>
      </c>
      <c r="H149" s="138"/>
      <c r="I149" s="165"/>
      <c r="J149" s="166"/>
      <c r="K149" s="165"/>
      <c r="L149" s="166">
        <f t="shared" si="164"/>
        <v>8</v>
      </c>
      <c r="M149" s="138">
        <f t="shared" si="165"/>
        <v>560</v>
      </c>
      <c r="N149" s="67"/>
      <c r="O149" s="67"/>
      <c r="P149" s="67"/>
      <c r="Q149" s="67"/>
      <c r="R149" s="67"/>
      <c r="S149" s="67"/>
      <c r="T149" s="67"/>
      <c r="U149" s="67"/>
      <c r="V149" s="67"/>
      <c r="W149" s="67"/>
      <c r="X149" s="114" t="str">
        <f t="shared" si="166"/>
        <v> </v>
      </c>
      <c r="Y149" s="114" t="str">
        <f t="shared" si="167"/>
        <v> </v>
      </c>
      <c r="Z149" s="114">
        <f t="shared" si="168"/>
        <v>8</v>
      </c>
      <c r="AA149" s="114" t="str">
        <f t="shared" si="169"/>
        <v> </v>
      </c>
      <c r="AB149" s="114" t="str">
        <f t="shared" si="170"/>
        <v> </v>
      </c>
      <c r="AC149" s="85"/>
      <c r="AG149" s="86"/>
    </row>
    <row r="150" ht="12.75" customHeight="1">
      <c r="A150" s="1"/>
      <c r="B150" s="87">
        <v>2.0</v>
      </c>
      <c r="C150" s="88" t="s">
        <v>45</v>
      </c>
      <c r="D150" s="89">
        <v>0.5</v>
      </c>
      <c r="E150" s="90">
        <v>6.0</v>
      </c>
      <c r="F150" s="91">
        <v>1.0</v>
      </c>
      <c r="G150" s="92">
        <f>'Start Here'!$F$22*D150</f>
        <v>50</v>
      </c>
      <c r="H150" s="138"/>
      <c r="I150" s="165"/>
      <c r="J150" s="166">
        <f t="shared" ref="J150:J154" si="171">E150*F150</f>
        <v>6</v>
      </c>
      <c r="K150" s="165">
        <f t="shared" ref="K150:K154" si="172">G150*J150</f>
        <v>300</v>
      </c>
      <c r="L150" s="166"/>
      <c r="M150" s="138"/>
      <c r="N150" s="67"/>
      <c r="O150" s="67"/>
      <c r="P150" s="67"/>
      <c r="Q150" s="67"/>
      <c r="R150" s="67"/>
      <c r="S150" s="93">
        <f t="shared" ref="S150:S154" si="173">IF(ISNUMBER(SEARCH("bench",$C150)),IF($D150&gt;=0.5,IF($D150&lt;0.6,$E150*$F150," ")," ")," ")</f>
        <v>6</v>
      </c>
      <c r="T150" s="93" t="str">
        <f t="shared" ref="T150:T154" si="174">IF(ISNUMBER(SEARCH("bench",$C150)),IF($D150&gt;=0.6,IF($D150&lt;0.7,$E150*$F150," ")," ")," ")</f>
        <v> </v>
      </c>
      <c r="U150" s="93" t="str">
        <f t="shared" ref="U150:U154" si="175">IF(ISNUMBER(SEARCH("bench",$C150)),IF($D150&gt;=0.7,IF($D150&lt;0.8,$E150*$F150," ")," ")," ")</f>
        <v> </v>
      </c>
      <c r="V150" s="93" t="str">
        <f t="shared" ref="V150:V154" si="176">IF(ISNUMBER(SEARCH("bench",$C150)),IF($D150&gt;=0.8,IF($D150&lt;0.9,$E150*$F150," ")," ")," ")</f>
        <v> </v>
      </c>
      <c r="W150" s="93" t="str">
        <f t="shared" ref="W150:W154" si="177">IF(ISNUMBER(SEARCH("bench",$C150)),IF($D150&gt;=0.9,$E150*$F150," ")," ")</f>
        <v> </v>
      </c>
      <c r="X150" s="67"/>
      <c r="Y150" s="67"/>
      <c r="Z150" s="67"/>
      <c r="AA150" s="67"/>
      <c r="AB150" s="67"/>
      <c r="AC150" s="85"/>
      <c r="AG150" s="86"/>
    </row>
    <row r="151" ht="12.75" customHeight="1">
      <c r="A151" s="1"/>
      <c r="B151" s="87"/>
      <c r="C151" s="94" t="s">
        <v>45</v>
      </c>
      <c r="D151" s="89">
        <v>0.6</v>
      </c>
      <c r="E151" s="90">
        <v>5.0</v>
      </c>
      <c r="F151" s="91">
        <v>1.0</v>
      </c>
      <c r="G151" s="92">
        <f>'Start Here'!$F$22*D151</f>
        <v>60</v>
      </c>
      <c r="H151" s="138"/>
      <c r="I151" s="165"/>
      <c r="J151" s="166">
        <f t="shared" si="171"/>
        <v>5</v>
      </c>
      <c r="K151" s="165">
        <f t="shared" si="172"/>
        <v>300</v>
      </c>
      <c r="L151" s="166"/>
      <c r="M151" s="138"/>
      <c r="N151" s="67"/>
      <c r="O151" s="67"/>
      <c r="P151" s="67"/>
      <c r="Q151" s="67"/>
      <c r="R151" s="67"/>
      <c r="S151" s="93" t="str">
        <f t="shared" si="173"/>
        <v> </v>
      </c>
      <c r="T151" s="93">
        <f t="shared" si="174"/>
        <v>5</v>
      </c>
      <c r="U151" s="93" t="str">
        <f t="shared" si="175"/>
        <v> </v>
      </c>
      <c r="V151" s="93" t="str">
        <f t="shared" si="176"/>
        <v> </v>
      </c>
      <c r="W151" s="93" t="str">
        <f t="shared" si="177"/>
        <v> </v>
      </c>
      <c r="X151" s="67"/>
      <c r="Y151" s="67"/>
      <c r="Z151" s="67"/>
      <c r="AA151" s="67"/>
      <c r="AB151" s="67"/>
      <c r="AC151" s="85"/>
      <c r="AG151" s="86"/>
    </row>
    <row r="152" ht="12.75" customHeight="1">
      <c r="A152" s="1"/>
      <c r="B152" s="87"/>
      <c r="C152" s="94" t="s">
        <v>45</v>
      </c>
      <c r="D152" s="89">
        <v>0.7</v>
      </c>
      <c r="E152" s="90">
        <v>4.0</v>
      </c>
      <c r="F152" s="91">
        <v>1.0</v>
      </c>
      <c r="G152" s="92">
        <f>'Start Here'!$F$22*D152</f>
        <v>70</v>
      </c>
      <c r="H152" s="138"/>
      <c r="I152" s="165"/>
      <c r="J152" s="166">
        <f t="shared" si="171"/>
        <v>4</v>
      </c>
      <c r="K152" s="165">
        <f t="shared" si="172"/>
        <v>280</v>
      </c>
      <c r="L152" s="166"/>
      <c r="M152" s="138"/>
      <c r="N152" s="67"/>
      <c r="O152" s="67"/>
      <c r="P152" s="67"/>
      <c r="Q152" s="67"/>
      <c r="R152" s="67"/>
      <c r="S152" s="93" t="str">
        <f t="shared" si="173"/>
        <v> </v>
      </c>
      <c r="T152" s="93" t="str">
        <f t="shared" si="174"/>
        <v> </v>
      </c>
      <c r="U152" s="93">
        <f t="shared" si="175"/>
        <v>4</v>
      </c>
      <c r="V152" s="93" t="str">
        <f t="shared" si="176"/>
        <v> </v>
      </c>
      <c r="W152" s="93" t="str">
        <f t="shared" si="177"/>
        <v> </v>
      </c>
      <c r="X152" s="67"/>
      <c r="Y152" s="67"/>
      <c r="Z152" s="67"/>
      <c r="AA152" s="67"/>
      <c r="AB152" s="67"/>
      <c r="AC152" s="85"/>
      <c r="AG152" s="86"/>
    </row>
    <row r="153" ht="12.75" customHeight="1">
      <c r="A153" s="1"/>
      <c r="B153" s="87"/>
      <c r="C153" s="94" t="s">
        <v>45</v>
      </c>
      <c r="D153" s="89">
        <v>0.75</v>
      </c>
      <c r="E153" s="90">
        <v>3.0</v>
      </c>
      <c r="F153" s="91">
        <v>1.0</v>
      </c>
      <c r="G153" s="92">
        <f>'Start Here'!$F$22*D153</f>
        <v>75</v>
      </c>
      <c r="H153" s="138"/>
      <c r="I153" s="165"/>
      <c r="J153" s="166">
        <f t="shared" si="171"/>
        <v>3</v>
      </c>
      <c r="K153" s="165">
        <f t="shared" si="172"/>
        <v>225</v>
      </c>
      <c r="L153" s="166"/>
      <c r="M153" s="138"/>
      <c r="N153" s="67"/>
      <c r="O153" s="67"/>
      <c r="P153" s="67"/>
      <c r="Q153" s="67"/>
      <c r="R153" s="67"/>
      <c r="S153" s="93" t="str">
        <f t="shared" si="173"/>
        <v> </v>
      </c>
      <c r="T153" s="93" t="str">
        <f t="shared" si="174"/>
        <v> </v>
      </c>
      <c r="U153" s="93">
        <f t="shared" si="175"/>
        <v>3</v>
      </c>
      <c r="V153" s="93" t="str">
        <f t="shared" si="176"/>
        <v> </v>
      </c>
      <c r="W153" s="93" t="str">
        <f t="shared" si="177"/>
        <v> </v>
      </c>
      <c r="X153" s="67"/>
      <c r="Y153" s="67"/>
      <c r="Z153" s="67"/>
      <c r="AA153" s="67"/>
      <c r="AB153" s="67"/>
      <c r="AC153" s="85"/>
      <c r="AG153" s="86"/>
    </row>
    <row r="154" ht="12.75" customHeight="1">
      <c r="A154" s="1"/>
      <c r="B154" s="87"/>
      <c r="C154" s="94" t="s">
        <v>45</v>
      </c>
      <c r="D154" s="89">
        <v>0.8</v>
      </c>
      <c r="E154" s="90">
        <v>2.0</v>
      </c>
      <c r="F154" s="91">
        <v>2.0</v>
      </c>
      <c r="G154" s="92">
        <f>'Start Here'!$F$22*D154</f>
        <v>80</v>
      </c>
      <c r="H154" s="138"/>
      <c r="I154" s="165"/>
      <c r="J154" s="166">
        <f t="shared" si="171"/>
        <v>4</v>
      </c>
      <c r="K154" s="165">
        <f t="shared" si="172"/>
        <v>320</v>
      </c>
      <c r="L154" s="166"/>
      <c r="M154" s="138"/>
      <c r="N154" s="67"/>
      <c r="O154" s="67"/>
      <c r="P154" s="67"/>
      <c r="Q154" s="67"/>
      <c r="R154" s="67"/>
      <c r="S154" s="93" t="str">
        <f t="shared" si="173"/>
        <v> </v>
      </c>
      <c r="T154" s="93" t="str">
        <f t="shared" si="174"/>
        <v> </v>
      </c>
      <c r="U154" s="93" t="str">
        <f t="shared" si="175"/>
        <v> </v>
      </c>
      <c r="V154" s="93">
        <f t="shared" si="176"/>
        <v>4</v>
      </c>
      <c r="W154" s="93" t="str">
        <f t="shared" si="177"/>
        <v> </v>
      </c>
      <c r="X154" s="67"/>
      <c r="Y154" s="67"/>
      <c r="Z154" s="67"/>
      <c r="AA154" s="67"/>
      <c r="AB154" s="67"/>
      <c r="AC154" s="85"/>
      <c r="AG154" s="86"/>
    </row>
    <row r="155" ht="12.75" customHeight="1">
      <c r="A155" s="1"/>
      <c r="B155" s="115">
        <v>3.0</v>
      </c>
      <c r="C155" s="121" t="s">
        <v>106</v>
      </c>
      <c r="D155" s="117">
        <v>0.6</v>
      </c>
      <c r="E155" s="118">
        <v>4.0</v>
      </c>
      <c r="F155" s="119">
        <v>1.0</v>
      </c>
      <c r="G155" s="120">
        <f>'Start Here'!$F$23*D155</f>
        <v>60</v>
      </c>
      <c r="H155" s="138"/>
      <c r="I155" s="165"/>
      <c r="J155" s="166"/>
      <c r="K155" s="165"/>
      <c r="L155" s="166">
        <f t="shared" ref="L155:L157" si="178">E155*F155</f>
        <v>4</v>
      </c>
      <c r="M155" s="138">
        <f t="shared" ref="M155:M157" si="179">G155*L155</f>
        <v>240</v>
      </c>
      <c r="N155" s="67"/>
      <c r="O155" s="67"/>
      <c r="P155" s="67"/>
      <c r="Q155" s="67"/>
      <c r="R155" s="67"/>
      <c r="S155" s="67"/>
      <c r="T155" s="67"/>
      <c r="U155" s="67"/>
      <c r="V155" s="67"/>
      <c r="W155" s="67"/>
      <c r="X155" s="114" t="str">
        <f t="shared" ref="X155:X157" si="180">IF(ISNUMBER(SEARCH("deadlift",$C155)),IF($D155&gt;=0.5,IF($D155&lt;0.6,$E155*$F155," ")," ")," ")</f>
        <v> </v>
      </c>
      <c r="Y155" s="114">
        <f t="shared" ref="Y155:Y157" si="181">IF(ISNUMBER(SEARCH("deadlift",$C155)),IF($D155&gt;=0.6,IF($D155&lt;0.7,$E155*$F155," ")," ")," ")</f>
        <v>4</v>
      </c>
      <c r="Z155" s="114" t="str">
        <f t="shared" ref="Z155:Z157" si="182">IF(ISNUMBER(SEARCH("deadlift",$C155)),IF($D155&gt;=0.7,IF($D155&lt;0.8,$E155*$F155," ")," ")," ")</f>
        <v> </v>
      </c>
      <c r="AA155" s="114" t="str">
        <f t="shared" ref="AA155:AA157" si="183">IF(ISNUMBER(SEARCH("deadlift",$C155)),IF($D155&gt;=0.8,IF($D155&lt;0.9,$E155*$F155," ")," ")," ")</f>
        <v> </v>
      </c>
      <c r="AB155" s="114" t="str">
        <f t="shared" ref="AB155:AB157" si="184">IF(ISNUMBER(SEARCH("deadlift",$C155)),IF($D155&gt;=0.9,$E155*$F155," ")," ")</f>
        <v> </v>
      </c>
      <c r="AC155" s="85"/>
      <c r="AG155" s="86"/>
    </row>
    <row r="156" ht="12.75" customHeight="1">
      <c r="A156" s="1"/>
      <c r="B156" s="115"/>
      <c r="C156" s="122" t="s">
        <v>106</v>
      </c>
      <c r="D156" s="117">
        <v>0.7</v>
      </c>
      <c r="E156" s="118">
        <v>4.0</v>
      </c>
      <c r="F156" s="119">
        <v>1.0</v>
      </c>
      <c r="G156" s="120">
        <f>'Start Here'!$F$23*D156</f>
        <v>70</v>
      </c>
      <c r="H156" s="138"/>
      <c r="I156" s="165"/>
      <c r="J156" s="166"/>
      <c r="K156" s="165"/>
      <c r="L156" s="166">
        <f t="shared" si="178"/>
        <v>4</v>
      </c>
      <c r="M156" s="138">
        <f t="shared" si="179"/>
        <v>280</v>
      </c>
      <c r="N156" s="67"/>
      <c r="O156" s="67"/>
      <c r="P156" s="67"/>
      <c r="Q156" s="67"/>
      <c r="R156" s="67"/>
      <c r="S156" s="67"/>
      <c r="T156" s="67"/>
      <c r="U156" s="67"/>
      <c r="V156" s="67"/>
      <c r="W156" s="67"/>
      <c r="X156" s="114" t="str">
        <f t="shared" si="180"/>
        <v> </v>
      </c>
      <c r="Y156" s="114" t="str">
        <f t="shared" si="181"/>
        <v> </v>
      </c>
      <c r="Z156" s="114">
        <f t="shared" si="182"/>
        <v>4</v>
      </c>
      <c r="AA156" s="114" t="str">
        <f t="shared" si="183"/>
        <v> </v>
      </c>
      <c r="AB156" s="114" t="str">
        <f t="shared" si="184"/>
        <v> </v>
      </c>
      <c r="AC156" s="85"/>
      <c r="AG156" s="86"/>
    </row>
    <row r="157" ht="12.75" customHeight="1">
      <c r="A157" s="1"/>
      <c r="B157" s="115"/>
      <c r="C157" s="122" t="s">
        <v>106</v>
      </c>
      <c r="D157" s="117">
        <v>0.8</v>
      </c>
      <c r="E157" s="118">
        <v>4.0</v>
      </c>
      <c r="F157" s="119">
        <v>4.0</v>
      </c>
      <c r="G157" s="120">
        <f>'Start Here'!$F$23*D157</f>
        <v>80</v>
      </c>
      <c r="H157" s="138"/>
      <c r="I157" s="165"/>
      <c r="J157" s="166"/>
      <c r="K157" s="165"/>
      <c r="L157" s="166">
        <f t="shared" si="178"/>
        <v>16</v>
      </c>
      <c r="M157" s="138">
        <f t="shared" si="179"/>
        <v>1280</v>
      </c>
      <c r="N157" s="67"/>
      <c r="O157" s="67"/>
      <c r="P157" s="67"/>
      <c r="Q157" s="67"/>
      <c r="R157" s="67"/>
      <c r="S157" s="67"/>
      <c r="T157" s="67"/>
      <c r="U157" s="67"/>
      <c r="V157" s="67"/>
      <c r="W157" s="67"/>
      <c r="X157" s="114" t="str">
        <f t="shared" si="180"/>
        <v> </v>
      </c>
      <c r="Y157" s="114" t="str">
        <f t="shared" si="181"/>
        <v> </v>
      </c>
      <c r="Z157" s="114" t="str">
        <f t="shared" si="182"/>
        <v> </v>
      </c>
      <c r="AA157" s="114">
        <f t="shared" si="183"/>
        <v>16</v>
      </c>
      <c r="AB157" s="114" t="str">
        <f t="shared" si="184"/>
        <v> </v>
      </c>
      <c r="AC157" s="85"/>
      <c r="AG157" s="86"/>
    </row>
    <row r="158" ht="12.75" customHeight="1">
      <c r="A158" s="1"/>
      <c r="B158" s="96">
        <v>4.0</v>
      </c>
      <c r="C158" s="167" t="s">
        <v>83</v>
      </c>
      <c r="D158" s="168"/>
      <c r="E158" s="169">
        <v>6.0</v>
      </c>
      <c r="F158" s="169">
        <v>5.0</v>
      </c>
      <c r="G158" s="170"/>
      <c r="H158" s="138"/>
      <c r="I158" s="165"/>
      <c r="J158" s="166"/>
      <c r="K158" s="165"/>
      <c r="L158" s="166"/>
      <c r="M158" s="138"/>
      <c r="N158" s="67"/>
      <c r="O158" s="67"/>
      <c r="P158" s="67"/>
      <c r="Q158" s="67"/>
      <c r="R158" s="67"/>
      <c r="S158" s="67"/>
      <c r="T158" s="67"/>
      <c r="U158" s="67"/>
      <c r="V158" s="67"/>
      <c r="W158" s="67"/>
      <c r="X158" s="67"/>
      <c r="Y158" s="67"/>
      <c r="Z158" s="67"/>
      <c r="AA158" s="67"/>
      <c r="AB158" s="67"/>
      <c r="AC158" s="85"/>
      <c r="AG158" s="86"/>
    </row>
    <row r="159" ht="12.75" customHeight="1">
      <c r="A159" s="1"/>
      <c r="B159" s="100">
        <v>5.0</v>
      </c>
      <c r="C159" s="171" t="s">
        <v>48</v>
      </c>
      <c r="D159" s="172"/>
      <c r="E159" s="102">
        <v>10.0</v>
      </c>
      <c r="F159" s="173">
        <v>3.0</v>
      </c>
      <c r="G159" s="174"/>
      <c r="H159" s="138"/>
      <c r="I159" s="165"/>
      <c r="J159" s="166"/>
      <c r="K159" s="165"/>
      <c r="L159" s="166"/>
      <c r="M159" s="138"/>
      <c r="N159" s="67"/>
      <c r="O159" s="67"/>
      <c r="P159" s="67"/>
      <c r="Q159" s="67"/>
      <c r="R159" s="67"/>
      <c r="S159" s="67"/>
      <c r="T159" s="67"/>
      <c r="U159" s="67"/>
      <c r="V159" s="67"/>
      <c r="W159" s="67"/>
      <c r="X159" s="67"/>
      <c r="Y159" s="67"/>
      <c r="Z159" s="67"/>
      <c r="AA159" s="67"/>
      <c r="AB159" s="67"/>
      <c r="AC159" s="104"/>
      <c r="AD159" s="105"/>
      <c r="AE159" s="105"/>
      <c r="AF159" s="105"/>
      <c r="AG159" s="106"/>
    </row>
    <row r="160" ht="12.75" customHeight="1">
      <c r="A160" s="1"/>
      <c r="B160" s="67"/>
      <c r="C160" s="136"/>
      <c r="D160" s="137"/>
      <c r="E160" s="138"/>
      <c r="F160" s="138"/>
      <c r="G160" s="138"/>
      <c r="H160" s="166"/>
      <c r="I160" s="165"/>
      <c r="J160" s="166"/>
      <c r="K160" s="165"/>
      <c r="L160" s="166"/>
      <c r="M160" s="138"/>
      <c r="N160" s="67"/>
      <c r="O160" s="67"/>
      <c r="P160" s="67"/>
      <c r="Q160" s="67"/>
      <c r="R160" s="67"/>
      <c r="S160" s="67"/>
      <c r="T160" s="67"/>
      <c r="U160" s="67"/>
      <c r="V160" s="67"/>
      <c r="W160" s="67"/>
      <c r="X160" s="67"/>
      <c r="Y160" s="67"/>
      <c r="Z160" s="67"/>
      <c r="AA160" s="67"/>
      <c r="AB160" s="67"/>
      <c r="AC160" s="67"/>
      <c r="AD160" s="67"/>
      <c r="AE160" s="67"/>
      <c r="AF160" s="67"/>
      <c r="AG160" s="67"/>
    </row>
    <row r="161" ht="39.0" customHeight="1">
      <c r="A161" s="1"/>
      <c r="B161" s="68" t="s">
        <v>54</v>
      </c>
      <c r="D161" s="137" t="s">
        <v>34</v>
      </c>
      <c r="E161" s="138" t="s">
        <v>35</v>
      </c>
      <c r="F161" s="138" t="s">
        <v>36</v>
      </c>
      <c r="G161" s="138" t="s">
        <v>37</v>
      </c>
      <c r="H161" s="166"/>
      <c r="I161" s="165"/>
      <c r="J161" s="166"/>
      <c r="K161" s="165"/>
      <c r="L161" s="166"/>
      <c r="M161" s="138"/>
      <c r="N161" s="67"/>
      <c r="O161" s="67"/>
      <c r="P161" s="67"/>
      <c r="Q161" s="67"/>
      <c r="R161" s="67"/>
      <c r="S161" s="67"/>
      <c r="T161" s="67"/>
      <c r="U161" s="67"/>
      <c r="V161" s="67"/>
      <c r="W161" s="67"/>
      <c r="X161" s="67"/>
      <c r="Y161" s="67"/>
      <c r="Z161" s="67"/>
      <c r="AA161" s="67"/>
      <c r="AB161" s="67"/>
      <c r="AC161" s="67" t="s">
        <v>43</v>
      </c>
      <c r="AD161" s="67"/>
      <c r="AE161" s="67"/>
      <c r="AF161" s="67"/>
      <c r="AG161" s="67"/>
    </row>
    <row r="162" ht="12.75" customHeight="1">
      <c r="A162" s="1"/>
      <c r="B162" s="69">
        <v>1.0</v>
      </c>
      <c r="C162" s="70" t="s">
        <v>46</v>
      </c>
      <c r="D162" s="71">
        <v>0.5</v>
      </c>
      <c r="E162" s="145">
        <v>5.0</v>
      </c>
      <c r="F162" s="72">
        <v>1.0</v>
      </c>
      <c r="G162" s="73">
        <f>'Start Here'!$F$21*D162</f>
        <v>50</v>
      </c>
      <c r="H162" s="138">
        <f t="shared" ref="H162:H165" si="185">E162*F162</f>
        <v>5</v>
      </c>
      <c r="I162" s="165">
        <f t="shared" ref="I162:I165" si="186">G162*H162</f>
        <v>250</v>
      </c>
      <c r="J162" s="166"/>
      <c r="K162" s="165"/>
      <c r="L162" s="166"/>
      <c r="M162" s="138"/>
      <c r="N162" s="75">
        <f t="shared" ref="N162:N165" si="187">IF(ISNUMBER(SEARCH("squat",$C162)),IF($D162&gt;=0.5,IF($D162&lt;0.6,$E162*$F162," ")," ")," ")</f>
        <v>5</v>
      </c>
      <c r="O162" s="75" t="str">
        <f t="shared" ref="O162:O165" si="188">IF(ISNUMBER(SEARCH("squat",$C162)),IF($D162&gt;=0.6,IF($D162&lt;0.7,$E162*$F162," ")," ")," ")</f>
        <v> </v>
      </c>
      <c r="P162" s="75" t="str">
        <f t="shared" ref="P162:P165" si="189">IF(ISNUMBER(SEARCH("squat",$C162)),IF($D162&gt;=0.7,IF($D162&lt;0.8,$E162*$F162," ")," ")," ")</f>
        <v> </v>
      </c>
      <c r="Q162" s="75" t="str">
        <f t="shared" ref="Q162:Q165" si="190">IF(ISNUMBER(SEARCH("squat",$C162)),IF($D162&gt;=0.8,IF($D162&lt;0.9,$E162*$F162," ")," ")," ")</f>
        <v> </v>
      </c>
      <c r="R162" s="75" t="str">
        <f t="shared" ref="R162:R165" si="191">IF(ISNUMBER(SEARCH("squat",$C162)),IF($D162&gt;=0.9,$E162*$F162," ")," ")</f>
        <v> </v>
      </c>
      <c r="S162" s="67"/>
      <c r="T162" s="67"/>
      <c r="U162" s="67"/>
      <c r="V162" s="67"/>
      <c r="W162" s="67"/>
      <c r="X162" s="67"/>
      <c r="Y162" s="67"/>
      <c r="Z162" s="67"/>
      <c r="AA162" s="67"/>
      <c r="AB162" s="67"/>
      <c r="AC162" s="76"/>
      <c r="AD162" s="77"/>
      <c r="AE162" s="77"/>
      <c r="AF162" s="77"/>
      <c r="AG162" s="78"/>
    </row>
    <row r="163" ht="12.75" customHeight="1">
      <c r="A163" s="1"/>
      <c r="B163" s="79"/>
      <c r="C163" s="80" t="s">
        <v>46</v>
      </c>
      <c r="D163" s="81">
        <v>0.6</v>
      </c>
      <c r="E163" s="82">
        <v>4.0</v>
      </c>
      <c r="F163" s="83">
        <v>1.0</v>
      </c>
      <c r="G163" s="84">
        <f>'Start Here'!$F$21*D163</f>
        <v>60</v>
      </c>
      <c r="H163" s="138">
        <f t="shared" si="185"/>
        <v>4</v>
      </c>
      <c r="I163" s="165">
        <f t="shared" si="186"/>
        <v>240</v>
      </c>
      <c r="J163" s="166"/>
      <c r="K163" s="165"/>
      <c r="L163" s="166"/>
      <c r="M163" s="138"/>
      <c r="N163" s="75" t="str">
        <f t="shared" si="187"/>
        <v> </v>
      </c>
      <c r="O163" s="75">
        <f t="shared" si="188"/>
        <v>4</v>
      </c>
      <c r="P163" s="75" t="str">
        <f t="shared" si="189"/>
        <v> </v>
      </c>
      <c r="Q163" s="75" t="str">
        <f t="shared" si="190"/>
        <v> </v>
      </c>
      <c r="R163" s="75" t="str">
        <f t="shared" si="191"/>
        <v> </v>
      </c>
      <c r="S163" s="67"/>
      <c r="T163" s="67"/>
      <c r="U163" s="67"/>
      <c r="V163" s="67"/>
      <c r="W163" s="67"/>
      <c r="X163" s="67"/>
      <c r="Y163" s="67"/>
      <c r="Z163" s="67"/>
      <c r="AA163" s="67"/>
      <c r="AB163" s="67"/>
      <c r="AC163" s="85"/>
      <c r="AG163" s="86"/>
    </row>
    <row r="164" ht="12.75" customHeight="1">
      <c r="A164" s="1"/>
      <c r="B164" s="79"/>
      <c r="C164" s="80" t="s">
        <v>46</v>
      </c>
      <c r="D164" s="81">
        <v>0.7</v>
      </c>
      <c r="E164" s="82">
        <v>3.0</v>
      </c>
      <c r="F164" s="83">
        <v>1.0</v>
      </c>
      <c r="G164" s="84">
        <f>'Start Here'!$F$21*D164</f>
        <v>70</v>
      </c>
      <c r="H164" s="138">
        <f t="shared" si="185"/>
        <v>3</v>
      </c>
      <c r="I164" s="165">
        <f t="shared" si="186"/>
        <v>210</v>
      </c>
      <c r="J164" s="166"/>
      <c r="K164" s="165"/>
      <c r="L164" s="166"/>
      <c r="M164" s="138"/>
      <c r="N164" s="75" t="str">
        <f t="shared" si="187"/>
        <v> </v>
      </c>
      <c r="O164" s="75" t="str">
        <f t="shared" si="188"/>
        <v> </v>
      </c>
      <c r="P164" s="75">
        <f t="shared" si="189"/>
        <v>3</v>
      </c>
      <c r="Q164" s="75" t="str">
        <f t="shared" si="190"/>
        <v> </v>
      </c>
      <c r="R164" s="75" t="str">
        <f t="shared" si="191"/>
        <v> </v>
      </c>
      <c r="S164" s="67"/>
      <c r="T164" s="67"/>
      <c r="U164" s="67"/>
      <c r="V164" s="67"/>
      <c r="W164" s="67"/>
      <c r="X164" s="67"/>
      <c r="Y164" s="67"/>
      <c r="Z164" s="67"/>
      <c r="AA164" s="67"/>
      <c r="AB164" s="67"/>
      <c r="AC164" s="85"/>
      <c r="AG164" s="86"/>
    </row>
    <row r="165" ht="12.75" customHeight="1">
      <c r="A165" s="1"/>
      <c r="B165" s="79"/>
      <c r="C165" s="80" t="s">
        <v>46</v>
      </c>
      <c r="D165" s="81">
        <v>0.8</v>
      </c>
      <c r="E165" s="82">
        <v>2.0</v>
      </c>
      <c r="F165" s="83">
        <v>4.0</v>
      </c>
      <c r="G165" s="84">
        <f>'Start Here'!$F$21*D165</f>
        <v>80</v>
      </c>
      <c r="H165" s="138">
        <f t="shared" si="185"/>
        <v>8</v>
      </c>
      <c r="I165" s="165">
        <f t="shared" si="186"/>
        <v>640</v>
      </c>
      <c r="J165" s="166"/>
      <c r="K165" s="165"/>
      <c r="L165" s="166"/>
      <c r="M165" s="138"/>
      <c r="N165" s="75" t="str">
        <f t="shared" si="187"/>
        <v> </v>
      </c>
      <c r="O165" s="75" t="str">
        <f t="shared" si="188"/>
        <v> </v>
      </c>
      <c r="P165" s="75" t="str">
        <f t="shared" si="189"/>
        <v> </v>
      </c>
      <c r="Q165" s="75">
        <f t="shared" si="190"/>
        <v>8</v>
      </c>
      <c r="R165" s="75" t="str">
        <f t="shared" si="191"/>
        <v> </v>
      </c>
      <c r="S165" s="67"/>
      <c r="T165" s="67"/>
      <c r="U165" s="67"/>
      <c r="V165" s="67"/>
      <c r="W165" s="67"/>
      <c r="X165" s="67"/>
      <c r="Y165" s="67"/>
      <c r="Z165" s="67"/>
      <c r="AA165" s="67"/>
      <c r="AB165" s="67"/>
      <c r="AC165" s="85"/>
      <c r="AG165" s="86"/>
    </row>
    <row r="166" ht="12.75" customHeight="1">
      <c r="A166" s="1"/>
      <c r="B166" s="87">
        <v>2.0</v>
      </c>
      <c r="C166" s="88" t="s">
        <v>99</v>
      </c>
      <c r="D166" s="89">
        <v>0.5</v>
      </c>
      <c r="E166" s="90">
        <v>4.0</v>
      </c>
      <c r="F166" s="91">
        <v>1.0</v>
      </c>
      <c r="G166" s="92">
        <f>'Start Here'!$F$22*D166</f>
        <v>50</v>
      </c>
      <c r="H166" s="138"/>
      <c r="I166" s="165"/>
      <c r="J166" s="166">
        <f t="shared" ref="J166:J168" si="192">E166*F166</f>
        <v>4</v>
      </c>
      <c r="K166" s="165">
        <f t="shared" ref="K166:K168" si="193">G166*J166</f>
        <v>200</v>
      </c>
      <c r="L166" s="166"/>
      <c r="M166" s="138"/>
      <c r="N166" s="67"/>
      <c r="O166" s="67"/>
      <c r="P166" s="67"/>
      <c r="Q166" s="67"/>
      <c r="R166" s="67"/>
      <c r="S166" s="93">
        <f t="shared" ref="S166:S168" si="194">IF(ISNUMBER(SEARCH("bench",$C166)),IF($D166&gt;=0.5,IF($D166&lt;0.6,$E166*$F166," ")," ")," ")</f>
        <v>4</v>
      </c>
      <c r="T166" s="93" t="str">
        <f t="shared" ref="T166:T168" si="195">IF(ISNUMBER(SEARCH("bench",$C166)),IF($D166&gt;=0.6,IF($D166&lt;0.7,$E166*$F166," ")," ")," ")</f>
        <v> </v>
      </c>
      <c r="U166" s="93" t="str">
        <f t="shared" ref="U166:U168" si="196">IF(ISNUMBER(SEARCH("bench",$C166)),IF($D166&gt;=0.7,IF($D166&lt;0.8,$E166*$F166," ")," ")," ")</f>
        <v> </v>
      </c>
      <c r="V166" s="93" t="str">
        <f t="shared" ref="V166:V168" si="197">IF(ISNUMBER(SEARCH("bench",$C166)),IF($D166&gt;=0.8,IF($D166&lt;0.9,$E166*$F166," ")," ")," ")</f>
        <v> </v>
      </c>
      <c r="W166" s="93" t="str">
        <f t="shared" ref="W166:W168" si="198">IF(ISNUMBER(SEARCH("bench",$C166)),IF($D166&gt;=0.9,$E166*$F166," ")," ")</f>
        <v> </v>
      </c>
      <c r="X166" s="67"/>
      <c r="Y166" s="67"/>
      <c r="Z166" s="67"/>
      <c r="AA166" s="67"/>
      <c r="AB166" s="67"/>
      <c r="AC166" s="85"/>
      <c r="AG166" s="86"/>
    </row>
    <row r="167" ht="12.75" customHeight="1">
      <c r="A167" s="1"/>
      <c r="B167" s="87"/>
      <c r="C167" s="94" t="s">
        <v>99</v>
      </c>
      <c r="D167" s="89">
        <v>0.6</v>
      </c>
      <c r="E167" s="90">
        <v>4.0</v>
      </c>
      <c r="F167" s="91">
        <v>1.0</v>
      </c>
      <c r="G167" s="92">
        <f>'Start Here'!$F$22*D167</f>
        <v>60</v>
      </c>
      <c r="H167" s="138"/>
      <c r="I167" s="165"/>
      <c r="J167" s="166">
        <f t="shared" si="192"/>
        <v>4</v>
      </c>
      <c r="K167" s="165">
        <f t="shared" si="193"/>
        <v>240</v>
      </c>
      <c r="L167" s="166"/>
      <c r="M167" s="138"/>
      <c r="N167" s="67"/>
      <c r="O167" s="67"/>
      <c r="P167" s="67"/>
      <c r="Q167" s="67"/>
      <c r="R167" s="67"/>
      <c r="S167" s="93" t="str">
        <f t="shared" si="194"/>
        <v> </v>
      </c>
      <c r="T167" s="93">
        <f t="shared" si="195"/>
        <v>4</v>
      </c>
      <c r="U167" s="93" t="str">
        <f t="shared" si="196"/>
        <v> </v>
      </c>
      <c r="V167" s="93" t="str">
        <f t="shared" si="197"/>
        <v> </v>
      </c>
      <c r="W167" s="93" t="str">
        <f t="shared" si="198"/>
        <v> </v>
      </c>
      <c r="X167" s="67"/>
      <c r="Y167" s="67"/>
      <c r="Z167" s="67"/>
      <c r="AA167" s="67"/>
      <c r="AB167" s="67"/>
      <c r="AC167" s="85"/>
      <c r="AG167" s="86"/>
    </row>
    <row r="168" ht="12.75" customHeight="1">
      <c r="A168" s="1"/>
      <c r="B168" s="87"/>
      <c r="C168" s="94" t="s">
        <v>99</v>
      </c>
      <c r="D168" s="89">
        <v>0.7</v>
      </c>
      <c r="E168" s="90">
        <v>4.0</v>
      </c>
      <c r="F168" s="91">
        <v>5.0</v>
      </c>
      <c r="G168" s="92">
        <f>'Start Here'!$F$22*D168</f>
        <v>70</v>
      </c>
      <c r="H168" s="138"/>
      <c r="I168" s="165"/>
      <c r="J168" s="166">
        <f t="shared" si="192"/>
        <v>20</v>
      </c>
      <c r="K168" s="165">
        <f t="shared" si="193"/>
        <v>1400</v>
      </c>
      <c r="L168" s="166"/>
      <c r="M168" s="138"/>
      <c r="N168" s="67"/>
      <c r="O168" s="67"/>
      <c r="P168" s="67"/>
      <c r="Q168" s="67"/>
      <c r="R168" s="67"/>
      <c r="S168" s="93" t="str">
        <f t="shared" si="194"/>
        <v> </v>
      </c>
      <c r="T168" s="93" t="str">
        <f t="shared" si="195"/>
        <v> </v>
      </c>
      <c r="U168" s="93">
        <f t="shared" si="196"/>
        <v>20</v>
      </c>
      <c r="V168" s="93" t="str">
        <f t="shared" si="197"/>
        <v> </v>
      </c>
      <c r="W168" s="93" t="str">
        <f t="shared" si="198"/>
        <v> </v>
      </c>
      <c r="X168" s="67"/>
      <c r="Y168" s="67"/>
      <c r="Z168" s="67"/>
      <c r="AA168" s="67"/>
      <c r="AB168" s="67"/>
      <c r="AC168" s="85"/>
      <c r="AG168" s="86"/>
    </row>
    <row r="169" ht="12.75" customHeight="1">
      <c r="A169" s="1"/>
      <c r="B169" s="79">
        <v>3.0</v>
      </c>
      <c r="C169" s="95" t="s">
        <v>46</v>
      </c>
      <c r="D169" s="81">
        <v>0.5</v>
      </c>
      <c r="E169" s="82">
        <v>4.0</v>
      </c>
      <c r="F169" s="83">
        <v>1.0</v>
      </c>
      <c r="G169" s="84">
        <f>'Start Here'!$F$21*D169</f>
        <v>50</v>
      </c>
      <c r="H169" s="138">
        <f t="shared" ref="H169:H171" si="199">E169*F169</f>
        <v>4</v>
      </c>
      <c r="I169" s="165">
        <f t="shared" ref="I169:I171" si="200">G169*H169</f>
        <v>200</v>
      </c>
      <c r="J169" s="166"/>
      <c r="K169" s="165"/>
      <c r="L169" s="166"/>
      <c r="M169" s="138"/>
      <c r="N169" s="75">
        <f t="shared" ref="N169:N171" si="201">IF(ISNUMBER(SEARCH("squat",$C169)),IF($D169&gt;=0.5,IF($D169&lt;0.6,$E169*$F169," ")," ")," ")</f>
        <v>4</v>
      </c>
      <c r="O169" s="75" t="str">
        <f t="shared" ref="O169:O171" si="202">IF(ISNUMBER(SEARCH("squat",$C169)),IF($D169&gt;=0.6,IF($D169&lt;0.7,$E169*$F169," ")," ")," ")</f>
        <v> </v>
      </c>
      <c r="P169" s="75" t="str">
        <f t="shared" ref="P169:P171" si="203">IF(ISNUMBER(SEARCH("squat",$C169)),IF($D169&gt;=0.7,IF($D169&lt;0.8,$E169*$F169," ")," ")," ")</f>
        <v> </v>
      </c>
      <c r="Q169" s="75" t="str">
        <f t="shared" ref="Q169:Q171" si="204">IF(ISNUMBER(SEARCH("squat",$C169)),IF($D169&gt;=0.8,IF($D169&lt;0.9,$E169*$F169," ")," ")," ")</f>
        <v> </v>
      </c>
      <c r="R169" s="75" t="str">
        <f t="shared" ref="R169:R171" si="205">IF(ISNUMBER(SEARCH("squat",$C169)),IF($D169&gt;=0.9,$E169*$F169," ")," ")</f>
        <v> </v>
      </c>
      <c r="S169" s="67"/>
      <c r="T169" s="67"/>
      <c r="U169" s="67"/>
      <c r="V169" s="67"/>
      <c r="W169" s="67"/>
      <c r="X169" s="67"/>
      <c r="Y169" s="67"/>
      <c r="Z169" s="67"/>
      <c r="AA169" s="67"/>
      <c r="AB169" s="67"/>
      <c r="AC169" s="85"/>
      <c r="AG169" s="86"/>
    </row>
    <row r="170" ht="12.75" customHeight="1">
      <c r="A170" s="1"/>
      <c r="B170" s="79"/>
      <c r="C170" s="80" t="s">
        <v>46</v>
      </c>
      <c r="D170" s="81">
        <v>0.6</v>
      </c>
      <c r="E170" s="82">
        <v>4.0</v>
      </c>
      <c r="F170" s="83">
        <v>1.0</v>
      </c>
      <c r="G170" s="84">
        <f>'Start Here'!$F$21*D170</f>
        <v>60</v>
      </c>
      <c r="H170" s="138">
        <f t="shared" si="199"/>
        <v>4</v>
      </c>
      <c r="I170" s="165">
        <f t="shared" si="200"/>
        <v>240</v>
      </c>
      <c r="J170" s="166"/>
      <c r="K170" s="165"/>
      <c r="L170" s="166"/>
      <c r="M170" s="138"/>
      <c r="N170" s="75" t="str">
        <f t="shared" si="201"/>
        <v> </v>
      </c>
      <c r="O170" s="75">
        <f t="shared" si="202"/>
        <v>4</v>
      </c>
      <c r="P170" s="75" t="str">
        <f t="shared" si="203"/>
        <v> </v>
      </c>
      <c r="Q170" s="75" t="str">
        <f t="shared" si="204"/>
        <v> </v>
      </c>
      <c r="R170" s="75" t="str">
        <f t="shared" si="205"/>
        <v> </v>
      </c>
      <c r="S170" s="67"/>
      <c r="T170" s="67"/>
      <c r="U170" s="67"/>
      <c r="V170" s="67"/>
      <c r="W170" s="67"/>
      <c r="X170" s="67"/>
      <c r="Y170" s="67"/>
      <c r="Z170" s="67"/>
      <c r="AA170" s="67"/>
      <c r="AB170" s="67"/>
      <c r="AC170" s="85"/>
      <c r="AG170" s="86"/>
    </row>
    <row r="171" ht="12.75" customHeight="1">
      <c r="A171" s="1"/>
      <c r="B171" s="79"/>
      <c r="C171" s="80" t="s">
        <v>46</v>
      </c>
      <c r="D171" s="81">
        <v>0.7</v>
      </c>
      <c r="E171" s="82">
        <v>4.0</v>
      </c>
      <c r="F171" s="83">
        <v>4.0</v>
      </c>
      <c r="G171" s="84">
        <f>'Start Here'!$F$21*D171</f>
        <v>70</v>
      </c>
      <c r="H171" s="138">
        <f t="shared" si="199"/>
        <v>16</v>
      </c>
      <c r="I171" s="165">
        <f t="shared" si="200"/>
        <v>1120</v>
      </c>
      <c r="J171" s="166"/>
      <c r="K171" s="165"/>
      <c r="L171" s="166"/>
      <c r="M171" s="138"/>
      <c r="N171" s="75" t="str">
        <f t="shared" si="201"/>
        <v> </v>
      </c>
      <c r="O171" s="75" t="str">
        <f t="shared" si="202"/>
        <v> </v>
      </c>
      <c r="P171" s="75">
        <f t="shared" si="203"/>
        <v>16</v>
      </c>
      <c r="Q171" s="75" t="str">
        <f t="shared" si="204"/>
        <v> </v>
      </c>
      <c r="R171" s="75" t="str">
        <f t="shared" si="205"/>
        <v> </v>
      </c>
      <c r="S171" s="67"/>
      <c r="T171" s="67"/>
      <c r="U171" s="67"/>
      <c r="V171" s="67"/>
      <c r="W171" s="67"/>
      <c r="X171" s="67"/>
      <c r="Y171" s="67"/>
      <c r="Z171" s="67"/>
      <c r="AA171" s="67"/>
      <c r="AB171" s="67"/>
      <c r="AC171" s="85"/>
      <c r="AG171" s="86"/>
    </row>
    <row r="172" ht="12.75" customHeight="1">
      <c r="A172" s="1"/>
      <c r="B172" s="96">
        <v>4.0</v>
      </c>
      <c r="C172" s="167" t="s">
        <v>95</v>
      </c>
      <c r="D172" s="168"/>
      <c r="E172" s="98">
        <v>6.0</v>
      </c>
      <c r="F172" s="169">
        <v>5.0</v>
      </c>
      <c r="G172" s="170"/>
      <c r="H172" s="138"/>
      <c r="I172" s="165"/>
      <c r="J172" s="166"/>
      <c r="K172" s="165"/>
      <c r="L172" s="166"/>
      <c r="M172" s="138"/>
      <c r="N172" s="67"/>
      <c r="O172" s="67"/>
      <c r="P172" s="67"/>
      <c r="Q172" s="67"/>
      <c r="R172" s="67"/>
      <c r="S172" s="67"/>
      <c r="T172" s="67"/>
      <c r="U172" s="67"/>
      <c r="V172" s="67"/>
      <c r="W172" s="67"/>
      <c r="X172" s="67"/>
      <c r="Y172" s="67"/>
      <c r="Z172" s="67"/>
      <c r="AA172" s="67"/>
      <c r="AB172" s="67"/>
      <c r="AC172" s="85"/>
      <c r="AG172" s="86"/>
    </row>
    <row r="173" ht="12.75" customHeight="1">
      <c r="A173" s="1"/>
      <c r="B173" s="100">
        <v>5.0</v>
      </c>
      <c r="C173" s="171" t="s">
        <v>57</v>
      </c>
      <c r="D173" s="172"/>
      <c r="E173" s="102">
        <v>8.0</v>
      </c>
      <c r="F173" s="173">
        <v>4.0</v>
      </c>
      <c r="G173" s="174"/>
      <c r="H173" s="138"/>
      <c r="I173" s="165"/>
      <c r="J173" s="166"/>
      <c r="K173" s="165"/>
      <c r="L173" s="166"/>
      <c r="M173" s="138"/>
      <c r="N173" s="67"/>
      <c r="O173" s="67"/>
      <c r="P173" s="67"/>
      <c r="Q173" s="67"/>
      <c r="R173" s="67"/>
      <c r="S173" s="67"/>
      <c r="T173" s="67"/>
      <c r="U173" s="67"/>
      <c r="V173" s="67"/>
      <c r="W173" s="67"/>
      <c r="X173" s="67"/>
      <c r="Y173" s="67"/>
      <c r="Z173" s="67"/>
      <c r="AA173" s="67"/>
      <c r="AB173" s="67"/>
      <c r="AC173" s="104"/>
      <c r="AD173" s="105"/>
      <c r="AE173" s="105"/>
      <c r="AF173" s="105"/>
      <c r="AG173" s="106"/>
    </row>
    <row r="174" ht="12.75" customHeight="1">
      <c r="A174" s="1"/>
      <c r="B174" s="67"/>
      <c r="C174" s="136"/>
      <c r="D174" s="137"/>
      <c r="E174" s="138"/>
      <c r="F174" s="138"/>
      <c r="G174" s="138"/>
      <c r="H174" s="166"/>
      <c r="I174" s="165"/>
      <c r="J174" s="166"/>
      <c r="K174" s="165"/>
      <c r="L174" s="166"/>
      <c r="M174" s="138"/>
      <c r="N174" s="67"/>
      <c r="O174" s="67"/>
      <c r="P174" s="67"/>
      <c r="Q174" s="67"/>
      <c r="R174" s="67"/>
      <c r="S174" s="67"/>
      <c r="T174" s="67"/>
      <c r="U174" s="67"/>
      <c r="V174" s="67"/>
      <c r="W174" s="67"/>
      <c r="X174" s="67"/>
      <c r="Y174" s="67"/>
      <c r="Z174" s="67"/>
      <c r="AA174" s="67"/>
      <c r="AB174" s="67"/>
      <c r="AC174" s="67"/>
      <c r="AD174" s="67"/>
      <c r="AE174" s="67"/>
      <c r="AF174" s="67"/>
      <c r="AG174" s="67"/>
    </row>
    <row r="175" ht="39.75" customHeight="1">
      <c r="A175" s="1"/>
      <c r="B175" s="68" t="s">
        <v>58</v>
      </c>
      <c r="D175" s="137" t="s">
        <v>34</v>
      </c>
      <c r="E175" s="138" t="s">
        <v>35</v>
      </c>
      <c r="F175" s="138" t="s">
        <v>36</v>
      </c>
      <c r="G175" s="138" t="s">
        <v>37</v>
      </c>
      <c r="H175" s="166"/>
      <c r="I175" s="165"/>
      <c r="J175" s="166"/>
      <c r="K175" s="165"/>
      <c r="L175" s="166"/>
      <c r="M175" s="138"/>
      <c r="N175" s="67"/>
      <c r="O175" s="67"/>
      <c r="P175" s="67"/>
      <c r="Q175" s="67"/>
      <c r="R175" s="67"/>
      <c r="S175" s="67"/>
      <c r="T175" s="67"/>
      <c r="U175" s="67"/>
      <c r="V175" s="67"/>
      <c r="W175" s="67"/>
      <c r="X175" s="67"/>
      <c r="Y175" s="67"/>
      <c r="Z175" s="67"/>
      <c r="AA175" s="67"/>
      <c r="AB175" s="67"/>
      <c r="AC175" s="67" t="s">
        <v>43</v>
      </c>
      <c r="AD175" s="67"/>
      <c r="AE175" s="67"/>
      <c r="AF175" s="67"/>
      <c r="AG175" s="67"/>
    </row>
    <row r="176" ht="12.75" customHeight="1">
      <c r="A176" s="1"/>
      <c r="B176" s="107">
        <v>1.0</v>
      </c>
      <c r="C176" s="108" t="s">
        <v>107</v>
      </c>
      <c r="D176" s="109">
        <v>0.5</v>
      </c>
      <c r="E176" s="110">
        <v>3.0</v>
      </c>
      <c r="F176" s="111">
        <v>1.0</v>
      </c>
      <c r="G176" s="112">
        <f>'Start Here'!$F$23*D176</f>
        <v>50</v>
      </c>
      <c r="H176" s="138"/>
      <c r="I176" s="165"/>
      <c r="J176" s="166"/>
      <c r="K176" s="165"/>
      <c r="L176" s="166">
        <f t="shared" ref="L176:L179" si="206">E176*F176</f>
        <v>3</v>
      </c>
      <c r="M176" s="138">
        <f t="shared" ref="M176:M179" si="207">G176*L176</f>
        <v>150</v>
      </c>
      <c r="N176" s="67"/>
      <c r="O176" s="67"/>
      <c r="P176" s="67"/>
      <c r="Q176" s="67"/>
      <c r="R176" s="67"/>
      <c r="S176" s="67"/>
      <c r="T176" s="67"/>
      <c r="U176" s="67"/>
      <c r="V176" s="67"/>
      <c r="W176" s="67"/>
      <c r="X176" s="114">
        <f t="shared" ref="X176:X179" si="208">IF(ISNUMBER(SEARCH("deadlift",$C176)),IF($D176&gt;=0.5,IF($D176&lt;0.6,$E176*$F176," ")," ")," ")</f>
        <v>3</v>
      </c>
      <c r="Y176" s="114" t="str">
        <f t="shared" ref="Y176:Y179" si="209">IF(ISNUMBER(SEARCH("deadlift",$C176)),IF($D176&gt;=0.6,IF($D176&lt;0.7,$E176*$F176," ")," ")," ")</f>
        <v> </v>
      </c>
      <c r="Z176" s="114" t="str">
        <f t="shared" ref="Z176:Z179" si="210">IF(ISNUMBER(SEARCH("deadlift",$C176)),IF($D176&gt;=0.7,IF($D176&lt;0.8,$E176*$F176," ")," ")," ")</f>
        <v> </v>
      </c>
      <c r="AA176" s="114" t="str">
        <f t="shared" ref="AA176:AA179" si="211">IF(ISNUMBER(SEARCH("deadlift",$C176)),IF($D176&gt;=0.8,IF($D176&lt;0.9,$E176*$F176," ")," ")," ")</f>
        <v> </v>
      </c>
      <c r="AB176" s="114" t="str">
        <f t="shared" ref="AB176:AB179" si="212">IF(ISNUMBER(SEARCH("deadlift",$C176)),IF($D176&gt;=0.9,$E176*$F176," ")," ")</f>
        <v> </v>
      </c>
      <c r="AC176" s="76"/>
      <c r="AD176" s="77"/>
      <c r="AE176" s="77"/>
      <c r="AF176" s="77"/>
      <c r="AG176" s="78"/>
    </row>
    <row r="177" ht="12.75" customHeight="1">
      <c r="A177" s="1"/>
      <c r="B177" s="115"/>
      <c r="C177" s="122" t="s">
        <v>108</v>
      </c>
      <c r="D177" s="117">
        <v>0.6</v>
      </c>
      <c r="E177" s="118">
        <v>3.0</v>
      </c>
      <c r="F177" s="119">
        <v>1.0</v>
      </c>
      <c r="G177" s="120">
        <f>'Start Here'!$F$23*D177</f>
        <v>60</v>
      </c>
      <c r="H177" s="138"/>
      <c r="I177" s="165"/>
      <c r="J177" s="166"/>
      <c r="K177" s="165"/>
      <c r="L177" s="166">
        <f t="shared" si="206"/>
        <v>3</v>
      </c>
      <c r="M177" s="138">
        <f t="shared" si="207"/>
        <v>180</v>
      </c>
      <c r="N177" s="67"/>
      <c r="O177" s="67"/>
      <c r="P177" s="67"/>
      <c r="Q177" s="67"/>
      <c r="R177" s="67"/>
      <c r="S177" s="67"/>
      <c r="T177" s="67"/>
      <c r="U177" s="67"/>
      <c r="V177" s="67"/>
      <c r="W177" s="67"/>
      <c r="X177" s="114" t="str">
        <f t="shared" si="208"/>
        <v> </v>
      </c>
      <c r="Y177" s="114" t="str">
        <f t="shared" si="209"/>
        <v> </v>
      </c>
      <c r="Z177" s="114" t="str">
        <f t="shared" si="210"/>
        <v> </v>
      </c>
      <c r="AA177" s="114" t="str">
        <f t="shared" si="211"/>
        <v> </v>
      </c>
      <c r="AB177" s="114" t="str">
        <f t="shared" si="212"/>
        <v> </v>
      </c>
      <c r="AC177" s="85"/>
      <c r="AG177" s="86"/>
    </row>
    <row r="178" ht="12.75" customHeight="1">
      <c r="A178" s="1"/>
      <c r="B178" s="115"/>
      <c r="C178" s="122" t="s">
        <v>109</v>
      </c>
      <c r="D178" s="117">
        <v>0.7</v>
      </c>
      <c r="E178" s="118">
        <v>3.0</v>
      </c>
      <c r="F178" s="119">
        <v>1.0</v>
      </c>
      <c r="G178" s="120">
        <f>'Start Here'!$F$23*D178</f>
        <v>70</v>
      </c>
      <c r="H178" s="138"/>
      <c r="I178" s="165"/>
      <c r="J178" s="166"/>
      <c r="K178" s="165"/>
      <c r="L178" s="166">
        <f t="shared" si="206"/>
        <v>3</v>
      </c>
      <c r="M178" s="138">
        <f t="shared" si="207"/>
        <v>210</v>
      </c>
      <c r="N178" s="67"/>
      <c r="O178" s="67"/>
      <c r="P178" s="67"/>
      <c r="Q178" s="67"/>
      <c r="R178" s="67"/>
      <c r="S178" s="67"/>
      <c r="T178" s="67"/>
      <c r="U178" s="67"/>
      <c r="V178" s="67"/>
      <c r="W178" s="67"/>
      <c r="X178" s="114" t="str">
        <f t="shared" si="208"/>
        <v> </v>
      </c>
      <c r="Y178" s="114" t="str">
        <f t="shared" si="209"/>
        <v> </v>
      </c>
      <c r="Z178" s="114">
        <f t="shared" si="210"/>
        <v>3</v>
      </c>
      <c r="AA178" s="114" t="str">
        <f t="shared" si="211"/>
        <v> </v>
      </c>
      <c r="AB178" s="114" t="str">
        <f t="shared" si="212"/>
        <v> </v>
      </c>
      <c r="AC178" s="85"/>
      <c r="AG178" s="86"/>
    </row>
    <row r="179" ht="12.75" customHeight="1">
      <c r="A179" s="1"/>
      <c r="B179" s="115"/>
      <c r="C179" s="122" t="s">
        <v>110</v>
      </c>
      <c r="D179" s="117">
        <v>0.75</v>
      </c>
      <c r="E179" s="118">
        <v>3.0</v>
      </c>
      <c r="F179" s="119">
        <v>4.0</v>
      </c>
      <c r="G179" s="120">
        <f>'Start Here'!$F$23*D179</f>
        <v>75</v>
      </c>
      <c r="H179" s="138"/>
      <c r="I179" s="165"/>
      <c r="J179" s="166"/>
      <c r="K179" s="165"/>
      <c r="L179" s="166">
        <f t="shared" si="206"/>
        <v>12</v>
      </c>
      <c r="M179" s="138">
        <f t="shared" si="207"/>
        <v>900</v>
      </c>
      <c r="N179" s="67"/>
      <c r="O179" s="67"/>
      <c r="P179" s="67"/>
      <c r="Q179" s="67"/>
      <c r="R179" s="67"/>
      <c r="S179" s="67"/>
      <c r="T179" s="67"/>
      <c r="U179" s="67"/>
      <c r="V179" s="67"/>
      <c r="W179" s="67"/>
      <c r="X179" s="114" t="str">
        <f t="shared" si="208"/>
        <v> </v>
      </c>
      <c r="Y179" s="114" t="str">
        <f t="shared" si="209"/>
        <v> </v>
      </c>
      <c r="Z179" s="114">
        <f t="shared" si="210"/>
        <v>12</v>
      </c>
      <c r="AA179" s="114" t="str">
        <f t="shared" si="211"/>
        <v> </v>
      </c>
      <c r="AB179" s="114" t="str">
        <f t="shared" si="212"/>
        <v> </v>
      </c>
      <c r="AC179" s="85"/>
      <c r="AG179" s="86"/>
    </row>
    <row r="180" ht="12.75" customHeight="1">
      <c r="A180" s="1"/>
      <c r="B180" s="87">
        <v>2.0</v>
      </c>
      <c r="C180" s="88" t="s">
        <v>111</v>
      </c>
      <c r="D180" s="89">
        <v>0.5</v>
      </c>
      <c r="E180" s="90">
        <v>3.0</v>
      </c>
      <c r="F180" s="91">
        <v>1.0</v>
      </c>
      <c r="G180" s="92">
        <f>'Start Here'!$F$22*D180</f>
        <v>50</v>
      </c>
      <c r="H180" s="138"/>
      <c r="I180" s="165"/>
      <c r="J180" s="166">
        <f t="shared" ref="J180:J182" si="213">E180*F180</f>
        <v>3</v>
      </c>
      <c r="K180" s="165">
        <f t="shared" ref="K180:K182" si="214">G180*J180</f>
        <v>150</v>
      </c>
      <c r="L180" s="166"/>
      <c r="M180" s="138"/>
      <c r="N180" s="67"/>
      <c r="O180" s="67"/>
      <c r="P180" s="67"/>
      <c r="Q180" s="67"/>
      <c r="R180" s="67"/>
      <c r="S180" s="93">
        <f t="shared" ref="S180:S182" si="215">IF(ISNUMBER(SEARCH("bench",$C180)),IF($D180&gt;=0.5,IF($D180&lt;0.6,$E180*$F180," ")," ")," ")</f>
        <v>3</v>
      </c>
      <c r="T180" s="93" t="str">
        <f t="shared" ref="T180:T182" si="216">IF(ISNUMBER(SEARCH("bench",$C180)),IF($D180&gt;=0.6,IF($D180&lt;0.7,$E180*$F180," ")," ")," ")</f>
        <v> </v>
      </c>
      <c r="U180" s="93" t="str">
        <f t="shared" ref="U180:U182" si="217">IF(ISNUMBER(SEARCH("bench",$C180)),IF($D180&gt;=0.7,IF($D180&lt;0.8,$E180*$F180," ")," ")," ")</f>
        <v> </v>
      </c>
      <c r="V180" s="93" t="str">
        <f t="shared" ref="V180:V182" si="218">IF(ISNUMBER(SEARCH("bench",$C180)),IF($D180&gt;=0.8,IF($D180&lt;0.9,$E180*$F180," ")," ")," ")</f>
        <v> </v>
      </c>
      <c r="W180" s="93" t="str">
        <f t="shared" ref="W180:W182" si="219">IF(ISNUMBER(SEARCH("bench",$C180)),IF($D180&gt;=0.9,$E180*$F180," ")," ")</f>
        <v> </v>
      </c>
      <c r="X180" s="67"/>
      <c r="Y180" s="67"/>
      <c r="Z180" s="67"/>
      <c r="AA180" s="67"/>
      <c r="AB180" s="67"/>
      <c r="AC180" s="85"/>
      <c r="AG180" s="86"/>
    </row>
    <row r="181" ht="12.75" customHeight="1">
      <c r="A181" s="1"/>
      <c r="B181" s="87"/>
      <c r="C181" s="94" t="s">
        <v>111</v>
      </c>
      <c r="D181" s="89">
        <v>0.6</v>
      </c>
      <c r="E181" s="90">
        <v>3.0</v>
      </c>
      <c r="F181" s="91">
        <v>1.0</v>
      </c>
      <c r="G181" s="92">
        <f>'Start Here'!$F$22*D181</f>
        <v>60</v>
      </c>
      <c r="H181" s="138"/>
      <c r="I181" s="165"/>
      <c r="J181" s="166">
        <f t="shared" si="213"/>
        <v>3</v>
      </c>
      <c r="K181" s="165">
        <f t="shared" si="214"/>
        <v>180</v>
      </c>
      <c r="L181" s="166"/>
      <c r="M181" s="138"/>
      <c r="N181" s="67"/>
      <c r="O181" s="67"/>
      <c r="P181" s="67"/>
      <c r="Q181" s="67"/>
      <c r="R181" s="67"/>
      <c r="S181" s="93" t="str">
        <f t="shared" si="215"/>
        <v> </v>
      </c>
      <c r="T181" s="93">
        <f t="shared" si="216"/>
        <v>3</v>
      </c>
      <c r="U181" s="93" t="str">
        <f t="shared" si="217"/>
        <v> </v>
      </c>
      <c r="V181" s="93" t="str">
        <f t="shared" si="218"/>
        <v> </v>
      </c>
      <c r="W181" s="93" t="str">
        <f t="shared" si="219"/>
        <v> </v>
      </c>
      <c r="X181" s="67"/>
      <c r="Y181" s="67"/>
      <c r="Z181" s="67"/>
      <c r="AA181" s="67"/>
      <c r="AB181" s="67"/>
      <c r="AC181" s="85"/>
      <c r="AG181" s="86"/>
    </row>
    <row r="182" ht="12.75" customHeight="1">
      <c r="A182" s="1"/>
      <c r="B182" s="87"/>
      <c r="C182" s="94" t="s">
        <v>111</v>
      </c>
      <c r="D182" s="89">
        <v>0.7</v>
      </c>
      <c r="E182" s="90">
        <v>3.0</v>
      </c>
      <c r="F182" s="91">
        <v>4.0</v>
      </c>
      <c r="G182" s="92">
        <f>'Start Here'!$F$22*D182</f>
        <v>70</v>
      </c>
      <c r="H182" s="138"/>
      <c r="I182" s="165"/>
      <c r="J182" s="166">
        <f t="shared" si="213"/>
        <v>12</v>
      </c>
      <c r="K182" s="165">
        <f t="shared" si="214"/>
        <v>840</v>
      </c>
      <c r="L182" s="166"/>
      <c r="M182" s="138"/>
      <c r="N182" s="67"/>
      <c r="O182" s="67"/>
      <c r="P182" s="67"/>
      <c r="Q182" s="67"/>
      <c r="R182" s="67"/>
      <c r="S182" s="93" t="str">
        <f t="shared" si="215"/>
        <v> </v>
      </c>
      <c r="T182" s="93" t="str">
        <f t="shared" si="216"/>
        <v> </v>
      </c>
      <c r="U182" s="93">
        <f t="shared" si="217"/>
        <v>12</v>
      </c>
      <c r="V182" s="93" t="str">
        <f t="shared" si="218"/>
        <v> </v>
      </c>
      <c r="W182" s="93" t="str">
        <f t="shared" si="219"/>
        <v> </v>
      </c>
      <c r="X182" s="67"/>
      <c r="Y182" s="67"/>
      <c r="Z182" s="67"/>
      <c r="AA182" s="67"/>
      <c r="AB182" s="67"/>
      <c r="AC182" s="85"/>
      <c r="AG182" s="86"/>
    </row>
    <row r="183" ht="12.75" customHeight="1">
      <c r="A183" s="1"/>
      <c r="B183" s="96">
        <v>3.0</v>
      </c>
      <c r="C183" s="167" t="s">
        <v>69</v>
      </c>
      <c r="D183" s="168"/>
      <c r="E183" s="98">
        <v>6.0</v>
      </c>
      <c r="F183" s="169">
        <v>5.0</v>
      </c>
      <c r="G183" s="170"/>
      <c r="H183" s="138"/>
      <c r="I183" s="165"/>
      <c r="J183" s="166"/>
      <c r="K183" s="165"/>
      <c r="L183" s="166"/>
      <c r="M183" s="138"/>
      <c r="N183" s="67"/>
      <c r="O183" s="67"/>
      <c r="P183" s="67"/>
      <c r="Q183" s="67"/>
      <c r="R183" s="67"/>
      <c r="S183" s="67"/>
      <c r="T183" s="67"/>
      <c r="U183" s="67"/>
      <c r="V183" s="67"/>
      <c r="W183" s="67"/>
      <c r="X183" s="67"/>
      <c r="Y183" s="67"/>
      <c r="Z183" s="67"/>
      <c r="AA183" s="67"/>
      <c r="AB183" s="67"/>
      <c r="AC183" s="85"/>
      <c r="AG183" s="86"/>
    </row>
    <row r="184" ht="12.75" customHeight="1">
      <c r="A184" s="1"/>
      <c r="B184" s="135">
        <v>4.0</v>
      </c>
      <c r="C184" s="136" t="s">
        <v>83</v>
      </c>
      <c r="D184" s="137"/>
      <c r="E184" s="68">
        <v>6.0</v>
      </c>
      <c r="F184" s="138">
        <v>5.0</v>
      </c>
      <c r="G184" s="139"/>
      <c r="H184" s="138"/>
      <c r="I184" s="165"/>
      <c r="J184" s="166"/>
      <c r="K184" s="165"/>
      <c r="L184" s="166"/>
      <c r="M184" s="138"/>
      <c r="N184" s="67"/>
      <c r="O184" s="67"/>
      <c r="P184" s="67"/>
      <c r="Q184" s="67"/>
      <c r="R184" s="67"/>
      <c r="S184" s="67"/>
      <c r="T184" s="67"/>
      <c r="U184" s="67"/>
      <c r="V184" s="67"/>
      <c r="W184" s="67"/>
      <c r="X184" s="67"/>
      <c r="Y184" s="67"/>
      <c r="Z184" s="67"/>
      <c r="AA184" s="67"/>
      <c r="AB184" s="67"/>
      <c r="AC184" s="85"/>
      <c r="AG184" s="86"/>
    </row>
    <row r="185" ht="12.75" customHeight="1">
      <c r="A185" s="1"/>
      <c r="B185" s="100">
        <v>5.0</v>
      </c>
      <c r="C185" s="171" t="s">
        <v>112</v>
      </c>
      <c r="D185" s="172"/>
      <c r="E185" s="102">
        <v>8.0</v>
      </c>
      <c r="F185" s="173">
        <v>4.0</v>
      </c>
      <c r="G185" s="174"/>
      <c r="H185" s="138"/>
      <c r="I185" s="165"/>
      <c r="J185" s="166"/>
      <c r="K185" s="165"/>
      <c r="L185" s="166"/>
      <c r="M185" s="138"/>
      <c r="N185" s="67"/>
      <c r="O185" s="67"/>
      <c r="P185" s="67"/>
      <c r="Q185" s="67"/>
      <c r="R185" s="67"/>
      <c r="S185" s="67"/>
      <c r="T185" s="67"/>
      <c r="U185" s="67"/>
      <c r="V185" s="67"/>
      <c r="W185" s="67"/>
      <c r="X185" s="67"/>
      <c r="Y185" s="67"/>
      <c r="Z185" s="67"/>
      <c r="AA185" s="67"/>
      <c r="AB185" s="67"/>
      <c r="AC185" s="104"/>
      <c r="AD185" s="105"/>
      <c r="AE185" s="105"/>
      <c r="AF185" s="105"/>
      <c r="AG185" s="106"/>
    </row>
    <row r="186" ht="12.75" customHeight="1">
      <c r="A186" s="181"/>
      <c r="B186" s="142"/>
      <c r="C186" s="182"/>
      <c r="D186" s="183"/>
      <c r="E186" s="184"/>
      <c r="F186" s="184"/>
      <c r="G186" s="184"/>
      <c r="H186" s="185">
        <f t="shared" ref="H186:AB186" si="220">SUM(H127:H185)</f>
        <v>84</v>
      </c>
      <c r="I186" s="186">
        <f t="shared" si="220"/>
        <v>5550</v>
      </c>
      <c r="J186" s="185">
        <f t="shared" si="220"/>
        <v>105</v>
      </c>
      <c r="K186" s="186">
        <f t="shared" si="220"/>
        <v>7055</v>
      </c>
      <c r="L186" s="185">
        <f t="shared" si="220"/>
        <v>59</v>
      </c>
      <c r="M186" s="184">
        <f t="shared" si="220"/>
        <v>4130</v>
      </c>
      <c r="N186" s="67">
        <f t="shared" si="220"/>
        <v>14</v>
      </c>
      <c r="O186" s="67">
        <f t="shared" si="220"/>
        <v>13</v>
      </c>
      <c r="P186" s="67">
        <f t="shared" si="220"/>
        <v>49</v>
      </c>
      <c r="Q186" s="67">
        <f t="shared" si="220"/>
        <v>8</v>
      </c>
      <c r="R186" s="67">
        <f t="shared" si="220"/>
        <v>0</v>
      </c>
      <c r="S186" s="187">
        <f t="shared" si="220"/>
        <v>21</v>
      </c>
      <c r="T186" s="187">
        <f t="shared" si="220"/>
        <v>19</v>
      </c>
      <c r="U186" s="187">
        <f t="shared" si="220"/>
        <v>45</v>
      </c>
      <c r="V186" s="187">
        <f t="shared" si="220"/>
        <v>20</v>
      </c>
      <c r="W186" s="187">
        <f t="shared" si="220"/>
        <v>0</v>
      </c>
      <c r="X186" s="144">
        <f t="shared" si="220"/>
        <v>6</v>
      </c>
      <c r="Y186" s="144">
        <f t="shared" si="220"/>
        <v>7</v>
      </c>
      <c r="Z186" s="144">
        <f t="shared" si="220"/>
        <v>27</v>
      </c>
      <c r="AA186" s="144">
        <f t="shared" si="220"/>
        <v>16</v>
      </c>
      <c r="AB186" s="144">
        <f t="shared" si="220"/>
        <v>0</v>
      </c>
      <c r="AC186" s="142"/>
      <c r="AD186" s="142"/>
      <c r="AE186" s="142"/>
      <c r="AF186" s="142"/>
      <c r="AG186" s="142"/>
    </row>
    <row r="187" ht="42.75" customHeight="1">
      <c r="A187" s="1"/>
      <c r="B187" s="66" t="s">
        <v>84</v>
      </c>
      <c r="H187" s="138"/>
      <c r="I187" s="165"/>
      <c r="J187" s="166"/>
      <c r="K187" s="165"/>
      <c r="L187" s="166"/>
      <c r="M187" s="138"/>
      <c r="N187" s="67"/>
      <c r="O187" s="67"/>
      <c r="P187" s="67"/>
      <c r="Q187" s="67"/>
      <c r="R187" s="67"/>
      <c r="S187" s="67"/>
      <c r="T187" s="67"/>
      <c r="U187" s="67"/>
      <c r="V187" s="67"/>
      <c r="W187" s="67"/>
      <c r="X187" s="67"/>
      <c r="Y187" s="67"/>
      <c r="Z187" s="67"/>
      <c r="AA187" s="67"/>
      <c r="AB187" s="67"/>
      <c r="AC187" s="67"/>
      <c r="AD187" s="67"/>
      <c r="AE187" s="67"/>
      <c r="AF187" s="67"/>
      <c r="AG187" s="67"/>
    </row>
    <row r="188" ht="33.0" customHeight="1">
      <c r="A188" s="1"/>
      <c r="B188" s="68" t="s">
        <v>33</v>
      </c>
      <c r="D188" s="137" t="s">
        <v>34</v>
      </c>
      <c r="E188" s="138" t="s">
        <v>35</v>
      </c>
      <c r="F188" s="138" t="s">
        <v>36</v>
      </c>
      <c r="G188" s="138" t="s">
        <v>37</v>
      </c>
      <c r="H188" s="166"/>
      <c r="I188" s="165"/>
      <c r="J188" s="166"/>
      <c r="K188" s="165"/>
      <c r="L188" s="166"/>
      <c r="M188" s="138"/>
      <c r="N188" s="67"/>
      <c r="O188" s="67"/>
      <c r="P188" s="67"/>
      <c r="Q188" s="67"/>
      <c r="R188" s="67"/>
      <c r="S188" s="67"/>
      <c r="T188" s="67"/>
      <c r="U188" s="67"/>
      <c r="V188" s="67"/>
      <c r="W188" s="67"/>
      <c r="X188" s="67"/>
      <c r="Y188" s="67"/>
      <c r="Z188" s="67"/>
      <c r="AA188" s="67"/>
      <c r="AB188" s="67"/>
      <c r="AC188" s="67" t="s">
        <v>43</v>
      </c>
      <c r="AD188" s="67"/>
      <c r="AE188" s="67"/>
      <c r="AF188" s="67"/>
      <c r="AG188" s="67"/>
    </row>
    <row r="189" ht="12.75" customHeight="1">
      <c r="A189" s="1"/>
      <c r="B189" s="69">
        <v>1.0</v>
      </c>
      <c r="C189" s="70" t="s">
        <v>46</v>
      </c>
      <c r="D189" s="71">
        <v>0.5</v>
      </c>
      <c r="E189" s="145">
        <v>5.0</v>
      </c>
      <c r="F189" s="72">
        <v>1.0</v>
      </c>
      <c r="G189" s="73">
        <f>'Start Here'!$F$21*D189</f>
        <v>50</v>
      </c>
      <c r="H189" s="138">
        <f t="shared" ref="H189:H192" si="221">E189*F189</f>
        <v>5</v>
      </c>
      <c r="I189" s="165">
        <f t="shared" ref="I189:I192" si="222">G189*H189</f>
        <v>250</v>
      </c>
      <c r="J189" s="166"/>
      <c r="K189" s="165"/>
      <c r="L189" s="166"/>
      <c r="M189" s="138"/>
      <c r="N189" s="75">
        <f t="shared" ref="N189:N192" si="223">IF(ISNUMBER(SEARCH("squat",$C189)),IF($D189&gt;=0.5,IF($D189&lt;0.6,$E189*$F189," ")," ")," ")</f>
        <v>5</v>
      </c>
      <c r="O189" s="75" t="str">
        <f t="shared" ref="O189:O192" si="224">IF(ISNUMBER(SEARCH("squat",$C189)),IF($D189&gt;=0.6,IF($D189&lt;0.7,$E189*$F189," ")," ")," ")</f>
        <v> </v>
      </c>
      <c r="P189" s="75" t="str">
        <f t="shared" ref="P189:P192" si="225">IF(ISNUMBER(SEARCH("squat",$C189)),IF($D189&gt;=0.7,IF($D189&lt;0.8,$E189*$F189," ")," ")," ")</f>
        <v> </v>
      </c>
      <c r="Q189" s="75" t="str">
        <f t="shared" ref="Q189:Q192" si="226">IF(ISNUMBER(SEARCH("squat",$C189)),IF($D189&gt;=0.8,IF($D189&lt;0.9,$E189*$F189," ")," ")," ")</f>
        <v> </v>
      </c>
      <c r="R189" s="75" t="str">
        <f t="shared" ref="R189:R192" si="227">IF(ISNUMBER(SEARCH("squat",$C189)),IF($D189&gt;=0.9,$E189*$F189," ")," ")</f>
        <v> </v>
      </c>
      <c r="S189" s="67"/>
      <c r="T189" s="67"/>
      <c r="U189" s="67"/>
      <c r="V189" s="67"/>
      <c r="W189" s="67"/>
      <c r="X189" s="67"/>
      <c r="Y189" s="67"/>
      <c r="Z189" s="67"/>
      <c r="AA189" s="67"/>
      <c r="AB189" s="67"/>
      <c r="AC189" s="76"/>
      <c r="AD189" s="77"/>
      <c r="AE189" s="77"/>
      <c r="AF189" s="77"/>
      <c r="AG189" s="78"/>
    </row>
    <row r="190" ht="12.75" customHeight="1">
      <c r="A190" s="1"/>
      <c r="B190" s="79"/>
      <c r="C190" s="80" t="s">
        <v>46</v>
      </c>
      <c r="D190" s="81">
        <v>0.6</v>
      </c>
      <c r="E190" s="82">
        <v>4.0</v>
      </c>
      <c r="F190" s="83">
        <v>1.0</v>
      </c>
      <c r="G190" s="84">
        <f>'Start Here'!$F$21*D190</f>
        <v>60</v>
      </c>
      <c r="H190" s="138">
        <f t="shared" si="221"/>
        <v>4</v>
      </c>
      <c r="I190" s="165">
        <f t="shared" si="222"/>
        <v>240</v>
      </c>
      <c r="J190" s="166"/>
      <c r="K190" s="165"/>
      <c r="L190" s="166"/>
      <c r="M190" s="138"/>
      <c r="N190" s="75" t="str">
        <f t="shared" si="223"/>
        <v> </v>
      </c>
      <c r="O190" s="75">
        <f t="shared" si="224"/>
        <v>4</v>
      </c>
      <c r="P190" s="75" t="str">
        <f t="shared" si="225"/>
        <v> </v>
      </c>
      <c r="Q190" s="75" t="str">
        <f t="shared" si="226"/>
        <v> </v>
      </c>
      <c r="R190" s="75" t="str">
        <f t="shared" si="227"/>
        <v> </v>
      </c>
      <c r="S190" s="67"/>
      <c r="T190" s="67"/>
      <c r="U190" s="67"/>
      <c r="V190" s="67"/>
      <c r="W190" s="67"/>
      <c r="X190" s="67"/>
      <c r="Y190" s="67"/>
      <c r="Z190" s="67"/>
      <c r="AA190" s="67"/>
      <c r="AB190" s="67"/>
      <c r="AC190" s="85"/>
      <c r="AG190" s="86"/>
    </row>
    <row r="191" ht="12.75" customHeight="1">
      <c r="A191" s="1"/>
      <c r="B191" s="79"/>
      <c r="C191" s="80" t="s">
        <v>46</v>
      </c>
      <c r="D191" s="81">
        <v>0.7</v>
      </c>
      <c r="E191" s="82">
        <v>3.0</v>
      </c>
      <c r="F191" s="83">
        <v>1.0</v>
      </c>
      <c r="G191" s="84">
        <f>'Start Here'!$F$21*D191</f>
        <v>70</v>
      </c>
      <c r="H191" s="138">
        <f t="shared" si="221"/>
        <v>3</v>
      </c>
      <c r="I191" s="165">
        <f t="shared" si="222"/>
        <v>210</v>
      </c>
      <c r="J191" s="166"/>
      <c r="K191" s="165"/>
      <c r="L191" s="166"/>
      <c r="M191" s="138"/>
      <c r="N191" s="75" t="str">
        <f t="shared" si="223"/>
        <v> </v>
      </c>
      <c r="O191" s="75" t="str">
        <f t="shared" si="224"/>
        <v> </v>
      </c>
      <c r="P191" s="75">
        <f t="shared" si="225"/>
        <v>3</v>
      </c>
      <c r="Q191" s="75" t="str">
        <f t="shared" si="226"/>
        <v> </v>
      </c>
      <c r="R191" s="75" t="str">
        <f t="shared" si="227"/>
        <v> </v>
      </c>
      <c r="S191" s="67"/>
      <c r="T191" s="67"/>
      <c r="U191" s="67"/>
      <c r="V191" s="67"/>
      <c r="W191" s="67"/>
      <c r="X191" s="67"/>
      <c r="Y191" s="67"/>
      <c r="Z191" s="67"/>
      <c r="AA191" s="67"/>
      <c r="AB191" s="67"/>
      <c r="AC191" s="85"/>
      <c r="AG191" s="86"/>
    </row>
    <row r="192" ht="12.75" customHeight="1">
      <c r="A192" s="1"/>
      <c r="B192" s="79"/>
      <c r="C192" s="80" t="s">
        <v>46</v>
      </c>
      <c r="D192" s="81">
        <v>0.8</v>
      </c>
      <c r="E192" s="82">
        <v>2.0</v>
      </c>
      <c r="F192" s="83">
        <v>5.0</v>
      </c>
      <c r="G192" s="84">
        <f>'Start Here'!$F$21*D192</f>
        <v>80</v>
      </c>
      <c r="H192" s="138">
        <f t="shared" si="221"/>
        <v>10</v>
      </c>
      <c r="I192" s="165">
        <f t="shared" si="222"/>
        <v>800</v>
      </c>
      <c r="J192" s="166"/>
      <c r="K192" s="165"/>
      <c r="L192" s="166"/>
      <c r="M192" s="138"/>
      <c r="N192" s="75" t="str">
        <f t="shared" si="223"/>
        <v> </v>
      </c>
      <c r="O192" s="75" t="str">
        <f t="shared" si="224"/>
        <v> </v>
      </c>
      <c r="P192" s="75" t="str">
        <f t="shared" si="225"/>
        <v> </v>
      </c>
      <c r="Q192" s="75">
        <f t="shared" si="226"/>
        <v>10</v>
      </c>
      <c r="R192" s="75" t="str">
        <f t="shared" si="227"/>
        <v> </v>
      </c>
      <c r="S192" s="67"/>
      <c r="T192" s="67"/>
      <c r="U192" s="67"/>
      <c r="V192" s="67"/>
      <c r="W192" s="67"/>
      <c r="X192" s="67"/>
      <c r="Y192" s="67"/>
      <c r="Z192" s="67"/>
      <c r="AA192" s="67"/>
      <c r="AB192" s="67"/>
      <c r="AC192" s="85"/>
      <c r="AG192" s="86"/>
    </row>
    <row r="193" ht="12.75" customHeight="1">
      <c r="A193" s="1"/>
      <c r="B193" s="87">
        <v>2.0</v>
      </c>
      <c r="C193" s="88" t="s">
        <v>45</v>
      </c>
      <c r="D193" s="89">
        <v>0.5</v>
      </c>
      <c r="E193" s="90">
        <v>5.0</v>
      </c>
      <c r="F193" s="91">
        <v>1.0</v>
      </c>
      <c r="G193" s="92">
        <f>'Start Here'!$F$22*D193</f>
        <v>50</v>
      </c>
      <c r="H193" s="138"/>
      <c r="I193" s="165"/>
      <c r="J193" s="166">
        <f t="shared" ref="J193:J196" si="228">E193*F193</f>
        <v>5</v>
      </c>
      <c r="K193" s="165">
        <f t="shared" ref="K193:K196" si="229">G193*J193</f>
        <v>250</v>
      </c>
      <c r="L193" s="166"/>
      <c r="M193" s="138"/>
      <c r="N193" s="67"/>
      <c r="O193" s="67"/>
      <c r="P193" s="67"/>
      <c r="Q193" s="67"/>
      <c r="R193" s="67"/>
      <c r="S193" s="93">
        <f t="shared" ref="S193:S196" si="230">IF(ISNUMBER(SEARCH("bench",$C193)),IF($D193&gt;=0.5,IF($D193&lt;0.6,$E193*$F193," ")," ")," ")</f>
        <v>5</v>
      </c>
      <c r="T193" s="93" t="str">
        <f t="shared" ref="T193:T196" si="231">IF(ISNUMBER(SEARCH("bench",$C193)),IF($D193&gt;=0.6,IF($D193&lt;0.7,$E193*$F193," ")," ")," ")</f>
        <v> </v>
      </c>
      <c r="U193" s="93" t="str">
        <f t="shared" ref="U193:U196" si="232">IF(ISNUMBER(SEARCH("bench",$C193)),IF($D193&gt;=0.7,IF($D193&lt;0.8,$E193*$F193," ")," ")," ")</f>
        <v> </v>
      </c>
      <c r="V193" s="93" t="str">
        <f t="shared" ref="V193:V196" si="233">IF(ISNUMBER(SEARCH("bench",$C193)),IF($D193&gt;=0.8,IF($D193&lt;0.9,$E193*$F193," ")," ")," ")</f>
        <v> </v>
      </c>
      <c r="W193" s="93" t="str">
        <f t="shared" ref="W193:W196" si="234">IF(ISNUMBER(SEARCH("bench",$C193)),IF($D193&gt;=0.9,$E193*$F193," ")," ")</f>
        <v> </v>
      </c>
      <c r="X193" s="67"/>
      <c r="Y193" s="67"/>
      <c r="Z193" s="67"/>
      <c r="AA193" s="67"/>
      <c r="AB193" s="67"/>
      <c r="AC193" s="85"/>
      <c r="AG193" s="86"/>
    </row>
    <row r="194" ht="12.75" customHeight="1">
      <c r="A194" s="1"/>
      <c r="B194" s="87"/>
      <c r="C194" s="94" t="s">
        <v>45</v>
      </c>
      <c r="D194" s="89">
        <v>0.6</v>
      </c>
      <c r="E194" s="90">
        <v>4.0</v>
      </c>
      <c r="F194" s="91">
        <v>1.0</v>
      </c>
      <c r="G194" s="92">
        <f>'Start Here'!$F$22*D194</f>
        <v>60</v>
      </c>
      <c r="H194" s="138"/>
      <c r="I194" s="165"/>
      <c r="J194" s="166">
        <f t="shared" si="228"/>
        <v>4</v>
      </c>
      <c r="K194" s="165">
        <f t="shared" si="229"/>
        <v>240</v>
      </c>
      <c r="L194" s="166"/>
      <c r="M194" s="138"/>
      <c r="N194" s="67"/>
      <c r="O194" s="67"/>
      <c r="P194" s="67"/>
      <c r="Q194" s="67"/>
      <c r="R194" s="67"/>
      <c r="S194" s="93" t="str">
        <f t="shared" si="230"/>
        <v> </v>
      </c>
      <c r="T194" s="93">
        <f t="shared" si="231"/>
        <v>4</v>
      </c>
      <c r="U194" s="93" t="str">
        <f t="shared" si="232"/>
        <v> </v>
      </c>
      <c r="V194" s="93" t="str">
        <f t="shared" si="233"/>
        <v> </v>
      </c>
      <c r="W194" s="93" t="str">
        <f t="shared" si="234"/>
        <v> </v>
      </c>
      <c r="X194" s="67"/>
      <c r="Y194" s="67"/>
      <c r="Z194" s="67"/>
      <c r="AA194" s="67"/>
      <c r="AB194" s="67"/>
      <c r="AC194" s="85"/>
      <c r="AG194" s="86"/>
    </row>
    <row r="195" ht="12.75" customHeight="1">
      <c r="A195" s="1"/>
      <c r="B195" s="87"/>
      <c r="C195" s="94" t="s">
        <v>45</v>
      </c>
      <c r="D195" s="89">
        <v>0.7</v>
      </c>
      <c r="E195" s="90">
        <v>3.0</v>
      </c>
      <c r="F195" s="91">
        <v>1.0</v>
      </c>
      <c r="G195" s="92">
        <f>'Start Here'!$F$22*D195</f>
        <v>70</v>
      </c>
      <c r="H195" s="138"/>
      <c r="I195" s="165"/>
      <c r="J195" s="166">
        <f t="shared" si="228"/>
        <v>3</v>
      </c>
      <c r="K195" s="165">
        <f t="shared" si="229"/>
        <v>210</v>
      </c>
      <c r="L195" s="166"/>
      <c r="M195" s="138"/>
      <c r="N195" s="67"/>
      <c r="O195" s="67"/>
      <c r="P195" s="67"/>
      <c r="Q195" s="67"/>
      <c r="R195" s="67"/>
      <c r="S195" s="93" t="str">
        <f t="shared" si="230"/>
        <v> </v>
      </c>
      <c r="T195" s="93" t="str">
        <f t="shared" si="231"/>
        <v> </v>
      </c>
      <c r="U195" s="93">
        <f t="shared" si="232"/>
        <v>3</v>
      </c>
      <c r="V195" s="93" t="str">
        <f t="shared" si="233"/>
        <v> </v>
      </c>
      <c r="W195" s="93" t="str">
        <f t="shared" si="234"/>
        <v> </v>
      </c>
      <c r="X195" s="67"/>
      <c r="Y195" s="67"/>
      <c r="Z195" s="67"/>
      <c r="AA195" s="67"/>
      <c r="AB195" s="67"/>
      <c r="AC195" s="85"/>
      <c r="AG195" s="86"/>
    </row>
    <row r="196" ht="12.75" customHeight="1">
      <c r="A196" s="1"/>
      <c r="B196" s="87"/>
      <c r="C196" s="94" t="s">
        <v>45</v>
      </c>
      <c r="D196" s="89">
        <v>0.8</v>
      </c>
      <c r="E196" s="90">
        <v>3.0</v>
      </c>
      <c r="F196" s="91">
        <v>5.0</v>
      </c>
      <c r="G196" s="92">
        <f>'Start Here'!$F$22*D196</f>
        <v>80</v>
      </c>
      <c r="H196" s="138"/>
      <c r="I196" s="165"/>
      <c r="J196" s="166">
        <f t="shared" si="228"/>
        <v>15</v>
      </c>
      <c r="K196" s="165">
        <f t="shared" si="229"/>
        <v>1200</v>
      </c>
      <c r="L196" s="166"/>
      <c r="M196" s="138"/>
      <c r="N196" s="67"/>
      <c r="O196" s="67"/>
      <c r="P196" s="67"/>
      <c r="Q196" s="67"/>
      <c r="R196" s="67"/>
      <c r="S196" s="93" t="str">
        <f t="shared" si="230"/>
        <v> </v>
      </c>
      <c r="T196" s="93" t="str">
        <f t="shared" si="231"/>
        <v> </v>
      </c>
      <c r="U196" s="93" t="str">
        <f t="shared" si="232"/>
        <v> </v>
      </c>
      <c r="V196" s="93">
        <f t="shared" si="233"/>
        <v>15</v>
      </c>
      <c r="W196" s="93" t="str">
        <f t="shared" si="234"/>
        <v> </v>
      </c>
      <c r="X196" s="67"/>
      <c r="Y196" s="67"/>
      <c r="Z196" s="67"/>
      <c r="AA196" s="67"/>
      <c r="AB196" s="67"/>
      <c r="AC196" s="85"/>
      <c r="AG196" s="86"/>
    </row>
    <row r="197" ht="12.75" customHeight="1">
      <c r="A197" s="1"/>
      <c r="B197" s="189">
        <v>3.0</v>
      </c>
      <c r="C197" s="190" t="s">
        <v>92</v>
      </c>
      <c r="D197" s="191"/>
      <c r="E197" s="192">
        <v>6.0</v>
      </c>
      <c r="F197" s="193">
        <v>5.0</v>
      </c>
      <c r="G197" s="194"/>
      <c r="H197" s="138"/>
      <c r="I197" s="165"/>
      <c r="J197" s="166"/>
      <c r="K197" s="165"/>
      <c r="L197" s="166"/>
      <c r="M197" s="138"/>
      <c r="N197" s="67"/>
      <c r="O197" s="67"/>
      <c r="P197" s="67"/>
      <c r="Q197" s="67"/>
      <c r="R197" s="67"/>
      <c r="S197" s="67"/>
      <c r="T197" s="67"/>
      <c r="U197" s="67"/>
      <c r="V197" s="67"/>
      <c r="W197" s="67"/>
      <c r="X197" s="67"/>
      <c r="Y197" s="67"/>
      <c r="Z197" s="67"/>
      <c r="AA197" s="67"/>
      <c r="AB197" s="67"/>
      <c r="AC197" s="85"/>
      <c r="AG197" s="86"/>
    </row>
    <row r="198" ht="12.75" customHeight="1">
      <c r="A198" s="1"/>
      <c r="B198" s="135">
        <v>4.0</v>
      </c>
      <c r="C198" s="136" t="s">
        <v>96</v>
      </c>
      <c r="D198" s="137"/>
      <c r="E198" s="68">
        <v>5.0</v>
      </c>
      <c r="F198" s="138">
        <v>5.0</v>
      </c>
      <c r="G198" s="139"/>
      <c r="H198" s="138"/>
      <c r="I198" s="165"/>
      <c r="J198" s="166"/>
      <c r="K198" s="165"/>
      <c r="L198" s="166"/>
      <c r="M198" s="138"/>
      <c r="N198" s="67"/>
      <c r="O198" s="67"/>
      <c r="P198" s="67"/>
      <c r="Q198" s="67"/>
      <c r="R198" s="67"/>
      <c r="S198" s="67"/>
      <c r="T198" s="67"/>
      <c r="U198" s="67"/>
      <c r="V198" s="67"/>
      <c r="W198" s="67"/>
      <c r="X198" s="67"/>
      <c r="Y198" s="67"/>
      <c r="Z198" s="67"/>
      <c r="AA198" s="67"/>
      <c r="AB198" s="67"/>
      <c r="AC198" s="85"/>
      <c r="AG198" s="86"/>
    </row>
    <row r="199" ht="12.75" customHeight="1">
      <c r="A199" s="1"/>
      <c r="B199" s="175">
        <v>5.0</v>
      </c>
      <c r="C199" s="176" t="s">
        <v>104</v>
      </c>
      <c r="D199" s="177"/>
      <c r="E199" s="178">
        <v>5.0</v>
      </c>
      <c r="F199" s="179">
        <v>5.0</v>
      </c>
      <c r="G199" s="180"/>
      <c r="H199" s="138"/>
      <c r="I199" s="165"/>
      <c r="J199" s="166"/>
      <c r="K199" s="165"/>
      <c r="L199" s="166"/>
      <c r="M199" s="138"/>
      <c r="N199" s="67"/>
      <c r="O199" s="67"/>
      <c r="P199" s="67"/>
      <c r="Q199" s="67"/>
      <c r="R199" s="67"/>
      <c r="S199" s="67"/>
      <c r="T199" s="67"/>
      <c r="U199" s="67"/>
      <c r="V199" s="67"/>
      <c r="W199" s="67"/>
      <c r="X199" s="67"/>
      <c r="Y199" s="67"/>
      <c r="Z199" s="67"/>
      <c r="AA199" s="67"/>
      <c r="AB199" s="67"/>
      <c r="AC199" s="104"/>
      <c r="AD199" s="105"/>
      <c r="AE199" s="105"/>
      <c r="AF199" s="105"/>
      <c r="AG199" s="106"/>
    </row>
    <row r="200" ht="12.75" customHeight="1">
      <c r="A200" s="1"/>
      <c r="B200" s="67"/>
      <c r="C200" s="136"/>
      <c r="D200" s="137"/>
      <c r="E200" s="138"/>
      <c r="F200" s="138"/>
      <c r="G200" s="138"/>
      <c r="H200" s="166"/>
      <c r="I200" s="165"/>
      <c r="J200" s="166"/>
      <c r="K200" s="165"/>
      <c r="L200" s="166"/>
      <c r="M200" s="138"/>
      <c r="N200" s="67"/>
      <c r="O200" s="67"/>
      <c r="P200" s="67"/>
      <c r="Q200" s="67"/>
      <c r="R200" s="67"/>
      <c r="S200" s="67"/>
      <c r="T200" s="67"/>
      <c r="U200" s="67"/>
      <c r="V200" s="67"/>
      <c r="W200" s="67"/>
      <c r="X200" s="67"/>
      <c r="Y200" s="67"/>
      <c r="Z200" s="67"/>
      <c r="AA200" s="67"/>
      <c r="AB200" s="67"/>
      <c r="AC200" s="67"/>
      <c r="AD200" s="67"/>
      <c r="AE200" s="67"/>
      <c r="AF200" s="67"/>
      <c r="AG200" s="67"/>
    </row>
    <row r="201" ht="39.0" customHeight="1">
      <c r="A201" s="1"/>
      <c r="B201" s="68" t="s">
        <v>49</v>
      </c>
      <c r="D201" s="137" t="s">
        <v>34</v>
      </c>
      <c r="E201" s="138" t="s">
        <v>35</v>
      </c>
      <c r="F201" s="138" t="s">
        <v>36</v>
      </c>
      <c r="G201" s="138" t="s">
        <v>37</v>
      </c>
      <c r="H201" s="166"/>
      <c r="I201" s="165"/>
      <c r="J201" s="166"/>
      <c r="K201" s="165"/>
      <c r="L201" s="166"/>
      <c r="M201" s="138"/>
      <c r="N201" s="67"/>
      <c r="O201" s="67"/>
      <c r="P201" s="67"/>
      <c r="Q201" s="67"/>
      <c r="R201" s="67"/>
      <c r="S201" s="67"/>
      <c r="T201" s="67"/>
      <c r="U201" s="67"/>
      <c r="V201" s="67"/>
      <c r="W201" s="67"/>
      <c r="X201" s="67"/>
      <c r="Y201" s="67"/>
      <c r="Z201" s="67"/>
      <c r="AA201" s="67"/>
      <c r="AB201" s="67"/>
      <c r="AC201" s="67" t="s">
        <v>43</v>
      </c>
      <c r="AD201" s="67"/>
      <c r="AE201" s="67"/>
      <c r="AF201" s="67"/>
      <c r="AG201" s="67"/>
    </row>
    <row r="202" ht="15.75" customHeight="1">
      <c r="A202" s="1"/>
      <c r="B202" s="107">
        <v>1.0</v>
      </c>
      <c r="C202" s="108" t="s">
        <v>51</v>
      </c>
      <c r="D202" s="109">
        <v>0.5</v>
      </c>
      <c r="E202" s="110">
        <v>3.0</v>
      </c>
      <c r="F202" s="111">
        <v>1.0</v>
      </c>
      <c r="G202" s="112">
        <f>'Start Here'!$F$23*D202</f>
        <v>50</v>
      </c>
      <c r="H202" s="138"/>
      <c r="I202" s="165"/>
      <c r="J202" s="166"/>
      <c r="K202" s="165"/>
      <c r="L202" s="166">
        <f t="shared" ref="L202:L205" si="235">E202*F202</f>
        <v>3</v>
      </c>
      <c r="M202" s="138">
        <f t="shared" ref="M202:M205" si="236">G202*L202</f>
        <v>150</v>
      </c>
      <c r="N202" s="67"/>
      <c r="O202" s="67"/>
      <c r="P202" s="67"/>
      <c r="Q202" s="67"/>
      <c r="R202" s="67"/>
      <c r="S202" s="67"/>
      <c r="T202" s="67"/>
      <c r="U202" s="67"/>
      <c r="V202" s="67"/>
      <c r="W202" s="67"/>
      <c r="X202" s="114">
        <f t="shared" ref="X202:X205" si="237">IF(ISNUMBER(SEARCH("deadlift",$C202)),IF($D202&gt;=0.5,IF($D202&lt;0.6,$E202*$F202," ")," ")," ")</f>
        <v>3</v>
      </c>
      <c r="Y202" s="114" t="str">
        <f t="shared" ref="Y202:Y205" si="238">IF(ISNUMBER(SEARCH("deadlift",$C202)),IF($D202&gt;=0.6,IF($D202&lt;0.7,$E202*$F202," ")," ")," ")</f>
        <v> </v>
      </c>
      <c r="Z202" s="114" t="str">
        <f t="shared" ref="Z202:Z205" si="239">IF(ISNUMBER(SEARCH("deadlift",$C202)),IF($D202&gt;=0.7,IF($D202&lt;0.8,$E202*$F202," ")," ")," ")</f>
        <v> </v>
      </c>
      <c r="AA202" s="114" t="str">
        <f t="shared" ref="AA202:AA205" si="240">IF(ISNUMBER(SEARCH("deadlift",$C202)),IF($D202&gt;=0.8,IF($D202&lt;0.9,$E202*$F202," ")," ")," ")</f>
        <v> </v>
      </c>
      <c r="AB202" s="114" t="str">
        <f t="shared" ref="AB202:AB205" si="241">IF(ISNUMBER(SEARCH("deadlift",$C202)),IF($D202&gt;=0.9,$E202*$F202," ")," ")</f>
        <v> </v>
      </c>
      <c r="AC202" s="76"/>
      <c r="AD202" s="77"/>
      <c r="AE202" s="77"/>
      <c r="AF202" s="77"/>
      <c r="AG202" s="78"/>
    </row>
    <row r="203" ht="12.75" customHeight="1">
      <c r="A203" s="1"/>
      <c r="B203" s="115"/>
      <c r="C203" s="122" t="s">
        <v>51</v>
      </c>
      <c r="D203" s="117">
        <v>0.6</v>
      </c>
      <c r="E203" s="118">
        <v>3.0</v>
      </c>
      <c r="F203" s="119">
        <v>1.0</v>
      </c>
      <c r="G203" s="120">
        <f>'Start Here'!$F$23*D203</f>
        <v>60</v>
      </c>
      <c r="H203" s="138"/>
      <c r="I203" s="165"/>
      <c r="J203" s="166"/>
      <c r="K203" s="165"/>
      <c r="L203" s="166">
        <f t="shared" si="235"/>
        <v>3</v>
      </c>
      <c r="M203" s="138">
        <f t="shared" si="236"/>
        <v>180</v>
      </c>
      <c r="N203" s="67"/>
      <c r="O203" s="67"/>
      <c r="P203" s="67"/>
      <c r="Q203" s="67"/>
      <c r="R203" s="67"/>
      <c r="S203" s="67"/>
      <c r="T203" s="67"/>
      <c r="U203" s="67"/>
      <c r="V203" s="67"/>
      <c r="W203" s="67"/>
      <c r="X203" s="114" t="str">
        <f t="shared" si="237"/>
        <v> </v>
      </c>
      <c r="Y203" s="114">
        <f t="shared" si="238"/>
        <v>3</v>
      </c>
      <c r="Z203" s="114" t="str">
        <f t="shared" si="239"/>
        <v> </v>
      </c>
      <c r="AA203" s="114" t="str">
        <f t="shared" si="240"/>
        <v> </v>
      </c>
      <c r="AB203" s="114" t="str">
        <f t="shared" si="241"/>
        <v> </v>
      </c>
      <c r="AC203" s="85"/>
      <c r="AG203" s="86"/>
    </row>
    <row r="204" ht="12.75" customHeight="1">
      <c r="A204" s="1"/>
      <c r="B204" s="115"/>
      <c r="C204" s="122" t="s">
        <v>51</v>
      </c>
      <c r="D204" s="117">
        <v>0.7</v>
      </c>
      <c r="E204" s="118">
        <v>3.0</v>
      </c>
      <c r="F204" s="119">
        <v>1.0</v>
      </c>
      <c r="G204" s="120">
        <f>'Start Here'!$F$23*D204</f>
        <v>70</v>
      </c>
      <c r="H204" s="138"/>
      <c r="I204" s="165"/>
      <c r="J204" s="166"/>
      <c r="K204" s="165"/>
      <c r="L204" s="166">
        <f t="shared" si="235"/>
        <v>3</v>
      </c>
      <c r="M204" s="138">
        <f t="shared" si="236"/>
        <v>210</v>
      </c>
      <c r="N204" s="67"/>
      <c r="O204" s="67"/>
      <c r="P204" s="67"/>
      <c r="Q204" s="67"/>
      <c r="R204" s="67"/>
      <c r="S204" s="67"/>
      <c r="T204" s="67"/>
      <c r="U204" s="67"/>
      <c r="V204" s="67"/>
      <c r="W204" s="67"/>
      <c r="X204" s="114" t="str">
        <f t="shared" si="237"/>
        <v> </v>
      </c>
      <c r="Y204" s="114" t="str">
        <f t="shared" si="238"/>
        <v> </v>
      </c>
      <c r="Z204" s="114">
        <f t="shared" si="239"/>
        <v>3</v>
      </c>
      <c r="AA204" s="114" t="str">
        <f t="shared" si="240"/>
        <v> </v>
      </c>
      <c r="AB204" s="114" t="str">
        <f t="shared" si="241"/>
        <v> </v>
      </c>
      <c r="AC204" s="85"/>
      <c r="AG204" s="86"/>
    </row>
    <row r="205" ht="12.75" customHeight="1">
      <c r="A205" s="1"/>
      <c r="B205" s="115"/>
      <c r="C205" s="122" t="s">
        <v>51</v>
      </c>
      <c r="D205" s="117">
        <v>0.8</v>
      </c>
      <c r="E205" s="118">
        <v>2.0</v>
      </c>
      <c r="F205" s="119">
        <v>4.0</v>
      </c>
      <c r="G205" s="120">
        <f>'Start Here'!$F$23*D205</f>
        <v>80</v>
      </c>
      <c r="H205" s="138"/>
      <c r="I205" s="165"/>
      <c r="J205" s="166"/>
      <c r="K205" s="165"/>
      <c r="L205" s="166">
        <f t="shared" si="235"/>
        <v>8</v>
      </c>
      <c r="M205" s="138">
        <f t="shared" si="236"/>
        <v>640</v>
      </c>
      <c r="N205" s="67"/>
      <c r="O205" s="67"/>
      <c r="P205" s="67"/>
      <c r="Q205" s="67"/>
      <c r="R205" s="67"/>
      <c r="S205" s="67"/>
      <c r="T205" s="67"/>
      <c r="U205" s="67"/>
      <c r="V205" s="67"/>
      <c r="W205" s="67"/>
      <c r="X205" s="114" t="str">
        <f t="shared" si="237"/>
        <v> </v>
      </c>
      <c r="Y205" s="114" t="str">
        <f t="shared" si="238"/>
        <v> </v>
      </c>
      <c r="Z205" s="114" t="str">
        <f t="shared" si="239"/>
        <v> </v>
      </c>
      <c r="AA205" s="114">
        <f t="shared" si="240"/>
        <v>8</v>
      </c>
      <c r="AB205" s="114" t="str">
        <f t="shared" si="241"/>
        <v> </v>
      </c>
      <c r="AC205" s="85"/>
      <c r="AG205" s="86"/>
    </row>
    <row r="206" ht="12.75" customHeight="1">
      <c r="A206" s="1"/>
      <c r="B206" s="87">
        <v>2.0</v>
      </c>
      <c r="C206" s="88" t="s">
        <v>91</v>
      </c>
      <c r="D206" s="89">
        <v>0.55</v>
      </c>
      <c r="E206" s="90">
        <v>3.0</v>
      </c>
      <c r="F206" s="91">
        <v>1.0</v>
      </c>
      <c r="G206" s="92">
        <f>'Start Here'!$F$22*D206</f>
        <v>55</v>
      </c>
      <c r="H206" s="138"/>
      <c r="I206" s="165"/>
      <c r="J206" s="166">
        <f t="shared" ref="J206:J211" si="242">E206*F206</f>
        <v>3</v>
      </c>
      <c r="K206" s="165">
        <f t="shared" ref="K206:K211" si="243">G206*J206</f>
        <v>165</v>
      </c>
      <c r="L206" s="166"/>
      <c r="M206" s="138"/>
      <c r="N206" s="67"/>
      <c r="O206" s="67"/>
      <c r="P206" s="67"/>
      <c r="Q206" s="67"/>
      <c r="R206" s="67"/>
      <c r="S206" s="93">
        <f t="shared" ref="S206:S211" si="244">IF(ISNUMBER(SEARCH("bench",$C206)),IF($D206&gt;=0.5,IF($D206&lt;0.6,$E206*$F206," ")," ")," ")</f>
        <v>3</v>
      </c>
      <c r="T206" s="93" t="str">
        <f t="shared" ref="T206:T211" si="245">IF(ISNUMBER(SEARCH("bench",$C206)),IF($D206&gt;=0.6,IF($D206&lt;0.7,$E206*$F206," ")," ")," ")</f>
        <v> </v>
      </c>
      <c r="U206" s="93" t="str">
        <f t="shared" ref="U206:U211" si="246">IF(ISNUMBER(SEARCH("bench",$C206)),IF($D206&gt;=0.7,IF($D206&lt;0.8,$E206*$F206," ")," ")," ")</f>
        <v> </v>
      </c>
      <c r="V206" s="93" t="str">
        <f t="shared" ref="V206:V211" si="247">IF(ISNUMBER(SEARCH("bench",$C206)),IF($D206&gt;=0.8,IF($D206&lt;0.9,$E206*$F206," ")," ")," ")</f>
        <v> </v>
      </c>
      <c r="W206" s="93" t="str">
        <f t="shared" ref="W206:W211" si="248">IF(ISNUMBER(SEARCH("bench",$C206)),IF($D206&gt;=0.9,$E206*$F206," ")," ")</f>
        <v> </v>
      </c>
      <c r="X206" s="67"/>
      <c r="Y206" s="67"/>
      <c r="Z206" s="67"/>
      <c r="AA206" s="67"/>
      <c r="AB206" s="67"/>
      <c r="AC206" s="85"/>
      <c r="AG206" s="86"/>
    </row>
    <row r="207" ht="12.75" customHeight="1">
      <c r="A207" s="1"/>
      <c r="B207" s="87"/>
      <c r="C207" s="94" t="s">
        <v>91</v>
      </c>
      <c r="D207" s="89">
        <v>0.65</v>
      </c>
      <c r="E207" s="90">
        <v>3.0</v>
      </c>
      <c r="F207" s="91">
        <v>1.0</v>
      </c>
      <c r="G207" s="92">
        <f>'Start Here'!$F$22*D207</f>
        <v>65</v>
      </c>
      <c r="H207" s="138"/>
      <c r="I207" s="165"/>
      <c r="J207" s="166">
        <f t="shared" si="242"/>
        <v>3</v>
      </c>
      <c r="K207" s="165">
        <f t="shared" si="243"/>
        <v>195</v>
      </c>
      <c r="L207" s="166"/>
      <c r="M207" s="138"/>
      <c r="N207" s="67"/>
      <c r="O207" s="67"/>
      <c r="P207" s="67"/>
      <c r="Q207" s="67"/>
      <c r="R207" s="67"/>
      <c r="S207" s="93" t="str">
        <f t="shared" si="244"/>
        <v> </v>
      </c>
      <c r="T207" s="93">
        <f t="shared" si="245"/>
        <v>3</v>
      </c>
      <c r="U207" s="93" t="str">
        <f t="shared" si="246"/>
        <v> </v>
      </c>
      <c r="V207" s="93" t="str">
        <f t="shared" si="247"/>
        <v> </v>
      </c>
      <c r="W207" s="93" t="str">
        <f t="shared" si="248"/>
        <v> </v>
      </c>
      <c r="X207" s="67"/>
      <c r="Y207" s="67"/>
      <c r="Z207" s="67"/>
      <c r="AA207" s="67"/>
      <c r="AB207" s="67"/>
      <c r="AC207" s="85"/>
      <c r="AG207" s="86"/>
    </row>
    <row r="208" ht="12.75" customHeight="1">
      <c r="A208" s="1"/>
      <c r="B208" s="87"/>
      <c r="C208" s="94" t="s">
        <v>91</v>
      </c>
      <c r="D208" s="89">
        <v>0.75</v>
      </c>
      <c r="E208" s="90">
        <v>3.0</v>
      </c>
      <c r="F208" s="91">
        <v>1.0</v>
      </c>
      <c r="G208" s="92">
        <f>'Start Here'!$F$22*D208</f>
        <v>75</v>
      </c>
      <c r="H208" s="138"/>
      <c r="I208" s="165"/>
      <c r="J208" s="166">
        <f t="shared" si="242"/>
        <v>3</v>
      </c>
      <c r="K208" s="165">
        <f t="shared" si="243"/>
        <v>225</v>
      </c>
      <c r="L208" s="166"/>
      <c r="M208" s="138"/>
      <c r="N208" s="67"/>
      <c r="O208" s="67"/>
      <c r="P208" s="67"/>
      <c r="Q208" s="67"/>
      <c r="R208" s="67"/>
      <c r="S208" s="93" t="str">
        <f t="shared" si="244"/>
        <v> </v>
      </c>
      <c r="T208" s="93" t="str">
        <f t="shared" si="245"/>
        <v> </v>
      </c>
      <c r="U208" s="93">
        <f t="shared" si="246"/>
        <v>3</v>
      </c>
      <c r="V208" s="93" t="str">
        <f t="shared" si="247"/>
        <v> </v>
      </c>
      <c r="W208" s="93" t="str">
        <f t="shared" si="248"/>
        <v> </v>
      </c>
      <c r="X208" s="67"/>
      <c r="Y208" s="67"/>
      <c r="Z208" s="67"/>
      <c r="AA208" s="67"/>
      <c r="AB208" s="67"/>
      <c r="AC208" s="85"/>
      <c r="AG208" s="86"/>
    </row>
    <row r="209" ht="12.75" customHeight="1">
      <c r="A209" s="1"/>
      <c r="B209" s="87"/>
      <c r="C209" s="94" t="s">
        <v>91</v>
      </c>
      <c r="D209" s="89">
        <v>0.85</v>
      </c>
      <c r="E209" s="90">
        <v>3.0</v>
      </c>
      <c r="F209" s="91">
        <v>2.0</v>
      </c>
      <c r="G209" s="92">
        <f>'Start Here'!$F$22*D209</f>
        <v>85</v>
      </c>
      <c r="H209" s="138"/>
      <c r="I209" s="165"/>
      <c r="J209" s="166">
        <f t="shared" si="242"/>
        <v>6</v>
      </c>
      <c r="K209" s="165">
        <f t="shared" si="243"/>
        <v>510</v>
      </c>
      <c r="L209" s="166"/>
      <c r="M209" s="138"/>
      <c r="N209" s="67"/>
      <c r="O209" s="67"/>
      <c r="P209" s="67"/>
      <c r="Q209" s="67"/>
      <c r="R209" s="67"/>
      <c r="S209" s="93" t="str">
        <f t="shared" si="244"/>
        <v> </v>
      </c>
      <c r="T209" s="93" t="str">
        <f t="shared" si="245"/>
        <v> </v>
      </c>
      <c r="U209" s="93" t="str">
        <f t="shared" si="246"/>
        <v> </v>
      </c>
      <c r="V209" s="93">
        <f t="shared" si="247"/>
        <v>6</v>
      </c>
      <c r="W209" s="93" t="str">
        <f t="shared" si="248"/>
        <v> </v>
      </c>
      <c r="X209" s="67"/>
      <c r="Y209" s="67"/>
      <c r="Z209" s="67"/>
      <c r="AA209" s="67"/>
      <c r="AB209" s="67"/>
      <c r="AC209" s="85"/>
      <c r="AG209" s="86"/>
    </row>
    <row r="210" ht="12.75" customHeight="1">
      <c r="A210" s="1"/>
      <c r="B210" s="87"/>
      <c r="C210" s="94" t="s">
        <v>91</v>
      </c>
      <c r="D210" s="89">
        <v>0.9</v>
      </c>
      <c r="E210" s="90">
        <v>2.0</v>
      </c>
      <c r="F210" s="91">
        <v>2.0</v>
      </c>
      <c r="G210" s="92">
        <f>'Start Here'!$F$22*D210</f>
        <v>90</v>
      </c>
      <c r="H210" s="138"/>
      <c r="I210" s="165"/>
      <c r="J210" s="166">
        <f t="shared" si="242"/>
        <v>4</v>
      </c>
      <c r="K210" s="165">
        <f t="shared" si="243"/>
        <v>360</v>
      </c>
      <c r="L210" s="166"/>
      <c r="M210" s="138"/>
      <c r="N210" s="67"/>
      <c r="O210" s="67"/>
      <c r="P210" s="67"/>
      <c r="Q210" s="67"/>
      <c r="R210" s="67"/>
      <c r="S210" s="93" t="str">
        <f t="shared" si="244"/>
        <v> </v>
      </c>
      <c r="T210" s="93" t="str">
        <f t="shared" si="245"/>
        <v> </v>
      </c>
      <c r="U210" s="93" t="str">
        <f t="shared" si="246"/>
        <v> </v>
      </c>
      <c r="V210" s="93" t="str">
        <f t="shared" si="247"/>
        <v> </v>
      </c>
      <c r="W210" s="93">
        <f t="shared" si="248"/>
        <v>4</v>
      </c>
      <c r="X210" s="67"/>
      <c r="Y210" s="67"/>
      <c r="Z210" s="67"/>
      <c r="AA210" s="67"/>
      <c r="AB210" s="67"/>
      <c r="AC210" s="85"/>
      <c r="AG210" s="86"/>
    </row>
    <row r="211" ht="12.75" customHeight="1">
      <c r="A211" s="1"/>
      <c r="B211" s="87"/>
      <c r="C211" s="94" t="s">
        <v>91</v>
      </c>
      <c r="D211" s="89">
        <v>0.95</v>
      </c>
      <c r="E211" s="90">
        <v>1.0</v>
      </c>
      <c r="F211" s="91">
        <v>3.0</v>
      </c>
      <c r="G211" s="92">
        <f>'Start Here'!$F$22*D211</f>
        <v>95</v>
      </c>
      <c r="H211" s="138"/>
      <c r="I211" s="165"/>
      <c r="J211" s="166">
        <f t="shared" si="242"/>
        <v>3</v>
      </c>
      <c r="K211" s="165">
        <f t="shared" si="243"/>
        <v>285</v>
      </c>
      <c r="L211" s="166"/>
      <c r="M211" s="138"/>
      <c r="N211" s="67"/>
      <c r="O211" s="67"/>
      <c r="P211" s="67"/>
      <c r="Q211" s="67"/>
      <c r="R211" s="67"/>
      <c r="S211" s="93" t="str">
        <f t="shared" si="244"/>
        <v> </v>
      </c>
      <c r="T211" s="93" t="str">
        <f t="shared" si="245"/>
        <v> </v>
      </c>
      <c r="U211" s="93" t="str">
        <f t="shared" si="246"/>
        <v> </v>
      </c>
      <c r="V211" s="93" t="str">
        <f t="shared" si="247"/>
        <v> </v>
      </c>
      <c r="W211" s="93">
        <f t="shared" si="248"/>
        <v>3</v>
      </c>
      <c r="X211" s="67"/>
      <c r="Y211" s="67"/>
      <c r="Z211" s="67"/>
      <c r="AA211" s="67"/>
      <c r="AB211" s="67"/>
      <c r="AC211" s="85"/>
      <c r="AG211" s="86"/>
    </row>
    <row r="212" ht="12.75" customHeight="1">
      <c r="A212" s="1"/>
      <c r="B212" s="115">
        <v>3.0</v>
      </c>
      <c r="C212" s="121" t="s">
        <v>113</v>
      </c>
      <c r="D212" s="117">
        <v>0.5</v>
      </c>
      <c r="E212" s="118">
        <v>3.0</v>
      </c>
      <c r="F212" s="119">
        <v>1.0</v>
      </c>
      <c r="G212" s="120">
        <f>'Start Here'!$F$23*D212</f>
        <v>50</v>
      </c>
      <c r="H212" s="138"/>
      <c r="I212" s="165"/>
      <c r="J212" s="166"/>
      <c r="K212" s="165"/>
      <c r="L212" s="166">
        <f t="shared" ref="L212:L215" si="249">E212*F212</f>
        <v>3</v>
      </c>
      <c r="M212" s="138">
        <f t="shared" ref="M212:M215" si="250">G212*L212</f>
        <v>150</v>
      </c>
      <c r="N212" s="67"/>
      <c r="O212" s="67"/>
      <c r="P212" s="67"/>
      <c r="Q212" s="67"/>
      <c r="R212" s="67"/>
      <c r="S212" s="67"/>
      <c r="T212" s="67"/>
      <c r="U212" s="67"/>
      <c r="V212" s="67"/>
      <c r="W212" s="67"/>
      <c r="X212" s="114">
        <f t="shared" ref="X212:X214" si="251">IF(ISNUMBER(SEARCH("deadlift",$C212)),IF($D212&gt;=0.5,IF($D212&lt;0.6,$E212*$F212," ")," ")," ")</f>
        <v>3</v>
      </c>
      <c r="Y212" s="114" t="str">
        <f t="shared" ref="Y212:Y214" si="252">IF(ISNUMBER(SEARCH("deadlift",$C212)),IF($D212&gt;=0.6,IF($D212&lt;0.7,$E212*$F212," ")," ")," ")</f>
        <v> </v>
      </c>
      <c r="Z212" s="114" t="str">
        <f t="shared" ref="Z212:Z214" si="253">IF(ISNUMBER(SEARCH("deadlift",$C212)),IF($D212&gt;=0.7,IF($D212&lt;0.8,$E212*$F212," ")," ")," ")</f>
        <v> </v>
      </c>
      <c r="AA212" s="114" t="str">
        <f t="shared" ref="AA212:AA214" si="254">IF(ISNUMBER(SEARCH("deadlift",$C212)),IF($D212&gt;=0.8,IF($D212&lt;0.9,$E212*$F212," ")," ")," ")</f>
        <v> </v>
      </c>
      <c r="AB212" s="114" t="str">
        <f t="shared" ref="AB212:AB214" si="255">IF(ISNUMBER(SEARCH("deadlift",$C212)),IF($D212&gt;=0.9,$E212*$F212," ")," ")</f>
        <v> </v>
      </c>
      <c r="AC212" s="85"/>
      <c r="AG212" s="86"/>
    </row>
    <row r="213" ht="12.75" customHeight="1">
      <c r="A213" s="1"/>
      <c r="B213" s="115"/>
      <c r="C213" s="122" t="s">
        <v>113</v>
      </c>
      <c r="D213" s="117">
        <v>0.6</v>
      </c>
      <c r="E213" s="118">
        <v>3.0</v>
      </c>
      <c r="F213" s="119">
        <v>1.0</v>
      </c>
      <c r="G213" s="120">
        <f>'Start Here'!$F$23*D213</f>
        <v>60</v>
      </c>
      <c r="H213" s="138"/>
      <c r="I213" s="165"/>
      <c r="J213" s="166"/>
      <c r="K213" s="165"/>
      <c r="L213" s="166">
        <f t="shared" si="249"/>
        <v>3</v>
      </c>
      <c r="M213" s="138">
        <f t="shared" si="250"/>
        <v>180</v>
      </c>
      <c r="N213" s="67"/>
      <c r="O213" s="67"/>
      <c r="P213" s="67"/>
      <c r="Q213" s="67"/>
      <c r="R213" s="67"/>
      <c r="S213" s="67"/>
      <c r="T213" s="67"/>
      <c r="U213" s="67"/>
      <c r="V213" s="67"/>
      <c r="W213" s="67"/>
      <c r="X213" s="114" t="str">
        <f t="shared" si="251"/>
        <v> </v>
      </c>
      <c r="Y213" s="114">
        <f t="shared" si="252"/>
        <v>3</v>
      </c>
      <c r="Z213" s="114" t="str">
        <f t="shared" si="253"/>
        <v> </v>
      </c>
      <c r="AA213" s="114" t="str">
        <f t="shared" si="254"/>
        <v> </v>
      </c>
      <c r="AB213" s="114" t="str">
        <f t="shared" si="255"/>
        <v> </v>
      </c>
      <c r="AC213" s="85"/>
      <c r="AG213" s="86"/>
    </row>
    <row r="214" ht="12.75" customHeight="1">
      <c r="A214" s="1"/>
      <c r="B214" s="115"/>
      <c r="C214" s="122" t="s">
        <v>113</v>
      </c>
      <c r="D214" s="117">
        <v>0.7</v>
      </c>
      <c r="E214" s="118">
        <v>3.0</v>
      </c>
      <c r="F214" s="119">
        <v>1.0</v>
      </c>
      <c r="G214" s="120">
        <f>'Start Here'!$F$23*D214</f>
        <v>70</v>
      </c>
      <c r="H214" s="138"/>
      <c r="I214" s="165"/>
      <c r="J214" s="166"/>
      <c r="K214" s="165"/>
      <c r="L214" s="166">
        <f t="shared" si="249"/>
        <v>3</v>
      </c>
      <c r="M214" s="138">
        <f t="shared" si="250"/>
        <v>210</v>
      </c>
      <c r="N214" s="67"/>
      <c r="O214" s="67"/>
      <c r="P214" s="67"/>
      <c r="Q214" s="67"/>
      <c r="R214" s="67"/>
      <c r="S214" s="67"/>
      <c r="T214" s="67"/>
      <c r="U214" s="67"/>
      <c r="V214" s="67"/>
      <c r="W214" s="67"/>
      <c r="X214" s="114" t="str">
        <f t="shared" si="251"/>
        <v> </v>
      </c>
      <c r="Y214" s="114" t="str">
        <f t="shared" si="252"/>
        <v> </v>
      </c>
      <c r="Z214" s="114">
        <f t="shared" si="253"/>
        <v>3</v>
      </c>
      <c r="AA214" s="114" t="str">
        <f t="shared" si="254"/>
        <v> </v>
      </c>
      <c r="AB214" s="114" t="str">
        <f t="shared" si="255"/>
        <v> </v>
      </c>
      <c r="AC214" s="85"/>
      <c r="AG214" s="86"/>
    </row>
    <row r="215" ht="12.75" customHeight="1">
      <c r="A215" s="1"/>
      <c r="B215" s="115"/>
      <c r="C215" s="122" t="s">
        <v>113</v>
      </c>
      <c r="D215" s="117">
        <v>0.75</v>
      </c>
      <c r="E215" s="118">
        <v>2.0</v>
      </c>
      <c r="F215" s="119">
        <v>4.0</v>
      </c>
      <c r="G215" s="120">
        <f>'Start Here'!$F$23*D215</f>
        <v>75</v>
      </c>
      <c r="H215" s="138"/>
      <c r="I215" s="165"/>
      <c r="J215" s="166"/>
      <c r="K215" s="165"/>
      <c r="L215" s="166">
        <f t="shared" si="249"/>
        <v>8</v>
      </c>
      <c r="M215" s="138">
        <f t="shared" si="250"/>
        <v>600</v>
      </c>
      <c r="N215" s="67"/>
      <c r="O215" s="67"/>
      <c r="P215" s="67"/>
      <c r="Q215" s="67"/>
      <c r="R215" s="67"/>
      <c r="S215" s="67"/>
      <c r="T215" s="67"/>
      <c r="U215" s="67"/>
      <c r="V215" s="67"/>
      <c r="W215" s="67"/>
      <c r="X215" s="195"/>
      <c r="Y215" s="195"/>
      <c r="Z215" s="195"/>
      <c r="AA215" s="195"/>
      <c r="AB215" s="195"/>
      <c r="AC215" s="85"/>
      <c r="AG215" s="86"/>
    </row>
    <row r="216" ht="12.75" customHeight="1">
      <c r="A216" s="1"/>
      <c r="B216" s="96">
        <v>4.0</v>
      </c>
      <c r="C216" s="167" t="s">
        <v>83</v>
      </c>
      <c r="D216" s="168"/>
      <c r="E216" s="169">
        <v>6.0</v>
      </c>
      <c r="F216" s="169">
        <v>5.0</v>
      </c>
      <c r="G216" s="170"/>
      <c r="H216" s="138"/>
      <c r="I216" s="165"/>
      <c r="J216" s="166"/>
      <c r="K216" s="165"/>
      <c r="L216" s="166"/>
      <c r="M216" s="138"/>
      <c r="N216" s="67"/>
      <c r="O216" s="67"/>
      <c r="P216" s="67"/>
      <c r="Q216" s="67"/>
      <c r="R216" s="67"/>
      <c r="S216" s="67"/>
      <c r="T216" s="67"/>
      <c r="U216" s="67"/>
      <c r="V216" s="67"/>
      <c r="W216" s="67"/>
      <c r="X216" s="67"/>
      <c r="Y216" s="67"/>
      <c r="Z216" s="67"/>
      <c r="AA216" s="67"/>
      <c r="AB216" s="67"/>
      <c r="AC216" s="85"/>
      <c r="AG216" s="86"/>
    </row>
    <row r="217" ht="12.75" customHeight="1">
      <c r="A217" s="1"/>
      <c r="B217" s="135">
        <v>5.0</v>
      </c>
      <c r="C217" s="136" t="s">
        <v>95</v>
      </c>
      <c r="D217" s="137"/>
      <c r="E217" s="68">
        <v>6.0</v>
      </c>
      <c r="F217" s="138">
        <v>5.0</v>
      </c>
      <c r="G217" s="139"/>
      <c r="H217" s="138"/>
      <c r="I217" s="165"/>
      <c r="J217" s="166"/>
      <c r="K217" s="165"/>
      <c r="L217" s="166"/>
      <c r="M217" s="138"/>
      <c r="N217" s="67"/>
      <c r="O217" s="67"/>
      <c r="P217" s="67"/>
      <c r="Q217" s="67"/>
      <c r="R217" s="67"/>
      <c r="S217" s="67"/>
      <c r="T217" s="67"/>
      <c r="U217" s="67"/>
      <c r="V217" s="67"/>
      <c r="W217" s="67"/>
      <c r="X217" s="67"/>
      <c r="Y217" s="67"/>
      <c r="Z217" s="67"/>
      <c r="AA217" s="67"/>
      <c r="AB217" s="67"/>
      <c r="AC217" s="85"/>
      <c r="AG217" s="86"/>
    </row>
    <row r="218" ht="12.75" customHeight="1">
      <c r="A218" s="1"/>
      <c r="B218" s="100">
        <v>6.0</v>
      </c>
      <c r="C218" s="171" t="s">
        <v>48</v>
      </c>
      <c r="D218" s="172"/>
      <c r="E218" s="102">
        <v>8.0</v>
      </c>
      <c r="F218" s="173">
        <v>4.0</v>
      </c>
      <c r="G218" s="174"/>
      <c r="H218" s="138"/>
      <c r="I218" s="165"/>
      <c r="J218" s="166"/>
      <c r="K218" s="165"/>
      <c r="L218" s="166"/>
      <c r="M218" s="138"/>
      <c r="N218" s="67"/>
      <c r="O218" s="67"/>
      <c r="P218" s="67"/>
      <c r="Q218" s="67"/>
      <c r="R218" s="67"/>
      <c r="S218" s="67"/>
      <c r="T218" s="67"/>
      <c r="U218" s="67"/>
      <c r="V218" s="67"/>
      <c r="W218" s="67"/>
      <c r="X218" s="67"/>
      <c r="Y218" s="67"/>
      <c r="Z218" s="67"/>
      <c r="AA218" s="67"/>
      <c r="AB218" s="67"/>
      <c r="AC218" s="104"/>
      <c r="AD218" s="105"/>
      <c r="AE218" s="105"/>
      <c r="AF218" s="105"/>
      <c r="AG218" s="106"/>
    </row>
    <row r="219" ht="12.75" customHeight="1">
      <c r="A219" s="1"/>
      <c r="B219" s="67"/>
      <c r="C219" s="136"/>
      <c r="D219" s="137"/>
      <c r="E219" s="138"/>
      <c r="F219" s="138"/>
      <c r="G219" s="138"/>
      <c r="H219" s="166"/>
      <c r="I219" s="165"/>
      <c r="J219" s="166"/>
      <c r="K219" s="165"/>
      <c r="L219" s="166"/>
      <c r="M219" s="138"/>
      <c r="N219" s="67"/>
      <c r="O219" s="67"/>
      <c r="P219" s="67"/>
      <c r="Q219" s="67"/>
      <c r="R219" s="67"/>
      <c r="S219" s="67"/>
      <c r="T219" s="67"/>
      <c r="U219" s="67"/>
      <c r="V219" s="67"/>
      <c r="W219" s="67"/>
      <c r="X219" s="67"/>
      <c r="Y219" s="67"/>
      <c r="Z219" s="67"/>
      <c r="AA219" s="67"/>
      <c r="AB219" s="67"/>
      <c r="AC219" s="67"/>
      <c r="AD219" s="67"/>
      <c r="AE219" s="67"/>
      <c r="AF219" s="67"/>
      <c r="AG219" s="67"/>
    </row>
    <row r="220" ht="36.0" customHeight="1">
      <c r="A220" s="1"/>
      <c r="B220" s="68" t="s">
        <v>54</v>
      </c>
      <c r="D220" s="137" t="s">
        <v>34</v>
      </c>
      <c r="E220" s="138" t="s">
        <v>35</v>
      </c>
      <c r="F220" s="138" t="s">
        <v>36</v>
      </c>
      <c r="G220" s="138" t="s">
        <v>37</v>
      </c>
      <c r="H220" s="166"/>
      <c r="I220" s="165"/>
      <c r="J220" s="166"/>
      <c r="K220" s="165"/>
      <c r="L220" s="166"/>
      <c r="M220" s="138"/>
      <c r="N220" s="67"/>
      <c r="O220" s="67"/>
      <c r="P220" s="67"/>
      <c r="Q220" s="67"/>
      <c r="R220" s="67"/>
      <c r="S220" s="67"/>
      <c r="T220" s="67"/>
      <c r="U220" s="67"/>
      <c r="V220" s="67"/>
      <c r="W220" s="67"/>
      <c r="X220" s="67"/>
      <c r="Y220" s="67"/>
      <c r="Z220" s="67"/>
      <c r="AA220" s="67"/>
      <c r="AB220" s="67"/>
      <c r="AC220" s="67" t="s">
        <v>43</v>
      </c>
      <c r="AD220" s="67"/>
      <c r="AE220" s="67"/>
      <c r="AF220" s="67"/>
      <c r="AG220" s="67"/>
    </row>
    <row r="221" ht="12.75" customHeight="1">
      <c r="A221" s="1"/>
      <c r="B221" s="123">
        <v>1.0</v>
      </c>
      <c r="C221" s="124" t="s">
        <v>45</v>
      </c>
      <c r="D221" s="125">
        <v>0.55</v>
      </c>
      <c r="E221" s="126">
        <v>5.0</v>
      </c>
      <c r="F221" s="127">
        <v>1.0</v>
      </c>
      <c r="G221" s="128">
        <f>'Start Here'!$F$22*D221</f>
        <v>55</v>
      </c>
      <c r="H221" s="138"/>
      <c r="I221" s="165"/>
      <c r="J221" s="166">
        <f t="shared" ref="J221:J224" si="256">E221*F221</f>
        <v>5</v>
      </c>
      <c r="K221" s="165">
        <f t="shared" ref="K221:K224" si="257">G221*J221</f>
        <v>275</v>
      </c>
      <c r="L221" s="166"/>
      <c r="M221" s="138"/>
      <c r="N221" s="67"/>
      <c r="O221" s="67"/>
      <c r="P221" s="67"/>
      <c r="Q221" s="67"/>
      <c r="R221" s="67"/>
      <c r="S221" s="93">
        <f t="shared" ref="S221:S224" si="258">IF(ISNUMBER(SEARCH("bench",$C221)),IF($D221&gt;=0.5,IF($D221&lt;0.6,$E221*$F221," ")," ")," ")</f>
        <v>5</v>
      </c>
      <c r="T221" s="93" t="str">
        <f t="shared" ref="T221:T224" si="259">IF(ISNUMBER(SEARCH("bench",$C221)),IF($D221&gt;=0.6,IF($D221&lt;0.7,$E221*$F221," ")," ")," ")</f>
        <v> </v>
      </c>
      <c r="U221" s="93" t="str">
        <f t="shared" ref="U221:U224" si="260">IF(ISNUMBER(SEARCH("bench",$C221)),IF($D221&gt;=0.7,IF($D221&lt;0.8,$E221*$F221," ")," ")," ")</f>
        <v> </v>
      </c>
      <c r="V221" s="93" t="str">
        <f t="shared" ref="V221:V224" si="261">IF(ISNUMBER(SEARCH("bench",$C221)),IF($D221&gt;=0.8,IF($D221&lt;0.9,$E221*$F221," ")," ")," ")</f>
        <v> </v>
      </c>
      <c r="W221" s="93" t="str">
        <f t="shared" ref="W221:W224" si="262">IF(ISNUMBER(SEARCH("bench",$C221)),IF($D221&gt;=0.9,$E221*$F221," ")," ")</f>
        <v> </v>
      </c>
      <c r="X221" s="67"/>
      <c r="Y221" s="67"/>
      <c r="Z221" s="67"/>
      <c r="AA221" s="67"/>
      <c r="AB221" s="67"/>
      <c r="AC221" s="76"/>
      <c r="AD221" s="77"/>
      <c r="AE221" s="77"/>
      <c r="AF221" s="77"/>
      <c r="AG221" s="78"/>
    </row>
    <row r="222" ht="12.75" customHeight="1">
      <c r="A222" s="1"/>
      <c r="B222" s="87"/>
      <c r="C222" s="94" t="s">
        <v>45</v>
      </c>
      <c r="D222" s="89">
        <v>0.65</v>
      </c>
      <c r="E222" s="90">
        <v>4.0</v>
      </c>
      <c r="F222" s="91">
        <v>1.0</v>
      </c>
      <c r="G222" s="92">
        <f>'Start Here'!$F$22*D222</f>
        <v>65</v>
      </c>
      <c r="H222" s="138"/>
      <c r="I222" s="165"/>
      <c r="J222" s="166">
        <f t="shared" si="256"/>
        <v>4</v>
      </c>
      <c r="K222" s="165">
        <f t="shared" si="257"/>
        <v>260</v>
      </c>
      <c r="L222" s="166"/>
      <c r="M222" s="138"/>
      <c r="N222" s="67"/>
      <c r="O222" s="67"/>
      <c r="P222" s="67"/>
      <c r="Q222" s="67"/>
      <c r="R222" s="67"/>
      <c r="S222" s="93" t="str">
        <f t="shared" si="258"/>
        <v> </v>
      </c>
      <c r="T222" s="93">
        <f t="shared" si="259"/>
        <v>4</v>
      </c>
      <c r="U222" s="93" t="str">
        <f t="shared" si="260"/>
        <v> </v>
      </c>
      <c r="V222" s="93" t="str">
        <f t="shared" si="261"/>
        <v> </v>
      </c>
      <c r="W222" s="93" t="str">
        <f t="shared" si="262"/>
        <v> </v>
      </c>
      <c r="X222" s="67"/>
      <c r="Y222" s="67"/>
      <c r="Z222" s="67"/>
      <c r="AA222" s="67"/>
      <c r="AB222" s="67"/>
      <c r="AC222" s="85"/>
      <c r="AG222" s="86"/>
    </row>
    <row r="223" ht="12.75" customHeight="1">
      <c r="A223" s="1"/>
      <c r="B223" s="87"/>
      <c r="C223" s="94" t="s">
        <v>45</v>
      </c>
      <c r="D223" s="89">
        <v>0.75</v>
      </c>
      <c r="E223" s="90">
        <v>3.0</v>
      </c>
      <c r="F223" s="91">
        <v>1.0</v>
      </c>
      <c r="G223" s="92">
        <f>'Start Here'!$F$22*D223</f>
        <v>75</v>
      </c>
      <c r="H223" s="138"/>
      <c r="I223" s="165"/>
      <c r="J223" s="166">
        <f t="shared" si="256"/>
        <v>3</v>
      </c>
      <c r="K223" s="165">
        <f t="shared" si="257"/>
        <v>225</v>
      </c>
      <c r="L223" s="166"/>
      <c r="M223" s="138"/>
      <c r="N223" s="67"/>
      <c r="O223" s="67"/>
      <c r="P223" s="67"/>
      <c r="Q223" s="67"/>
      <c r="R223" s="67"/>
      <c r="S223" s="93" t="str">
        <f t="shared" si="258"/>
        <v> </v>
      </c>
      <c r="T223" s="93" t="str">
        <f t="shared" si="259"/>
        <v> </v>
      </c>
      <c r="U223" s="93">
        <f t="shared" si="260"/>
        <v>3</v>
      </c>
      <c r="V223" s="93" t="str">
        <f t="shared" si="261"/>
        <v> </v>
      </c>
      <c r="W223" s="93" t="str">
        <f t="shared" si="262"/>
        <v> </v>
      </c>
      <c r="X223" s="67"/>
      <c r="Y223" s="67"/>
      <c r="Z223" s="67"/>
      <c r="AA223" s="67"/>
      <c r="AB223" s="67"/>
      <c r="AC223" s="85"/>
      <c r="AG223" s="86"/>
    </row>
    <row r="224" ht="12.75" customHeight="1">
      <c r="A224" s="1"/>
      <c r="B224" s="87"/>
      <c r="C224" s="94" t="s">
        <v>45</v>
      </c>
      <c r="D224" s="89">
        <v>0.85</v>
      </c>
      <c r="E224" s="90">
        <v>2.0</v>
      </c>
      <c r="F224" s="91">
        <v>4.0</v>
      </c>
      <c r="G224" s="92">
        <f>'Start Here'!$F$22*D224</f>
        <v>85</v>
      </c>
      <c r="H224" s="138"/>
      <c r="I224" s="165"/>
      <c r="J224" s="166">
        <f t="shared" si="256"/>
        <v>8</v>
      </c>
      <c r="K224" s="165">
        <f t="shared" si="257"/>
        <v>680</v>
      </c>
      <c r="L224" s="166"/>
      <c r="M224" s="138"/>
      <c r="N224" s="67"/>
      <c r="O224" s="67"/>
      <c r="P224" s="67"/>
      <c r="Q224" s="67"/>
      <c r="R224" s="67"/>
      <c r="S224" s="93" t="str">
        <f t="shared" si="258"/>
        <v> </v>
      </c>
      <c r="T224" s="93" t="str">
        <f t="shared" si="259"/>
        <v> </v>
      </c>
      <c r="U224" s="93" t="str">
        <f t="shared" si="260"/>
        <v> </v>
      </c>
      <c r="V224" s="93">
        <f t="shared" si="261"/>
        <v>8</v>
      </c>
      <c r="W224" s="93" t="str">
        <f t="shared" si="262"/>
        <v> </v>
      </c>
      <c r="X224" s="67"/>
      <c r="Y224" s="67"/>
      <c r="Z224" s="67"/>
      <c r="AA224" s="67"/>
      <c r="AB224" s="67"/>
      <c r="AC224" s="85"/>
      <c r="AG224" s="86"/>
    </row>
    <row r="225" ht="12.75" customHeight="1">
      <c r="A225" s="1"/>
      <c r="B225" s="79">
        <v>2.0</v>
      </c>
      <c r="C225" s="95" t="s">
        <v>46</v>
      </c>
      <c r="D225" s="81">
        <v>0.5</v>
      </c>
      <c r="E225" s="82">
        <v>5.0</v>
      </c>
      <c r="F225" s="83">
        <v>1.0</v>
      </c>
      <c r="G225" s="84">
        <f>'Start Here'!$F$21*D225</f>
        <v>50</v>
      </c>
      <c r="H225" s="138">
        <f t="shared" ref="H225:H228" si="263">E225*F225</f>
        <v>5</v>
      </c>
      <c r="I225" s="165">
        <f t="shared" ref="I225:I228" si="264">G225*H225</f>
        <v>250</v>
      </c>
      <c r="J225" s="166"/>
      <c r="K225" s="165"/>
      <c r="L225" s="166"/>
      <c r="M225" s="138"/>
      <c r="N225" s="75">
        <f t="shared" ref="N225:N228" si="265">IF(ISNUMBER(SEARCH("squat",$C225)),IF($D225&gt;=0.5,IF($D225&lt;0.6,$E225*$F225," ")," ")," ")</f>
        <v>5</v>
      </c>
      <c r="O225" s="75" t="str">
        <f t="shared" ref="O225:O228" si="266">IF(ISNUMBER(SEARCH("squat",$C225)),IF($D225&gt;=0.6,IF($D225&lt;0.7,$E225*$F225," ")," ")," ")</f>
        <v> </v>
      </c>
      <c r="P225" s="75" t="str">
        <f t="shared" ref="P225:P228" si="267">IF(ISNUMBER(SEARCH("squat",$C225)),IF($D225&gt;=0.7,IF($D225&lt;0.8,$E225*$F225," ")," ")," ")</f>
        <v> </v>
      </c>
      <c r="Q225" s="75" t="str">
        <f t="shared" ref="Q225:Q228" si="268">IF(ISNUMBER(SEARCH("squat",$C225)),IF($D225&gt;=0.8,IF($D225&lt;0.9,$E225*$F225," ")," ")," ")</f>
        <v> </v>
      </c>
      <c r="R225" s="75" t="str">
        <f t="shared" ref="R225:R228" si="269">IF(ISNUMBER(SEARCH("squat",$C225)),IF($D225&gt;=0.9,$E225*$F225," ")," ")</f>
        <v> </v>
      </c>
      <c r="S225" s="67"/>
      <c r="T225" s="67"/>
      <c r="U225" s="67"/>
      <c r="V225" s="67"/>
      <c r="W225" s="67"/>
      <c r="X225" s="67"/>
      <c r="Y225" s="67"/>
      <c r="Z225" s="67"/>
      <c r="AA225" s="67"/>
      <c r="AB225" s="67"/>
      <c r="AC225" s="85"/>
      <c r="AG225" s="86"/>
    </row>
    <row r="226" ht="12.75" customHeight="1">
      <c r="A226" s="1"/>
      <c r="B226" s="79"/>
      <c r="C226" s="80" t="s">
        <v>46</v>
      </c>
      <c r="D226" s="81">
        <v>0.6</v>
      </c>
      <c r="E226" s="82">
        <v>4.0</v>
      </c>
      <c r="F226" s="83">
        <v>1.0</v>
      </c>
      <c r="G226" s="84">
        <f>'Start Here'!$F$21*D226</f>
        <v>60</v>
      </c>
      <c r="H226" s="138">
        <f t="shared" si="263"/>
        <v>4</v>
      </c>
      <c r="I226" s="165">
        <f t="shared" si="264"/>
        <v>240</v>
      </c>
      <c r="J226" s="166"/>
      <c r="K226" s="165"/>
      <c r="L226" s="166"/>
      <c r="M226" s="138"/>
      <c r="N226" s="75" t="str">
        <f t="shared" si="265"/>
        <v> </v>
      </c>
      <c r="O226" s="75">
        <f t="shared" si="266"/>
        <v>4</v>
      </c>
      <c r="P226" s="75" t="str">
        <f t="shared" si="267"/>
        <v> </v>
      </c>
      <c r="Q226" s="75" t="str">
        <f t="shared" si="268"/>
        <v> </v>
      </c>
      <c r="R226" s="75" t="str">
        <f t="shared" si="269"/>
        <v> </v>
      </c>
      <c r="S226" s="67"/>
      <c r="T226" s="67"/>
      <c r="U226" s="67"/>
      <c r="V226" s="67"/>
      <c r="W226" s="67"/>
      <c r="X226" s="67"/>
      <c r="Y226" s="67"/>
      <c r="Z226" s="67"/>
      <c r="AA226" s="67"/>
      <c r="AB226" s="67"/>
      <c r="AC226" s="85"/>
      <c r="AG226" s="86"/>
    </row>
    <row r="227" ht="12.75" customHeight="1">
      <c r="A227" s="1"/>
      <c r="B227" s="79"/>
      <c r="C227" s="80" t="s">
        <v>46</v>
      </c>
      <c r="D227" s="81">
        <v>0.7</v>
      </c>
      <c r="E227" s="82">
        <v>3.0</v>
      </c>
      <c r="F227" s="83">
        <v>1.0</v>
      </c>
      <c r="G227" s="84">
        <f>'Start Here'!$F$21*D227</f>
        <v>70</v>
      </c>
      <c r="H227" s="138">
        <f t="shared" si="263"/>
        <v>3</v>
      </c>
      <c r="I227" s="165">
        <f t="shared" si="264"/>
        <v>210</v>
      </c>
      <c r="J227" s="166"/>
      <c r="K227" s="165"/>
      <c r="L227" s="166"/>
      <c r="M227" s="138"/>
      <c r="N227" s="75" t="str">
        <f t="shared" si="265"/>
        <v> </v>
      </c>
      <c r="O227" s="75" t="str">
        <f t="shared" si="266"/>
        <v> </v>
      </c>
      <c r="P227" s="75">
        <f t="shared" si="267"/>
        <v>3</v>
      </c>
      <c r="Q227" s="75" t="str">
        <f t="shared" si="268"/>
        <v> </v>
      </c>
      <c r="R227" s="75" t="str">
        <f t="shared" si="269"/>
        <v> </v>
      </c>
      <c r="S227" s="67"/>
      <c r="T227" s="67"/>
      <c r="U227" s="67"/>
      <c r="V227" s="67"/>
      <c r="W227" s="67"/>
      <c r="X227" s="67"/>
      <c r="Y227" s="67"/>
      <c r="Z227" s="67"/>
      <c r="AA227" s="67"/>
      <c r="AB227" s="67"/>
      <c r="AC227" s="85"/>
      <c r="AG227" s="86"/>
    </row>
    <row r="228" ht="12.75" customHeight="1">
      <c r="A228" s="1"/>
      <c r="B228" s="79"/>
      <c r="C228" s="80" t="s">
        <v>46</v>
      </c>
      <c r="D228" s="81">
        <v>0.8</v>
      </c>
      <c r="E228" s="82">
        <v>2.0</v>
      </c>
      <c r="F228" s="83">
        <v>4.0</v>
      </c>
      <c r="G228" s="84">
        <f>'Start Here'!$F$21*D228</f>
        <v>80</v>
      </c>
      <c r="H228" s="138">
        <f t="shared" si="263"/>
        <v>8</v>
      </c>
      <c r="I228" s="165">
        <f t="shared" si="264"/>
        <v>640</v>
      </c>
      <c r="J228" s="166"/>
      <c r="K228" s="165"/>
      <c r="L228" s="166"/>
      <c r="M228" s="138"/>
      <c r="N228" s="75" t="str">
        <f t="shared" si="265"/>
        <v> </v>
      </c>
      <c r="O228" s="75" t="str">
        <f t="shared" si="266"/>
        <v> </v>
      </c>
      <c r="P228" s="75" t="str">
        <f t="shared" si="267"/>
        <v> </v>
      </c>
      <c r="Q228" s="75">
        <f t="shared" si="268"/>
        <v>8</v>
      </c>
      <c r="R228" s="75" t="str">
        <f t="shared" si="269"/>
        <v> </v>
      </c>
      <c r="S228" s="67"/>
      <c r="T228" s="67"/>
      <c r="U228" s="67"/>
      <c r="V228" s="67"/>
      <c r="W228" s="67"/>
      <c r="X228" s="67"/>
      <c r="Y228" s="67"/>
      <c r="Z228" s="67"/>
      <c r="AA228" s="67"/>
      <c r="AB228" s="67"/>
      <c r="AC228" s="85"/>
      <c r="AG228" s="86"/>
    </row>
    <row r="229" ht="12.75" customHeight="1">
      <c r="A229" s="1"/>
      <c r="B229" s="87">
        <v>3.0</v>
      </c>
      <c r="C229" s="88" t="s">
        <v>45</v>
      </c>
      <c r="D229" s="89">
        <v>0.5</v>
      </c>
      <c r="E229" s="90">
        <v>3.0</v>
      </c>
      <c r="F229" s="91">
        <v>1.0</v>
      </c>
      <c r="G229" s="92">
        <f>'Start Here'!$F$22*D229</f>
        <v>50</v>
      </c>
      <c r="H229" s="138"/>
      <c r="I229" s="165"/>
      <c r="J229" s="166">
        <f t="shared" ref="J229:J232" si="270">E229*F229</f>
        <v>3</v>
      </c>
      <c r="K229" s="165">
        <f t="shared" ref="K229:K232" si="271">G229*J229</f>
        <v>150</v>
      </c>
      <c r="L229" s="166"/>
      <c r="M229" s="138"/>
      <c r="N229" s="67"/>
      <c r="O229" s="67"/>
      <c r="P229" s="67"/>
      <c r="Q229" s="67"/>
      <c r="R229" s="67"/>
      <c r="S229" s="93">
        <f t="shared" ref="S229:S232" si="272">IF(ISNUMBER(SEARCH("bench",$C229)),IF($D229&gt;=0.5,IF($D229&lt;0.6,$E229*$F229," ")," ")," ")</f>
        <v>3</v>
      </c>
      <c r="T229" s="93" t="str">
        <f t="shared" ref="T229:T232" si="273">IF(ISNUMBER(SEARCH("bench",$C229)),IF($D229&gt;=0.6,IF($D229&lt;0.7,$E229*$F229," ")," ")," ")</f>
        <v> </v>
      </c>
      <c r="U229" s="93" t="str">
        <f t="shared" ref="U229:U232" si="274">IF(ISNUMBER(SEARCH("bench",$C229)),IF($D229&gt;=0.7,IF($D229&lt;0.8,$E229*$F229," ")," ")," ")</f>
        <v> </v>
      </c>
      <c r="V229" s="93" t="str">
        <f t="shared" ref="V229:V232" si="275">IF(ISNUMBER(SEARCH("bench",$C229)),IF($D229&gt;=0.8,IF($D229&lt;0.9,$E229*$F229," ")," ")," ")</f>
        <v> </v>
      </c>
      <c r="W229" s="93" t="str">
        <f t="shared" ref="W229:W232" si="276">IF(ISNUMBER(SEARCH("bench",$C229)),IF($D229&gt;=0.9,$E229*$F229," ")," ")</f>
        <v> </v>
      </c>
      <c r="X229" s="67"/>
      <c r="Y229" s="67"/>
      <c r="Z229" s="67"/>
      <c r="AA229" s="67"/>
      <c r="AB229" s="67"/>
      <c r="AC229" s="85"/>
      <c r="AG229" s="86"/>
    </row>
    <row r="230" ht="12.75" customHeight="1">
      <c r="A230" s="1"/>
      <c r="B230" s="87"/>
      <c r="C230" s="94" t="s">
        <v>45</v>
      </c>
      <c r="D230" s="89">
        <v>0.6</v>
      </c>
      <c r="E230" s="90">
        <v>3.0</v>
      </c>
      <c r="F230" s="91">
        <v>1.0</v>
      </c>
      <c r="G230" s="92">
        <f>'Start Here'!$F$22*D230</f>
        <v>60</v>
      </c>
      <c r="H230" s="138"/>
      <c r="I230" s="165"/>
      <c r="J230" s="166">
        <f t="shared" si="270"/>
        <v>3</v>
      </c>
      <c r="K230" s="165">
        <f t="shared" si="271"/>
        <v>180</v>
      </c>
      <c r="L230" s="166"/>
      <c r="M230" s="138"/>
      <c r="N230" s="67"/>
      <c r="O230" s="67"/>
      <c r="P230" s="67"/>
      <c r="Q230" s="67"/>
      <c r="R230" s="67"/>
      <c r="S230" s="93" t="str">
        <f t="shared" si="272"/>
        <v> </v>
      </c>
      <c r="T230" s="93">
        <f t="shared" si="273"/>
        <v>3</v>
      </c>
      <c r="U230" s="93" t="str">
        <f t="shared" si="274"/>
        <v> </v>
      </c>
      <c r="V230" s="93" t="str">
        <f t="shared" si="275"/>
        <v> </v>
      </c>
      <c r="W230" s="93" t="str">
        <f t="shared" si="276"/>
        <v> </v>
      </c>
      <c r="X230" s="67"/>
      <c r="Y230" s="67"/>
      <c r="Z230" s="67"/>
      <c r="AA230" s="67"/>
      <c r="AB230" s="67"/>
      <c r="AC230" s="85"/>
      <c r="AG230" s="86"/>
    </row>
    <row r="231" ht="12.75" customHeight="1">
      <c r="A231" s="1"/>
      <c r="B231" s="87"/>
      <c r="C231" s="94" t="s">
        <v>45</v>
      </c>
      <c r="D231" s="89">
        <v>0.7</v>
      </c>
      <c r="E231" s="90">
        <v>3.0</v>
      </c>
      <c r="F231" s="91">
        <v>1.0</v>
      </c>
      <c r="G231" s="92">
        <f>'Start Here'!$F$22*D231</f>
        <v>70</v>
      </c>
      <c r="H231" s="138"/>
      <c r="I231" s="165"/>
      <c r="J231" s="166">
        <f t="shared" si="270"/>
        <v>3</v>
      </c>
      <c r="K231" s="165">
        <f t="shared" si="271"/>
        <v>210</v>
      </c>
      <c r="L231" s="166"/>
      <c r="M231" s="138"/>
      <c r="N231" s="67"/>
      <c r="O231" s="67"/>
      <c r="P231" s="67"/>
      <c r="Q231" s="67"/>
      <c r="R231" s="67"/>
      <c r="S231" s="93" t="str">
        <f t="shared" si="272"/>
        <v> </v>
      </c>
      <c r="T231" s="93" t="str">
        <f t="shared" si="273"/>
        <v> </v>
      </c>
      <c r="U231" s="93">
        <f t="shared" si="274"/>
        <v>3</v>
      </c>
      <c r="V231" s="93" t="str">
        <f t="shared" si="275"/>
        <v> </v>
      </c>
      <c r="W231" s="93" t="str">
        <f t="shared" si="276"/>
        <v> </v>
      </c>
      <c r="X231" s="67"/>
      <c r="Y231" s="67"/>
      <c r="Z231" s="67"/>
      <c r="AA231" s="67"/>
      <c r="AB231" s="67"/>
      <c r="AC231" s="85"/>
      <c r="AG231" s="86"/>
    </row>
    <row r="232" ht="12.75" customHeight="1">
      <c r="A232" s="1"/>
      <c r="B232" s="87"/>
      <c r="C232" s="94" t="s">
        <v>45</v>
      </c>
      <c r="D232" s="89">
        <v>0.8</v>
      </c>
      <c r="E232" s="90">
        <v>2.0</v>
      </c>
      <c r="F232" s="91">
        <v>3.0</v>
      </c>
      <c r="G232" s="92">
        <f>'Start Here'!$F$22*D232</f>
        <v>80</v>
      </c>
      <c r="H232" s="138"/>
      <c r="I232" s="165"/>
      <c r="J232" s="166">
        <f t="shared" si="270"/>
        <v>6</v>
      </c>
      <c r="K232" s="165">
        <f t="shared" si="271"/>
        <v>480</v>
      </c>
      <c r="L232" s="166"/>
      <c r="M232" s="138"/>
      <c r="N232" s="67"/>
      <c r="O232" s="67"/>
      <c r="P232" s="67"/>
      <c r="Q232" s="67"/>
      <c r="R232" s="67"/>
      <c r="S232" s="93" t="str">
        <f t="shared" si="272"/>
        <v> </v>
      </c>
      <c r="T232" s="93" t="str">
        <f t="shared" si="273"/>
        <v> </v>
      </c>
      <c r="U232" s="93" t="str">
        <f t="shared" si="274"/>
        <v> </v>
      </c>
      <c r="V232" s="93">
        <f t="shared" si="275"/>
        <v>6</v>
      </c>
      <c r="W232" s="93" t="str">
        <f t="shared" si="276"/>
        <v> </v>
      </c>
      <c r="X232" s="67"/>
      <c r="Y232" s="67"/>
      <c r="Z232" s="67"/>
      <c r="AA232" s="67"/>
      <c r="AB232" s="67"/>
      <c r="AC232" s="85"/>
      <c r="AG232" s="86"/>
    </row>
    <row r="233" ht="12.75" customHeight="1">
      <c r="A233" s="1"/>
      <c r="B233" s="96">
        <v>4.0</v>
      </c>
      <c r="C233" s="167" t="s">
        <v>92</v>
      </c>
      <c r="D233" s="168"/>
      <c r="E233" s="98">
        <v>6.0</v>
      </c>
      <c r="F233" s="169">
        <v>5.0</v>
      </c>
      <c r="G233" s="170"/>
      <c r="H233" s="138"/>
      <c r="I233" s="165"/>
      <c r="J233" s="166"/>
      <c r="K233" s="165"/>
      <c r="L233" s="166"/>
      <c r="M233" s="138"/>
      <c r="N233" s="67"/>
      <c r="O233" s="67"/>
      <c r="P233" s="67"/>
      <c r="Q233" s="67"/>
      <c r="R233" s="67"/>
      <c r="S233" s="67"/>
      <c r="T233" s="67"/>
      <c r="U233" s="67"/>
      <c r="V233" s="67"/>
      <c r="W233" s="67"/>
      <c r="X233" s="67"/>
      <c r="Y233" s="67"/>
      <c r="Z233" s="67"/>
      <c r="AA233" s="67"/>
      <c r="AB233" s="67"/>
      <c r="AC233" s="85"/>
      <c r="AG233" s="86"/>
    </row>
    <row r="234" ht="12.75" customHeight="1">
      <c r="A234" s="1"/>
      <c r="B234" s="100">
        <v>5.0</v>
      </c>
      <c r="C234" s="171" t="s">
        <v>57</v>
      </c>
      <c r="D234" s="172"/>
      <c r="E234" s="102">
        <v>8.0</v>
      </c>
      <c r="F234" s="173">
        <v>4.0</v>
      </c>
      <c r="G234" s="174"/>
      <c r="H234" s="138"/>
      <c r="I234" s="165"/>
      <c r="J234" s="166"/>
      <c r="K234" s="165"/>
      <c r="L234" s="166"/>
      <c r="M234" s="138"/>
      <c r="N234" s="67"/>
      <c r="O234" s="67"/>
      <c r="P234" s="67"/>
      <c r="Q234" s="67"/>
      <c r="R234" s="67"/>
      <c r="S234" s="67"/>
      <c r="T234" s="67"/>
      <c r="U234" s="67"/>
      <c r="V234" s="67"/>
      <c r="W234" s="67"/>
      <c r="X234" s="67"/>
      <c r="Y234" s="67"/>
      <c r="Z234" s="67"/>
      <c r="AA234" s="67"/>
      <c r="AB234" s="67"/>
      <c r="AC234" s="104"/>
      <c r="AD234" s="105"/>
      <c r="AE234" s="105"/>
      <c r="AF234" s="105"/>
      <c r="AG234" s="106"/>
    </row>
    <row r="235" ht="12.75" customHeight="1">
      <c r="A235" s="1"/>
      <c r="B235" s="67"/>
      <c r="C235" s="136"/>
      <c r="D235" s="137"/>
      <c r="E235" s="138"/>
      <c r="F235" s="138"/>
      <c r="G235" s="138"/>
      <c r="H235" s="166"/>
      <c r="I235" s="165"/>
      <c r="J235" s="166"/>
      <c r="K235" s="165"/>
      <c r="L235" s="166"/>
      <c r="M235" s="138"/>
      <c r="N235" s="67"/>
      <c r="O235" s="67"/>
      <c r="P235" s="67"/>
      <c r="Q235" s="67"/>
      <c r="R235" s="67"/>
      <c r="S235" s="67"/>
      <c r="T235" s="67"/>
      <c r="U235" s="67"/>
      <c r="V235" s="67"/>
      <c r="W235" s="67"/>
      <c r="X235" s="67"/>
      <c r="Y235" s="67"/>
      <c r="Z235" s="67"/>
      <c r="AA235" s="67"/>
      <c r="AB235" s="67"/>
      <c r="AC235" s="67"/>
      <c r="AD235" s="67"/>
      <c r="AE235" s="67"/>
      <c r="AF235" s="67"/>
      <c r="AG235" s="67"/>
    </row>
    <row r="236" ht="37.5" customHeight="1">
      <c r="A236" s="1"/>
      <c r="B236" s="68" t="s">
        <v>58</v>
      </c>
      <c r="D236" s="137" t="s">
        <v>34</v>
      </c>
      <c r="E236" s="138" t="s">
        <v>35</v>
      </c>
      <c r="F236" s="138" t="s">
        <v>36</v>
      </c>
      <c r="G236" s="138" t="s">
        <v>37</v>
      </c>
      <c r="H236" s="166"/>
      <c r="I236" s="165"/>
      <c r="J236" s="166"/>
      <c r="K236" s="165"/>
      <c r="L236" s="166"/>
      <c r="M236" s="138"/>
      <c r="N236" s="67"/>
      <c r="O236" s="67"/>
      <c r="P236" s="67"/>
      <c r="Q236" s="67"/>
      <c r="R236" s="67"/>
      <c r="S236" s="67"/>
      <c r="T236" s="67"/>
      <c r="U236" s="67"/>
      <c r="V236" s="67"/>
      <c r="W236" s="67"/>
      <c r="X236" s="67"/>
      <c r="Y236" s="67"/>
      <c r="Z236" s="67"/>
      <c r="AA236" s="67"/>
      <c r="AB236" s="67"/>
      <c r="AC236" s="67" t="s">
        <v>43</v>
      </c>
      <c r="AD236" s="67"/>
      <c r="AE236" s="67"/>
      <c r="AF236" s="67"/>
      <c r="AG236" s="67"/>
    </row>
    <row r="237" ht="12.75" customHeight="1">
      <c r="A237" s="1"/>
      <c r="B237" s="107">
        <v>1.0</v>
      </c>
      <c r="C237" s="108" t="s">
        <v>105</v>
      </c>
      <c r="D237" s="109">
        <v>0.5</v>
      </c>
      <c r="E237" s="110">
        <v>3.0</v>
      </c>
      <c r="F237" s="111">
        <v>1.0</v>
      </c>
      <c r="G237" s="112">
        <f>'Start Here'!$F$23*D237</f>
        <v>50</v>
      </c>
      <c r="H237" s="138"/>
      <c r="I237" s="165"/>
      <c r="J237" s="166"/>
      <c r="K237" s="165"/>
      <c r="L237" s="166">
        <f t="shared" ref="L237:L239" si="277">E237*F237</f>
        <v>3</v>
      </c>
      <c r="M237" s="138">
        <f t="shared" ref="M237:M239" si="278">G237*L237</f>
        <v>150</v>
      </c>
      <c r="N237" s="67"/>
      <c r="O237" s="67"/>
      <c r="P237" s="67"/>
      <c r="Q237" s="67"/>
      <c r="R237" s="67"/>
      <c r="S237" s="67"/>
      <c r="T237" s="67"/>
      <c r="U237" s="67"/>
      <c r="V237" s="67"/>
      <c r="W237" s="67"/>
      <c r="X237" s="114">
        <f t="shared" ref="X237:X239" si="279">IF(ISNUMBER(SEARCH("deadlift",$C237)),IF($D237&gt;=0.5,IF($D237&lt;0.6,$E237*$F237," ")," ")," ")</f>
        <v>3</v>
      </c>
      <c r="Y237" s="114" t="str">
        <f t="shared" ref="Y237:Y239" si="280">IF(ISNUMBER(SEARCH("deadlift",$C237)),IF($D237&gt;=0.6,IF($D237&lt;0.7,$E237*$F237," ")," ")," ")</f>
        <v> </v>
      </c>
      <c r="Z237" s="114" t="str">
        <f t="shared" ref="Z237:Z239" si="281">IF(ISNUMBER(SEARCH("deadlift",$C237)),IF($D237&gt;=0.7,IF($D237&lt;0.8,$E237*$F237," ")," ")," ")</f>
        <v> </v>
      </c>
      <c r="AA237" s="114" t="str">
        <f t="shared" ref="AA237:AA239" si="282">IF(ISNUMBER(SEARCH("deadlift",$C237)),IF($D237&gt;=0.8,IF($D237&lt;0.9,$E237*$F237," ")," ")," ")</f>
        <v> </v>
      </c>
      <c r="AB237" s="114" t="str">
        <f t="shared" ref="AB237:AB239" si="283">IF(ISNUMBER(SEARCH("deadlift",$C237)),IF($D237&gt;=0.9,$E237*$F237," ")," ")</f>
        <v> </v>
      </c>
      <c r="AC237" s="76"/>
      <c r="AD237" s="77"/>
      <c r="AE237" s="77"/>
      <c r="AF237" s="77"/>
      <c r="AG237" s="78"/>
    </row>
    <row r="238" ht="12.75" customHeight="1">
      <c r="A238" s="1"/>
      <c r="B238" s="115"/>
      <c r="C238" s="122" t="s">
        <v>105</v>
      </c>
      <c r="D238" s="117">
        <v>0.6</v>
      </c>
      <c r="E238" s="118">
        <v>3.0</v>
      </c>
      <c r="F238" s="119">
        <v>1.0</v>
      </c>
      <c r="G238" s="120">
        <f>'Start Here'!$F$23*D238</f>
        <v>60</v>
      </c>
      <c r="H238" s="138"/>
      <c r="I238" s="165"/>
      <c r="J238" s="166"/>
      <c r="K238" s="165"/>
      <c r="L238" s="166">
        <f t="shared" si="277"/>
        <v>3</v>
      </c>
      <c r="M238" s="138">
        <f t="shared" si="278"/>
        <v>180</v>
      </c>
      <c r="N238" s="67"/>
      <c r="O238" s="67"/>
      <c r="P238" s="67"/>
      <c r="Q238" s="67"/>
      <c r="R238" s="67"/>
      <c r="S238" s="67"/>
      <c r="T238" s="67"/>
      <c r="U238" s="67"/>
      <c r="V238" s="67"/>
      <c r="W238" s="67"/>
      <c r="X238" s="114" t="str">
        <f t="shared" si="279"/>
        <v> </v>
      </c>
      <c r="Y238" s="114">
        <f t="shared" si="280"/>
        <v>3</v>
      </c>
      <c r="Z238" s="114" t="str">
        <f t="shared" si="281"/>
        <v> </v>
      </c>
      <c r="AA238" s="114" t="str">
        <f t="shared" si="282"/>
        <v> </v>
      </c>
      <c r="AB238" s="114" t="str">
        <f t="shared" si="283"/>
        <v> </v>
      </c>
      <c r="AC238" s="85"/>
      <c r="AG238" s="86"/>
    </row>
    <row r="239" ht="12.75" customHeight="1">
      <c r="A239" s="1"/>
      <c r="B239" s="115"/>
      <c r="C239" s="122" t="s">
        <v>105</v>
      </c>
      <c r="D239" s="117">
        <v>0.7</v>
      </c>
      <c r="E239" s="118">
        <v>2.0</v>
      </c>
      <c r="F239" s="119">
        <v>4.0</v>
      </c>
      <c r="G239" s="120">
        <f>'Start Here'!$F$23*D239</f>
        <v>70</v>
      </c>
      <c r="H239" s="138"/>
      <c r="I239" s="165"/>
      <c r="J239" s="166"/>
      <c r="K239" s="165"/>
      <c r="L239" s="166">
        <f t="shared" si="277"/>
        <v>8</v>
      </c>
      <c r="M239" s="138">
        <f t="shared" si="278"/>
        <v>560</v>
      </c>
      <c r="N239" s="67"/>
      <c r="O239" s="67"/>
      <c r="P239" s="67"/>
      <c r="Q239" s="67"/>
      <c r="R239" s="67"/>
      <c r="S239" s="67"/>
      <c r="T239" s="67"/>
      <c r="U239" s="67"/>
      <c r="V239" s="67"/>
      <c r="W239" s="67"/>
      <c r="X239" s="114" t="str">
        <f t="shared" si="279"/>
        <v> </v>
      </c>
      <c r="Y239" s="114" t="str">
        <f t="shared" si="280"/>
        <v> </v>
      </c>
      <c r="Z239" s="114">
        <f t="shared" si="281"/>
        <v>8</v>
      </c>
      <c r="AA239" s="114" t="str">
        <f t="shared" si="282"/>
        <v> </v>
      </c>
      <c r="AB239" s="114" t="str">
        <f t="shared" si="283"/>
        <v> </v>
      </c>
      <c r="AC239" s="85"/>
      <c r="AG239" s="86"/>
    </row>
    <row r="240" ht="12.75" customHeight="1">
      <c r="A240" s="1"/>
      <c r="B240" s="135">
        <v>2.0</v>
      </c>
      <c r="C240" s="136" t="s">
        <v>98</v>
      </c>
      <c r="D240" s="137"/>
      <c r="E240" s="68">
        <v>3.0</v>
      </c>
      <c r="F240" s="138">
        <v>5.0</v>
      </c>
      <c r="G240" s="139"/>
      <c r="H240" s="138"/>
      <c r="I240" s="165"/>
      <c r="J240" s="166"/>
      <c r="K240" s="165"/>
      <c r="L240" s="166"/>
      <c r="M240" s="138"/>
      <c r="N240" s="67"/>
      <c r="O240" s="67"/>
      <c r="P240" s="67"/>
      <c r="Q240" s="67"/>
      <c r="R240" s="67"/>
      <c r="S240" s="67"/>
      <c r="T240" s="67"/>
      <c r="U240" s="67"/>
      <c r="V240" s="67"/>
      <c r="W240" s="67"/>
      <c r="X240" s="67"/>
      <c r="Y240" s="67"/>
      <c r="Z240" s="67"/>
      <c r="AA240" s="67"/>
      <c r="AB240" s="67"/>
      <c r="AC240" s="85"/>
      <c r="AG240" s="86"/>
    </row>
    <row r="241" ht="12.75" customHeight="1">
      <c r="A241" s="1"/>
      <c r="B241" s="115">
        <v>3.0</v>
      </c>
      <c r="C241" s="121" t="s">
        <v>114</v>
      </c>
      <c r="D241" s="117">
        <v>0.6</v>
      </c>
      <c r="E241" s="118">
        <v>3.0</v>
      </c>
      <c r="F241" s="119">
        <v>1.0</v>
      </c>
      <c r="G241" s="120">
        <f>'Start Here'!$F$23*D241</f>
        <v>60</v>
      </c>
      <c r="H241" s="138"/>
      <c r="I241" s="165"/>
      <c r="J241" s="166"/>
      <c r="K241" s="165"/>
      <c r="L241" s="166">
        <f t="shared" ref="L241:L244" si="284">E241*F241</f>
        <v>3</v>
      </c>
      <c r="M241" s="138">
        <f t="shared" ref="M241:M244" si="285">G241*L241</f>
        <v>180</v>
      </c>
      <c r="N241" s="67"/>
      <c r="O241" s="67"/>
      <c r="P241" s="67"/>
      <c r="Q241" s="67"/>
      <c r="R241" s="67"/>
      <c r="S241" s="67"/>
      <c r="T241" s="67"/>
      <c r="U241" s="67"/>
      <c r="V241" s="67"/>
      <c r="W241" s="67"/>
      <c r="X241" s="114" t="str">
        <f t="shared" ref="X241:X244" si="286">IF(ISNUMBER(SEARCH("deadlift",$C241)),IF($D241&gt;=0.5,IF($D241&lt;0.6,$E241*$F241," ")," ")," ")</f>
        <v> </v>
      </c>
      <c r="Y241" s="114">
        <f t="shared" ref="Y241:Y244" si="287">IF(ISNUMBER(SEARCH("deadlift",$C241)),IF($D241&gt;=0.6,IF($D241&lt;0.7,$E241*$F241," ")," ")," ")</f>
        <v>3</v>
      </c>
      <c r="Z241" s="114" t="str">
        <f t="shared" ref="Z241:Z244" si="288">IF(ISNUMBER(SEARCH("deadlift",$C241)),IF($D241&gt;=0.7,IF($D241&lt;0.8,$E241*$F241," ")," ")," ")</f>
        <v> </v>
      </c>
      <c r="AA241" s="114" t="str">
        <f t="shared" ref="AA241:AA244" si="289">IF(ISNUMBER(SEARCH("deadlift",$C241)),IF($D241&gt;=0.8,IF($D241&lt;0.9,$E241*$F241," ")," ")," ")</f>
        <v> </v>
      </c>
      <c r="AB241" s="114" t="str">
        <f t="shared" ref="AB241:AB244" si="290">IF(ISNUMBER(SEARCH("deadlift",$C241)),IF($D241&gt;=0.9,$E241*$F241," ")," ")</f>
        <v> </v>
      </c>
      <c r="AC241" s="85"/>
      <c r="AG241" s="86"/>
    </row>
    <row r="242" ht="12.75" customHeight="1">
      <c r="A242" s="1"/>
      <c r="B242" s="115"/>
      <c r="C242" s="122" t="s">
        <v>114</v>
      </c>
      <c r="D242" s="117">
        <v>0.7</v>
      </c>
      <c r="E242" s="118">
        <v>3.0</v>
      </c>
      <c r="F242" s="119">
        <v>1.0</v>
      </c>
      <c r="G242" s="120">
        <f>'Start Here'!$F$23*D242</f>
        <v>70</v>
      </c>
      <c r="H242" s="138"/>
      <c r="I242" s="165"/>
      <c r="J242" s="166"/>
      <c r="K242" s="165"/>
      <c r="L242" s="166">
        <f t="shared" si="284"/>
        <v>3</v>
      </c>
      <c r="M242" s="138">
        <f t="shared" si="285"/>
        <v>210</v>
      </c>
      <c r="N242" s="67"/>
      <c r="O242" s="67"/>
      <c r="P242" s="67"/>
      <c r="Q242" s="67"/>
      <c r="R242" s="67"/>
      <c r="S242" s="67"/>
      <c r="T242" s="67"/>
      <c r="U242" s="67"/>
      <c r="V242" s="67"/>
      <c r="W242" s="67"/>
      <c r="X242" s="114" t="str">
        <f t="shared" si="286"/>
        <v> </v>
      </c>
      <c r="Y242" s="114" t="str">
        <f t="shared" si="287"/>
        <v> </v>
      </c>
      <c r="Z242" s="114">
        <f t="shared" si="288"/>
        <v>3</v>
      </c>
      <c r="AA242" s="114" t="str">
        <f t="shared" si="289"/>
        <v> </v>
      </c>
      <c r="AB242" s="114" t="str">
        <f t="shared" si="290"/>
        <v> </v>
      </c>
      <c r="AC242" s="85"/>
      <c r="AG242" s="86"/>
    </row>
    <row r="243" ht="12.75" customHeight="1">
      <c r="A243" s="1"/>
      <c r="B243" s="115"/>
      <c r="C243" s="122" t="s">
        <v>114</v>
      </c>
      <c r="D243" s="117">
        <v>0.8</v>
      </c>
      <c r="E243" s="118">
        <v>3.0</v>
      </c>
      <c r="F243" s="119">
        <v>1.0</v>
      </c>
      <c r="G243" s="120">
        <f>'Start Here'!$F$23*D243</f>
        <v>80</v>
      </c>
      <c r="H243" s="138"/>
      <c r="I243" s="165"/>
      <c r="J243" s="166"/>
      <c r="K243" s="165"/>
      <c r="L243" s="166">
        <f t="shared" si="284"/>
        <v>3</v>
      </c>
      <c r="M243" s="138">
        <f t="shared" si="285"/>
        <v>240</v>
      </c>
      <c r="N243" s="67"/>
      <c r="O243" s="67"/>
      <c r="P243" s="67"/>
      <c r="Q243" s="67"/>
      <c r="R243" s="67"/>
      <c r="S243" s="67"/>
      <c r="T243" s="67"/>
      <c r="U243" s="67"/>
      <c r="V243" s="67"/>
      <c r="W243" s="67"/>
      <c r="X243" s="114" t="str">
        <f t="shared" si="286"/>
        <v> </v>
      </c>
      <c r="Y243" s="114" t="str">
        <f t="shared" si="287"/>
        <v> </v>
      </c>
      <c r="Z243" s="114" t="str">
        <f t="shared" si="288"/>
        <v> </v>
      </c>
      <c r="AA243" s="114">
        <f t="shared" si="289"/>
        <v>3</v>
      </c>
      <c r="AB243" s="114" t="str">
        <f t="shared" si="290"/>
        <v> </v>
      </c>
      <c r="AC243" s="85"/>
      <c r="AG243" s="86"/>
    </row>
    <row r="244" ht="12.75" customHeight="1">
      <c r="A244" s="1"/>
      <c r="B244" s="115"/>
      <c r="C244" s="122" t="s">
        <v>114</v>
      </c>
      <c r="D244" s="117">
        <v>0.85</v>
      </c>
      <c r="E244" s="118">
        <v>2.0</v>
      </c>
      <c r="F244" s="119">
        <v>3.0</v>
      </c>
      <c r="G244" s="120">
        <f>'Start Here'!$F$23*D244</f>
        <v>85</v>
      </c>
      <c r="H244" s="138"/>
      <c r="I244" s="165"/>
      <c r="J244" s="166"/>
      <c r="K244" s="165"/>
      <c r="L244" s="166">
        <f t="shared" si="284"/>
        <v>6</v>
      </c>
      <c r="M244" s="138">
        <f t="shared" si="285"/>
        <v>510</v>
      </c>
      <c r="N244" s="67"/>
      <c r="O244" s="67"/>
      <c r="P244" s="67"/>
      <c r="Q244" s="67"/>
      <c r="R244" s="67"/>
      <c r="S244" s="67"/>
      <c r="T244" s="67"/>
      <c r="U244" s="67"/>
      <c r="V244" s="67"/>
      <c r="W244" s="67"/>
      <c r="X244" s="114" t="str">
        <f t="shared" si="286"/>
        <v> </v>
      </c>
      <c r="Y244" s="114" t="str">
        <f t="shared" si="287"/>
        <v> </v>
      </c>
      <c r="Z244" s="114" t="str">
        <f t="shared" si="288"/>
        <v> </v>
      </c>
      <c r="AA244" s="114">
        <f t="shared" si="289"/>
        <v>6</v>
      </c>
      <c r="AB244" s="114" t="str">
        <f t="shared" si="290"/>
        <v> </v>
      </c>
      <c r="AC244" s="85"/>
      <c r="AG244" s="86"/>
    </row>
    <row r="245" ht="12.75" customHeight="1">
      <c r="A245" s="1"/>
      <c r="B245" s="96">
        <v>5.0</v>
      </c>
      <c r="C245" s="167" t="s">
        <v>95</v>
      </c>
      <c r="D245" s="168"/>
      <c r="E245" s="98">
        <v>6.0</v>
      </c>
      <c r="F245" s="169">
        <v>5.0</v>
      </c>
      <c r="G245" s="170"/>
      <c r="H245" s="196"/>
      <c r="I245" s="197"/>
      <c r="J245" s="198"/>
      <c r="K245" s="197"/>
      <c r="L245" s="198"/>
      <c r="M245" s="196"/>
      <c r="N245" s="67"/>
      <c r="O245" s="67"/>
      <c r="P245" s="67"/>
      <c r="Q245" s="67"/>
      <c r="R245" s="67"/>
      <c r="S245" s="67"/>
      <c r="T245" s="67"/>
      <c r="U245" s="67"/>
      <c r="V245" s="67"/>
      <c r="W245" s="67"/>
      <c r="X245" s="67"/>
      <c r="Y245" s="67"/>
      <c r="Z245" s="67"/>
      <c r="AA245" s="67"/>
      <c r="AB245" s="67"/>
      <c r="AC245" s="85"/>
      <c r="AG245" s="86"/>
    </row>
    <row r="246" ht="12.75" customHeight="1">
      <c r="A246" s="1"/>
      <c r="B246" s="100">
        <v>6.0</v>
      </c>
      <c r="C246" s="171" t="s">
        <v>115</v>
      </c>
      <c r="D246" s="172"/>
      <c r="E246" s="102">
        <v>5.0</v>
      </c>
      <c r="F246" s="173">
        <v>5.0</v>
      </c>
      <c r="G246" s="174"/>
      <c r="H246" s="196"/>
      <c r="I246" s="197"/>
      <c r="J246" s="198"/>
      <c r="K246" s="197"/>
      <c r="L246" s="198"/>
      <c r="M246" s="196"/>
      <c r="N246" s="67"/>
      <c r="O246" s="67"/>
      <c r="P246" s="67"/>
      <c r="Q246" s="67"/>
      <c r="R246" s="67"/>
      <c r="S246" s="67"/>
      <c r="T246" s="67"/>
      <c r="U246" s="67"/>
      <c r="V246" s="67"/>
      <c r="W246" s="67"/>
      <c r="X246" s="67"/>
      <c r="Y246" s="67"/>
      <c r="Z246" s="67"/>
      <c r="AA246" s="67"/>
      <c r="AB246" s="67"/>
      <c r="AC246" s="104"/>
      <c r="AD246" s="105"/>
      <c r="AE246" s="105"/>
      <c r="AF246" s="105"/>
      <c r="AG246" s="106"/>
    </row>
    <row r="247" ht="12.75" customHeight="1">
      <c r="A247" s="181"/>
      <c r="B247" s="142"/>
      <c r="C247" s="182"/>
      <c r="D247" s="183"/>
      <c r="E247" s="143"/>
      <c r="F247" s="184"/>
      <c r="G247" s="184"/>
      <c r="H247" s="185">
        <f t="shared" ref="H247:M247" si="291">SUM(H189:H245)</f>
        <v>42</v>
      </c>
      <c r="I247" s="185">
        <f t="shared" si="291"/>
        <v>2840</v>
      </c>
      <c r="J247" s="185">
        <f t="shared" si="291"/>
        <v>84</v>
      </c>
      <c r="K247" s="185">
        <f t="shared" si="291"/>
        <v>6100</v>
      </c>
      <c r="L247" s="185">
        <f t="shared" si="291"/>
        <v>63</v>
      </c>
      <c r="M247" s="185">
        <f t="shared" si="291"/>
        <v>4350</v>
      </c>
      <c r="N247" s="187">
        <f t="shared" ref="N247:AA247" si="292">SUM(N189:N246)</f>
        <v>10</v>
      </c>
      <c r="O247" s="187">
        <f t="shared" si="292"/>
        <v>8</v>
      </c>
      <c r="P247" s="187">
        <f t="shared" si="292"/>
        <v>6</v>
      </c>
      <c r="Q247" s="187">
        <f t="shared" si="292"/>
        <v>18</v>
      </c>
      <c r="R247" s="187">
        <f t="shared" si="292"/>
        <v>0</v>
      </c>
      <c r="S247" s="67">
        <f t="shared" si="292"/>
        <v>16</v>
      </c>
      <c r="T247" s="67">
        <f t="shared" si="292"/>
        <v>14</v>
      </c>
      <c r="U247" s="67">
        <f t="shared" si="292"/>
        <v>12</v>
      </c>
      <c r="V247" s="67">
        <f t="shared" si="292"/>
        <v>35</v>
      </c>
      <c r="W247" s="67">
        <f t="shared" si="292"/>
        <v>7</v>
      </c>
      <c r="X247" s="144">
        <f t="shared" si="292"/>
        <v>9</v>
      </c>
      <c r="Y247" s="144">
        <f t="shared" si="292"/>
        <v>12</v>
      </c>
      <c r="Z247" s="144">
        <f t="shared" si="292"/>
        <v>17</v>
      </c>
      <c r="AA247" s="144">
        <f t="shared" si="292"/>
        <v>17</v>
      </c>
      <c r="AB247" s="142">
        <f>SUM(AB188:AB246)</f>
        <v>0</v>
      </c>
      <c r="AC247" s="142"/>
      <c r="AD247" s="142"/>
      <c r="AE247" s="142"/>
      <c r="AF247" s="142"/>
      <c r="AG247" s="142"/>
    </row>
    <row r="248" ht="48.75" customHeight="1">
      <c r="A248" s="1"/>
      <c r="B248" s="66" t="s">
        <v>116</v>
      </c>
      <c r="H248" s="138"/>
      <c r="I248" s="165"/>
      <c r="J248" s="166"/>
      <c r="K248" s="165"/>
      <c r="L248" s="166"/>
      <c r="M248" s="138"/>
      <c r="N248" s="67"/>
      <c r="O248" s="67"/>
      <c r="P248" s="67"/>
      <c r="Q248" s="67"/>
      <c r="R248" s="67"/>
      <c r="S248" s="67"/>
      <c r="T248" s="67"/>
      <c r="U248" s="67"/>
      <c r="V248" s="67"/>
      <c r="W248" s="67"/>
      <c r="X248" s="67"/>
      <c r="Y248" s="67"/>
      <c r="Z248" s="67"/>
      <c r="AA248" s="67"/>
      <c r="AB248" s="67"/>
      <c r="AC248" s="67"/>
      <c r="AD248" s="67"/>
      <c r="AE248" s="67"/>
      <c r="AF248" s="67"/>
      <c r="AG248" s="67"/>
    </row>
    <row r="249" ht="25.5" customHeight="1">
      <c r="A249" s="1"/>
      <c r="B249" s="68" t="s">
        <v>33</v>
      </c>
      <c r="D249" s="137" t="s">
        <v>34</v>
      </c>
      <c r="E249" s="138" t="s">
        <v>35</v>
      </c>
      <c r="F249" s="138" t="s">
        <v>36</v>
      </c>
      <c r="G249" s="138" t="s">
        <v>37</v>
      </c>
      <c r="H249" s="166"/>
      <c r="I249" s="165"/>
      <c r="J249" s="166"/>
      <c r="K249" s="165"/>
      <c r="L249" s="166"/>
      <c r="M249" s="138"/>
      <c r="N249" s="67"/>
      <c r="O249" s="67"/>
      <c r="P249" s="67"/>
      <c r="Q249" s="67"/>
      <c r="R249" s="67"/>
      <c r="S249" s="67"/>
      <c r="T249" s="67"/>
      <c r="U249" s="67"/>
      <c r="V249" s="67"/>
      <c r="W249" s="67"/>
      <c r="X249" s="67"/>
      <c r="Y249" s="67"/>
      <c r="Z249" s="67"/>
      <c r="AA249" s="67"/>
      <c r="AB249" s="67"/>
      <c r="AC249" s="67" t="s">
        <v>43</v>
      </c>
      <c r="AD249" s="67"/>
      <c r="AE249" s="67"/>
      <c r="AF249" s="67"/>
      <c r="AG249" s="67"/>
    </row>
    <row r="250" ht="12.75" customHeight="1">
      <c r="A250" s="1"/>
      <c r="B250" s="123">
        <v>1.0</v>
      </c>
      <c r="C250" s="124" t="s">
        <v>45</v>
      </c>
      <c r="D250" s="125">
        <v>0.5</v>
      </c>
      <c r="E250" s="126">
        <v>5.0</v>
      </c>
      <c r="F250" s="127">
        <v>1.0</v>
      </c>
      <c r="G250" s="128">
        <f>'Start Here'!$F$22*D250</f>
        <v>50</v>
      </c>
      <c r="H250" s="138"/>
      <c r="I250" s="165"/>
      <c r="J250" s="166">
        <f t="shared" ref="J250:J253" si="293">E250*F250</f>
        <v>5</v>
      </c>
      <c r="K250" s="165">
        <f t="shared" ref="K250:K253" si="294">G250*J250</f>
        <v>250</v>
      </c>
      <c r="L250" s="166"/>
      <c r="M250" s="138"/>
      <c r="N250" s="67"/>
      <c r="O250" s="67"/>
      <c r="P250" s="67"/>
      <c r="Q250" s="67"/>
      <c r="R250" s="67"/>
      <c r="S250" s="93">
        <f t="shared" ref="S250:S253" si="295">IF(ISNUMBER(SEARCH("bench",$C250)),IF($D250&gt;=0.5,IF($D250&lt;0.6,$E250*$F250," ")," ")," ")</f>
        <v>5</v>
      </c>
      <c r="T250" s="93" t="str">
        <f t="shared" ref="T250:T253" si="296">IF(ISNUMBER(SEARCH("bench",$C250)),IF($D250&gt;=0.6,IF($D250&lt;0.7,$E250*$F250," ")," ")," ")</f>
        <v> </v>
      </c>
      <c r="U250" s="93" t="str">
        <f t="shared" ref="U250:U253" si="297">IF(ISNUMBER(SEARCH("bench",$C250)),IF($D250&gt;=0.7,IF($D250&lt;0.8,$E250*$F250," ")," ")," ")</f>
        <v> </v>
      </c>
      <c r="V250" s="93" t="str">
        <f t="shared" ref="V250:V253" si="298">IF(ISNUMBER(SEARCH("bench",$C250)),IF($D250&gt;=0.8,IF($D250&lt;0.9,$E250*$F250," ")," ")," ")</f>
        <v> </v>
      </c>
      <c r="W250" s="93" t="str">
        <f t="shared" ref="W250:W253" si="299">IF(ISNUMBER(SEARCH("bench",$C250)),IF($D250&gt;=0.9,$E250*$F250," ")," ")</f>
        <v> </v>
      </c>
      <c r="X250" s="67"/>
      <c r="Y250" s="67"/>
      <c r="Z250" s="67"/>
      <c r="AA250" s="67"/>
      <c r="AB250" s="67"/>
      <c r="AC250" s="76"/>
      <c r="AD250" s="77"/>
      <c r="AE250" s="77"/>
      <c r="AF250" s="77"/>
      <c r="AG250" s="78"/>
    </row>
    <row r="251" ht="12.75" customHeight="1">
      <c r="A251" s="1"/>
      <c r="B251" s="87"/>
      <c r="C251" s="94" t="s">
        <v>45</v>
      </c>
      <c r="D251" s="89">
        <v>0.6</v>
      </c>
      <c r="E251" s="90">
        <v>4.0</v>
      </c>
      <c r="F251" s="91">
        <v>1.0</v>
      </c>
      <c r="G251" s="92">
        <f>'Start Here'!$F$22*D251</f>
        <v>60</v>
      </c>
      <c r="H251" s="138"/>
      <c r="I251" s="165"/>
      <c r="J251" s="166">
        <f t="shared" si="293"/>
        <v>4</v>
      </c>
      <c r="K251" s="165">
        <f t="shared" si="294"/>
        <v>240</v>
      </c>
      <c r="L251" s="166"/>
      <c r="M251" s="138"/>
      <c r="N251" s="67"/>
      <c r="O251" s="67"/>
      <c r="P251" s="67"/>
      <c r="Q251" s="67"/>
      <c r="R251" s="67"/>
      <c r="S251" s="93" t="str">
        <f t="shared" si="295"/>
        <v> </v>
      </c>
      <c r="T251" s="93">
        <f t="shared" si="296"/>
        <v>4</v>
      </c>
      <c r="U251" s="93" t="str">
        <f t="shared" si="297"/>
        <v> </v>
      </c>
      <c r="V251" s="93" t="str">
        <f t="shared" si="298"/>
        <v> </v>
      </c>
      <c r="W251" s="93" t="str">
        <f t="shared" si="299"/>
        <v> </v>
      </c>
      <c r="X251" s="67"/>
      <c r="Y251" s="67"/>
      <c r="Z251" s="67"/>
      <c r="AA251" s="67"/>
      <c r="AB251" s="67"/>
      <c r="AC251" s="85"/>
      <c r="AG251" s="86"/>
    </row>
    <row r="252" ht="12.75" customHeight="1">
      <c r="A252" s="1"/>
      <c r="B252" s="87"/>
      <c r="C252" s="94" t="s">
        <v>45</v>
      </c>
      <c r="D252" s="89">
        <v>0.7</v>
      </c>
      <c r="E252" s="90">
        <v>3.0</v>
      </c>
      <c r="F252" s="91">
        <v>1.0</v>
      </c>
      <c r="G252" s="92">
        <f>'Start Here'!$F$22*D252</f>
        <v>70</v>
      </c>
      <c r="H252" s="138"/>
      <c r="I252" s="165"/>
      <c r="J252" s="166">
        <f t="shared" si="293"/>
        <v>3</v>
      </c>
      <c r="K252" s="165">
        <f t="shared" si="294"/>
        <v>210</v>
      </c>
      <c r="L252" s="166"/>
      <c r="M252" s="138"/>
      <c r="N252" s="67"/>
      <c r="O252" s="67"/>
      <c r="P252" s="67"/>
      <c r="Q252" s="67"/>
      <c r="R252" s="67"/>
      <c r="S252" s="93" t="str">
        <f t="shared" si="295"/>
        <v> </v>
      </c>
      <c r="T252" s="93" t="str">
        <f t="shared" si="296"/>
        <v> </v>
      </c>
      <c r="U252" s="93">
        <f t="shared" si="297"/>
        <v>3</v>
      </c>
      <c r="V252" s="93" t="str">
        <f t="shared" si="298"/>
        <v> </v>
      </c>
      <c r="W252" s="93" t="str">
        <f t="shared" si="299"/>
        <v> </v>
      </c>
      <c r="X252" s="67"/>
      <c r="Y252" s="67"/>
      <c r="Z252" s="67"/>
      <c r="AA252" s="67"/>
      <c r="AB252" s="67"/>
      <c r="AC252" s="85"/>
      <c r="AG252" s="86"/>
    </row>
    <row r="253" ht="12.75" customHeight="1">
      <c r="A253" s="1"/>
      <c r="B253" s="87"/>
      <c r="C253" s="94" t="s">
        <v>45</v>
      </c>
      <c r="D253" s="89">
        <v>0.8</v>
      </c>
      <c r="E253" s="90">
        <v>3.0</v>
      </c>
      <c r="F253" s="91">
        <v>4.0</v>
      </c>
      <c r="G253" s="92">
        <f>'Start Here'!$F$22*D253</f>
        <v>80</v>
      </c>
      <c r="H253" s="138"/>
      <c r="I253" s="165"/>
      <c r="J253" s="166">
        <f t="shared" si="293"/>
        <v>12</v>
      </c>
      <c r="K253" s="165">
        <f t="shared" si="294"/>
        <v>960</v>
      </c>
      <c r="L253" s="166"/>
      <c r="M253" s="138"/>
      <c r="N253" s="67"/>
      <c r="O253" s="67"/>
      <c r="P253" s="67"/>
      <c r="Q253" s="67"/>
      <c r="R253" s="67"/>
      <c r="S253" s="93" t="str">
        <f t="shared" si="295"/>
        <v> </v>
      </c>
      <c r="T253" s="93" t="str">
        <f t="shared" si="296"/>
        <v> </v>
      </c>
      <c r="U253" s="93" t="str">
        <f t="shared" si="297"/>
        <v> </v>
      </c>
      <c r="V253" s="93">
        <f t="shared" si="298"/>
        <v>12</v>
      </c>
      <c r="W253" s="93" t="str">
        <f t="shared" si="299"/>
        <v> </v>
      </c>
      <c r="X253" s="67"/>
      <c r="Y253" s="67"/>
      <c r="Z253" s="67"/>
      <c r="AA253" s="67"/>
      <c r="AB253" s="67"/>
      <c r="AC253" s="85"/>
      <c r="AG253" s="86"/>
    </row>
    <row r="254" ht="12.75" customHeight="1">
      <c r="A254" s="1"/>
      <c r="B254" s="79">
        <v>2.0</v>
      </c>
      <c r="C254" s="95" t="s">
        <v>46</v>
      </c>
      <c r="D254" s="81">
        <v>0.5</v>
      </c>
      <c r="E254" s="82">
        <v>5.0</v>
      </c>
      <c r="F254" s="83">
        <v>1.0</v>
      </c>
      <c r="G254" s="84">
        <f>'Start Here'!$F$21*D254</f>
        <v>50</v>
      </c>
      <c r="H254" s="138">
        <f t="shared" ref="H254:H261" si="300">E254*F254</f>
        <v>5</v>
      </c>
      <c r="I254" s="165">
        <f t="shared" ref="I254:I261" si="301">G254*H254</f>
        <v>250</v>
      </c>
      <c r="J254" s="166"/>
      <c r="K254" s="165"/>
      <c r="L254" s="166"/>
      <c r="M254" s="138"/>
      <c r="N254" s="75">
        <f t="shared" ref="N254:N261" si="302">IF(ISNUMBER(SEARCH("squat",$C254)),IF($D254&gt;=0.5,IF($D254&lt;0.6,$E254*$F254," ")," ")," ")</f>
        <v>5</v>
      </c>
      <c r="O254" s="75" t="str">
        <f t="shared" ref="O254:O261" si="303">IF(ISNUMBER(SEARCH("squat",$C254)),IF($D254&gt;=0.6,IF($D254&lt;0.7,$E254*$F254," ")," ")," ")</f>
        <v> </v>
      </c>
      <c r="P254" s="75" t="str">
        <f t="shared" ref="P254:P261" si="304">IF(ISNUMBER(SEARCH("squat",$C254)),IF($D254&gt;=0.7,IF($D254&lt;0.8,$E254*$F254," ")," ")," ")</f>
        <v> </v>
      </c>
      <c r="Q254" s="75" t="str">
        <f t="shared" ref="Q254:Q261" si="305">IF(ISNUMBER(SEARCH("squat",$C254)),IF($D254&gt;=0.8,IF($D254&lt;0.9,$E254*$F254," ")," ")," ")</f>
        <v> </v>
      </c>
      <c r="R254" s="75" t="str">
        <f t="shared" ref="R254:R261" si="306">IF(ISNUMBER(SEARCH("squat",$C254)),IF($D254&gt;=0.9,$E254*$F254," ")," ")</f>
        <v> </v>
      </c>
      <c r="S254" s="67"/>
      <c r="T254" s="67"/>
      <c r="U254" s="67"/>
      <c r="V254" s="67"/>
      <c r="W254" s="67"/>
      <c r="X254" s="67"/>
      <c r="Y254" s="67"/>
      <c r="Z254" s="67"/>
      <c r="AA254" s="67"/>
      <c r="AB254" s="67"/>
      <c r="AC254" s="85"/>
      <c r="AG254" s="86"/>
    </row>
    <row r="255" ht="12.75" customHeight="1">
      <c r="A255" s="1"/>
      <c r="B255" s="79"/>
      <c r="C255" s="80" t="s">
        <v>46</v>
      </c>
      <c r="D255" s="81">
        <v>0.6</v>
      </c>
      <c r="E255" s="82">
        <v>5.0</v>
      </c>
      <c r="F255" s="83">
        <v>1.0</v>
      </c>
      <c r="G255" s="84">
        <f>'Start Here'!$F$21*D255</f>
        <v>60</v>
      </c>
      <c r="H255" s="138">
        <f t="shared" si="300"/>
        <v>5</v>
      </c>
      <c r="I255" s="165">
        <f t="shared" si="301"/>
        <v>300</v>
      </c>
      <c r="J255" s="166"/>
      <c r="K255" s="165"/>
      <c r="L255" s="166"/>
      <c r="M255" s="138"/>
      <c r="N255" s="75" t="str">
        <f t="shared" si="302"/>
        <v> </v>
      </c>
      <c r="O255" s="75">
        <f t="shared" si="303"/>
        <v>5</v>
      </c>
      <c r="P255" s="75" t="str">
        <f t="shared" si="304"/>
        <v> </v>
      </c>
      <c r="Q255" s="75" t="str">
        <f t="shared" si="305"/>
        <v> </v>
      </c>
      <c r="R255" s="75" t="str">
        <f t="shared" si="306"/>
        <v> </v>
      </c>
      <c r="S255" s="67"/>
      <c r="T255" s="67"/>
      <c r="U255" s="67"/>
      <c r="V255" s="67"/>
      <c r="W255" s="67"/>
      <c r="X255" s="67"/>
      <c r="Y255" s="67"/>
      <c r="Z255" s="67"/>
      <c r="AA255" s="67"/>
      <c r="AB255" s="67"/>
      <c r="AC255" s="85"/>
      <c r="AG255" s="86"/>
    </row>
    <row r="256" ht="12.75" customHeight="1">
      <c r="A256" s="1"/>
      <c r="B256" s="79"/>
      <c r="C256" s="80" t="s">
        <v>46</v>
      </c>
      <c r="D256" s="81">
        <v>0.7</v>
      </c>
      <c r="E256" s="82">
        <v>3.0</v>
      </c>
      <c r="F256" s="83">
        <v>1.0</v>
      </c>
      <c r="G256" s="84">
        <f>'Start Here'!$F$21*D256</f>
        <v>70</v>
      </c>
      <c r="H256" s="138">
        <f t="shared" si="300"/>
        <v>3</v>
      </c>
      <c r="I256" s="165">
        <f t="shared" si="301"/>
        <v>210</v>
      </c>
      <c r="J256" s="166"/>
      <c r="K256" s="165"/>
      <c r="L256" s="166"/>
      <c r="M256" s="138"/>
      <c r="N256" s="75" t="str">
        <f t="shared" si="302"/>
        <v> </v>
      </c>
      <c r="O256" s="75" t="str">
        <f t="shared" si="303"/>
        <v> </v>
      </c>
      <c r="P256" s="75">
        <f t="shared" si="304"/>
        <v>3</v>
      </c>
      <c r="Q256" s="75" t="str">
        <f t="shared" si="305"/>
        <v> </v>
      </c>
      <c r="R256" s="75" t="str">
        <f t="shared" si="306"/>
        <v> </v>
      </c>
      <c r="S256" s="67"/>
      <c r="T256" s="67"/>
      <c r="U256" s="67"/>
      <c r="V256" s="67"/>
      <c r="W256" s="67"/>
      <c r="X256" s="67"/>
      <c r="Y256" s="67"/>
      <c r="Z256" s="67"/>
      <c r="AA256" s="67"/>
      <c r="AB256" s="67"/>
      <c r="AC256" s="85"/>
      <c r="AG256" s="86"/>
    </row>
    <row r="257" ht="12.75" customHeight="1">
      <c r="A257" s="1"/>
      <c r="B257" s="79"/>
      <c r="C257" s="80" t="s">
        <v>46</v>
      </c>
      <c r="D257" s="81">
        <v>0.7</v>
      </c>
      <c r="E257" s="82">
        <v>5.0</v>
      </c>
      <c r="F257" s="83">
        <v>1.0</v>
      </c>
      <c r="G257" s="84">
        <f>'Start Here'!$F$21*D257</f>
        <v>70</v>
      </c>
      <c r="H257" s="138">
        <f t="shared" si="300"/>
        <v>5</v>
      </c>
      <c r="I257" s="165">
        <f t="shared" si="301"/>
        <v>350</v>
      </c>
      <c r="J257" s="166"/>
      <c r="K257" s="165"/>
      <c r="L257" s="166"/>
      <c r="M257" s="138"/>
      <c r="N257" s="75" t="str">
        <f t="shared" si="302"/>
        <v> </v>
      </c>
      <c r="O257" s="75" t="str">
        <f t="shared" si="303"/>
        <v> </v>
      </c>
      <c r="P257" s="75">
        <f t="shared" si="304"/>
        <v>5</v>
      </c>
      <c r="Q257" s="75" t="str">
        <f t="shared" si="305"/>
        <v> </v>
      </c>
      <c r="R257" s="75" t="str">
        <f t="shared" si="306"/>
        <v> </v>
      </c>
      <c r="S257" s="67"/>
      <c r="T257" s="67"/>
      <c r="U257" s="67"/>
      <c r="V257" s="67"/>
      <c r="W257" s="67"/>
      <c r="X257" s="67"/>
      <c r="Y257" s="67"/>
      <c r="Z257" s="67"/>
      <c r="AA257" s="67"/>
      <c r="AB257" s="67"/>
      <c r="AC257" s="85"/>
      <c r="AG257" s="86"/>
    </row>
    <row r="258" ht="12.75" customHeight="1">
      <c r="A258" s="1"/>
      <c r="B258" s="79"/>
      <c r="C258" s="80" t="s">
        <v>46</v>
      </c>
      <c r="D258" s="81">
        <v>0.7</v>
      </c>
      <c r="E258" s="82">
        <v>7.0</v>
      </c>
      <c r="F258" s="83">
        <v>1.0</v>
      </c>
      <c r="G258" s="84">
        <f>'Start Here'!$F$21*D258</f>
        <v>70</v>
      </c>
      <c r="H258" s="138">
        <f t="shared" si="300"/>
        <v>7</v>
      </c>
      <c r="I258" s="165">
        <f t="shared" si="301"/>
        <v>490</v>
      </c>
      <c r="J258" s="166"/>
      <c r="K258" s="165"/>
      <c r="L258" s="166"/>
      <c r="M258" s="138"/>
      <c r="N258" s="75" t="str">
        <f t="shared" si="302"/>
        <v> </v>
      </c>
      <c r="O258" s="75" t="str">
        <f t="shared" si="303"/>
        <v> </v>
      </c>
      <c r="P258" s="75">
        <f t="shared" si="304"/>
        <v>7</v>
      </c>
      <c r="Q258" s="75" t="str">
        <f t="shared" si="305"/>
        <v> </v>
      </c>
      <c r="R258" s="75" t="str">
        <f t="shared" si="306"/>
        <v> </v>
      </c>
      <c r="S258" s="67"/>
      <c r="T258" s="67"/>
      <c r="U258" s="67"/>
      <c r="V258" s="67"/>
      <c r="W258" s="67"/>
      <c r="X258" s="67"/>
      <c r="Y258" s="67"/>
      <c r="Z258" s="67"/>
      <c r="AA258" s="67"/>
      <c r="AB258" s="67"/>
      <c r="AC258" s="85"/>
      <c r="AG258" s="86"/>
    </row>
    <row r="259" ht="12.75" customHeight="1">
      <c r="A259" s="1"/>
      <c r="B259" s="79"/>
      <c r="C259" s="80" t="s">
        <v>46</v>
      </c>
      <c r="D259" s="81">
        <v>0.7</v>
      </c>
      <c r="E259" s="82">
        <v>4.0</v>
      </c>
      <c r="F259" s="83">
        <v>1.0</v>
      </c>
      <c r="G259" s="84">
        <f>'Start Here'!$F$21*D259</f>
        <v>70</v>
      </c>
      <c r="H259" s="138">
        <f t="shared" si="300"/>
        <v>4</v>
      </c>
      <c r="I259" s="165">
        <f t="shared" si="301"/>
        <v>280</v>
      </c>
      <c r="J259" s="166"/>
      <c r="K259" s="165"/>
      <c r="L259" s="166"/>
      <c r="M259" s="138"/>
      <c r="N259" s="75" t="str">
        <f t="shared" si="302"/>
        <v> </v>
      </c>
      <c r="O259" s="75" t="str">
        <f t="shared" si="303"/>
        <v> </v>
      </c>
      <c r="P259" s="75">
        <f t="shared" si="304"/>
        <v>4</v>
      </c>
      <c r="Q259" s="75" t="str">
        <f t="shared" si="305"/>
        <v> </v>
      </c>
      <c r="R259" s="75" t="str">
        <f t="shared" si="306"/>
        <v> </v>
      </c>
      <c r="S259" s="67"/>
      <c r="T259" s="67"/>
      <c r="U259" s="67"/>
      <c r="V259" s="67"/>
      <c r="W259" s="67"/>
      <c r="X259" s="67"/>
      <c r="Y259" s="67"/>
      <c r="Z259" s="67"/>
      <c r="AA259" s="67"/>
      <c r="AB259" s="67"/>
      <c r="AC259" s="85"/>
      <c r="AG259" s="86"/>
    </row>
    <row r="260" ht="12.75" customHeight="1">
      <c r="A260" s="1"/>
      <c r="B260" s="79"/>
      <c r="C260" s="80" t="s">
        <v>46</v>
      </c>
      <c r="D260" s="81">
        <v>0.7</v>
      </c>
      <c r="E260" s="82">
        <v>6.0</v>
      </c>
      <c r="F260" s="83">
        <v>1.0</v>
      </c>
      <c r="G260" s="84">
        <f>'Start Here'!$F$21*D260</f>
        <v>70</v>
      </c>
      <c r="H260" s="138">
        <f t="shared" si="300"/>
        <v>6</v>
      </c>
      <c r="I260" s="165">
        <f t="shared" si="301"/>
        <v>420</v>
      </c>
      <c r="J260" s="166"/>
      <c r="K260" s="165"/>
      <c r="L260" s="166"/>
      <c r="M260" s="138"/>
      <c r="N260" s="75" t="str">
        <f t="shared" si="302"/>
        <v> </v>
      </c>
      <c r="O260" s="75" t="str">
        <f t="shared" si="303"/>
        <v> </v>
      </c>
      <c r="P260" s="75">
        <f t="shared" si="304"/>
        <v>6</v>
      </c>
      <c r="Q260" s="75" t="str">
        <f t="shared" si="305"/>
        <v> </v>
      </c>
      <c r="R260" s="75" t="str">
        <f t="shared" si="306"/>
        <v> </v>
      </c>
      <c r="S260" s="67"/>
      <c r="T260" s="67"/>
      <c r="U260" s="67"/>
      <c r="V260" s="67"/>
      <c r="W260" s="67"/>
      <c r="X260" s="67"/>
      <c r="Y260" s="67"/>
      <c r="Z260" s="67"/>
      <c r="AA260" s="67"/>
      <c r="AB260" s="67"/>
      <c r="AC260" s="85"/>
      <c r="AG260" s="86"/>
    </row>
    <row r="261" ht="12.75" customHeight="1">
      <c r="A261" s="1"/>
      <c r="B261" s="79"/>
      <c r="C261" s="80" t="s">
        <v>46</v>
      </c>
      <c r="D261" s="81">
        <v>0.7</v>
      </c>
      <c r="E261" s="82">
        <v>8.0</v>
      </c>
      <c r="F261" s="83">
        <v>1.0</v>
      </c>
      <c r="G261" s="84">
        <f>'Start Here'!$F$21*D261</f>
        <v>70</v>
      </c>
      <c r="H261" s="138">
        <f t="shared" si="300"/>
        <v>8</v>
      </c>
      <c r="I261" s="165">
        <f t="shared" si="301"/>
        <v>560</v>
      </c>
      <c r="J261" s="166"/>
      <c r="K261" s="165"/>
      <c r="L261" s="166"/>
      <c r="M261" s="138"/>
      <c r="N261" s="75" t="str">
        <f t="shared" si="302"/>
        <v> </v>
      </c>
      <c r="O261" s="75" t="str">
        <f t="shared" si="303"/>
        <v> </v>
      </c>
      <c r="P261" s="75">
        <f t="shared" si="304"/>
        <v>8</v>
      </c>
      <c r="Q261" s="75" t="str">
        <f t="shared" si="305"/>
        <v> </v>
      </c>
      <c r="R261" s="75" t="str">
        <f t="shared" si="306"/>
        <v> </v>
      </c>
      <c r="S261" s="67"/>
      <c r="T261" s="67"/>
      <c r="U261" s="67"/>
      <c r="V261" s="67"/>
      <c r="W261" s="67"/>
      <c r="X261" s="67"/>
      <c r="Y261" s="67"/>
      <c r="Z261" s="67"/>
      <c r="AA261" s="67"/>
      <c r="AB261" s="67"/>
      <c r="AC261" s="85"/>
      <c r="AG261" s="86"/>
    </row>
    <row r="262" ht="12.75" customHeight="1">
      <c r="A262" s="1"/>
      <c r="B262" s="87">
        <v>3.0</v>
      </c>
      <c r="C262" s="88" t="s">
        <v>45</v>
      </c>
      <c r="D262" s="89">
        <v>0.5</v>
      </c>
      <c r="E262" s="90">
        <v>4.0</v>
      </c>
      <c r="F262" s="91">
        <v>1.0</v>
      </c>
      <c r="G262" s="92">
        <f>'Start Here'!$F$22*D262</f>
        <v>50</v>
      </c>
      <c r="H262" s="138"/>
      <c r="I262" s="165"/>
      <c r="J262" s="166">
        <f t="shared" ref="J262:J264" si="307">E262*F262</f>
        <v>4</v>
      </c>
      <c r="K262" s="165">
        <f t="shared" ref="K262:K264" si="308">G262*J262</f>
        <v>200</v>
      </c>
      <c r="L262" s="166"/>
      <c r="M262" s="138"/>
      <c r="N262" s="67"/>
      <c r="O262" s="67"/>
      <c r="P262" s="67"/>
      <c r="Q262" s="67"/>
      <c r="R262" s="67"/>
      <c r="S262" s="93">
        <f t="shared" ref="S262:S264" si="309">IF(ISNUMBER(SEARCH("bench",$C262)),IF($D262&gt;=0.5,IF($D262&lt;0.6,$E262*$F262," ")," ")," ")</f>
        <v>4</v>
      </c>
      <c r="T262" s="93" t="str">
        <f t="shared" ref="T262:T264" si="310">IF(ISNUMBER(SEARCH("bench",$C262)),IF($D262&gt;=0.6,IF($D262&lt;0.7,$E262*$F262," ")," ")," ")</f>
        <v> </v>
      </c>
      <c r="U262" s="93" t="str">
        <f t="shared" ref="U262:U264" si="311">IF(ISNUMBER(SEARCH("bench",$C262)),IF($D262&gt;=0.7,IF($D262&lt;0.8,$E262*$F262," ")," ")," ")</f>
        <v> </v>
      </c>
      <c r="V262" s="93" t="str">
        <f t="shared" ref="V262:V264" si="312">IF(ISNUMBER(SEARCH("bench",$C262)),IF($D262&gt;=0.8,IF($D262&lt;0.9,$E262*$F262," ")," ")," ")</f>
        <v> </v>
      </c>
      <c r="W262" s="93" t="str">
        <f t="shared" ref="W262:W264" si="313">IF(ISNUMBER(SEARCH("bench",$C262)),IF($D262&gt;=0.9,$E262*$F262," ")," ")</f>
        <v> </v>
      </c>
      <c r="X262" s="67"/>
      <c r="Y262" s="67"/>
      <c r="Z262" s="67"/>
      <c r="AA262" s="67"/>
      <c r="AB262" s="67"/>
      <c r="AC262" s="85"/>
      <c r="AG262" s="86"/>
    </row>
    <row r="263" ht="12.75" customHeight="1">
      <c r="A263" s="1"/>
      <c r="B263" s="87"/>
      <c r="C263" s="94" t="s">
        <v>45</v>
      </c>
      <c r="D263" s="89">
        <v>0.6</v>
      </c>
      <c r="E263" s="90">
        <v>4.0</v>
      </c>
      <c r="F263" s="91">
        <v>1.0</v>
      </c>
      <c r="G263" s="92">
        <f>'Start Here'!$F$22*D263</f>
        <v>60</v>
      </c>
      <c r="H263" s="138"/>
      <c r="I263" s="165"/>
      <c r="J263" s="166">
        <f t="shared" si="307"/>
        <v>4</v>
      </c>
      <c r="K263" s="165">
        <f t="shared" si="308"/>
        <v>240</v>
      </c>
      <c r="L263" s="166"/>
      <c r="M263" s="138"/>
      <c r="N263" s="67"/>
      <c r="O263" s="67"/>
      <c r="P263" s="67"/>
      <c r="Q263" s="67"/>
      <c r="R263" s="67"/>
      <c r="S263" s="93" t="str">
        <f t="shared" si="309"/>
        <v> </v>
      </c>
      <c r="T263" s="93">
        <f t="shared" si="310"/>
        <v>4</v>
      </c>
      <c r="U263" s="93" t="str">
        <f t="shared" si="311"/>
        <v> </v>
      </c>
      <c r="V263" s="93" t="str">
        <f t="shared" si="312"/>
        <v> </v>
      </c>
      <c r="W263" s="93" t="str">
        <f t="shared" si="313"/>
        <v> </v>
      </c>
      <c r="X263" s="67"/>
      <c r="Y263" s="67"/>
      <c r="Z263" s="67"/>
      <c r="AA263" s="67"/>
      <c r="AB263" s="67"/>
      <c r="AC263" s="85"/>
      <c r="AG263" s="86"/>
    </row>
    <row r="264" ht="12.75" customHeight="1">
      <c r="A264" s="1"/>
      <c r="B264" s="87"/>
      <c r="C264" s="94" t="s">
        <v>45</v>
      </c>
      <c r="D264" s="89">
        <v>0.7</v>
      </c>
      <c r="E264" s="90">
        <v>4.0</v>
      </c>
      <c r="F264" s="91">
        <v>4.0</v>
      </c>
      <c r="G264" s="92">
        <f>'Start Here'!$F$22*D264</f>
        <v>70</v>
      </c>
      <c r="H264" s="138"/>
      <c r="I264" s="165"/>
      <c r="J264" s="166">
        <f t="shared" si="307"/>
        <v>16</v>
      </c>
      <c r="K264" s="165">
        <f t="shared" si="308"/>
        <v>1120</v>
      </c>
      <c r="L264" s="166"/>
      <c r="M264" s="138"/>
      <c r="N264" s="67"/>
      <c r="O264" s="67"/>
      <c r="P264" s="67"/>
      <c r="Q264" s="67"/>
      <c r="R264" s="67"/>
      <c r="S264" s="93" t="str">
        <f t="shared" si="309"/>
        <v> </v>
      </c>
      <c r="T264" s="93" t="str">
        <f t="shared" si="310"/>
        <v> </v>
      </c>
      <c r="U264" s="93">
        <f t="shared" si="311"/>
        <v>16</v>
      </c>
      <c r="V264" s="93" t="str">
        <f t="shared" si="312"/>
        <v> </v>
      </c>
      <c r="W264" s="93" t="str">
        <f t="shared" si="313"/>
        <v> </v>
      </c>
      <c r="X264" s="67"/>
      <c r="Y264" s="67"/>
      <c r="Z264" s="67"/>
      <c r="AA264" s="67"/>
      <c r="AB264" s="67"/>
      <c r="AC264" s="85"/>
      <c r="AG264" s="86"/>
    </row>
    <row r="265" ht="12.75" customHeight="1">
      <c r="A265" s="1"/>
      <c r="B265" s="96">
        <v>4.0</v>
      </c>
      <c r="C265" s="167" t="s">
        <v>92</v>
      </c>
      <c r="D265" s="168"/>
      <c r="E265" s="98">
        <v>6.0</v>
      </c>
      <c r="F265" s="169">
        <v>5.0</v>
      </c>
      <c r="G265" s="170"/>
      <c r="H265" s="138"/>
      <c r="I265" s="165"/>
      <c r="J265" s="166"/>
      <c r="K265" s="165"/>
      <c r="L265" s="166"/>
      <c r="M265" s="138"/>
      <c r="N265" s="67"/>
      <c r="O265" s="67"/>
      <c r="P265" s="67"/>
      <c r="Q265" s="67"/>
      <c r="R265" s="67"/>
      <c r="S265" s="67"/>
      <c r="T265" s="67"/>
      <c r="U265" s="67"/>
      <c r="V265" s="67"/>
      <c r="W265" s="67"/>
      <c r="X265" s="67"/>
      <c r="Y265" s="67"/>
      <c r="Z265" s="67"/>
      <c r="AA265" s="67"/>
      <c r="AB265" s="67"/>
      <c r="AC265" s="85"/>
      <c r="AG265" s="86"/>
    </row>
    <row r="266" ht="12.75" customHeight="1">
      <c r="A266" s="1"/>
      <c r="B266" s="175">
        <v>5.0</v>
      </c>
      <c r="C266" s="176" t="s">
        <v>53</v>
      </c>
      <c r="D266" s="177"/>
      <c r="E266" s="178">
        <v>5.0</v>
      </c>
      <c r="F266" s="179">
        <v>5.0</v>
      </c>
      <c r="G266" s="180"/>
      <c r="H266" s="138"/>
      <c r="I266" s="165"/>
      <c r="J266" s="166"/>
      <c r="K266" s="165"/>
      <c r="L266" s="166"/>
      <c r="M266" s="138"/>
      <c r="N266" s="67"/>
      <c r="O266" s="67"/>
      <c r="P266" s="67"/>
      <c r="Q266" s="67"/>
      <c r="R266" s="67"/>
      <c r="S266" s="67"/>
      <c r="T266" s="67"/>
      <c r="U266" s="67"/>
      <c r="V266" s="67"/>
      <c r="W266" s="67"/>
      <c r="X266" s="67"/>
      <c r="Y266" s="67"/>
      <c r="Z266" s="67"/>
      <c r="AA266" s="67"/>
      <c r="AB266" s="67"/>
      <c r="AC266" s="104"/>
      <c r="AD266" s="105"/>
      <c r="AE266" s="105"/>
      <c r="AF266" s="105"/>
      <c r="AG266" s="106"/>
    </row>
    <row r="267" ht="12.75" customHeight="1">
      <c r="A267" s="1"/>
      <c r="B267" s="67"/>
      <c r="C267" s="136"/>
      <c r="D267" s="137"/>
      <c r="E267" s="138"/>
      <c r="F267" s="138"/>
      <c r="G267" s="138"/>
      <c r="H267" s="166"/>
      <c r="I267" s="165"/>
      <c r="J267" s="166"/>
      <c r="K267" s="165"/>
      <c r="L267" s="166"/>
      <c r="M267" s="138"/>
      <c r="N267" s="67"/>
      <c r="O267" s="67"/>
      <c r="P267" s="67"/>
      <c r="Q267" s="67"/>
      <c r="R267" s="67"/>
      <c r="S267" s="67"/>
      <c r="T267" s="67"/>
      <c r="U267" s="67"/>
      <c r="V267" s="67"/>
      <c r="W267" s="67"/>
      <c r="X267" s="67"/>
      <c r="Y267" s="67"/>
      <c r="Z267" s="67"/>
      <c r="AA267" s="67"/>
      <c r="AB267" s="67"/>
      <c r="AC267" s="67"/>
      <c r="AD267" s="67"/>
      <c r="AE267" s="67"/>
      <c r="AF267" s="67"/>
      <c r="AG267" s="67"/>
    </row>
    <row r="268" ht="39.0" customHeight="1">
      <c r="A268" s="1"/>
      <c r="B268" s="68" t="s">
        <v>49</v>
      </c>
      <c r="D268" s="137" t="s">
        <v>34</v>
      </c>
      <c r="E268" s="138" t="s">
        <v>35</v>
      </c>
      <c r="F268" s="138" t="s">
        <v>36</v>
      </c>
      <c r="G268" s="138" t="s">
        <v>37</v>
      </c>
      <c r="H268" s="166"/>
      <c r="I268" s="165"/>
      <c r="J268" s="166"/>
      <c r="K268" s="165"/>
      <c r="L268" s="166"/>
      <c r="M268" s="138"/>
      <c r="N268" s="67"/>
      <c r="O268" s="67"/>
      <c r="P268" s="67"/>
      <c r="Q268" s="67"/>
      <c r="R268" s="67"/>
      <c r="S268" s="67"/>
      <c r="T268" s="67"/>
      <c r="U268" s="67"/>
      <c r="V268" s="67"/>
      <c r="W268" s="67"/>
      <c r="X268" s="67"/>
      <c r="Y268" s="67"/>
      <c r="Z268" s="67"/>
      <c r="AA268" s="67"/>
      <c r="AB268" s="67"/>
      <c r="AC268" s="67" t="s">
        <v>43</v>
      </c>
      <c r="AD268" s="67"/>
      <c r="AE268" s="67"/>
      <c r="AF268" s="67"/>
      <c r="AG268" s="67"/>
    </row>
    <row r="269" ht="12.75" customHeight="1">
      <c r="A269" s="1"/>
      <c r="B269" s="107">
        <v>1.0</v>
      </c>
      <c r="C269" s="108" t="s">
        <v>113</v>
      </c>
      <c r="D269" s="109">
        <v>0.5</v>
      </c>
      <c r="E269" s="110">
        <v>4.0</v>
      </c>
      <c r="F269" s="111">
        <v>1.0</v>
      </c>
      <c r="G269" s="112">
        <f>'Start Here'!$F$23*D269</f>
        <v>50</v>
      </c>
      <c r="H269" s="138"/>
      <c r="I269" s="165"/>
      <c r="J269" s="166"/>
      <c r="K269" s="165"/>
      <c r="L269" s="166">
        <f t="shared" ref="L269:L271" si="314">E269*F269</f>
        <v>4</v>
      </c>
      <c r="M269" s="138">
        <f t="shared" ref="M269:M271" si="315">G269*L269</f>
        <v>200</v>
      </c>
      <c r="N269" s="67"/>
      <c r="O269" s="67"/>
      <c r="P269" s="67"/>
      <c r="Q269" s="67"/>
      <c r="R269" s="67"/>
      <c r="S269" s="67"/>
      <c r="T269" s="67"/>
      <c r="U269" s="67"/>
      <c r="V269" s="67"/>
      <c r="W269" s="67"/>
      <c r="X269" s="114">
        <f t="shared" ref="X269:X271" si="316">IF(ISNUMBER(SEARCH("deadlift",$C269)),IF($D269&gt;=0.5,IF($D269&lt;0.6,$E269*$F269," ")," ")," ")</f>
        <v>4</v>
      </c>
      <c r="Y269" s="114" t="str">
        <f t="shared" ref="Y269:Y271" si="317">IF(ISNUMBER(SEARCH("deadlift",$C269)),IF($D269&gt;=0.6,IF($D269&lt;0.7,$E269*$F269," ")," ")," ")</f>
        <v> </v>
      </c>
      <c r="Z269" s="114" t="str">
        <f t="shared" ref="Z269:Z271" si="318">IF(ISNUMBER(SEARCH("deadlift",$C269)),IF($D269&gt;=0.7,IF($D269&lt;0.8,$E269*$F269," ")," ")," ")</f>
        <v> </v>
      </c>
      <c r="AA269" s="114" t="str">
        <f t="shared" ref="AA269:AA271" si="319">IF(ISNUMBER(SEARCH("deadlift",$C269)),IF($D269&gt;=0.8,IF($D269&lt;0.9,$E269*$F269," ")," ")," ")</f>
        <v> </v>
      </c>
      <c r="AB269" s="114" t="str">
        <f t="shared" ref="AB269:AB271" si="320">IF(ISNUMBER(SEARCH("deadlift",$C269)),IF($D269&gt;=0.9,$E269*$F269," ")," ")</f>
        <v> </v>
      </c>
      <c r="AC269" s="76"/>
      <c r="AD269" s="77"/>
      <c r="AE269" s="77"/>
      <c r="AF269" s="77"/>
      <c r="AG269" s="78"/>
    </row>
    <row r="270" ht="12.75" customHeight="1">
      <c r="A270" s="1"/>
      <c r="B270" s="115"/>
      <c r="C270" s="122" t="s">
        <v>113</v>
      </c>
      <c r="D270" s="117">
        <v>0.6</v>
      </c>
      <c r="E270" s="118">
        <v>4.0</v>
      </c>
      <c r="F270" s="119">
        <v>1.0</v>
      </c>
      <c r="G270" s="120">
        <f>'Start Here'!$F$23*D270</f>
        <v>60</v>
      </c>
      <c r="H270" s="138"/>
      <c r="I270" s="165"/>
      <c r="J270" s="166"/>
      <c r="K270" s="165"/>
      <c r="L270" s="166">
        <f t="shared" si="314"/>
        <v>4</v>
      </c>
      <c r="M270" s="138">
        <f t="shared" si="315"/>
        <v>240</v>
      </c>
      <c r="N270" s="67"/>
      <c r="O270" s="67"/>
      <c r="P270" s="67"/>
      <c r="Q270" s="67"/>
      <c r="R270" s="67"/>
      <c r="S270" s="67"/>
      <c r="T270" s="67"/>
      <c r="U270" s="67"/>
      <c r="V270" s="67"/>
      <c r="W270" s="67"/>
      <c r="X270" s="114" t="str">
        <f t="shared" si="316"/>
        <v> </v>
      </c>
      <c r="Y270" s="114">
        <f t="shared" si="317"/>
        <v>4</v>
      </c>
      <c r="Z270" s="114" t="str">
        <f t="shared" si="318"/>
        <v> </v>
      </c>
      <c r="AA270" s="114" t="str">
        <f t="shared" si="319"/>
        <v> </v>
      </c>
      <c r="AB270" s="114" t="str">
        <f t="shared" si="320"/>
        <v> </v>
      </c>
      <c r="AC270" s="85"/>
      <c r="AG270" s="86"/>
    </row>
    <row r="271" ht="12.75" customHeight="1">
      <c r="A271" s="1"/>
      <c r="B271" s="115"/>
      <c r="C271" s="122" t="s">
        <v>113</v>
      </c>
      <c r="D271" s="117">
        <v>0.7</v>
      </c>
      <c r="E271" s="118">
        <v>4.0</v>
      </c>
      <c r="F271" s="119">
        <v>4.0</v>
      </c>
      <c r="G271" s="120">
        <f>'Start Here'!$F$23*D271</f>
        <v>70</v>
      </c>
      <c r="H271" s="138"/>
      <c r="I271" s="165"/>
      <c r="J271" s="166"/>
      <c r="K271" s="165"/>
      <c r="L271" s="166">
        <f t="shared" si="314"/>
        <v>16</v>
      </c>
      <c r="M271" s="138">
        <f t="shared" si="315"/>
        <v>1120</v>
      </c>
      <c r="N271" s="67"/>
      <c r="O271" s="67"/>
      <c r="P271" s="67"/>
      <c r="Q271" s="67"/>
      <c r="R271" s="67"/>
      <c r="S271" s="67"/>
      <c r="T271" s="67"/>
      <c r="U271" s="67"/>
      <c r="V271" s="67"/>
      <c r="W271" s="67"/>
      <c r="X271" s="114" t="str">
        <f t="shared" si="316"/>
        <v> </v>
      </c>
      <c r="Y271" s="114" t="str">
        <f t="shared" si="317"/>
        <v> </v>
      </c>
      <c r="Z271" s="114">
        <f t="shared" si="318"/>
        <v>16</v>
      </c>
      <c r="AA271" s="114" t="str">
        <f t="shared" si="319"/>
        <v> </v>
      </c>
      <c r="AB271" s="114" t="str">
        <f t="shared" si="320"/>
        <v> </v>
      </c>
      <c r="AC271" s="85"/>
      <c r="AG271" s="86"/>
    </row>
    <row r="272" ht="12.75" customHeight="1">
      <c r="A272" s="1"/>
      <c r="B272" s="87">
        <v>2.0</v>
      </c>
      <c r="C272" s="88" t="s">
        <v>45</v>
      </c>
      <c r="D272" s="89">
        <v>0.5</v>
      </c>
      <c r="E272" s="90">
        <v>5.0</v>
      </c>
      <c r="F272" s="91">
        <v>1.0</v>
      </c>
      <c r="G272" s="92">
        <f>'Start Here'!$F$22*D272</f>
        <v>50</v>
      </c>
      <c r="H272" s="138"/>
      <c r="I272" s="165"/>
      <c r="J272" s="166">
        <f t="shared" ref="J272:J275" si="321">E272*F272</f>
        <v>5</v>
      </c>
      <c r="K272" s="165">
        <f t="shared" ref="K272:K275" si="322">G272*J272</f>
        <v>250</v>
      </c>
      <c r="L272" s="166"/>
      <c r="M272" s="138"/>
      <c r="N272" s="67"/>
      <c r="O272" s="67"/>
      <c r="P272" s="67"/>
      <c r="Q272" s="67"/>
      <c r="R272" s="67"/>
      <c r="S272" s="93">
        <f t="shared" ref="S272:S275" si="323">IF(ISNUMBER(SEARCH("bench",$C272)),IF($D272&gt;=0.5,IF($D272&lt;0.6,$E272*$F272," ")," ")," ")</f>
        <v>5</v>
      </c>
      <c r="T272" s="93" t="str">
        <f t="shared" ref="T272:T275" si="324">IF(ISNUMBER(SEARCH("bench",$C272)),IF($D272&gt;=0.6,IF($D272&lt;0.7,$E272*$F272," ")," ")," ")</f>
        <v> </v>
      </c>
      <c r="U272" s="93" t="str">
        <f t="shared" ref="U272:U275" si="325">IF(ISNUMBER(SEARCH("bench",$C272)),IF($D272&gt;=0.7,IF($D272&lt;0.8,$E272*$F272," ")," ")," ")</f>
        <v> </v>
      </c>
      <c r="V272" s="93" t="str">
        <f t="shared" ref="V272:V275" si="326">IF(ISNUMBER(SEARCH("bench",$C272)),IF($D272&gt;=0.8,IF($D272&lt;0.9,$E272*$F272," ")," ")," ")</f>
        <v> </v>
      </c>
      <c r="W272" s="93" t="str">
        <f t="shared" ref="W272:W275" si="327">IF(ISNUMBER(SEARCH("bench",$C272)),IF($D272&gt;=0.9,$E272*$F272," ")," ")</f>
        <v> </v>
      </c>
      <c r="X272" s="67"/>
      <c r="Y272" s="67"/>
      <c r="Z272" s="67"/>
      <c r="AA272" s="67"/>
      <c r="AB272" s="67"/>
      <c r="AC272" s="85"/>
      <c r="AG272" s="86"/>
    </row>
    <row r="273" ht="12.75" customHeight="1">
      <c r="A273" s="1"/>
      <c r="B273" s="87"/>
      <c r="C273" s="94" t="s">
        <v>45</v>
      </c>
      <c r="D273" s="89">
        <v>0.6</v>
      </c>
      <c r="E273" s="90">
        <v>4.0</v>
      </c>
      <c r="F273" s="91">
        <v>1.0</v>
      </c>
      <c r="G273" s="92">
        <f>'Start Here'!$F$22*D273</f>
        <v>60</v>
      </c>
      <c r="H273" s="138"/>
      <c r="I273" s="165"/>
      <c r="J273" s="166">
        <f t="shared" si="321"/>
        <v>4</v>
      </c>
      <c r="K273" s="165">
        <f t="shared" si="322"/>
        <v>240</v>
      </c>
      <c r="L273" s="166"/>
      <c r="M273" s="138"/>
      <c r="N273" s="67"/>
      <c r="O273" s="67"/>
      <c r="P273" s="67"/>
      <c r="Q273" s="67"/>
      <c r="R273" s="67"/>
      <c r="S273" s="93" t="str">
        <f t="shared" si="323"/>
        <v> </v>
      </c>
      <c r="T273" s="93">
        <f t="shared" si="324"/>
        <v>4</v>
      </c>
      <c r="U273" s="93" t="str">
        <f t="shared" si="325"/>
        <v> </v>
      </c>
      <c r="V273" s="93" t="str">
        <f t="shared" si="326"/>
        <v> </v>
      </c>
      <c r="W273" s="93" t="str">
        <f t="shared" si="327"/>
        <v> </v>
      </c>
      <c r="X273" s="67"/>
      <c r="Y273" s="67"/>
      <c r="Z273" s="67"/>
      <c r="AA273" s="67"/>
      <c r="AB273" s="67"/>
      <c r="AC273" s="85"/>
      <c r="AG273" s="86"/>
    </row>
    <row r="274" ht="12.75" customHeight="1">
      <c r="A274" s="1"/>
      <c r="B274" s="87"/>
      <c r="C274" s="94" t="s">
        <v>45</v>
      </c>
      <c r="D274" s="89">
        <v>0.7</v>
      </c>
      <c r="E274" s="90">
        <v>3.0</v>
      </c>
      <c r="F274" s="91">
        <v>1.0</v>
      </c>
      <c r="G274" s="92">
        <f>'Start Here'!$F$22*D274</f>
        <v>70</v>
      </c>
      <c r="H274" s="138"/>
      <c r="I274" s="165"/>
      <c r="J274" s="166">
        <f t="shared" si="321"/>
        <v>3</v>
      </c>
      <c r="K274" s="165">
        <f t="shared" si="322"/>
        <v>210</v>
      </c>
      <c r="L274" s="166"/>
      <c r="M274" s="138"/>
      <c r="N274" s="67"/>
      <c r="O274" s="67"/>
      <c r="P274" s="67"/>
      <c r="Q274" s="67"/>
      <c r="R274" s="67"/>
      <c r="S274" s="93" t="str">
        <f t="shared" si="323"/>
        <v> </v>
      </c>
      <c r="T274" s="93" t="str">
        <f t="shared" si="324"/>
        <v> </v>
      </c>
      <c r="U274" s="93">
        <f t="shared" si="325"/>
        <v>3</v>
      </c>
      <c r="V274" s="93" t="str">
        <f t="shared" si="326"/>
        <v> </v>
      </c>
      <c r="W274" s="93" t="str">
        <f t="shared" si="327"/>
        <v> </v>
      </c>
      <c r="X274" s="67"/>
      <c r="Y274" s="67"/>
      <c r="Z274" s="67"/>
      <c r="AA274" s="67"/>
      <c r="AB274" s="67"/>
      <c r="AC274" s="85"/>
      <c r="AG274" s="86"/>
    </row>
    <row r="275" ht="12.75" customHeight="1">
      <c r="A275" s="1"/>
      <c r="B275" s="87"/>
      <c r="C275" s="94" t="s">
        <v>45</v>
      </c>
      <c r="D275" s="89">
        <v>0.8</v>
      </c>
      <c r="E275" s="90">
        <v>2.0</v>
      </c>
      <c r="F275" s="91">
        <v>5.0</v>
      </c>
      <c r="G275" s="92">
        <f>'Start Here'!$F$22*D275</f>
        <v>80</v>
      </c>
      <c r="H275" s="138"/>
      <c r="I275" s="165"/>
      <c r="J275" s="166">
        <f t="shared" si="321"/>
        <v>10</v>
      </c>
      <c r="K275" s="165">
        <f t="shared" si="322"/>
        <v>800</v>
      </c>
      <c r="L275" s="166"/>
      <c r="M275" s="138"/>
      <c r="N275" s="67"/>
      <c r="O275" s="67"/>
      <c r="P275" s="67"/>
      <c r="Q275" s="67"/>
      <c r="R275" s="67"/>
      <c r="S275" s="93" t="str">
        <f t="shared" si="323"/>
        <v> </v>
      </c>
      <c r="T275" s="93" t="str">
        <f t="shared" si="324"/>
        <v> </v>
      </c>
      <c r="U275" s="93" t="str">
        <f t="shared" si="325"/>
        <v> </v>
      </c>
      <c r="V275" s="93">
        <f t="shared" si="326"/>
        <v>10</v>
      </c>
      <c r="W275" s="93" t="str">
        <f t="shared" si="327"/>
        <v> </v>
      </c>
      <c r="X275" s="67"/>
      <c r="Y275" s="67"/>
      <c r="Z275" s="67"/>
      <c r="AA275" s="67"/>
      <c r="AB275" s="67"/>
      <c r="AC275" s="85"/>
      <c r="AG275" s="86"/>
    </row>
    <row r="276" ht="12.75" customHeight="1">
      <c r="A276" s="1"/>
      <c r="B276" s="115">
        <v>3.0</v>
      </c>
      <c r="C276" s="121" t="s">
        <v>117</v>
      </c>
      <c r="D276" s="117">
        <v>0.55</v>
      </c>
      <c r="E276" s="118">
        <v>3.0</v>
      </c>
      <c r="F276" s="119">
        <v>1.0</v>
      </c>
      <c r="G276" s="120">
        <f>'Start Here'!$F$23*D276</f>
        <v>55</v>
      </c>
      <c r="H276" s="138"/>
      <c r="I276" s="165"/>
      <c r="J276" s="166"/>
      <c r="K276" s="165"/>
      <c r="L276" s="166">
        <f t="shared" ref="L276:L279" si="328">E276*F276</f>
        <v>3</v>
      </c>
      <c r="M276" s="138">
        <f t="shared" ref="M276:M279" si="329">G276*L276</f>
        <v>165</v>
      </c>
      <c r="N276" s="67"/>
      <c r="O276" s="67"/>
      <c r="P276" s="67"/>
      <c r="Q276" s="67"/>
      <c r="R276" s="67"/>
      <c r="S276" s="67"/>
      <c r="T276" s="67"/>
      <c r="U276" s="67"/>
      <c r="V276" s="67"/>
      <c r="W276" s="67"/>
      <c r="X276" s="114">
        <f t="shared" ref="X276:X279" si="330">IF(ISNUMBER(SEARCH("deadlift",$C276)),IF($D276&gt;=0.5,IF($D276&lt;0.6,$E276*$F276," ")," ")," ")</f>
        <v>3</v>
      </c>
      <c r="Y276" s="114" t="str">
        <f t="shared" ref="Y276:Y279" si="331">IF(ISNUMBER(SEARCH("deadlift",$C276)),IF($D276&gt;=0.6,IF($D276&lt;0.7,$E276*$F276," ")," ")," ")</f>
        <v> </v>
      </c>
      <c r="Z276" s="114" t="str">
        <f t="shared" ref="Z276:Z279" si="332">IF(ISNUMBER(SEARCH("deadlift",$C276)),IF($D276&gt;=0.7,IF($D276&lt;0.8,$E276*$F276," ")," ")," ")</f>
        <v> </v>
      </c>
      <c r="AA276" s="114" t="str">
        <f t="shared" ref="AA276:AA279" si="333">IF(ISNUMBER(SEARCH("deadlift",$C276)),IF($D276&gt;=0.8,IF($D276&lt;0.9,$E276*$F276," ")," ")," ")</f>
        <v> </v>
      </c>
      <c r="AB276" s="114" t="str">
        <f t="shared" ref="AB276:AB279" si="334">IF(ISNUMBER(SEARCH("deadlift",$C276)),IF($D276&gt;=0.9,$E276*$F276," ")," ")</f>
        <v> </v>
      </c>
      <c r="AC276" s="85"/>
      <c r="AG276" s="86"/>
    </row>
    <row r="277" ht="12.75" customHeight="1">
      <c r="A277" s="1"/>
      <c r="B277" s="115"/>
      <c r="C277" s="122" t="s">
        <v>117</v>
      </c>
      <c r="D277" s="117">
        <v>0.65</v>
      </c>
      <c r="E277" s="118">
        <v>3.0</v>
      </c>
      <c r="F277" s="119">
        <v>1.0</v>
      </c>
      <c r="G277" s="120">
        <f>'Start Here'!$F$23*D277</f>
        <v>65</v>
      </c>
      <c r="H277" s="138"/>
      <c r="I277" s="165"/>
      <c r="J277" s="166"/>
      <c r="K277" s="165"/>
      <c r="L277" s="166">
        <f t="shared" si="328"/>
        <v>3</v>
      </c>
      <c r="M277" s="138">
        <f t="shared" si="329"/>
        <v>195</v>
      </c>
      <c r="N277" s="67"/>
      <c r="O277" s="67"/>
      <c r="P277" s="67"/>
      <c r="Q277" s="67"/>
      <c r="R277" s="67"/>
      <c r="S277" s="67"/>
      <c r="T277" s="67"/>
      <c r="U277" s="67"/>
      <c r="V277" s="67"/>
      <c r="W277" s="67"/>
      <c r="X277" s="114" t="str">
        <f t="shared" si="330"/>
        <v> </v>
      </c>
      <c r="Y277" s="114">
        <f t="shared" si="331"/>
        <v>3</v>
      </c>
      <c r="Z277" s="114" t="str">
        <f t="shared" si="332"/>
        <v> </v>
      </c>
      <c r="AA277" s="114" t="str">
        <f t="shared" si="333"/>
        <v> </v>
      </c>
      <c r="AB277" s="114" t="str">
        <f t="shared" si="334"/>
        <v> </v>
      </c>
      <c r="AC277" s="85"/>
      <c r="AG277" s="86"/>
    </row>
    <row r="278" ht="12.75" customHeight="1">
      <c r="A278" s="1"/>
      <c r="B278" s="115"/>
      <c r="C278" s="122" t="s">
        <v>117</v>
      </c>
      <c r="D278" s="117">
        <v>0.75</v>
      </c>
      <c r="E278" s="118">
        <v>3.0</v>
      </c>
      <c r="F278" s="119">
        <v>1.0</v>
      </c>
      <c r="G278" s="120">
        <f>'Start Here'!$F$23*D278</f>
        <v>75</v>
      </c>
      <c r="H278" s="138"/>
      <c r="I278" s="165"/>
      <c r="J278" s="166"/>
      <c r="K278" s="165"/>
      <c r="L278" s="166">
        <f t="shared" si="328"/>
        <v>3</v>
      </c>
      <c r="M278" s="138">
        <f t="shared" si="329"/>
        <v>225</v>
      </c>
      <c r="N278" s="67"/>
      <c r="O278" s="67"/>
      <c r="P278" s="67"/>
      <c r="Q278" s="67"/>
      <c r="R278" s="67"/>
      <c r="S278" s="67"/>
      <c r="T278" s="67"/>
      <c r="U278" s="67"/>
      <c r="V278" s="67"/>
      <c r="W278" s="67"/>
      <c r="X278" s="114" t="str">
        <f t="shared" si="330"/>
        <v> </v>
      </c>
      <c r="Y278" s="114" t="str">
        <f t="shared" si="331"/>
        <v> </v>
      </c>
      <c r="Z278" s="114">
        <f t="shared" si="332"/>
        <v>3</v>
      </c>
      <c r="AA278" s="114" t="str">
        <f t="shared" si="333"/>
        <v> </v>
      </c>
      <c r="AB278" s="114" t="str">
        <f t="shared" si="334"/>
        <v> </v>
      </c>
      <c r="AC278" s="85"/>
      <c r="AG278" s="86"/>
    </row>
    <row r="279" ht="12.75" customHeight="1">
      <c r="A279" s="1"/>
      <c r="B279" s="115"/>
      <c r="C279" s="122" t="s">
        <v>117</v>
      </c>
      <c r="D279" s="117">
        <v>0.85</v>
      </c>
      <c r="E279" s="118">
        <v>3.0</v>
      </c>
      <c r="F279" s="119">
        <v>4.0</v>
      </c>
      <c r="G279" s="120">
        <f>'Start Here'!$F$23*D279</f>
        <v>85</v>
      </c>
      <c r="H279" s="138"/>
      <c r="I279" s="165"/>
      <c r="J279" s="166"/>
      <c r="K279" s="165"/>
      <c r="L279" s="166">
        <f t="shared" si="328"/>
        <v>12</v>
      </c>
      <c r="M279" s="138">
        <f t="shared" si="329"/>
        <v>1020</v>
      </c>
      <c r="N279" s="67"/>
      <c r="O279" s="67"/>
      <c r="P279" s="67"/>
      <c r="Q279" s="67"/>
      <c r="R279" s="67"/>
      <c r="S279" s="67"/>
      <c r="T279" s="67"/>
      <c r="U279" s="67"/>
      <c r="V279" s="67"/>
      <c r="W279" s="67"/>
      <c r="X279" s="114" t="str">
        <f t="shared" si="330"/>
        <v> </v>
      </c>
      <c r="Y279" s="114" t="str">
        <f t="shared" si="331"/>
        <v> </v>
      </c>
      <c r="Z279" s="114" t="str">
        <f t="shared" si="332"/>
        <v> </v>
      </c>
      <c r="AA279" s="114">
        <f t="shared" si="333"/>
        <v>12</v>
      </c>
      <c r="AB279" s="114" t="str">
        <f t="shared" si="334"/>
        <v> </v>
      </c>
      <c r="AC279" s="85"/>
      <c r="AG279" s="86"/>
    </row>
    <row r="280" ht="12.75" customHeight="1">
      <c r="A280" s="1"/>
      <c r="B280" s="96">
        <v>4.0</v>
      </c>
      <c r="C280" s="167" t="s">
        <v>83</v>
      </c>
      <c r="D280" s="168"/>
      <c r="E280" s="98">
        <v>6.0</v>
      </c>
      <c r="F280" s="169">
        <v>5.0</v>
      </c>
      <c r="G280" s="170"/>
      <c r="H280" s="138"/>
      <c r="I280" s="165"/>
      <c r="J280" s="166"/>
      <c r="K280" s="165"/>
      <c r="L280" s="166"/>
      <c r="M280" s="138"/>
      <c r="N280" s="67"/>
      <c r="O280" s="67"/>
      <c r="P280" s="67"/>
      <c r="Q280" s="67"/>
      <c r="R280" s="67"/>
      <c r="S280" s="67"/>
      <c r="T280" s="67"/>
      <c r="U280" s="67"/>
      <c r="V280" s="67"/>
      <c r="W280" s="67"/>
      <c r="X280" s="67"/>
      <c r="Y280" s="67"/>
      <c r="Z280" s="67"/>
      <c r="AA280" s="67"/>
      <c r="AB280" s="67"/>
      <c r="AC280" s="85"/>
      <c r="AG280" s="86"/>
    </row>
    <row r="281" ht="12.75" customHeight="1">
      <c r="A281" s="1"/>
      <c r="B281" s="100">
        <v>5.0</v>
      </c>
      <c r="C281" s="171" t="s">
        <v>57</v>
      </c>
      <c r="D281" s="172"/>
      <c r="E281" s="173">
        <v>8.0</v>
      </c>
      <c r="F281" s="173">
        <v>4.0</v>
      </c>
      <c r="G281" s="174"/>
      <c r="H281" s="138"/>
      <c r="I281" s="165"/>
      <c r="J281" s="166"/>
      <c r="K281" s="165"/>
      <c r="L281" s="166"/>
      <c r="M281" s="138"/>
      <c r="N281" s="67"/>
      <c r="O281" s="67"/>
      <c r="P281" s="67"/>
      <c r="Q281" s="67"/>
      <c r="R281" s="67"/>
      <c r="S281" s="67"/>
      <c r="T281" s="67"/>
      <c r="U281" s="67"/>
      <c r="V281" s="67"/>
      <c r="W281" s="67"/>
      <c r="X281" s="67"/>
      <c r="Y281" s="67"/>
      <c r="Z281" s="67"/>
      <c r="AA281" s="67"/>
      <c r="AB281" s="67"/>
      <c r="AC281" s="104"/>
      <c r="AD281" s="105"/>
      <c r="AE281" s="105"/>
      <c r="AF281" s="105"/>
      <c r="AG281" s="106"/>
    </row>
    <row r="282" ht="12.75" customHeight="1">
      <c r="A282" s="1"/>
      <c r="B282" s="67"/>
      <c r="C282" s="136"/>
      <c r="D282" s="137"/>
      <c r="E282" s="138"/>
      <c r="F282" s="138"/>
      <c r="G282" s="138"/>
      <c r="H282" s="166"/>
      <c r="I282" s="165"/>
      <c r="J282" s="166"/>
      <c r="K282" s="165"/>
      <c r="L282" s="166"/>
      <c r="M282" s="138"/>
      <c r="N282" s="67"/>
      <c r="O282" s="67"/>
      <c r="P282" s="67"/>
      <c r="Q282" s="67"/>
      <c r="R282" s="67"/>
      <c r="S282" s="67"/>
      <c r="T282" s="67"/>
      <c r="U282" s="67"/>
      <c r="V282" s="67"/>
      <c r="W282" s="67"/>
      <c r="X282" s="67"/>
      <c r="Y282" s="67"/>
      <c r="Z282" s="67"/>
      <c r="AA282" s="67"/>
      <c r="AB282" s="67"/>
      <c r="AC282" s="67"/>
      <c r="AD282" s="67"/>
      <c r="AE282" s="67"/>
      <c r="AF282" s="67"/>
      <c r="AG282" s="67"/>
    </row>
    <row r="283" ht="45.0" customHeight="1">
      <c r="A283" s="1"/>
      <c r="B283" s="68" t="s">
        <v>54</v>
      </c>
      <c r="D283" s="137" t="s">
        <v>34</v>
      </c>
      <c r="E283" s="138" t="s">
        <v>35</v>
      </c>
      <c r="F283" s="138" t="s">
        <v>36</v>
      </c>
      <c r="G283" s="138" t="s">
        <v>37</v>
      </c>
      <c r="H283" s="166"/>
      <c r="I283" s="165"/>
      <c r="J283" s="166"/>
      <c r="K283" s="165"/>
      <c r="L283" s="166"/>
      <c r="M283" s="138"/>
      <c r="N283" s="67"/>
      <c r="O283" s="67"/>
      <c r="P283" s="67"/>
      <c r="Q283" s="67"/>
      <c r="R283" s="67"/>
      <c r="S283" s="67"/>
      <c r="T283" s="67"/>
      <c r="U283" s="67"/>
      <c r="V283" s="67"/>
      <c r="W283" s="67"/>
      <c r="X283" s="67"/>
      <c r="Y283" s="67"/>
      <c r="Z283" s="67"/>
      <c r="AA283" s="67"/>
      <c r="AB283" s="67"/>
      <c r="AC283" s="67" t="s">
        <v>43</v>
      </c>
      <c r="AD283" s="67"/>
      <c r="AE283" s="67"/>
      <c r="AF283" s="67"/>
      <c r="AG283" s="67"/>
    </row>
    <row r="284" ht="12.75" customHeight="1">
      <c r="A284" s="1"/>
      <c r="B284" s="69">
        <v>1.0</v>
      </c>
      <c r="C284" s="70" t="s">
        <v>46</v>
      </c>
      <c r="D284" s="71">
        <v>0.5</v>
      </c>
      <c r="E284" s="145">
        <v>5.0</v>
      </c>
      <c r="F284" s="72">
        <v>1.0</v>
      </c>
      <c r="G284" s="73">
        <f>'Start Here'!$F$21*D284</f>
        <v>50</v>
      </c>
      <c r="H284" s="138">
        <f t="shared" ref="H284:H287" si="335">E284*F284</f>
        <v>5</v>
      </c>
      <c r="I284" s="165">
        <f t="shared" ref="I284:I287" si="336">G284*H284</f>
        <v>250</v>
      </c>
      <c r="J284" s="166"/>
      <c r="K284" s="165"/>
      <c r="L284" s="166"/>
      <c r="M284" s="138"/>
      <c r="N284" s="75">
        <f t="shared" ref="N284:N287" si="337">IF(ISNUMBER(SEARCH("squat",$C284)),IF($D284&gt;=0.5,IF($D284&lt;0.6,$E284*$F284," ")," ")," ")</f>
        <v>5</v>
      </c>
      <c r="O284" s="75" t="str">
        <f t="shared" ref="O284:O287" si="338">IF(ISNUMBER(SEARCH("squat",$C284)),IF($D284&gt;=0.6,IF($D284&lt;0.7,$E284*$F284," ")," ")," ")</f>
        <v> </v>
      </c>
      <c r="P284" s="75" t="str">
        <f t="shared" ref="P284:P287" si="339">IF(ISNUMBER(SEARCH("squat",$C284)),IF($D284&gt;=0.7,IF($D284&lt;0.8,$E284*$F284," ")," ")," ")</f>
        <v> </v>
      </c>
      <c r="Q284" s="75" t="str">
        <f t="shared" ref="Q284:Q287" si="340">IF(ISNUMBER(SEARCH("squat",$C284)),IF($D284&gt;=0.8,IF($D284&lt;0.9,$E284*$F284," ")," ")," ")</f>
        <v> </v>
      </c>
      <c r="R284" s="75" t="str">
        <f t="shared" ref="R284:R287" si="341">IF(ISNUMBER(SEARCH("squat",$C284)),IF($D284&gt;=0.9,$E284*$F284," ")," ")</f>
        <v> </v>
      </c>
      <c r="S284" s="67"/>
      <c r="T284" s="67"/>
      <c r="U284" s="67"/>
      <c r="V284" s="67"/>
      <c r="W284" s="67"/>
      <c r="X284" s="67"/>
      <c r="Y284" s="67"/>
      <c r="Z284" s="67"/>
      <c r="AA284" s="67"/>
      <c r="AB284" s="67"/>
      <c r="AC284" s="76"/>
      <c r="AD284" s="77"/>
      <c r="AE284" s="77"/>
      <c r="AF284" s="77"/>
      <c r="AG284" s="78"/>
    </row>
    <row r="285" ht="12.75" customHeight="1">
      <c r="A285" s="1"/>
      <c r="B285" s="79"/>
      <c r="C285" s="80" t="s">
        <v>46</v>
      </c>
      <c r="D285" s="81">
        <v>0.6</v>
      </c>
      <c r="E285" s="82">
        <v>4.0</v>
      </c>
      <c r="F285" s="83">
        <v>1.0</v>
      </c>
      <c r="G285" s="84">
        <f>'Start Here'!$F$21*D285</f>
        <v>60</v>
      </c>
      <c r="H285" s="138">
        <f t="shared" si="335"/>
        <v>4</v>
      </c>
      <c r="I285" s="165">
        <f t="shared" si="336"/>
        <v>240</v>
      </c>
      <c r="J285" s="166"/>
      <c r="K285" s="165"/>
      <c r="L285" s="166"/>
      <c r="M285" s="138"/>
      <c r="N285" s="75" t="str">
        <f t="shared" si="337"/>
        <v> </v>
      </c>
      <c r="O285" s="75">
        <f t="shared" si="338"/>
        <v>4</v>
      </c>
      <c r="P285" s="75" t="str">
        <f t="shared" si="339"/>
        <v> </v>
      </c>
      <c r="Q285" s="75" t="str">
        <f t="shared" si="340"/>
        <v> </v>
      </c>
      <c r="R285" s="75" t="str">
        <f t="shared" si="341"/>
        <v> </v>
      </c>
      <c r="S285" s="67"/>
      <c r="T285" s="67"/>
      <c r="U285" s="67"/>
      <c r="V285" s="67"/>
      <c r="W285" s="67"/>
      <c r="X285" s="67"/>
      <c r="Y285" s="67"/>
      <c r="Z285" s="67"/>
      <c r="AA285" s="67"/>
      <c r="AB285" s="67"/>
      <c r="AC285" s="85"/>
      <c r="AG285" s="86"/>
    </row>
    <row r="286" ht="12.75" customHeight="1">
      <c r="A286" s="1"/>
      <c r="B286" s="79"/>
      <c r="C286" s="80" t="s">
        <v>46</v>
      </c>
      <c r="D286" s="81">
        <v>0.7</v>
      </c>
      <c r="E286" s="82">
        <v>3.0</v>
      </c>
      <c r="F286" s="83">
        <v>1.0</v>
      </c>
      <c r="G286" s="84">
        <f>'Start Here'!$F$21*D286</f>
        <v>70</v>
      </c>
      <c r="H286" s="138">
        <f t="shared" si="335"/>
        <v>3</v>
      </c>
      <c r="I286" s="165">
        <f t="shared" si="336"/>
        <v>210</v>
      </c>
      <c r="J286" s="166"/>
      <c r="K286" s="165"/>
      <c r="L286" s="166"/>
      <c r="M286" s="138"/>
      <c r="N286" s="75" t="str">
        <f t="shared" si="337"/>
        <v> </v>
      </c>
      <c r="O286" s="75" t="str">
        <f t="shared" si="338"/>
        <v> </v>
      </c>
      <c r="P286" s="75">
        <f t="shared" si="339"/>
        <v>3</v>
      </c>
      <c r="Q286" s="75" t="str">
        <f t="shared" si="340"/>
        <v> </v>
      </c>
      <c r="R286" s="75" t="str">
        <f t="shared" si="341"/>
        <v> </v>
      </c>
      <c r="S286" s="67"/>
      <c r="T286" s="67"/>
      <c r="U286" s="67"/>
      <c r="V286" s="67"/>
      <c r="W286" s="67"/>
      <c r="X286" s="67"/>
      <c r="Y286" s="67"/>
      <c r="Z286" s="67"/>
      <c r="AA286" s="67"/>
      <c r="AB286" s="67"/>
      <c r="AC286" s="85"/>
      <c r="AG286" s="86"/>
    </row>
    <row r="287" ht="12.75" customHeight="1">
      <c r="A287" s="1"/>
      <c r="B287" s="79"/>
      <c r="C287" s="80" t="s">
        <v>46</v>
      </c>
      <c r="D287" s="81">
        <v>0.75</v>
      </c>
      <c r="E287" s="82">
        <v>3.0</v>
      </c>
      <c r="F287" s="83">
        <v>4.0</v>
      </c>
      <c r="G287" s="84">
        <f>'Start Here'!$F$21*D287</f>
        <v>75</v>
      </c>
      <c r="H287" s="138">
        <f t="shared" si="335"/>
        <v>12</v>
      </c>
      <c r="I287" s="165">
        <f t="shared" si="336"/>
        <v>900</v>
      </c>
      <c r="J287" s="166"/>
      <c r="K287" s="165"/>
      <c r="L287" s="166"/>
      <c r="M287" s="138"/>
      <c r="N287" s="75" t="str">
        <f t="shared" si="337"/>
        <v> </v>
      </c>
      <c r="O287" s="75" t="str">
        <f t="shared" si="338"/>
        <v> </v>
      </c>
      <c r="P287" s="75">
        <f t="shared" si="339"/>
        <v>12</v>
      </c>
      <c r="Q287" s="75" t="str">
        <f t="shared" si="340"/>
        <v> </v>
      </c>
      <c r="R287" s="75" t="str">
        <f t="shared" si="341"/>
        <v> </v>
      </c>
      <c r="S287" s="67"/>
      <c r="T287" s="67"/>
      <c r="U287" s="67"/>
      <c r="V287" s="67"/>
      <c r="W287" s="67"/>
      <c r="X287" s="67"/>
      <c r="Y287" s="67"/>
      <c r="Z287" s="67"/>
      <c r="AA287" s="67"/>
      <c r="AB287" s="67"/>
      <c r="AC287" s="85"/>
      <c r="AG287" s="86"/>
    </row>
    <row r="288" ht="12.75" customHeight="1">
      <c r="A288" s="1"/>
      <c r="B288" s="87">
        <v>2.0</v>
      </c>
      <c r="C288" s="88" t="s">
        <v>45</v>
      </c>
      <c r="D288" s="89">
        <v>0.5</v>
      </c>
      <c r="E288" s="90">
        <v>6.0</v>
      </c>
      <c r="F288" s="91">
        <v>1.0</v>
      </c>
      <c r="G288" s="92">
        <f>'Start Here'!$F$22*D288</f>
        <v>50</v>
      </c>
      <c r="H288" s="138"/>
      <c r="I288" s="165"/>
      <c r="J288" s="166">
        <f t="shared" ref="J288:J300" si="342">E288*F288</f>
        <v>6</v>
      </c>
      <c r="K288" s="165">
        <f t="shared" ref="K288:K300" si="343">G288*J288</f>
        <v>300</v>
      </c>
      <c r="L288" s="166"/>
      <c r="M288" s="138"/>
      <c r="N288" s="67"/>
      <c r="O288" s="67"/>
      <c r="P288" s="67"/>
      <c r="Q288" s="67"/>
      <c r="R288" s="67"/>
      <c r="S288" s="93">
        <f t="shared" ref="S288:S300" si="344">IF(ISNUMBER(SEARCH("bench",$C288)),IF($D288&gt;=0.5,IF($D288&lt;0.6,$E288*$F288," ")," ")," ")</f>
        <v>6</v>
      </c>
      <c r="T288" s="93" t="str">
        <f t="shared" ref="T288:T300" si="345">IF(ISNUMBER(SEARCH("bench",$C288)),IF($D288&gt;=0.6,IF($D288&lt;0.7,$E288*$F288," ")," ")," ")</f>
        <v> </v>
      </c>
      <c r="U288" s="93" t="str">
        <f t="shared" ref="U288:U300" si="346">IF(ISNUMBER(SEARCH("bench",$C288)),IF($D288&gt;=0.7,IF($D288&lt;0.8,$E288*$F288," ")," ")," ")</f>
        <v> </v>
      </c>
      <c r="V288" s="93" t="str">
        <f t="shared" ref="V288:V300" si="347">IF(ISNUMBER(SEARCH("bench",$C288)),IF($D288&gt;=0.8,IF($D288&lt;0.9,$E288*$F288," ")," ")," ")</f>
        <v> </v>
      </c>
      <c r="W288" s="93" t="str">
        <f t="shared" ref="W288:W300" si="348">IF(ISNUMBER(SEARCH("bench",$C288)),IF($D288&gt;=0.9,$E288*$F288," ")," ")</f>
        <v> </v>
      </c>
      <c r="X288" s="67"/>
      <c r="Y288" s="67"/>
      <c r="Z288" s="67"/>
      <c r="AA288" s="67"/>
      <c r="AB288" s="67"/>
      <c r="AC288" s="85"/>
      <c r="AG288" s="86"/>
    </row>
    <row r="289" ht="12.75" customHeight="1">
      <c r="A289" s="1"/>
      <c r="B289" s="87"/>
      <c r="C289" s="94" t="s">
        <v>45</v>
      </c>
      <c r="D289" s="89">
        <v>0.6</v>
      </c>
      <c r="E289" s="90">
        <v>5.0</v>
      </c>
      <c r="F289" s="91">
        <v>1.0</v>
      </c>
      <c r="G289" s="92">
        <f>'Start Here'!$F$22*D289</f>
        <v>60</v>
      </c>
      <c r="H289" s="138"/>
      <c r="I289" s="165"/>
      <c r="J289" s="166">
        <f t="shared" si="342"/>
        <v>5</v>
      </c>
      <c r="K289" s="165">
        <f t="shared" si="343"/>
        <v>300</v>
      </c>
      <c r="L289" s="166"/>
      <c r="M289" s="138"/>
      <c r="N289" s="67"/>
      <c r="O289" s="67"/>
      <c r="P289" s="67"/>
      <c r="Q289" s="67"/>
      <c r="R289" s="67"/>
      <c r="S289" s="93" t="str">
        <f t="shared" si="344"/>
        <v> </v>
      </c>
      <c r="T289" s="93">
        <f t="shared" si="345"/>
        <v>5</v>
      </c>
      <c r="U289" s="93" t="str">
        <f t="shared" si="346"/>
        <v> </v>
      </c>
      <c r="V289" s="93" t="str">
        <f t="shared" si="347"/>
        <v> </v>
      </c>
      <c r="W289" s="93" t="str">
        <f t="shared" si="348"/>
        <v> </v>
      </c>
      <c r="X289" s="67"/>
      <c r="Y289" s="67"/>
      <c r="Z289" s="67"/>
      <c r="AA289" s="67"/>
      <c r="AB289" s="67"/>
      <c r="AC289" s="85"/>
      <c r="AG289" s="86"/>
    </row>
    <row r="290" ht="12.75" customHeight="1">
      <c r="A290" s="1"/>
      <c r="B290" s="87"/>
      <c r="C290" s="94" t="s">
        <v>45</v>
      </c>
      <c r="D290" s="89">
        <v>0.7</v>
      </c>
      <c r="E290" s="90">
        <v>4.0</v>
      </c>
      <c r="F290" s="91">
        <v>1.0</v>
      </c>
      <c r="G290" s="92">
        <f>'Start Here'!$F$22*D290</f>
        <v>70</v>
      </c>
      <c r="H290" s="138"/>
      <c r="I290" s="165"/>
      <c r="J290" s="166">
        <f t="shared" si="342"/>
        <v>4</v>
      </c>
      <c r="K290" s="165">
        <f t="shared" si="343"/>
        <v>280</v>
      </c>
      <c r="L290" s="166"/>
      <c r="M290" s="138"/>
      <c r="N290" s="67"/>
      <c r="O290" s="67"/>
      <c r="P290" s="67"/>
      <c r="Q290" s="67"/>
      <c r="R290" s="67"/>
      <c r="S290" s="93" t="str">
        <f t="shared" si="344"/>
        <v> </v>
      </c>
      <c r="T290" s="93" t="str">
        <f t="shared" si="345"/>
        <v> </v>
      </c>
      <c r="U290" s="93">
        <f t="shared" si="346"/>
        <v>4</v>
      </c>
      <c r="V290" s="93" t="str">
        <f t="shared" si="347"/>
        <v> </v>
      </c>
      <c r="W290" s="93" t="str">
        <f t="shared" si="348"/>
        <v> </v>
      </c>
      <c r="X290" s="67"/>
      <c r="Y290" s="67"/>
      <c r="Z290" s="67"/>
      <c r="AA290" s="67"/>
      <c r="AB290" s="67"/>
      <c r="AC290" s="85"/>
      <c r="AG290" s="86"/>
    </row>
    <row r="291" ht="12.75" customHeight="1">
      <c r="A291" s="1"/>
      <c r="B291" s="87"/>
      <c r="C291" s="94" t="s">
        <v>45</v>
      </c>
      <c r="D291" s="89">
        <v>0.75</v>
      </c>
      <c r="E291" s="90">
        <v>3.0</v>
      </c>
      <c r="F291" s="91">
        <v>1.0</v>
      </c>
      <c r="G291" s="92">
        <f>'Start Here'!$F$22*D291</f>
        <v>75</v>
      </c>
      <c r="H291" s="138"/>
      <c r="I291" s="165"/>
      <c r="J291" s="166">
        <f t="shared" si="342"/>
        <v>3</v>
      </c>
      <c r="K291" s="165">
        <f t="shared" si="343"/>
        <v>225</v>
      </c>
      <c r="L291" s="166"/>
      <c r="M291" s="138"/>
      <c r="N291" s="67"/>
      <c r="O291" s="67"/>
      <c r="P291" s="67"/>
      <c r="Q291" s="67"/>
      <c r="R291" s="67"/>
      <c r="S291" s="93" t="str">
        <f t="shared" si="344"/>
        <v> </v>
      </c>
      <c r="T291" s="93" t="str">
        <f t="shared" si="345"/>
        <v> </v>
      </c>
      <c r="U291" s="93">
        <f t="shared" si="346"/>
        <v>3</v>
      </c>
      <c r="V291" s="93" t="str">
        <f t="shared" si="347"/>
        <v> </v>
      </c>
      <c r="W291" s="93" t="str">
        <f t="shared" si="348"/>
        <v> </v>
      </c>
      <c r="X291" s="67"/>
      <c r="Y291" s="67"/>
      <c r="Z291" s="67"/>
      <c r="AA291" s="67"/>
      <c r="AB291" s="67"/>
      <c r="AC291" s="85"/>
      <c r="AG291" s="86"/>
    </row>
    <row r="292" ht="12.75" customHeight="1">
      <c r="A292" s="1"/>
      <c r="B292" s="87"/>
      <c r="C292" s="94" t="s">
        <v>45</v>
      </c>
      <c r="D292" s="89">
        <v>0.8</v>
      </c>
      <c r="E292" s="90">
        <v>2.0</v>
      </c>
      <c r="F292" s="91">
        <v>2.0</v>
      </c>
      <c r="G292" s="92">
        <f>'Start Here'!$F$22*D292</f>
        <v>80</v>
      </c>
      <c r="H292" s="138"/>
      <c r="I292" s="165"/>
      <c r="J292" s="166">
        <f t="shared" si="342"/>
        <v>4</v>
      </c>
      <c r="K292" s="165">
        <f t="shared" si="343"/>
        <v>320</v>
      </c>
      <c r="L292" s="166"/>
      <c r="M292" s="138"/>
      <c r="N292" s="67"/>
      <c r="O292" s="67"/>
      <c r="P292" s="67"/>
      <c r="Q292" s="67"/>
      <c r="R292" s="67"/>
      <c r="S292" s="93" t="str">
        <f t="shared" si="344"/>
        <v> </v>
      </c>
      <c r="T292" s="93" t="str">
        <f t="shared" si="345"/>
        <v> </v>
      </c>
      <c r="U292" s="93" t="str">
        <f t="shared" si="346"/>
        <v> </v>
      </c>
      <c r="V292" s="93">
        <f t="shared" si="347"/>
        <v>4</v>
      </c>
      <c r="W292" s="93" t="str">
        <f t="shared" si="348"/>
        <v> </v>
      </c>
      <c r="X292" s="67"/>
      <c r="Y292" s="67"/>
      <c r="Z292" s="67"/>
      <c r="AA292" s="67"/>
      <c r="AB292" s="67"/>
      <c r="AC292" s="85"/>
      <c r="AG292" s="86"/>
    </row>
    <row r="293" ht="12.75" customHeight="1">
      <c r="A293" s="1"/>
      <c r="B293" s="87"/>
      <c r="C293" s="94" t="s">
        <v>45</v>
      </c>
      <c r="D293" s="89">
        <v>0.85</v>
      </c>
      <c r="E293" s="90">
        <v>1.0</v>
      </c>
      <c r="F293" s="91">
        <v>2.0</v>
      </c>
      <c r="G293" s="92">
        <f>'Start Here'!$F$22*D293</f>
        <v>85</v>
      </c>
      <c r="H293" s="138"/>
      <c r="I293" s="165"/>
      <c r="J293" s="166">
        <f t="shared" si="342"/>
        <v>2</v>
      </c>
      <c r="K293" s="165">
        <f t="shared" si="343"/>
        <v>170</v>
      </c>
      <c r="L293" s="166"/>
      <c r="M293" s="138"/>
      <c r="N293" s="67"/>
      <c r="O293" s="67"/>
      <c r="P293" s="67"/>
      <c r="Q293" s="67"/>
      <c r="R293" s="67"/>
      <c r="S293" s="93" t="str">
        <f t="shared" si="344"/>
        <v> </v>
      </c>
      <c r="T293" s="93" t="str">
        <f t="shared" si="345"/>
        <v> </v>
      </c>
      <c r="U293" s="93" t="str">
        <f t="shared" si="346"/>
        <v> </v>
      </c>
      <c r="V293" s="93">
        <f t="shared" si="347"/>
        <v>2</v>
      </c>
      <c r="W293" s="93" t="str">
        <f t="shared" si="348"/>
        <v> </v>
      </c>
      <c r="X293" s="67"/>
      <c r="Y293" s="67"/>
      <c r="Z293" s="67"/>
      <c r="AA293" s="67"/>
      <c r="AB293" s="67"/>
      <c r="AC293" s="85"/>
      <c r="AG293" s="86"/>
    </row>
    <row r="294" ht="12.75" customHeight="1">
      <c r="A294" s="1"/>
      <c r="B294" s="87"/>
      <c r="C294" s="94" t="s">
        <v>45</v>
      </c>
      <c r="D294" s="89">
        <v>0.8</v>
      </c>
      <c r="E294" s="90">
        <v>2.0</v>
      </c>
      <c r="F294" s="91">
        <v>1.0</v>
      </c>
      <c r="G294" s="92">
        <f>'Start Here'!$F$22*D294</f>
        <v>80</v>
      </c>
      <c r="H294" s="138"/>
      <c r="I294" s="165"/>
      <c r="J294" s="166">
        <f t="shared" si="342"/>
        <v>2</v>
      </c>
      <c r="K294" s="165">
        <f t="shared" si="343"/>
        <v>160</v>
      </c>
      <c r="L294" s="166"/>
      <c r="M294" s="138"/>
      <c r="N294" s="67"/>
      <c r="O294" s="67"/>
      <c r="P294" s="67"/>
      <c r="Q294" s="67"/>
      <c r="R294" s="67"/>
      <c r="S294" s="93" t="str">
        <f t="shared" si="344"/>
        <v> </v>
      </c>
      <c r="T294" s="93" t="str">
        <f t="shared" si="345"/>
        <v> </v>
      </c>
      <c r="U294" s="93" t="str">
        <f t="shared" si="346"/>
        <v> </v>
      </c>
      <c r="V294" s="93">
        <f t="shared" si="347"/>
        <v>2</v>
      </c>
      <c r="W294" s="93" t="str">
        <f t="shared" si="348"/>
        <v> </v>
      </c>
      <c r="X294" s="67"/>
      <c r="Y294" s="67"/>
      <c r="Z294" s="67"/>
      <c r="AA294" s="67"/>
      <c r="AB294" s="67"/>
      <c r="AC294" s="85"/>
      <c r="AG294" s="86"/>
    </row>
    <row r="295" ht="12.75" customHeight="1">
      <c r="A295" s="1"/>
      <c r="B295" s="87"/>
      <c r="C295" s="94" t="s">
        <v>45</v>
      </c>
      <c r="D295" s="89">
        <v>0.75</v>
      </c>
      <c r="E295" s="90">
        <v>3.0</v>
      </c>
      <c r="F295" s="91">
        <v>1.0</v>
      </c>
      <c r="G295" s="92">
        <f>'Start Here'!$F$22*D295</f>
        <v>75</v>
      </c>
      <c r="H295" s="138"/>
      <c r="I295" s="165"/>
      <c r="J295" s="166">
        <f t="shared" si="342"/>
        <v>3</v>
      </c>
      <c r="K295" s="165">
        <f t="shared" si="343"/>
        <v>225</v>
      </c>
      <c r="L295" s="166"/>
      <c r="M295" s="138"/>
      <c r="N295" s="67"/>
      <c r="O295" s="67"/>
      <c r="P295" s="67"/>
      <c r="Q295" s="67"/>
      <c r="R295" s="67"/>
      <c r="S295" s="93" t="str">
        <f t="shared" si="344"/>
        <v> </v>
      </c>
      <c r="T295" s="93" t="str">
        <f t="shared" si="345"/>
        <v> </v>
      </c>
      <c r="U295" s="93">
        <f t="shared" si="346"/>
        <v>3</v>
      </c>
      <c r="V295" s="93" t="str">
        <f t="shared" si="347"/>
        <v> </v>
      </c>
      <c r="W295" s="93" t="str">
        <f t="shared" si="348"/>
        <v> </v>
      </c>
      <c r="X295" s="67"/>
      <c r="Y295" s="67"/>
      <c r="Z295" s="67"/>
      <c r="AA295" s="67"/>
      <c r="AB295" s="67"/>
      <c r="AC295" s="85"/>
      <c r="AG295" s="86"/>
    </row>
    <row r="296" ht="12.75" customHeight="1">
      <c r="A296" s="1"/>
      <c r="B296" s="87"/>
      <c r="C296" s="94" t="s">
        <v>45</v>
      </c>
      <c r="D296" s="89">
        <v>0.7</v>
      </c>
      <c r="E296" s="90">
        <v>4.0</v>
      </c>
      <c r="F296" s="91">
        <v>1.0</v>
      </c>
      <c r="G296" s="92">
        <f>'Start Here'!$F$22*D296</f>
        <v>70</v>
      </c>
      <c r="H296" s="138"/>
      <c r="I296" s="165"/>
      <c r="J296" s="166">
        <f t="shared" si="342"/>
        <v>4</v>
      </c>
      <c r="K296" s="165">
        <f t="shared" si="343"/>
        <v>280</v>
      </c>
      <c r="L296" s="166"/>
      <c r="M296" s="138"/>
      <c r="N296" s="67"/>
      <c r="O296" s="67"/>
      <c r="P296" s="67"/>
      <c r="Q296" s="67"/>
      <c r="R296" s="67"/>
      <c r="S296" s="93" t="str">
        <f t="shared" si="344"/>
        <v> </v>
      </c>
      <c r="T296" s="93" t="str">
        <f t="shared" si="345"/>
        <v> </v>
      </c>
      <c r="U296" s="93">
        <f t="shared" si="346"/>
        <v>4</v>
      </c>
      <c r="V296" s="93" t="str">
        <f t="shared" si="347"/>
        <v> </v>
      </c>
      <c r="W296" s="93" t="str">
        <f t="shared" si="348"/>
        <v> </v>
      </c>
      <c r="X296" s="67"/>
      <c r="Y296" s="67"/>
      <c r="Z296" s="67"/>
      <c r="AA296" s="67"/>
      <c r="AB296" s="67"/>
      <c r="AC296" s="85"/>
      <c r="AG296" s="86"/>
    </row>
    <row r="297" ht="12.75" customHeight="1">
      <c r="A297" s="1"/>
      <c r="B297" s="87"/>
      <c r="C297" s="94" t="s">
        <v>45</v>
      </c>
      <c r="D297" s="89">
        <v>0.65</v>
      </c>
      <c r="E297" s="90">
        <v>5.0</v>
      </c>
      <c r="F297" s="91">
        <v>1.0</v>
      </c>
      <c r="G297" s="92">
        <f>'Start Here'!$F$22*D297</f>
        <v>65</v>
      </c>
      <c r="H297" s="138"/>
      <c r="I297" s="165"/>
      <c r="J297" s="166">
        <f t="shared" si="342"/>
        <v>5</v>
      </c>
      <c r="K297" s="165">
        <f t="shared" si="343"/>
        <v>325</v>
      </c>
      <c r="L297" s="166"/>
      <c r="M297" s="138"/>
      <c r="N297" s="67"/>
      <c r="O297" s="67"/>
      <c r="P297" s="67"/>
      <c r="Q297" s="67"/>
      <c r="R297" s="67"/>
      <c r="S297" s="93" t="str">
        <f t="shared" si="344"/>
        <v> </v>
      </c>
      <c r="T297" s="93">
        <f t="shared" si="345"/>
        <v>5</v>
      </c>
      <c r="U297" s="93" t="str">
        <f t="shared" si="346"/>
        <v> </v>
      </c>
      <c r="V297" s="93" t="str">
        <f t="shared" si="347"/>
        <v> </v>
      </c>
      <c r="W297" s="93" t="str">
        <f t="shared" si="348"/>
        <v> </v>
      </c>
      <c r="X297" s="67"/>
      <c r="Y297" s="67"/>
      <c r="Z297" s="67"/>
      <c r="AA297" s="67"/>
      <c r="AB297" s="67"/>
      <c r="AC297" s="85"/>
      <c r="AG297" s="86"/>
    </row>
    <row r="298" ht="12.75" customHeight="1">
      <c r="A298" s="1"/>
      <c r="B298" s="87"/>
      <c r="C298" s="94" t="s">
        <v>45</v>
      </c>
      <c r="D298" s="89">
        <v>0.6</v>
      </c>
      <c r="E298" s="90">
        <v>6.0</v>
      </c>
      <c r="F298" s="91">
        <v>1.0</v>
      </c>
      <c r="G298" s="92">
        <f>'Start Here'!$F$22*D298</f>
        <v>60</v>
      </c>
      <c r="H298" s="138"/>
      <c r="I298" s="165"/>
      <c r="J298" s="166">
        <f t="shared" si="342"/>
        <v>6</v>
      </c>
      <c r="K298" s="165">
        <f t="shared" si="343"/>
        <v>360</v>
      </c>
      <c r="L298" s="166"/>
      <c r="M298" s="138"/>
      <c r="N298" s="67"/>
      <c r="O298" s="67"/>
      <c r="P298" s="67"/>
      <c r="Q298" s="67"/>
      <c r="R298" s="67"/>
      <c r="S298" s="93" t="str">
        <f t="shared" si="344"/>
        <v> </v>
      </c>
      <c r="T298" s="93">
        <f t="shared" si="345"/>
        <v>6</v>
      </c>
      <c r="U298" s="93" t="str">
        <f t="shared" si="346"/>
        <v> </v>
      </c>
      <c r="V298" s="93" t="str">
        <f t="shared" si="347"/>
        <v> </v>
      </c>
      <c r="W298" s="93" t="str">
        <f t="shared" si="348"/>
        <v> </v>
      </c>
      <c r="X298" s="67"/>
      <c r="Y298" s="67"/>
      <c r="Z298" s="67"/>
      <c r="AA298" s="67"/>
      <c r="AB298" s="67"/>
      <c r="AC298" s="85"/>
      <c r="AG298" s="86"/>
    </row>
    <row r="299" ht="12.75" customHeight="1">
      <c r="A299" s="1"/>
      <c r="B299" s="87"/>
      <c r="C299" s="94" t="s">
        <v>45</v>
      </c>
      <c r="D299" s="89">
        <v>0.55</v>
      </c>
      <c r="E299" s="90">
        <v>7.0</v>
      </c>
      <c r="F299" s="91">
        <v>1.0</v>
      </c>
      <c r="G299" s="92">
        <f>'Start Here'!$F$22*D299</f>
        <v>55</v>
      </c>
      <c r="H299" s="138"/>
      <c r="I299" s="165"/>
      <c r="J299" s="166">
        <f t="shared" si="342"/>
        <v>7</v>
      </c>
      <c r="K299" s="165">
        <f t="shared" si="343"/>
        <v>385</v>
      </c>
      <c r="L299" s="166"/>
      <c r="M299" s="138"/>
      <c r="N299" s="67"/>
      <c r="O299" s="67"/>
      <c r="P299" s="67"/>
      <c r="Q299" s="67"/>
      <c r="R299" s="67"/>
      <c r="S299" s="93">
        <f t="shared" si="344"/>
        <v>7</v>
      </c>
      <c r="T299" s="93" t="str">
        <f t="shared" si="345"/>
        <v> </v>
      </c>
      <c r="U299" s="93" t="str">
        <f t="shared" si="346"/>
        <v> </v>
      </c>
      <c r="V299" s="93" t="str">
        <f t="shared" si="347"/>
        <v> </v>
      </c>
      <c r="W299" s="93" t="str">
        <f t="shared" si="348"/>
        <v> </v>
      </c>
      <c r="X299" s="67"/>
      <c r="Y299" s="67"/>
      <c r="Z299" s="67"/>
      <c r="AA299" s="67"/>
      <c r="AB299" s="67"/>
      <c r="AC299" s="85"/>
      <c r="AG299" s="86"/>
    </row>
    <row r="300" ht="12.75" customHeight="1">
      <c r="A300" s="1"/>
      <c r="B300" s="87"/>
      <c r="C300" s="94" t="s">
        <v>45</v>
      </c>
      <c r="D300" s="89">
        <v>0.5</v>
      </c>
      <c r="E300" s="90">
        <v>8.0</v>
      </c>
      <c r="F300" s="91">
        <v>1.0</v>
      </c>
      <c r="G300" s="92">
        <f>'Start Here'!$F$22*D300</f>
        <v>50</v>
      </c>
      <c r="H300" s="138"/>
      <c r="I300" s="165"/>
      <c r="J300" s="166">
        <f t="shared" si="342"/>
        <v>8</v>
      </c>
      <c r="K300" s="165">
        <f t="shared" si="343"/>
        <v>400</v>
      </c>
      <c r="L300" s="166"/>
      <c r="M300" s="138"/>
      <c r="N300" s="67"/>
      <c r="O300" s="67"/>
      <c r="P300" s="67"/>
      <c r="Q300" s="67"/>
      <c r="R300" s="67"/>
      <c r="S300" s="93">
        <f t="shared" si="344"/>
        <v>8</v>
      </c>
      <c r="T300" s="93" t="str">
        <f t="shared" si="345"/>
        <v> </v>
      </c>
      <c r="U300" s="93" t="str">
        <f t="shared" si="346"/>
        <v> </v>
      </c>
      <c r="V300" s="93" t="str">
        <f t="shared" si="347"/>
        <v> </v>
      </c>
      <c r="W300" s="93" t="str">
        <f t="shared" si="348"/>
        <v> </v>
      </c>
      <c r="X300" s="67"/>
      <c r="Y300" s="67"/>
      <c r="Z300" s="67"/>
      <c r="AA300" s="67"/>
      <c r="AB300" s="67"/>
      <c r="AC300" s="85"/>
      <c r="AG300" s="86"/>
    </row>
    <row r="301" ht="12.75" customHeight="1">
      <c r="A301" s="1"/>
      <c r="B301" s="79">
        <v>3.0</v>
      </c>
      <c r="C301" s="95" t="s">
        <v>46</v>
      </c>
      <c r="D301" s="81">
        <v>0.5</v>
      </c>
      <c r="E301" s="82">
        <v>4.0</v>
      </c>
      <c r="F301" s="83">
        <v>1.0</v>
      </c>
      <c r="G301" s="84">
        <f>'Start Here'!$F$21*D301</f>
        <v>50</v>
      </c>
      <c r="H301" s="138">
        <f t="shared" ref="H301:H303" si="349">E301*F301</f>
        <v>4</v>
      </c>
      <c r="I301" s="165">
        <f t="shared" ref="I301:I303" si="350">G301*H301</f>
        <v>200</v>
      </c>
      <c r="J301" s="166"/>
      <c r="K301" s="165"/>
      <c r="L301" s="166"/>
      <c r="M301" s="138"/>
      <c r="N301" s="75">
        <f t="shared" ref="N301:N303" si="351">IF(ISNUMBER(SEARCH("squat",$C301)),IF($D301&gt;=0.5,IF($D301&lt;0.6,$E301*$F301," ")," ")," ")</f>
        <v>4</v>
      </c>
      <c r="O301" s="75" t="str">
        <f t="shared" ref="O301:O303" si="352">IF(ISNUMBER(SEARCH("squat",$C301)),IF($D301&gt;=0.6,IF($D301&lt;0.7,$E301*$F301," ")," ")," ")</f>
        <v> </v>
      </c>
      <c r="P301" s="75" t="str">
        <f t="shared" ref="P301:P303" si="353">IF(ISNUMBER(SEARCH("squat",$C301)),IF($D301&gt;=0.7,IF($D301&lt;0.8,$E301*$F301," ")," ")," ")</f>
        <v> </v>
      </c>
      <c r="Q301" s="75" t="str">
        <f t="shared" ref="Q301:Q303" si="354">IF(ISNUMBER(SEARCH("squat",$C301)),IF($D301&gt;=0.8,IF($D301&lt;0.9,$E301*$F301," ")," ")," ")</f>
        <v> </v>
      </c>
      <c r="R301" s="75" t="str">
        <f t="shared" ref="R301:R303" si="355">IF(ISNUMBER(SEARCH("squat",$C301)),IF($D301&gt;=0.9,$E301*$F301," ")," ")</f>
        <v> </v>
      </c>
      <c r="S301" s="67"/>
      <c r="T301" s="67"/>
      <c r="U301" s="67"/>
      <c r="V301" s="67"/>
      <c r="W301" s="67"/>
      <c r="X301" s="67"/>
      <c r="Y301" s="67"/>
      <c r="Z301" s="67"/>
      <c r="AA301" s="67"/>
      <c r="AB301" s="67"/>
      <c r="AC301" s="85"/>
      <c r="AG301" s="86"/>
    </row>
    <row r="302" ht="12.75" customHeight="1">
      <c r="A302" s="1"/>
      <c r="B302" s="79"/>
      <c r="C302" s="80" t="s">
        <v>46</v>
      </c>
      <c r="D302" s="81">
        <v>0.6</v>
      </c>
      <c r="E302" s="82">
        <v>4.0</v>
      </c>
      <c r="F302" s="83">
        <v>1.0</v>
      </c>
      <c r="G302" s="84">
        <f>'Start Here'!$F$21*D302</f>
        <v>60</v>
      </c>
      <c r="H302" s="138">
        <f t="shared" si="349"/>
        <v>4</v>
      </c>
      <c r="I302" s="165">
        <f t="shared" si="350"/>
        <v>240</v>
      </c>
      <c r="J302" s="166"/>
      <c r="K302" s="165"/>
      <c r="L302" s="166"/>
      <c r="M302" s="138"/>
      <c r="N302" s="75" t="str">
        <f t="shared" si="351"/>
        <v> </v>
      </c>
      <c r="O302" s="75">
        <f t="shared" si="352"/>
        <v>4</v>
      </c>
      <c r="P302" s="75" t="str">
        <f t="shared" si="353"/>
        <v> </v>
      </c>
      <c r="Q302" s="75" t="str">
        <f t="shared" si="354"/>
        <v> </v>
      </c>
      <c r="R302" s="75" t="str">
        <f t="shared" si="355"/>
        <v> </v>
      </c>
      <c r="S302" s="67"/>
      <c r="T302" s="67"/>
      <c r="U302" s="67"/>
      <c r="V302" s="67"/>
      <c r="W302" s="67"/>
      <c r="X302" s="67"/>
      <c r="Y302" s="67"/>
      <c r="Z302" s="67"/>
      <c r="AA302" s="67"/>
      <c r="AB302" s="67"/>
      <c r="AC302" s="85"/>
      <c r="AG302" s="86"/>
    </row>
    <row r="303" ht="12.75" customHeight="1">
      <c r="A303" s="1"/>
      <c r="B303" s="79"/>
      <c r="C303" s="80" t="s">
        <v>46</v>
      </c>
      <c r="D303" s="81">
        <v>0.7</v>
      </c>
      <c r="E303" s="82">
        <v>4.0</v>
      </c>
      <c r="F303" s="83">
        <v>4.0</v>
      </c>
      <c r="G303" s="84">
        <f>'Start Here'!$F$21*D303</f>
        <v>70</v>
      </c>
      <c r="H303" s="138">
        <f t="shared" si="349"/>
        <v>16</v>
      </c>
      <c r="I303" s="165">
        <f t="shared" si="350"/>
        <v>1120</v>
      </c>
      <c r="J303" s="166"/>
      <c r="K303" s="165"/>
      <c r="L303" s="166"/>
      <c r="M303" s="138"/>
      <c r="N303" s="75" t="str">
        <f t="shared" si="351"/>
        <v> </v>
      </c>
      <c r="O303" s="75" t="str">
        <f t="shared" si="352"/>
        <v> </v>
      </c>
      <c r="P303" s="75">
        <f t="shared" si="353"/>
        <v>16</v>
      </c>
      <c r="Q303" s="75" t="str">
        <f t="shared" si="354"/>
        <v> </v>
      </c>
      <c r="R303" s="75" t="str">
        <f t="shared" si="355"/>
        <v> </v>
      </c>
      <c r="S303" s="67"/>
      <c r="T303" s="67"/>
      <c r="U303" s="67"/>
      <c r="V303" s="67"/>
      <c r="W303" s="67"/>
      <c r="X303" s="67"/>
      <c r="Y303" s="67"/>
      <c r="Z303" s="67"/>
      <c r="AA303" s="67"/>
      <c r="AB303" s="67"/>
      <c r="AC303" s="85"/>
      <c r="AG303" s="86"/>
    </row>
    <row r="304" ht="12.75" customHeight="1">
      <c r="A304" s="1"/>
      <c r="B304" s="96">
        <v>4.0</v>
      </c>
      <c r="C304" s="167" t="s">
        <v>92</v>
      </c>
      <c r="D304" s="168"/>
      <c r="E304" s="98">
        <v>6.0</v>
      </c>
      <c r="F304" s="169">
        <v>5.0</v>
      </c>
      <c r="G304" s="170"/>
      <c r="H304" s="138"/>
      <c r="I304" s="165"/>
      <c r="J304" s="166"/>
      <c r="K304" s="165"/>
      <c r="L304" s="166"/>
      <c r="M304" s="138"/>
      <c r="N304" s="67"/>
      <c r="O304" s="67"/>
      <c r="P304" s="67"/>
      <c r="Q304" s="67"/>
      <c r="R304" s="67"/>
      <c r="S304" s="67"/>
      <c r="T304" s="67"/>
      <c r="U304" s="67"/>
      <c r="V304" s="67"/>
      <c r="W304" s="67"/>
      <c r="X304" s="67"/>
      <c r="Y304" s="67"/>
      <c r="Z304" s="67"/>
      <c r="AA304" s="67"/>
      <c r="AB304" s="67"/>
      <c r="AC304" s="85"/>
      <c r="AG304" s="86"/>
    </row>
    <row r="305" ht="12.75" customHeight="1">
      <c r="A305" s="1"/>
      <c r="B305" s="100">
        <v>5.0</v>
      </c>
      <c r="C305" s="171" t="s">
        <v>48</v>
      </c>
      <c r="D305" s="172"/>
      <c r="E305" s="102">
        <v>10.0</v>
      </c>
      <c r="F305" s="173">
        <v>3.0</v>
      </c>
      <c r="G305" s="174"/>
      <c r="H305" s="138"/>
      <c r="I305" s="165"/>
      <c r="J305" s="166"/>
      <c r="K305" s="165"/>
      <c r="L305" s="166"/>
      <c r="M305" s="138"/>
      <c r="N305" s="67"/>
      <c r="O305" s="67"/>
      <c r="P305" s="67"/>
      <c r="Q305" s="67"/>
      <c r="R305" s="67"/>
      <c r="S305" s="67"/>
      <c r="T305" s="67"/>
      <c r="U305" s="67"/>
      <c r="V305" s="67"/>
      <c r="W305" s="67"/>
      <c r="X305" s="67"/>
      <c r="Y305" s="67"/>
      <c r="Z305" s="67"/>
      <c r="AA305" s="67"/>
      <c r="AB305" s="67"/>
      <c r="AC305" s="104"/>
      <c r="AD305" s="105"/>
      <c r="AE305" s="105"/>
      <c r="AF305" s="105"/>
      <c r="AG305" s="106"/>
    </row>
    <row r="306" ht="12.75" customHeight="1">
      <c r="A306" s="1"/>
      <c r="B306" s="67"/>
      <c r="C306" s="136"/>
      <c r="D306" s="137"/>
      <c r="E306" s="138"/>
      <c r="F306" s="138"/>
      <c r="G306" s="138"/>
      <c r="H306" s="166"/>
      <c r="I306" s="165"/>
      <c r="J306" s="166"/>
      <c r="K306" s="165"/>
      <c r="L306" s="166"/>
      <c r="M306" s="138"/>
      <c r="N306" s="67"/>
      <c r="O306" s="67"/>
      <c r="P306" s="67"/>
      <c r="Q306" s="67"/>
      <c r="R306" s="67"/>
      <c r="S306" s="67"/>
      <c r="T306" s="67"/>
      <c r="U306" s="67"/>
      <c r="V306" s="67"/>
      <c r="W306" s="67"/>
      <c r="X306" s="67"/>
      <c r="Y306" s="67"/>
      <c r="Z306" s="67"/>
      <c r="AA306" s="67"/>
      <c r="AB306" s="67"/>
      <c r="AC306" s="67"/>
      <c r="AD306" s="67"/>
      <c r="AE306" s="67"/>
      <c r="AF306" s="67"/>
      <c r="AG306" s="67"/>
    </row>
    <row r="307" ht="39.0" customHeight="1">
      <c r="A307" s="1"/>
      <c r="B307" s="68" t="s">
        <v>58</v>
      </c>
      <c r="D307" s="137" t="s">
        <v>34</v>
      </c>
      <c r="E307" s="138" t="s">
        <v>35</v>
      </c>
      <c r="F307" s="138" t="s">
        <v>36</v>
      </c>
      <c r="G307" s="138" t="s">
        <v>37</v>
      </c>
      <c r="H307" s="166"/>
      <c r="I307" s="165"/>
      <c r="J307" s="166"/>
      <c r="K307" s="165"/>
      <c r="L307" s="166"/>
      <c r="M307" s="138"/>
      <c r="N307" s="67"/>
      <c r="O307" s="67"/>
      <c r="P307" s="67"/>
      <c r="Q307" s="67"/>
      <c r="R307" s="67"/>
      <c r="S307" s="67"/>
      <c r="T307" s="67"/>
      <c r="U307" s="67"/>
      <c r="V307" s="67"/>
      <c r="W307" s="67"/>
      <c r="X307" s="67"/>
      <c r="Y307" s="67"/>
      <c r="Z307" s="67"/>
      <c r="AA307" s="67"/>
      <c r="AB307" s="67"/>
      <c r="AC307" s="67" t="s">
        <v>43</v>
      </c>
      <c r="AD307" s="67"/>
      <c r="AE307" s="67"/>
      <c r="AF307" s="67"/>
      <c r="AG307" s="67"/>
    </row>
    <row r="308" ht="12.75" customHeight="1">
      <c r="A308" s="1"/>
      <c r="B308" s="107">
        <v>1.0</v>
      </c>
      <c r="C308" s="108" t="s">
        <v>118</v>
      </c>
      <c r="D308" s="109">
        <v>0.5</v>
      </c>
      <c r="E308" s="110">
        <v>3.0</v>
      </c>
      <c r="F308" s="111">
        <v>1.0</v>
      </c>
      <c r="G308" s="112">
        <f>'Start Here'!$F$23*D308</f>
        <v>50</v>
      </c>
      <c r="H308" s="138"/>
      <c r="I308" s="165"/>
      <c r="J308" s="166"/>
      <c r="K308" s="165"/>
      <c r="L308" s="166">
        <f t="shared" ref="L308:L311" si="356">E308*F308</f>
        <v>3</v>
      </c>
      <c r="M308" s="138">
        <f t="shared" ref="M308:M311" si="357">G308*L308</f>
        <v>150</v>
      </c>
      <c r="N308" s="67"/>
      <c r="O308" s="67"/>
      <c r="P308" s="67"/>
      <c r="Q308" s="67"/>
      <c r="R308" s="67"/>
      <c r="S308" s="67"/>
      <c r="T308" s="67"/>
      <c r="U308" s="67"/>
      <c r="V308" s="67"/>
      <c r="W308" s="67"/>
      <c r="X308" s="114">
        <f t="shared" ref="X308:X311" si="358">IF(ISNUMBER(SEARCH("deadlift",$C308)),IF($D308&gt;=0.5,IF($D308&lt;0.6,$E308*$F308," ")," ")," ")</f>
        <v>3</v>
      </c>
      <c r="Y308" s="114" t="str">
        <f t="shared" ref="Y308:Y311" si="359">IF(ISNUMBER(SEARCH("deadlift",$C308)),IF($D308&gt;=0.6,IF($D308&lt;0.7,$E308*$F308," ")," ")," ")</f>
        <v> </v>
      </c>
      <c r="Z308" s="114" t="str">
        <f t="shared" ref="Z308:Z311" si="360">IF(ISNUMBER(SEARCH("deadlift",$C308)),IF($D308&gt;=0.7,IF($D308&lt;0.8,$E308*$F308," ")," ")," ")</f>
        <v> </v>
      </c>
      <c r="AA308" s="114" t="str">
        <f t="shared" ref="AA308:AA311" si="361">IF(ISNUMBER(SEARCH("deadlift",$C308)),IF($D308&gt;=0.8,IF($D308&lt;0.9,$E308*$F308," ")," ")," ")</f>
        <v> </v>
      </c>
      <c r="AB308" s="114" t="str">
        <f t="shared" ref="AB308:AB311" si="362">IF(ISNUMBER(SEARCH("deadlift",$C308)),IF($D308&gt;=0.9,$E308*$F308," ")," ")</f>
        <v> </v>
      </c>
      <c r="AC308" s="76"/>
      <c r="AD308" s="77"/>
      <c r="AE308" s="77"/>
      <c r="AF308" s="77"/>
      <c r="AG308" s="78"/>
    </row>
    <row r="309" ht="12.75" customHeight="1">
      <c r="A309" s="1"/>
      <c r="B309" s="115"/>
      <c r="C309" s="122" t="s">
        <v>118</v>
      </c>
      <c r="D309" s="117">
        <v>0.6</v>
      </c>
      <c r="E309" s="118">
        <v>3.0</v>
      </c>
      <c r="F309" s="119">
        <v>1.0</v>
      </c>
      <c r="G309" s="120">
        <f>'Start Here'!$F$23*D309</f>
        <v>60</v>
      </c>
      <c r="H309" s="138"/>
      <c r="I309" s="165"/>
      <c r="J309" s="166"/>
      <c r="K309" s="165"/>
      <c r="L309" s="166">
        <f t="shared" si="356"/>
        <v>3</v>
      </c>
      <c r="M309" s="138">
        <f t="shared" si="357"/>
        <v>180</v>
      </c>
      <c r="N309" s="67"/>
      <c r="O309" s="67"/>
      <c r="P309" s="67"/>
      <c r="Q309" s="67"/>
      <c r="R309" s="67"/>
      <c r="S309" s="67"/>
      <c r="T309" s="67"/>
      <c r="U309" s="67"/>
      <c r="V309" s="67"/>
      <c r="W309" s="67"/>
      <c r="X309" s="114" t="str">
        <f t="shared" si="358"/>
        <v> </v>
      </c>
      <c r="Y309" s="114">
        <f t="shared" si="359"/>
        <v>3</v>
      </c>
      <c r="Z309" s="114" t="str">
        <f t="shared" si="360"/>
        <v> </v>
      </c>
      <c r="AA309" s="114" t="str">
        <f t="shared" si="361"/>
        <v> </v>
      </c>
      <c r="AB309" s="114" t="str">
        <f t="shared" si="362"/>
        <v> </v>
      </c>
      <c r="AC309" s="85"/>
      <c r="AG309" s="86"/>
    </row>
    <row r="310" ht="12.75" customHeight="1">
      <c r="A310" s="1"/>
      <c r="B310" s="115"/>
      <c r="C310" s="122" t="s">
        <v>118</v>
      </c>
      <c r="D310" s="117">
        <v>0.7</v>
      </c>
      <c r="E310" s="118">
        <v>3.0</v>
      </c>
      <c r="F310" s="119">
        <v>1.0</v>
      </c>
      <c r="G310" s="120">
        <f>'Start Here'!$F$23*D310</f>
        <v>70</v>
      </c>
      <c r="H310" s="138"/>
      <c r="I310" s="165"/>
      <c r="J310" s="166"/>
      <c r="K310" s="165"/>
      <c r="L310" s="166">
        <f t="shared" si="356"/>
        <v>3</v>
      </c>
      <c r="M310" s="138">
        <f t="shared" si="357"/>
        <v>210</v>
      </c>
      <c r="N310" s="67"/>
      <c r="O310" s="67"/>
      <c r="P310" s="67"/>
      <c r="Q310" s="67"/>
      <c r="R310" s="67"/>
      <c r="S310" s="67"/>
      <c r="T310" s="67"/>
      <c r="U310" s="67"/>
      <c r="V310" s="67"/>
      <c r="W310" s="67"/>
      <c r="X310" s="114" t="str">
        <f t="shared" si="358"/>
        <v> </v>
      </c>
      <c r="Y310" s="114" t="str">
        <f t="shared" si="359"/>
        <v> </v>
      </c>
      <c r="Z310" s="114">
        <f t="shared" si="360"/>
        <v>3</v>
      </c>
      <c r="AA310" s="114" t="str">
        <f t="shared" si="361"/>
        <v> </v>
      </c>
      <c r="AB310" s="114" t="str">
        <f t="shared" si="362"/>
        <v> </v>
      </c>
      <c r="AC310" s="85"/>
      <c r="AG310" s="86"/>
    </row>
    <row r="311" ht="12.75" customHeight="1">
      <c r="A311" s="1"/>
      <c r="B311" s="115"/>
      <c r="C311" s="122" t="s">
        <v>118</v>
      </c>
      <c r="D311" s="117">
        <v>0.75</v>
      </c>
      <c r="E311" s="118">
        <v>2.0</v>
      </c>
      <c r="F311" s="119">
        <v>4.0</v>
      </c>
      <c r="G311" s="120">
        <f>'Start Here'!$F$23*D311</f>
        <v>75</v>
      </c>
      <c r="H311" s="138"/>
      <c r="I311" s="165"/>
      <c r="J311" s="166"/>
      <c r="K311" s="165"/>
      <c r="L311" s="166">
        <f t="shared" si="356"/>
        <v>8</v>
      </c>
      <c r="M311" s="138">
        <f t="shared" si="357"/>
        <v>600</v>
      </c>
      <c r="N311" s="67"/>
      <c r="O311" s="67"/>
      <c r="P311" s="67"/>
      <c r="Q311" s="67"/>
      <c r="R311" s="67"/>
      <c r="S311" s="67"/>
      <c r="T311" s="67"/>
      <c r="U311" s="67"/>
      <c r="V311" s="67"/>
      <c r="W311" s="67"/>
      <c r="X311" s="114" t="str">
        <f t="shared" si="358"/>
        <v> </v>
      </c>
      <c r="Y311" s="114" t="str">
        <f t="shared" si="359"/>
        <v> </v>
      </c>
      <c r="Z311" s="114">
        <f t="shared" si="360"/>
        <v>8</v>
      </c>
      <c r="AA311" s="114" t="str">
        <f t="shared" si="361"/>
        <v> </v>
      </c>
      <c r="AB311" s="114" t="str">
        <f t="shared" si="362"/>
        <v> </v>
      </c>
      <c r="AC311" s="85"/>
      <c r="AG311" s="86"/>
    </row>
    <row r="312" ht="12.75" customHeight="1">
      <c r="A312" s="1"/>
      <c r="B312" s="135">
        <v>2.0</v>
      </c>
      <c r="C312" s="136" t="s">
        <v>119</v>
      </c>
      <c r="D312" s="137"/>
      <c r="E312" s="68">
        <v>6.0</v>
      </c>
      <c r="F312" s="138">
        <v>5.0</v>
      </c>
      <c r="G312" s="139"/>
      <c r="H312" s="138"/>
      <c r="I312" s="165"/>
      <c r="J312" s="166"/>
      <c r="K312" s="165"/>
      <c r="L312" s="166"/>
      <c r="M312" s="138"/>
      <c r="N312" s="67"/>
      <c r="O312" s="67"/>
      <c r="P312" s="67"/>
      <c r="Q312" s="67"/>
      <c r="R312" s="67"/>
      <c r="S312" s="67"/>
      <c r="T312" s="67"/>
      <c r="U312" s="67"/>
      <c r="V312" s="67"/>
      <c r="W312" s="67"/>
      <c r="X312" s="67"/>
      <c r="Y312" s="67"/>
      <c r="Z312" s="67"/>
      <c r="AA312" s="67"/>
      <c r="AB312" s="67"/>
      <c r="AC312" s="85"/>
      <c r="AG312" s="86"/>
    </row>
    <row r="313" ht="12.75" customHeight="1">
      <c r="A313" s="1"/>
      <c r="B313" s="115">
        <v>3.0</v>
      </c>
      <c r="C313" s="121" t="s">
        <v>120</v>
      </c>
      <c r="D313" s="117">
        <v>0.5</v>
      </c>
      <c r="E313" s="118">
        <v>4.0</v>
      </c>
      <c r="F313" s="119">
        <v>1.0</v>
      </c>
      <c r="G313" s="120">
        <f>'Start Here'!$F$23*D313</f>
        <v>50</v>
      </c>
      <c r="H313" s="138"/>
      <c r="I313" s="165"/>
      <c r="J313" s="166"/>
      <c r="K313" s="165"/>
      <c r="L313" s="166">
        <f t="shared" ref="L313:L316" si="363">E313*F313</f>
        <v>4</v>
      </c>
      <c r="M313" s="138">
        <f t="shared" ref="M313:M316" si="364">G313*L313</f>
        <v>200</v>
      </c>
      <c r="N313" s="67"/>
      <c r="O313" s="67"/>
      <c r="P313" s="67"/>
      <c r="Q313" s="67"/>
      <c r="R313" s="67"/>
      <c r="S313" s="67"/>
      <c r="T313" s="67"/>
      <c r="U313" s="67"/>
      <c r="V313" s="67"/>
      <c r="W313" s="67"/>
      <c r="X313" s="114">
        <f t="shared" ref="X313:X316" si="365">IF(ISNUMBER(SEARCH("deadlift",$C313)),IF($D313&gt;=0.5,IF($D313&lt;0.6,$E313*$F313," ")," ")," ")</f>
        <v>4</v>
      </c>
      <c r="Y313" s="114" t="str">
        <f t="shared" ref="Y313:Y316" si="366">IF(ISNUMBER(SEARCH("deadlift",$C313)),IF($D313&gt;=0.6,IF($D313&lt;0.7,$E313*$F313," ")," ")," ")</f>
        <v> </v>
      </c>
      <c r="Z313" s="114" t="str">
        <f t="shared" ref="Z313:Z316" si="367">IF(ISNUMBER(SEARCH("deadlift",$C313)),IF($D313&gt;=0.7,IF($D313&lt;0.8,$E313*$F313," ")," ")," ")</f>
        <v> </v>
      </c>
      <c r="AA313" s="114" t="str">
        <f t="shared" ref="AA313:AA316" si="368">IF(ISNUMBER(SEARCH("deadlift",$C313)),IF($D313&gt;=0.8,IF($D313&lt;0.9,$E313*$F313," ")," ")," ")</f>
        <v> </v>
      </c>
      <c r="AB313" s="114" t="str">
        <f t="shared" ref="AB313:AB316" si="369">IF(ISNUMBER(SEARCH("deadlift",$C313)),IF($D313&gt;=0.9,$E313*$F313," ")," ")</f>
        <v> </v>
      </c>
      <c r="AC313" s="85"/>
      <c r="AG313" s="86"/>
    </row>
    <row r="314" ht="12.75" customHeight="1">
      <c r="A314" s="1"/>
      <c r="B314" s="115"/>
      <c r="C314" s="122" t="s">
        <v>120</v>
      </c>
      <c r="D314" s="117">
        <v>0.6</v>
      </c>
      <c r="E314" s="118">
        <v>4.0</v>
      </c>
      <c r="F314" s="119">
        <v>1.0</v>
      </c>
      <c r="G314" s="120">
        <f>'Start Here'!$F$23*D314</f>
        <v>60</v>
      </c>
      <c r="H314" s="138"/>
      <c r="I314" s="165"/>
      <c r="J314" s="166"/>
      <c r="K314" s="165"/>
      <c r="L314" s="166">
        <f t="shared" si="363"/>
        <v>4</v>
      </c>
      <c r="M314" s="138">
        <f t="shared" si="364"/>
        <v>240</v>
      </c>
      <c r="N314" s="67"/>
      <c r="O314" s="67"/>
      <c r="P314" s="67"/>
      <c r="Q314" s="67"/>
      <c r="R314" s="67"/>
      <c r="S314" s="67"/>
      <c r="T314" s="67"/>
      <c r="U314" s="67"/>
      <c r="V314" s="67"/>
      <c r="W314" s="67"/>
      <c r="X314" s="114" t="str">
        <f t="shared" si="365"/>
        <v> </v>
      </c>
      <c r="Y314" s="114">
        <f t="shared" si="366"/>
        <v>4</v>
      </c>
      <c r="Z314" s="114" t="str">
        <f t="shared" si="367"/>
        <v> </v>
      </c>
      <c r="AA314" s="114" t="str">
        <f t="shared" si="368"/>
        <v> </v>
      </c>
      <c r="AB314" s="114" t="str">
        <f t="shared" si="369"/>
        <v> </v>
      </c>
      <c r="AC314" s="85"/>
      <c r="AG314" s="86"/>
    </row>
    <row r="315" ht="12.75" customHeight="1">
      <c r="A315" s="1"/>
      <c r="B315" s="115"/>
      <c r="C315" s="122" t="s">
        <v>120</v>
      </c>
      <c r="D315" s="117">
        <v>0.7</v>
      </c>
      <c r="E315" s="118">
        <v>4.0</v>
      </c>
      <c r="F315" s="119">
        <v>1.0</v>
      </c>
      <c r="G315" s="120">
        <f>'Start Here'!$F$23*D315</f>
        <v>70</v>
      </c>
      <c r="H315" s="138"/>
      <c r="I315" s="165"/>
      <c r="J315" s="166"/>
      <c r="K315" s="165"/>
      <c r="L315" s="166">
        <f t="shared" si="363"/>
        <v>4</v>
      </c>
      <c r="M315" s="138">
        <f t="shared" si="364"/>
        <v>280</v>
      </c>
      <c r="N315" s="67"/>
      <c r="O315" s="67"/>
      <c r="P315" s="67"/>
      <c r="Q315" s="67"/>
      <c r="R315" s="67"/>
      <c r="S315" s="67"/>
      <c r="T315" s="67"/>
      <c r="U315" s="67"/>
      <c r="V315" s="67"/>
      <c r="W315" s="67"/>
      <c r="X315" s="114" t="str">
        <f t="shared" si="365"/>
        <v> </v>
      </c>
      <c r="Y315" s="114" t="str">
        <f t="shared" si="366"/>
        <v> </v>
      </c>
      <c r="Z315" s="114">
        <f t="shared" si="367"/>
        <v>4</v>
      </c>
      <c r="AA315" s="114" t="str">
        <f t="shared" si="368"/>
        <v> </v>
      </c>
      <c r="AB315" s="114" t="str">
        <f t="shared" si="369"/>
        <v> </v>
      </c>
      <c r="AC315" s="85"/>
      <c r="AG315" s="86"/>
    </row>
    <row r="316" ht="12.75" customHeight="1">
      <c r="A316" s="1"/>
      <c r="B316" s="115"/>
      <c r="C316" s="122" t="s">
        <v>120</v>
      </c>
      <c r="D316" s="117">
        <v>0.75</v>
      </c>
      <c r="E316" s="118">
        <v>4.0</v>
      </c>
      <c r="F316" s="119">
        <v>4.0</v>
      </c>
      <c r="G316" s="120">
        <f>'Start Here'!$F$23*D316</f>
        <v>75</v>
      </c>
      <c r="H316" s="138"/>
      <c r="I316" s="165"/>
      <c r="J316" s="166"/>
      <c r="K316" s="165"/>
      <c r="L316" s="166">
        <f t="shared" si="363"/>
        <v>16</v>
      </c>
      <c r="M316" s="138">
        <f t="shared" si="364"/>
        <v>1200</v>
      </c>
      <c r="N316" s="67"/>
      <c r="O316" s="67"/>
      <c r="P316" s="67"/>
      <c r="Q316" s="67"/>
      <c r="R316" s="67"/>
      <c r="S316" s="67"/>
      <c r="T316" s="67"/>
      <c r="U316" s="67"/>
      <c r="V316" s="67"/>
      <c r="W316" s="67"/>
      <c r="X316" s="114" t="str">
        <f t="shared" si="365"/>
        <v> </v>
      </c>
      <c r="Y316" s="114" t="str">
        <f t="shared" si="366"/>
        <v> </v>
      </c>
      <c r="Z316" s="114">
        <f t="shared" si="367"/>
        <v>16</v>
      </c>
      <c r="AA316" s="114" t="str">
        <f t="shared" si="368"/>
        <v> </v>
      </c>
      <c r="AB316" s="114" t="str">
        <f t="shared" si="369"/>
        <v> </v>
      </c>
      <c r="AC316" s="85"/>
      <c r="AG316" s="86"/>
    </row>
    <row r="317" ht="12.75" customHeight="1">
      <c r="A317" s="1"/>
      <c r="B317" s="96">
        <v>4.0</v>
      </c>
      <c r="C317" s="167" t="s">
        <v>95</v>
      </c>
      <c r="D317" s="168"/>
      <c r="E317" s="98">
        <v>6.0</v>
      </c>
      <c r="F317" s="169">
        <v>5.0</v>
      </c>
      <c r="G317" s="170"/>
      <c r="H317" s="138"/>
      <c r="I317" s="165"/>
      <c r="J317" s="166"/>
      <c r="K317" s="165"/>
      <c r="L317" s="166"/>
      <c r="M317" s="138"/>
      <c r="N317" s="67"/>
      <c r="O317" s="67"/>
      <c r="P317" s="67"/>
      <c r="Q317" s="67"/>
      <c r="R317" s="67"/>
      <c r="S317" s="67"/>
      <c r="T317" s="67"/>
      <c r="U317" s="67"/>
      <c r="V317" s="67"/>
      <c r="W317" s="67"/>
      <c r="X317" s="67"/>
      <c r="Y317" s="67"/>
      <c r="Z317" s="67"/>
      <c r="AA317" s="67"/>
      <c r="AB317" s="67"/>
      <c r="AC317" s="85"/>
      <c r="AG317" s="86"/>
    </row>
    <row r="318" ht="12.75" customHeight="1">
      <c r="A318" s="1"/>
      <c r="B318" s="100">
        <v>5.0</v>
      </c>
      <c r="C318" s="171" t="s">
        <v>57</v>
      </c>
      <c r="D318" s="172"/>
      <c r="E318" s="102">
        <v>8.0</v>
      </c>
      <c r="F318" s="173">
        <v>4.0</v>
      </c>
      <c r="G318" s="174"/>
      <c r="H318" s="138"/>
      <c r="I318" s="165"/>
      <c r="J318" s="166"/>
      <c r="K318" s="165"/>
      <c r="L318" s="166"/>
      <c r="M318" s="138"/>
      <c r="N318" s="67"/>
      <c r="O318" s="67"/>
      <c r="P318" s="67"/>
      <c r="Q318" s="67"/>
      <c r="R318" s="67"/>
      <c r="S318" s="67"/>
      <c r="T318" s="67"/>
      <c r="U318" s="67"/>
      <c r="V318" s="67"/>
      <c r="W318" s="67"/>
      <c r="X318" s="67"/>
      <c r="Y318" s="67"/>
      <c r="Z318" s="67"/>
      <c r="AA318" s="67"/>
      <c r="AB318" s="67"/>
      <c r="AC318" s="104"/>
      <c r="AD318" s="105"/>
      <c r="AE318" s="105"/>
      <c r="AF318" s="105"/>
      <c r="AG318" s="106"/>
    </row>
    <row r="319" ht="12.75" customHeight="1">
      <c r="A319" s="181"/>
      <c r="B319" s="142"/>
      <c r="C319" s="182"/>
      <c r="D319" s="183"/>
      <c r="E319" s="184"/>
      <c r="F319" s="184"/>
      <c r="G319" s="184"/>
      <c r="H319" s="185">
        <f t="shared" ref="H319:AB319" si="370">SUM(H250:H318)</f>
        <v>91</v>
      </c>
      <c r="I319" s="186">
        <f t="shared" si="370"/>
        <v>6020</v>
      </c>
      <c r="J319" s="185">
        <f t="shared" si="370"/>
        <v>129</v>
      </c>
      <c r="K319" s="186">
        <f t="shared" si="370"/>
        <v>8450</v>
      </c>
      <c r="L319" s="185">
        <f t="shared" si="370"/>
        <v>90</v>
      </c>
      <c r="M319" s="184">
        <f t="shared" si="370"/>
        <v>6225</v>
      </c>
      <c r="N319" s="67">
        <f t="shared" si="370"/>
        <v>14</v>
      </c>
      <c r="O319" s="67">
        <f t="shared" si="370"/>
        <v>13</v>
      </c>
      <c r="P319" s="67">
        <f t="shared" si="370"/>
        <v>64</v>
      </c>
      <c r="Q319" s="67">
        <f t="shared" si="370"/>
        <v>0</v>
      </c>
      <c r="R319" s="67">
        <f t="shared" si="370"/>
        <v>0</v>
      </c>
      <c r="S319" s="187">
        <f t="shared" si="370"/>
        <v>35</v>
      </c>
      <c r="T319" s="187">
        <f t="shared" si="370"/>
        <v>28</v>
      </c>
      <c r="U319" s="187">
        <f t="shared" si="370"/>
        <v>36</v>
      </c>
      <c r="V319" s="187">
        <f t="shared" si="370"/>
        <v>30</v>
      </c>
      <c r="W319" s="187">
        <f t="shared" si="370"/>
        <v>0</v>
      </c>
      <c r="X319" s="144">
        <f t="shared" si="370"/>
        <v>14</v>
      </c>
      <c r="Y319" s="144">
        <f t="shared" si="370"/>
        <v>14</v>
      </c>
      <c r="Z319" s="144">
        <f t="shared" si="370"/>
        <v>50</v>
      </c>
      <c r="AA319" s="144">
        <f t="shared" si="370"/>
        <v>12</v>
      </c>
      <c r="AB319" s="144">
        <f t="shared" si="370"/>
        <v>0</v>
      </c>
      <c r="AC319" s="142"/>
      <c r="AD319" s="142"/>
      <c r="AE319" s="142"/>
      <c r="AF319" s="142"/>
      <c r="AG319" s="142"/>
    </row>
    <row r="320" ht="43.5" customHeight="1">
      <c r="A320" s="1"/>
      <c r="B320" s="66" t="s">
        <v>121</v>
      </c>
      <c r="H320" s="138"/>
      <c r="I320" s="165"/>
      <c r="J320" s="166"/>
      <c r="K320" s="165"/>
      <c r="L320" s="166"/>
      <c r="M320" s="138"/>
      <c r="N320" s="67"/>
      <c r="O320" s="67"/>
      <c r="P320" s="67"/>
      <c r="Q320" s="67"/>
      <c r="R320" s="67"/>
      <c r="S320" s="67"/>
      <c r="T320" s="67"/>
      <c r="U320" s="67"/>
      <c r="V320" s="67"/>
      <c r="W320" s="67"/>
      <c r="X320" s="67"/>
      <c r="Y320" s="67"/>
      <c r="Z320" s="67"/>
      <c r="AA320" s="67"/>
      <c r="AB320" s="67"/>
      <c r="AC320" s="67"/>
      <c r="AD320" s="67"/>
      <c r="AE320" s="67"/>
      <c r="AF320" s="67"/>
      <c r="AG320" s="67"/>
    </row>
    <row r="321" ht="30.0" customHeight="1">
      <c r="A321" s="1"/>
      <c r="B321" s="68" t="s">
        <v>33</v>
      </c>
      <c r="D321" s="137" t="s">
        <v>34</v>
      </c>
      <c r="E321" s="138" t="s">
        <v>35</v>
      </c>
      <c r="F321" s="138" t="s">
        <v>36</v>
      </c>
      <c r="G321" s="138" t="s">
        <v>37</v>
      </c>
      <c r="H321" s="166"/>
      <c r="I321" s="165"/>
      <c r="J321" s="166"/>
      <c r="K321" s="165"/>
      <c r="L321" s="166"/>
      <c r="M321" s="138"/>
      <c r="N321" s="67"/>
      <c r="O321" s="67"/>
      <c r="P321" s="67"/>
      <c r="Q321" s="67"/>
      <c r="R321" s="67"/>
      <c r="S321" s="67"/>
      <c r="T321" s="67"/>
      <c r="U321" s="67"/>
      <c r="V321" s="67"/>
      <c r="W321" s="67"/>
      <c r="X321" s="67"/>
      <c r="Y321" s="67"/>
      <c r="Z321" s="67"/>
      <c r="AA321" s="67"/>
      <c r="AB321" s="67"/>
      <c r="AC321" s="67" t="s">
        <v>43</v>
      </c>
      <c r="AD321" s="67"/>
      <c r="AE321" s="67"/>
      <c r="AF321" s="67"/>
      <c r="AG321" s="67"/>
    </row>
    <row r="322" ht="12.75" customHeight="1">
      <c r="A322" s="1"/>
      <c r="B322" s="69">
        <v>1.0</v>
      </c>
      <c r="C322" s="70" t="s">
        <v>46</v>
      </c>
      <c r="D322" s="71">
        <v>0.5</v>
      </c>
      <c r="E322" s="145">
        <v>5.0</v>
      </c>
      <c r="F322" s="72">
        <v>1.0</v>
      </c>
      <c r="G322" s="73">
        <f>'Start Here'!$F$21*D322</f>
        <v>50</v>
      </c>
      <c r="H322" s="138">
        <f t="shared" ref="H322:H325" si="371">E322*F322</f>
        <v>5</v>
      </c>
      <c r="I322" s="165">
        <f t="shared" ref="I322:I325" si="372">G322*H322</f>
        <v>250</v>
      </c>
      <c r="J322" s="166"/>
      <c r="K322" s="165"/>
      <c r="L322" s="166"/>
      <c r="M322" s="138"/>
      <c r="N322" s="75">
        <f t="shared" ref="N322:N325" si="373">IF(ISNUMBER(SEARCH("squat",$C322)),IF($D322&gt;=0.5,IF($D322&lt;0.6,$E322*$F322," ")," ")," ")</f>
        <v>5</v>
      </c>
      <c r="O322" s="75" t="str">
        <f t="shared" ref="O322:O325" si="374">IF(ISNUMBER(SEARCH("squat",$C322)),IF($D322&gt;=0.6,IF($D322&lt;0.7,$E322*$F322," ")," ")," ")</f>
        <v> </v>
      </c>
      <c r="P322" s="75" t="str">
        <f t="shared" ref="P322:P325" si="375">IF(ISNUMBER(SEARCH("squat",$C322)),IF($D322&gt;=0.7,IF($D322&lt;0.8,$E322*$F322," ")," ")," ")</f>
        <v> </v>
      </c>
      <c r="Q322" s="75" t="str">
        <f t="shared" ref="Q322:Q325" si="376">IF(ISNUMBER(SEARCH("squat",$C322)),IF($D322&gt;=0.8,IF($D322&lt;0.9,$E322*$F322," ")," ")," ")</f>
        <v> </v>
      </c>
      <c r="R322" s="75" t="str">
        <f t="shared" ref="R322:R325" si="377">IF(ISNUMBER(SEARCH("squat",$C322)),IF($D322&gt;=0.9,$E322*$F322," ")," ")</f>
        <v> </v>
      </c>
      <c r="S322" s="67"/>
      <c r="T322" s="67"/>
      <c r="U322" s="67"/>
      <c r="V322" s="67"/>
      <c r="W322" s="67"/>
      <c r="X322" s="67"/>
      <c r="Y322" s="67"/>
      <c r="Z322" s="67"/>
      <c r="AA322" s="67"/>
      <c r="AB322" s="67"/>
      <c r="AC322" s="76"/>
      <c r="AD322" s="77"/>
      <c r="AE322" s="77"/>
      <c r="AF322" s="77"/>
      <c r="AG322" s="78"/>
    </row>
    <row r="323" ht="12.75" customHeight="1">
      <c r="A323" s="1"/>
      <c r="B323" s="79"/>
      <c r="C323" s="80" t="s">
        <v>46</v>
      </c>
      <c r="D323" s="81">
        <v>0.6</v>
      </c>
      <c r="E323" s="82">
        <v>4.0</v>
      </c>
      <c r="F323" s="83">
        <v>1.0</v>
      </c>
      <c r="G323" s="84">
        <f>'Start Here'!$F$21*D323</f>
        <v>60</v>
      </c>
      <c r="H323" s="138">
        <f t="shared" si="371"/>
        <v>4</v>
      </c>
      <c r="I323" s="165">
        <f t="shared" si="372"/>
        <v>240</v>
      </c>
      <c r="J323" s="166"/>
      <c r="K323" s="165"/>
      <c r="L323" s="166"/>
      <c r="M323" s="138"/>
      <c r="N323" s="75" t="str">
        <f t="shared" si="373"/>
        <v> </v>
      </c>
      <c r="O323" s="75">
        <f t="shared" si="374"/>
        <v>4</v>
      </c>
      <c r="P323" s="75" t="str">
        <f t="shared" si="375"/>
        <v> </v>
      </c>
      <c r="Q323" s="75" t="str">
        <f t="shared" si="376"/>
        <v> </v>
      </c>
      <c r="R323" s="75" t="str">
        <f t="shared" si="377"/>
        <v> </v>
      </c>
      <c r="S323" s="67"/>
      <c r="T323" s="67"/>
      <c r="U323" s="67"/>
      <c r="V323" s="67"/>
      <c r="W323" s="67"/>
      <c r="X323" s="67"/>
      <c r="Y323" s="67"/>
      <c r="Z323" s="67"/>
      <c r="AA323" s="67"/>
      <c r="AB323" s="67"/>
      <c r="AC323" s="85"/>
      <c r="AG323" s="86"/>
    </row>
    <row r="324" ht="12.75" customHeight="1">
      <c r="A324" s="1"/>
      <c r="B324" s="79"/>
      <c r="C324" s="80" t="s">
        <v>46</v>
      </c>
      <c r="D324" s="81">
        <v>0.7</v>
      </c>
      <c r="E324" s="82">
        <v>3.0</v>
      </c>
      <c r="F324" s="83">
        <v>1.0</v>
      </c>
      <c r="G324" s="84">
        <f>'Start Here'!$F$21*D324</f>
        <v>70</v>
      </c>
      <c r="H324" s="138">
        <f t="shared" si="371"/>
        <v>3</v>
      </c>
      <c r="I324" s="165">
        <f t="shared" si="372"/>
        <v>210</v>
      </c>
      <c r="J324" s="166"/>
      <c r="K324" s="165"/>
      <c r="L324" s="166"/>
      <c r="M324" s="138"/>
      <c r="N324" s="75" t="str">
        <f t="shared" si="373"/>
        <v> </v>
      </c>
      <c r="O324" s="75" t="str">
        <f t="shared" si="374"/>
        <v> </v>
      </c>
      <c r="P324" s="75">
        <f t="shared" si="375"/>
        <v>3</v>
      </c>
      <c r="Q324" s="75" t="str">
        <f t="shared" si="376"/>
        <v> </v>
      </c>
      <c r="R324" s="75" t="str">
        <f t="shared" si="377"/>
        <v> </v>
      </c>
      <c r="S324" s="67"/>
      <c r="T324" s="67"/>
      <c r="U324" s="67"/>
      <c r="V324" s="67"/>
      <c r="W324" s="67"/>
      <c r="X324" s="67"/>
      <c r="Y324" s="67"/>
      <c r="Z324" s="67"/>
      <c r="AA324" s="67"/>
      <c r="AB324" s="67"/>
      <c r="AC324" s="85"/>
      <c r="AG324" s="86"/>
    </row>
    <row r="325" ht="12.75" customHeight="1">
      <c r="A325" s="1"/>
      <c r="B325" s="79"/>
      <c r="C325" s="80" t="s">
        <v>46</v>
      </c>
      <c r="D325" s="81">
        <v>0.8</v>
      </c>
      <c r="E325" s="82">
        <v>2.0</v>
      </c>
      <c r="F325" s="83">
        <v>5.0</v>
      </c>
      <c r="G325" s="84">
        <f>'Start Here'!$F$21*D325</f>
        <v>80</v>
      </c>
      <c r="H325" s="138">
        <f t="shared" si="371"/>
        <v>10</v>
      </c>
      <c r="I325" s="165">
        <f t="shared" si="372"/>
        <v>800</v>
      </c>
      <c r="J325" s="166"/>
      <c r="K325" s="165"/>
      <c r="L325" s="166"/>
      <c r="M325" s="138"/>
      <c r="N325" s="75" t="str">
        <f t="shared" si="373"/>
        <v> </v>
      </c>
      <c r="O325" s="75" t="str">
        <f t="shared" si="374"/>
        <v> </v>
      </c>
      <c r="P325" s="75" t="str">
        <f t="shared" si="375"/>
        <v> </v>
      </c>
      <c r="Q325" s="75">
        <f t="shared" si="376"/>
        <v>10</v>
      </c>
      <c r="R325" s="75" t="str">
        <f t="shared" si="377"/>
        <v> </v>
      </c>
      <c r="S325" s="67"/>
      <c r="T325" s="67"/>
      <c r="U325" s="67"/>
      <c r="V325" s="67"/>
      <c r="W325" s="67"/>
      <c r="X325" s="67"/>
      <c r="Y325" s="67"/>
      <c r="Z325" s="67"/>
      <c r="AA325" s="67"/>
      <c r="AB325" s="67"/>
      <c r="AC325" s="85"/>
      <c r="AG325" s="86"/>
    </row>
    <row r="326" ht="12.75" customHeight="1">
      <c r="A326" s="1"/>
      <c r="B326" s="87">
        <v>2.0</v>
      </c>
      <c r="C326" s="88" t="s">
        <v>45</v>
      </c>
      <c r="D326" s="89">
        <v>0.5</v>
      </c>
      <c r="E326" s="90">
        <v>5.0</v>
      </c>
      <c r="F326" s="91">
        <v>1.0</v>
      </c>
      <c r="G326" s="92">
        <f>'Start Here'!$F$22*D326</f>
        <v>50</v>
      </c>
      <c r="H326" s="138"/>
      <c r="I326" s="165"/>
      <c r="J326" s="166">
        <f t="shared" ref="J326:J329" si="378">E326*F326</f>
        <v>5</v>
      </c>
      <c r="K326" s="165">
        <f t="shared" ref="K326:K329" si="379">G326*J326</f>
        <v>250</v>
      </c>
      <c r="L326" s="166"/>
      <c r="M326" s="138"/>
      <c r="N326" s="67"/>
      <c r="O326" s="67"/>
      <c r="P326" s="67"/>
      <c r="Q326" s="67"/>
      <c r="R326" s="67"/>
      <c r="S326" s="93">
        <f t="shared" ref="S326:S329" si="380">IF(ISNUMBER(SEARCH("bench",$C326)),IF($D326&gt;=0.5,IF($D326&lt;0.6,$E326*$F326," ")," ")," ")</f>
        <v>5</v>
      </c>
      <c r="T326" s="93" t="str">
        <f t="shared" ref="T326:T329" si="381">IF(ISNUMBER(SEARCH("bench",$C326)),IF($D326&gt;=0.6,IF($D326&lt;0.7,$E326*$F326," ")," ")," ")</f>
        <v> </v>
      </c>
      <c r="U326" s="93" t="str">
        <f t="shared" ref="U326:U329" si="382">IF(ISNUMBER(SEARCH("bench",$C326)),IF($D326&gt;=0.7,IF($D326&lt;0.8,$E326*$F326," ")," ")," ")</f>
        <v> </v>
      </c>
      <c r="V326" s="93" t="str">
        <f t="shared" ref="V326:V329" si="383">IF(ISNUMBER(SEARCH("bench",$C326)),IF($D326&gt;=0.8,IF($D326&lt;0.9,$E326*$F326," ")," ")," ")</f>
        <v> </v>
      </c>
      <c r="W326" s="93" t="str">
        <f t="shared" ref="W326:W329" si="384">IF(ISNUMBER(SEARCH("bench",$C326)),IF($D326&gt;=0.9,$E326*$F326," ")," ")</f>
        <v> </v>
      </c>
      <c r="X326" s="67"/>
      <c r="Y326" s="67"/>
      <c r="Z326" s="67"/>
      <c r="AA326" s="67"/>
      <c r="AB326" s="67"/>
      <c r="AC326" s="85"/>
      <c r="AG326" s="86"/>
    </row>
    <row r="327" ht="12.75" customHeight="1">
      <c r="A327" s="1"/>
      <c r="B327" s="87"/>
      <c r="C327" s="94" t="s">
        <v>45</v>
      </c>
      <c r="D327" s="89">
        <v>0.6</v>
      </c>
      <c r="E327" s="90">
        <v>4.0</v>
      </c>
      <c r="F327" s="91">
        <v>1.0</v>
      </c>
      <c r="G327" s="92">
        <f>'Start Here'!$F$22*D327</f>
        <v>60</v>
      </c>
      <c r="H327" s="138"/>
      <c r="I327" s="165"/>
      <c r="J327" s="166">
        <f t="shared" si="378"/>
        <v>4</v>
      </c>
      <c r="K327" s="165">
        <f t="shared" si="379"/>
        <v>240</v>
      </c>
      <c r="L327" s="166"/>
      <c r="M327" s="138"/>
      <c r="N327" s="67"/>
      <c r="O327" s="67"/>
      <c r="P327" s="67"/>
      <c r="Q327" s="67"/>
      <c r="R327" s="67"/>
      <c r="S327" s="93" t="str">
        <f t="shared" si="380"/>
        <v> </v>
      </c>
      <c r="T327" s="93">
        <f t="shared" si="381"/>
        <v>4</v>
      </c>
      <c r="U327" s="93" t="str">
        <f t="shared" si="382"/>
        <v> </v>
      </c>
      <c r="V327" s="93" t="str">
        <f t="shared" si="383"/>
        <v> </v>
      </c>
      <c r="W327" s="93" t="str">
        <f t="shared" si="384"/>
        <v> </v>
      </c>
      <c r="X327" s="67"/>
      <c r="Y327" s="67"/>
      <c r="Z327" s="67"/>
      <c r="AA327" s="67"/>
      <c r="AB327" s="67"/>
      <c r="AC327" s="85"/>
      <c r="AG327" s="86"/>
    </row>
    <row r="328" ht="12.75" customHeight="1">
      <c r="A328" s="1"/>
      <c r="B328" s="87"/>
      <c r="C328" s="94" t="s">
        <v>45</v>
      </c>
      <c r="D328" s="89">
        <v>0.7</v>
      </c>
      <c r="E328" s="90">
        <v>3.0</v>
      </c>
      <c r="F328" s="91">
        <v>1.0</v>
      </c>
      <c r="G328" s="92">
        <f>'Start Here'!$F$22*D328</f>
        <v>70</v>
      </c>
      <c r="H328" s="138"/>
      <c r="I328" s="165"/>
      <c r="J328" s="166">
        <f t="shared" si="378"/>
        <v>3</v>
      </c>
      <c r="K328" s="165">
        <f t="shared" si="379"/>
        <v>210</v>
      </c>
      <c r="L328" s="166"/>
      <c r="M328" s="138"/>
      <c r="N328" s="67"/>
      <c r="O328" s="67"/>
      <c r="P328" s="67"/>
      <c r="Q328" s="67"/>
      <c r="R328" s="67"/>
      <c r="S328" s="93" t="str">
        <f t="shared" si="380"/>
        <v> </v>
      </c>
      <c r="T328" s="93" t="str">
        <f t="shared" si="381"/>
        <v> </v>
      </c>
      <c r="U328" s="93">
        <f t="shared" si="382"/>
        <v>3</v>
      </c>
      <c r="V328" s="93" t="str">
        <f t="shared" si="383"/>
        <v> </v>
      </c>
      <c r="W328" s="93" t="str">
        <f t="shared" si="384"/>
        <v> </v>
      </c>
      <c r="X328" s="67"/>
      <c r="Y328" s="67"/>
      <c r="Z328" s="67"/>
      <c r="AA328" s="67"/>
      <c r="AB328" s="67"/>
      <c r="AC328" s="85"/>
      <c r="AG328" s="86"/>
    </row>
    <row r="329" ht="12.75" customHeight="1">
      <c r="A329" s="1"/>
      <c r="B329" s="87"/>
      <c r="C329" s="94" t="s">
        <v>45</v>
      </c>
      <c r="D329" s="89">
        <v>0.8</v>
      </c>
      <c r="E329" s="90">
        <v>2.0</v>
      </c>
      <c r="F329" s="91">
        <v>5.0</v>
      </c>
      <c r="G329" s="92">
        <f>'Start Here'!$F$22*D329</f>
        <v>80</v>
      </c>
      <c r="H329" s="138"/>
      <c r="I329" s="165"/>
      <c r="J329" s="166">
        <f t="shared" si="378"/>
        <v>10</v>
      </c>
      <c r="K329" s="165">
        <f t="shared" si="379"/>
        <v>800</v>
      </c>
      <c r="L329" s="166"/>
      <c r="M329" s="138"/>
      <c r="N329" s="67"/>
      <c r="O329" s="67"/>
      <c r="P329" s="67"/>
      <c r="Q329" s="67"/>
      <c r="R329" s="67"/>
      <c r="S329" s="93" t="str">
        <f t="shared" si="380"/>
        <v> </v>
      </c>
      <c r="T329" s="93" t="str">
        <f t="shared" si="381"/>
        <v> </v>
      </c>
      <c r="U329" s="93" t="str">
        <f t="shared" si="382"/>
        <v> </v>
      </c>
      <c r="V329" s="93">
        <f t="shared" si="383"/>
        <v>10</v>
      </c>
      <c r="W329" s="93" t="str">
        <f t="shared" si="384"/>
        <v> </v>
      </c>
      <c r="X329" s="67"/>
      <c r="Y329" s="67"/>
      <c r="Z329" s="67"/>
      <c r="AA329" s="67"/>
      <c r="AB329" s="67"/>
      <c r="AC329" s="85"/>
      <c r="AG329" s="86"/>
    </row>
    <row r="330" ht="12.75" customHeight="1">
      <c r="A330" s="1"/>
      <c r="B330" s="96">
        <v>3.0</v>
      </c>
      <c r="C330" s="167" t="s">
        <v>92</v>
      </c>
      <c r="D330" s="168"/>
      <c r="E330" s="98">
        <v>6.0</v>
      </c>
      <c r="F330" s="169">
        <v>5.0</v>
      </c>
      <c r="G330" s="170"/>
      <c r="H330" s="138"/>
      <c r="I330" s="165"/>
      <c r="J330" s="166"/>
      <c r="K330" s="165"/>
      <c r="L330" s="166"/>
      <c r="M330" s="138"/>
      <c r="N330" s="67"/>
      <c r="O330" s="67"/>
      <c r="P330" s="67"/>
      <c r="Q330" s="67"/>
      <c r="R330" s="67"/>
      <c r="S330" s="67"/>
      <c r="T330" s="67"/>
      <c r="U330" s="67"/>
      <c r="V330" s="67"/>
      <c r="W330" s="67"/>
      <c r="X330" s="67"/>
      <c r="Y330" s="67"/>
      <c r="Z330" s="67"/>
      <c r="AA330" s="67"/>
      <c r="AB330" s="67"/>
      <c r="AC330" s="85"/>
      <c r="AG330" s="86"/>
    </row>
    <row r="331" ht="12.75" customHeight="1">
      <c r="A331" s="1"/>
      <c r="B331" s="175">
        <v>4.0</v>
      </c>
      <c r="C331" s="176" t="s">
        <v>57</v>
      </c>
      <c r="D331" s="177"/>
      <c r="E331" s="178">
        <v>8.0</v>
      </c>
      <c r="F331" s="179">
        <v>4.0</v>
      </c>
      <c r="G331" s="180"/>
      <c r="H331" s="138"/>
      <c r="I331" s="165"/>
      <c r="J331" s="166"/>
      <c r="K331" s="165"/>
      <c r="L331" s="166"/>
      <c r="M331" s="138"/>
      <c r="N331" s="67"/>
      <c r="O331" s="67"/>
      <c r="P331" s="67"/>
      <c r="Q331" s="67"/>
      <c r="R331" s="67"/>
      <c r="S331" s="67"/>
      <c r="T331" s="67"/>
      <c r="U331" s="67"/>
      <c r="V331" s="67"/>
      <c r="W331" s="67"/>
      <c r="X331" s="67"/>
      <c r="Y331" s="67"/>
      <c r="Z331" s="67"/>
      <c r="AA331" s="67"/>
      <c r="AB331" s="67"/>
      <c r="AC331" s="104"/>
      <c r="AD331" s="105"/>
      <c r="AE331" s="105"/>
      <c r="AF331" s="105"/>
      <c r="AG331" s="106"/>
    </row>
    <row r="332" ht="12.75" customHeight="1">
      <c r="A332" s="1"/>
      <c r="B332" s="67"/>
      <c r="C332" s="136"/>
      <c r="D332" s="137"/>
      <c r="E332" s="138"/>
      <c r="F332" s="138"/>
      <c r="G332" s="138"/>
      <c r="H332" s="166"/>
      <c r="I332" s="165"/>
      <c r="J332" s="166"/>
      <c r="K332" s="165"/>
      <c r="L332" s="166"/>
      <c r="M332" s="138"/>
      <c r="N332" s="67"/>
      <c r="O332" s="67"/>
      <c r="P332" s="67"/>
      <c r="Q332" s="67"/>
      <c r="R332" s="67"/>
      <c r="S332" s="67"/>
      <c r="T332" s="67"/>
      <c r="U332" s="67"/>
      <c r="V332" s="67"/>
      <c r="W332" s="67"/>
      <c r="X332" s="67"/>
      <c r="Y332" s="67"/>
      <c r="Z332" s="67"/>
      <c r="AA332" s="67"/>
      <c r="AB332" s="67"/>
      <c r="AC332" s="67"/>
      <c r="AD332" s="67"/>
      <c r="AE332" s="67"/>
      <c r="AF332" s="67"/>
      <c r="AG332" s="67"/>
    </row>
    <row r="333" ht="42.75" customHeight="1">
      <c r="A333" s="1"/>
      <c r="B333" s="68" t="s">
        <v>49</v>
      </c>
      <c r="D333" s="137" t="s">
        <v>34</v>
      </c>
      <c r="E333" s="138" t="s">
        <v>35</v>
      </c>
      <c r="F333" s="138" t="s">
        <v>36</v>
      </c>
      <c r="G333" s="138" t="s">
        <v>37</v>
      </c>
      <c r="H333" s="166"/>
      <c r="I333" s="165"/>
      <c r="J333" s="166"/>
      <c r="K333" s="165"/>
      <c r="L333" s="166"/>
      <c r="M333" s="138"/>
      <c r="N333" s="67"/>
      <c r="O333" s="67"/>
      <c r="P333" s="67"/>
      <c r="Q333" s="67"/>
      <c r="R333" s="67"/>
      <c r="S333" s="67"/>
      <c r="T333" s="67"/>
      <c r="U333" s="67"/>
      <c r="V333" s="67"/>
      <c r="W333" s="67"/>
      <c r="X333" s="67"/>
      <c r="Y333" s="67"/>
      <c r="Z333" s="67"/>
      <c r="AA333" s="67"/>
      <c r="AB333" s="67"/>
      <c r="AC333" s="67" t="s">
        <v>43</v>
      </c>
      <c r="AD333" s="67"/>
      <c r="AE333" s="67"/>
      <c r="AF333" s="67"/>
      <c r="AG333" s="67"/>
    </row>
    <row r="334" ht="12.75" customHeight="1">
      <c r="A334" s="1"/>
      <c r="B334" s="107">
        <v>1.0</v>
      </c>
      <c r="C334" s="108" t="s">
        <v>105</v>
      </c>
      <c r="D334" s="109">
        <v>0.5</v>
      </c>
      <c r="E334" s="110">
        <v>4.0</v>
      </c>
      <c r="F334" s="111">
        <v>1.0</v>
      </c>
      <c r="G334" s="112">
        <f>'Start Here'!$F$23*D334</f>
        <v>50</v>
      </c>
      <c r="H334" s="138"/>
      <c r="I334" s="165"/>
      <c r="J334" s="166"/>
      <c r="K334" s="165"/>
      <c r="L334" s="166">
        <f t="shared" ref="L334:L336" si="385">E334*F334</f>
        <v>4</v>
      </c>
      <c r="M334" s="138">
        <f t="shared" ref="M334:M336" si="386">G334*L334</f>
        <v>200</v>
      </c>
      <c r="N334" s="67"/>
      <c r="O334" s="67"/>
      <c r="P334" s="67"/>
      <c r="Q334" s="67"/>
      <c r="R334" s="67"/>
      <c r="S334" s="67"/>
      <c r="T334" s="67"/>
      <c r="U334" s="67"/>
      <c r="V334" s="67"/>
      <c r="W334" s="67"/>
      <c r="X334" s="114">
        <f t="shared" ref="X334:X336" si="387">IF(ISNUMBER(SEARCH("deadlift",$C334)),IF($D334&gt;=0.5,IF($D334&lt;0.6,$E334*$F334," ")," ")," ")</f>
        <v>4</v>
      </c>
      <c r="Y334" s="114" t="str">
        <f t="shared" ref="Y334:Y336" si="388">IF(ISNUMBER(SEARCH("deadlift",$C334)),IF($D334&gt;=0.6,IF($D334&lt;0.7,$E334*$F334," ")," ")," ")</f>
        <v> </v>
      </c>
      <c r="Z334" s="114" t="str">
        <f t="shared" ref="Z334:Z336" si="389">IF(ISNUMBER(SEARCH("deadlift",$C334)),IF($D334&gt;=0.7,IF($D334&lt;0.8,$E334*$F334," ")," ")," ")</f>
        <v> </v>
      </c>
      <c r="AA334" s="114" t="str">
        <f t="shared" ref="AA334:AA336" si="390">IF(ISNUMBER(SEARCH("deadlift",$C334)),IF($D334&gt;=0.8,IF($D334&lt;0.9,$E334*$F334," ")," ")," ")</f>
        <v> </v>
      </c>
      <c r="AB334" s="114" t="str">
        <f t="shared" ref="AB334:AB336" si="391">IF(ISNUMBER(SEARCH("deadlift",$C334)),IF($D334&gt;=0.9,$E334*$F334," ")," ")</f>
        <v> </v>
      </c>
      <c r="AC334" s="76"/>
      <c r="AD334" s="77"/>
      <c r="AE334" s="77"/>
      <c r="AF334" s="77"/>
      <c r="AG334" s="78"/>
    </row>
    <row r="335" ht="12.75" customHeight="1">
      <c r="A335" s="1"/>
      <c r="B335" s="115"/>
      <c r="C335" s="122" t="s">
        <v>105</v>
      </c>
      <c r="D335" s="117">
        <v>0.6</v>
      </c>
      <c r="E335" s="118">
        <v>4.0</v>
      </c>
      <c r="F335" s="119">
        <v>1.0</v>
      </c>
      <c r="G335" s="120">
        <f>'Start Here'!$F$23*D335</f>
        <v>60</v>
      </c>
      <c r="H335" s="138"/>
      <c r="I335" s="165"/>
      <c r="J335" s="166"/>
      <c r="K335" s="165"/>
      <c r="L335" s="166">
        <f t="shared" si="385"/>
        <v>4</v>
      </c>
      <c r="M335" s="138">
        <f t="shared" si="386"/>
        <v>240</v>
      </c>
      <c r="N335" s="67"/>
      <c r="O335" s="67"/>
      <c r="P335" s="67"/>
      <c r="Q335" s="67"/>
      <c r="R335" s="67"/>
      <c r="S335" s="67"/>
      <c r="T335" s="67"/>
      <c r="U335" s="67"/>
      <c r="V335" s="67"/>
      <c r="W335" s="67"/>
      <c r="X335" s="114" t="str">
        <f t="shared" si="387"/>
        <v> </v>
      </c>
      <c r="Y335" s="114">
        <f t="shared" si="388"/>
        <v>4</v>
      </c>
      <c r="Z335" s="114" t="str">
        <f t="shared" si="389"/>
        <v> </v>
      </c>
      <c r="AA335" s="114" t="str">
        <f t="shared" si="390"/>
        <v> </v>
      </c>
      <c r="AB335" s="114" t="str">
        <f t="shared" si="391"/>
        <v> </v>
      </c>
      <c r="AC335" s="85"/>
      <c r="AG335" s="86"/>
    </row>
    <row r="336" ht="12.75" customHeight="1">
      <c r="A336" s="1"/>
      <c r="B336" s="115"/>
      <c r="C336" s="122" t="s">
        <v>105</v>
      </c>
      <c r="D336" s="117">
        <v>0.65</v>
      </c>
      <c r="E336" s="118">
        <v>3.0</v>
      </c>
      <c r="F336" s="119">
        <v>2.0</v>
      </c>
      <c r="G336" s="120">
        <f>'Start Here'!$F$23*D336</f>
        <v>65</v>
      </c>
      <c r="H336" s="138"/>
      <c r="I336" s="165"/>
      <c r="J336" s="166"/>
      <c r="K336" s="165"/>
      <c r="L336" s="166">
        <f t="shared" si="385"/>
        <v>6</v>
      </c>
      <c r="M336" s="138">
        <f t="shared" si="386"/>
        <v>390</v>
      </c>
      <c r="N336" s="67"/>
      <c r="O336" s="67"/>
      <c r="P336" s="67"/>
      <c r="Q336" s="67"/>
      <c r="R336" s="67"/>
      <c r="S336" s="67"/>
      <c r="T336" s="67"/>
      <c r="U336" s="67"/>
      <c r="V336" s="67"/>
      <c r="W336" s="67"/>
      <c r="X336" s="114" t="str">
        <f t="shared" si="387"/>
        <v> </v>
      </c>
      <c r="Y336" s="114">
        <f t="shared" si="388"/>
        <v>6</v>
      </c>
      <c r="Z336" s="114" t="str">
        <f t="shared" si="389"/>
        <v> </v>
      </c>
      <c r="AA336" s="114" t="str">
        <f t="shared" si="390"/>
        <v> </v>
      </c>
      <c r="AB336" s="114" t="str">
        <f t="shared" si="391"/>
        <v> </v>
      </c>
      <c r="AC336" s="85"/>
      <c r="AG336" s="86"/>
    </row>
    <row r="337" ht="12.75" customHeight="1">
      <c r="A337" s="1"/>
      <c r="B337" s="87">
        <v>2.0</v>
      </c>
      <c r="C337" s="88" t="s">
        <v>45</v>
      </c>
      <c r="D337" s="89">
        <v>0.5</v>
      </c>
      <c r="E337" s="90">
        <v>5.0</v>
      </c>
      <c r="F337" s="91">
        <v>1.0</v>
      </c>
      <c r="G337" s="92">
        <f>'Start Here'!$F$22*D337</f>
        <v>50</v>
      </c>
      <c r="H337" s="138"/>
      <c r="I337" s="165"/>
      <c r="J337" s="166">
        <f t="shared" ref="J337:J345" si="392">E337*F337</f>
        <v>5</v>
      </c>
      <c r="K337" s="165">
        <f t="shared" ref="K337:K345" si="393">G337*J337</f>
        <v>250</v>
      </c>
      <c r="L337" s="166"/>
      <c r="M337" s="138"/>
      <c r="N337" s="67"/>
      <c r="O337" s="67"/>
      <c r="P337" s="67"/>
      <c r="Q337" s="67"/>
      <c r="R337" s="67"/>
      <c r="S337" s="93">
        <f t="shared" ref="S337:S345" si="394">IF(ISNUMBER(SEARCH("bench",$C337)),IF($D337&gt;=0.5,IF($D337&lt;0.6,$E337*$F337," ")," ")," ")</f>
        <v>5</v>
      </c>
      <c r="T337" s="93" t="str">
        <f t="shared" ref="T337:T345" si="395">IF(ISNUMBER(SEARCH("bench",$C337)),IF($D337&gt;=0.6,IF($D337&lt;0.7,$E337*$F337," ")," ")," ")</f>
        <v> </v>
      </c>
      <c r="U337" s="93" t="str">
        <f t="shared" ref="U337:U345" si="396">IF(ISNUMBER(SEARCH("bench",$C337)),IF($D337&gt;=0.7,IF($D337&lt;0.8,$E337*$F337," ")," ")," ")</f>
        <v> </v>
      </c>
      <c r="V337" s="93" t="str">
        <f t="shared" ref="V337:V345" si="397">IF(ISNUMBER(SEARCH("bench",$C337)),IF($D337&gt;=0.8,IF($D337&lt;0.9,$E337*$F337," ")," ")," ")</f>
        <v> </v>
      </c>
      <c r="W337" s="93" t="str">
        <f t="shared" ref="W337:W345" si="398">IF(ISNUMBER(SEARCH("bench",$C337)),IF($D337&gt;=0.9,$E337*$F337," ")," ")</f>
        <v> </v>
      </c>
      <c r="X337" s="67"/>
      <c r="Y337" s="67"/>
      <c r="Z337" s="67"/>
      <c r="AA337" s="67"/>
      <c r="AB337" s="67"/>
      <c r="AC337" s="85"/>
      <c r="AG337" s="86"/>
    </row>
    <row r="338" ht="12.75" customHeight="1">
      <c r="A338" s="1"/>
      <c r="B338" s="87"/>
      <c r="C338" s="94" t="s">
        <v>45</v>
      </c>
      <c r="D338" s="89">
        <v>0.6</v>
      </c>
      <c r="E338" s="90">
        <v>5.0</v>
      </c>
      <c r="F338" s="91">
        <v>1.0</v>
      </c>
      <c r="G338" s="92">
        <f>'Start Here'!$F$22*D338</f>
        <v>60</v>
      </c>
      <c r="H338" s="138"/>
      <c r="I338" s="165"/>
      <c r="J338" s="166">
        <f t="shared" si="392"/>
        <v>5</v>
      </c>
      <c r="K338" s="165">
        <f t="shared" si="393"/>
        <v>300</v>
      </c>
      <c r="L338" s="166"/>
      <c r="M338" s="138"/>
      <c r="N338" s="67"/>
      <c r="O338" s="67"/>
      <c r="P338" s="67"/>
      <c r="Q338" s="67"/>
      <c r="R338" s="67"/>
      <c r="S338" s="93" t="str">
        <f t="shared" si="394"/>
        <v> </v>
      </c>
      <c r="T338" s="93">
        <f t="shared" si="395"/>
        <v>5</v>
      </c>
      <c r="U338" s="93" t="str">
        <f t="shared" si="396"/>
        <v> </v>
      </c>
      <c r="V338" s="93" t="str">
        <f t="shared" si="397"/>
        <v> </v>
      </c>
      <c r="W338" s="93" t="str">
        <f t="shared" si="398"/>
        <v> </v>
      </c>
      <c r="X338" s="67"/>
      <c r="Y338" s="67"/>
      <c r="Z338" s="67"/>
      <c r="AA338" s="67"/>
      <c r="AB338" s="67"/>
      <c r="AC338" s="85"/>
      <c r="AG338" s="86"/>
    </row>
    <row r="339" ht="12.75" customHeight="1">
      <c r="A339" s="1"/>
      <c r="B339" s="87"/>
      <c r="C339" s="94" t="s">
        <v>45</v>
      </c>
      <c r="D339" s="89">
        <v>0.7</v>
      </c>
      <c r="E339" s="90">
        <v>3.0</v>
      </c>
      <c r="F339" s="91">
        <v>1.0</v>
      </c>
      <c r="G339" s="92">
        <f>'Start Here'!$F$22*D339</f>
        <v>70</v>
      </c>
      <c r="H339" s="138"/>
      <c r="I339" s="165"/>
      <c r="J339" s="166">
        <f t="shared" si="392"/>
        <v>3</v>
      </c>
      <c r="K339" s="165">
        <f t="shared" si="393"/>
        <v>210</v>
      </c>
      <c r="L339" s="166"/>
      <c r="M339" s="138"/>
      <c r="N339" s="67"/>
      <c r="O339" s="67"/>
      <c r="P339" s="67"/>
      <c r="Q339" s="67"/>
      <c r="R339" s="67"/>
      <c r="S339" s="93" t="str">
        <f t="shared" si="394"/>
        <v> </v>
      </c>
      <c r="T339" s="93" t="str">
        <f t="shared" si="395"/>
        <v> </v>
      </c>
      <c r="U339" s="93">
        <f t="shared" si="396"/>
        <v>3</v>
      </c>
      <c r="V339" s="93" t="str">
        <f t="shared" si="397"/>
        <v> </v>
      </c>
      <c r="W339" s="93" t="str">
        <f t="shared" si="398"/>
        <v> </v>
      </c>
      <c r="X339" s="67"/>
      <c r="Y339" s="67"/>
      <c r="Z339" s="67"/>
      <c r="AA339" s="67"/>
      <c r="AB339" s="67"/>
      <c r="AC339" s="85"/>
      <c r="AG339" s="86"/>
    </row>
    <row r="340" ht="12.75" customHeight="1">
      <c r="A340" s="1"/>
      <c r="B340" s="87"/>
      <c r="C340" s="94" t="s">
        <v>45</v>
      </c>
      <c r="D340" s="89">
        <v>0.7</v>
      </c>
      <c r="E340" s="90">
        <v>6.0</v>
      </c>
      <c r="F340" s="91">
        <v>1.0</v>
      </c>
      <c r="G340" s="92">
        <f>'Start Here'!$F$22*D340</f>
        <v>70</v>
      </c>
      <c r="H340" s="138"/>
      <c r="I340" s="165"/>
      <c r="J340" s="166">
        <f t="shared" si="392"/>
        <v>6</v>
      </c>
      <c r="K340" s="165">
        <f t="shared" si="393"/>
        <v>420</v>
      </c>
      <c r="L340" s="166"/>
      <c r="M340" s="138"/>
      <c r="N340" s="67"/>
      <c r="O340" s="67"/>
      <c r="P340" s="67"/>
      <c r="Q340" s="67"/>
      <c r="R340" s="67"/>
      <c r="S340" s="93" t="str">
        <f t="shared" si="394"/>
        <v> </v>
      </c>
      <c r="T340" s="93" t="str">
        <f t="shared" si="395"/>
        <v> </v>
      </c>
      <c r="U340" s="93">
        <f t="shared" si="396"/>
        <v>6</v>
      </c>
      <c r="V340" s="93" t="str">
        <f t="shared" si="397"/>
        <v> </v>
      </c>
      <c r="W340" s="93" t="str">
        <f t="shared" si="398"/>
        <v> </v>
      </c>
      <c r="X340" s="67"/>
      <c r="Y340" s="67"/>
      <c r="Z340" s="67"/>
      <c r="AA340" s="67"/>
      <c r="AB340" s="67"/>
      <c r="AC340" s="85"/>
      <c r="AG340" s="86"/>
    </row>
    <row r="341" ht="12.75" customHeight="1">
      <c r="A341" s="1"/>
      <c r="B341" s="87"/>
      <c r="C341" s="94" t="s">
        <v>45</v>
      </c>
      <c r="D341" s="89">
        <v>0.7</v>
      </c>
      <c r="E341" s="90">
        <v>4.0</v>
      </c>
      <c r="F341" s="91">
        <v>1.0</v>
      </c>
      <c r="G341" s="92">
        <f>'Start Here'!$F$22*D341</f>
        <v>70</v>
      </c>
      <c r="H341" s="138"/>
      <c r="I341" s="165"/>
      <c r="J341" s="166">
        <f t="shared" si="392"/>
        <v>4</v>
      </c>
      <c r="K341" s="165">
        <f t="shared" si="393"/>
        <v>280</v>
      </c>
      <c r="L341" s="166"/>
      <c r="M341" s="138"/>
      <c r="N341" s="67"/>
      <c r="O341" s="67"/>
      <c r="P341" s="67"/>
      <c r="Q341" s="67"/>
      <c r="R341" s="67"/>
      <c r="S341" s="93" t="str">
        <f t="shared" si="394"/>
        <v> </v>
      </c>
      <c r="T341" s="93" t="str">
        <f t="shared" si="395"/>
        <v> </v>
      </c>
      <c r="U341" s="93">
        <f t="shared" si="396"/>
        <v>4</v>
      </c>
      <c r="V341" s="93" t="str">
        <f t="shared" si="397"/>
        <v> </v>
      </c>
      <c r="W341" s="93" t="str">
        <f t="shared" si="398"/>
        <v> </v>
      </c>
      <c r="X341" s="67"/>
      <c r="Y341" s="67"/>
      <c r="Z341" s="67"/>
      <c r="AA341" s="67"/>
      <c r="AB341" s="67"/>
      <c r="AC341" s="85"/>
      <c r="AG341" s="86"/>
    </row>
    <row r="342" ht="12.75" customHeight="1">
      <c r="A342" s="1"/>
      <c r="B342" s="87"/>
      <c r="C342" s="94" t="s">
        <v>45</v>
      </c>
      <c r="D342" s="89">
        <v>0.7</v>
      </c>
      <c r="E342" s="90">
        <v>7.0</v>
      </c>
      <c r="F342" s="91">
        <v>1.0</v>
      </c>
      <c r="G342" s="92">
        <f>'Start Here'!$F$22*D342</f>
        <v>70</v>
      </c>
      <c r="H342" s="138"/>
      <c r="I342" s="165"/>
      <c r="J342" s="166">
        <f t="shared" si="392"/>
        <v>7</v>
      </c>
      <c r="K342" s="165">
        <f t="shared" si="393"/>
        <v>490</v>
      </c>
      <c r="L342" s="166"/>
      <c r="M342" s="138"/>
      <c r="N342" s="67"/>
      <c r="O342" s="67"/>
      <c r="P342" s="67"/>
      <c r="Q342" s="67"/>
      <c r="R342" s="67"/>
      <c r="S342" s="93" t="str">
        <f t="shared" si="394"/>
        <v> </v>
      </c>
      <c r="T342" s="93" t="str">
        <f t="shared" si="395"/>
        <v> </v>
      </c>
      <c r="U342" s="93">
        <f t="shared" si="396"/>
        <v>7</v>
      </c>
      <c r="V342" s="93" t="str">
        <f t="shared" si="397"/>
        <v> </v>
      </c>
      <c r="W342" s="93" t="str">
        <f t="shared" si="398"/>
        <v> </v>
      </c>
      <c r="X342" s="67"/>
      <c r="Y342" s="67"/>
      <c r="Z342" s="67"/>
      <c r="AA342" s="67"/>
      <c r="AB342" s="67"/>
      <c r="AC342" s="85"/>
      <c r="AG342" s="86"/>
    </row>
    <row r="343" ht="12.75" customHeight="1">
      <c r="A343" s="1"/>
      <c r="B343" s="87"/>
      <c r="C343" s="94" t="s">
        <v>45</v>
      </c>
      <c r="D343" s="89">
        <v>0.7</v>
      </c>
      <c r="E343" s="90">
        <v>2.0</v>
      </c>
      <c r="F343" s="91">
        <v>1.0</v>
      </c>
      <c r="G343" s="92">
        <f>'Start Here'!$F$22*D343</f>
        <v>70</v>
      </c>
      <c r="H343" s="138"/>
      <c r="I343" s="165"/>
      <c r="J343" s="166">
        <f t="shared" si="392"/>
        <v>2</v>
      </c>
      <c r="K343" s="165">
        <f t="shared" si="393"/>
        <v>140</v>
      </c>
      <c r="L343" s="166"/>
      <c r="M343" s="138"/>
      <c r="N343" s="67"/>
      <c r="O343" s="67"/>
      <c r="P343" s="67"/>
      <c r="Q343" s="67"/>
      <c r="R343" s="67"/>
      <c r="S343" s="93" t="str">
        <f t="shared" si="394"/>
        <v> </v>
      </c>
      <c r="T343" s="93" t="str">
        <f t="shared" si="395"/>
        <v> </v>
      </c>
      <c r="U343" s="93">
        <f t="shared" si="396"/>
        <v>2</v>
      </c>
      <c r="V343" s="93" t="str">
        <f t="shared" si="397"/>
        <v> </v>
      </c>
      <c r="W343" s="93" t="str">
        <f t="shared" si="398"/>
        <v> </v>
      </c>
      <c r="X343" s="67"/>
      <c r="Y343" s="67"/>
      <c r="Z343" s="67"/>
      <c r="AA343" s="67"/>
      <c r="AB343" s="67"/>
      <c r="AC343" s="85"/>
      <c r="AG343" s="86"/>
    </row>
    <row r="344" ht="12.75" customHeight="1">
      <c r="A344" s="1"/>
      <c r="B344" s="87"/>
      <c r="C344" s="94" t="s">
        <v>45</v>
      </c>
      <c r="D344" s="89">
        <v>0.7</v>
      </c>
      <c r="E344" s="90">
        <v>8.0</v>
      </c>
      <c r="F344" s="91">
        <v>1.0</v>
      </c>
      <c r="G344" s="92">
        <f>'Start Here'!$F$22*D344</f>
        <v>70</v>
      </c>
      <c r="H344" s="138"/>
      <c r="I344" s="165"/>
      <c r="J344" s="166">
        <f t="shared" si="392"/>
        <v>8</v>
      </c>
      <c r="K344" s="165">
        <f t="shared" si="393"/>
        <v>560</v>
      </c>
      <c r="L344" s="166"/>
      <c r="M344" s="138"/>
      <c r="N344" s="67"/>
      <c r="O344" s="67"/>
      <c r="P344" s="67"/>
      <c r="Q344" s="67"/>
      <c r="R344" s="67"/>
      <c r="S344" s="93" t="str">
        <f t="shared" si="394"/>
        <v> </v>
      </c>
      <c r="T344" s="93" t="str">
        <f t="shared" si="395"/>
        <v> </v>
      </c>
      <c r="U344" s="93">
        <f t="shared" si="396"/>
        <v>8</v>
      </c>
      <c r="V344" s="93" t="str">
        <f t="shared" si="397"/>
        <v> </v>
      </c>
      <c r="W344" s="93" t="str">
        <f t="shared" si="398"/>
        <v> </v>
      </c>
      <c r="X344" s="67"/>
      <c r="Y344" s="67"/>
      <c r="Z344" s="67"/>
      <c r="AA344" s="67"/>
      <c r="AB344" s="67"/>
      <c r="AC344" s="85"/>
      <c r="AG344" s="86"/>
    </row>
    <row r="345" ht="12.75" customHeight="1">
      <c r="A345" s="1"/>
      <c r="B345" s="87"/>
      <c r="C345" s="94" t="s">
        <v>45</v>
      </c>
      <c r="D345" s="89">
        <v>0.7</v>
      </c>
      <c r="E345" s="90">
        <v>5.0</v>
      </c>
      <c r="F345" s="91">
        <v>1.0</v>
      </c>
      <c r="G345" s="92">
        <f>'Start Here'!$F$22*D345</f>
        <v>70</v>
      </c>
      <c r="H345" s="138"/>
      <c r="I345" s="165"/>
      <c r="J345" s="166">
        <f t="shared" si="392"/>
        <v>5</v>
      </c>
      <c r="K345" s="165">
        <f t="shared" si="393"/>
        <v>350</v>
      </c>
      <c r="L345" s="166"/>
      <c r="M345" s="138"/>
      <c r="N345" s="67"/>
      <c r="O345" s="67"/>
      <c r="P345" s="67"/>
      <c r="Q345" s="67"/>
      <c r="R345" s="67"/>
      <c r="S345" s="93" t="str">
        <f t="shared" si="394"/>
        <v> </v>
      </c>
      <c r="T345" s="93" t="str">
        <f t="shared" si="395"/>
        <v> </v>
      </c>
      <c r="U345" s="93">
        <f t="shared" si="396"/>
        <v>5</v>
      </c>
      <c r="V345" s="93" t="str">
        <f t="shared" si="397"/>
        <v> </v>
      </c>
      <c r="W345" s="93" t="str">
        <f t="shared" si="398"/>
        <v> </v>
      </c>
      <c r="X345" s="67"/>
      <c r="Y345" s="67"/>
      <c r="Z345" s="67"/>
      <c r="AA345" s="67"/>
      <c r="AB345" s="67"/>
      <c r="AC345" s="85"/>
      <c r="AG345" s="86"/>
    </row>
    <row r="346" ht="12.75" customHeight="1">
      <c r="A346" s="1"/>
      <c r="B346" s="115">
        <v>3.0</v>
      </c>
      <c r="C346" s="121" t="s">
        <v>122</v>
      </c>
      <c r="D346" s="117">
        <v>0.5</v>
      </c>
      <c r="E346" s="118">
        <v>3.0</v>
      </c>
      <c r="F346" s="119">
        <v>1.0</v>
      </c>
      <c r="G346" s="120">
        <f>'Start Here'!$F$23*D346</f>
        <v>50</v>
      </c>
      <c r="H346" s="138"/>
      <c r="I346" s="165"/>
      <c r="J346" s="166"/>
      <c r="K346" s="165"/>
      <c r="L346" s="166">
        <f t="shared" ref="L346:L349" si="399">E346*F346</f>
        <v>3</v>
      </c>
      <c r="M346" s="138">
        <f t="shared" ref="M346:M349" si="400">G346*L346</f>
        <v>150</v>
      </c>
      <c r="N346" s="67"/>
      <c r="O346" s="67"/>
      <c r="P346" s="67"/>
      <c r="Q346" s="67"/>
      <c r="R346" s="67"/>
      <c r="S346" s="67"/>
      <c r="T346" s="67"/>
      <c r="U346" s="67"/>
      <c r="V346" s="67"/>
      <c r="W346" s="67"/>
      <c r="X346" s="114">
        <f t="shared" ref="X346:X349" si="401">IF(ISNUMBER(SEARCH("deadlift",$C346)),IF($D346&gt;=0.5,IF($D346&lt;0.6,$E346*$F346," ")," ")," ")</f>
        <v>3</v>
      </c>
      <c r="Y346" s="114" t="str">
        <f t="shared" ref="Y346:Y349" si="402">IF(ISNUMBER(SEARCH("deadlift",$C346)),IF($D346&gt;=0.6,IF($D346&lt;0.7,$E346*$F346," ")," ")," ")</f>
        <v> </v>
      </c>
      <c r="Z346" s="114" t="str">
        <f t="shared" ref="Z346:Z349" si="403">IF(ISNUMBER(SEARCH("deadlift",$C346)),IF($D346&gt;=0.7,IF($D346&lt;0.8,$E346*$F346," ")," ")," ")</f>
        <v> </v>
      </c>
      <c r="AA346" s="114" t="str">
        <f t="shared" ref="AA346:AA349" si="404">IF(ISNUMBER(SEARCH("deadlift",$C346)),IF($D346&gt;=0.8,IF($D346&lt;0.9,$E346*$F346," ")," ")," ")</f>
        <v> </v>
      </c>
      <c r="AB346" s="114" t="str">
        <f t="shared" ref="AB346:AB349" si="405">IF(ISNUMBER(SEARCH("deadlift",$C346)),IF($D346&gt;=0.9,$E346*$F346," ")," ")</f>
        <v> </v>
      </c>
      <c r="AC346" s="85"/>
      <c r="AG346" s="86"/>
    </row>
    <row r="347" ht="12.75" customHeight="1">
      <c r="A347" s="1"/>
      <c r="B347" s="115"/>
      <c r="C347" s="122" t="s">
        <v>122</v>
      </c>
      <c r="D347" s="117">
        <v>0.6</v>
      </c>
      <c r="E347" s="118">
        <v>3.0</v>
      </c>
      <c r="F347" s="119">
        <v>1.0</v>
      </c>
      <c r="G347" s="120">
        <f>'Start Here'!$F$23*D347</f>
        <v>60</v>
      </c>
      <c r="H347" s="138"/>
      <c r="I347" s="165"/>
      <c r="J347" s="166"/>
      <c r="K347" s="165"/>
      <c r="L347" s="166">
        <f t="shared" si="399"/>
        <v>3</v>
      </c>
      <c r="M347" s="138">
        <f t="shared" si="400"/>
        <v>180</v>
      </c>
      <c r="N347" s="67"/>
      <c r="O347" s="67"/>
      <c r="P347" s="67"/>
      <c r="Q347" s="67"/>
      <c r="R347" s="67"/>
      <c r="S347" s="67"/>
      <c r="T347" s="67"/>
      <c r="U347" s="67"/>
      <c r="V347" s="67"/>
      <c r="W347" s="67"/>
      <c r="X347" s="114" t="str">
        <f t="shared" si="401"/>
        <v> </v>
      </c>
      <c r="Y347" s="114">
        <f t="shared" si="402"/>
        <v>3</v>
      </c>
      <c r="Z347" s="114" t="str">
        <f t="shared" si="403"/>
        <v> </v>
      </c>
      <c r="AA347" s="114" t="str">
        <f t="shared" si="404"/>
        <v> </v>
      </c>
      <c r="AB347" s="114" t="str">
        <f t="shared" si="405"/>
        <v> </v>
      </c>
      <c r="AC347" s="85"/>
      <c r="AG347" s="86"/>
    </row>
    <row r="348" ht="12.75" customHeight="1">
      <c r="A348" s="1"/>
      <c r="B348" s="115"/>
      <c r="C348" s="122" t="s">
        <v>122</v>
      </c>
      <c r="D348" s="117">
        <v>0.7</v>
      </c>
      <c r="E348" s="118">
        <v>3.0</v>
      </c>
      <c r="F348" s="119">
        <v>1.0</v>
      </c>
      <c r="G348" s="120">
        <f>'Start Here'!$F$23*D348</f>
        <v>70</v>
      </c>
      <c r="H348" s="138"/>
      <c r="I348" s="165"/>
      <c r="J348" s="166"/>
      <c r="K348" s="165"/>
      <c r="L348" s="166">
        <f t="shared" si="399"/>
        <v>3</v>
      </c>
      <c r="M348" s="138">
        <f t="shared" si="400"/>
        <v>210</v>
      </c>
      <c r="N348" s="67"/>
      <c r="O348" s="67"/>
      <c r="P348" s="67"/>
      <c r="Q348" s="67"/>
      <c r="R348" s="67"/>
      <c r="S348" s="67"/>
      <c r="T348" s="67"/>
      <c r="U348" s="67"/>
      <c r="V348" s="67"/>
      <c r="W348" s="67"/>
      <c r="X348" s="114" t="str">
        <f t="shared" si="401"/>
        <v> </v>
      </c>
      <c r="Y348" s="114" t="str">
        <f t="shared" si="402"/>
        <v> </v>
      </c>
      <c r="Z348" s="114">
        <f t="shared" si="403"/>
        <v>3</v>
      </c>
      <c r="AA348" s="114" t="str">
        <f t="shared" si="404"/>
        <v> </v>
      </c>
      <c r="AB348" s="114" t="str">
        <f t="shared" si="405"/>
        <v> </v>
      </c>
      <c r="AC348" s="85"/>
      <c r="AG348" s="86"/>
    </row>
    <row r="349" ht="12.75" customHeight="1">
      <c r="A349" s="1"/>
      <c r="B349" s="115"/>
      <c r="C349" s="122" t="s">
        <v>122</v>
      </c>
      <c r="D349" s="117">
        <v>0.8</v>
      </c>
      <c r="E349" s="118">
        <v>2.0</v>
      </c>
      <c r="F349" s="119">
        <v>5.0</v>
      </c>
      <c r="G349" s="120">
        <f>'Start Here'!$F$23*D349</f>
        <v>80</v>
      </c>
      <c r="H349" s="138"/>
      <c r="I349" s="165"/>
      <c r="J349" s="166"/>
      <c r="K349" s="165"/>
      <c r="L349" s="166">
        <f t="shared" si="399"/>
        <v>10</v>
      </c>
      <c r="M349" s="138">
        <f t="shared" si="400"/>
        <v>800</v>
      </c>
      <c r="N349" s="67"/>
      <c r="O349" s="67"/>
      <c r="P349" s="67"/>
      <c r="Q349" s="67"/>
      <c r="R349" s="67"/>
      <c r="S349" s="67"/>
      <c r="T349" s="67"/>
      <c r="U349" s="67"/>
      <c r="V349" s="67"/>
      <c r="W349" s="67"/>
      <c r="X349" s="114" t="str">
        <f t="shared" si="401"/>
        <v> </v>
      </c>
      <c r="Y349" s="114" t="str">
        <f t="shared" si="402"/>
        <v> </v>
      </c>
      <c r="Z349" s="114" t="str">
        <f t="shared" si="403"/>
        <v> </v>
      </c>
      <c r="AA349" s="114">
        <f t="shared" si="404"/>
        <v>10</v>
      </c>
      <c r="AB349" s="114" t="str">
        <f t="shared" si="405"/>
        <v> </v>
      </c>
      <c r="AC349" s="85"/>
      <c r="AG349" s="86"/>
    </row>
    <row r="350" ht="12.75" customHeight="1">
      <c r="A350" s="1"/>
      <c r="B350" s="96">
        <v>4.0</v>
      </c>
      <c r="C350" s="167" t="s">
        <v>69</v>
      </c>
      <c r="D350" s="168"/>
      <c r="E350" s="169">
        <v>6.0</v>
      </c>
      <c r="F350" s="169">
        <v>5.0</v>
      </c>
      <c r="G350" s="170"/>
      <c r="H350" s="138"/>
      <c r="I350" s="165"/>
      <c r="J350" s="166"/>
      <c r="K350" s="165"/>
      <c r="L350" s="166"/>
      <c r="M350" s="138"/>
      <c r="N350" s="67"/>
      <c r="O350" s="67"/>
      <c r="P350" s="67"/>
      <c r="Q350" s="67"/>
      <c r="R350" s="67"/>
      <c r="S350" s="67"/>
      <c r="T350" s="67"/>
      <c r="U350" s="67"/>
      <c r="V350" s="67"/>
      <c r="W350" s="67"/>
      <c r="X350" s="67"/>
      <c r="Y350" s="67"/>
      <c r="Z350" s="67"/>
      <c r="AA350" s="67"/>
      <c r="AB350" s="67"/>
      <c r="AC350" s="85"/>
      <c r="AG350" s="86"/>
    </row>
    <row r="351" ht="12.75" customHeight="1">
      <c r="A351" s="1"/>
      <c r="B351" s="100">
        <v>5.0</v>
      </c>
      <c r="C351" s="171" t="s">
        <v>95</v>
      </c>
      <c r="D351" s="172"/>
      <c r="E351" s="102">
        <v>8.0</v>
      </c>
      <c r="F351" s="173">
        <v>4.0</v>
      </c>
      <c r="G351" s="174"/>
      <c r="H351" s="138"/>
      <c r="I351" s="165"/>
      <c r="J351" s="166"/>
      <c r="K351" s="165"/>
      <c r="L351" s="166"/>
      <c r="M351" s="138"/>
      <c r="N351" s="67"/>
      <c r="O351" s="67"/>
      <c r="P351" s="67"/>
      <c r="Q351" s="67"/>
      <c r="R351" s="67"/>
      <c r="S351" s="67"/>
      <c r="T351" s="67"/>
      <c r="U351" s="67"/>
      <c r="V351" s="67"/>
      <c r="W351" s="67"/>
      <c r="X351" s="67"/>
      <c r="Y351" s="67"/>
      <c r="Z351" s="67"/>
      <c r="AA351" s="67"/>
      <c r="AB351" s="67"/>
      <c r="AC351" s="104"/>
      <c r="AD351" s="105"/>
      <c r="AE351" s="105"/>
      <c r="AF351" s="105"/>
      <c r="AG351" s="106"/>
    </row>
    <row r="352" ht="12.75" customHeight="1">
      <c r="A352" s="1"/>
      <c r="B352" s="67"/>
      <c r="C352" s="136"/>
      <c r="D352" s="137"/>
      <c r="E352" s="138"/>
      <c r="F352" s="138"/>
      <c r="G352" s="138"/>
      <c r="H352" s="166"/>
      <c r="I352" s="165"/>
      <c r="J352" s="166"/>
      <c r="K352" s="165"/>
      <c r="L352" s="166"/>
      <c r="M352" s="138"/>
      <c r="N352" s="67"/>
      <c r="O352" s="67"/>
      <c r="P352" s="67"/>
      <c r="Q352" s="67"/>
      <c r="R352" s="67"/>
      <c r="S352" s="67"/>
      <c r="T352" s="67"/>
      <c r="U352" s="67"/>
      <c r="V352" s="67"/>
      <c r="W352" s="67"/>
      <c r="X352" s="67"/>
      <c r="Y352" s="67"/>
      <c r="Z352" s="67"/>
      <c r="AA352" s="67"/>
      <c r="AB352" s="67"/>
      <c r="AC352" s="67"/>
      <c r="AD352" s="67"/>
      <c r="AE352" s="67"/>
      <c r="AF352" s="67"/>
      <c r="AG352" s="67"/>
    </row>
    <row r="353" ht="39.75" customHeight="1">
      <c r="A353" s="1"/>
      <c r="B353" s="68" t="s">
        <v>54</v>
      </c>
      <c r="D353" s="137" t="s">
        <v>34</v>
      </c>
      <c r="E353" s="138" t="s">
        <v>35</v>
      </c>
      <c r="F353" s="138" t="s">
        <v>36</v>
      </c>
      <c r="G353" s="138" t="s">
        <v>37</v>
      </c>
      <c r="H353" s="166"/>
      <c r="I353" s="165"/>
      <c r="J353" s="166"/>
      <c r="K353" s="165"/>
      <c r="L353" s="166"/>
      <c r="M353" s="138"/>
      <c r="N353" s="67"/>
      <c r="O353" s="67"/>
      <c r="P353" s="67"/>
      <c r="Q353" s="67"/>
      <c r="R353" s="67"/>
      <c r="S353" s="67"/>
      <c r="T353" s="67"/>
      <c r="U353" s="67"/>
      <c r="V353" s="67"/>
      <c r="W353" s="67"/>
      <c r="X353" s="67"/>
      <c r="Y353" s="67"/>
      <c r="Z353" s="67"/>
      <c r="AA353" s="67"/>
      <c r="AB353" s="67"/>
      <c r="AC353" s="67" t="s">
        <v>43</v>
      </c>
      <c r="AD353" s="67"/>
      <c r="AE353" s="67"/>
      <c r="AF353" s="67"/>
      <c r="AG353" s="67"/>
    </row>
    <row r="354" ht="12.75" customHeight="1">
      <c r="A354" s="1"/>
      <c r="B354" s="69">
        <v>1.0</v>
      </c>
      <c r="C354" s="70" t="s">
        <v>46</v>
      </c>
      <c r="D354" s="71">
        <v>0.5</v>
      </c>
      <c r="E354" s="145">
        <v>5.0</v>
      </c>
      <c r="F354" s="72">
        <v>1.0</v>
      </c>
      <c r="G354" s="73">
        <f>'Start Here'!$F$21*D354</f>
        <v>50</v>
      </c>
      <c r="H354" s="138">
        <f t="shared" ref="H354:H357" si="406">E354*F354</f>
        <v>5</v>
      </c>
      <c r="I354" s="165">
        <f t="shared" ref="I354:I357" si="407">G354*H354</f>
        <v>250</v>
      </c>
      <c r="J354" s="166"/>
      <c r="K354" s="165"/>
      <c r="L354" s="166"/>
      <c r="M354" s="138"/>
      <c r="N354" s="75">
        <f t="shared" ref="N354:N357" si="408">IF(ISNUMBER(SEARCH("squat",$C354)),IF($D354&gt;=0.5,IF($D354&lt;0.6,$E354*$F354," ")," ")," ")</f>
        <v>5</v>
      </c>
      <c r="O354" s="75" t="str">
        <f t="shared" ref="O354:O357" si="409">IF(ISNUMBER(SEARCH("squat",$C354)),IF($D354&gt;=0.6,IF($D354&lt;0.7,$E354*$F354," ")," ")," ")</f>
        <v> </v>
      </c>
      <c r="P354" s="75" t="str">
        <f t="shared" ref="P354:P357" si="410">IF(ISNUMBER(SEARCH("squat",$C354)),IF($D354&gt;=0.7,IF($D354&lt;0.8,$E354*$F354," ")," ")," ")</f>
        <v> </v>
      </c>
      <c r="Q354" s="75" t="str">
        <f t="shared" ref="Q354:Q357" si="411">IF(ISNUMBER(SEARCH("squat",$C354)),IF($D354&gt;=0.8,IF($D354&lt;0.9,$E354*$F354," ")," ")," ")</f>
        <v> </v>
      </c>
      <c r="R354" s="75" t="str">
        <f t="shared" ref="R354:R357" si="412">IF(ISNUMBER(SEARCH("squat",$C354)),IF($D354&gt;=0.9,$E354*$F354," ")," ")</f>
        <v> </v>
      </c>
      <c r="S354" s="67"/>
      <c r="T354" s="67"/>
      <c r="U354" s="67"/>
      <c r="V354" s="67"/>
      <c r="W354" s="67"/>
      <c r="X354" s="67"/>
      <c r="Y354" s="67"/>
      <c r="Z354" s="67"/>
      <c r="AA354" s="67"/>
      <c r="AB354" s="67"/>
      <c r="AC354" s="76"/>
      <c r="AD354" s="77"/>
      <c r="AE354" s="77"/>
      <c r="AF354" s="77"/>
      <c r="AG354" s="78"/>
    </row>
    <row r="355" ht="12.75" customHeight="1">
      <c r="A355" s="1"/>
      <c r="B355" s="79"/>
      <c r="C355" s="80" t="s">
        <v>46</v>
      </c>
      <c r="D355" s="81">
        <v>0.6</v>
      </c>
      <c r="E355" s="82">
        <v>4.0</v>
      </c>
      <c r="F355" s="83">
        <v>1.0</v>
      </c>
      <c r="G355" s="84">
        <f>'Start Here'!$F$21*D355</f>
        <v>60</v>
      </c>
      <c r="H355" s="138">
        <f t="shared" si="406"/>
        <v>4</v>
      </c>
      <c r="I355" s="165">
        <f t="shared" si="407"/>
        <v>240</v>
      </c>
      <c r="J355" s="166"/>
      <c r="K355" s="165"/>
      <c r="L355" s="166"/>
      <c r="M355" s="138"/>
      <c r="N355" s="75" t="str">
        <f t="shared" si="408"/>
        <v> </v>
      </c>
      <c r="O355" s="75">
        <f t="shared" si="409"/>
        <v>4</v>
      </c>
      <c r="P355" s="75" t="str">
        <f t="shared" si="410"/>
        <v> </v>
      </c>
      <c r="Q355" s="75" t="str">
        <f t="shared" si="411"/>
        <v> </v>
      </c>
      <c r="R355" s="75" t="str">
        <f t="shared" si="412"/>
        <v> </v>
      </c>
      <c r="S355" s="67"/>
      <c r="T355" s="67"/>
      <c r="U355" s="67"/>
      <c r="V355" s="67"/>
      <c r="W355" s="67"/>
      <c r="X355" s="67"/>
      <c r="Y355" s="67"/>
      <c r="Z355" s="67"/>
      <c r="AA355" s="67"/>
      <c r="AB355" s="67"/>
      <c r="AC355" s="85"/>
      <c r="AG355" s="86"/>
    </row>
    <row r="356" ht="12.75" customHeight="1">
      <c r="A356" s="1"/>
      <c r="B356" s="79"/>
      <c r="C356" s="80" t="s">
        <v>46</v>
      </c>
      <c r="D356" s="81">
        <v>0.7</v>
      </c>
      <c r="E356" s="82">
        <v>3.0</v>
      </c>
      <c r="F356" s="83">
        <v>1.0</v>
      </c>
      <c r="G356" s="84">
        <f>'Start Here'!$F$21*D356</f>
        <v>70</v>
      </c>
      <c r="H356" s="138">
        <f t="shared" si="406"/>
        <v>3</v>
      </c>
      <c r="I356" s="165">
        <f t="shared" si="407"/>
        <v>210</v>
      </c>
      <c r="J356" s="166"/>
      <c r="K356" s="165"/>
      <c r="L356" s="166"/>
      <c r="M356" s="138"/>
      <c r="N356" s="75" t="str">
        <f t="shared" si="408"/>
        <v> </v>
      </c>
      <c r="O356" s="75" t="str">
        <f t="shared" si="409"/>
        <v> </v>
      </c>
      <c r="P356" s="75">
        <f t="shared" si="410"/>
        <v>3</v>
      </c>
      <c r="Q356" s="75" t="str">
        <f t="shared" si="411"/>
        <v> </v>
      </c>
      <c r="R356" s="75" t="str">
        <f t="shared" si="412"/>
        <v> </v>
      </c>
      <c r="S356" s="67"/>
      <c r="T356" s="67"/>
      <c r="U356" s="67"/>
      <c r="V356" s="67"/>
      <c r="W356" s="67"/>
      <c r="X356" s="67"/>
      <c r="Y356" s="67"/>
      <c r="Z356" s="67"/>
      <c r="AA356" s="67"/>
      <c r="AB356" s="67"/>
      <c r="AC356" s="85"/>
      <c r="AG356" s="86"/>
    </row>
    <row r="357" ht="12.75" customHeight="1">
      <c r="A357" s="1"/>
      <c r="B357" s="79"/>
      <c r="C357" s="80" t="s">
        <v>46</v>
      </c>
      <c r="D357" s="81">
        <v>0.8</v>
      </c>
      <c r="E357" s="82">
        <v>2.0</v>
      </c>
      <c r="F357" s="83">
        <v>4.0</v>
      </c>
      <c r="G357" s="84">
        <f>'Start Here'!$F$21*D357</f>
        <v>80</v>
      </c>
      <c r="H357" s="138">
        <f t="shared" si="406"/>
        <v>8</v>
      </c>
      <c r="I357" s="165">
        <f t="shared" si="407"/>
        <v>640</v>
      </c>
      <c r="J357" s="166"/>
      <c r="K357" s="165"/>
      <c r="L357" s="166"/>
      <c r="M357" s="138"/>
      <c r="N357" s="75" t="str">
        <f t="shared" si="408"/>
        <v> </v>
      </c>
      <c r="O357" s="75" t="str">
        <f t="shared" si="409"/>
        <v> </v>
      </c>
      <c r="P357" s="75" t="str">
        <f t="shared" si="410"/>
        <v> </v>
      </c>
      <c r="Q357" s="75">
        <f t="shared" si="411"/>
        <v>8</v>
      </c>
      <c r="R357" s="75" t="str">
        <f t="shared" si="412"/>
        <v> </v>
      </c>
      <c r="S357" s="67"/>
      <c r="T357" s="67"/>
      <c r="U357" s="67"/>
      <c r="V357" s="67"/>
      <c r="W357" s="67"/>
      <c r="X357" s="67"/>
      <c r="Y357" s="67"/>
      <c r="Z357" s="67"/>
      <c r="AA357" s="67"/>
      <c r="AB357" s="67"/>
      <c r="AC357" s="85"/>
      <c r="AG357" s="86"/>
    </row>
    <row r="358" ht="12.75" customHeight="1">
      <c r="A358" s="1"/>
      <c r="B358" s="87">
        <v>2.0</v>
      </c>
      <c r="C358" s="88" t="s">
        <v>45</v>
      </c>
      <c r="D358" s="89">
        <v>0.5</v>
      </c>
      <c r="E358" s="90">
        <v>5.0</v>
      </c>
      <c r="F358" s="91">
        <v>1.0</v>
      </c>
      <c r="G358" s="92">
        <f>'Start Here'!$F$22*D358</f>
        <v>50</v>
      </c>
      <c r="H358" s="138"/>
      <c r="I358" s="165"/>
      <c r="J358" s="166">
        <f t="shared" ref="J358:J361" si="413">E358*F358</f>
        <v>5</v>
      </c>
      <c r="K358" s="165">
        <f t="shared" ref="K358:K361" si="414">G358*J358</f>
        <v>250</v>
      </c>
      <c r="L358" s="166"/>
      <c r="M358" s="138"/>
      <c r="N358" s="67"/>
      <c r="O358" s="67"/>
      <c r="P358" s="67"/>
      <c r="Q358" s="67"/>
      <c r="R358" s="67"/>
      <c r="S358" s="93">
        <f t="shared" ref="S358:S361" si="415">IF(ISNUMBER(SEARCH("bench",$C358)),IF($D358&gt;=0.5,IF($D358&lt;0.6,$E358*$F358," ")," ")," ")</f>
        <v>5</v>
      </c>
      <c r="T358" s="93" t="str">
        <f t="shared" ref="T358:T361" si="416">IF(ISNUMBER(SEARCH("bench",$C358)),IF($D358&gt;=0.6,IF($D358&lt;0.7,$E358*$F358," ")," ")," ")</f>
        <v> </v>
      </c>
      <c r="U358" s="93" t="str">
        <f t="shared" ref="U358:U361" si="417">IF(ISNUMBER(SEARCH("bench",$C358)),IF($D358&gt;=0.7,IF($D358&lt;0.8,$E358*$F358," ")," ")," ")</f>
        <v> </v>
      </c>
      <c r="V358" s="93" t="str">
        <f t="shared" ref="V358:V361" si="418">IF(ISNUMBER(SEARCH("bench",$C358)),IF($D358&gt;=0.8,IF($D358&lt;0.9,$E358*$F358," ")," ")," ")</f>
        <v> </v>
      </c>
      <c r="W358" s="93" t="str">
        <f t="shared" ref="W358:W361" si="419">IF(ISNUMBER(SEARCH("bench",$C358)),IF($D358&gt;=0.9,$E358*$F358," ")," ")</f>
        <v> </v>
      </c>
      <c r="X358" s="67"/>
      <c r="Y358" s="67"/>
      <c r="Z358" s="67"/>
      <c r="AA358" s="67"/>
      <c r="AB358" s="67"/>
      <c r="AC358" s="85"/>
      <c r="AG358" s="86"/>
    </row>
    <row r="359" ht="12.75" customHeight="1">
      <c r="A359" s="1"/>
      <c r="B359" s="87"/>
      <c r="C359" s="94" t="s">
        <v>45</v>
      </c>
      <c r="D359" s="89">
        <v>0.6</v>
      </c>
      <c r="E359" s="90">
        <v>4.0</v>
      </c>
      <c r="F359" s="91">
        <v>1.0</v>
      </c>
      <c r="G359" s="92">
        <f>'Start Here'!$F$22*D359</f>
        <v>60</v>
      </c>
      <c r="H359" s="138"/>
      <c r="I359" s="165"/>
      <c r="J359" s="166">
        <f t="shared" si="413"/>
        <v>4</v>
      </c>
      <c r="K359" s="165">
        <f t="shared" si="414"/>
        <v>240</v>
      </c>
      <c r="L359" s="166"/>
      <c r="M359" s="138"/>
      <c r="N359" s="67"/>
      <c r="O359" s="67"/>
      <c r="P359" s="67"/>
      <c r="Q359" s="67"/>
      <c r="R359" s="67"/>
      <c r="S359" s="93" t="str">
        <f t="shared" si="415"/>
        <v> </v>
      </c>
      <c r="T359" s="93">
        <f t="shared" si="416"/>
        <v>4</v>
      </c>
      <c r="U359" s="93" t="str">
        <f t="shared" si="417"/>
        <v> </v>
      </c>
      <c r="V359" s="93" t="str">
        <f t="shared" si="418"/>
        <v> </v>
      </c>
      <c r="W359" s="93" t="str">
        <f t="shared" si="419"/>
        <v> </v>
      </c>
      <c r="X359" s="67"/>
      <c r="Y359" s="67"/>
      <c r="Z359" s="67"/>
      <c r="AA359" s="67"/>
      <c r="AB359" s="67"/>
      <c r="AC359" s="85"/>
      <c r="AG359" s="86"/>
    </row>
    <row r="360" ht="12.75" customHeight="1">
      <c r="A360" s="1"/>
      <c r="B360" s="87"/>
      <c r="C360" s="94" t="s">
        <v>45</v>
      </c>
      <c r="D360" s="89">
        <v>0.7</v>
      </c>
      <c r="E360" s="90">
        <v>3.0</v>
      </c>
      <c r="F360" s="91">
        <v>1.0</v>
      </c>
      <c r="G360" s="92">
        <f>'Start Here'!$F$22*D360</f>
        <v>70</v>
      </c>
      <c r="H360" s="138"/>
      <c r="I360" s="165"/>
      <c r="J360" s="166">
        <f t="shared" si="413"/>
        <v>3</v>
      </c>
      <c r="K360" s="165">
        <f t="shared" si="414"/>
        <v>210</v>
      </c>
      <c r="L360" s="166"/>
      <c r="M360" s="138"/>
      <c r="N360" s="67"/>
      <c r="O360" s="67"/>
      <c r="P360" s="67"/>
      <c r="Q360" s="67"/>
      <c r="R360" s="67"/>
      <c r="S360" s="93" t="str">
        <f t="shared" si="415"/>
        <v> </v>
      </c>
      <c r="T360" s="93" t="str">
        <f t="shared" si="416"/>
        <v> </v>
      </c>
      <c r="U360" s="93">
        <f t="shared" si="417"/>
        <v>3</v>
      </c>
      <c r="V360" s="93" t="str">
        <f t="shared" si="418"/>
        <v> </v>
      </c>
      <c r="W360" s="93" t="str">
        <f t="shared" si="419"/>
        <v> </v>
      </c>
      <c r="X360" s="67"/>
      <c r="Y360" s="67"/>
      <c r="Z360" s="67"/>
      <c r="AA360" s="67"/>
      <c r="AB360" s="67"/>
      <c r="AC360" s="85"/>
      <c r="AG360" s="86"/>
    </row>
    <row r="361" ht="12.75" customHeight="1">
      <c r="A361" s="1"/>
      <c r="B361" s="87"/>
      <c r="C361" s="94" t="s">
        <v>45</v>
      </c>
      <c r="D361" s="89">
        <v>0.75</v>
      </c>
      <c r="E361" s="90">
        <v>3.0</v>
      </c>
      <c r="F361" s="91">
        <v>5.0</v>
      </c>
      <c r="G361" s="92">
        <f>'Start Here'!$F$22*D361</f>
        <v>75</v>
      </c>
      <c r="H361" s="138"/>
      <c r="I361" s="165"/>
      <c r="J361" s="166">
        <f t="shared" si="413"/>
        <v>15</v>
      </c>
      <c r="K361" s="165">
        <f t="shared" si="414"/>
        <v>1125</v>
      </c>
      <c r="L361" s="166"/>
      <c r="M361" s="138"/>
      <c r="N361" s="67"/>
      <c r="O361" s="67"/>
      <c r="P361" s="67"/>
      <c r="Q361" s="67"/>
      <c r="R361" s="67"/>
      <c r="S361" s="93" t="str">
        <f t="shared" si="415"/>
        <v> </v>
      </c>
      <c r="T361" s="93" t="str">
        <f t="shared" si="416"/>
        <v> </v>
      </c>
      <c r="U361" s="93">
        <f t="shared" si="417"/>
        <v>15</v>
      </c>
      <c r="V361" s="93" t="str">
        <f t="shared" si="418"/>
        <v> </v>
      </c>
      <c r="W361" s="93" t="str">
        <f t="shared" si="419"/>
        <v> </v>
      </c>
      <c r="X361" s="67"/>
      <c r="Y361" s="67"/>
      <c r="Z361" s="67"/>
      <c r="AA361" s="67"/>
      <c r="AB361" s="67"/>
      <c r="AC361" s="85"/>
      <c r="AG361" s="86"/>
    </row>
    <row r="362" ht="12.75" customHeight="1">
      <c r="A362" s="1"/>
      <c r="B362" s="79">
        <v>3.0</v>
      </c>
      <c r="C362" s="95" t="s">
        <v>46</v>
      </c>
      <c r="D362" s="81">
        <v>0.5</v>
      </c>
      <c r="E362" s="82">
        <v>5.0</v>
      </c>
      <c r="F362" s="83">
        <v>1.0</v>
      </c>
      <c r="G362" s="84">
        <f>'Start Here'!$F$21*D362</f>
        <v>50</v>
      </c>
      <c r="H362" s="138">
        <f t="shared" ref="H362:H364" si="420">E362*F362</f>
        <v>5</v>
      </c>
      <c r="I362" s="165">
        <f t="shared" ref="I362:I364" si="421">G362*H362</f>
        <v>250</v>
      </c>
      <c r="J362" s="166"/>
      <c r="K362" s="165"/>
      <c r="L362" s="166"/>
      <c r="M362" s="138"/>
      <c r="N362" s="75">
        <f t="shared" ref="N362:N364" si="422">IF(ISNUMBER(SEARCH("squat",$C362)),IF($D362&gt;=0.5,IF($D362&lt;0.6,$E362*$F362," ")," ")," ")</f>
        <v>5</v>
      </c>
      <c r="O362" s="75" t="str">
        <f t="shared" ref="O362:O364" si="423">IF(ISNUMBER(SEARCH("squat",$C362)),IF($D362&gt;=0.6,IF($D362&lt;0.7,$E362*$F362," ")," ")," ")</f>
        <v> </v>
      </c>
      <c r="P362" s="75" t="str">
        <f t="shared" ref="P362:P364" si="424">IF(ISNUMBER(SEARCH("squat",$C362)),IF($D362&gt;=0.7,IF($D362&lt;0.8,$E362*$F362," ")," ")," ")</f>
        <v> </v>
      </c>
      <c r="Q362" s="75" t="str">
        <f t="shared" ref="Q362:Q364" si="425">IF(ISNUMBER(SEARCH("squat",$C362)),IF($D362&gt;=0.8,IF($D362&lt;0.9,$E362*$F362," ")," ")," ")</f>
        <v> </v>
      </c>
      <c r="R362" s="75" t="str">
        <f t="shared" ref="R362:R364" si="426">IF(ISNUMBER(SEARCH("squat",$C362)),IF($D362&gt;=0.9,$E362*$F362," ")," ")</f>
        <v> </v>
      </c>
      <c r="S362" s="67"/>
      <c r="T362" s="67"/>
      <c r="U362" s="67"/>
      <c r="V362" s="67"/>
      <c r="W362" s="67"/>
      <c r="X362" s="67"/>
      <c r="Y362" s="67"/>
      <c r="Z362" s="67"/>
      <c r="AA362" s="67"/>
      <c r="AB362" s="67"/>
      <c r="AC362" s="85"/>
      <c r="AG362" s="86"/>
    </row>
    <row r="363" ht="12.75" customHeight="1">
      <c r="A363" s="1"/>
      <c r="B363" s="79"/>
      <c r="C363" s="80" t="s">
        <v>46</v>
      </c>
      <c r="D363" s="81">
        <v>0.6</v>
      </c>
      <c r="E363" s="82">
        <v>5.0</v>
      </c>
      <c r="F363" s="83">
        <v>1.0</v>
      </c>
      <c r="G363" s="84">
        <f>'Start Here'!$F$21*D363</f>
        <v>60</v>
      </c>
      <c r="H363" s="138">
        <f t="shared" si="420"/>
        <v>5</v>
      </c>
      <c r="I363" s="165">
        <f t="shared" si="421"/>
        <v>300</v>
      </c>
      <c r="J363" s="166"/>
      <c r="K363" s="165"/>
      <c r="L363" s="166"/>
      <c r="M363" s="138"/>
      <c r="N363" s="75" t="str">
        <f t="shared" si="422"/>
        <v> </v>
      </c>
      <c r="O363" s="75">
        <f t="shared" si="423"/>
        <v>5</v>
      </c>
      <c r="P363" s="75" t="str">
        <f t="shared" si="424"/>
        <v> </v>
      </c>
      <c r="Q363" s="75" t="str">
        <f t="shared" si="425"/>
        <v> </v>
      </c>
      <c r="R363" s="75" t="str">
        <f t="shared" si="426"/>
        <v> </v>
      </c>
      <c r="S363" s="67"/>
      <c r="T363" s="67"/>
      <c r="U363" s="67"/>
      <c r="V363" s="67"/>
      <c r="W363" s="67"/>
      <c r="X363" s="67"/>
      <c r="Y363" s="67"/>
      <c r="Z363" s="67"/>
      <c r="AA363" s="67"/>
      <c r="AB363" s="67"/>
      <c r="AC363" s="85"/>
      <c r="AG363" s="86"/>
    </row>
    <row r="364" ht="12.75" customHeight="1">
      <c r="A364" s="1"/>
      <c r="B364" s="79"/>
      <c r="C364" s="80" t="s">
        <v>46</v>
      </c>
      <c r="D364" s="81">
        <v>0.7</v>
      </c>
      <c r="E364" s="82">
        <v>5.0</v>
      </c>
      <c r="F364" s="83">
        <v>4.0</v>
      </c>
      <c r="G364" s="84">
        <f>'Start Here'!$F$21*D364</f>
        <v>70</v>
      </c>
      <c r="H364" s="138">
        <f t="shared" si="420"/>
        <v>20</v>
      </c>
      <c r="I364" s="165">
        <f t="shared" si="421"/>
        <v>1400</v>
      </c>
      <c r="J364" s="166"/>
      <c r="K364" s="165"/>
      <c r="L364" s="166"/>
      <c r="M364" s="138"/>
      <c r="N364" s="75" t="str">
        <f t="shared" si="422"/>
        <v> </v>
      </c>
      <c r="O364" s="75" t="str">
        <f t="shared" si="423"/>
        <v> </v>
      </c>
      <c r="P364" s="75">
        <f t="shared" si="424"/>
        <v>20</v>
      </c>
      <c r="Q364" s="75" t="str">
        <f t="shared" si="425"/>
        <v> </v>
      </c>
      <c r="R364" s="75" t="str">
        <f t="shared" si="426"/>
        <v> </v>
      </c>
      <c r="S364" s="67"/>
      <c r="T364" s="67"/>
      <c r="U364" s="67"/>
      <c r="V364" s="67"/>
      <c r="W364" s="67"/>
      <c r="X364" s="67"/>
      <c r="Y364" s="67"/>
      <c r="Z364" s="67"/>
      <c r="AA364" s="67"/>
      <c r="AB364" s="67"/>
      <c r="AC364" s="85"/>
      <c r="AG364" s="86"/>
    </row>
    <row r="365" ht="12.75" customHeight="1">
      <c r="A365" s="1"/>
      <c r="B365" s="96">
        <v>4.0</v>
      </c>
      <c r="C365" s="167" t="s">
        <v>92</v>
      </c>
      <c r="D365" s="168"/>
      <c r="E365" s="98">
        <v>8.0</v>
      </c>
      <c r="F365" s="169">
        <v>5.0</v>
      </c>
      <c r="G365" s="170"/>
      <c r="H365" s="138"/>
      <c r="I365" s="165"/>
      <c r="J365" s="166"/>
      <c r="K365" s="165"/>
      <c r="L365" s="166"/>
      <c r="M365" s="138"/>
      <c r="N365" s="67"/>
      <c r="O365" s="67"/>
      <c r="P365" s="67"/>
      <c r="Q365" s="67"/>
      <c r="R365" s="67"/>
      <c r="S365" s="67"/>
      <c r="T365" s="67"/>
      <c r="U365" s="67"/>
      <c r="V365" s="67"/>
      <c r="W365" s="67"/>
      <c r="X365" s="67"/>
      <c r="Y365" s="67"/>
      <c r="Z365" s="67"/>
      <c r="AA365" s="67"/>
      <c r="AB365" s="67"/>
      <c r="AC365" s="85"/>
      <c r="AG365" s="86"/>
    </row>
    <row r="366" ht="12.75" customHeight="1">
      <c r="A366" s="1"/>
      <c r="B366" s="100">
        <v>5.0</v>
      </c>
      <c r="C366" s="171" t="s">
        <v>48</v>
      </c>
      <c r="D366" s="172"/>
      <c r="E366" s="102">
        <v>8.0</v>
      </c>
      <c r="F366" s="173">
        <v>4.0</v>
      </c>
      <c r="G366" s="174"/>
      <c r="H366" s="138"/>
      <c r="I366" s="165"/>
      <c r="J366" s="166"/>
      <c r="K366" s="165"/>
      <c r="L366" s="166"/>
      <c r="M366" s="138"/>
      <c r="N366" s="67"/>
      <c r="O366" s="67"/>
      <c r="P366" s="67"/>
      <c r="Q366" s="67"/>
      <c r="R366" s="67"/>
      <c r="S366" s="67"/>
      <c r="T366" s="67"/>
      <c r="U366" s="67"/>
      <c r="V366" s="67"/>
      <c r="W366" s="67"/>
      <c r="X366" s="67"/>
      <c r="Y366" s="67"/>
      <c r="Z366" s="67"/>
      <c r="AA366" s="67"/>
      <c r="AB366" s="67"/>
      <c r="AC366" s="104"/>
      <c r="AD366" s="105"/>
      <c r="AE366" s="105"/>
      <c r="AF366" s="105"/>
      <c r="AG366" s="106"/>
    </row>
    <row r="367" ht="12.75" customHeight="1">
      <c r="A367" s="1"/>
      <c r="B367" s="67"/>
      <c r="C367" s="136"/>
      <c r="D367" s="137"/>
      <c r="E367" s="138"/>
      <c r="F367" s="138"/>
      <c r="G367" s="138"/>
      <c r="H367" s="166"/>
      <c r="I367" s="165"/>
      <c r="J367" s="166"/>
      <c r="K367" s="165"/>
      <c r="L367" s="166"/>
      <c r="M367" s="138"/>
      <c r="N367" s="67"/>
      <c r="O367" s="67"/>
      <c r="P367" s="67"/>
      <c r="Q367" s="67"/>
      <c r="R367" s="67"/>
      <c r="S367" s="67"/>
      <c r="T367" s="67"/>
      <c r="U367" s="67"/>
      <c r="V367" s="67"/>
      <c r="W367" s="67"/>
      <c r="X367" s="67"/>
      <c r="Y367" s="67"/>
      <c r="Z367" s="67"/>
      <c r="AA367" s="67"/>
      <c r="AB367" s="67"/>
      <c r="AC367" s="67"/>
      <c r="AD367" s="67"/>
      <c r="AE367" s="67"/>
      <c r="AF367" s="67"/>
      <c r="AG367" s="67"/>
    </row>
    <row r="368" ht="48.0" customHeight="1">
      <c r="A368" s="1"/>
      <c r="B368" s="68" t="s">
        <v>58</v>
      </c>
      <c r="D368" s="137" t="s">
        <v>34</v>
      </c>
      <c r="E368" s="138" t="s">
        <v>35</v>
      </c>
      <c r="F368" s="138" t="s">
        <v>36</v>
      </c>
      <c r="G368" s="138" t="s">
        <v>37</v>
      </c>
      <c r="H368" s="166"/>
      <c r="I368" s="165"/>
      <c r="J368" s="166"/>
      <c r="K368" s="165"/>
      <c r="L368" s="166"/>
      <c r="M368" s="138"/>
      <c r="N368" s="67"/>
      <c r="O368" s="67"/>
      <c r="P368" s="67"/>
      <c r="Q368" s="67"/>
      <c r="R368" s="67"/>
      <c r="S368" s="67"/>
      <c r="T368" s="67"/>
      <c r="U368" s="67"/>
      <c r="V368" s="67"/>
      <c r="W368" s="67"/>
      <c r="X368" s="67"/>
      <c r="Y368" s="67"/>
      <c r="Z368" s="67"/>
      <c r="AA368" s="67"/>
      <c r="AB368" s="67"/>
      <c r="AC368" s="67" t="s">
        <v>43</v>
      </c>
      <c r="AD368" s="67"/>
      <c r="AE368" s="67"/>
      <c r="AF368" s="67"/>
      <c r="AG368" s="67"/>
    </row>
    <row r="369" ht="12.75" customHeight="1">
      <c r="A369" s="1"/>
      <c r="B369" s="107">
        <v>1.0</v>
      </c>
      <c r="C369" s="108" t="s">
        <v>113</v>
      </c>
      <c r="D369" s="109">
        <v>0.5</v>
      </c>
      <c r="E369" s="110">
        <v>3.0</v>
      </c>
      <c r="F369" s="111">
        <v>1.0</v>
      </c>
      <c r="G369" s="112">
        <f>'Start Here'!$F$23*D369</f>
        <v>50</v>
      </c>
      <c r="H369" s="138"/>
      <c r="I369" s="165"/>
      <c r="J369" s="166"/>
      <c r="K369" s="165"/>
      <c r="L369" s="166">
        <f t="shared" ref="L369:L372" si="427">E369*F369</f>
        <v>3</v>
      </c>
      <c r="M369" s="138">
        <f t="shared" ref="M369:M372" si="428">G369*L369</f>
        <v>150</v>
      </c>
      <c r="N369" s="67"/>
      <c r="O369" s="67"/>
      <c r="P369" s="67"/>
      <c r="Q369" s="67"/>
      <c r="R369" s="67"/>
      <c r="S369" s="67"/>
      <c r="T369" s="67"/>
      <c r="U369" s="67"/>
      <c r="V369" s="67"/>
      <c r="W369" s="67"/>
      <c r="X369" s="114">
        <f t="shared" ref="X369:X372" si="429">IF(ISNUMBER(SEARCH("deadlift",$C369)),IF($D369&gt;=0.5,IF($D369&lt;0.6,$E369*$F369," ")," ")," ")</f>
        <v>3</v>
      </c>
      <c r="Y369" s="114" t="str">
        <f t="shared" ref="Y369:Y372" si="430">IF(ISNUMBER(SEARCH("deadlift",$C369)),IF($D369&gt;=0.6,IF($D369&lt;0.7,$E369*$F369," ")," ")," ")</f>
        <v> </v>
      </c>
      <c r="Z369" s="114" t="str">
        <f t="shared" ref="Z369:Z372" si="431">IF(ISNUMBER(SEARCH("deadlift",$C369)),IF($D369&gt;=0.7,IF($D369&lt;0.8,$E369*$F369," ")," ")," ")</f>
        <v> </v>
      </c>
      <c r="AA369" s="114" t="str">
        <f t="shared" ref="AA369:AA372" si="432">IF(ISNUMBER(SEARCH("deadlift",$C369)),IF($D369&gt;=0.8,IF($D369&lt;0.9,$E369*$F369," ")," ")," ")</f>
        <v> </v>
      </c>
      <c r="AB369" s="114" t="str">
        <f t="shared" ref="AB369:AB372" si="433">IF(ISNUMBER(SEARCH("deadlift",$C369)),IF($D369&gt;=0.9,$E369*$F369," ")," ")</f>
        <v> </v>
      </c>
      <c r="AC369" s="76"/>
      <c r="AD369" s="77"/>
      <c r="AE369" s="77"/>
      <c r="AF369" s="77"/>
      <c r="AG369" s="78"/>
    </row>
    <row r="370" ht="12.75" customHeight="1">
      <c r="A370" s="1"/>
      <c r="B370" s="115"/>
      <c r="C370" s="122" t="s">
        <v>113</v>
      </c>
      <c r="D370" s="117">
        <v>0.6</v>
      </c>
      <c r="E370" s="118">
        <v>3.0</v>
      </c>
      <c r="F370" s="119">
        <v>1.0</v>
      </c>
      <c r="G370" s="120">
        <f>'Start Here'!$F$23*D370</f>
        <v>60</v>
      </c>
      <c r="H370" s="138"/>
      <c r="I370" s="165"/>
      <c r="J370" s="166"/>
      <c r="K370" s="165"/>
      <c r="L370" s="166">
        <f t="shared" si="427"/>
        <v>3</v>
      </c>
      <c r="M370" s="138">
        <f t="shared" si="428"/>
        <v>180</v>
      </c>
      <c r="N370" s="67"/>
      <c r="O370" s="67"/>
      <c r="P370" s="67"/>
      <c r="Q370" s="67"/>
      <c r="R370" s="67"/>
      <c r="S370" s="67"/>
      <c r="T370" s="67"/>
      <c r="U370" s="67"/>
      <c r="V370" s="67"/>
      <c r="W370" s="67"/>
      <c r="X370" s="114" t="str">
        <f t="shared" si="429"/>
        <v> </v>
      </c>
      <c r="Y370" s="114">
        <f t="shared" si="430"/>
        <v>3</v>
      </c>
      <c r="Z370" s="114" t="str">
        <f t="shared" si="431"/>
        <v> </v>
      </c>
      <c r="AA370" s="114" t="str">
        <f t="shared" si="432"/>
        <v> </v>
      </c>
      <c r="AB370" s="114" t="str">
        <f t="shared" si="433"/>
        <v> </v>
      </c>
      <c r="AC370" s="85"/>
      <c r="AG370" s="86"/>
    </row>
    <row r="371" ht="12.75" customHeight="1">
      <c r="A371" s="1"/>
      <c r="B371" s="115"/>
      <c r="C371" s="122" t="s">
        <v>113</v>
      </c>
      <c r="D371" s="117">
        <v>0.7</v>
      </c>
      <c r="E371" s="118">
        <v>3.0</v>
      </c>
      <c r="F371" s="119">
        <v>1.0</v>
      </c>
      <c r="G371" s="120">
        <f>'Start Here'!$F$23*D371</f>
        <v>70</v>
      </c>
      <c r="H371" s="138"/>
      <c r="I371" s="165"/>
      <c r="J371" s="166"/>
      <c r="K371" s="165"/>
      <c r="L371" s="166">
        <f t="shared" si="427"/>
        <v>3</v>
      </c>
      <c r="M371" s="138">
        <f t="shared" si="428"/>
        <v>210</v>
      </c>
      <c r="N371" s="67"/>
      <c r="O371" s="67"/>
      <c r="P371" s="67"/>
      <c r="Q371" s="67"/>
      <c r="R371" s="67"/>
      <c r="S371" s="67"/>
      <c r="T371" s="67"/>
      <c r="U371" s="67"/>
      <c r="V371" s="67"/>
      <c r="W371" s="67"/>
      <c r="X371" s="114" t="str">
        <f t="shared" si="429"/>
        <v> </v>
      </c>
      <c r="Y371" s="114" t="str">
        <f t="shared" si="430"/>
        <v> </v>
      </c>
      <c r="Z371" s="114">
        <f t="shared" si="431"/>
        <v>3</v>
      </c>
      <c r="AA371" s="114" t="str">
        <f t="shared" si="432"/>
        <v> </v>
      </c>
      <c r="AB371" s="114" t="str">
        <f t="shared" si="433"/>
        <v> </v>
      </c>
      <c r="AC371" s="85"/>
      <c r="AG371" s="86"/>
    </row>
    <row r="372" ht="12.75" customHeight="1">
      <c r="A372" s="1"/>
      <c r="B372" s="115"/>
      <c r="C372" s="122" t="s">
        <v>113</v>
      </c>
      <c r="D372" s="117">
        <v>0.75</v>
      </c>
      <c r="E372" s="118">
        <v>3.0</v>
      </c>
      <c r="F372" s="119">
        <v>4.0</v>
      </c>
      <c r="G372" s="120">
        <f>'Start Here'!$F$23*D372</f>
        <v>75</v>
      </c>
      <c r="H372" s="138"/>
      <c r="I372" s="165"/>
      <c r="J372" s="166"/>
      <c r="K372" s="165"/>
      <c r="L372" s="166">
        <f t="shared" si="427"/>
        <v>12</v>
      </c>
      <c r="M372" s="138">
        <f t="shared" si="428"/>
        <v>900</v>
      </c>
      <c r="N372" s="67"/>
      <c r="O372" s="67"/>
      <c r="P372" s="67"/>
      <c r="Q372" s="67"/>
      <c r="R372" s="67"/>
      <c r="S372" s="67"/>
      <c r="T372" s="67"/>
      <c r="U372" s="67"/>
      <c r="V372" s="67"/>
      <c r="W372" s="67"/>
      <c r="X372" s="114" t="str">
        <f t="shared" si="429"/>
        <v> </v>
      </c>
      <c r="Y372" s="114" t="str">
        <f t="shared" si="430"/>
        <v> </v>
      </c>
      <c r="Z372" s="114">
        <f t="shared" si="431"/>
        <v>12</v>
      </c>
      <c r="AA372" s="114" t="str">
        <f t="shared" si="432"/>
        <v> </v>
      </c>
      <c r="AB372" s="114" t="str">
        <f t="shared" si="433"/>
        <v> </v>
      </c>
      <c r="AC372" s="85"/>
      <c r="AG372" s="86"/>
    </row>
    <row r="373" ht="12.75" customHeight="1">
      <c r="A373" s="1"/>
      <c r="B373" s="87">
        <v>2.0</v>
      </c>
      <c r="C373" s="88" t="s">
        <v>45</v>
      </c>
      <c r="D373" s="89">
        <v>0.5</v>
      </c>
      <c r="E373" s="90">
        <v>4.0</v>
      </c>
      <c r="F373" s="91">
        <v>1.0</v>
      </c>
      <c r="G373" s="92">
        <f>'Start Here'!$F$22*D373</f>
        <v>50</v>
      </c>
      <c r="H373" s="138"/>
      <c r="I373" s="165"/>
      <c r="J373" s="166">
        <f t="shared" ref="J373:J375" si="434">E373*F373</f>
        <v>4</v>
      </c>
      <c r="K373" s="165">
        <f t="shared" ref="K373:K375" si="435">G373*J373</f>
        <v>200</v>
      </c>
      <c r="L373" s="166"/>
      <c r="M373" s="138"/>
      <c r="N373" s="67"/>
      <c r="O373" s="67"/>
      <c r="P373" s="67"/>
      <c r="Q373" s="67"/>
      <c r="R373" s="67"/>
      <c r="S373" s="93">
        <f t="shared" ref="S373:S375" si="436">IF(ISNUMBER(SEARCH("bench",$C373)),IF($D373&gt;=0.5,IF($D373&lt;0.6,$E373*$F373," ")," ")," ")</f>
        <v>4</v>
      </c>
      <c r="T373" s="93" t="str">
        <f t="shared" ref="T373:T375" si="437">IF(ISNUMBER(SEARCH("bench",$C373)),IF($D373&gt;=0.6,IF($D373&lt;0.7,$E373*$F373," ")," ")," ")</f>
        <v> </v>
      </c>
      <c r="U373" s="93" t="str">
        <f t="shared" ref="U373:U375" si="438">IF(ISNUMBER(SEARCH("bench",$C373)),IF($D373&gt;=0.7,IF($D373&lt;0.8,$E373*$F373," ")," ")," ")</f>
        <v> </v>
      </c>
      <c r="V373" s="93" t="str">
        <f t="shared" ref="V373:V375" si="439">IF(ISNUMBER(SEARCH("bench",$C373)),IF($D373&gt;=0.8,IF($D373&lt;0.9,$E373*$F373," ")," ")," ")</f>
        <v> </v>
      </c>
      <c r="W373" s="93" t="str">
        <f t="shared" ref="W373:W375" si="440">IF(ISNUMBER(SEARCH("bench",$C373)),IF($D373&gt;=0.9,$E373*$F373," ")," ")</f>
        <v> </v>
      </c>
      <c r="X373" s="67"/>
      <c r="Y373" s="67"/>
      <c r="Z373" s="67"/>
      <c r="AA373" s="67"/>
      <c r="AB373" s="67"/>
      <c r="AC373" s="85"/>
      <c r="AG373" s="86"/>
    </row>
    <row r="374" ht="12.75" customHeight="1">
      <c r="A374" s="1"/>
      <c r="B374" s="87"/>
      <c r="C374" s="94" t="s">
        <v>45</v>
      </c>
      <c r="D374" s="89">
        <v>0.6</v>
      </c>
      <c r="E374" s="90">
        <v>4.0</v>
      </c>
      <c r="F374" s="91">
        <v>1.0</v>
      </c>
      <c r="G374" s="92">
        <f>'Start Here'!$F$22*D374</f>
        <v>60</v>
      </c>
      <c r="H374" s="138"/>
      <c r="I374" s="165"/>
      <c r="J374" s="166">
        <f t="shared" si="434"/>
        <v>4</v>
      </c>
      <c r="K374" s="165">
        <f t="shared" si="435"/>
        <v>240</v>
      </c>
      <c r="L374" s="166"/>
      <c r="M374" s="138"/>
      <c r="N374" s="67"/>
      <c r="O374" s="67"/>
      <c r="P374" s="67"/>
      <c r="Q374" s="67"/>
      <c r="R374" s="67"/>
      <c r="S374" s="93" t="str">
        <f t="shared" si="436"/>
        <v> </v>
      </c>
      <c r="T374" s="93">
        <f t="shared" si="437"/>
        <v>4</v>
      </c>
      <c r="U374" s="93" t="str">
        <f t="shared" si="438"/>
        <v> </v>
      </c>
      <c r="V374" s="93" t="str">
        <f t="shared" si="439"/>
        <v> </v>
      </c>
      <c r="W374" s="93" t="str">
        <f t="shared" si="440"/>
        <v> </v>
      </c>
      <c r="X374" s="67"/>
      <c r="Y374" s="67"/>
      <c r="Z374" s="67"/>
      <c r="AA374" s="67"/>
      <c r="AB374" s="67"/>
      <c r="AC374" s="85"/>
      <c r="AG374" s="86"/>
    </row>
    <row r="375" ht="12.75" customHeight="1">
      <c r="A375" s="1"/>
      <c r="B375" s="87"/>
      <c r="C375" s="94" t="s">
        <v>45</v>
      </c>
      <c r="D375" s="89">
        <v>0.7</v>
      </c>
      <c r="E375" s="90">
        <v>4.0</v>
      </c>
      <c r="F375" s="91">
        <v>4.0</v>
      </c>
      <c r="G375" s="92">
        <f>'Start Here'!$F$22*D375</f>
        <v>70</v>
      </c>
      <c r="H375" s="138"/>
      <c r="I375" s="165"/>
      <c r="J375" s="166">
        <f t="shared" si="434"/>
        <v>16</v>
      </c>
      <c r="K375" s="165">
        <f t="shared" si="435"/>
        <v>1120</v>
      </c>
      <c r="L375" s="166"/>
      <c r="M375" s="138"/>
      <c r="N375" s="67"/>
      <c r="O375" s="67"/>
      <c r="P375" s="67"/>
      <c r="Q375" s="67"/>
      <c r="R375" s="67"/>
      <c r="S375" s="93" t="str">
        <f t="shared" si="436"/>
        <v> </v>
      </c>
      <c r="T375" s="93" t="str">
        <f t="shared" si="437"/>
        <v> </v>
      </c>
      <c r="U375" s="93">
        <f t="shared" si="438"/>
        <v>16</v>
      </c>
      <c r="V375" s="93" t="str">
        <f t="shared" si="439"/>
        <v> </v>
      </c>
      <c r="W375" s="93" t="str">
        <f t="shared" si="440"/>
        <v> </v>
      </c>
      <c r="X375" s="67"/>
      <c r="Y375" s="67"/>
      <c r="Z375" s="67"/>
      <c r="AA375" s="67"/>
      <c r="AB375" s="67"/>
      <c r="AC375" s="85"/>
      <c r="AG375" s="86"/>
    </row>
    <row r="376" ht="12.75" customHeight="1">
      <c r="A376" s="1"/>
      <c r="B376" s="115">
        <v>3.0</v>
      </c>
      <c r="C376" s="121" t="s">
        <v>89</v>
      </c>
      <c r="D376" s="117">
        <v>0.5</v>
      </c>
      <c r="E376" s="118">
        <v>3.0</v>
      </c>
      <c r="F376" s="119">
        <v>1.0</v>
      </c>
      <c r="G376" s="120">
        <f>'Start Here'!$F$23*D376</f>
        <v>50</v>
      </c>
      <c r="H376" s="138"/>
      <c r="I376" s="165"/>
      <c r="J376" s="166"/>
      <c r="K376" s="165"/>
      <c r="L376" s="166">
        <f t="shared" ref="L376:L379" si="441">E376*F376</f>
        <v>3</v>
      </c>
      <c r="M376" s="138">
        <f t="shared" ref="M376:M379" si="442">G376*L376</f>
        <v>150</v>
      </c>
      <c r="N376" s="67"/>
      <c r="O376" s="67"/>
      <c r="P376" s="67"/>
      <c r="Q376" s="67"/>
      <c r="R376" s="67"/>
      <c r="S376" s="67"/>
      <c r="T376" s="67"/>
      <c r="U376" s="67"/>
      <c r="V376" s="67"/>
      <c r="W376" s="67"/>
      <c r="X376" s="114">
        <f t="shared" ref="X376:X379" si="443">IF(ISNUMBER(SEARCH("deadlift",$C376)),IF($D376&gt;=0.5,IF($D376&lt;0.6,$E376*$F376," ")," ")," ")</f>
        <v>3</v>
      </c>
      <c r="Y376" s="114" t="str">
        <f t="shared" ref="Y376:Y379" si="444">IF(ISNUMBER(SEARCH("deadlift",$C376)),IF($D376&gt;=0.6,IF($D376&lt;0.7,$E376*$F376," ")," ")," ")</f>
        <v> </v>
      </c>
      <c r="Z376" s="114" t="str">
        <f t="shared" ref="Z376:Z379" si="445">IF(ISNUMBER(SEARCH("deadlift",$C376)),IF($D376&gt;=0.7,IF($D376&lt;0.8,$E376*$F376," ")," ")," ")</f>
        <v> </v>
      </c>
      <c r="AA376" s="114" t="str">
        <f t="shared" ref="AA376:AA379" si="446">IF(ISNUMBER(SEARCH("deadlift",$C376)),IF($D376&gt;=0.8,IF($D376&lt;0.9,$E376*$F376," ")," ")," ")</f>
        <v> </v>
      </c>
      <c r="AB376" s="114" t="str">
        <f t="shared" ref="AB376:AB379" si="447">IF(ISNUMBER(SEARCH("deadlift",$C376)),IF($D376&gt;=0.9,$E376*$F376," ")," ")</f>
        <v> </v>
      </c>
      <c r="AC376" s="85"/>
      <c r="AG376" s="86"/>
    </row>
    <row r="377" ht="12.75" customHeight="1">
      <c r="A377" s="1"/>
      <c r="B377" s="115"/>
      <c r="C377" s="122" t="s">
        <v>89</v>
      </c>
      <c r="D377" s="117">
        <v>0.6</v>
      </c>
      <c r="E377" s="118">
        <v>3.0</v>
      </c>
      <c r="F377" s="119">
        <v>1.0</v>
      </c>
      <c r="G377" s="120">
        <f>'Start Here'!$F$23*D377</f>
        <v>60</v>
      </c>
      <c r="H377" s="138"/>
      <c r="I377" s="165"/>
      <c r="J377" s="166"/>
      <c r="K377" s="165"/>
      <c r="L377" s="166">
        <f t="shared" si="441"/>
        <v>3</v>
      </c>
      <c r="M377" s="138">
        <f t="shared" si="442"/>
        <v>180</v>
      </c>
      <c r="N377" s="67"/>
      <c r="O377" s="67"/>
      <c r="P377" s="67"/>
      <c r="Q377" s="67"/>
      <c r="R377" s="67"/>
      <c r="S377" s="67"/>
      <c r="T377" s="67"/>
      <c r="U377" s="67"/>
      <c r="V377" s="67"/>
      <c r="W377" s="67"/>
      <c r="X377" s="114" t="str">
        <f t="shared" si="443"/>
        <v> </v>
      </c>
      <c r="Y377" s="114">
        <f t="shared" si="444"/>
        <v>3</v>
      </c>
      <c r="Z377" s="114" t="str">
        <f t="shared" si="445"/>
        <v> </v>
      </c>
      <c r="AA377" s="114" t="str">
        <f t="shared" si="446"/>
        <v> </v>
      </c>
      <c r="AB377" s="114" t="str">
        <f t="shared" si="447"/>
        <v> </v>
      </c>
      <c r="AC377" s="85"/>
      <c r="AG377" s="86"/>
    </row>
    <row r="378" ht="12.75" customHeight="1">
      <c r="A378" s="1"/>
      <c r="B378" s="115"/>
      <c r="C378" s="122" t="s">
        <v>89</v>
      </c>
      <c r="D378" s="117">
        <v>0.7</v>
      </c>
      <c r="E378" s="118">
        <v>3.0</v>
      </c>
      <c r="F378" s="119">
        <v>1.0</v>
      </c>
      <c r="G378" s="120">
        <f>'Start Here'!$F$23*D378</f>
        <v>70</v>
      </c>
      <c r="H378" s="138"/>
      <c r="I378" s="165"/>
      <c r="J378" s="166"/>
      <c r="K378" s="165"/>
      <c r="L378" s="166">
        <f t="shared" si="441"/>
        <v>3</v>
      </c>
      <c r="M378" s="138">
        <f t="shared" si="442"/>
        <v>210</v>
      </c>
      <c r="N378" s="67"/>
      <c r="O378" s="67"/>
      <c r="P378" s="67"/>
      <c r="Q378" s="67"/>
      <c r="R378" s="67"/>
      <c r="S378" s="67"/>
      <c r="T378" s="67"/>
      <c r="U378" s="67"/>
      <c r="V378" s="67"/>
      <c r="W378" s="67"/>
      <c r="X378" s="114" t="str">
        <f t="shared" si="443"/>
        <v> </v>
      </c>
      <c r="Y378" s="114" t="str">
        <f t="shared" si="444"/>
        <v> </v>
      </c>
      <c r="Z378" s="114">
        <f t="shared" si="445"/>
        <v>3</v>
      </c>
      <c r="AA378" s="114" t="str">
        <f t="shared" si="446"/>
        <v> </v>
      </c>
      <c r="AB378" s="114" t="str">
        <f t="shared" si="447"/>
        <v> </v>
      </c>
      <c r="AC378" s="85"/>
      <c r="AG378" s="86"/>
    </row>
    <row r="379" ht="12.75" customHeight="1">
      <c r="A379" s="1"/>
      <c r="B379" s="115"/>
      <c r="C379" s="122" t="s">
        <v>89</v>
      </c>
      <c r="D379" s="117">
        <v>0.75</v>
      </c>
      <c r="E379" s="118">
        <v>3.0</v>
      </c>
      <c r="F379" s="119">
        <v>4.0</v>
      </c>
      <c r="G379" s="120">
        <f>'Start Here'!$F$23*D379</f>
        <v>75</v>
      </c>
      <c r="H379" s="138"/>
      <c r="I379" s="165"/>
      <c r="J379" s="166"/>
      <c r="K379" s="165"/>
      <c r="L379" s="166">
        <f t="shared" si="441"/>
        <v>12</v>
      </c>
      <c r="M379" s="138">
        <f t="shared" si="442"/>
        <v>900</v>
      </c>
      <c r="N379" s="67"/>
      <c r="O379" s="67"/>
      <c r="P379" s="67"/>
      <c r="Q379" s="67"/>
      <c r="R379" s="67"/>
      <c r="S379" s="67"/>
      <c r="T379" s="67"/>
      <c r="U379" s="67"/>
      <c r="V379" s="67"/>
      <c r="W379" s="67"/>
      <c r="X379" s="114" t="str">
        <f t="shared" si="443"/>
        <v> </v>
      </c>
      <c r="Y379" s="114" t="str">
        <f t="shared" si="444"/>
        <v> </v>
      </c>
      <c r="Z379" s="114">
        <f t="shared" si="445"/>
        <v>12</v>
      </c>
      <c r="AA379" s="114" t="str">
        <f t="shared" si="446"/>
        <v> </v>
      </c>
      <c r="AB379" s="114" t="str">
        <f t="shared" si="447"/>
        <v> </v>
      </c>
      <c r="AC379" s="85"/>
      <c r="AG379" s="86"/>
    </row>
    <row r="380" ht="12.75" customHeight="1">
      <c r="A380" s="1"/>
      <c r="B380" s="96">
        <v>4.0</v>
      </c>
      <c r="C380" s="167" t="s">
        <v>85</v>
      </c>
      <c r="D380" s="168"/>
      <c r="E380" s="98">
        <v>4.0</v>
      </c>
      <c r="F380" s="169">
        <v>5.0</v>
      </c>
      <c r="G380" s="170"/>
      <c r="H380" s="138"/>
      <c r="I380" s="165"/>
      <c r="J380" s="166"/>
      <c r="K380" s="165"/>
      <c r="L380" s="166"/>
      <c r="M380" s="138"/>
      <c r="N380" s="67"/>
      <c r="O380" s="67"/>
      <c r="P380" s="67"/>
      <c r="Q380" s="67"/>
      <c r="R380" s="67"/>
      <c r="S380" s="67"/>
      <c r="T380" s="67"/>
      <c r="U380" s="67"/>
      <c r="V380" s="67"/>
      <c r="W380" s="67"/>
      <c r="X380" s="67"/>
      <c r="Y380" s="67"/>
      <c r="Z380" s="67"/>
      <c r="AA380" s="67"/>
      <c r="AB380" s="67"/>
      <c r="AC380" s="85"/>
      <c r="AG380" s="86"/>
    </row>
    <row r="381" ht="12.75" customHeight="1">
      <c r="A381" s="1"/>
      <c r="B381" s="135">
        <v>5.0</v>
      </c>
      <c r="C381" s="136" t="s">
        <v>95</v>
      </c>
      <c r="D381" s="137"/>
      <c r="E381" s="68">
        <v>6.0</v>
      </c>
      <c r="F381" s="138">
        <v>5.0</v>
      </c>
      <c r="G381" s="139"/>
      <c r="H381" s="196"/>
      <c r="I381" s="197"/>
      <c r="J381" s="198"/>
      <c r="K381" s="197"/>
      <c r="L381" s="198"/>
      <c r="M381" s="196"/>
      <c r="N381" s="67"/>
      <c r="O381" s="67"/>
      <c r="P381" s="67"/>
      <c r="Q381" s="67"/>
      <c r="R381" s="67"/>
      <c r="S381" s="67"/>
      <c r="T381" s="67"/>
      <c r="U381" s="67"/>
      <c r="V381" s="67"/>
      <c r="W381" s="67"/>
      <c r="X381" s="67"/>
      <c r="Y381" s="67"/>
      <c r="Z381" s="67"/>
      <c r="AA381" s="67"/>
      <c r="AB381" s="67"/>
      <c r="AC381" s="85"/>
      <c r="AG381" s="86"/>
    </row>
    <row r="382" ht="12.75" customHeight="1">
      <c r="A382" s="1"/>
      <c r="B382" s="100">
        <v>6.0</v>
      </c>
      <c r="C382" s="171" t="s">
        <v>57</v>
      </c>
      <c r="D382" s="172"/>
      <c r="E382" s="102">
        <v>8.0</v>
      </c>
      <c r="F382" s="173">
        <v>4.0</v>
      </c>
      <c r="G382" s="174"/>
      <c r="H382" s="196"/>
      <c r="I382" s="197"/>
      <c r="J382" s="198"/>
      <c r="K382" s="197"/>
      <c r="L382" s="198"/>
      <c r="M382" s="196"/>
      <c r="N382" s="67"/>
      <c r="O382" s="67"/>
      <c r="P382" s="67"/>
      <c r="Q382" s="67"/>
      <c r="R382" s="67"/>
      <c r="S382" s="67"/>
      <c r="T382" s="67"/>
      <c r="U382" s="67"/>
      <c r="V382" s="67"/>
      <c r="W382" s="67"/>
      <c r="X382" s="67"/>
      <c r="Y382" s="67"/>
      <c r="Z382" s="67"/>
      <c r="AA382" s="67"/>
      <c r="AB382" s="67"/>
      <c r="AC382" s="104"/>
      <c r="AD382" s="105"/>
      <c r="AE382" s="105"/>
      <c r="AF382" s="105"/>
      <c r="AG382" s="106"/>
    </row>
    <row r="383" ht="12.75" customHeight="1">
      <c r="A383" s="181"/>
      <c r="B383" s="181"/>
      <c r="C383" s="199"/>
      <c r="D383" s="200"/>
      <c r="E383" s="201"/>
      <c r="F383" s="201"/>
      <c r="G383" s="201"/>
      <c r="H383" s="201">
        <f t="shared" ref="H383:M383" si="448">SUM(H189:H245)</f>
        <v>42</v>
      </c>
      <c r="I383" s="201">
        <f t="shared" si="448"/>
        <v>2840</v>
      </c>
      <c r="J383" s="201">
        <f t="shared" si="448"/>
        <v>84</v>
      </c>
      <c r="K383" s="201">
        <f t="shared" si="448"/>
        <v>6100</v>
      </c>
      <c r="L383" s="201">
        <f t="shared" si="448"/>
        <v>63</v>
      </c>
      <c r="M383" s="201">
        <f t="shared" si="448"/>
        <v>4350</v>
      </c>
      <c r="N383" s="2">
        <f t="shared" ref="N383:AB383" si="449">SUM(N322:N382)</f>
        <v>15</v>
      </c>
      <c r="O383" s="2">
        <f t="shared" si="449"/>
        <v>13</v>
      </c>
      <c r="P383" s="2">
        <f t="shared" si="449"/>
        <v>26</v>
      </c>
      <c r="Q383" s="2">
        <f t="shared" si="449"/>
        <v>18</v>
      </c>
      <c r="R383" s="2">
        <f t="shared" si="449"/>
        <v>0</v>
      </c>
      <c r="S383" s="202">
        <f t="shared" si="449"/>
        <v>19</v>
      </c>
      <c r="T383" s="202">
        <f t="shared" si="449"/>
        <v>17</v>
      </c>
      <c r="U383" s="202">
        <f t="shared" si="449"/>
        <v>72</v>
      </c>
      <c r="V383" s="202">
        <f t="shared" si="449"/>
        <v>10</v>
      </c>
      <c r="W383" s="202">
        <f t="shared" si="449"/>
        <v>0</v>
      </c>
      <c r="X383" s="202">
        <f t="shared" si="449"/>
        <v>13</v>
      </c>
      <c r="Y383" s="202">
        <f t="shared" si="449"/>
        <v>19</v>
      </c>
      <c r="Z383" s="202">
        <f t="shared" si="449"/>
        <v>33</v>
      </c>
      <c r="AA383" s="202">
        <f t="shared" si="449"/>
        <v>10</v>
      </c>
      <c r="AB383" s="202">
        <f t="shared" si="449"/>
        <v>0</v>
      </c>
      <c r="AC383" s="181"/>
      <c r="AD383" s="181"/>
      <c r="AE383" s="181"/>
      <c r="AF383" s="181"/>
      <c r="AG383" s="181"/>
    </row>
    <row r="384" ht="12.75" customHeight="1">
      <c r="A384" s="1"/>
      <c r="B384" s="146"/>
      <c r="C384" s="150"/>
      <c r="D384" s="151"/>
      <c r="E384" s="24"/>
      <c r="F384" s="24"/>
      <c r="G384" s="24"/>
      <c r="H384" s="24"/>
      <c r="I384" s="24"/>
      <c r="J384" s="24"/>
      <c r="K384" s="24"/>
      <c r="L384" s="24"/>
      <c r="M384" s="24"/>
      <c r="N384" s="1"/>
      <c r="O384" s="1"/>
      <c r="P384" s="1"/>
      <c r="Q384" s="1"/>
      <c r="R384" s="1"/>
      <c r="S384" s="1"/>
      <c r="T384" s="1"/>
      <c r="U384" s="1"/>
      <c r="V384" s="1"/>
      <c r="W384" s="1"/>
      <c r="X384" s="1"/>
      <c r="Y384" s="1"/>
      <c r="Z384" s="1"/>
      <c r="AA384" s="1"/>
      <c r="AB384" s="1"/>
    </row>
    <row r="385" ht="12.75" customHeight="1">
      <c r="A385" s="1"/>
      <c r="B385" s="146"/>
      <c r="C385" s="150"/>
      <c r="D385" s="151"/>
      <c r="E385" s="24"/>
      <c r="F385" s="24"/>
      <c r="G385" s="24"/>
      <c r="H385" s="24"/>
      <c r="I385" s="24"/>
      <c r="J385" s="24"/>
      <c r="K385" s="24"/>
      <c r="L385" s="24"/>
      <c r="M385" s="24"/>
      <c r="N385" s="1"/>
      <c r="O385" s="1"/>
      <c r="P385" s="1"/>
      <c r="Q385" s="1"/>
      <c r="R385" s="1"/>
      <c r="S385" s="1"/>
      <c r="T385" s="1"/>
      <c r="U385" s="1"/>
      <c r="V385" s="1"/>
      <c r="W385" s="1"/>
      <c r="X385" s="1"/>
      <c r="Y385" s="1"/>
      <c r="Z385" s="1"/>
      <c r="AA385" s="1"/>
      <c r="AB385" s="1"/>
    </row>
    <row r="386" ht="12.75" customHeight="1">
      <c r="A386" s="1"/>
      <c r="B386" s="146"/>
      <c r="C386" s="150"/>
      <c r="D386" s="151"/>
      <c r="E386" s="24"/>
      <c r="F386" s="24"/>
      <c r="G386" s="24"/>
      <c r="H386" s="203">
        <f t="shared" ref="H386:AB386" si="450">SUM(H383+H247+H319+H186+H124+H66)</f>
        <v>373</v>
      </c>
      <c r="I386" s="203">
        <f t="shared" si="450"/>
        <v>24970</v>
      </c>
      <c r="J386" s="203">
        <f t="shared" si="450"/>
        <v>598</v>
      </c>
      <c r="K386" s="203">
        <f t="shared" si="450"/>
        <v>41450</v>
      </c>
      <c r="L386" s="203">
        <f t="shared" si="450"/>
        <v>382</v>
      </c>
      <c r="M386" s="203">
        <f t="shared" si="450"/>
        <v>26640</v>
      </c>
      <c r="N386" s="2">
        <f t="shared" si="450"/>
        <v>76</v>
      </c>
      <c r="O386" s="2">
        <f t="shared" si="450"/>
        <v>67</v>
      </c>
      <c r="P386" s="2">
        <f t="shared" si="450"/>
        <v>186</v>
      </c>
      <c r="Q386" s="2">
        <f t="shared" si="450"/>
        <v>74</v>
      </c>
      <c r="R386" s="2">
        <f t="shared" si="450"/>
        <v>0</v>
      </c>
      <c r="S386" s="203">
        <f t="shared" si="450"/>
        <v>126</v>
      </c>
      <c r="T386" s="203">
        <f t="shared" si="450"/>
        <v>111</v>
      </c>
      <c r="U386" s="203">
        <f t="shared" si="450"/>
        <v>226</v>
      </c>
      <c r="V386" s="203">
        <f t="shared" si="450"/>
        <v>156</v>
      </c>
      <c r="W386" s="203">
        <f t="shared" si="450"/>
        <v>13</v>
      </c>
      <c r="X386" s="203">
        <f t="shared" si="450"/>
        <v>54</v>
      </c>
      <c r="Y386" s="203">
        <f t="shared" si="450"/>
        <v>70</v>
      </c>
      <c r="Z386" s="203">
        <f t="shared" si="450"/>
        <v>171</v>
      </c>
      <c r="AA386" s="203">
        <f t="shared" si="450"/>
        <v>88</v>
      </c>
      <c r="AB386" s="203">
        <f t="shared" si="450"/>
        <v>0</v>
      </c>
    </row>
    <row r="387" ht="12.75" customHeight="1">
      <c r="A387" s="1"/>
      <c r="B387" s="146"/>
      <c r="C387" s="150"/>
      <c r="D387" s="151"/>
      <c r="E387" s="24"/>
      <c r="F387" s="24"/>
      <c r="G387" s="24"/>
      <c r="H387" s="24"/>
      <c r="I387" s="24"/>
      <c r="J387" s="24"/>
      <c r="K387" s="24"/>
      <c r="L387" s="24"/>
      <c r="M387" s="24"/>
      <c r="N387" s="1"/>
      <c r="O387" s="1"/>
      <c r="P387" s="1"/>
      <c r="Q387" s="1"/>
      <c r="R387" s="1"/>
      <c r="S387" s="1"/>
      <c r="T387" s="1"/>
      <c r="U387" s="1"/>
      <c r="V387" s="1"/>
      <c r="W387" s="1"/>
      <c r="X387" s="1"/>
      <c r="Y387" s="1"/>
      <c r="Z387" s="1"/>
      <c r="AA387" s="1"/>
      <c r="AB387" s="1"/>
    </row>
    <row r="388" ht="12.75" customHeight="1">
      <c r="A388" s="1"/>
      <c r="B388" s="146"/>
      <c r="C388" s="150"/>
      <c r="D388" s="151"/>
      <c r="E388" s="24"/>
      <c r="F388" s="24"/>
      <c r="G388" s="24"/>
      <c r="H388" s="24"/>
      <c r="I388" s="24"/>
      <c r="J388" s="24"/>
      <c r="K388" s="24"/>
      <c r="L388" s="24"/>
      <c r="M388" s="24"/>
      <c r="N388" s="155"/>
      <c r="O388" s="155"/>
      <c r="P388" s="155"/>
      <c r="Q388" s="155"/>
      <c r="R388" s="155"/>
      <c r="S388" s="1"/>
      <c r="T388" s="1"/>
      <c r="U388" s="1"/>
      <c r="V388" s="1"/>
      <c r="W388" s="1"/>
      <c r="X388" s="1"/>
      <c r="Y388" s="1"/>
      <c r="Z388" s="1"/>
      <c r="AA388" s="1"/>
      <c r="AB388" s="1"/>
    </row>
    <row r="389" ht="12.75" customHeight="1">
      <c r="A389" s="1"/>
      <c r="B389" s="146"/>
      <c r="C389" s="150"/>
      <c r="D389" s="151"/>
      <c r="E389" s="24"/>
      <c r="F389" s="24"/>
      <c r="G389" s="24"/>
      <c r="H389" s="24"/>
      <c r="I389" s="24"/>
      <c r="J389" s="24"/>
      <c r="K389" s="24"/>
      <c r="L389" s="24"/>
      <c r="M389" s="24"/>
      <c r="N389" s="155"/>
      <c r="O389" s="155"/>
      <c r="P389" s="155"/>
      <c r="Q389" s="155"/>
      <c r="R389" s="155"/>
      <c r="S389" s="1"/>
      <c r="T389" s="1"/>
      <c r="U389" s="1"/>
      <c r="V389" s="1"/>
      <c r="W389" s="1"/>
      <c r="X389" s="1"/>
      <c r="Y389" s="1"/>
      <c r="Z389" s="1"/>
      <c r="AA389" s="1"/>
      <c r="AB389" s="1"/>
    </row>
    <row r="390" ht="12.75" customHeight="1">
      <c r="A390" s="1"/>
      <c r="B390" s="146"/>
      <c r="C390" s="150"/>
      <c r="D390" s="151"/>
      <c r="E390" s="24"/>
      <c r="F390" s="24"/>
      <c r="G390" s="24"/>
      <c r="H390" s="24"/>
      <c r="I390" s="24"/>
      <c r="J390" s="24"/>
      <c r="K390" s="24"/>
      <c r="L390" s="24"/>
      <c r="M390" s="24"/>
      <c r="N390" s="155"/>
      <c r="O390" s="155"/>
      <c r="P390" s="155"/>
      <c r="Q390" s="155"/>
      <c r="R390" s="155"/>
      <c r="S390" s="1"/>
      <c r="T390" s="1"/>
      <c r="U390" s="1"/>
      <c r="V390" s="1"/>
      <c r="W390" s="1"/>
      <c r="X390" s="1"/>
      <c r="Y390" s="1"/>
      <c r="Z390" s="1"/>
      <c r="AA390" s="1"/>
      <c r="AB390" s="1"/>
    </row>
    <row r="391" ht="12.75" customHeight="1">
      <c r="A391" s="1"/>
      <c r="B391" s="146"/>
      <c r="C391" s="150"/>
      <c r="D391" s="151"/>
      <c r="E391" s="24"/>
      <c r="F391" s="24"/>
      <c r="G391" s="24"/>
      <c r="H391" s="24"/>
      <c r="I391" s="24"/>
      <c r="J391" s="24"/>
      <c r="K391" s="24"/>
      <c r="L391" s="24"/>
      <c r="M391" s="24"/>
      <c r="N391" s="155"/>
      <c r="O391" s="155"/>
      <c r="P391" s="155"/>
      <c r="Q391" s="155"/>
      <c r="R391" s="155"/>
      <c r="S391" s="1"/>
      <c r="T391" s="1"/>
      <c r="U391" s="1"/>
      <c r="V391" s="1"/>
      <c r="W391" s="1"/>
      <c r="X391" s="1"/>
      <c r="Y391" s="1"/>
      <c r="Z391" s="1"/>
      <c r="AA391" s="1"/>
      <c r="AB391" s="1"/>
    </row>
    <row r="392" ht="12.75" customHeight="1">
      <c r="A392" s="1"/>
      <c r="B392" s="146"/>
      <c r="C392" s="150"/>
      <c r="D392" s="151"/>
      <c r="E392" s="24"/>
      <c r="F392" s="24"/>
      <c r="G392" s="24"/>
      <c r="H392" s="24"/>
      <c r="I392" s="24"/>
      <c r="J392" s="24"/>
      <c r="K392" s="24"/>
      <c r="L392" s="24"/>
      <c r="M392" s="24"/>
      <c r="N392" s="155"/>
      <c r="O392" s="155"/>
      <c r="P392" s="155"/>
      <c r="Q392" s="155"/>
      <c r="R392" s="155"/>
      <c r="S392" s="1"/>
      <c r="T392" s="1"/>
      <c r="U392" s="1"/>
      <c r="V392" s="1"/>
      <c r="W392" s="1"/>
      <c r="X392" s="1"/>
      <c r="Y392" s="1"/>
      <c r="Z392" s="1"/>
      <c r="AA392" s="1"/>
      <c r="AB392" s="1"/>
    </row>
    <row r="393" ht="12.75" customHeight="1">
      <c r="A393" s="1"/>
      <c r="B393" s="146"/>
      <c r="C393" s="150"/>
      <c r="D393" s="151"/>
      <c r="E393" s="24"/>
      <c r="F393" s="24"/>
      <c r="G393" s="24"/>
      <c r="H393" s="24"/>
      <c r="I393" s="24"/>
      <c r="J393" s="24"/>
      <c r="K393" s="24"/>
      <c r="L393" s="24"/>
      <c r="M393" s="24"/>
      <c r="N393" s="155"/>
      <c r="O393" s="155"/>
      <c r="P393" s="155"/>
      <c r="Q393" s="155"/>
      <c r="R393" s="155"/>
      <c r="S393" s="1"/>
      <c r="T393" s="1"/>
      <c r="U393" s="1"/>
      <c r="V393" s="1"/>
      <c r="W393" s="1"/>
      <c r="X393" s="1"/>
      <c r="Y393" s="1"/>
      <c r="Z393" s="1"/>
      <c r="AA393" s="1"/>
      <c r="AB393" s="1"/>
    </row>
    <row r="394" ht="12.75" customHeight="1">
      <c r="A394" s="1"/>
      <c r="B394" s="146"/>
      <c r="C394" s="150"/>
      <c r="D394" s="151"/>
      <c r="E394" s="24"/>
      <c r="F394" s="24"/>
      <c r="G394" s="24"/>
      <c r="H394" s="24"/>
      <c r="I394" s="24"/>
      <c r="J394" s="24"/>
      <c r="K394" s="24"/>
      <c r="L394" s="24"/>
      <c r="M394" s="24"/>
      <c r="N394" s="155"/>
      <c r="O394" s="155"/>
      <c r="P394" s="155"/>
      <c r="Q394" s="155"/>
      <c r="R394" s="155"/>
      <c r="S394" s="1"/>
      <c r="T394" s="1"/>
      <c r="U394" s="1"/>
      <c r="V394" s="1"/>
      <c r="W394" s="1"/>
      <c r="X394" s="1"/>
      <c r="Y394" s="1"/>
      <c r="Z394" s="1"/>
      <c r="AA394" s="1"/>
      <c r="AB394" s="1"/>
    </row>
    <row r="395" ht="12.75" customHeight="1">
      <c r="A395" s="1"/>
      <c r="B395" s="146"/>
      <c r="C395" s="150"/>
      <c r="D395" s="151"/>
      <c r="E395" s="24"/>
      <c r="F395" s="24"/>
      <c r="G395" s="24"/>
      <c r="H395" s="24"/>
      <c r="I395" s="24"/>
      <c r="J395" s="24"/>
      <c r="K395" s="24"/>
      <c r="L395" s="24"/>
      <c r="M395" s="24"/>
      <c r="N395" s="155"/>
      <c r="O395" s="155"/>
      <c r="P395" s="155"/>
      <c r="Q395" s="155"/>
      <c r="R395" s="155"/>
      <c r="S395" s="1"/>
      <c r="T395" s="1"/>
      <c r="U395" s="1"/>
      <c r="V395" s="1"/>
      <c r="W395" s="1"/>
      <c r="X395" s="1"/>
      <c r="Y395" s="1"/>
      <c r="Z395" s="1"/>
      <c r="AA395" s="1"/>
      <c r="AB395" s="1"/>
    </row>
    <row r="396" ht="12.75" customHeight="1">
      <c r="A396" s="1"/>
      <c r="B396" s="146"/>
      <c r="C396" s="150"/>
      <c r="D396" s="151"/>
      <c r="E396" s="24"/>
      <c r="F396" s="24"/>
      <c r="G396" s="24"/>
      <c r="H396" s="24"/>
      <c r="I396" s="24"/>
      <c r="J396" s="24"/>
      <c r="K396" s="24"/>
      <c r="L396" s="24"/>
      <c r="M396" s="24"/>
      <c r="N396" s="155"/>
      <c r="O396" s="155"/>
      <c r="P396" s="155"/>
      <c r="Q396" s="155"/>
      <c r="R396" s="155"/>
      <c r="S396" s="1"/>
      <c r="T396" s="1"/>
      <c r="U396" s="1"/>
      <c r="V396" s="1"/>
      <c r="W396" s="1"/>
      <c r="X396" s="1"/>
      <c r="Y396" s="1"/>
      <c r="Z396" s="1"/>
      <c r="AA396" s="1"/>
      <c r="AB396" s="1"/>
    </row>
    <row r="397" ht="12.75" customHeight="1">
      <c r="A397" s="1"/>
      <c r="B397" s="146"/>
      <c r="C397" s="150"/>
      <c r="D397" s="151"/>
      <c r="E397" s="24"/>
      <c r="F397" s="24"/>
      <c r="G397" s="24"/>
      <c r="H397" s="24"/>
      <c r="I397" s="24"/>
      <c r="J397" s="24"/>
      <c r="K397" s="24"/>
      <c r="L397" s="24"/>
      <c r="M397" s="24"/>
      <c r="N397" s="155"/>
      <c r="O397" s="155"/>
      <c r="P397" s="155"/>
      <c r="Q397" s="155"/>
      <c r="R397" s="155"/>
      <c r="S397" s="1"/>
      <c r="T397" s="1"/>
      <c r="U397" s="1"/>
      <c r="V397" s="1"/>
      <c r="W397" s="1"/>
      <c r="X397" s="1"/>
      <c r="Y397" s="1"/>
      <c r="Z397" s="1"/>
      <c r="AA397" s="1"/>
      <c r="AB397" s="1"/>
    </row>
    <row r="398" ht="12.75" customHeight="1">
      <c r="A398" s="1"/>
      <c r="B398" s="146"/>
      <c r="C398" s="150"/>
      <c r="D398" s="151"/>
      <c r="E398" s="24"/>
      <c r="F398" s="24"/>
      <c r="G398" s="24"/>
      <c r="H398" s="24"/>
      <c r="I398" s="24"/>
      <c r="J398" s="24"/>
      <c r="K398" s="24"/>
      <c r="L398" s="24"/>
      <c r="M398" s="24"/>
      <c r="N398" s="155"/>
      <c r="O398" s="155"/>
      <c r="P398" s="155"/>
      <c r="Q398" s="155"/>
      <c r="R398" s="155"/>
      <c r="S398" s="1"/>
      <c r="T398" s="1"/>
      <c r="U398" s="1"/>
      <c r="V398" s="1"/>
      <c r="W398" s="1"/>
      <c r="X398" s="1"/>
      <c r="Y398" s="1"/>
      <c r="Z398" s="1"/>
      <c r="AA398" s="1"/>
      <c r="AB398" s="1"/>
    </row>
    <row r="399" ht="12.75" customHeight="1">
      <c r="A399" s="1"/>
      <c r="B399" s="146"/>
      <c r="C399" s="150"/>
      <c r="D399" s="151"/>
      <c r="E399" s="24"/>
      <c r="F399" s="24"/>
      <c r="G399" s="24"/>
      <c r="H399" s="24"/>
      <c r="I399" s="24"/>
      <c r="J399" s="24"/>
      <c r="K399" s="24"/>
      <c r="L399" s="24"/>
      <c r="M399" s="24"/>
      <c r="N399" s="155"/>
      <c r="O399" s="155"/>
      <c r="P399" s="155"/>
      <c r="Q399" s="155"/>
      <c r="R399" s="155"/>
      <c r="S399" s="1"/>
      <c r="T399" s="1"/>
      <c r="U399" s="1"/>
      <c r="V399" s="1"/>
      <c r="W399" s="1"/>
      <c r="X399" s="1"/>
      <c r="Y399" s="1"/>
      <c r="Z399" s="1"/>
      <c r="AA399" s="1"/>
      <c r="AB399" s="1"/>
    </row>
    <row r="400" ht="12.75" customHeight="1">
      <c r="A400" s="1"/>
      <c r="B400" s="146"/>
      <c r="C400" s="150"/>
      <c r="D400" s="151"/>
      <c r="E400" s="24"/>
      <c r="F400" s="24"/>
      <c r="G400" s="24"/>
      <c r="H400" s="24"/>
      <c r="I400" s="24"/>
      <c r="J400" s="24"/>
      <c r="K400" s="24"/>
      <c r="L400" s="24"/>
      <c r="M400" s="24"/>
      <c r="N400" s="155"/>
      <c r="O400" s="155"/>
      <c r="P400" s="155"/>
      <c r="Q400" s="155"/>
      <c r="R400" s="155"/>
      <c r="S400" s="1"/>
      <c r="T400" s="1"/>
      <c r="U400" s="1"/>
      <c r="V400" s="1"/>
      <c r="W400" s="1"/>
      <c r="X400" s="1"/>
      <c r="Y400" s="1"/>
      <c r="Z400" s="1"/>
      <c r="AA400" s="1"/>
      <c r="AB400" s="1"/>
    </row>
    <row r="401" ht="12.75" customHeight="1">
      <c r="A401" s="1"/>
      <c r="B401" s="146"/>
      <c r="C401" s="150"/>
      <c r="D401" s="151"/>
      <c r="E401" s="24"/>
      <c r="F401" s="24"/>
      <c r="G401" s="24"/>
      <c r="H401" s="24"/>
      <c r="I401" s="24"/>
      <c r="J401" s="24"/>
      <c r="K401" s="24"/>
      <c r="L401" s="24"/>
      <c r="M401" s="24"/>
      <c r="N401" s="155"/>
      <c r="O401" s="155"/>
      <c r="P401" s="155"/>
      <c r="Q401" s="155"/>
      <c r="R401" s="155"/>
      <c r="S401" s="1"/>
      <c r="T401" s="1"/>
      <c r="U401" s="1"/>
      <c r="V401" s="1"/>
      <c r="W401" s="1"/>
      <c r="X401" s="1"/>
      <c r="Y401" s="1"/>
      <c r="Z401" s="1"/>
      <c r="AA401" s="1"/>
      <c r="AB401" s="1"/>
    </row>
    <row r="402" ht="12.75" customHeight="1">
      <c r="A402" s="1"/>
      <c r="B402" s="146"/>
      <c r="C402" s="150"/>
      <c r="D402" s="151"/>
      <c r="E402" s="24"/>
      <c r="F402" s="24"/>
      <c r="G402" s="24"/>
      <c r="H402" s="24"/>
      <c r="I402" s="24"/>
      <c r="J402" s="24"/>
      <c r="K402" s="24"/>
      <c r="L402" s="24"/>
      <c r="M402" s="24"/>
      <c r="N402" s="155"/>
      <c r="O402" s="155"/>
      <c r="P402" s="155"/>
      <c r="Q402" s="155"/>
      <c r="R402" s="155"/>
      <c r="S402" s="1"/>
      <c r="T402" s="1"/>
      <c r="U402" s="1"/>
      <c r="V402" s="1"/>
      <c r="W402" s="1"/>
      <c r="X402" s="1"/>
      <c r="Y402" s="1"/>
      <c r="Z402" s="1"/>
      <c r="AA402" s="1"/>
      <c r="AB402" s="1"/>
    </row>
    <row r="403" ht="12.75" customHeight="1">
      <c r="A403" s="1"/>
      <c r="B403" s="146"/>
      <c r="C403" s="150"/>
      <c r="D403" s="151"/>
      <c r="E403" s="24"/>
      <c r="F403" s="24"/>
      <c r="G403" s="24"/>
      <c r="H403" s="24"/>
      <c r="I403" s="24"/>
      <c r="J403" s="24"/>
      <c r="K403" s="24"/>
      <c r="L403" s="24"/>
      <c r="M403" s="24"/>
      <c r="N403" s="155"/>
      <c r="O403" s="155"/>
      <c r="P403" s="155"/>
      <c r="Q403" s="155"/>
      <c r="R403" s="155"/>
      <c r="S403" s="1"/>
      <c r="T403" s="1"/>
      <c r="U403" s="1"/>
      <c r="V403" s="1"/>
      <c r="W403" s="1"/>
      <c r="X403" s="1"/>
      <c r="Y403" s="1"/>
      <c r="Z403" s="1"/>
      <c r="AA403" s="1"/>
      <c r="AB403" s="1"/>
    </row>
    <row r="404" ht="12.75" customHeight="1">
      <c r="A404" s="1"/>
      <c r="B404" s="146"/>
      <c r="C404" s="150"/>
      <c r="D404" s="151"/>
      <c r="E404" s="24"/>
      <c r="F404" s="24"/>
      <c r="G404" s="24"/>
      <c r="H404" s="24"/>
      <c r="I404" s="24"/>
      <c r="J404" s="24"/>
      <c r="K404" s="24"/>
      <c r="L404" s="24"/>
      <c r="M404" s="24"/>
      <c r="N404" s="155"/>
      <c r="O404" s="155"/>
      <c r="P404" s="155"/>
      <c r="Q404" s="155"/>
      <c r="R404" s="155"/>
      <c r="S404" s="1"/>
      <c r="T404" s="1"/>
      <c r="U404" s="1"/>
      <c r="V404" s="1"/>
      <c r="W404" s="1"/>
      <c r="X404" s="1"/>
      <c r="Y404" s="1"/>
      <c r="Z404" s="1"/>
      <c r="AA404" s="1"/>
      <c r="AB404" s="1"/>
    </row>
    <row r="405" ht="12.75" customHeight="1">
      <c r="A405" s="1"/>
      <c r="B405" s="146"/>
      <c r="C405" s="150"/>
      <c r="D405" s="151"/>
      <c r="E405" s="24"/>
      <c r="F405" s="24"/>
      <c r="G405" s="24"/>
      <c r="H405" s="24"/>
      <c r="I405" s="24"/>
      <c r="J405" s="24"/>
      <c r="K405" s="24"/>
      <c r="L405" s="24"/>
      <c r="M405" s="24"/>
      <c r="N405" s="155"/>
      <c r="O405" s="155"/>
      <c r="P405" s="155"/>
      <c r="Q405" s="155"/>
      <c r="R405" s="155"/>
      <c r="S405" s="1"/>
      <c r="T405" s="1"/>
      <c r="U405" s="1"/>
      <c r="V405" s="1"/>
      <c r="W405" s="1"/>
      <c r="X405" s="1"/>
      <c r="Y405" s="1"/>
      <c r="Z405" s="1"/>
      <c r="AA405" s="1"/>
      <c r="AB405" s="1"/>
    </row>
    <row r="406" ht="12.75" customHeight="1">
      <c r="A406" s="1"/>
      <c r="B406" s="146"/>
      <c r="C406" s="150"/>
      <c r="D406" s="151"/>
      <c r="E406" s="24"/>
      <c r="F406" s="24"/>
      <c r="G406" s="24"/>
      <c r="H406" s="24"/>
      <c r="I406" s="24"/>
      <c r="J406" s="24"/>
      <c r="K406" s="24"/>
      <c r="L406" s="24"/>
      <c r="M406" s="24"/>
      <c r="N406" s="155"/>
      <c r="O406" s="155"/>
      <c r="P406" s="155"/>
      <c r="Q406" s="155"/>
      <c r="R406" s="155"/>
      <c r="S406" s="1"/>
      <c r="T406" s="1"/>
      <c r="U406" s="1"/>
      <c r="V406" s="1"/>
      <c r="W406" s="1"/>
      <c r="X406" s="1"/>
      <c r="Y406" s="1"/>
      <c r="Z406" s="1"/>
      <c r="AA406" s="1"/>
      <c r="AB406" s="1"/>
    </row>
    <row r="407" ht="12.75" customHeight="1">
      <c r="A407" s="1"/>
      <c r="B407" s="146"/>
      <c r="C407" s="150"/>
      <c r="D407" s="151"/>
      <c r="E407" s="24"/>
      <c r="F407" s="24"/>
      <c r="G407" s="24"/>
      <c r="H407" s="24"/>
      <c r="I407" s="24"/>
      <c r="J407" s="24"/>
      <c r="K407" s="24"/>
      <c r="L407" s="24"/>
      <c r="M407" s="24"/>
      <c r="N407" s="155"/>
      <c r="O407" s="155"/>
      <c r="P407" s="155"/>
      <c r="Q407" s="155"/>
      <c r="R407" s="155"/>
      <c r="S407" s="1"/>
      <c r="T407" s="1"/>
      <c r="U407" s="1"/>
      <c r="V407" s="1"/>
      <c r="W407" s="1"/>
      <c r="X407" s="1"/>
      <c r="Y407" s="1"/>
      <c r="Z407" s="1"/>
      <c r="AA407" s="1"/>
      <c r="AB407" s="1"/>
    </row>
    <row r="408" ht="12.75" customHeight="1">
      <c r="A408" s="1"/>
      <c r="B408" s="146"/>
      <c r="C408" s="150"/>
      <c r="D408" s="151"/>
      <c r="E408" s="24"/>
      <c r="F408" s="24"/>
      <c r="G408" s="24"/>
      <c r="H408" s="24"/>
      <c r="I408" s="24"/>
      <c r="J408" s="24"/>
      <c r="K408" s="24"/>
      <c r="L408" s="24"/>
      <c r="M408" s="24"/>
      <c r="N408" s="155"/>
      <c r="O408" s="155"/>
      <c r="P408" s="155"/>
      <c r="Q408" s="155"/>
      <c r="R408" s="155"/>
      <c r="S408" s="1"/>
      <c r="T408" s="1"/>
      <c r="U408" s="1"/>
      <c r="V408" s="1"/>
      <c r="W408" s="1"/>
      <c r="X408" s="1"/>
      <c r="Y408" s="1"/>
      <c r="Z408" s="1"/>
      <c r="AA408" s="1"/>
      <c r="AB408" s="1"/>
    </row>
    <row r="409" ht="12.75" customHeight="1">
      <c r="A409" s="1"/>
      <c r="B409" s="146"/>
      <c r="C409" s="150"/>
      <c r="D409" s="151"/>
      <c r="E409" s="24"/>
      <c r="F409" s="24"/>
      <c r="G409" s="24"/>
      <c r="H409" s="24"/>
      <c r="I409" s="24"/>
      <c r="J409" s="24"/>
      <c r="K409" s="24"/>
      <c r="L409" s="24"/>
      <c r="M409" s="24"/>
      <c r="N409" s="155"/>
      <c r="O409" s="155"/>
      <c r="P409" s="155"/>
      <c r="Q409" s="155"/>
      <c r="R409" s="155"/>
      <c r="S409" s="1"/>
      <c r="T409" s="1"/>
      <c r="U409" s="1"/>
      <c r="V409" s="1"/>
      <c r="W409" s="1"/>
      <c r="X409" s="1"/>
      <c r="Y409" s="1"/>
      <c r="Z409" s="1"/>
      <c r="AA409" s="1"/>
      <c r="AB409" s="1"/>
    </row>
    <row r="410" ht="12.75" customHeight="1">
      <c r="A410" s="1"/>
      <c r="B410" s="146"/>
      <c r="C410" s="150"/>
      <c r="D410" s="151"/>
      <c r="E410" s="24"/>
      <c r="F410" s="24"/>
      <c r="G410" s="24"/>
      <c r="H410" s="24"/>
      <c r="I410" s="24"/>
      <c r="J410" s="24"/>
      <c r="K410" s="24"/>
      <c r="L410" s="24"/>
      <c r="M410" s="24"/>
      <c r="N410" s="155"/>
      <c r="O410" s="155"/>
      <c r="P410" s="155"/>
      <c r="Q410" s="155"/>
      <c r="R410" s="155"/>
      <c r="S410" s="1"/>
      <c r="T410" s="1"/>
      <c r="U410" s="1"/>
      <c r="V410" s="1"/>
      <c r="W410" s="1"/>
      <c r="X410" s="1"/>
      <c r="Y410" s="1"/>
      <c r="Z410" s="1"/>
      <c r="AA410" s="1"/>
      <c r="AB410" s="1"/>
    </row>
    <row r="411" ht="12.75" customHeight="1">
      <c r="A411" s="1"/>
      <c r="B411" s="146"/>
      <c r="C411" s="150"/>
      <c r="D411" s="151"/>
      <c r="E411" s="24"/>
      <c r="F411" s="24"/>
      <c r="G411" s="24"/>
      <c r="H411" s="24"/>
      <c r="I411" s="24"/>
      <c r="J411" s="24"/>
      <c r="K411" s="24"/>
      <c r="L411" s="24"/>
      <c r="M411" s="24"/>
      <c r="N411" s="155"/>
      <c r="O411" s="155"/>
      <c r="P411" s="155"/>
      <c r="Q411" s="155"/>
      <c r="R411" s="155"/>
      <c r="S411" s="1"/>
      <c r="T411" s="1"/>
      <c r="U411" s="1"/>
      <c r="V411" s="1"/>
      <c r="W411" s="1"/>
      <c r="X411" s="1"/>
      <c r="Y411" s="1"/>
      <c r="Z411" s="1"/>
      <c r="AA411" s="1"/>
      <c r="AB411" s="1"/>
    </row>
    <row r="412" ht="12.75" customHeight="1">
      <c r="A412" s="1"/>
      <c r="B412" s="146"/>
      <c r="C412" s="150"/>
      <c r="D412" s="151"/>
      <c r="E412" s="24"/>
      <c r="F412" s="24"/>
      <c r="G412" s="24"/>
      <c r="H412" s="24"/>
      <c r="I412" s="24"/>
      <c r="J412" s="24"/>
      <c r="K412" s="24"/>
      <c r="L412" s="24"/>
      <c r="M412" s="24"/>
      <c r="N412" s="155"/>
      <c r="O412" s="155"/>
      <c r="P412" s="155"/>
      <c r="Q412" s="155"/>
      <c r="R412" s="155"/>
      <c r="S412" s="1"/>
      <c r="T412" s="1"/>
      <c r="U412" s="1"/>
      <c r="V412" s="1"/>
      <c r="W412" s="1"/>
      <c r="X412" s="1"/>
      <c r="Y412" s="1"/>
      <c r="Z412" s="1"/>
      <c r="AA412" s="1"/>
      <c r="AB412" s="1"/>
    </row>
    <row r="413" ht="12.75" customHeight="1">
      <c r="A413" s="1"/>
      <c r="B413" s="146"/>
      <c r="C413" s="150"/>
      <c r="D413" s="151"/>
      <c r="E413" s="24"/>
      <c r="F413" s="24"/>
      <c r="G413" s="24"/>
      <c r="H413" s="24"/>
      <c r="I413" s="24"/>
      <c r="J413" s="24"/>
      <c r="K413" s="24"/>
      <c r="L413" s="24"/>
      <c r="M413" s="24"/>
      <c r="N413" s="155"/>
      <c r="O413" s="155"/>
      <c r="P413" s="155"/>
      <c r="Q413" s="155"/>
      <c r="R413" s="155"/>
      <c r="S413" s="1"/>
      <c r="T413" s="1"/>
      <c r="U413" s="1"/>
      <c r="V413" s="1"/>
      <c r="W413" s="1"/>
      <c r="X413" s="1"/>
      <c r="Y413" s="1"/>
      <c r="Z413" s="1"/>
      <c r="AA413" s="1"/>
      <c r="AB413" s="1"/>
    </row>
    <row r="414" ht="12.75" customHeight="1">
      <c r="A414" s="1"/>
      <c r="B414" s="146"/>
      <c r="C414" s="150"/>
      <c r="D414" s="151"/>
      <c r="E414" s="24"/>
      <c r="F414" s="24"/>
      <c r="G414" s="24"/>
      <c r="H414" s="24"/>
      <c r="I414" s="24"/>
      <c r="J414" s="24"/>
      <c r="K414" s="24"/>
      <c r="L414" s="24"/>
      <c r="M414" s="24"/>
      <c r="N414" s="155"/>
      <c r="O414" s="155"/>
      <c r="P414" s="155"/>
      <c r="Q414" s="155"/>
      <c r="R414" s="155"/>
      <c r="S414" s="1"/>
      <c r="T414" s="1"/>
      <c r="U414" s="1"/>
      <c r="V414" s="1"/>
      <c r="W414" s="1"/>
      <c r="X414" s="1"/>
      <c r="Y414" s="1"/>
      <c r="Z414" s="1"/>
      <c r="AA414" s="1"/>
      <c r="AB414" s="1"/>
    </row>
    <row r="415" ht="12.75" customHeight="1">
      <c r="A415" s="1"/>
      <c r="B415" s="146"/>
      <c r="C415" s="150"/>
      <c r="D415" s="151"/>
      <c r="E415" s="24"/>
      <c r="F415" s="24"/>
      <c r="G415" s="24"/>
      <c r="H415" s="24"/>
      <c r="I415" s="24"/>
      <c r="J415" s="24"/>
      <c r="K415" s="24"/>
      <c r="L415" s="24"/>
      <c r="M415" s="24"/>
      <c r="N415" s="155"/>
      <c r="O415" s="155"/>
      <c r="P415" s="155"/>
      <c r="Q415" s="155"/>
      <c r="R415" s="155"/>
      <c r="S415" s="1"/>
      <c r="T415" s="1"/>
      <c r="U415" s="1"/>
      <c r="V415" s="1"/>
      <c r="W415" s="1"/>
      <c r="X415" s="1"/>
      <c r="Y415" s="1"/>
      <c r="Z415" s="1"/>
      <c r="AA415" s="1"/>
      <c r="AB415" s="1"/>
    </row>
    <row r="416" ht="12.75" customHeight="1">
      <c r="A416" s="1"/>
      <c r="B416" s="146"/>
      <c r="C416" s="150"/>
      <c r="D416" s="151"/>
      <c r="E416" s="24"/>
      <c r="F416" s="24"/>
      <c r="G416" s="24"/>
      <c r="H416" s="24"/>
      <c r="I416" s="24"/>
      <c r="J416" s="24"/>
      <c r="K416" s="24"/>
      <c r="L416" s="24"/>
      <c r="M416" s="24"/>
      <c r="N416" s="155"/>
      <c r="O416" s="155"/>
      <c r="P416" s="155"/>
      <c r="Q416" s="155"/>
      <c r="R416" s="155"/>
      <c r="S416" s="1"/>
      <c r="T416" s="1"/>
      <c r="U416" s="1"/>
      <c r="V416" s="1"/>
      <c r="W416" s="1"/>
      <c r="X416" s="1"/>
      <c r="Y416" s="1"/>
      <c r="Z416" s="1"/>
      <c r="AA416" s="1"/>
      <c r="AB416" s="1"/>
    </row>
    <row r="417" ht="12.75" customHeight="1">
      <c r="A417" s="1"/>
      <c r="B417" s="146"/>
      <c r="C417" s="150"/>
      <c r="D417" s="151"/>
      <c r="E417" s="24"/>
      <c r="F417" s="24"/>
      <c r="G417" s="24"/>
      <c r="H417" s="24"/>
      <c r="I417" s="24"/>
      <c r="J417" s="24"/>
      <c r="K417" s="24"/>
      <c r="L417" s="24"/>
      <c r="M417" s="24"/>
      <c r="N417" s="155"/>
      <c r="O417" s="155"/>
      <c r="P417" s="155"/>
      <c r="Q417" s="155"/>
      <c r="R417" s="155"/>
      <c r="S417" s="1"/>
      <c r="T417" s="1"/>
      <c r="U417" s="1"/>
      <c r="V417" s="1"/>
      <c r="W417" s="1"/>
      <c r="X417" s="1"/>
      <c r="Y417" s="1"/>
      <c r="Z417" s="1"/>
      <c r="AA417" s="1"/>
      <c r="AB417" s="1"/>
    </row>
    <row r="418" ht="12.75" customHeight="1">
      <c r="A418" s="1"/>
      <c r="B418" s="146"/>
      <c r="C418" s="150"/>
      <c r="D418" s="151"/>
      <c r="E418" s="24"/>
      <c r="F418" s="24"/>
      <c r="G418" s="24"/>
      <c r="H418" s="24"/>
      <c r="I418" s="24"/>
      <c r="J418" s="24"/>
      <c r="K418" s="24"/>
      <c r="L418" s="24"/>
      <c r="M418" s="24"/>
      <c r="N418" s="155"/>
      <c r="O418" s="155"/>
      <c r="P418" s="155"/>
      <c r="Q418" s="155"/>
      <c r="R418" s="155"/>
      <c r="S418" s="1"/>
      <c r="T418" s="1"/>
      <c r="U418" s="1"/>
      <c r="V418" s="1"/>
      <c r="W418" s="1"/>
      <c r="X418" s="1"/>
      <c r="Y418" s="1"/>
      <c r="Z418" s="1"/>
      <c r="AA418" s="1"/>
      <c r="AB418" s="1"/>
    </row>
    <row r="419" ht="12.75" customHeight="1">
      <c r="A419" s="1"/>
      <c r="B419" s="146"/>
      <c r="C419" s="150"/>
      <c r="D419" s="151"/>
      <c r="E419" s="24"/>
      <c r="F419" s="24"/>
      <c r="G419" s="24"/>
      <c r="H419" s="24"/>
      <c r="I419" s="24"/>
      <c r="J419" s="24"/>
      <c r="K419" s="24"/>
      <c r="L419" s="24"/>
      <c r="M419" s="24"/>
      <c r="N419" s="155"/>
      <c r="O419" s="155"/>
      <c r="P419" s="155"/>
      <c r="Q419" s="155"/>
      <c r="R419" s="155"/>
      <c r="S419" s="1"/>
      <c r="T419" s="1"/>
      <c r="U419" s="1"/>
      <c r="V419" s="1"/>
      <c r="W419" s="1"/>
      <c r="X419" s="1"/>
      <c r="Y419" s="1"/>
      <c r="Z419" s="1"/>
      <c r="AA419" s="1"/>
      <c r="AB419" s="1"/>
    </row>
    <row r="420" ht="12.75" customHeight="1">
      <c r="A420" s="1"/>
      <c r="B420" s="146"/>
      <c r="C420" s="150"/>
      <c r="D420" s="151"/>
      <c r="E420" s="24"/>
      <c r="F420" s="24"/>
      <c r="G420" s="24"/>
      <c r="H420" s="24"/>
      <c r="I420" s="24"/>
      <c r="J420" s="24"/>
      <c r="K420" s="24"/>
      <c r="L420" s="24"/>
      <c r="M420" s="24"/>
      <c r="N420" s="155"/>
      <c r="O420" s="155"/>
      <c r="P420" s="155"/>
      <c r="Q420" s="155"/>
      <c r="R420" s="155"/>
      <c r="S420" s="1"/>
      <c r="T420" s="1"/>
      <c r="U420" s="1"/>
      <c r="V420" s="1"/>
      <c r="W420" s="1"/>
      <c r="X420" s="1"/>
      <c r="Y420" s="1"/>
      <c r="Z420" s="1"/>
      <c r="AA420" s="1"/>
      <c r="AB420" s="1"/>
    </row>
    <row r="421" ht="12.75" customHeight="1">
      <c r="A421" s="1"/>
      <c r="B421" s="146"/>
      <c r="C421" s="150"/>
      <c r="D421" s="151"/>
      <c r="E421" s="24"/>
      <c r="F421" s="24"/>
      <c r="G421" s="24"/>
      <c r="H421" s="24"/>
      <c r="I421" s="24"/>
      <c r="J421" s="24"/>
      <c r="K421" s="24"/>
      <c r="L421" s="24"/>
      <c r="M421" s="24"/>
      <c r="N421" s="155"/>
      <c r="O421" s="155"/>
      <c r="P421" s="155"/>
      <c r="Q421" s="155"/>
      <c r="R421" s="155"/>
      <c r="S421" s="1"/>
      <c r="T421" s="1"/>
      <c r="U421" s="1"/>
      <c r="V421" s="1"/>
      <c r="W421" s="1"/>
      <c r="X421" s="1"/>
      <c r="Y421" s="1"/>
      <c r="Z421" s="1"/>
      <c r="AA421" s="1"/>
      <c r="AB421" s="1"/>
    </row>
    <row r="422" ht="12.75" customHeight="1">
      <c r="A422" s="1"/>
      <c r="B422" s="146"/>
      <c r="C422" s="150"/>
      <c r="D422" s="151"/>
      <c r="E422" s="24"/>
      <c r="F422" s="24"/>
      <c r="G422" s="24"/>
      <c r="H422" s="24"/>
      <c r="I422" s="24"/>
      <c r="J422" s="24"/>
      <c r="K422" s="24"/>
      <c r="L422" s="24"/>
      <c r="M422" s="24"/>
      <c r="N422" s="155"/>
      <c r="O422" s="155"/>
      <c r="P422" s="155"/>
      <c r="Q422" s="155"/>
      <c r="R422" s="155"/>
      <c r="S422" s="1"/>
      <c r="T422" s="1"/>
      <c r="U422" s="1"/>
      <c r="V422" s="1"/>
      <c r="W422" s="1"/>
      <c r="X422" s="1"/>
      <c r="Y422" s="1"/>
      <c r="Z422" s="1"/>
      <c r="AA422" s="1"/>
      <c r="AB422" s="1"/>
    </row>
    <row r="423" ht="12.75" customHeight="1">
      <c r="A423" s="1"/>
      <c r="B423" s="146"/>
      <c r="C423" s="150"/>
      <c r="D423" s="151"/>
      <c r="E423" s="24"/>
      <c r="F423" s="24"/>
      <c r="G423" s="24"/>
      <c r="H423" s="24"/>
      <c r="I423" s="24"/>
      <c r="J423" s="24"/>
      <c r="K423" s="24"/>
      <c r="L423" s="24"/>
      <c r="M423" s="24"/>
      <c r="N423" s="155"/>
      <c r="O423" s="155"/>
      <c r="P423" s="155"/>
      <c r="Q423" s="155"/>
      <c r="R423" s="155"/>
      <c r="S423" s="1"/>
      <c r="T423" s="1"/>
      <c r="U423" s="1"/>
      <c r="V423" s="1"/>
      <c r="W423" s="1"/>
      <c r="X423" s="1"/>
      <c r="Y423" s="1"/>
      <c r="Z423" s="1"/>
      <c r="AA423" s="1"/>
      <c r="AB423" s="1"/>
    </row>
    <row r="424" ht="12.75" customHeight="1">
      <c r="A424" s="1"/>
      <c r="B424" s="146"/>
      <c r="C424" s="150"/>
      <c r="D424" s="151"/>
      <c r="E424" s="24"/>
      <c r="F424" s="24"/>
      <c r="G424" s="24"/>
      <c r="H424" s="24"/>
      <c r="I424" s="24"/>
      <c r="J424" s="24"/>
      <c r="K424" s="24"/>
      <c r="L424" s="24"/>
      <c r="M424" s="24"/>
      <c r="N424" s="155"/>
      <c r="O424" s="155"/>
      <c r="P424" s="155"/>
      <c r="Q424" s="155"/>
      <c r="R424" s="155"/>
      <c r="S424" s="1"/>
      <c r="T424" s="1"/>
      <c r="U424" s="1"/>
      <c r="V424" s="1"/>
      <c r="W424" s="1"/>
      <c r="X424" s="1"/>
      <c r="Y424" s="1"/>
      <c r="Z424" s="1"/>
      <c r="AA424" s="1"/>
      <c r="AB424" s="1"/>
    </row>
    <row r="425" ht="12.75" customHeight="1">
      <c r="A425" s="1"/>
      <c r="B425" s="146"/>
      <c r="C425" s="150"/>
      <c r="D425" s="151"/>
      <c r="E425" s="24"/>
      <c r="F425" s="24"/>
      <c r="G425" s="24"/>
      <c r="H425" s="24"/>
      <c r="I425" s="24"/>
      <c r="J425" s="24"/>
      <c r="K425" s="24"/>
      <c r="L425" s="24"/>
      <c r="M425" s="24"/>
      <c r="N425" s="155"/>
      <c r="O425" s="155"/>
      <c r="P425" s="155"/>
      <c r="Q425" s="155"/>
      <c r="R425" s="155"/>
      <c r="S425" s="1"/>
      <c r="T425" s="1"/>
      <c r="U425" s="1"/>
      <c r="V425" s="1"/>
      <c r="W425" s="1"/>
      <c r="X425" s="1"/>
      <c r="Y425" s="1"/>
      <c r="Z425" s="1"/>
      <c r="AA425" s="1"/>
      <c r="AB425" s="1"/>
    </row>
    <row r="426" ht="12.75" customHeight="1">
      <c r="A426" s="1"/>
      <c r="B426" s="146"/>
      <c r="C426" s="150"/>
      <c r="D426" s="151"/>
      <c r="E426" s="24"/>
      <c r="F426" s="24"/>
      <c r="G426" s="24"/>
      <c r="H426" s="24"/>
      <c r="I426" s="24"/>
      <c r="J426" s="24"/>
      <c r="K426" s="24"/>
      <c r="L426" s="24"/>
      <c r="M426" s="24"/>
      <c r="N426" s="155"/>
      <c r="O426" s="155"/>
      <c r="P426" s="155"/>
      <c r="Q426" s="155"/>
      <c r="R426" s="155"/>
      <c r="S426" s="1"/>
      <c r="T426" s="1"/>
      <c r="U426" s="1"/>
      <c r="V426" s="1"/>
      <c r="W426" s="1"/>
      <c r="X426" s="1"/>
      <c r="Y426" s="1"/>
      <c r="Z426" s="1"/>
      <c r="AA426" s="1"/>
      <c r="AB426" s="1"/>
    </row>
    <row r="427" ht="12.75" customHeight="1">
      <c r="A427" s="1"/>
      <c r="B427" s="146"/>
      <c r="C427" s="150"/>
      <c r="D427" s="151"/>
      <c r="E427" s="24"/>
      <c r="F427" s="24"/>
      <c r="G427" s="24"/>
      <c r="H427" s="24"/>
      <c r="I427" s="24"/>
      <c r="J427" s="24"/>
      <c r="K427" s="24"/>
      <c r="L427" s="24"/>
      <c r="M427" s="24"/>
      <c r="N427" s="155"/>
      <c r="O427" s="155"/>
      <c r="P427" s="155"/>
      <c r="Q427" s="155"/>
      <c r="R427" s="155"/>
      <c r="S427" s="1"/>
      <c r="T427" s="1"/>
      <c r="U427" s="1"/>
      <c r="V427" s="1"/>
      <c r="W427" s="1"/>
      <c r="X427" s="1"/>
      <c r="Y427" s="1"/>
      <c r="Z427" s="1"/>
      <c r="AA427" s="1"/>
      <c r="AB427" s="1"/>
    </row>
    <row r="428" ht="12.75" customHeight="1">
      <c r="A428" s="1"/>
      <c r="B428" s="146"/>
      <c r="C428" s="150"/>
      <c r="D428" s="151"/>
      <c r="E428" s="24"/>
      <c r="F428" s="24"/>
      <c r="G428" s="24"/>
      <c r="H428" s="24"/>
      <c r="I428" s="24"/>
      <c r="J428" s="24"/>
      <c r="K428" s="24"/>
      <c r="L428" s="24"/>
      <c r="M428" s="24"/>
      <c r="N428" s="155"/>
      <c r="O428" s="155"/>
      <c r="P428" s="155"/>
      <c r="Q428" s="155"/>
      <c r="R428" s="155"/>
      <c r="S428" s="1"/>
      <c r="T428" s="1"/>
      <c r="U428" s="1"/>
      <c r="V428" s="1"/>
      <c r="W428" s="1"/>
      <c r="X428" s="1"/>
      <c r="Y428" s="1"/>
      <c r="Z428" s="1"/>
      <c r="AA428" s="1"/>
      <c r="AB428" s="1"/>
    </row>
    <row r="429" ht="12.75" customHeight="1">
      <c r="A429" s="1"/>
      <c r="B429" s="146"/>
      <c r="C429" s="150"/>
      <c r="D429" s="151"/>
      <c r="E429" s="24"/>
      <c r="F429" s="24"/>
      <c r="G429" s="24"/>
      <c r="H429" s="24"/>
      <c r="I429" s="24"/>
      <c r="J429" s="24"/>
      <c r="K429" s="24"/>
      <c r="L429" s="24"/>
      <c r="M429" s="24"/>
      <c r="N429" s="155"/>
      <c r="O429" s="155"/>
      <c r="P429" s="155"/>
      <c r="Q429" s="155"/>
      <c r="R429" s="155"/>
      <c r="S429" s="1"/>
      <c r="T429" s="1"/>
      <c r="U429" s="1"/>
      <c r="V429" s="1"/>
      <c r="W429" s="1"/>
      <c r="X429" s="1"/>
      <c r="Y429" s="1"/>
      <c r="Z429" s="1"/>
      <c r="AA429" s="1"/>
      <c r="AB429" s="1"/>
    </row>
    <row r="430" ht="12.75" customHeight="1">
      <c r="A430" s="1"/>
      <c r="B430" s="146"/>
      <c r="C430" s="150"/>
      <c r="D430" s="151"/>
      <c r="E430" s="24"/>
      <c r="F430" s="24"/>
      <c r="G430" s="24"/>
      <c r="H430" s="24"/>
      <c r="I430" s="24"/>
      <c r="J430" s="24"/>
      <c r="K430" s="24"/>
      <c r="L430" s="24"/>
      <c r="M430" s="24"/>
      <c r="N430" s="155"/>
      <c r="O430" s="155"/>
      <c r="P430" s="155"/>
      <c r="Q430" s="155"/>
      <c r="R430" s="155"/>
      <c r="S430" s="1"/>
      <c r="T430" s="1"/>
      <c r="U430" s="1"/>
      <c r="V430" s="1"/>
      <c r="W430" s="1"/>
      <c r="X430" s="1"/>
      <c r="Y430" s="1"/>
      <c r="Z430" s="1"/>
      <c r="AA430" s="1"/>
      <c r="AB430" s="1"/>
    </row>
    <row r="431" ht="12.75" customHeight="1">
      <c r="A431" s="1"/>
      <c r="B431" s="146"/>
      <c r="C431" s="150"/>
      <c r="D431" s="151"/>
      <c r="E431" s="24"/>
      <c r="F431" s="24"/>
      <c r="G431" s="24"/>
      <c r="H431" s="24"/>
      <c r="I431" s="24"/>
      <c r="J431" s="24"/>
      <c r="K431" s="24"/>
      <c r="L431" s="24"/>
      <c r="M431" s="24"/>
      <c r="N431" s="155"/>
      <c r="O431" s="155"/>
      <c r="P431" s="155"/>
      <c r="Q431" s="155"/>
      <c r="R431" s="155"/>
      <c r="S431" s="1"/>
      <c r="T431" s="1"/>
      <c r="U431" s="1"/>
      <c r="V431" s="1"/>
      <c r="W431" s="1"/>
      <c r="X431" s="1"/>
      <c r="Y431" s="1"/>
      <c r="Z431" s="1"/>
      <c r="AA431" s="1"/>
      <c r="AB431" s="1"/>
    </row>
    <row r="432" ht="12.75" customHeight="1">
      <c r="A432" s="1"/>
      <c r="B432" s="146"/>
      <c r="C432" s="150"/>
      <c r="D432" s="151"/>
      <c r="E432" s="24"/>
      <c r="F432" s="24"/>
      <c r="G432" s="24"/>
      <c r="H432" s="24"/>
      <c r="I432" s="24"/>
      <c r="J432" s="24"/>
      <c r="K432" s="24"/>
      <c r="L432" s="24"/>
      <c r="M432" s="24"/>
      <c r="N432" s="155"/>
      <c r="O432" s="155"/>
      <c r="P432" s="155"/>
      <c r="Q432" s="155"/>
      <c r="R432" s="155"/>
      <c r="S432" s="1"/>
      <c r="T432" s="1"/>
      <c r="U432" s="1"/>
      <c r="V432" s="1"/>
      <c r="W432" s="1"/>
      <c r="X432" s="1"/>
      <c r="Y432" s="1"/>
      <c r="Z432" s="1"/>
      <c r="AA432" s="1"/>
      <c r="AB432" s="1"/>
    </row>
    <row r="433" ht="12.75" customHeight="1">
      <c r="A433" s="1"/>
      <c r="B433" s="146"/>
      <c r="C433" s="150"/>
      <c r="D433" s="151"/>
      <c r="E433" s="24"/>
      <c r="F433" s="24"/>
      <c r="G433" s="24"/>
      <c r="H433" s="24"/>
      <c r="I433" s="24"/>
      <c r="J433" s="24"/>
      <c r="K433" s="24"/>
      <c r="L433" s="24"/>
      <c r="M433" s="24"/>
      <c r="N433" s="155"/>
      <c r="O433" s="155"/>
      <c r="P433" s="155"/>
      <c r="Q433" s="155"/>
      <c r="R433" s="155"/>
      <c r="S433" s="1"/>
      <c r="T433" s="1"/>
      <c r="U433" s="1"/>
      <c r="V433" s="1"/>
      <c r="W433" s="1"/>
      <c r="X433" s="1"/>
      <c r="Y433" s="1"/>
      <c r="Z433" s="1"/>
      <c r="AA433" s="1"/>
      <c r="AB433" s="1"/>
    </row>
    <row r="434" ht="12.75" customHeight="1">
      <c r="A434" s="1"/>
      <c r="B434" s="146"/>
      <c r="C434" s="150"/>
      <c r="D434" s="151"/>
      <c r="E434" s="24"/>
      <c r="F434" s="24"/>
      <c r="G434" s="24"/>
      <c r="H434" s="24"/>
      <c r="I434" s="24"/>
      <c r="J434" s="24"/>
      <c r="K434" s="24"/>
      <c r="L434" s="24"/>
      <c r="M434" s="24"/>
      <c r="N434" s="155"/>
      <c r="O434" s="155"/>
      <c r="P434" s="155"/>
      <c r="Q434" s="155"/>
      <c r="R434" s="155"/>
      <c r="S434" s="1"/>
      <c r="T434" s="1"/>
      <c r="U434" s="1"/>
      <c r="V434" s="1"/>
      <c r="W434" s="1"/>
      <c r="X434" s="1"/>
      <c r="Y434" s="1"/>
      <c r="Z434" s="1"/>
      <c r="AA434" s="1"/>
      <c r="AB434" s="1"/>
    </row>
    <row r="435" ht="12.75" customHeight="1">
      <c r="A435" s="1"/>
      <c r="B435" s="146"/>
      <c r="C435" s="150"/>
      <c r="D435" s="151"/>
      <c r="E435" s="24"/>
      <c r="F435" s="24"/>
      <c r="G435" s="24"/>
      <c r="H435" s="24"/>
      <c r="I435" s="24"/>
      <c r="J435" s="24"/>
      <c r="K435" s="24"/>
      <c r="L435" s="24"/>
      <c r="M435" s="24"/>
      <c r="N435" s="155"/>
      <c r="O435" s="155"/>
      <c r="P435" s="155"/>
      <c r="Q435" s="155"/>
      <c r="R435" s="155"/>
      <c r="S435" s="1"/>
      <c r="T435" s="1"/>
      <c r="U435" s="1"/>
      <c r="V435" s="1"/>
      <c r="W435" s="1"/>
      <c r="X435" s="1"/>
      <c r="Y435" s="1"/>
      <c r="Z435" s="1"/>
      <c r="AA435" s="1"/>
      <c r="AB435" s="1"/>
    </row>
    <row r="436" ht="12.75" customHeight="1">
      <c r="A436" s="1"/>
      <c r="B436" s="146"/>
      <c r="C436" s="150"/>
      <c r="D436" s="151"/>
      <c r="E436" s="24"/>
      <c r="F436" s="24"/>
      <c r="G436" s="24"/>
      <c r="H436" s="24"/>
      <c r="I436" s="24"/>
      <c r="J436" s="24"/>
      <c r="K436" s="24"/>
      <c r="L436" s="24"/>
      <c r="M436" s="24"/>
      <c r="N436" s="155"/>
      <c r="O436" s="155"/>
      <c r="P436" s="155"/>
      <c r="Q436" s="155"/>
      <c r="R436" s="155"/>
      <c r="S436" s="1"/>
      <c r="T436" s="1"/>
      <c r="U436" s="1"/>
      <c r="V436" s="1"/>
      <c r="W436" s="1"/>
      <c r="X436" s="1"/>
      <c r="Y436" s="1"/>
      <c r="Z436" s="1"/>
      <c r="AA436" s="1"/>
      <c r="AB436" s="1"/>
    </row>
    <row r="437" ht="12.75" customHeight="1">
      <c r="A437" s="1"/>
      <c r="B437" s="146"/>
      <c r="C437" s="150"/>
      <c r="D437" s="151"/>
      <c r="E437" s="24"/>
      <c r="F437" s="24"/>
      <c r="G437" s="24"/>
      <c r="H437" s="24"/>
      <c r="I437" s="24"/>
      <c r="J437" s="24"/>
      <c r="K437" s="24"/>
      <c r="L437" s="24"/>
      <c r="M437" s="24"/>
      <c r="N437" s="155"/>
      <c r="O437" s="155"/>
      <c r="P437" s="155"/>
      <c r="Q437" s="155"/>
      <c r="R437" s="155"/>
      <c r="S437" s="1"/>
      <c r="T437" s="1"/>
      <c r="U437" s="1"/>
      <c r="V437" s="1"/>
      <c r="W437" s="1"/>
      <c r="X437" s="1"/>
      <c r="Y437" s="1"/>
      <c r="Z437" s="1"/>
      <c r="AA437" s="1"/>
      <c r="AB437" s="1"/>
    </row>
    <row r="438" ht="12.75" customHeight="1">
      <c r="A438" s="1"/>
      <c r="B438" s="146"/>
      <c r="C438" s="150"/>
      <c r="D438" s="151"/>
      <c r="E438" s="24"/>
      <c r="F438" s="24"/>
      <c r="G438" s="24"/>
      <c r="H438" s="24"/>
      <c r="I438" s="24"/>
      <c r="J438" s="24"/>
      <c r="K438" s="24"/>
      <c r="L438" s="24"/>
      <c r="M438" s="24"/>
      <c r="N438" s="155"/>
      <c r="O438" s="155"/>
      <c r="P438" s="155"/>
      <c r="Q438" s="155"/>
      <c r="R438" s="155"/>
      <c r="S438" s="1"/>
      <c r="T438" s="1"/>
      <c r="U438" s="1"/>
      <c r="V438" s="1"/>
      <c r="W438" s="1"/>
      <c r="X438" s="1"/>
      <c r="Y438" s="1"/>
      <c r="Z438" s="1"/>
      <c r="AA438" s="1"/>
      <c r="AB438" s="1"/>
    </row>
    <row r="439" ht="12.75" customHeight="1">
      <c r="A439" s="1"/>
      <c r="B439" s="146"/>
      <c r="C439" s="150"/>
      <c r="D439" s="151"/>
      <c r="E439" s="24"/>
      <c r="F439" s="24"/>
      <c r="G439" s="24"/>
      <c r="H439" s="24"/>
      <c r="I439" s="24"/>
      <c r="J439" s="24"/>
      <c r="K439" s="24"/>
      <c r="L439" s="24"/>
      <c r="M439" s="24"/>
      <c r="N439" s="155"/>
      <c r="O439" s="155"/>
      <c r="P439" s="155"/>
      <c r="Q439" s="155"/>
      <c r="R439" s="155"/>
      <c r="S439" s="1"/>
      <c r="T439" s="1"/>
      <c r="U439" s="1"/>
      <c r="V439" s="1"/>
      <c r="W439" s="1"/>
      <c r="X439" s="1"/>
      <c r="Y439" s="1"/>
      <c r="Z439" s="1"/>
      <c r="AA439" s="1"/>
      <c r="AB439" s="1"/>
    </row>
    <row r="440" ht="12.75" customHeight="1">
      <c r="A440" s="1"/>
      <c r="B440" s="146"/>
      <c r="C440" s="150"/>
      <c r="D440" s="151"/>
      <c r="E440" s="24"/>
      <c r="F440" s="24"/>
      <c r="G440" s="24"/>
      <c r="H440" s="24"/>
      <c r="I440" s="24"/>
      <c r="J440" s="24"/>
      <c r="K440" s="24"/>
      <c r="L440" s="24"/>
      <c r="M440" s="24"/>
      <c r="N440" s="155"/>
      <c r="O440" s="155"/>
      <c r="P440" s="155"/>
      <c r="Q440" s="155"/>
      <c r="R440" s="155"/>
      <c r="S440" s="1"/>
      <c r="T440" s="1"/>
      <c r="U440" s="1"/>
      <c r="V440" s="1"/>
      <c r="W440" s="1"/>
      <c r="X440" s="1"/>
      <c r="Y440" s="1"/>
      <c r="Z440" s="1"/>
      <c r="AA440" s="1"/>
      <c r="AB440" s="1"/>
    </row>
    <row r="441" ht="12.75" customHeight="1">
      <c r="A441" s="1"/>
      <c r="B441" s="146"/>
      <c r="C441" s="150"/>
      <c r="D441" s="151"/>
      <c r="E441" s="24"/>
      <c r="F441" s="24"/>
      <c r="G441" s="24"/>
      <c r="H441" s="24"/>
      <c r="I441" s="24"/>
      <c r="J441" s="24"/>
      <c r="K441" s="24"/>
      <c r="L441" s="24"/>
      <c r="M441" s="24"/>
      <c r="N441" s="155"/>
      <c r="O441" s="155"/>
      <c r="P441" s="155"/>
      <c r="Q441" s="155"/>
      <c r="R441" s="155"/>
      <c r="S441" s="1"/>
      <c r="T441" s="1"/>
      <c r="U441" s="1"/>
      <c r="V441" s="1"/>
      <c r="W441" s="1"/>
      <c r="X441" s="1"/>
      <c r="Y441" s="1"/>
      <c r="Z441" s="1"/>
      <c r="AA441" s="1"/>
      <c r="AB441" s="1"/>
    </row>
    <row r="442" ht="12.75" customHeight="1">
      <c r="A442" s="1"/>
      <c r="B442" s="146"/>
      <c r="C442" s="150"/>
      <c r="D442" s="151"/>
      <c r="E442" s="24"/>
      <c r="F442" s="24"/>
      <c r="G442" s="24"/>
      <c r="H442" s="24"/>
      <c r="I442" s="24"/>
      <c r="J442" s="24"/>
      <c r="K442" s="24"/>
      <c r="L442" s="24"/>
      <c r="M442" s="24"/>
      <c r="N442" s="155"/>
      <c r="O442" s="155"/>
      <c r="P442" s="155"/>
      <c r="Q442" s="155"/>
      <c r="R442" s="155"/>
      <c r="S442" s="1"/>
      <c r="T442" s="1"/>
      <c r="U442" s="1"/>
      <c r="V442" s="1"/>
      <c r="W442" s="1"/>
      <c r="X442" s="1"/>
      <c r="Y442" s="1"/>
      <c r="Z442" s="1"/>
      <c r="AA442" s="1"/>
      <c r="AB442" s="1"/>
    </row>
    <row r="443" ht="12.75" customHeight="1">
      <c r="A443" s="1"/>
      <c r="B443" s="146"/>
      <c r="C443" s="150"/>
      <c r="D443" s="151"/>
      <c r="E443" s="24"/>
      <c r="F443" s="24"/>
      <c r="G443" s="24"/>
      <c r="H443" s="24"/>
      <c r="I443" s="24"/>
      <c r="J443" s="24"/>
      <c r="K443" s="24"/>
      <c r="L443" s="24"/>
      <c r="M443" s="24"/>
      <c r="N443" s="155"/>
      <c r="O443" s="155"/>
      <c r="P443" s="155"/>
      <c r="Q443" s="155"/>
      <c r="R443" s="155"/>
      <c r="S443" s="1"/>
      <c r="T443" s="1"/>
      <c r="U443" s="1"/>
      <c r="V443" s="1"/>
      <c r="W443" s="1"/>
      <c r="X443" s="1"/>
      <c r="Y443" s="1"/>
      <c r="Z443" s="1"/>
      <c r="AA443" s="1"/>
      <c r="AB443" s="1"/>
    </row>
    <row r="444" ht="12.75" customHeight="1">
      <c r="A444" s="1"/>
      <c r="B444" s="146"/>
      <c r="C444" s="150"/>
      <c r="D444" s="151"/>
      <c r="E444" s="24"/>
      <c r="F444" s="24"/>
      <c r="G444" s="24"/>
      <c r="H444" s="24"/>
      <c r="I444" s="24"/>
      <c r="J444" s="24"/>
      <c r="K444" s="24"/>
      <c r="L444" s="24"/>
      <c r="M444" s="24"/>
      <c r="N444" s="155"/>
      <c r="O444" s="155"/>
      <c r="P444" s="155"/>
      <c r="Q444" s="155"/>
      <c r="R444" s="155"/>
      <c r="S444" s="1"/>
      <c r="T444" s="1"/>
      <c r="U444" s="1"/>
      <c r="V444" s="1"/>
      <c r="W444" s="1"/>
      <c r="X444" s="1"/>
      <c r="Y444" s="1"/>
      <c r="Z444" s="1"/>
      <c r="AA444" s="1"/>
      <c r="AB444" s="1"/>
    </row>
    <row r="445" ht="12.75" customHeight="1">
      <c r="A445" s="1"/>
      <c r="B445" s="146"/>
      <c r="C445" s="150"/>
      <c r="D445" s="151"/>
      <c r="E445" s="24"/>
      <c r="F445" s="24"/>
      <c r="G445" s="24"/>
      <c r="H445" s="24"/>
      <c r="I445" s="24"/>
      <c r="J445" s="24"/>
      <c r="K445" s="24"/>
      <c r="L445" s="24"/>
      <c r="M445" s="24"/>
      <c r="N445" s="155"/>
      <c r="O445" s="155"/>
      <c r="P445" s="155"/>
      <c r="Q445" s="155"/>
      <c r="R445" s="155"/>
      <c r="S445" s="1"/>
      <c r="T445" s="1"/>
      <c r="U445" s="1"/>
      <c r="V445" s="1"/>
      <c r="W445" s="1"/>
      <c r="X445" s="1"/>
      <c r="Y445" s="1"/>
      <c r="Z445" s="1"/>
      <c r="AA445" s="1"/>
      <c r="AB445" s="1"/>
    </row>
    <row r="446" ht="12.75" customHeight="1">
      <c r="A446" s="1"/>
      <c r="B446" s="146"/>
      <c r="C446" s="150"/>
      <c r="D446" s="151"/>
      <c r="E446" s="24"/>
      <c r="F446" s="24"/>
      <c r="G446" s="24"/>
      <c r="H446" s="24"/>
      <c r="I446" s="24"/>
      <c r="J446" s="24"/>
      <c r="K446" s="24"/>
      <c r="L446" s="24"/>
      <c r="M446" s="24"/>
      <c r="N446" s="155"/>
      <c r="O446" s="155"/>
      <c r="P446" s="155"/>
      <c r="Q446" s="155"/>
      <c r="R446" s="155"/>
      <c r="S446" s="1"/>
      <c r="T446" s="1"/>
      <c r="U446" s="1"/>
      <c r="V446" s="1"/>
      <c r="W446" s="1"/>
      <c r="X446" s="1"/>
      <c r="Y446" s="1"/>
      <c r="Z446" s="1"/>
      <c r="AA446" s="1"/>
      <c r="AB446" s="1"/>
    </row>
    <row r="447" ht="12.75" customHeight="1">
      <c r="A447" s="1"/>
      <c r="B447" s="146"/>
      <c r="C447" s="150"/>
      <c r="D447" s="151"/>
      <c r="E447" s="24"/>
      <c r="F447" s="24"/>
      <c r="G447" s="24"/>
      <c r="H447" s="24"/>
      <c r="I447" s="24"/>
      <c r="J447" s="24"/>
      <c r="K447" s="24"/>
      <c r="L447" s="24"/>
      <c r="M447" s="24"/>
      <c r="N447" s="155"/>
      <c r="O447" s="155"/>
      <c r="P447" s="155"/>
      <c r="Q447" s="155"/>
      <c r="R447" s="155"/>
      <c r="S447" s="1"/>
      <c r="T447" s="1"/>
      <c r="U447" s="1"/>
      <c r="V447" s="1"/>
      <c r="W447" s="1"/>
      <c r="X447" s="1"/>
      <c r="Y447" s="1"/>
      <c r="Z447" s="1"/>
      <c r="AA447" s="1"/>
      <c r="AB447" s="1"/>
    </row>
    <row r="448" ht="12.75" customHeight="1">
      <c r="A448" s="1"/>
      <c r="B448" s="146"/>
      <c r="C448" s="150"/>
      <c r="D448" s="151"/>
      <c r="E448" s="24"/>
      <c r="F448" s="24"/>
      <c r="G448" s="24"/>
      <c r="H448" s="24"/>
      <c r="I448" s="24"/>
      <c r="J448" s="24"/>
      <c r="K448" s="24"/>
      <c r="L448" s="24"/>
      <c r="M448" s="24"/>
      <c r="N448" s="155"/>
      <c r="O448" s="155"/>
      <c r="P448" s="155"/>
      <c r="Q448" s="155"/>
      <c r="R448" s="155"/>
      <c r="S448" s="1"/>
      <c r="T448" s="1"/>
      <c r="U448" s="1"/>
      <c r="V448" s="1"/>
      <c r="W448" s="1"/>
      <c r="X448" s="1"/>
      <c r="Y448" s="1"/>
      <c r="Z448" s="1"/>
      <c r="AA448" s="1"/>
      <c r="AB448" s="1"/>
    </row>
    <row r="449" ht="12.75" customHeight="1">
      <c r="A449" s="1"/>
      <c r="B449" s="146"/>
      <c r="C449" s="150"/>
      <c r="D449" s="151"/>
      <c r="E449" s="24"/>
      <c r="F449" s="24"/>
      <c r="G449" s="24"/>
      <c r="H449" s="24"/>
      <c r="I449" s="24"/>
      <c r="J449" s="24"/>
      <c r="K449" s="24"/>
      <c r="L449" s="24"/>
      <c r="M449" s="24"/>
      <c r="N449" s="155"/>
      <c r="O449" s="155"/>
      <c r="P449" s="155"/>
      <c r="Q449" s="155"/>
      <c r="R449" s="155"/>
      <c r="S449" s="1"/>
      <c r="T449" s="1"/>
      <c r="U449" s="1"/>
      <c r="V449" s="1"/>
      <c r="W449" s="1"/>
      <c r="X449" s="1"/>
      <c r="Y449" s="1"/>
      <c r="Z449" s="1"/>
      <c r="AA449" s="1"/>
      <c r="AB449" s="1"/>
    </row>
    <row r="450" ht="12.75" customHeight="1">
      <c r="A450" s="1"/>
      <c r="B450" s="146"/>
      <c r="C450" s="150"/>
      <c r="D450" s="151"/>
      <c r="E450" s="24"/>
      <c r="F450" s="24"/>
      <c r="G450" s="24"/>
      <c r="H450" s="24"/>
      <c r="I450" s="24"/>
      <c r="J450" s="24"/>
      <c r="K450" s="24"/>
      <c r="L450" s="24"/>
      <c r="M450" s="24"/>
      <c r="N450" s="155"/>
      <c r="O450" s="155"/>
      <c r="P450" s="155"/>
      <c r="Q450" s="155"/>
      <c r="R450" s="155"/>
      <c r="S450" s="1"/>
      <c r="T450" s="1"/>
      <c r="U450" s="1"/>
      <c r="V450" s="1"/>
      <c r="W450" s="1"/>
      <c r="X450" s="1"/>
      <c r="Y450" s="1"/>
      <c r="Z450" s="1"/>
      <c r="AA450" s="1"/>
      <c r="AB450" s="1"/>
    </row>
    <row r="451" ht="12.75" customHeight="1">
      <c r="A451" s="1"/>
      <c r="B451" s="146"/>
      <c r="C451" s="150"/>
      <c r="D451" s="151"/>
      <c r="E451" s="24"/>
      <c r="F451" s="24"/>
      <c r="G451" s="24"/>
      <c r="H451" s="24"/>
      <c r="I451" s="24"/>
      <c r="J451" s="24"/>
      <c r="K451" s="24"/>
      <c r="L451" s="24"/>
      <c r="M451" s="24"/>
      <c r="N451" s="155"/>
      <c r="O451" s="155"/>
      <c r="P451" s="155"/>
      <c r="Q451" s="155"/>
      <c r="R451" s="155"/>
      <c r="S451" s="1"/>
      <c r="T451" s="1"/>
      <c r="U451" s="1"/>
      <c r="V451" s="1"/>
      <c r="W451" s="1"/>
      <c r="X451" s="1"/>
      <c r="Y451" s="1"/>
      <c r="Z451" s="1"/>
      <c r="AA451" s="1"/>
      <c r="AB451" s="1"/>
    </row>
    <row r="452" ht="12.75" customHeight="1">
      <c r="A452" s="1"/>
      <c r="B452" s="146"/>
      <c r="C452" s="150"/>
      <c r="D452" s="151"/>
      <c r="E452" s="24"/>
      <c r="F452" s="24"/>
      <c r="G452" s="24"/>
      <c r="H452" s="24"/>
      <c r="I452" s="24"/>
      <c r="J452" s="24"/>
      <c r="K452" s="24"/>
      <c r="L452" s="24"/>
      <c r="M452" s="24"/>
      <c r="N452" s="155"/>
      <c r="O452" s="155"/>
      <c r="P452" s="155"/>
      <c r="Q452" s="155"/>
      <c r="R452" s="155"/>
      <c r="S452" s="1"/>
      <c r="T452" s="1"/>
      <c r="U452" s="1"/>
      <c r="V452" s="1"/>
      <c r="W452" s="1"/>
      <c r="X452" s="1"/>
      <c r="Y452" s="1"/>
      <c r="Z452" s="1"/>
      <c r="AA452" s="1"/>
      <c r="AB452" s="1"/>
    </row>
    <row r="453" ht="12.75" customHeight="1">
      <c r="A453" s="1"/>
      <c r="B453" s="146"/>
      <c r="C453" s="150"/>
      <c r="D453" s="151"/>
      <c r="E453" s="24"/>
      <c r="F453" s="24"/>
      <c r="G453" s="24"/>
      <c r="H453" s="24"/>
      <c r="I453" s="24"/>
      <c r="J453" s="24"/>
      <c r="K453" s="24"/>
      <c r="L453" s="24"/>
      <c r="M453" s="24"/>
      <c r="N453" s="155"/>
      <c r="O453" s="155"/>
      <c r="P453" s="155"/>
      <c r="Q453" s="155"/>
      <c r="R453" s="155"/>
      <c r="S453" s="1"/>
      <c r="T453" s="1"/>
      <c r="U453" s="1"/>
      <c r="V453" s="1"/>
      <c r="W453" s="1"/>
      <c r="X453" s="1"/>
      <c r="Y453" s="1"/>
      <c r="Z453" s="1"/>
      <c r="AA453" s="1"/>
      <c r="AB453" s="1"/>
    </row>
    <row r="454" ht="12.75" customHeight="1">
      <c r="A454" s="1"/>
      <c r="B454" s="146"/>
      <c r="C454" s="150"/>
      <c r="D454" s="151"/>
      <c r="E454" s="24"/>
      <c r="F454" s="24"/>
      <c r="G454" s="24"/>
      <c r="H454" s="24"/>
      <c r="I454" s="24"/>
      <c r="J454" s="24"/>
      <c r="K454" s="24"/>
      <c r="L454" s="24"/>
      <c r="M454" s="24"/>
      <c r="N454" s="155"/>
      <c r="O454" s="155"/>
      <c r="P454" s="155"/>
      <c r="Q454" s="155"/>
      <c r="R454" s="155"/>
      <c r="S454" s="1"/>
      <c r="T454" s="1"/>
      <c r="U454" s="1"/>
      <c r="V454" s="1"/>
      <c r="W454" s="1"/>
      <c r="X454" s="1"/>
      <c r="Y454" s="1"/>
      <c r="Z454" s="1"/>
      <c r="AA454" s="1"/>
      <c r="AB454" s="1"/>
    </row>
    <row r="455" ht="12.75" customHeight="1">
      <c r="A455" s="1"/>
      <c r="B455" s="146"/>
      <c r="C455" s="150"/>
      <c r="D455" s="151"/>
      <c r="E455" s="24"/>
      <c r="F455" s="24"/>
      <c r="G455" s="24"/>
      <c r="H455" s="24"/>
      <c r="I455" s="24"/>
      <c r="J455" s="24"/>
      <c r="K455" s="24"/>
      <c r="L455" s="24"/>
      <c r="M455" s="24"/>
      <c r="N455" s="155"/>
      <c r="O455" s="155"/>
      <c r="P455" s="155"/>
      <c r="Q455" s="155"/>
      <c r="R455" s="155"/>
      <c r="S455" s="1"/>
      <c r="T455" s="1"/>
      <c r="U455" s="1"/>
      <c r="V455" s="1"/>
      <c r="W455" s="1"/>
      <c r="X455" s="1"/>
      <c r="Y455" s="1"/>
      <c r="Z455" s="1"/>
      <c r="AA455" s="1"/>
      <c r="AB455" s="1"/>
    </row>
    <row r="456" ht="12.75" customHeight="1">
      <c r="A456" s="1"/>
      <c r="B456" s="146"/>
      <c r="C456" s="150"/>
      <c r="D456" s="151"/>
      <c r="E456" s="24"/>
      <c r="F456" s="24"/>
      <c r="G456" s="24"/>
      <c r="H456" s="24"/>
      <c r="I456" s="24"/>
      <c r="J456" s="24"/>
      <c r="K456" s="24"/>
      <c r="L456" s="24"/>
      <c r="M456" s="24"/>
      <c r="N456" s="155"/>
      <c r="O456" s="155"/>
      <c r="P456" s="155"/>
      <c r="Q456" s="155"/>
      <c r="R456" s="155"/>
      <c r="S456" s="1"/>
      <c r="T456" s="1"/>
      <c r="U456" s="1"/>
      <c r="V456" s="1"/>
      <c r="W456" s="1"/>
      <c r="X456" s="1"/>
      <c r="Y456" s="1"/>
      <c r="Z456" s="1"/>
      <c r="AA456" s="1"/>
      <c r="AB456" s="1"/>
    </row>
    <row r="457" ht="12.75" customHeight="1">
      <c r="A457" s="1"/>
      <c r="B457" s="146"/>
      <c r="C457" s="150"/>
      <c r="D457" s="151"/>
      <c r="E457" s="24"/>
      <c r="F457" s="24"/>
      <c r="G457" s="24"/>
      <c r="H457" s="24"/>
      <c r="I457" s="24"/>
      <c r="J457" s="24"/>
      <c r="K457" s="24"/>
      <c r="L457" s="24"/>
      <c r="M457" s="24"/>
      <c r="N457" s="155"/>
      <c r="O457" s="155"/>
      <c r="P457" s="155"/>
      <c r="Q457" s="155"/>
      <c r="R457" s="155"/>
      <c r="S457" s="1"/>
      <c r="T457" s="1"/>
      <c r="U457" s="1"/>
      <c r="V457" s="1"/>
      <c r="W457" s="1"/>
      <c r="X457" s="1"/>
      <c r="Y457" s="1"/>
      <c r="Z457" s="1"/>
      <c r="AA457" s="1"/>
      <c r="AB457" s="1"/>
    </row>
    <row r="458" ht="12.75" customHeight="1">
      <c r="A458" s="1"/>
      <c r="B458" s="146"/>
      <c r="C458" s="150"/>
      <c r="D458" s="151"/>
      <c r="E458" s="24"/>
      <c r="F458" s="24"/>
      <c r="G458" s="24"/>
      <c r="H458" s="24"/>
      <c r="I458" s="24"/>
      <c r="J458" s="24"/>
      <c r="K458" s="24"/>
      <c r="L458" s="24"/>
      <c r="M458" s="24"/>
      <c r="N458" s="155"/>
      <c r="O458" s="155"/>
      <c r="P458" s="155"/>
      <c r="Q458" s="155"/>
      <c r="R458" s="155"/>
      <c r="S458" s="1"/>
      <c r="T458" s="1"/>
      <c r="U458" s="1"/>
      <c r="V458" s="1"/>
      <c r="W458" s="1"/>
      <c r="X458" s="1"/>
      <c r="Y458" s="1"/>
      <c r="Z458" s="1"/>
      <c r="AA458" s="1"/>
      <c r="AB458" s="1"/>
    </row>
    <row r="459" ht="12.75" customHeight="1">
      <c r="A459" s="1"/>
      <c r="B459" s="146"/>
      <c r="C459" s="150"/>
      <c r="D459" s="151"/>
      <c r="E459" s="24"/>
      <c r="F459" s="24"/>
      <c r="G459" s="24"/>
      <c r="H459" s="24"/>
      <c r="I459" s="24"/>
      <c r="J459" s="24"/>
      <c r="K459" s="24"/>
      <c r="L459" s="24"/>
      <c r="M459" s="24"/>
      <c r="N459" s="155"/>
      <c r="O459" s="155"/>
      <c r="P459" s="155"/>
      <c r="Q459" s="155"/>
      <c r="R459" s="155"/>
      <c r="S459" s="1"/>
      <c r="T459" s="1"/>
      <c r="U459" s="1"/>
      <c r="V459" s="1"/>
      <c r="W459" s="1"/>
      <c r="X459" s="1"/>
      <c r="Y459" s="1"/>
      <c r="Z459" s="1"/>
      <c r="AA459" s="1"/>
      <c r="AB459" s="1"/>
    </row>
    <row r="460" ht="12.75" customHeight="1">
      <c r="A460" s="1"/>
      <c r="B460" s="146"/>
      <c r="C460" s="150"/>
      <c r="D460" s="151"/>
      <c r="E460" s="24"/>
      <c r="F460" s="24"/>
      <c r="G460" s="24"/>
      <c r="H460" s="24"/>
      <c r="I460" s="24"/>
      <c r="J460" s="24"/>
      <c r="K460" s="24"/>
      <c r="L460" s="24"/>
      <c r="M460" s="24"/>
      <c r="N460" s="155"/>
      <c r="O460" s="155"/>
      <c r="P460" s="155"/>
      <c r="Q460" s="155"/>
      <c r="R460" s="155"/>
      <c r="S460" s="1"/>
      <c r="T460" s="1"/>
      <c r="U460" s="1"/>
      <c r="V460" s="1"/>
      <c r="W460" s="1"/>
      <c r="X460" s="1"/>
      <c r="Y460" s="1"/>
      <c r="Z460" s="1"/>
      <c r="AA460" s="1"/>
      <c r="AB460" s="1"/>
    </row>
    <row r="461" ht="12.75" customHeight="1">
      <c r="A461" s="1"/>
      <c r="B461" s="146"/>
      <c r="C461" s="150"/>
      <c r="D461" s="151"/>
      <c r="E461" s="24"/>
      <c r="F461" s="24"/>
      <c r="G461" s="24"/>
      <c r="H461" s="24"/>
      <c r="I461" s="24"/>
      <c r="J461" s="24"/>
      <c r="K461" s="24"/>
      <c r="L461" s="24"/>
      <c r="M461" s="24"/>
      <c r="N461" s="155"/>
      <c r="O461" s="155"/>
      <c r="P461" s="155"/>
      <c r="Q461" s="155"/>
      <c r="R461" s="155"/>
      <c r="S461" s="1"/>
      <c r="T461" s="1"/>
      <c r="U461" s="1"/>
      <c r="V461" s="1"/>
      <c r="W461" s="1"/>
      <c r="X461" s="1"/>
      <c r="Y461" s="1"/>
      <c r="Z461" s="1"/>
      <c r="AA461" s="1"/>
      <c r="AB461" s="1"/>
    </row>
    <row r="462" ht="12.75" customHeight="1">
      <c r="A462" s="1"/>
      <c r="B462" s="146"/>
      <c r="C462" s="150"/>
      <c r="D462" s="151"/>
      <c r="E462" s="24"/>
      <c r="F462" s="24"/>
      <c r="G462" s="24"/>
      <c r="H462" s="24"/>
      <c r="I462" s="24"/>
      <c r="J462" s="24"/>
      <c r="K462" s="24"/>
      <c r="L462" s="24"/>
      <c r="M462" s="24"/>
      <c r="N462" s="155"/>
      <c r="O462" s="155"/>
      <c r="P462" s="155"/>
      <c r="Q462" s="155"/>
      <c r="R462" s="155"/>
      <c r="S462" s="1"/>
      <c r="T462" s="1"/>
      <c r="U462" s="1"/>
      <c r="V462" s="1"/>
      <c r="W462" s="1"/>
      <c r="X462" s="1"/>
      <c r="Y462" s="1"/>
      <c r="Z462" s="1"/>
      <c r="AA462" s="1"/>
      <c r="AB462" s="1"/>
    </row>
    <row r="463" ht="12.75" customHeight="1">
      <c r="A463" s="1"/>
      <c r="B463" s="146"/>
      <c r="C463" s="150"/>
      <c r="D463" s="151"/>
      <c r="E463" s="24"/>
      <c r="F463" s="24"/>
      <c r="G463" s="24"/>
      <c r="H463" s="24"/>
      <c r="I463" s="24"/>
      <c r="J463" s="24"/>
      <c r="K463" s="24"/>
      <c r="L463" s="24"/>
      <c r="M463" s="24"/>
      <c r="N463" s="155"/>
      <c r="O463" s="155"/>
      <c r="P463" s="155"/>
      <c r="Q463" s="155"/>
      <c r="R463" s="155"/>
      <c r="S463" s="1"/>
      <c r="T463" s="1"/>
      <c r="U463" s="1"/>
      <c r="V463" s="1"/>
      <c r="W463" s="1"/>
      <c r="X463" s="1"/>
      <c r="Y463" s="1"/>
      <c r="Z463" s="1"/>
      <c r="AA463" s="1"/>
      <c r="AB463" s="1"/>
    </row>
    <row r="464" ht="12.75" customHeight="1">
      <c r="A464" s="1"/>
      <c r="B464" s="146"/>
      <c r="C464" s="150"/>
      <c r="D464" s="151"/>
      <c r="E464" s="24"/>
      <c r="F464" s="24"/>
      <c r="G464" s="24"/>
      <c r="H464" s="24"/>
      <c r="I464" s="24"/>
      <c r="J464" s="24"/>
      <c r="K464" s="24"/>
      <c r="L464" s="24"/>
      <c r="M464" s="24"/>
      <c r="N464" s="155"/>
      <c r="O464" s="155"/>
      <c r="P464" s="155"/>
      <c r="Q464" s="155"/>
      <c r="R464" s="155"/>
      <c r="S464" s="1"/>
      <c r="T464" s="1"/>
      <c r="U464" s="1"/>
      <c r="V464" s="1"/>
      <c r="W464" s="1"/>
      <c r="X464" s="1"/>
      <c r="Y464" s="1"/>
      <c r="Z464" s="1"/>
      <c r="AA464" s="1"/>
      <c r="AB464" s="1"/>
    </row>
    <row r="465" ht="12.75" customHeight="1">
      <c r="A465" s="1"/>
      <c r="B465" s="146"/>
      <c r="C465" s="150"/>
      <c r="D465" s="151"/>
      <c r="E465" s="24"/>
      <c r="F465" s="24"/>
      <c r="G465" s="24"/>
      <c r="H465" s="24"/>
      <c r="I465" s="24"/>
      <c r="J465" s="24"/>
      <c r="K465" s="24"/>
      <c r="L465" s="24"/>
      <c r="M465" s="24"/>
      <c r="N465" s="155"/>
      <c r="O465" s="155"/>
      <c r="P465" s="155"/>
      <c r="Q465" s="155"/>
      <c r="R465" s="155"/>
      <c r="S465" s="1"/>
      <c r="T465" s="1"/>
      <c r="U465" s="1"/>
      <c r="V465" s="1"/>
      <c r="W465" s="1"/>
      <c r="X465" s="1"/>
      <c r="Y465" s="1"/>
      <c r="Z465" s="1"/>
      <c r="AA465" s="1"/>
      <c r="AB465" s="1"/>
    </row>
    <row r="466" ht="12.75" customHeight="1">
      <c r="A466" s="1"/>
      <c r="B466" s="146"/>
      <c r="C466" s="150"/>
      <c r="D466" s="151"/>
      <c r="E466" s="24"/>
      <c r="F466" s="24"/>
      <c r="G466" s="24"/>
      <c r="H466" s="24"/>
      <c r="I466" s="24"/>
      <c r="J466" s="24"/>
      <c r="K466" s="24"/>
      <c r="L466" s="24"/>
      <c r="M466" s="24"/>
      <c r="N466" s="155"/>
      <c r="O466" s="155"/>
      <c r="P466" s="155"/>
      <c r="Q466" s="155"/>
      <c r="R466" s="155"/>
      <c r="S466" s="1"/>
      <c r="T466" s="1"/>
      <c r="U466" s="1"/>
      <c r="V466" s="1"/>
      <c r="W466" s="1"/>
      <c r="X466" s="1"/>
      <c r="Y466" s="1"/>
      <c r="Z466" s="1"/>
      <c r="AA466" s="1"/>
      <c r="AB466" s="1"/>
    </row>
    <row r="467" ht="12.75" customHeight="1">
      <c r="A467" s="1"/>
      <c r="B467" s="146"/>
      <c r="C467" s="150"/>
      <c r="D467" s="151"/>
      <c r="E467" s="24"/>
      <c r="F467" s="24"/>
      <c r="G467" s="24"/>
      <c r="H467" s="24"/>
      <c r="I467" s="24"/>
      <c r="J467" s="24"/>
      <c r="K467" s="24"/>
      <c r="L467" s="24"/>
      <c r="M467" s="24"/>
      <c r="N467" s="155"/>
      <c r="O467" s="155"/>
      <c r="P467" s="155"/>
      <c r="Q467" s="155"/>
      <c r="R467" s="155"/>
      <c r="S467" s="1"/>
      <c r="T467" s="1"/>
      <c r="U467" s="1"/>
      <c r="V467" s="1"/>
      <c r="W467" s="1"/>
      <c r="X467" s="1"/>
      <c r="Y467" s="1"/>
      <c r="Z467" s="1"/>
      <c r="AA467" s="1"/>
      <c r="AB467" s="1"/>
    </row>
    <row r="468" ht="12.75" customHeight="1">
      <c r="A468" s="1"/>
      <c r="B468" s="146"/>
      <c r="C468" s="150"/>
      <c r="D468" s="151"/>
      <c r="E468" s="24"/>
      <c r="F468" s="24"/>
      <c r="G468" s="24"/>
      <c r="H468" s="24"/>
      <c r="I468" s="24"/>
      <c r="J468" s="24"/>
      <c r="K468" s="24"/>
      <c r="L468" s="24"/>
      <c r="M468" s="24"/>
      <c r="N468" s="155"/>
      <c r="O468" s="155"/>
      <c r="P468" s="155"/>
      <c r="Q468" s="155"/>
      <c r="R468" s="155"/>
      <c r="S468" s="1"/>
      <c r="T468" s="1"/>
      <c r="U468" s="1"/>
      <c r="V468" s="1"/>
      <c r="W468" s="1"/>
      <c r="X468" s="1"/>
      <c r="Y468" s="1"/>
      <c r="Z468" s="1"/>
      <c r="AA468" s="1"/>
      <c r="AB468" s="1"/>
    </row>
    <row r="469" ht="12.75" customHeight="1">
      <c r="A469" s="1"/>
      <c r="B469" s="146"/>
      <c r="C469" s="150"/>
      <c r="D469" s="151"/>
      <c r="E469" s="24"/>
      <c r="F469" s="24"/>
      <c r="G469" s="24"/>
      <c r="H469" s="24"/>
      <c r="I469" s="24"/>
      <c r="J469" s="24"/>
      <c r="K469" s="24"/>
      <c r="L469" s="24"/>
      <c r="M469" s="24"/>
      <c r="N469" s="155"/>
      <c r="O469" s="155"/>
      <c r="P469" s="155"/>
      <c r="Q469" s="155"/>
      <c r="R469" s="155"/>
      <c r="S469" s="1"/>
      <c r="T469" s="1"/>
      <c r="U469" s="1"/>
      <c r="V469" s="1"/>
      <c r="W469" s="1"/>
      <c r="X469" s="1"/>
      <c r="Y469" s="1"/>
      <c r="Z469" s="1"/>
      <c r="AA469" s="1"/>
      <c r="AB469" s="1"/>
    </row>
    <row r="470" ht="12.75" customHeight="1">
      <c r="A470" s="1"/>
      <c r="B470" s="146"/>
      <c r="C470" s="150"/>
      <c r="D470" s="151"/>
      <c r="E470" s="24"/>
      <c r="F470" s="24"/>
      <c r="G470" s="24"/>
      <c r="H470" s="24"/>
      <c r="I470" s="24"/>
      <c r="J470" s="24"/>
      <c r="K470" s="24"/>
      <c r="L470" s="24"/>
      <c r="M470" s="24"/>
      <c r="N470" s="155"/>
      <c r="O470" s="155"/>
      <c r="P470" s="155"/>
      <c r="Q470" s="155"/>
      <c r="R470" s="155"/>
      <c r="S470" s="1"/>
      <c r="T470" s="1"/>
      <c r="U470" s="1"/>
      <c r="V470" s="1"/>
      <c r="W470" s="1"/>
      <c r="X470" s="1"/>
      <c r="Y470" s="1"/>
      <c r="Z470" s="1"/>
      <c r="AA470" s="1"/>
      <c r="AB470" s="1"/>
    </row>
    <row r="471" ht="12.75" customHeight="1">
      <c r="A471" s="1"/>
      <c r="B471" s="146"/>
      <c r="C471" s="150"/>
      <c r="D471" s="151"/>
      <c r="E471" s="24"/>
      <c r="F471" s="24"/>
      <c r="G471" s="24"/>
      <c r="H471" s="24"/>
      <c r="I471" s="24"/>
      <c r="J471" s="24"/>
      <c r="K471" s="24"/>
      <c r="L471" s="24"/>
      <c r="M471" s="24"/>
      <c r="N471" s="155"/>
      <c r="O471" s="155"/>
      <c r="P471" s="155"/>
      <c r="Q471" s="155"/>
      <c r="R471" s="155"/>
      <c r="S471" s="1"/>
      <c r="T471" s="1"/>
      <c r="U471" s="1"/>
      <c r="V471" s="1"/>
      <c r="W471" s="1"/>
      <c r="X471" s="1"/>
      <c r="Y471" s="1"/>
      <c r="Z471" s="1"/>
      <c r="AA471" s="1"/>
      <c r="AB471" s="1"/>
    </row>
    <row r="472" ht="12.75" customHeight="1">
      <c r="A472" s="1"/>
      <c r="B472" s="146"/>
      <c r="C472" s="150"/>
      <c r="D472" s="151"/>
      <c r="E472" s="24"/>
      <c r="F472" s="24"/>
      <c r="G472" s="24"/>
      <c r="H472" s="24"/>
      <c r="I472" s="24"/>
      <c r="J472" s="24"/>
      <c r="K472" s="24"/>
      <c r="L472" s="24"/>
      <c r="M472" s="24"/>
      <c r="N472" s="155"/>
      <c r="O472" s="155"/>
      <c r="P472" s="155"/>
      <c r="Q472" s="155"/>
      <c r="R472" s="155"/>
      <c r="S472" s="1"/>
      <c r="T472" s="1"/>
      <c r="U472" s="1"/>
      <c r="V472" s="1"/>
      <c r="W472" s="1"/>
      <c r="X472" s="1"/>
      <c r="Y472" s="1"/>
      <c r="Z472" s="1"/>
      <c r="AA472" s="1"/>
      <c r="AB472" s="1"/>
    </row>
    <row r="473" ht="12.75" customHeight="1">
      <c r="A473" s="1"/>
      <c r="B473" s="146"/>
      <c r="C473" s="150"/>
      <c r="D473" s="151"/>
      <c r="E473" s="24"/>
      <c r="F473" s="24"/>
      <c r="G473" s="24"/>
      <c r="H473" s="24"/>
      <c r="I473" s="24"/>
      <c r="J473" s="24"/>
      <c r="K473" s="24"/>
      <c r="L473" s="24"/>
      <c r="M473" s="24"/>
      <c r="N473" s="155"/>
      <c r="O473" s="155"/>
      <c r="P473" s="155"/>
      <c r="Q473" s="155"/>
      <c r="R473" s="155"/>
      <c r="S473" s="1"/>
      <c r="T473" s="1"/>
      <c r="U473" s="1"/>
      <c r="V473" s="1"/>
      <c r="W473" s="1"/>
      <c r="X473" s="1"/>
      <c r="Y473" s="1"/>
      <c r="Z473" s="1"/>
      <c r="AA473" s="1"/>
      <c r="AB473" s="1"/>
    </row>
    <row r="474" ht="12.75" customHeight="1">
      <c r="A474" s="1"/>
      <c r="B474" s="146"/>
      <c r="C474" s="150"/>
      <c r="D474" s="151"/>
      <c r="E474" s="24"/>
      <c r="F474" s="24"/>
      <c r="G474" s="24"/>
      <c r="H474" s="24"/>
      <c r="I474" s="24"/>
      <c r="J474" s="24"/>
      <c r="K474" s="24"/>
      <c r="L474" s="24"/>
      <c r="M474" s="24"/>
      <c r="N474" s="155"/>
      <c r="O474" s="155"/>
      <c r="P474" s="155"/>
      <c r="Q474" s="155"/>
      <c r="R474" s="155"/>
      <c r="S474" s="1"/>
      <c r="T474" s="1"/>
      <c r="U474" s="1"/>
      <c r="V474" s="1"/>
      <c r="W474" s="1"/>
      <c r="X474" s="1"/>
      <c r="Y474" s="1"/>
      <c r="Z474" s="1"/>
      <c r="AA474" s="1"/>
      <c r="AB474" s="1"/>
    </row>
    <row r="475" ht="12.75" customHeight="1">
      <c r="A475" s="1"/>
      <c r="B475" s="146"/>
      <c r="C475" s="150"/>
      <c r="D475" s="151"/>
      <c r="E475" s="24"/>
      <c r="F475" s="24"/>
      <c r="G475" s="24"/>
      <c r="H475" s="24"/>
      <c r="I475" s="24"/>
      <c r="J475" s="24"/>
      <c r="K475" s="24"/>
      <c r="L475" s="24"/>
      <c r="M475" s="24"/>
      <c r="N475" s="155"/>
      <c r="O475" s="155"/>
      <c r="P475" s="155"/>
      <c r="Q475" s="155"/>
      <c r="R475" s="155"/>
      <c r="S475" s="1"/>
      <c r="T475" s="1"/>
      <c r="U475" s="1"/>
      <c r="V475" s="1"/>
      <c r="W475" s="1"/>
      <c r="X475" s="1"/>
      <c r="Y475" s="1"/>
      <c r="Z475" s="1"/>
      <c r="AA475" s="1"/>
      <c r="AB475" s="1"/>
    </row>
    <row r="476" ht="12.75" customHeight="1">
      <c r="A476" s="1"/>
      <c r="B476" s="146"/>
      <c r="C476" s="150"/>
      <c r="D476" s="151"/>
      <c r="E476" s="24"/>
      <c r="F476" s="24"/>
      <c r="G476" s="24"/>
      <c r="H476" s="24"/>
      <c r="I476" s="24"/>
      <c r="J476" s="24"/>
      <c r="K476" s="24"/>
      <c r="L476" s="24"/>
      <c r="M476" s="24"/>
      <c r="N476" s="155"/>
      <c r="O476" s="155"/>
      <c r="P476" s="155"/>
      <c r="Q476" s="155"/>
      <c r="R476" s="155"/>
      <c r="S476" s="1"/>
      <c r="T476" s="1"/>
      <c r="U476" s="1"/>
      <c r="V476" s="1"/>
      <c r="W476" s="1"/>
      <c r="X476" s="1"/>
      <c r="Y476" s="1"/>
      <c r="Z476" s="1"/>
      <c r="AA476" s="1"/>
      <c r="AB476" s="1"/>
    </row>
    <row r="477" ht="12.75" customHeight="1">
      <c r="A477" s="1"/>
      <c r="B477" s="146"/>
      <c r="C477" s="150"/>
      <c r="D477" s="151"/>
      <c r="E477" s="24"/>
      <c r="F477" s="24"/>
      <c r="G477" s="24"/>
      <c r="H477" s="24"/>
      <c r="I477" s="24"/>
      <c r="J477" s="24"/>
      <c r="K477" s="24"/>
      <c r="L477" s="24"/>
      <c r="M477" s="24"/>
      <c r="N477" s="155"/>
      <c r="O477" s="155"/>
      <c r="P477" s="155"/>
      <c r="Q477" s="155"/>
      <c r="R477" s="155"/>
      <c r="S477" s="1"/>
      <c r="T477" s="1"/>
      <c r="U477" s="1"/>
      <c r="V477" s="1"/>
      <c r="W477" s="1"/>
      <c r="X477" s="1"/>
      <c r="Y477" s="1"/>
      <c r="Z477" s="1"/>
      <c r="AA477" s="1"/>
      <c r="AB477" s="1"/>
    </row>
    <row r="478" ht="12.75" customHeight="1">
      <c r="A478" s="1"/>
      <c r="B478" s="146"/>
      <c r="C478" s="150"/>
      <c r="D478" s="151"/>
      <c r="E478" s="24"/>
      <c r="F478" s="24"/>
      <c r="G478" s="24"/>
      <c r="H478" s="24"/>
      <c r="I478" s="24"/>
      <c r="J478" s="24"/>
      <c r="K478" s="24"/>
      <c r="L478" s="24"/>
      <c r="M478" s="24"/>
      <c r="N478" s="155"/>
      <c r="O478" s="155"/>
      <c r="P478" s="155"/>
      <c r="Q478" s="155"/>
      <c r="R478" s="155"/>
      <c r="S478" s="1"/>
      <c r="T478" s="1"/>
      <c r="U478" s="1"/>
      <c r="V478" s="1"/>
      <c r="W478" s="1"/>
      <c r="X478" s="1"/>
      <c r="Y478" s="1"/>
      <c r="Z478" s="1"/>
      <c r="AA478" s="1"/>
      <c r="AB478" s="1"/>
    </row>
    <row r="479" ht="12.75" customHeight="1">
      <c r="A479" s="1"/>
      <c r="B479" s="146"/>
      <c r="C479" s="150"/>
      <c r="D479" s="151"/>
      <c r="E479" s="24"/>
      <c r="F479" s="24"/>
      <c r="G479" s="24"/>
      <c r="H479" s="24"/>
      <c r="I479" s="24"/>
      <c r="J479" s="24"/>
      <c r="K479" s="24"/>
      <c r="L479" s="24"/>
      <c r="M479" s="24"/>
      <c r="N479" s="155"/>
      <c r="O479" s="155"/>
      <c r="P479" s="155"/>
      <c r="Q479" s="155"/>
      <c r="R479" s="155"/>
      <c r="S479" s="1"/>
      <c r="T479" s="1"/>
      <c r="U479" s="1"/>
      <c r="V479" s="1"/>
      <c r="W479" s="1"/>
      <c r="X479" s="1"/>
      <c r="Y479" s="1"/>
      <c r="Z479" s="1"/>
      <c r="AA479" s="1"/>
      <c r="AB479" s="1"/>
    </row>
    <row r="480" ht="12.75" customHeight="1">
      <c r="A480" s="1"/>
      <c r="B480" s="146"/>
      <c r="C480" s="150"/>
      <c r="D480" s="151"/>
      <c r="E480" s="24"/>
      <c r="F480" s="24"/>
      <c r="G480" s="24"/>
      <c r="H480" s="24"/>
      <c r="I480" s="24"/>
      <c r="J480" s="24"/>
      <c r="K480" s="24"/>
      <c r="L480" s="24"/>
      <c r="M480" s="24"/>
      <c r="N480" s="155"/>
      <c r="O480" s="155"/>
      <c r="P480" s="155"/>
      <c r="Q480" s="155"/>
      <c r="R480" s="155"/>
      <c r="S480" s="1"/>
      <c r="T480" s="1"/>
      <c r="U480" s="1"/>
      <c r="V480" s="1"/>
      <c r="W480" s="1"/>
      <c r="X480" s="1"/>
      <c r="Y480" s="1"/>
      <c r="Z480" s="1"/>
      <c r="AA480" s="1"/>
      <c r="AB480" s="1"/>
    </row>
    <row r="481" ht="12.75" customHeight="1">
      <c r="A481" s="1"/>
      <c r="B481" s="146"/>
      <c r="C481" s="150"/>
      <c r="D481" s="151"/>
      <c r="E481" s="24"/>
      <c r="F481" s="24"/>
      <c r="G481" s="24"/>
      <c r="H481" s="24"/>
      <c r="I481" s="24"/>
      <c r="J481" s="24"/>
      <c r="K481" s="24"/>
      <c r="L481" s="24"/>
      <c r="M481" s="24"/>
      <c r="N481" s="155"/>
      <c r="O481" s="155"/>
      <c r="P481" s="155"/>
      <c r="Q481" s="155"/>
      <c r="R481" s="155"/>
      <c r="S481" s="1"/>
      <c r="T481" s="1"/>
      <c r="U481" s="1"/>
      <c r="V481" s="1"/>
      <c r="W481" s="1"/>
      <c r="X481" s="1"/>
      <c r="Y481" s="1"/>
      <c r="Z481" s="1"/>
      <c r="AA481" s="1"/>
      <c r="AB481" s="1"/>
    </row>
    <row r="482" ht="12.75" customHeight="1">
      <c r="A482" s="1"/>
      <c r="B482" s="146"/>
      <c r="C482" s="150"/>
      <c r="D482" s="151"/>
      <c r="E482" s="24"/>
      <c r="F482" s="24"/>
      <c r="G482" s="24"/>
      <c r="H482" s="24"/>
      <c r="I482" s="24"/>
      <c r="J482" s="24"/>
      <c r="K482" s="24"/>
      <c r="L482" s="24"/>
      <c r="M482" s="24"/>
      <c r="N482" s="155"/>
      <c r="O482" s="155"/>
      <c r="P482" s="155"/>
      <c r="Q482" s="155"/>
      <c r="R482" s="155"/>
      <c r="S482" s="1"/>
      <c r="T482" s="1"/>
      <c r="U482" s="1"/>
      <c r="V482" s="1"/>
      <c r="W482" s="1"/>
      <c r="X482" s="1"/>
      <c r="Y482" s="1"/>
      <c r="Z482" s="1"/>
      <c r="AA482" s="1"/>
      <c r="AB482" s="1"/>
    </row>
    <row r="483" ht="12.75" customHeight="1">
      <c r="A483" s="1"/>
      <c r="B483" s="146"/>
      <c r="C483" s="150"/>
      <c r="D483" s="151"/>
      <c r="E483" s="24"/>
      <c r="F483" s="24"/>
      <c r="G483" s="24"/>
      <c r="H483" s="24"/>
      <c r="I483" s="24"/>
      <c r="J483" s="24"/>
      <c r="K483" s="24"/>
      <c r="L483" s="24"/>
      <c r="M483" s="24"/>
      <c r="N483" s="155"/>
      <c r="O483" s="155"/>
      <c r="P483" s="155"/>
      <c r="Q483" s="155"/>
      <c r="R483" s="155"/>
      <c r="S483" s="1"/>
      <c r="T483" s="1"/>
      <c r="U483" s="1"/>
      <c r="V483" s="1"/>
      <c r="W483" s="1"/>
      <c r="X483" s="1"/>
      <c r="Y483" s="1"/>
      <c r="Z483" s="1"/>
      <c r="AA483" s="1"/>
      <c r="AB483" s="1"/>
    </row>
    <row r="484" ht="12.75" customHeight="1">
      <c r="A484" s="1"/>
      <c r="B484" s="146"/>
      <c r="C484" s="150"/>
      <c r="D484" s="151"/>
      <c r="E484" s="24"/>
      <c r="F484" s="24"/>
      <c r="G484" s="24"/>
      <c r="H484" s="24"/>
      <c r="I484" s="24"/>
      <c r="J484" s="24"/>
      <c r="K484" s="24"/>
      <c r="L484" s="24"/>
      <c r="M484" s="24"/>
      <c r="N484" s="155"/>
      <c r="O484" s="155"/>
      <c r="P484" s="155"/>
      <c r="Q484" s="155"/>
      <c r="R484" s="155"/>
      <c r="S484" s="1"/>
      <c r="T484" s="1"/>
      <c r="U484" s="1"/>
      <c r="V484" s="1"/>
      <c r="W484" s="1"/>
      <c r="X484" s="1"/>
      <c r="Y484" s="1"/>
      <c r="Z484" s="1"/>
      <c r="AA484" s="1"/>
      <c r="AB484" s="1"/>
    </row>
    <row r="485" ht="12.75" customHeight="1">
      <c r="A485" s="1"/>
      <c r="B485" s="146"/>
      <c r="C485" s="150"/>
      <c r="D485" s="151"/>
      <c r="E485" s="24"/>
      <c r="F485" s="24"/>
      <c r="G485" s="24"/>
      <c r="H485" s="24"/>
      <c r="I485" s="24"/>
      <c r="J485" s="24"/>
      <c r="K485" s="24"/>
      <c r="L485" s="24"/>
      <c r="M485" s="24"/>
      <c r="N485" s="155"/>
      <c r="O485" s="155"/>
      <c r="P485" s="155"/>
      <c r="Q485" s="155"/>
      <c r="R485" s="155"/>
      <c r="S485" s="1"/>
      <c r="T485" s="1"/>
      <c r="U485" s="1"/>
      <c r="V485" s="1"/>
      <c r="W485" s="1"/>
      <c r="X485" s="1"/>
      <c r="Y485" s="1"/>
      <c r="Z485" s="1"/>
      <c r="AA485" s="1"/>
      <c r="AB485" s="1"/>
    </row>
    <row r="486" ht="12.75" customHeight="1">
      <c r="A486" s="1"/>
      <c r="B486" s="146"/>
      <c r="C486" s="150"/>
      <c r="D486" s="151"/>
      <c r="E486" s="24"/>
      <c r="F486" s="24"/>
      <c r="G486" s="24"/>
      <c r="H486" s="24"/>
      <c r="I486" s="24"/>
      <c r="J486" s="24"/>
      <c r="K486" s="24"/>
      <c r="L486" s="24"/>
      <c r="M486" s="24"/>
      <c r="N486" s="155"/>
      <c r="O486" s="155"/>
      <c r="P486" s="155"/>
      <c r="Q486" s="155"/>
      <c r="R486" s="155"/>
      <c r="S486" s="1"/>
      <c r="T486" s="1"/>
      <c r="U486" s="1"/>
      <c r="V486" s="1"/>
      <c r="W486" s="1"/>
      <c r="X486" s="1"/>
      <c r="Y486" s="1"/>
      <c r="Z486" s="1"/>
      <c r="AA486" s="1"/>
      <c r="AB486" s="1"/>
    </row>
    <row r="487" ht="12.75" customHeight="1">
      <c r="A487" s="1"/>
      <c r="B487" s="146"/>
      <c r="C487" s="150"/>
      <c r="D487" s="151"/>
      <c r="E487" s="24"/>
      <c r="F487" s="24"/>
      <c r="G487" s="24"/>
      <c r="H487" s="24"/>
      <c r="I487" s="24"/>
      <c r="J487" s="24"/>
      <c r="K487" s="24"/>
      <c r="L487" s="24"/>
      <c r="M487" s="24"/>
      <c r="N487" s="155"/>
      <c r="O487" s="155"/>
      <c r="P487" s="155"/>
      <c r="Q487" s="155"/>
      <c r="R487" s="155"/>
      <c r="S487" s="1"/>
      <c r="T487" s="1"/>
      <c r="U487" s="1"/>
      <c r="V487" s="1"/>
      <c r="W487" s="1"/>
      <c r="X487" s="1"/>
      <c r="Y487" s="1"/>
      <c r="Z487" s="1"/>
      <c r="AA487" s="1"/>
      <c r="AB487" s="1"/>
    </row>
    <row r="488" ht="12.75" customHeight="1">
      <c r="A488" s="1"/>
      <c r="B488" s="146"/>
      <c r="C488" s="150"/>
      <c r="D488" s="151"/>
      <c r="E488" s="24"/>
      <c r="F488" s="24"/>
      <c r="G488" s="24"/>
      <c r="H488" s="24"/>
      <c r="I488" s="24"/>
      <c r="J488" s="24"/>
      <c r="K488" s="24"/>
      <c r="L488" s="24"/>
      <c r="M488" s="24"/>
      <c r="N488" s="155"/>
      <c r="O488" s="155"/>
      <c r="P488" s="155"/>
      <c r="Q488" s="155"/>
      <c r="R488" s="155"/>
      <c r="S488" s="1"/>
      <c r="T488" s="1"/>
      <c r="U488" s="1"/>
      <c r="V488" s="1"/>
      <c r="W488" s="1"/>
      <c r="X488" s="1"/>
      <c r="Y488" s="1"/>
      <c r="Z488" s="1"/>
      <c r="AA488" s="1"/>
      <c r="AB488" s="1"/>
    </row>
    <row r="489" ht="12.75" customHeight="1">
      <c r="A489" s="1"/>
      <c r="B489" s="146"/>
      <c r="C489" s="150"/>
      <c r="D489" s="151"/>
      <c r="E489" s="24"/>
      <c r="F489" s="24"/>
      <c r="G489" s="24"/>
      <c r="H489" s="24"/>
      <c r="I489" s="24"/>
      <c r="J489" s="24"/>
      <c r="K489" s="24"/>
      <c r="L489" s="24"/>
      <c r="M489" s="24"/>
      <c r="N489" s="155"/>
      <c r="O489" s="155"/>
      <c r="P489" s="155"/>
      <c r="Q489" s="155"/>
      <c r="R489" s="155"/>
      <c r="S489" s="1"/>
      <c r="T489" s="1"/>
      <c r="U489" s="1"/>
      <c r="V489" s="1"/>
      <c r="W489" s="1"/>
      <c r="X489" s="1"/>
      <c r="Y489" s="1"/>
      <c r="Z489" s="1"/>
      <c r="AA489" s="1"/>
      <c r="AB489" s="1"/>
    </row>
    <row r="490" ht="12.75" customHeight="1">
      <c r="A490" s="1"/>
      <c r="B490" s="146"/>
      <c r="C490" s="150"/>
      <c r="D490" s="151"/>
      <c r="E490" s="24"/>
      <c r="F490" s="24"/>
      <c r="G490" s="24"/>
      <c r="H490" s="24"/>
      <c r="I490" s="24"/>
      <c r="J490" s="24"/>
      <c r="K490" s="24"/>
      <c r="L490" s="24"/>
      <c r="M490" s="24"/>
      <c r="N490" s="155"/>
      <c r="O490" s="155"/>
      <c r="P490" s="155"/>
      <c r="Q490" s="155"/>
      <c r="R490" s="155"/>
      <c r="S490" s="1"/>
      <c r="T490" s="1"/>
      <c r="U490" s="1"/>
      <c r="V490" s="1"/>
      <c r="W490" s="1"/>
      <c r="X490" s="1"/>
      <c r="Y490" s="1"/>
      <c r="Z490" s="1"/>
      <c r="AA490" s="1"/>
      <c r="AB490" s="1"/>
    </row>
    <row r="491" ht="12.75" customHeight="1">
      <c r="A491" s="1"/>
      <c r="B491" s="146"/>
      <c r="C491" s="150"/>
      <c r="D491" s="151"/>
      <c r="E491" s="24"/>
      <c r="F491" s="24"/>
      <c r="G491" s="24"/>
      <c r="H491" s="24"/>
      <c r="I491" s="24"/>
      <c r="J491" s="24"/>
      <c r="K491" s="24"/>
      <c r="L491" s="24"/>
      <c r="M491" s="24"/>
      <c r="N491" s="155"/>
      <c r="O491" s="155"/>
      <c r="P491" s="155"/>
      <c r="Q491" s="155"/>
      <c r="R491" s="155"/>
      <c r="S491" s="1"/>
      <c r="T491" s="1"/>
      <c r="U491" s="1"/>
      <c r="V491" s="1"/>
      <c r="W491" s="1"/>
      <c r="X491" s="1"/>
      <c r="Y491" s="1"/>
      <c r="Z491" s="1"/>
      <c r="AA491" s="1"/>
      <c r="AB491" s="1"/>
    </row>
    <row r="492" ht="12.75" customHeight="1">
      <c r="A492" s="1"/>
      <c r="B492" s="146"/>
      <c r="C492" s="150"/>
      <c r="D492" s="151"/>
      <c r="E492" s="24"/>
      <c r="F492" s="24"/>
      <c r="G492" s="24"/>
      <c r="H492" s="24"/>
      <c r="I492" s="24"/>
      <c r="J492" s="24"/>
      <c r="K492" s="24"/>
      <c r="L492" s="24"/>
      <c r="M492" s="24"/>
      <c r="N492" s="155"/>
      <c r="O492" s="155"/>
      <c r="P492" s="155"/>
      <c r="Q492" s="155"/>
      <c r="R492" s="155"/>
      <c r="S492" s="1"/>
      <c r="T492" s="1"/>
      <c r="U492" s="1"/>
      <c r="V492" s="1"/>
      <c r="W492" s="1"/>
      <c r="X492" s="1"/>
      <c r="Y492" s="1"/>
      <c r="Z492" s="1"/>
      <c r="AA492" s="1"/>
      <c r="AB492" s="1"/>
    </row>
    <row r="493" ht="12.75" customHeight="1">
      <c r="A493" s="1"/>
      <c r="B493" s="146"/>
      <c r="C493" s="150"/>
      <c r="D493" s="151"/>
      <c r="E493" s="24"/>
      <c r="F493" s="24"/>
      <c r="G493" s="24"/>
      <c r="H493" s="24"/>
      <c r="I493" s="24"/>
      <c r="J493" s="24"/>
      <c r="K493" s="24"/>
      <c r="L493" s="24"/>
      <c r="M493" s="24"/>
      <c r="N493" s="155"/>
      <c r="O493" s="155"/>
      <c r="P493" s="155"/>
      <c r="Q493" s="155"/>
      <c r="R493" s="155"/>
      <c r="S493" s="1"/>
      <c r="T493" s="1"/>
      <c r="U493" s="1"/>
      <c r="V493" s="1"/>
      <c r="W493" s="1"/>
      <c r="X493" s="1"/>
      <c r="Y493" s="1"/>
      <c r="Z493" s="1"/>
      <c r="AA493" s="1"/>
      <c r="AB493" s="1"/>
    </row>
    <row r="494" ht="12.75" customHeight="1">
      <c r="A494" s="1"/>
      <c r="B494" s="146"/>
      <c r="C494" s="150"/>
      <c r="D494" s="151"/>
      <c r="E494" s="24"/>
      <c r="F494" s="24"/>
      <c r="G494" s="24"/>
      <c r="H494" s="24"/>
      <c r="I494" s="24"/>
      <c r="J494" s="24"/>
      <c r="K494" s="24"/>
      <c r="L494" s="24"/>
      <c r="M494" s="24"/>
      <c r="N494" s="155"/>
      <c r="O494" s="155"/>
      <c r="P494" s="155"/>
      <c r="Q494" s="155"/>
      <c r="R494" s="155"/>
      <c r="S494" s="1"/>
      <c r="T494" s="1"/>
      <c r="U494" s="1"/>
      <c r="V494" s="1"/>
      <c r="W494" s="1"/>
      <c r="X494" s="1"/>
      <c r="Y494" s="1"/>
      <c r="Z494" s="1"/>
      <c r="AA494" s="1"/>
      <c r="AB494" s="1"/>
    </row>
    <row r="495" ht="12.75" customHeight="1">
      <c r="A495" s="1"/>
      <c r="B495" s="146"/>
      <c r="C495" s="150"/>
      <c r="D495" s="151"/>
      <c r="E495" s="24"/>
      <c r="F495" s="24"/>
      <c r="G495" s="24"/>
      <c r="H495" s="24"/>
      <c r="I495" s="24"/>
      <c r="J495" s="24"/>
      <c r="K495" s="24"/>
      <c r="L495" s="24"/>
      <c r="M495" s="24"/>
      <c r="N495" s="155"/>
      <c r="O495" s="155"/>
      <c r="P495" s="155"/>
      <c r="Q495" s="155"/>
      <c r="R495" s="155"/>
      <c r="S495" s="1"/>
      <c r="T495" s="1"/>
      <c r="U495" s="1"/>
      <c r="V495" s="1"/>
      <c r="W495" s="1"/>
      <c r="X495" s="1"/>
      <c r="Y495" s="1"/>
      <c r="Z495" s="1"/>
      <c r="AA495" s="1"/>
      <c r="AB495" s="1"/>
    </row>
    <row r="496" ht="12.75" customHeight="1">
      <c r="A496" s="1"/>
      <c r="B496" s="146"/>
      <c r="C496" s="150"/>
      <c r="D496" s="151"/>
      <c r="E496" s="24"/>
      <c r="F496" s="24"/>
      <c r="G496" s="24"/>
      <c r="H496" s="24"/>
      <c r="I496" s="24"/>
      <c r="J496" s="24"/>
      <c r="K496" s="24"/>
      <c r="L496" s="24"/>
      <c r="M496" s="24"/>
      <c r="N496" s="155"/>
      <c r="O496" s="155"/>
      <c r="P496" s="155"/>
      <c r="Q496" s="155"/>
      <c r="R496" s="155"/>
      <c r="S496" s="1"/>
      <c r="T496" s="1"/>
      <c r="U496" s="1"/>
      <c r="V496" s="1"/>
      <c r="W496" s="1"/>
      <c r="X496" s="1"/>
      <c r="Y496" s="1"/>
      <c r="Z496" s="1"/>
      <c r="AA496" s="1"/>
      <c r="AB496" s="1"/>
    </row>
    <row r="497" ht="12.75" customHeight="1">
      <c r="A497" s="1"/>
      <c r="B497" s="146"/>
      <c r="C497" s="150"/>
      <c r="D497" s="151"/>
      <c r="E497" s="24"/>
      <c r="F497" s="24"/>
      <c r="G497" s="24"/>
      <c r="H497" s="24"/>
      <c r="I497" s="24"/>
      <c r="J497" s="24"/>
      <c r="K497" s="24"/>
      <c r="L497" s="24"/>
      <c r="M497" s="24"/>
      <c r="N497" s="155"/>
      <c r="O497" s="155"/>
      <c r="P497" s="155"/>
      <c r="Q497" s="155"/>
      <c r="R497" s="155"/>
      <c r="S497" s="1"/>
      <c r="T497" s="1"/>
      <c r="U497" s="1"/>
      <c r="V497" s="1"/>
      <c r="W497" s="1"/>
      <c r="X497" s="1"/>
      <c r="Y497" s="1"/>
      <c r="Z497" s="1"/>
      <c r="AA497" s="1"/>
      <c r="AB497" s="1"/>
    </row>
    <row r="498" ht="12.75" customHeight="1">
      <c r="A498" s="1"/>
      <c r="B498" s="146"/>
      <c r="C498" s="150"/>
      <c r="D498" s="151"/>
      <c r="E498" s="24"/>
      <c r="F498" s="24"/>
      <c r="G498" s="24"/>
      <c r="H498" s="24"/>
      <c r="I498" s="24"/>
      <c r="J498" s="24"/>
      <c r="K498" s="24"/>
      <c r="L498" s="24"/>
      <c r="M498" s="24"/>
      <c r="N498" s="155"/>
      <c r="O498" s="155"/>
      <c r="P498" s="155"/>
      <c r="Q498" s="155"/>
      <c r="R498" s="155"/>
      <c r="S498" s="1"/>
      <c r="T498" s="1"/>
      <c r="U498" s="1"/>
      <c r="V498" s="1"/>
      <c r="W498" s="1"/>
      <c r="X498" s="1"/>
      <c r="Y498" s="1"/>
      <c r="Z498" s="1"/>
      <c r="AA498" s="1"/>
      <c r="AB498" s="1"/>
    </row>
    <row r="499" ht="12.75" customHeight="1">
      <c r="A499" s="1"/>
      <c r="B499" s="146"/>
      <c r="C499" s="150"/>
      <c r="D499" s="151"/>
      <c r="E499" s="24"/>
      <c r="F499" s="24"/>
      <c r="G499" s="24"/>
      <c r="H499" s="24"/>
      <c r="I499" s="24"/>
      <c r="J499" s="24"/>
      <c r="K499" s="24"/>
      <c r="L499" s="24"/>
      <c r="M499" s="24"/>
      <c r="N499" s="155"/>
      <c r="O499" s="155"/>
      <c r="P499" s="155"/>
      <c r="Q499" s="155"/>
      <c r="R499" s="155"/>
      <c r="S499" s="1"/>
      <c r="T499" s="1"/>
      <c r="U499" s="1"/>
      <c r="V499" s="1"/>
      <c r="W499" s="1"/>
      <c r="X499" s="1"/>
      <c r="Y499" s="1"/>
      <c r="Z499" s="1"/>
      <c r="AA499" s="1"/>
      <c r="AB499" s="1"/>
    </row>
    <row r="500" ht="12.75" customHeight="1">
      <c r="A500" s="1"/>
      <c r="B500" s="146"/>
      <c r="C500" s="150"/>
      <c r="D500" s="151"/>
      <c r="E500" s="24"/>
      <c r="F500" s="24"/>
      <c r="G500" s="24"/>
      <c r="H500" s="24"/>
      <c r="I500" s="24"/>
      <c r="J500" s="24"/>
      <c r="K500" s="24"/>
      <c r="L500" s="24"/>
      <c r="M500" s="24"/>
      <c r="N500" s="155"/>
      <c r="O500" s="155"/>
      <c r="P500" s="155"/>
      <c r="Q500" s="155"/>
      <c r="R500" s="155"/>
      <c r="S500" s="1"/>
      <c r="T500" s="1"/>
      <c r="U500" s="1"/>
      <c r="V500" s="1"/>
      <c r="W500" s="1"/>
      <c r="X500" s="1"/>
      <c r="Y500" s="1"/>
      <c r="Z500" s="1"/>
      <c r="AA500" s="1"/>
      <c r="AB500" s="1"/>
    </row>
    <row r="501" ht="12.75" customHeight="1">
      <c r="A501" s="1"/>
      <c r="B501" s="146"/>
      <c r="C501" s="150"/>
      <c r="D501" s="151"/>
      <c r="E501" s="24"/>
      <c r="F501" s="24"/>
      <c r="G501" s="24"/>
      <c r="H501" s="24"/>
      <c r="I501" s="24"/>
      <c r="J501" s="24"/>
      <c r="K501" s="24"/>
      <c r="L501" s="24"/>
      <c r="M501" s="24"/>
      <c r="N501" s="155"/>
      <c r="O501" s="155"/>
      <c r="P501" s="155"/>
      <c r="Q501" s="155"/>
      <c r="R501" s="155"/>
      <c r="S501" s="1"/>
      <c r="T501" s="1"/>
      <c r="U501" s="1"/>
      <c r="V501" s="1"/>
      <c r="W501" s="1"/>
      <c r="X501" s="1"/>
      <c r="Y501" s="1"/>
      <c r="Z501" s="1"/>
      <c r="AA501" s="1"/>
      <c r="AB501" s="1"/>
    </row>
    <row r="502" ht="12.75" customHeight="1">
      <c r="A502" s="1"/>
      <c r="B502" s="146"/>
      <c r="C502" s="150"/>
      <c r="D502" s="151"/>
      <c r="E502" s="24"/>
      <c r="F502" s="24"/>
      <c r="G502" s="24"/>
      <c r="H502" s="24"/>
      <c r="I502" s="24"/>
      <c r="J502" s="24"/>
      <c r="K502" s="24"/>
      <c r="L502" s="24"/>
      <c r="M502" s="24"/>
      <c r="N502" s="155"/>
      <c r="O502" s="155"/>
      <c r="P502" s="155"/>
      <c r="Q502" s="155"/>
      <c r="R502" s="155"/>
      <c r="S502" s="1"/>
      <c r="T502" s="1"/>
      <c r="U502" s="1"/>
      <c r="V502" s="1"/>
      <c r="W502" s="1"/>
      <c r="X502" s="1"/>
      <c r="Y502" s="1"/>
      <c r="Z502" s="1"/>
      <c r="AA502" s="1"/>
      <c r="AB502" s="1"/>
    </row>
    <row r="503" ht="12.75" customHeight="1">
      <c r="A503" s="1"/>
      <c r="B503" s="146"/>
      <c r="C503" s="150"/>
      <c r="D503" s="151"/>
      <c r="E503" s="24"/>
      <c r="F503" s="24"/>
      <c r="G503" s="24"/>
      <c r="H503" s="24"/>
      <c r="I503" s="24"/>
      <c r="J503" s="24"/>
      <c r="K503" s="24"/>
      <c r="L503" s="24"/>
      <c r="M503" s="24"/>
      <c r="N503" s="155"/>
      <c r="O503" s="155"/>
      <c r="P503" s="155"/>
      <c r="Q503" s="155"/>
      <c r="R503" s="155"/>
      <c r="S503" s="1"/>
      <c r="T503" s="1"/>
      <c r="U503" s="1"/>
      <c r="V503" s="1"/>
      <c r="W503" s="1"/>
      <c r="X503" s="1"/>
      <c r="Y503" s="1"/>
      <c r="Z503" s="1"/>
      <c r="AA503" s="1"/>
      <c r="AB503" s="1"/>
    </row>
    <row r="504" ht="12.75" customHeight="1">
      <c r="A504" s="1"/>
      <c r="B504" s="146"/>
      <c r="C504" s="150"/>
      <c r="D504" s="151"/>
      <c r="E504" s="24"/>
      <c r="F504" s="24"/>
      <c r="G504" s="24"/>
      <c r="H504" s="24"/>
      <c r="I504" s="24"/>
      <c r="J504" s="24"/>
      <c r="K504" s="24"/>
      <c r="L504" s="24"/>
      <c r="M504" s="24"/>
      <c r="N504" s="155"/>
      <c r="O504" s="155"/>
      <c r="P504" s="155"/>
      <c r="Q504" s="155"/>
      <c r="R504" s="155"/>
      <c r="S504" s="1"/>
      <c r="T504" s="1"/>
      <c r="U504" s="1"/>
      <c r="V504" s="1"/>
      <c r="W504" s="1"/>
      <c r="X504" s="1"/>
      <c r="Y504" s="1"/>
      <c r="Z504" s="1"/>
      <c r="AA504" s="1"/>
      <c r="AB504" s="1"/>
    </row>
    <row r="505" ht="12.75" customHeight="1">
      <c r="A505" s="1"/>
      <c r="B505" s="146"/>
      <c r="C505" s="150"/>
      <c r="D505" s="151"/>
      <c r="E505" s="24"/>
      <c r="F505" s="24"/>
      <c r="G505" s="24"/>
      <c r="H505" s="24"/>
      <c r="I505" s="24"/>
      <c r="J505" s="24"/>
      <c r="K505" s="24"/>
      <c r="L505" s="24"/>
      <c r="M505" s="24"/>
      <c r="N505" s="155"/>
      <c r="O505" s="155"/>
      <c r="P505" s="155"/>
      <c r="Q505" s="155"/>
      <c r="R505" s="155"/>
      <c r="S505" s="1"/>
      <c r="T505" s="1"/>
      <c r="U505" s="1"/>
      <c r="V505" s="1"/>
      <c r="W505" s="1"/>
      <c r="X505" s="1"/>
      <c r="Y505" s="1"/>
      <c r="Z505" s="1"/>
      <c r="AA505" s="1"/>
      <c r="AB505" s="1"/>
    </row>
    <row r="506" ht="12.75" customHeight="1">
      <c r="A506" s="1"/>
      <c r="B506" s="146"/>
      <c r="C506" s="150"/>
      <c r="D506" s="151"/>
      <c r="E506" s="24"/>
      <c r="F506" s="24"/>
      <c r="G506" s="24"/>
      <c r="H506" s="24"/>
      <c r="I506" s="24"/>
      <c r="J506" s="24"/>
      <c r="K506" s="24"/>
      <c r="L506" s="24"/>
      <c r="M506" s="24"/>
      <c r="N506" s="155"/>
      <c r="O506" s="155"/>
      <c r="P506" s="155"/>
      <c r="Q506" s="155"/>
      <c r="R506" s="155"/>
      <c r="S506" s="1"/>
      <c r="T506" s="1"/>
      <c r="U506" s="1"/>
      <c r="V506" s="1"/>
      <c r="W506" s="1"/>
      <c r="X506" s="1"/>
      <c r="Y506" s="1"/>
      <c r="Z506" s="1"/>
      <c r="AA506" s="1"/>
      <c r="AB506" s="1"/>
    </row>
    <row r="507" ht="12.75" customHeight="1">
      <c r="A507" s="1"/>
      <c r="B507" s="146"/>
      <c r="C507" s="150"/>
      <c r="D507" s="151"/>
      <c r="E507" s="24"/>
      <c r="F507" s="24"/>
      <c r="G507" s="24"/>
      <c r="H507" s="24"/>
      <c r="I507" s="24"/>
      <c r="J507" s="24"/>
      <c r="K507" s="24"/>
      <c r="L507" s="24"/>
      <c r="M507" s="24"/>
      <c r="N507" s="155"/>
      <c r="O507" s="155"/>
      <c r="P507" s="155"/>
      <c r="Q507" s="155"/>
      <c r="R507" s="155"/>
      <c r="S507" s="1"/>
      <c r="T507" s="1"/>
      <c r="U507" s="1"/>
      <c r="V507" s="1"/>
      <c r="W507" s="1"/>
      <c r="X507" s="1"/>
      <c r="Y507" s="1"/>
      <c r="Z507" s="1"/>
      <c r="AA507" s="1"/>
      <c r="AB507" s="1"/>
    </row>
    <row r="508" ht="12.75" customHeight="1">
      <c r="A508" s="1"/>
      <c r="B508" s="146"/>
      <c r="C508" s="150"/>
      <c r="D508" s="151"/>
      <c r="E508" s="24"/>
      <c r="F508" s="24"/>
      <c r="G508" s="24"/>
      <c r="H508" s="24"/>
      <c r="I508" s="24"/>
      <c r="J508" s="24"/>
      <c r="K508" s="24"/>
      <c r="L508" s="24"/>
      <c r="M508" s="24"/>
      <c r="N508" s="155"/>
      <c r="O508" s="155"/>
      <c r="P508" s="155"/>
      <c r="Q508" s="155"/>
      <c r="R508" s="155"/>
      <c r="S508" s="1"/>
      <c r="T508" s="1"/>
      <c r="U508" s="1"/>
      <c r="V508" s="1"/>
      <c r="W508" s="1"/>
      <c r="X508" s="1"/>
      <c r="Y508" s="1"/>
      <c r="Z508" s="1"/>
      <c r="AA508" s="1"/>
      <c r="AB508" s="1"/>
    </row>
    <row r="509" ht="12.75" customHeight="1">
      <c r="A509" s="1"/>
      <c r="B509" s="146"/>
      <c r="C509" s="150"/>
      <c r="D509" s="151"/>
      <c r="E509" s="24"/>
      <c r="F509" s="24"/>
      <c r="G509" s="24"/>
      <c r="H509" s="24"/>
      <c r="I509" s="24"/>
      <c r="J509" s="24"/>
      <c r="K509" s="24"/>
      <c r="L509" s="24"/>
      <c r="M509" s="24"/>
      <c r="N509" s="155"/>
      <c r="O509" s="155"/>
      <c r="P509" s="155"/>
      <c r="Q509" s="155"/>
      <c r="R509" s="155"/>
      <c r="S509" s="1"/>
      <c r="T509" s="1"/>
      <c r="U509" s="1"/>
      <c r="V509" s="1"/>
      <c r="W509" s="1"/>
      <c r="X509" s="1"/>
      <c r="Y509" s="1"/>
      <c r="Z509" s="1"/>
      <c r="AA509" s="1"/>
      <c r="AB509" s="1"/>
    </row>
    <row r="510" ht="12.75" customHeight="1">
      <c r="A510" s="1"/>
      <c r="B510" s="146"/>
      <c r="C510" s="150"/>
      <c r="D510" s="151"/>
      <c r="E510" s="24"/>
      <c r="F510" s="24"/>
      <c r="G510" s="24"/>
      <c r="H510" s="24"/>
      <c r="I510" s="24"/>
      <c r="J510" s="24"/>
      <c r="K510" s="24"/>
      <c r="L510" s="24"/>
      <c r="M510" s="24"/>
      <c r="N510" s="155"/>
      <c r="O510" s="155"/>
      <c r="P510" s="155"/>
      <c r="Q510" s="155"/>
      <c r="R510" s="155"/>
      <c r="S510" s="1"/>
      <c r="T510" s="1"/>
      <c r="U510" s="1"/>
      <c r="V510" s="1"/>
      <c r="W510" s="1"/>
      <c r="X510" s="1"/>
      <c r="Y510" s="1"/>
      <c r="Z510" s="1"/>
      <c r="AA510" s="1"/>
      <c r="AB510" s="1"/>
    </row>
    <row r="511" ht="12.75" customHeight="1">
      <c r="A511" s="1"/>
      <c r="B511" s="146"/>
      <c r="C511" s="150"/>
      <c r="D511" s="151"/>
      <c r="E511" s="24"/>
      <c r="F511" s="24"/>
      <c r="G511" s="24"/>
      <c r="H511" s="24"/>
      <c r="I511" s="24"/>
      <c r="J511" s="24"/>
      <c r="K511" s="24"/>
      <c r="L511" s="24"/>
      <c r="M511" s="24"/>
      <c r="N511" s="155"/>
      <c r="O511" s="155"/>
      <c r="P511" s="155"/>
      <c r="Q511" s="155"/>
      <c r="R511" s="155"/>
      <c r="S511" s="1"/>
      <c r="T511" s="1"/>
      <c r="U511" s="1"/>
      <c r="V511" s="1"/>
      <c r="W511" s="1"/>
      <c r="X511" s="1"/>
      <c r="Y511" s="1"/>
      <c r="Z511" s="1"/>
      <c r="AA511" s="1"/>
      <c r="AB511" s="1"/>
    </row>
    <row r="512" ht="12.75" customHeight="1">
      <c r="A512" s="1"/>
      <c r="B512" s="146"/>
      <c r="C512" s="150"/>
      <c r="D512" s="151"/>
      <c r="E512" s="24"/>
      <c r="F512" s="24"/>
      <c r="G512" s="24"/>
      <c r="H512" s="24"/>
      <c r="I512" s="24"/>
      <c r="J512" s="24"/>
      <c r="K512" s="24"/>
      <c r="L512" s="24"/>
      <c r="M512" s="24"/>
      <c r="N512" s="155"/>
      <c r="O512" s="155"/>
      <c r="P512" s="155"/>
      <c r="Q512" s="155"/>
      <c r="R512" s="155"/>
      <c r="S512" s="1"/>
      <c r="T512" s="1"/>
      <c r="U512" s="1"/>
      <c r="V512" s="1"/>
      <c r="W512" s="1"/>
      <c r="X512" s="1"/>
      <c r="Y512" s="1"/>
      <c r="Z512" s="1"/>
      <c r="AA512" s="1"/>
      <c r="AB512" s="1"/>
    </row>
    <row r="513" ht="12.75" customHeight="1">
      <c r="A513" s="1"/>
      <c r="B513" s="146"/>
      <c r="C513" s="150"/>
      <c r="D513" s="151"/>
      <c r="E513" s="24"/>
      <c r="F513" s="24"/>
      <c r="G513" s="24"/>
      <c r="H513" s="24"/>
      <c r="I513" s="24"/>
      <c r="J513" s="24"/>
      <c r="K513" s="24"/>
      <c r="L513" s="24"/>
      <c r="M513" s="24"/>
      <c r="N513" s="155"/>
      <c r="O513" s="155"/>
      <c r="P513" s="155"/>
      <c r="Q513" s="155"/>
      <c r="R513" s="155"/>
      <c r="S513" s="1"/>
      <c r="T513" s="1"/>
      <c r="U513" s="1"/>
      <c r="V513" s="1"/>
      <c r="W513" s="1"/>
      <c r="X513" s="1"/>
      <c r="Y513" s="1"/>
      <c r="Z513" s="1"/>
      <c r="AA513" s="1"/>
      <c r="AB513" s="1"/>
    </row>
    <row r="514" ht="12.75" customHeight="1">
      <c r="A514" s="1"/>
      <c r="B514" s="146"/>
      <c r="C514" s="150"/>
      <c r="D514" s="151"/>
      <c r="E514" s="24"/>
      <c r="F514" s="24"/>
      <c r="G514" s="24"/>
      <c r="H514" s="24"/>
      <c r="I514" s="24"/>
      <c r="J514" s="24"/>
      <c r="K514" s="24"/>
      <c r="L514" s="24"/>
      <c r="M514" s="24"/>
      <c r="N514" s="155"/>
      <c r="O514" s="155"/>
      <c r="P514" s="155"/>
      <c r="Q514" s="155"/>
      <c r="R514" s="155"/>
      <c r="S514" s="1"/>
      <c r="T514" s="1"/>
      <c r="U514" s="1"/>
      <c r="V514" s="1"/>
      <c r="W514" s="1"/>
      <c r="X514" s="1"/>
      <c r="Y514" s="1"/>
      <c r="Z514" s="1"/>
      <c r="AA514" s="1"/>
      <c r="AB514" s="1"/>
    </row>
    <row r="515" ht="12.75" customHeight="1">
      <c r="A515" s="1"/>
      <c r="B515" s="146"/>
      <c r="C515" s="150"/>
      <c r="D515" s="151"/>
      <c r="E515" s="24"/>
      <c r="F515" s="24"/>
      <c r="G515" s="24"/>
      <c r="H515" s="24"/>
      <c r="I515" s="24"/>
      <c r="J515" s="24"/>
      <c r="K515" s="24"/>
      <c r="L515" s="24"/>
      <c r="M515" s="24"/>
      <c r="N515" s="155"/>
      <c r="O515" s="155"/>
      <c r="P515" s="155"/>
      <c r="Q515" s="155"/>
      <c r="R515" s="155"/>
      <c r="S515" s="1"/>
      <c r="T515" s="1"/>
      <c r="U515" s="1"/>
      <c r="V515" s="1"/>
      <c r="W515" s="1"/>
      <c r="X515" s="1"/>
      <c r="Y515" s="1"/>
      <c r="Z515" s="1"/>
      <c r="AA515" s="1"/>
      <c r="AB515" s="1"/>
    </row>
    <row r="516" ht="12.75" customHeight="1">
      <c r="A516" s="1"/>
      <c r="B516" s="146"/>
      <c r="C516" s="150"/>
      <c r="D516" s="151"/>
      <c r="E516" s="24"/>
      <c r="F516" s="24"/>
      <c r="G516" s="24"/>
      <c r="H516" s="24"/>
      <c r="I516" s="24"/>
      <c r="J516" s="24"/>
      <c r="K516" s="24"/>
      <c r="L516" s="24"/>
      <c r="M516" s="24"/>
      <c r="N516" s="155"/>
      <c r="O516" s="155"/>
      <c r="P516" s="155"/>
      <c r="Q516" s="155"/>
      <c r="R516" s="155"/>
      <c r="S516" s="1"/>
      <c r="T516" s="1"/>
      <c r="U516" s="1"/>
      <c r="V516" s="1"/>
      <c r="W516" s="1"/>
      <c r="X516" s="1"/>
      <c r="Y516" s="1"/>
      <c r="Z516" s="1"/>
      <c r="AA516" s="1"/>
      <c r="AB516" s="1"/>
    </row>
    <row r="517" ht="12.75" customHeight="1">
      <c r="A517" s="1"/>
      <c r="B517" s="146"/>
      <c r="C517" s="150"/>
      <c r="D517" s="151"/>
      <c r="E517" s="24"/>
      <c r="F517" s="24"/>
      <c r="G517" s="24"/>
      <c r="H517" s="24"/>
      <c r="I517" s="24"/>
      <c r="J517" s="24"/>
      <c r="K517" s="24"/>
      <c r="L517" s="24"/>
      <c r="M517" s="24"/>
      <c r="N517" s="155"/>
      <c r="O517" s="155"/>
      <c r="P517" s="155"/>
      <c r="Q517" s="155"/>
      <c r="R517" s="155"/>
      <c r="S517" s="1"/>
      <c r="T517" s="1"/>
      <c r="U517" s="1"/>
      <c r="V517" s="1"/>
      <c r="W517" s="1"/>
      <c r="X517" s="1"/>
      <c r="Y517" s="1"/>
      <c r="Z517" s="1"/>
      <c r="AA517" s="1"/>
      <c r="AB517" s="1"/>
    </row>
    <row r="518" ht="12.75" customHeight="1">
      <c r="A518" s="1"/>
      <c r="B518" s="146"/>
      <c r="C518" s="150"/>
      <c r="D518" s="151"/>
      <c r="E518" s="24"/>
      <c r="F518" s="24"/>
      <c r="G518" s="24"/>
      <c r="H518" s="24"/>
      <c r="I518" s="24"/>
      <c r="J518" s="24"/>
      <c r="K518" s="24"/>
      <c r="L518" s="24"/>
      <c r="M518" s="24"/>
      <c r="N518" s="155"/>
      <c r="O518" s="155"/>
      <c r="P518" s="155"/>
      <c r="Q518" s="155"/>
      <c r="R518" s="155"/>
      <c r="S518" s="1"/>
      <c r="T518" s="1"/>
      <c r="U518" s="1"/>
      <c r="V518" s="1"/>
      <c r="W518" s="1"/>
      <c r="X518" s="1"/>
      <c r="Y518" s="1"/>
      <c r="Z518" s="1"/>
      <c r="AA518" s="1"/>
      <c r="AB518" s="1"/>
    </row>
    <row r="519" ht="12.75" customHeight="1">
      <c r="A519" s="1"/>
      <c r="B519" s="146"/>
      <c r="C519" s="150"/>
      <c r="D519" s="151"/>
      <c r="E519" s="24"/>
      <c r="F519" s="24"/>
      <c r="G519" s="24"/>
      <c r="H519" s="24"/>
      <c r="I519" s="24"/>
      <c r="J519" s="24"/>
      <c r="K519" s="24"/>
      <c r="L519" s="24"/>
      <c r="M519" s="24"/>
      <c r="N519" s="155"/>
      <c r="O519" s="155"/>
      <c r="P519" s="155"/>
      <c r="Q519" s="155"/>
      <c r="R519" s="155"/>
      <c r="S519" s="1"/>
      <c r="T519" s="1"/>
      <c r="U519" s="1"/>
      <c r="V519" s="1"/>
      <c r="W519" s="1"/>
      <c r="X519" s="1"/>
      <c r="Y519" s="1"/>
      <c r="Z519" s="1"/>
      <c r="AA519" s="1"/>
      <c r="AB519" s="1"/>
    </row>
    <row r="520" ht="12.75" customHeight="1">
      <c r="A520" s="1"/>
      <c r="B520" s="146"/>
      <c r="C520" s="150"/>
      <c r="D520" s="151"/>
      <c r="E520" s="24"/>
      <c r="F520" s="24"/>
      <c r="G520" s="24"/>
      <c r="H520" s="24"/>
      <c r="I520" s="24"/>
      <c r="J520" s="24"/>
      <c r="K520" s="24"/>
      <c r="L520" s="24"/>
      <c r="M520" s="24"/>
      <c r="N520" s="155"/>
      <c r="O520" s="155"/>
      <c r="P520" s="155"/>
      <c r="Q520" s="155"/>
      <c r="R520" s="155"/>
      <c r="S520" s="1"/>
      <c r="T520" s="1"/>
      <c r="U520" s="1"/>
      <c r="V520" s="1"/>
      <c r="W520" s="1"/>
      <c r="X520" s="1"/>
      <c r="Y520" s="1"/>
      <c r="Z520" s="1"/>
      <c r="AA520" s="1"/>
      <c r="AB520" s="1"/>
    </row>
    <row r="521" ht="12.75" customHeight="1">
      <c r="A521" s="1"/>
      <c r="B521" s="146"/>
      <c r="C521" s="150"/>
      <c r="D521" s="151"/>
      <c r="E521" s="24"/>
      <c r="F521" s="24"/>
      <c r="G521" s="24"/>
      <c r="H521" s="24"/>
      <c r="I521" s="24"/>
      <c r="J521" s="24"/>
      <c r="K521" s="24"/>
      <c r="L521" s="24"/>
      <c r="M521" s="24"/>
      <c r="N521" s="155"/>
      <c r="O521" s="155"/>
      <c r="P521" s="155"/>
      <c r="Q521" s="155"/>
      <c r="R521" s="155"/>
      <c r="S521" s="1"/>
      <c r="T521" s="1"/>
      <c r="U521" s="1"/>
      <c r="V521" s="1"/>
      <c r="W521" s="1"/>
      <c r="X521" s="1"/>
      <c r="Y521" s="1"/>
      <c r="Z521" s="1"/>
      <c r="AA521" s="1"/>
      <c r="AB521" s="1"/>
    </row>
    <row r="522" ht="12.75" customHeight="1">
      <c r="A522" s="1"/>
      <c r="B522" s="146"/>
      <c r="C522" s="150"/>
      <c r="D522" s="151"/>
      <c r="E522" s="24"/>
      <c r="F522" s="24"/>
      <c r="G522" s="24"/>
      <c r="H522" s="24"/>
      <c r="I522" s="24"/>
      <c r="J522" s="24"/>
      <c r="K522" s="24"/>
      <c r="L522" s="24"/>
      <c r="M522" s="24"/>
      <c r="N522" s="155"/>
      <c r="O522" s="155"/>
      <c r="P522" s="155"/>
      <c r="Q522" s="155"/>
      <c r="R522" s="155"/>
      <c r="S522" s="1"/>
      <c r="T522" s="1"/>
      <c r="U522" s="1"/>
      <c r="V522" s="1"/>
      <c r="W522" s="1"/>
      <c r="X522" s="1"/>
      <c r="Y522" s="1"/>
      <c r="Z522" s="1"/>
      <c r="AA522" s="1"/>
      <c r="AB522" s="1"/>
    </row>
    <row r="523" ht="12.75" customHeight="1">
      <c r="A523" s="1"/>
      <c r="B523" s="146"/>
      <c r="C523" s="150"/>
      <c r="D523" s="151"/>
      <c r="E523" s="24"/>
      <c r="F523" s="24"/>
      <c r="G523" s="24"/>
      <c r="H523" s="24"/>
      <c r="I523" s="24"/>
      <c r="J523" s="24"/>
      <c r="K523" s="24"/>
      <c r="L523" s="24"/>
      <c r="M523" s="24"/>
      <c r="N523" s="155"/>
      <c r="O523" s="155"/>
      <c r="P523" s="155"/>
      <c r="Q523" s="155"/>
      <c r="R523" s="155"/>
      <c r="S523" s="1"/>
      <c r="T523" s="1"/>
      <c r="U523" s="1"/>
      <c r="V523" s="1"/>
      <c r="W523" s="1"/>
      <c r="X523" s="1"/>
      <c r="Y523" s="1"/>
      <c r="Z523" s="1"/>
      <c r="AA523" s="1"/>
      <c r="AB523" s="1"/>
    </row>
    <row r="524" ht="12.75" customHeight="1">
      <c r="A524" s="1"/>
      <c r="B524" s="146"/>
      <c r="C524" s="150"/>
      <c r="D524" s="151"/>
      <c r="E524" s="24"/>
      <c r="F524" s="24"/>
      <c r="G524" s="24"/>
      <c r="H524" s="24"/>
      <c r="I524" s="24"/>
      <c r="J524" s="24"/>
      <c r="K524" s="24"/>
      <c r="L524" s="24"/>
      <c r="M524" s="24"/>
      <c r="N524" s="155"/>
      <c r="O524" s="155"/>
      <c r="P524" s="155"/>
      <c r="Q524" s="155"/>
      <c r="R524" s="155"/>
      <c r="S524" s="1"/>
      <c r="T524" s="1"/>
      <c r="U524" s="1"/>
      <c r="V524" s="1"/>
      <c r="W524" s="1"/>
      <c r="X524" s="1"/>
      <c r="Y524" s="1"/>
      <c r="Z524" s="1"/>
      <c r="AA524" s="1"/>
      <c r="AB524" s="1"/>
    </row>
    <row r="525" ht="12.75" customHeight="1">
      <c r="A525" s="1"/>
      <c r="B525" s="146"/>
      <c r="C525" s="150"/>
      <c r="D525" s="151"/>
      <c r="E525" s="24"/>
      <c r="F525" s="24"/>
      <c r="G525" s="24"/>
      <c r="H525" s="24"/>
      <c r="I525" s="24"/>
      <c r="J525" s="24"/>
      <c r="K525" s="24"/>
      <c r="L525" s="24"/>
      <c r="M525" s="24"/>
      <c r="N525" s="155"/>
      <c r="O525" s="155"/>
      <c r="P525" s="155"/>
      <c r="Q525" s="155"/>
      <c r="R525" s="155"/>
      <c r="S525" s="1"/>
      <c r="T525" s="1"/>
      <c r="U525" s="1"/>
      <c r="V525" s="1"/>
      <c r="W525" s="1"/>
      <c r="X525" s="1"/>
      <c r="Y525" s="1"/>
      <c r="Z525" s="1"/>
      <c r="AA525" s="1"/>
      <c r="AB525" s="1"/>
    </row>
    <row r="526" ht="12.75" customHeight="1">
      <c r="A526" s="1"/>
      <c r="B526" s="146"/>
      <c r="C526" s="150"/>
      <c r="D526" s="151"/>
      <c r="E526" s="24"/>
      <c r="F526" s="24"/>
      <c r="G526" s="24"/>
      <c r="H526" s="24"/>
      <c r="I526" s="24"/>
      <c r="J526" s="24"/>
      <c r="K526" s="24"/>
      <c r="L526" s="24"/>
      <c r="M526" s="24"/>
      <c r="N526" s="155"/>
      <c r="O526" s="155"/>
      <c r="P526" s="155"/>
      <c r="Q526" s="155"/>
      <c r="R526" s="155"/>
      <c r="S526" s="1"/>
      <c r="T526" s="1"/>
      <c r="U526" s="1"/>
      <c r="V526" s="1"/>
      <c r="W526" s="1"/>
      <c r="X526" s="1"/>
      <c r="Y526" s="1"/>
      <c r="Z526" s="1"/>
      <c r="AA526" s="1"/>
      <c r="AB526" s="1"/>
    </row>
    <row r="527" ht="12.75" customHeight="1">
      <c r="A527" s="1"/>
      <c r="B527" s="146"/>
      <c r="C527" s="150"/>
      <c r="D527" s="151"/>
      <c r="E527" s="24"/>
      <c r="F527" s="24"/>
      <c r="G527" s="24"/>
      <c r="H527" s="24"/>
      <c r="I527" s="24"/>
      <c r="J527" s="24"/>
      <c r="K527" s="24"/>
      <c r="L527" s="24"/>
      <c r="M527" s="24"/>
      <c r="N527" s="155"/>
      <c r="O527" s="155"/>
      <c r="P527" s="155"/>
      <c r="Q527" s="155"/>
      <c r="R527" s="155"/>
      <c r="S527" s="1"/>
      <c r="T527" s="1"/>
      <c r="U527" s="1"/>
      <c r="V527" s="1"/>
      <c r="W527" s="1"/>
      <c r="X527" s="1"/>
      <c r="Y527" s="1"/>
      <c r="Z527" s="1"/>
      <c r="AA527" s="1"/>
      <c r="AB527" s="1"/>
    </row>
    <row r="528" ht="12.75" customHeight="1">
      <c r="A528" s="1"/>
      <c r="B528" s="146"/>
      <c r="C528" s="150"/>
      <c r="D528" s="151"/>
      <c r="E528" s="24"/>
      <c r="F528" s="24"/>
      <c r="G528" s="24"/>
      <c r="H528" s="24"/>
      <c r="I528" s="24"/>
      <c r="J528" s="24"/>
      <c r="K528" s="24"/>
      <c r="L528" s="24"/>
      <c r="M528" s="24"/>
      <c r="N528" s="155"/>
      <c r="O528" s="155"/>
      <c r="P528" s="155"/>
      <c r="Q528" s="155"/>
      <c r="R528" s="155"/>
      <c r="S528" s="1"/>
      <c r="T528" s="1"/>
      <c r="U528" s="1"/>
      <c r="V528" s="1"/>
      <c r="W528" s="1"/>
      <c r="X528" s="1"/>
      <c r="Y528" s="1"/>
      <c r="Z528" s="1"/>
      <c r="AA528" s="1"/>
      <c r="AB528" s="1"/>
    </row>
    <row r="529" ht="12.75" customHeight="1">
      <c r="A529" s="1"/>
      <c r="B529" s="146"/>
      <c r="C529" s="150"/>
      <c r="D529" s="151"/>
      <c r="E529" s="24"/>
      <c r="F529" s="24"/>
      <c r="G529" s="24"/>
      <c r="H529" s="24"/>
      <c r="I529" s="24"/>
      <c r="J529" s="24"/>
      <c r="K529" s="24"/>
      <c r="L529" s="24"/>
      <c r="M529" s="24"/>
      <c r="N529" s="155"/>
      <c r="O529" s="155"/>
      <c r="P529" s="155"/>
      <c r="Q529" s="155"/>
      <c r="R529" s="155"/>
      <c r="S529" s="1"/>
      <c r="T529" s="1"/>
      <c r="U529" s="1"/>
      <c r="V529" s="1"/>
      <c r="W529" s="1"/>
      <c r="X529" s="1"/>
      <c r="Y529" s="1"/>
      <c r="Z529" s="1"/>
      <c r="AA529" s="1"/>
      <c r="AB529" s="1"/>
    </row>
    <row r="530" ht="12.75" customHeight="1">
      <c r="A530" s="1"/>
      <c r="B530" s="146"/>
      <c r="C530" s="150"/>
      <c r="D530" s="151"/>
      <c r="E530" s="24"/>
      <c r="F530" s="24"/>
      <c r="G530" s="24"/>
      <c r="H530" s="24"/>
      <c r="I530" s="24"/>
      <c r="J530" s="24"/>
      <c r="K530" s="24"/>
      <c r="L530" s="24"/>
      <c r="M530" s="24"/>
      <c r="N530" s="155"/>
      <c r="O530" s="155"/>
      <c r="P530" s="155"/>
      <c r="Q530" s="155"/>
      <c r="R530" s="155"/>
      <c r="S530" s="1"/>
      <c r="T530" s="1"/>
      <c r="U530" s="1"/>
      <c r="V530" s="1"/>
      <c r="W530" s="1"/>
      <c r="X530" s="1"/>
      <c r="Y530" s="1"/>
      <c r="Z530" s="1"/>
      <c r="AA530" s="1"/>
      <c r="AB530" s="1"/>
    </row>
    <row r="531" ht="12.75" customHeight="1">
      <c r="A531" s="1"/>
      <c r="B531" s="146"/>
      <c r="C531" s="150"/>
      <c r="D531" s="151"/>
      <c r="E531" s="24"/>
      <c r="F531" s="24"/>
      <c r="G531" s="24"/>
      <c r="H531" s="24"/>
      <c r="I531" s="24"/>
      <c r="J531" s="24"/>
      <c r="K531" s="24"/>
      <c r="L531" s="24"/>
      <c r="M531" s="24"/>
      <c r="N531" s="155"/>
      <c r="O531" s="155"/>
      <c r="P531" s="155"/>
      <c r="Q531" s="155"/>
      <c r="R531" s="155"/>
      <c r="S531" s="1"/>
      <c r="T531" s="1"/>
      <c r="U531" s="1"/>
      <c r="V531" s="1"/>
      <c r="W531" s="1"/>
      <c r="X531" s="1"/>
      <c r="Y531" s="1"/>
      <c r="Z531" s="1"/>
      <c r="AA531" s="1"/>
      <c r="AB531" s="1"/>
    </row>
    <row r="532" ht="12.75" customHeight="1">
      <c r="A532" s="1"/>
      <c r="B532" s="146"/>
      <c r="C532" s="150"/>
      <c r="D532" s="151"/>
      <c r="E532" s="24"/>
      <c r="F532" s="24"/>
      <c r="G532" s="24"/>
      <c r="H532" s="24"/>
      <c r="I532" s="24"/>
      <c r="J532" s="24"/>
      <c r="K532" s="24"/>
      <c r="L532" s="24"/>
      <c r="M532" s="24"/>
      <c r="N532" s="155"/>
      <c r="O532" s="155"/>
      <c r="P532" s="155"/>
      <c r="Q532" s="155"/>
      <c r="R532" s="155"/>
      <c r="S532" s="1"/>
      <c r="T532" s="1"/>
      <c r="U532" s="1"/>
      <c r="V532" s="1"/>
      <c r="W532" s="1"/>
      <c r="X532" s="1"/>
      <c r="Y532" s="1"/>
      <c r="Z532" s="1"/>
      <c r="AA532" s="1"/>
      <c r="AB532" s="1"/>
    </row>
    <row r="533" ht="12.75" customHeight="1">
      <c r="A533" s="1"/>
      <c r="B533" s="146"/>
      <c r="C533" s="150"/>
      <c r="D533" s="151"/>
      <c r="E533" s="24"/>
      <c r="F533" s="24"/>
      <c r="G533" s="24"/>
      <c r="H533" s="24"/>
      <c r="I533" s="24"/>
      <c r="J533" s="24"/>
      <c r="K533" s="24"/>
      <c r="L533" s="24"/>
      <c r="M533" s="24"/>
      <c r="N533" s="155"/>
      <c r="O533" s="155"/>
      <c r="P533" s="155"/>
      <c r="Q533" s="155"/>
      <c r="R533" s="155"/>
      <c r="S533" s="1"/>
      <c r="T533" s="1"/>
      <c r="U533" s="1"/>
      <c r="V533" s="1"/>
      <c r="W533" s="1"/>
      <c r="X533" s="1"/>
      <c r="Y533" s="1"/>
      <c r="Z533" s="1"/>
      <c r="AA533" s="1"/>
      <c r="AB533" s="1"/>
    </row>
    <row r="534" ht="12.75" customHeight="1">
      <c r="A534" s="1"/>
      <c r="B534" s="146"/>
      <c r="C534" s="150"/>
      <c r="D534" s="151"/>
      <c r="E534" s="24"/>
      <c r="F534" s="24"/>
      <c r="G534" s="24"/>
      <c r="H534" s="24"/>
      <c r="I534" s="24"/>
      <c r="J534" s="24"/>
      <c r="K534" s="24"/>
      <c r="L534" s="24"/>
      <c r="M534" s="24"/>
      <c r="N534" s="155"/>
      <c r="O534" s="155"/>
      <c r="P534" s="155"/>
      <c r="Q534" s="155"/>
      <c r="R534" s="155"/>
      <c r="S534" s="1"/>
      <c r="T534" s="1"/>
      <c r="U534" s="1"/>
      <c r="V534" s="1"/>
      <c r="W534" s="1"/>
      <c r="X534" s="1"/>
      <c r="Y534" s="1"/>
      <c r="Z534" s="1"/>
      <c r="AA534" s="1"/>
      <c r="AB534" s="1"/>
    </row>
    <row r="535" ht="12.75" customHeight="1">
      <c r="A535" s="1"/>
      <c r="B535" s="146"/>
      <c r="C535" s="150"/>
      <c r="D535" s="151"/>
      <c r="E535" s="24"/>
      <c r="F535" s="24"/>
      <c r="G535" s="24"/>
      <c r="H535" s="24"/>
      <c r="I535" s="24"/>
      <c r="J535" s="24"/>
      <c r="K535" s="24"/>
      <c r="L535" s="24"/>
      <c r="M535" s="24"/>
      <c r="N535" s="155"/>
      <c r="O535" s="155"/>
      <c r="P535" s="155"/>
      <c r="Q535" s="155"/>
      <c r="R535" s="155"/>
      <c r="S535" s="1"/>
      <c r="T535" s="1"/>
      <c r="U535" s="1"/>
      <c r="V535" s="1"/>
      <c r="W535" s="1"/>
      <c r="X535" s="1"/>
      <c r="Y535" s="1"/>
      <c r="Z535" s="1"/>
      <c r="AA535" s="1"/>
      <c r="AB535" s="1"/>
    </row>
    <row r="536" ht="12.75" customHeight="1">
      <c r="A536" s="1"/>
      <c r="B536" s="146"/>
      <c r="C536" s="150"/>
      <c r="D536" s="151"/>
      <c r="E536" s="24"/>
      <c r="F536" s="24"/>
      <c r="G536" s="24"/>
      <c r="H536" s="24"/>
      <c r="I536" s="24"/>
      <c r="J536" s="24"/>
      <c r="K536" s="24"/>
      <c r="L536" s="24"/>
      <c r="M536" s="24"/>
      <c r="N536" s="155"/>
      <c r="O536" s="155"/>
      <c r="P536" s="155"/>
      <c r="Q536" s="155"/>
      <c r="R536" s="155"/>
      <c r="S536" s="1"/>
      <c r="T536" s="1"/>
      <c r="U536" s="1"/>
      <c r="V536" s="1"/>
      <c r="W536" s="1"/>
      <c r="X536" s="1"/>
      <c r="Y536" s="1"/>
      <c r="Z536" s="1"/>
      <c r="AA536" s="1"/>
      <c r="AB536" s="1"/>
    </row>
    <row r="537" ht="12.75" customHeight="1">
      <c r="A537" s="1"/>
      <c r="B537" s="146"/>
      <c r="C537" s="150"/>
      <c r="D537" s="151"/>
      <c r="E537" s="24"/>
      <c r="F537" s="24"/>
      <c r="G537" s="24"/>
      <c r="H537" s="24"/>
      <c r="I537" s="24"/>
      <c r="J537" s="24"/>
      <c r="K537" s="24"/>
      <c r="L537" s="24"/>
      <c r="M537" s="24"/>
      <c r="N537" s="155"/>
      <c r="O537" s="155"/>
      <c r="P537" s="155"/>
      <c r="Q537" s="155"/>
      <c r="R537" s="155"/>
      <c r="S537" s="1"/>
      <c r="T537" s="1"/>
      <c r="U537" s="1"/>
      <c r="V537" s="1"/>
      <c r="W537" s="1"/>
      <c r="X537" s="1"/>
      <c r="Y537" s="1"/>
      <c r="Z537" s="1"/>
      <c r="AA537" s="1"/>
      <c r="AB537" s="1"/>
    </row>
    <row r="538" ht="12.75" customHeight="1">
      <c r="A538" s="1"/>
      <c r="B538" s="146"/>
      <c r="C538" s="150"/>
      <c r="D538" s="151"/>
      <c r="E538" s="24"/>
      <c r="F538" s="24"/>
      <c r="G538" s="24"/>
      <c r="H538" s="24"/>
      <c r="I538" s="24"/>
      <c r="J538" s="24"/>
      <c r="K538" s="24"/>
      <c r="L538" s="24"/>
      <c r="M538" s="24"/>
      <c r="N538" s="155"/>
      <c r="O538" s="155"/>
      <c r="P538" s="155"/>
      <c r="Q538" s="155"/>
      <c r="R538" s="155"/>
      <c r="S538" s="1"/>
      <c r="T538" s="1"/>
      <c r="U538" s="1"/>
      <c r="V538" s="1"/>
      <c r="W538" s="1"/>
      <c r="X538" s="1"/>
      <c r="Y538" s="1"/>
      <c r="Z538" s="1"/>
      <c r="AA538" s="1"/>
      <c r="AB538" s="1"/>
    </row>
    <row r="539" ht="12.75" customHeight="1">
      <c r="A539" s="1"/>
      <c r="B539" s="146"/>
      <c r="C539" s="150"/>
      <c r="D539" s="151"/>
      <c r="E539" s="24"/>
      <c r="F539" s="24"/>
      <c r="G539" s="24"/>
      <c r="H539" s="24"/>
      <c r="I539" s="24"/>
      <c r="J539" s="24"/>
      <c r="K539" s="24"/>
      <c r="L539" s="24"/>
      <c r="M539" s="24"/>
      <c r="N539" s="155"/>
      <c r="O539" s="155"/>
      <c r="P539" s="155"/>
      <c r="Q539" s="155"/>
      <c r="R539" s="155"/>
      <c r="S539" s="1"/>
      <c r="T539" s="1"/>
      <c r="U539" s="1"/>
      <c r="V539" s="1"/>
      <c r="W539" s="1"/>
      <c r="X539" s="1"/>
      <c r="Y539" s="1"/>
      <c r="Z539" s="1"/>
      <c r="AA539" s="1"/>
      <c r="AB539" s="1"/>
    </row>
    <row r="540" ht="12.75" customHeight="1">
      <c r="A540" s="1"/>
      <c r="B540" s="146"/>
      <c r="C540" s="150"/>
      <c r="D540" s="151"/>
      <c r="E540" s="24"/>
      <c r="F540" s="24"/>
      <c r="G540" s="24"/>
      <c r="H540" s="24"/>
      <c r="I540" s="24"/>
      <c r="J540" s="24"/>
      <c r="K540" s="24"/>
      <c r="L540" s="24"/>
      <c r="M540" s="24"/>
      <c r="N540" s="155"/>
      <c r="O540" s="155"/>
      <c r="P540" s="155"/>
      <c r="Q540" s="155"/>
      <c r="R540" s="155"/>
      <c r="S540" s="1"/>
      <c r="T540" s="1"/>
      <c r="U540" s="1"/>
      <c r="V540" s="1"/>
      <c r="W540" s="1"/>
      <c r="X540" s="1"/>
      <c r="Y540" s="1"/>
      <c r="Z540" s="1"/>
      <c r="AA540" s="1"/>
      <c r="AB540" s="1"/>
    </row>
    <row r="541" ht="12.75" customHeight="1">
      <c r="A541" s="1"/>
      <c r="B541" s="146"/>
      <c r="C541" s="150"/>
      <c r="D541" s="151"/>
      <c r="E541" s="24"/>
      <c r="F541" s="24"/>
      <c r="G541" s="24"/>
      <c r="H541" s="24"/>
      <c r="I541" s="24"/>
      <c r="J541" s="24"/>
      <c r="K541" s="24"/>
      <c r="L541" s="24"/>
      <c r="M541" s="24"/>
      <c r="N541" s="155"/>
      <c r="O541" s="155"/>
      <c r="P541" s="155"/>
      <c r="Q541" s="155"/>
      <c r="R541" s="155"/>
      <c r="S541" s="1"/>
      <c r="T541" s="1"/>
      <c r="U541" s="1"/>
      <c r="V541" s="1"/>
      <c r="W541" s="1"/>
      <c r="X541" s="1"/>
      <c r="Y541" s="1"/>
      <c r="Z541" s="1"/>
      <c r="AA541" s="1"/>
      <c r="AB541" s="1"/>
    </row>
    <row r="542" ht="12.75" customHeight="1">
      <c r="A542" s="1"/>
      <c r="B542" s="146"/>
      <c r="C542" s="150"/>
      <c r="D542" s="151"/>
      <c r="E542" s="24"/>
      <c r="F542" s="24"/>
      <c r="G542" s="24"/>
      <c r="H542" s="24"/>
      <c r="I542" s="24"/>
      <c r="J542" s="24"/>
      <c r="K542" s="24"/>
      <c r="L542" s="24"/>
      <c r="M542" s="24"/>
      <c r="N542" s="155"/>
      <c r="O542" s="155"/>
      <c r="P542" s="155"/>
      <c r="Q542" s="155"/>
      <c r="R542" s="155"/>
      <c r="S542" s="1"/>
      <c r="T542" s="1"/>
      <c r="U542" s="1"/>
      <c r="V542" s="1"/>
      <c r="W542" s="1"/>
      <c r="X542" s="1"/>
      <c r="Y542" s="1"/>
      <c r="Z542" s="1"/>
      <c r="AA542" s="1"/>
      <c r="AB542" s="1"/>
    </row>
    <row r="543" ht="12.75" customHeight="1">
      <c r="A543" s="1"/>
      <c r="B543" s="146"/>
      <c r="C543" s="150"/>
      <c r="D543" s="151"/>
      <c r="E543" s="24"/>
      <c r="F543" s="24"/>
      <c r="G543" s="24"/>
      <c r="H543" s="24"/>
      <c r="I543" s="24"/>
      <c r="J543" s="24"/>
      <c r="K543" s="24"/>
      <c r="L543" s="24"/>
      <c r="M543" s="24"/>
      <c r="N543" s="155"/>
      <c r="O543" s="155"/>
      <c r="P543" s="155"/>
      <c r="Q543" s="155"/>
      <c r="R543" s="155"/>
      <c r="S543" s="1"/>
      <c r="T543" s="1"/>
      <c r="U543" s="1"/>
      <c r="V543" s="1"/>
      <c r="W543" s="1"/>
      <c r="X543" s="1"/>
      <c r="Y543" s="1"/>
      <c r="Z543" s="1"/>
      <c r="AA543" s="1"/>
      <c r="AB543" s="1"/>
    </row>
    <row r="544" ht="12.75" customHeight="1">
      <c r="A544" s="1"/>
      <c r="B544" s="146"/>
      <c r="C544" s="150"/>
      <c r="D544" s="151"/>
      <c r="E544" s="24"/>
      <c r="F544" s="24"/>
      <c r="G544" s="24"/>
      <c r="H544" s="24"/>
      <c r="I544" s="24"/>
      <c r="J544" s="24"/>
      <c r="K544" s="24"/>
      <c r="L544" s="24"/>
      <c r="M544" s="24"/>
      <c r="N544" s="155"/>
      <c r="O544" s="155"/>
      <c r="P544" s="155"/>
      <c r="Q544" s="155"/>
      <c r="R544" s="155"/>
      <c r="S544" s="1"/>
      <c r="T544" s="1"/>
      <c r="U544" s="1"/>
      <c r="V544" s="1"/>
      <c r="W544" s="1"/>
      <c r="X544" s="1"/>
      <c r="Y544" s="1"/>
      <c r="Z544" s="1"/>
      <c r="AA544" s="1"/>
      <c r="AB544" s="1"/>
    </row>
    <row r="545" ht="12.75" customHeight="1">
      <c r="A545" s="1"/>
      <c r="B545" s="146"/>
      <c r="C545" s="150"/>
      <c r="D545" s="151"/>
      <c r="E545" s="24"/>
      <c r="F545" s="24"/>
      <c r="G545" s="24"/>
      <c r="H545" s="24"/>
      <c r="I545" s="24"/>
      <c r="J545" s="24"/>
      <c r="K545" s="24"/>
      <c r="L545" s="24"/>
      <c r="M545" s="24"/>
      <c r="N545" s="155"/>
      <c r="O545" s="155"/>
      <c r="P545" s="155"/>
      <c r="Q545" s="155"/>
      <c r="R545" s="155"/>
      <c r="S545" s="1"/>
      <c r="T545" s="1"/>
      <c r="U545" s="1"/>
      <c r="V545" s="1"/>
      <c r="W545" s="1"/>
      <c r="X545" s="1"/>
      <c r="Y545" s="1"/>
      <c r="Z545" s="1"/>
      <c r="AA545" s="1"/>
      <c r="AB545" s="1"/>
    </row>
    <row r="546" ht="12.75" customHeight="1">
      <c r="A546" s="1"/>
      <c r="B546" s="146"/>
      <c r="C546" s="150"/>
      <c r="D546" s="151"/>
      <c r="E546" s="24"/>
      <c r="F546" s="24"/>
      <c r="G546" s="24"/>
      <c r="H546" s="24"/>
      <c r="I546" s="24"/>
      <c r="J546" s="24"/>
      <c r="K546" s="24"/>
      <c r="L546" s="24"/>
      <c r="M546" s="24"/>
      <c r="N546" s="155"/>
      <c r="O546" s="155"/>
      <c r="P546" s="155"/>
      <c r="Q546" s="155"/>
      <c r="R546" s="155"/>
      <c r="S546" s="1"/>
      <c r="T546" s="1"/>
      <c r="U546" s="1"/>
      <c r="V546" s="1"/>
      <c r="W546" s="1"/>
      <c r="X546" s="1"/>
      <c r="Y546" s="1"/>
      <c r="Z546" s="1"/>
      <c r="AA546" s="1"/>
      <c r="AB546" s="1"/>
    </row>
    <row r="547" ht="12.75" customHeight="1">
      <c r="A547" s="1"/>
      <c r="B547" s="146"/>
      <c r="C547" s="150"/>
      <c r="D547" s="151"/>
      <c r="E547" s="24"/>
      <c r="F547" s="24"/>
      <c r="G547" s="24"/>
      <c r="H547" s="24"/>
      <c r="I547" s="24"/>
      <c r="J547" s="24"/>
      <c r="K547" s="24"/>
      <c r="L547" s="24"/>
      <c r="M547" s="24"/>
      <c r="N547" s="155"/>
      <c r="O547" s="155"/>
      <c r="P547" s="155"/>
      <c r="Q547" s="155"/>
      <c r="R547" s="155"/>
      <c r="S547" s="1"/>
      <c r="T547" s="1"/>
      <c r="U547" s="1"/>
      <c r="V547" s="1"/>
      <c r="W547" s="1"/>
      <c r="X547" s="1"/>
      <c r="Y547" s="1"/>
      <c r="Z547" s="1"/>
      <c r="AA547" s="1"/>
      <c r="AB547" s="1"/>
    </row>
    <row r="548" ht="12.75" customHeight="1">
      <c r="A548" s="1"/>
      <c r="B548" s="146"/>
      <c r="C548" s="150"/>
      <c r="D548" s="151"/>
      <c r="E548" s="24"/>
      <c r="F548" s="24"/>
      <c r="G548" s="24"/>
      <c r="H548" s="24"/>
      <c r="I548" s="24"/>
      <c r="J548" s="24"/>
      <c r="K548" s="24"/>
      <c r="L548" s="24"/>
      <c r="M548" s="24"/>
      <c r="N548" s="155"/>
      <c r="O548" s="155"/>
      <c r="P548" s="155"/>
      <c r="Q548" s="155"/>
      <c r="R548" s="155"/>
      <c r="S548" s="1"/>
      <c r="T548" s="1"/>
      <c r="U548" s="1"/>
      <c r="V548" s="1"/>
      <c r="W548" s="1"/>
      <c r="X548" s="1"/>
      <c r="Y548" s="1"/>
      <c r="Z548" s="1"/>
      <c r="AA548" s="1"/>
      <c r="AB548" s="1"/>
    </row>
    <row r="549" ht="12.75" customHeight="1">
      <c r="A549" s="1"/>
      <c r="B549" s="146"/>
      <c r="C549" s="150"/>
      <c r="D549" s="151"/>
      <c r="E549" s="24"/>
      <c r="F549" s="24"/>
      <c r="G549" s="24"/>
      <c r="H549" s="24"/>
      <c r="I549" s="24"/>
      <c r="J549" s="24"/>
      <c r="K549" s="24"/>
      <c r="L549" s="24"/>
      <c r="M549" s="24"/>
      <c r="N549" s="155"/>
      <c r="O549" s="155"/>
      <c r="P549" s="155"/>
      <c r="Q549" s="155"/>
      <c r="R549" s="155"/>
      <c r="S549" s="1"/>
      <c r="T549" s="1"/>
      <c r="U549" s="1"/>
      <c r="V549" s="1"/>
      <c r="W549" s="1"/>
      <c r="X549" s="1"/>
      <c r="Y549" s="1"/>
      <c r="Z549" s="1"/>
      <c r="AA549" s="1"/>
      <c r="AB549" s="1"/>
    </row>
    <row r="550" ht="12.75" customHeight="1">
      <c r="A550" s="1"/>
      <c r="B550" s="146"/>
      <c r="C550" s="150"/>
      <c r="D550" s="151"/>
      <c r="E550" s="24"/>
      <c r="F550" s="24"/>
      <c r="G550" s="24"/>
      <c r="H550" s="24"/>
      <c r="I550" s="24"/>
      <c r="J550" s="24"/>
      <c r="K550" s="24"/>
      <c r="L550" s="24"/>
      <c r="M550" s="24"/>
      <c r="N550" s="155"/>
      <c r="O550" s="155"/>
      <c r="P550" s="155"/>
      <c r="Q550" s="155"/>
      <c r="R550" s="155"/>
      <c r="S550" s="1"/>
      <c r="T550" s="1"/>
      <c r="U550" s="1"/>
      <c r="V550" s="1"/>
      <c r="W550" s="1"/>
      <c r="X550" s="1"/>
      <c r="Y550" s="1"/>
      <c r="Z550" s="1"/>
      <c r="AA550" s="1"/>
      <c r="AB550" s="1"/>
    </row>
    <row r="551" ht="12.75" customHeight="1">
      <c r="A551" s="1"/>
      <c r="B551" s="146"/>
      <c r="C551" s="150"/>
      <c r="D551" s="151"/>
      <c r="E551" s="24"/>
      <c r="F551" s="24"/>
      <c r="G551" s="24"/>
      <c r="H551" s="24"/>
      <c r="I551" s="24"/>
      <c r="J551" s="24"/>
      <c r="K551" s="24"/>
      <c r="L551" s="24"/>
      <c r="M551" s="24"/>
      <c r="N551" s="155"/>
      <c r="O551" s="155"/>
      <c r="P551" s="155"/>
      <c r="Q551" s="155"/>
      <c r="R551" s="155"/>
      <c r="S551" s="1"/>
      <c r="T551" s="1"/>
      <c r="U551" s="1"/>
      <c r="V551" s="1"/>
      <c r="W551" s="1"/>
      <c r="X551" s="1"/>
      <c r="Y551" s="1"/>
      <c r="Z551" s="1"/>
      <c r="AA551" s="1"/>
      <c r="AB551" s="1"/>
    </row>
    <row r="552" ht="12.75" customHeight="1">
      <c r="A552" s="1"/>
      <c r="B552" s="146"/>
      <c r="C552" s="150"/>
      <c r="D552" s="151"/>
      <c r="E552" s="24"/>
      <c r="F552" s="24"/>
      <c r="G552" s="24"/>
      <c r="H552" s="24"/>
      <c r="I552" s="24"/>
      <c r="J552" s="24"/>
      <c r="K552" s="24"/>
      <c r="L552" s="24"/>
      <c r="M552" s="24"/>
      <c r="N552" s="155"/>
      <c r="O552" s="155"/>
      <c r="P552" s="155"/>
      <c r="Q552" s="155"/>
      <c r="R552" s="155"/>
      <c r="S552" s="1"/>
      <c r="T552" s="1"/>
      <c r="U552" s="1"/>
      <c r="V552" s="1"/>
      <c r="W552" s="1"/>
      <c r="X552" s="1"/>
      <c r="Y552" s="1"/>
      <c r="Z552" s="1"/>
      <c r="AA552" s="1"/>
      <c r="AB552" s="1"/>
    </row>
    <row r="553" ht="12.75" customHeight="1">
      <c r="A553" s="1"/>
      <c r="B553" s="146"/>
      <c r="C553" s="150"/>
      <c r="D553" s="151"/>
      <c r="E553" s="24"/>
      <c r="F553" s="24"/>
      <c r="G553" s="24"/>
      <c r="H553" s="24"/>
      <c r="I553" s="24"/>
      <c r="J553" s="24"/>
      <c r="K553" s="24"/>
      <c r="L553" s="24"/>
      <c r="M553" s="24"/>
      <c r="N553" s="155"/>
      <c r="O553" s="155"/>
      <c r="P553" s="155"/>
      <c r="Q553" s="155"/>
      <c r="R553" s="155"/>
      <c r="S553" s="1"/>
      <c r="T553" s="1"/>
      <c r="U553" s="1"/>
      <c r="V553" s="1"/>
      <c r="W553" s="1"/>
      <c r="X553" s="1"/>
      <c r="Y553" s="1"/>
      <c r="Z553" s="1"/>
      <c r="AA553" s="1"/>
      <c r="AB553" s="1"/>
    </row>
    <row r="554" ht="12.75" customHeight="1">
      <c r="A554" s="1"/>
      <c r="B554" s="146"/>
      <c r="C554" s="150"/>
      <c r="D554" s="151"/>
      <c r="E554" s="24"/>
      <c r="F554" s="24"/>
      <c r="G554" s="24"/>
      <c r="H554" s="24"/>
      <c r="I554" s="24"/>
      <c r="J554" s="24"/>
      <c r="K554" s="24"/>
      <c r="L554" s="24"/>
      <c r="M554" s="24"/>
      <c r="N554" s="155"/>
      <c r="O554" s="155"/>
      <c r="P554" s="155"/>
      <c r="Q554" s="155"/>
      <c r="R554" s="155"/>
      <c r="S554" s="1"/>
      <c r="T554" s="1"/>
      <c r="U554" s="1"/>
      <c r="V554" s="1"/>
      <c r="W554" s="1"/>
      <c r="X554" s="1"/>
      <c r="Y554" s="1"/>
      <c r="Z554" s="1"/>
      <c r="AA554" s="1"/>
      <c r="AB554" s="1"/>
    </row>
    <row r="555" ht="12.75" customHeight="1">
      <c r="A555" s="1"/>
      <c r="B555" s="146"/>
      <c r="C555" s="150"/>
      <c r="D555" s="151"/>
      <c r="E555" s="24"/>
      <c r="F555" s="24"/>
      <c r="G555" s="24"/>
      <c r="H555" s="24"/>
      <c r="I555" s="24"/>
      <c r="J555" s="24"/>
      <c r="K555" s="24"/>
      <c r="L555" s="24"/>
      <c r="M555" s="24"/>
      <c r="N555" s="155"/>
      <c r="O555" s="155"/>
      <c r="P555" s="155"/>
      <c r="Q555" s="155"/>
      <c r="R555" s="155"/>
      <c r="S555" s="1"/>
      <c r="T555" s="1"/>
      <c r="U555" s="1"/>
      <c r="V555" s="1"/>
      <c r="W555" s="1"/>
      <c r="X555" s="1"/>
      <c r="Y555" s="1"/>
      <c r="Z555" s="1"/>
      <c r="AA555" s="1"/>
      <c r="AB555" s="1"/>
    </row>
    <row r="556" ht="12.75" customHeight="1">
      <c r="A556" s="1"/>
      <c r="B556" s="146"/>
      <c r="C556" s="150"/>
      <c r="D556" s="151"/>
      <c r="E556" s="24"/>
      <c r="F556" s="24"/>
      <c r="G556" s="24"/>
      <c r="H556" s="24"/>
      <c r="I556" s="24"/>
      <c r="J556" s="24"/>
      <c r="K556" s="24"/>
      <c r="L556" s="24"/>
      <c r="M556" s="24"/>
      <c r="N556" s="155"/>
      <c r="O556" s="155"/>
      <c r="P556" s="155"/>
      <c r="Q556" s="155"/>
      <c r="R556" s="155"/>
      <c r="S556" s="1"/>
      <c r="T556" s="1"/>
      <c r="U556" s="1"/>
      <c r="V556" s="1"/>
      <c r="W556" s="1"/>
      <c r="X556" s="1"/>
      <c r="Y556" s="1"/>
      <c r="Z556" s="1"/>
      <c r="AA556" s="1"/>
      <c r="AB556" s="1"/>
    </row>
    <row r="557" ht="12.75" customHeight="1">
      <c r="A557" s="1"/>
      <c r="B557" s="146"/>
      <c r="C557" s="150"/>
      <c r="D557" s="151"/>
      <c r="E557" s="24"/>
      <c r="F557" s="24"/>
      <c r="G557" s="24"/>
      <c r="H557" s="24"/>
      <c r="I557" s="24"/>
      <c r="J557" s="24"/>
      <c r="K557" s="24"/>
      <c r="L557" s="24"/>
      <c r="M557" s="24"/>
      <c r="N557" s="155"/>
      <c r="O557" s="155"/>
      <c r="P557" s="155"/>
      <c r="Q557" s="155"/>
      <c r="R557" s="155"/>
      <c r="S557" s="1"/>
      <c r="T557" s="1"/>
      <c r="U557" s="1"/>
      <c r="V557" s="1"/>
      <c r="W557" s="1"/>
      <c r="X557" s="1"/>
      <c r="Y557" s="1"/>
      <c r="Z557" s="1"/>
      <c r="AA557" s="1"/>
      <c r="AB557" s="1"/>
    </row>
    <row r="558" ht="12.75" customHeight="1">
      <c r="A558" s="1"/>
      <c r="B558" s="146"/>
      <c r="C558" s="150"/>
      <c r="D558" s="151"/>
      <c r="E558" s="24"/>
      <c r="F558" s="24"/>
      <c r="G558" s="24"/>
      <c r="H558" s="24"/>
      <c r="I558" s="24"/>
      <c r="J558" s="24"/>
      <c r="K558" s="24"/>
      <c r="L558" s="24"/>
      <c r="M558" s="24"/>
      <c r="N558" s="155"/>
      <c r="O558" s="155"/>
      <c r="P558" s="155"/>
      <c r="Q558" s="155"/>
      <c r="R558" s="155"/>
      <c r="S558" s="1"/>
      <c r="T558" s="1"/>
      <c r="U558" s="1"/>
      <c r="V558" s="1"/>
      <c r="W558" s="1"/>
      <c r="X558" s="1"/>
      <c r="Y558" s="1"/>
      <c r="Z558" s="1"/>
      <c r="AA558" s="1"/>
      <c r="AB558" s="1"/>
    </row>
    <row r="559" ht="12.75" customHeight="1">
      <c r="A559" s="1"/>
      <c r="B559" s="146"/>
      <c r="C559" s="150"/>
      <c r="D559" s="151"/>
      <c r="E559" s="24"/>
      <c r="F559" s="24"/>
      <c r="G559" s="24"/>
      <c r="H559" s="24"/>
      <c r="I559" s="24"/>
      <c r="J559" s="24"/>
      <c r="K559" s="24"/>
      <c r="L559" s="24"/>
      <c r="M559" s="24"/>
      <c r="N559" s="155"/>
      <c r="O559" s="155"/>
      <c r="P559" s="155"/>
      <c r="Q559" s="155"/>
      <c r="R559" s="155"/>
      <c r="S559" s="1"/>
      <c r="T559" s="1"/>
      <c r="U559" s="1"/>
      <c r="V559" s="1"/>
      <c r="W559" s="1"/>
      <c r="X559" s="1"/>
      <c r="Y559" s="1"/>
      <c r="Z559" s="1"/>
      <c r="AA559" s="1"/>
      <c r="AB559" s="1"/>
    </row>
    <row r="560" ht="12.75" customHeight="1">
      <c r="A560" s="1"/>
      <c r="B560" s="146"/>
      <c r="C560" s="150"/>
      <c r="D560" s="151"/>
      <c r="E560" s="24"/>
      <c r="F560" s="24"/>
      <c r="G560" s="24"/>
      <c r="H560" s="24"/>
      <c r="I560" s="24"/>
      <c r="J560" s="24"/>
      <c r="K560" s="24"/>
      <c r="L560" s="24"/>
      <c r="M560" s="24"/>
      <c r="N560" s="155"/>
      <c r="O560" s="155"/>
      <c r="P560" s="155"/>
      <c r="Q560" s="155"/>
      <c r="R560" s="155"/>
      <c r="S560" s="1"/>
      <c r="T560" s="1"/>
      <c r="U560" s="1"/>
      <c r="V560" s="1"/>
      <c r="W560" s="1"/>
      <c r="X560" s="1"/>
      <c r="Y560" s="1"/>
      <c r="Z560" s="1"/>
      <c r="AA560" s="1"/>
      <c r="AB560" s="1"/>
    </row>
    <row r="561" ht="12.75" customHeight="1">
      <c r="A561" s="1"/>
      <c r="B561" s="146"/>
      <c r="C561" s="150"/>
      <c r="D561" s="151"/>
      <c r="E561" s="24"/>
      <c r="F561" s="24"/>
      <c r="G561" s="24"/>
      <c r="H561" s="24"/>
      <c r="I561" s="24"/>
      <c r="J561" s="24"/>
      <c r="K561" s="24"/>
      <c r="L561" s="24"/>
      <c r="M561" s="24"/>
      <c r="N561" s="155"/>
      <c r="O561" s="155"/>
      <c r="P561" s="155"/>
      <c r="Q561" s="155"/>
      <c r="R561" s="155"/>
      <c r="S561" s="1"/>
      <c r="T561" s="1"/>
      <c r="U561" s="1"/>
      <c r="V561" s="1"/>
      <c r="W561" s="1"/>
      <c r="X561" s="1"/>
      <c r="Y561" s="1"/>
      <c r="Z561" s="1"/>
      <c r="AA561" s="1"/>
      <c r="AB561" s="1"/>
    </row>
    <row r="562" ht="12.75" customHeight="1">
      <c r="A562" s="1"/>
      <c r="B562" s="146"/>
      <c r="C562" s="150"/>
      <c r="D562" s="151"/>
      <c r="E562" s="24"/>
      <c r="F562" s="24"/>
      <c r="G562" s="24"/>
      <c r="H562" s="24"/>
      <c r="I562" s="24"/>
      <c r="J562" s="24"/>
      <c r="K562" s="24"/>
      <c r="L562" s="24"/>
      <c r="M562" s="24"/>
      <c r="N562" s="155"/>
      <c r="O562" s="155"/>
      <c r="P562" s="155"/>
      <c r="Q562" s="155"/>
      <c r="R562" s="155"/>
      <c r="S562" s="1"/>
      <c r="T562" s="1"/>
      <c r="U562" s="1"/>
      <c r="V562" s="1"/>
      <c r="W562" s="1"/>
      <c r="X562" s="1"/>
      <c r="Y562" s="1"/>
      <c r="Z562" s="1"/>
      <c r="AA562" s="1"/>
      <c r="AB562" s="1"/>
    </row>
    <row r="563" ht="12.75" customHeight="1">
      <c r="A563" s="1"/>
      <c r="B563" s="146"/>
      <c r="C563" s="150"/>
      <c r="D563" s="151"/>
      <c r="E563" s="24"/>
      <c r="F563" s="24"/>
      <c r="G563" s="24"/>
      <c r="H563" s="24"/>
      <c r="I563" s="24"/>
      <c r="J563" s="24"/>
      <c r="K563" s="24"/>
      <c r="L563" s="24"/>
      <c r="M563" s="24"/>
      <c r="N563" s="155"/>
      <c r="O563" s="155"/>
      <c r="P563" s="155"/>
      <c r="Q563" s="155"/>
      <c r="R563" s="155"/>
      <c r="S563" s="1"/>
      <c r="T563" s="1"/>
      <c r="U563" s="1"/>
      <c r="V563" s="1"/>
      <c r="W563" s="1"/>
      <c r="X563" s="1"/>
      <c r="Y563" s="1"/>
      <c r="Z563" s="1"/>
      <c r="AA563" s="1"/>
      <c r="AB563" s="1"/>
    </row>
    <row r="564" ht="12.75" customHeight="1">
      <c r="A564" s="1"/>
      <c r="B564" s="146"/>
      <c r="C564" s="150"/>
      <c r="D564" s="151"/>
      <c r="E564" s="24"/>
      <c r="F564" s="24"/>
      <c r="G564" s="24"/>
      <c r="H564" s="24"/>
      <c r="I564" s="24"/>
      <c r="J564" s="24"/>
      <c r="K564" s="24"/>
      <c r="L564" s="24"/>
      <c r="M564" s="24"/>
      <c r="N564" s="155"/>
      <c r="O564" s="155"/>
      <c r="P564" s="155"/>
      <c r="Q564" s="155"/>
      <c r="R564" s="155"/>
      <c r="S564" s="1"/>
      <c r="T564" s="1"/>
      <c r="U564" s="1"/>
      <c r="V564" s="1"/>
      <c r="W564" s="1"/>
      <c r="X564" s="1"/>
      <c r="Y564" s="1"/>
      <c r="Z564" s="1"/>
      <c r="AA564" s="1"/>
      <c r="AB564" s="1"/>
    </row>
    <row r="565" ht="12.75" customHeight="1">
      <c r="A565" s="1"/>
      <c r="B565" s="146"/>
      <c r="C565" s="150"/>
      <c r="D565" s="151"/>
      <c r="E565" s="24"/>
      <c r="F565" s="24"/>
      <c r="G565" s="24"/>
      <c r="H565" s="24"/>
      <c r="I565" s="24"/>
      <c r="J565" s="24"/>
      <c r="K565" s="24"/>
      <c r="L565" s="24"/>
      <c r="M565" s="24"/>
      <c r="N565" s="155"/>
      <c r="O565" s="155"/>
      <c r="P565" s="155"/>
      <c r="Q565" s="155"/>
      <c r="R565" s="155"/>
      <c r="S565" s="1"/>
      <c r="T565" s="1"/>
      <c r="U565" s="1"/>
      <c r="V565" s="1"/>
      <c r="W565" s="1"/>
      <c r="X565" s="1"/>
      <c r="Y565" s="1"/>
      <c r="Z565" s="1"/>
      <c r="AA565" s="1"/>
      <c r="AB565" s="1"/>
    </row>
    <row r="566" ht="12.75" customHeight="1">
      <c r="A566" s="1"/>
      <c r="B566" s="146"/>
      <c r="C566" s="150"/>
      <c r="D566" s="151"/>
      <c r="E566" s="24"/>
      <c r="F566" s="24"/>
      <c r="G566" s="24"/>
      <c r="H566" s="24"/>
      <c r="I566" s="24"/>
      <c r="J566" s="24"/>
      <c r="K566" s="24"/>
      <c r="L566" s="24"/>
      <c r="M566" s="24"/>
      <c r="N566" s="155"/>
      <c r="O566" s="155"/>
      <c r="P566" s="155"/>
      <c r="Q566" s="155"/>
      <c r="R566" s="155"/>
      <c r="S566" s="1"/>
      <c r="T566" s="1"/>
      <c r="U566" s="1"/>
      <c r="V566" s="1"/>
      <c r="W566" s="1"/>
      <c r="X566" s="1"/>
      <c r="Y566" s="1"/>
      <c r="Z566" s="1"/>
      <c r="AA566" s="1"/>
      <c r="AB566" s="1"/>
    </row>
    <row r="567" ht="12.75" customHeight="1">
      <c r="A567" s="1"/>
      <c r="B567" s="146"/>
      <c r="C567" s="150"/>
      <c r="D567" s="151"/>
      <c r="E567" s="24"/>
      <c r="F567" s="24"/>
      <c r="G567" s="24"/>
      <c r="H567" s="24"/>
      <c r="I567" s="24"/>
      <c r="J567" s="24"/>
      <c r="K567" s="24"/>
      <c r="L567" s="24"/>
      <c r="M567" s="24"/>
      <c r="N567" s="155"/>
      <c r="O567" s="155"/>
      <c r="P567" s="155"/>
      <c r="Q567" s="155"/>
      <c r="R567" s="155"/>
      <c r="S567" s="1"/>
      <c r="T567" s="1"/>
      <c r="U567" s="1"/>
      <c r="V567" s="1"/>
      <c r="W567" s="1"/>
      <c r="X567" s="1"/>
      <c r="Y567" s="1"/>
      <c r="Z567" s="1"/>
      <c r="AA567" s="1"/>
      <c r="AB567" s="1"/>
    </row>
    <row r="568" ht="12.75" customHeight="1">
      <c r="A568" s="1"/>
      <c r="B568" s="146"/>
      <c r="C568" s="150"/>
      <c r="D568" s="151"/>
      <c r="E568" s="24"/>
      <c r="F568" s="24"/>
      <c r="G568" s="24"/>
      <c r="H568" s="24"/>
      <c r="I568" s="24"/>
      <c r="J568" s="24"/>
      <c r="K568" s="24"/>
      <c r="L568" s="24"/>
      <c r="M568" s="24"/>
      <c r="N568" s="155"/>
      <c r="O568" s="155"/>
      <c r="P568" s="155"/>
      <c r="Q568" s="155"/>
      <c r="R568" s="155"/>
      <c r="S568" s="1"/>
      <c r="T568" s="1"/>
      <c r="U568" s="1"/>
      <c r="V568" s="1"/>
      <c r="W568" s="1"/>
      <c r="X568" s="1"/>
      <c r="Y568" s="1"/>
      <c r="Z568" s="1"/>
      <c r="AA568" s="1"/>
      <c r="AB568" s="1"/>
    </row>
    <row r="569" ht="12.75" customHeight="1">
      <c r="A569" s="1"/>
      <c r="B569" s="146"/>
      <c r="C569" s="150"/>
      <c r="D569" s="151"/>
      <c r="E569" s="24"/>
      <c r="F569" s="24"/>
      <c r="G569" s="24"/>
      <c r="H569" s="24"/>
      <c r="I569" s="24"/>
      <c r="J569" s="24"/>
      <c r="K569" s="24"/>
      <c r="L569" s="24"/>
      <c r="M569" s="24"/>
      <c r="N569" s="155"/>
      <c r="O569" s="155"/>
      <c r="P569" s="155"/>
      <c r="Q569" s="155"/>
      <c r="R569" s="155"/>
      <c r="S569" s="1"/>
      <c r="T569" s="1"/>
      <c r="U569" s="1"/>
      <c r="V569" s="1"/>
      <c r="W569" s="1"/>
      <c r="X569" s="1"/>
      <c r="Y569" s="1"/>
      <c r="Z569" s="1"/>
      <c r="AA569" s="1"/>
      <c r="AB569" s="1"/>
    </row>
    <row r="570" ht="12.75" customHeight="1">
      <c r="A570" s="1"/>
      <c r="B570" s="146"/>
      <c r="C570" s="150"/>
      <c r="D570" s="151"/>
      <c r="E570" s="24"/>
      <c r="F570" s="24"/>
      <c r="G570" s="24"/>
      <c r="H570" s="24"/>
      <c r="I570" s="24"/>
      <c r="J570" s="24"/>
      <c r="K570" s="24"/>
      <c r="L570" s="24"/>
      <c r="M570" s="24"/>
      <c r="N570" s="155"/>
      <c r="O570" s="155"/>
      <c r="P570" s="155"/>
      <c r="Q570" s="155"/>
      <c r="R570" s="155"/>
      <c r="S570" s="1"/>
      <c r="T570" s="1"/>
      <c r="U570" s="1"/>
      <c r="V570" s="1"/>
      <c r="W570" s="1"/>
      <c r="X570" s="1"/>
      <c r="Y570" s="1"/>
      <c r="Z570" s="1"/>
      <c r="AA570" s="1"/>
      <c r="AB570" s="1"/>
    </row>
    <row r="571" ht="12.75" customHeight="1">
      <c r="A571" s="1"/>
      <c r="B571" s="146"/>
      <c r="C571" s="150"/>
      <c r="D571" s="151"/>
      <c r="E571" s="24"/>
      <c r="F571" s="24"/>
      <c r="G571" s="24"/>
      <c r="H571" s="24"/>
      <c r="I571" s="24"/>
      <c r="J571" s="24"/>
      <c r="K571" s="24"/>
      <c r="L571" s="24"/>
      <c r="M571" s="24"/>
      <c r="N571" s="155"/>
      <c r="O571" s="155"/>
      <c r="P571" s="155"/>
      <c r="Q571" s="155"/>
      <c r="R571" s="155"/>
      <c r="S571" s="1"/>
      <c r="T571" s="1"/>
      <c r="U571" s="1"/>
      <c r="V571" s="1"/>
      <c r="W571" s="1"/>
      <c r="X571" s="1"/>
      <c r="Y571" s="1"/>
      <c r="Z571" s="1"/>
      <c r="AA571" s="1"/>
      <c r="AB571" s="1"/>
    </row>
    <row r="572" ht="12.75" customHeight="1">
      <c r="A572" s="1"/>
      <c r="B572" s="146"/>
      <c r="C572" s="150"/>
      <c r="D572" s="151"/>
      <c r="E572" s="24"/>
      <c r="F572" s="24"/>
      <c r="G572" s="24"/>
      <c r="H572" s="24"/>
      <c r="I572" s="24"/>
      <c r="J572" s="24"/>
      <c r="K572" s="24"/>
      <c r="L572" s="24"/>
      <c r="M572" s="24"/>
      <c r="N572" s="155"/>
      <c r="O572" s="155"/>
      <c r="P572" s="155"/>
      <c r="Q572" s="155"/>
      <c r="R572" s="155"/>
      <c r="S572" s="1"/>
      <c r="T572" s="1"/>
      <c r="U572" s="1"/>
      <c r="V572" s="1"/>
      <c r="W572" s="1"/>
      <c r="X572" s="1"/>
      <c r="Y572" s="1"/>
      <c r="Z572" s="1"/>
      <c r="AA572" s="1"/>
      <c r="AB572" s="1"/>
    </row>
    <row r="573" ht="12.75" customHeight="1">
      <c r="A573" s="1"/>
      <c r="B573" s="146"/>
      <c r="C573" s="150"/>
      <c r="D573" s="151"/>
      <c r="E573" s="24"/>
      <c r="F573" s="24"/>
      <c r="G573" s="24"/>
      <c r="H573" s="24"/>
      <c r="I573" s="24"/>
      <c r="J573" s="24"/>
      <c r="K573" s="24"/>
      <c r="L573" s="24"/>
      <c r="M573" s="24"/>
      <c r="N573" s="155"/>
      <c r="O573" s="155"/>
      <c r="P573" s="155"/>
      <c r="Q573" s="155"/>
      <c r="R573" s="155"/>
      <c r="S573" s="1"/>
      <c r="T573" s="1"/>
      <c r="U573" s="1"/>
      <c r="V573" s="1"/>
      <c r="W573" s="1"/>
      <c r="X573" s="1"/>
      <c r="Y573" s="1"/>
      <c r="Z573" s="1"/>
      <c r="AA573" s="1"/>
      <c r="AB573" s="1"/>
    </row>
    <row r="574" ht="12.75" customHeight="1">
      <c r="A574" s="1"/>
      <c r="B574" s="146"/>
      <c r="C574" s="150"/>
      <c r="D574" s="151"/>
      <c r="E574" s="24"/>
      <c r="F574" s="24"/>
      <c r="G574" s="24"/>
      <c r="H574" s="24"/>
      <c r="I574" s="24"/>
      <c r="J574" s="24"/>
      <c r="K574" s="24"/>
      <c r="L574" s="24"/>
      <c r="M574" s="24"/>
      <c r="N574" s="155"/>
      <c r="O574" s="155"/>
      <c r="P574" s="155"/>
      <c r="Q574" s="155"/>
      <c r="R574" s="155"/>
      <c r="S574" s="1"/>
      <c r="T574" s="1"/>
      <c r="U574" s="1"/>
      <c r="V574" s="1"/>
      <c r="W574" s="1"/>
      <c r="X574" s="1"/>
      <c r="Y574" s="1"/>
      <c r="Z574" s="1"/>
      <c r="AA574" s="1"/>
      <c r="AB574" s="1"/>
    </row>
    <row r="575" ht="12.75" customHeight="1">
      <c r="A575" s="1"/>
      <c r="B575" s="146"/>
      <c r="C575" s="150"/>
      <c r="D575" s="151"/>
      <c r="E575" s="24"/>
      <c r="F575" s="24"/>
      <c r="G575" s="24"/>
      <c r="H575" s="24"/>
      <c r="I575" s="24"/>
      <c r="J575" s="24"/>
      <c r="K575" s="24"/>
      <c r="L575" s="24"/>
      <c r="M575" s="24"/>
      <c r="N575" s="155"/>
      <c r="O575" s="155"/>
      <c r="P575" s="155"/>
      <c r="Q575" s="155"/>
      <c r="R575" s="155"/>
      <c r="S575" s="1"/>
      <c r="T575" s="1"/>
      <c r="U575" s="1"/>
      <c r="V575" s="1"/>
      <c r="W575" s="1"/>
      <c r="X575" s="1"/>
      <c r="Y575" s="1"/>
      <c r="Z575" s="1"/>
      <c r="AA575" s="1"/>
      <c r="AB575" s="1"/>
    </row>
    <row r="576" ht="12.75" customHeight="1">
      <c r="A576" s="1"/>
      <c r="B576" s="146"/>
      <c r="C576" s="150"/>
      <c r="D576" s="151"/>
      <c r="E576" s="24"/>
      <c r="F576" s="24"/>
      <c r="G576" s="24"/>
      <c r="H576" s="24"/>
      <c r="I576" s="24"/>
      <c r="J576" s="24"/>
      <c r="K576" s="24"/>
      <c r="L576" s="24"/>
      <c r="M576" s="24"/>
      <c r="N576" s="155"/>
      <c r="O576" s="155"/>
      <c r="P576" s="155"/>
      <c r="Q576" s="155"/>
      <c r="R576" s="155"/>
      <c r="S576" s="1"/>
      <c r="T576" s="1"/>
      <c r="U576" s="1"/>
      <c r="V576" s="1"/>
      <c r="W576" s="1"/>
      <c r="X576" s="1"/>
      <c r="Y576" s="1"/>
      <c r="Z576" s="1"/>
      <c r="AA576" s="1"/>
      <c r="AB576" s="1"/>
    </row>
    <row r="577" ht="12.75" customHeight="1">
      <c r="A577" s="1"/>
      <c r="B577" s="146"/>
      <c r="C577" s="150"/>
      <c r="D577" s="151"/>
      <c r="E577" s="24"/>
      <c r="F577" s="24"/>
      <c r="G577" s="24"/>
      <c r="H577" s="24"/>
      <c r="I577" s="24"/>
      <c r="J577" s="24"/>
      <c r="K577" s="24"/>
      <c r="L577" s="24"/>
      <c r="M577" s="24"/>
      <c r="N577" s="155"/>
      <c r="O577" s="155"/>
      <c r="P577" s="155"/>
      <c r="Q577" s="155"/>
      <c r="R577" s="155"/>
      <c r="S577" s="1"/>
      <c r="T577" s="1"/>
      <c r="U577" s="1"/>
      <c r="V577" s="1"/>
      <c r="W577" s="1"/>
      <c r="X577" s="1"/>
      <c r="Y577" s="1"/>
      <c r="Z577" s="1"/>
      <c r="AA577" s="1"/>
      <c r="AB577" s="1"/>
    </row>
    <row r="578" ht="12.75" customHeight="1">
      <c r="A578" s="1"/>
      <c r="B578" s="146"/>
      <c r="C578" s="150"/>
      <c r="D578" s="151"/>
      <c r="E578" s="24"/>
      <c r="F578" s="24"/>
      <c r="G578" s="24"/>
      <c r="H578" s="24"/>
      <c r="I578" s="24"/>
      <c r="J578" s="24"/>
      <c r="K578" s="24"/>
      <c r="L578" s="24"/>
      <c r="M578" s="24"/>
      <c r="N578" s="155"/>
      <c r="O578" s="155"/>
      <c r="P578" s="155"/>
      <c r="Q578" s="155"/>
      <c r="R578" s="155"/>
      <c r="S578" s="1"/>
      <c r="T578" s="1"/>
      <c r="U578" s="1"/>
      <c r="V578" s="1"/>
      <c r="W578" s="1"/>
      <c r="X578" s="1"/>
      <c r="Y578" s="1"/>
      <c r="Z578" s="1"/>
      <c r="AA578" s="1"/>
      <c r="AB578" s="1"/>
    </row>
    <row r="579" ht="12.75" customHeight="1">
      <c r="A579" s="1"/>
      <c r="B579" s="146"/>
      <c r="C579" s="150"/>
      <c r="D579" s="151"/>
      <c r="E579" s="24"/>
      <c r="F579" s="24"/>
      <c r="G579" s="24"/>
      <c r="H579" s="24"/>
      <c r="I579" s="24"/>
      <c r="J579" s="24"/>
      <c r="K579" s="24"/>
      <c r="L579" s="24"/>
      <c r="M579" s="24"/>
      <c r="N579" s="155"/>
      <c r="O579" s="155"/>
      <c r="P579" s="155"/>
      <c r="Q579" s="155"/>
      <c r="R579" s="155"/>
      <c r="S579" s="1"/>
      <c r="T579" s="1"/>
      <c r="U579" s="1"/>
      <c r="V579" s="1"/>
      <c r="W579" s="1"/>
      <c r="X579" s="1"/>
      <c r="Y579" s="1"/>
      <c r="Z579" s="1"/>
      <c r="AA579" s="1"/>
      <c r="AB579" s="1"/>
    </row>
    <row r="580" ht="12.75" customHeight="1">
      <c r="A580" s="1"/>
      <c r="B580" s="146"/>
      <c r="C580" s="150"/>
      <c r="D580" s="151"/>
      <c r="E580" s="24"/>
      <c r="F580" s="24"/>
      <c r="G580" s="24"/>
      <c r="H580" s="24"/>
      <c r="I580" s="24"/>
      <c r="J580" s="24"/>
      <c r="K580" s="24"/>
      <c r="L580" s="24"/>
      <c r="M580" s="24"/>
      <c r="N580" s="155"/>
      <c r="O580" s="155"/>
      <c r="P580" s="155"/>
      <c r="Q580" s="155"/>
      <c r="R580" s="155"/>
      <c r="S580" s="1"/>
      <c r="T580" s="1"/>
      <c r="U580" s="1"/>
      <c r="V580" s="1"/>
      <c r="W580" s="1"/>
      <c r="X580" s="1"/>
      <c r="Y580" s="1"/>
      <c r="Z580" s="1"/>
      <c r="AA580" s="1"/>
      <c r="AB580" s="1"/>
    </row>
    <row r="581" ht="12.75" customHeight="1">
      <c r="A581" s="1"/>
      <c r="B581" s="146"/>
      <c r="C581" s="150"/>
      <c r="D581" s="151"/>
      <c r="E581" s="24"/>
      <c r="F581" s="24"/>
      <c r="G581" s="24"/>
      <c r="H581" s="24"/>
      <c r="I581" s="24"/>
      <c r="J581" s="24"/>
      <c r="K581" s="24"/>
      <c r="L581" s="24"/>
      <c r="M581" s="24"/>
      <c r="N581" s="155"/>
      <c r="O581" s="155"/>
      <c r="P581" s="155"/>
      <c r="Q581" s="155"/>
      <c r="R581" s="155"/>
      <c r="S581" s="1"/>
      <c r="T581" s="1"/>
      <c r="U581" s="1"/>
      <c r="V581" s="1"/>
      <c r="W581" s="1"/>
      <c r="X581" s="1"/>
      <c r="Y581" s="1"/>
      <c r="Z581" s="1"/>
      <c r="AA581" s="1"/>
      <c r="AB581" s="1"/>
    </row>
    <row r="582" ht="12.75" customHeight="1">
      <c r="A582" s="1"/>
      <c r="B582" s="146"/>
      <c r="C582" s="150"/>
      <c r="D582" s="151"/>
      <c r="E582" s="24"/>
      <c r="F582" s="24"/>
      <c r="G582" s="24"/>
      <c r="H582" s="24"/>
      <c r="I582" s="24"/>
      <c r="J582" s="24"/>
      <c r="K582" s="24"/>
      <c r="L582" s="24"/>
      <c r="M582" s="24"/>
      <c r="N582" s="155"/>
      <c r="O582" s="155"/>
      <c r="P582" s="155"/>
      <c r="Q582" s="155"/>
      <c r="R582" s="155"/>
      <c r="S582" s="1"/>
      <c r="T582" s="1"/>
      <c r="U582" s="1"/>
      <c r="V582" s="1"/>
      <c r="W582" s="1"/>
      <c r="X582" s="1"/>
      <c r="Y582" s="1"/>
      <c r="Z582" s="1"/>
      <c r="AA582" s="1"/>
      <c r="AB582" s="1"/>
    </row>
    <row r="583" ht="12.75" customHeight="1">
      <c r="A583" s="1"/>
      <c r="B583" s="146"/>
      <c r="C583" s="150"/>
      <c r="D583" s="151"/>
      <c r="E583" s="24"/>
      <c r="F583" s="24"/>
      <c r="G583" s="24"/>
      <c r="H583" s="24"/>
      <c r="I583" s="24"/>
      <c r="J583" s="24"/>
      <c r="K583" s="24"/>
      <c r="L583" s="24"/>
      <c r="M583" s="24"/>
      <c r="N583" s="155"/>
      <c r="O583" s="155"/>
      <c r="P583" s="155"/>
      <c r="Q583" s="155"/>
      <c r="R583" s="155"/>
      <c r="S583" s="1"/>
      <c r="T583" s="1"/>
      <c r="U583" s="1"/>
      <c r="V583" s="1"/>
      <c r="W583" s="1"/>
      <c r="X583" s="1"/>
      <c r="Y583" s="1"/>
      <c r="Z583" s="1"/>
      <c r="AA583" s="1"/>
      <c r="AB583" s="1"/>
    </row>
    <row r="584" ht="12.75" customHeight="1">
      <c r="A584" s="1"/>
      <c r="B584" s="146"/>
      <c r="C584" s="150"/>
      <c r="D584" s="151"/>
      <c r="E584" s="24"/>
      <c r="F584" s="24"/>
      <c r="G584" s="24"/>
      <c r="H584" s="24"/>
      <c r="I584" s="24"/>
      <c r="J584" s="24"/>
      <c r="K584" s="24"/>
      <c r="L584" s="24"/>
      <c r="M584" s="24"/>
      <c r="N584" s="155"/>
      <c r="O584" s="155"/>
      <c r="P584" s="155"/>
      <c r="Q584" s="155"/>
      <c r="R584" s="155"/>
      <c r="S584" s="1"/>
      <c r="T584" s="1"/>
      <c r="U584" s="1"/>
      <c r="V584" s="1"/>
      <c r="W584" s="1"/>
      <c r="X584" s="1"/>
      <c r="Y584" s="1"/>
      <c r="Z584" s="1"/>
      <c r="AA584" s="1"/>
      <c r="AB584" s="1"/>
    </row>
    <row r="585" ht="12.75" customHeight="1">
      <c r="A585" s="1"/>
      <c r="B585" s="146"/>
      <c r="C585" s="150"/>
      <c r="D585" s="151"/>
      <c r="E585" s="24"/>
      <c r="F585" s="24"/>
      <c r="G585" s="24"/>
      <c r="H585" s="24"/>
      <c r="I585" s="24"/>
      <c r="J585" s="24"/>
      <c r="K585" s="24"/>
      <c r="L585" s="24"/>
      <c r="M585" s="24"/>
      <c r="N585" s="155"/>
      <c r="O585" s="155"/>
      <c r="P585" s="155"/>
      <c r="Q585" s="155"/>
      <c r="R585" s="155"/>
      <c r="S585" s="1"/>
      <c r="T585" s="1"/>
      <c r="U585" s="1"/>
      <c r="V585" s="1"/>
      <c r="W585" s="1"/>
      <c r="X585" s="1"/>
      <c r="Y585" s="1"/>
      <c r="Z585" s="1"/>
      <c r="AA585" s="1"/>
      <c r="AB585" s="1"/>
    </row>
    <row r="586" ht="12.75" customHeight="1">
      <c r="A586" s="1"/>
      <c r="B586" s="146"/>
      <c r="C586" s="150"/>
      <c r="D586" s="151"/>
      <c r="E586" s="24"/>
      <c r="F586" s="24"/>
      <c r="G586" s="24"/>
      <c r="H586" s="24"/>
      <c r="I586" s="24"/>
      <c r="J586" s="24"/>
      <c r="K586" s="24"/>
      <c r="L586" s="24"/>
      <c r="M586" s="24"/>
      <c r="N586" s="155"/>
      <c r="O586" s="155"/>
      <c r="P586" s="155"/>
      <c r="Q586" s="155"/>
      <c r="R586" s="155"/>
      <c r="S586" s="1"/>
      <c r="T586" s="1"/>
      <c r="U586" s="1"/>
      <c r="V586" s="1"/>
      <c r="W586" s="1"/>
      <c r="X586" s="1"/>
      <c r="Y586" s="1"/>
      <c r="Z586" s="1"/>
      <c r="AA586" s="1"/>
      <c r="AB586" s="1"/>
    </row>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B5:G5"/>
    <mergeCell ref="B6:C6"/>
    <mergeCell ref="AC7:AG24"/>
    <mergeCell ref="B26:C26"/>
    <mergeCell ref="AC27:AG40"/>
    <mergeCell ref="B42:C42"/>
    <mergeCell ref="B57:C57"/>
    <mergeCell ref="B67:G67"/>
    <mergeCell ref="B68:C68"/>
    <mergeCell ref="B84:C84"/>
    <mergeCell ref="B100:C100"/>
    <mergeCell ref="B116:C116"/>
    <mergeCell ref="B125:G125"/>
    <mergeCell ref="B126:C126"/>
    <mergeCell ref="AC43:AG55"/>
    <mergeCell ref="AC58:AG65"/>
    <mergeCell ref="AC69:AG82"/>
    <mergeCell ref="AC85:AG98"/>
    <mergeCell ref="AC101:AG114"/>
    <mergeCell ref="AC117:AG123"/>
    <mergeCell ref="AC127:AG144"/>
    <mergeCell ref="B146:C146"/>
    <mergeCell ref="B161:C161"/>
    <mergeCell ref="B175:C175"/>
    <mergeCell ref="B187:G187"/>
    <mergeCell ref="B188:C188"/>
    <mergeCell ref="B201:C201"/>
    <mergeCell ref="B220:C220"/>
    <mergeCell ref="AC250:AG266"/>
    <mergeCell ref="AC269:AG281"/>
    <mergeCell ref="AC284:AG305"/>
    <mergeCell ref="AC308:AG318"/>
    <mergeCell ref="AC322:AG331"/>
    <mergeCell ref="AC334:AG351"/>
    <mergeCell ref="AC354:AG366"/>
    <mergeCell ref="AC369:AG382"/>
    <mergeCell ref="AC147:AG159"/>
    <mergeCell ref="AC162:AG173"/>
    <mergeCell ref="AC176:AG185"/>
    <mergeCell ref="AC189:AG199"/>
    <mergeCell ref="AC202:AG218"/>
    <mergeCell ref="AC221:AG234"/>
    <mergeCell ref="AC237:AG246"/>
    <mergeCell ref="B321:C321"/>
    <mergeCell ref="B333:C333"/>
    <mergeCell ref="B353:C353"/>
    <mergeCell ref="B368:C368"/>
    <mergeCell ref="B236:C236"/>
    <mergeCell ref="B248:G248"/>
    <mergeCell ref="B249:C249"/>
    <mergeCell ref="B268:C268"/>
    <mergeCell ref="B283:C283"/>
    <mergeCell ref="B307:C307"/>
    <mergeCell ref="B320:G32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5.57"/>
    <col customWidth="1" min="2" max="2" width="2.14"/>
    <col customWidth="1" min="3" max="3" width="27.29"/>
    <col customWidth="1" hidden="1" min="4" max="4" width="11.29"/>
    <col customWidth="1" min="5" max="5" width="10.71"/>
    <col customWidth="1" min="6" max="6" width="9.14"/>
    <col customWidth="1" min="7" max="7" width="8.14"/>
    <col customWidth="1" min="8" max="8" width="0.14"/>
    <col customWidth="1" hidden="1" min="9" max="9" width="5.29"/>
    <col customWidth="1" hidden="1" min="10" max="10" width="5.14"/>
    <col customWidth="1" hidden="1" min="11" max="11" width="4.71"/>
    <col customWidth="1" hidden="1" min="12" max="12" width="3.57"/>
    <col customWidth="1" hidden="1" min="13" max="14" width="4.14"/>
    <col customWidth="1" hidden="1" min="15" max="15" width="4.43"/>
    <col customWidth="1" hidden="1" min="16" max="16" width="4.71"/>
    <col customWidth="1" hidden="1" min="17" max="17" width="4.57"/>
    <col customWidth="1" hidden="1" min="18" max="18" width="4.71"/>
    <col customWidth="1" hidden="1" min="19" max="19" width="4.86"/>
    <col customWidth="1" hidden="1" min="20" max="20" width="5.14"/>
    <col customWidth="1" hidden="1" min="21" max="21" width="4.86"/>
    <col customWidth="1" hidden="1" min="22" max="22" width="5.71"/>
    <col customWidth="1" hidden="1" min="23" max="23" width="6.0"/>
    <col customWidth="1" hidden="1" min="24" max="24" width="6.57"/>
    <col customWidth="1" hidden="1" min="25" max="25" width="7.14"/>
    <col customWidth="1" hidden="1" min="26" max="26" width="5.43"/>
    <col customWidth="1" hidden="1" min="27" max="27" width="6.0"/>
    <col customWidth="1" hidden="1" min="28" max="28" width="3.29"/>
    <col customWidth="1" min="29" max="33" width="8.71"/>
  </cols>
  <sheetData>
    <row r="1" ht="12.75" customHeight="1">
      <c r="A1" s="1"/>
      <c r="B1" s="146"/>
      <c r="C1" s="147"/>
      <c r="D1" s="147"/>
      <c r="E1" s="147"/>
      <c r="F1" s="147"/>
      <c r="G1" s="147"/>
      <c r="H1" s="24"/>
      <c r="I1" s="24"/>
      <c r="J1" s="24"/>
      <c r="K1" s="24"/>
      <c r="L1" s="24"/>
      <c r="M1" s="24"/>
      <c r="N1" s="1"/>
      <c r="O1" s="1"/>
      <c r="P1" s="1"/>
      <c r="Q1" s="1"/>
      <c r="R1" s="1"/>
      <c r="S1" s="1"/>
      <c r="T1" s="1"/>
      <c r="U1" s="1"/>
      <c r="V1" s="1"/>
      <c r="W1" s="1"/>
      <c r="X1" s="1"/>
      <c r="Y1" s="1"/>
      <c r="Z1" s="1"/>
      <c r="AA1" s="1"/>
      <c r="AB1" s="1"/>
    </row>
    <row r="2" ht="19.5" customHeight="1">
      <c r="A2" s="1"/>
      <c r="B2" s="158" t="s">
        <v>123</v>
      </c>
      <c r="C2" s="159"/>
      <c r="D2" s="160"/>
      <c r="E2" s="161"/>
      <c r="F2" s="161"/>
      <c r="G2" s="161"/>
      <c r="H2" s="161"/>
      <c r="I2" s="161"/>
      <c r="J2" s="162"/>
      <c r="K2" s="162"/>
      <c r="L2" s="162"/>
      <c r="M2" s="162"/>
      <c r="N2" s="163"/>
      <c r="O2" s="163"/>
      <c r="P2" s="163"/>
      <c r="Q2" s="163"/>
      <c r="R2" s="163"/>
      <c r="S2" s="163"/>
      <c r="T2" s="163"/>
      <c r="U2" s="163"/>
      <c r="V2" s="163"/>
      <c r="W2" s="163"/>
      <c r="X2" s="163"/>
      <c r="Y2" s="163"/>
      <c r="Z2" s="163"/>
      <c r="AA2" s="163"/>
      <c r="AB2" s="163"/>
      <c r="AC2" s="163"/>
      <c r="AD2" s="163"/>
      <c r="AE2" s="163"/>
      <c r="AF2" s="163"/>
      <c r="AG2" s="163"/>
    </row>
    <row r="3" ht="3.0"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ht="6.0" customHeight="1">
      <c r="A4" s="1"/>
      <c r="B4" s="204"/>
      <c r="C4" s="204"/>
      <c r="D4" s="204"/>
      <c r="E4" s="205"/>
      <c r="F4" s="203"/>
      <c r="G4" s="147"/>
      <c r="H4" s="24"/>
      <c r="I4" s="24"/>
      <c r="J4" s="24"/>
      <c r="K4" s="24"/>
      <c r="L4" s="24"/>
      <c r="M4" s="24"/>
      <c r="N4" s="1"/>
      <c r="O4" s="1"/>
      <c r="P4" s="1"/>
      <c r="Q4" s="1"/>
      <c r="R4" s="1"/>
      <c r="S4" s="1"/>
      <c r="T4" s="1"/>
      <c r="U4" s="1"/>
      <c r="V4" s="1"/>
      <c r="W4" s="1"/>
      <c r="X4" s="1"/>
      <c r="Y4" s="1"/>
      <c r="Z4" s="1"/>
      <c r="AA4" s="1"/>
      <c r="AB4" s="1"/>
    </row>
    <row r="5" ht="48.0" customHeight="1">
      <c r="A5" s="1"/>
      <c r="B5" s="206" t="s">
        <v>29</v>
      </c>
      <c r="H5" s="138"/>
      <c r="I5" s="138"/>
      <c r="J5" s="138"/>
      <c r="K5" s="138"/>
      <c r="L5" s="138"/>
      <c r="M5" s="138"/>
      <c r="N5" s="67" t="s">
        <v>30</v>
      </c>
      <c r="O5" s="67"/>
      <c r="P5" s="67"/>
      <c r="Q5" s="67"/>
      <c r="R5" s="67"/>
      <c r="S5" s="67" t="s">
        <v>31</v>
      </c>
      <c r="T5" s="67"/>
      <c r="U5" s="67"/>
      <c r="V5" s="67"/>
      <c r="W5" s="67"/>
      <c r="X5" s="67" t="s">
        <v>32</v>
      </c>
      <c r="Y5" s="67"/>
      <c r="Z5" s="67"/>
      <c r="AA5" s="67"/>
      <c r="AB5" s="67"/>
      <c r="AC5" s="67"/>
      <c r="AD5" s="67"/>
      <c r="AE5" s="67"/>
      <c r="AF5" s="67"/>
      <c r="AG5" s="67"/>
    </row>
    <row r="6" ht="12.75" customHeight="1">
      <c r="A6" s="1"/>
      <c r="B6" s="68" t="s">
        <v>33</v>
      </c>
      <c r="D6" s="137" t="s">
        <v>34</v>
      </c>
      <c r="E6" s="138" t="s">
        <v>35</v>
      </c>
      <c r="F6" s="138" t="s">
        <v>36</v>
      </c>
      <c r="G6" s="138" t="s">
        <v>37</v>
      </c>
      <c r="H6" s="138"/>
      <c r="I6" s="138"/>
      <c r="J6" s="138"/>
      <c r="K6" s="138"/>
      <c r="L6" s="138"/>
      <c r="M6" s="138"/>
      <c r="N6" s="67" t="s">
        <v>38</v>
      </c>
      <c r="O6" s="67" t="s">
        <v>39</v>
      </c>
      <c r="P6" s="67" t="s">
        <v>40</v>
      </c>
      <c r="Q6" s="67" t="s">
        <v>41</v>
      </c>
      <c r="R6" s="67" t="s">
        <v>42</v>
      </c>
      <c r="S6" s="67" t="s">
        <v>38</v>
      </c>
      <c r="T6" s="67" t="s">
        <v>39</v>
      </c>
      <c r="U6" s="67" t="s">
        <v>40</v>
      </c>
      <c r="V6" s="67" t="s">
        <v>41</v>
      </c>
      <c r="W6" s="67" t="s">
        <v>42</v>
      </c>
      <c r="X6" s="67" t="s">
        <v>38</v>
      </c>
      <c r="Y6" s="67" t="s">
        <v>39</v>
      </c>
      <c r="Z6" s="67" t="s">
        <v>40</v>
      </c>
      <c r="AA6" s="67" t="s">
        <v>41</v>
      </c>
      <c r="AB6" s="67" t="s">
        <v>42</v>
      </c>
      <c r="AC6" s="67" t="s">
        <v>43</v>
      </c>
      <c r="AD6" s="67"/>
      <c r="AE6" s="67"/>
      <c r="AF6" s="67"/>
      <c r="AG6" s="67"/>
    </row>
    <row r="7" ht="12.75" customHeight="1">
      <c r="A7" s="1"/>
      <c r="B7" s="207">
        <v>1.0</v>
      </c>
      <c r="C7" s="208" t="s">
        <v>46</v>
      </c>
      <c r="D7" s="209">
        <v>0.55</v>
      </c>
      <c r="E7" s="210">
        <v>5.0</v>
      </c>
      <c r="F7" s="211">
        <v>1.0</v>
      </c>
      <c r="G7" s="212">
        <f>'Start Here'!$F$21*D7</f>
        <v>55</v>
      </c>
      <c r="H7" s="138">
        <f t="shared" ref="H7:H10" si="1">E7*F7</f>
        <v>5</v>
      </c>
      <c r="I7" s="165">
        <f t="shared" ref="I7:I10" si="2">G7*H7</f>
        <v>275</v>
      </c>
      <c r="J7" s="166"/>
      <c r="K7" s="165"/>
      <c r="L7" s="166"/>
      <c r="M7" s="165"/>
      <c r="N7" s="75">
        <f t="shared" ref="N7:N10" si="3">IF(ISNUMBER(SEARCH("squat",$C7)),IF($D7&gt;=0.5,IF($D7&lt;0.6,$E7*$F7," ")," ")," ")</f>
        <v>5</v>
      </c>
      <c r="O7" s="75" t="str">
        <f t="shared" ref="O7:O10" si="4">IF(ISNUMBER(SEARCH("squat",$C7)),IF($D7&gt;=0.6,IF($D7&lt;0.7,$E7*$F7," ")," ")," ")</f>
        <v> </v>
      </c>
      <c r="P7" s="75" t="str">
        <f t="shared" ref="P7:P10" si="5">IF(ISNUMBER(SEARCH("squat",$C7)),IF($D7&gt;=0.7,IF($D7&lt;0.8,$E7*$F7," ")," ")," ")</f>
        <v> </v>
      </c>
      <c r="Q7" s="75" t="str">
        <f t="shared" ref="Q7:Q10" si="6">IF(ISNUMBER(SEARCH("squat",$C7)),IF($D7&gt;=0.8,IF($D7&lt;0.9,$E7*$F7," ")," ")," ")</f>
        <v> </v>
      </c>
      <c r="R7" s="75" t="str">
        <f t="shared" ref="R7:R10" si="7">IF(ISNUMBER(SEARCH("squat",$C7)),IF($D7&gt;=0.9,$E7*$F7," ")," ")</f>
        <v> </v>
      </c>
      <c r="S7" s="67"/>
      <c r="T7" s="67"/>
      <c r="U7" s="67"/>
      <c r="V7" s="67"/>
      <c r="W7" s="67"/>
      <c r="X7" s="67"/>
      <c r="Y7" s="67"/>
      <c r="Z7" s="67"/>
      <c r="AA7" s="67"/>
      <c r="AB7" s="67"/>
      <c r="AC7" s="76"/>
      <c r="AD7" s="77"/>
      <c r="AE7" s="77"/>
      <c r="AF7" s="77"/>
      <c r="AG7" s="78"/>
    </row>
    <row r="8" ht="12.75" customHeight="1">
      <c r="A8" s="1"/>
      <c r="B8" s="213"/>
      <c r="C8" s="214" t="s">
        <v>46</v>
      </c>
      <c r="D8" s="215">
        <v>0.65</v>
      </c>
      <c r="E8" s="216">
        <v>4.0</v>
      </c>
      <c r="F8" s="217">
        <v>1.0</v>
      </c>
      <c r="G8" s="218">
        <f>'Start Here'!$F$21*D8</f>
        <v>65</v>
      </c>
      <c r="H8" s="138">
        <f t="shared" si="1"/>
        <v>4</v>
      </c>
      <c r="I8" s="165">
        <f t="shared" si="2"/>
        <v>260</v>
      </c>
      <c r="J8" s="166"/>
      <c r="K8" s="165"/>
      <c r="L8" s="166"/>
      <c r="M8" s="165"/>
      <c r="N8" s="75" t="str">
        <f t="shared" si="3"/>
        <v> </v>
      </c>
      <c r="O8" s="75">
        <f t="shared" si="4"/>
        <v>4</v>
      </c>
      <c r="P8" s="75" t="str">
        <f t="shared" si="5"/>
        <v> </v>
      </c>
      <c r="Q8" s="75" t="str">
        <f t="shared" si="6"/>
        <v> </v>
      </c>
      <c r="R8" s="75" t="str">
        <f t="shared" si="7"/>
        <v> </v>
      </c>
      <c r="S8" s="67"/>
      <c r="T8" s="67"/>
      <c r="U8" s="67"/>
      <c r="V8" s="67"/>
      <c r="W8" s="67"/>
      <c r="X8" s="67"/>
      <c r="Y8" s="67"/>
      <c r="Z8" s="67"/>
      <c r="AA8" s="67"/>
      <c r="AB8" s="67"/>
      <c r="AC8" s="85"/>
      <c r="AG8" s="86"/>
    </row>
    <row r="9" ht="12.75" customHeight="1">
      <c r="A9" s="1"/>
      <c r="B9" s="213"/>
      <c r="C9" s="214" t="s">
        <v>46</v>
      </c>
      <c r="D9" s="215">
        <v>0.75</v>
      </c>
      <c r="E9" s="216">
        <v>3.0</v>
      </c>
      <c r="F9" s="217">
        <v>1.0</v>
      </c>
      <c r="G9" s="218">
        <f>'Start Here'!$F$21*D9</f>
        <v>75</v>
      </c>
      <c r="H9" s="138">
        <f t="shared" si="1"/>
        <v>3</v>
      </c>
      <c r="I9" s="165">
        <f t="shared" si="2"/>
        <v>225</v>
      </c>
      <c r="J9" s="166"/>
      <c r="K9" s="165"/>
      <c r="L9" s="166"/>
      <c r="M9" s="165"/>
      <c r="N9" s="75" t="str">
        <f t="shared" si="3"/>
        <v> </v>
      </c>
      <c r="O9" s="75" t="str">
        <f t="shared" si="4"/>
        <v> </v>
      </c>
      <c r="P9" s="75">
        <f t="shared" si="5"/>
        <v>3</v>
      </c>
      <c r="Q9" s="75" t="str">
        <f t="shared" si="6"/>
        <v> </v>
      </c>
      <c r="R9" s="75" t="str">
        <f t="shared" si="7"/>
        <v> </v>
      </c>
      <c r="S9" s="67"/>
      <c r="T9" s="67"/>
      <c r="U9" s="67"/>
      <c r="V9" s="67"/>
      <c r="W9" s="67"/>
      <c r="X9" s="67"/>
      <c r="Y9" s="67"/>
      <c r="Z9" s="67"/>
      <c r="AA9" s="67"/>
      <c r="AB9" s="67"/>
      <c r="AC9" s="85"/>
      <c r="AG9" s="86"/>
    </row>
    <row r="10" ht="12.75" customHeight="1">
      <c r="A10" s="1"/>
      <c r="B10" s="213"/>
      <c r="C10" s="214" t="s">
        <v>46</v>
      </c>
      <c r="D10" s="215">
        <v>0.85</v>
      </c>
      <c r="E10" s="216">
        <v>2.0</v>
      </c>
      <c r="F10" s="217">
        <v>3.0</v>
      </c>
      <c r="G10" s="218">
        <f>'Start Here'!$F$21*D10</f>
        <v>85</v>
      </c>
      <c r="H10" s="138">
        <f t="shared" si="1"/>
        <v>6</v>
      </c>
      <c r="I10" s="165">
        <f t="shared" si="2"/>
        <v>510</v>
      </c>
      <c r="J10" s="166"/>
      <c r="K10" s="165"/>
      <c r="L10" s="166"/>
      <c r="M10" s="165"/>
      <c r="N10" s="75" t="str">
        <f t="shared" si="3"/>
        <v> </v>
      </c>
      <c r="O10" s="75" t="str">
        <f t="shared" si="4"/>
        <v> </v>
      </c>
      <c r="P10" s="75" t="str">
        <f t="shared" si="5"/>
        <v> </v>
      </c>
      <c r="Q10" s="75">
        <f t="shared" si="6"/>
        <v>6</v>
      </c>
      <c r="R10" s="75" t="str">
        <f t="shared" si="7"/>
        <v> </v>
      </c>
      <c r="S10" s="67"/>
      <c r="T10" s="67"/>
      <c r="U10" s="67"/>
      <c r="V10" s="67"/>
      <c r="W10" s="67"/>
      <c r="X10" s="67"/>
      <c r="Y10" s="67"/>
      <c r="Z10" s="67"/>
      <c r="AA10" s="67"/>
      <c r="AB10" s="67"/>
      <c r="AC10" s="85"/>
      <c r="AG10" s="86"/>
    </row>
    <row r="11" ht="12.75" customHeight="1">
      <c r="A11" s="1"/>
      <c r="B11" s="87">
        <v>2.0</v>
      </c>
      <c r="C11" s="88" t="s">
        <v>45</v>
      </c>
      <c r="D11" s="89">
        <v>0.5</v>
      </c>
      <c r="E11" s="90">
        <v>5.0</v>
      </c>
      <c r="F11" s="91">
        <v>1.0</v>
      </c>
      <c r="G11" s="92">
        <f>'Start Here'!$F$22*D11</f>
        <v>50</v>
      </c>
      <c r="H11" s="138"/>
      <c r="I11" s="165"/>
      <c r="J11" s="166">
        <f t="shared" ref="J11:J14" si="8">E11*F11</f>
        <v>5</v>
      </c>
      <c r="K11" s="165">
        <f t="shared" ref="K11:K14" si="9">G11*J11</f>
        <v>250</v>
      </c>
      <c r="L11" s="166"/>
      <c r="M11" s="165"/>
      <c r="N11" s="67"/>
      <c r="O11" s="67"/>
      <c r="P11" s="67"/>
      <c r="Q11" s="67"/>
      <c r="R11" s="67"/>
      <c r="S11" s="93">
        <f t="shared" ref="S11:S14" si="10">IF(ISNUMBER(SEARCH("bench",$C11)),IF($D11&gt;=0.5,IF($D11&lt;0.6,$E11*$F11," ")," ")," ")</f>
        <v>5</v>
      </c>
      <c r="T11" s="93" t="str">
        <f t="shared" ref="T11:T14" si="11">IF(ISNUMBER(SEARCH("bench",$C11)),IF($D11&gt;=0.6,IF($D11&lt;0.7,$E11*$F11," ")," ")," ")</f>
        <v> </v>
      </c>
      <c r="U11" s="93" t="str">
        <f t="shared" ref="U11:U14" si="12">IF(ISNUMBER(SEARCH("bench",$C11)),IF($D11&gt;=0.7,IF($D11&lt;0.8,$E11*$F11," ")," ")," ")</f>
        <v> </v>
      </c>
      <c r="V11" s="93" t="str">
        <f t="shared" ref="V11:V14" si="13">IF(ISNUMBER(SEARCH("bench",$C11)),IF($D11&gt;=0.8,IF($D11&lt;0.9,$E11*$F11," ")," ")," ")</f>
        <v> </v>
      </c>
      <c r="W11" s="93" t="str">
        <f t="shared" ref="W11:W14" si="14">IF(ISNUMBER(SEARCH("bench",$C11)),IF($D11&gt;=0.9,$E11*$F11," ")," ")</f>
        <v> </v>
      </c>
      <c r="X11" s="67"/>
      <c r="Y11" s="67"/>
      <c r="Z11" s="67"/>
      <c r="AA11" s="67"/>
      <c r="AB11" s="67"/>
      <c r="AC11" s="85"/>
      <c r="AG11" s="86"/>
    </row>
    <row r="12" ht="12.75" customHeight="1">
      <c r="A12" s="1"/>
      <c r="B12" s="87"/>
      <c r="C12" s="94" t="s">
        <v>45</v>
      </c>
      <c r="D12" s="89">
        <v>0.6</v>
      </c>
      <c r="E12" s="90">
        <v>4.0</v>
      </c>
      <c r="F12" s="91">
        <v>1.0</v>
      </c>
      <c r="G12" s="92">
        <f>'Start Here'!$F$22*D12</f>
        <v>60</v>
      </c>
      <c r="H12" s="138"/>
      <c r="I12" s="165"/>
      <c r="J12" s="166">
        <f t="shared" si="8"/>
        <v>4</v>
      </c>
      <c r="K12" s="165">
        <f t="shared" si="9"/>
        <v>240</v>
      </c>
      <c r="L12" s="166"/>
      <c r="M12" s="165"/>
      <c r="N12" s="67"/>
      <c r="O12" s="67"/>
      <c r="P12" s="67"/>
      <c r="Q12" s="67"/>
      <c r="R12" s="67"/>
      <c r="S12" s="93" t="str">
        <f t="shared" si="10"/>
        <v> </v>
      </c>
      <c r="T12" s="93">
        <f t="shared" si="11"/>
        <v>4</v>
      </c>
      <c r="U12" s="93" t="str">
        <f t="shared" si="12"/>
        <v> </v>
      </c>
      <c r="V12" s="93" t="str">
        <f t="shared" si="13"/>
        <v> </v>
      </c>
      <c r="W12" s="93" t="str">
        <f t="shared" si="14"/>
        <v> </v>
      </c>
      <c r="X12" s="67"/>
      <c r="Y12" s="67"/>
      <c r="Z12" s="67"/>
      <c r="AA12" s="67"/>
      <c r="AB12" s="67"/>
      <c r="AC12" s="85"/>
      <c r="AG12" s="86"/>
    </row>
    <row r="13" ht="12.75" customHeight="1">
      <c r="A13" s="1"/>
      <c r="B13" s="87"/>
      <c r="C13" s="94" t="s">
        <v>45</v>
      </c>
      <c r="D13" s="89">
        <v>0.7</v>
      </c>
      <c r="E13" s="90">
        <v>3.0</v>
      </c>
      <c r="F13" s="91">
        <v>1.0</v>
      </c>
      <c r="G13" s="92">
        <f>'Start Here'!$F$22*D13</f>
        <v>70</v>
      </c>
      <c r="H13" s="138"/>
      <c r="I13" s="165"/>
      <c r="J13" s="166">
        <f t="shared" si="8"/>
        <v>3</v>
      </c>
      <c r="K13" s="165">
        <f t="shared" si="9"/>
        <v>210</v>
      </c>
      <c r="L13" s="166"/>
      <c r="M13" s="165"/>
      <c r="N13" s="67"/>
      <c r="O13" s="67"/>
      <c r="P13" s="67"/>
      <c r="Q13" s="67"/>
      <c r="R13" s="67"/>
      <c r="S13" s="93" t="str">
        <f t="shared" si="10"/>
        <v> </v>
      </c>
      <c r="T13" s="93" t="str">
        <f t="shared" si="11"/>
        <v> </v>
      </c>
      <c r="U13" s="93">
        <f t="shared" si="12"/>
        <v>3</v>
      </c>
      <c r="V13" s="93" t="str">
        <f t="shared" si="13"/>
        <v> </v>
      </c>
      <c r="W13" s="93" t="str">
        <f t="shared" si="14"/>
        <v> </v>
      </c>
      <c r="X13" s="67"/>
      <c r="Y13" s="67"/>
      <c r="Z13" s="67"/>
      <c r="AA13" s="67"/>
      <c r="AB13" s="67"/>
      <c r="AC13" s="85"/>
      <c r="AG13" s="86"/>
    </row>
    <row r="14" ht="12.75" customHeight="1">
      <c r="A14" s="1"/>
      <c r="B14" s="87"/>
      <c r="C14" s="94" t="s">
        <v>45</v>
      </c>
      <c r="D14" s="89">
        <v>0.8</v>
      </c>
      <c r="E14" s="90">
        <v>2.0</v>
      </c>
      <c r="F14" s="91">
        <v>4.0</v>
      </c>
      <c r="G14" s="92">
        <f>'Start Here'!$F$22*D14</f>
        <v>80</v>
      </c>
      <c r="H14" s="138"/>
      <c r="I14" s="165"/>
      <c r="J14" s="166">
        <f t="shared" si="8"/>
        <v>8</v>
      </c>
      <c r="K14" s="165">
        <f t="shared" si="9"/>
        <v>640</v>
      </c>
      <c r="L14" s="166"/>
      <c r="M14" s="165"/>
      <c r="N14" s="67"/>
      <c r="O14" s="67"/>
      <c r="P14" s="67"/>
      <c r="Q14" s="67"/>
      <c r="R14" s="67"/>
      <c r="S14" s="93" t="str">
        <f t="shared" si="10"/>
        <v> </v>
      </c>
      <c r="T14" s="93" t="str">
        <f t="shared" si="11"/>
        <v> </v>
      </c>
      <c r="U14" s="93" t="str">
        <f t="shared" si="12"/>
        <v> </v>
      </c>
      <c r="V14" s="93">
        <f t="shared" si="13"/>
        <v>8</v>
      </c>
      <c r="W14" s="93" t="str">
        <f t="shared" si="14"/>
        <v> </v>
      </c>
      <c r="X14" s="67"/>
      <c r="Y14" s="67"/>
      <c r="Z14" s="67"/>
      <c r="AA14" s="67"/>
      <c r="AB14" s="67"/>
      <c r="AC14" s="85"/>
      <c r="AG14" s="86"/>
    </row>
    <row r="15" ht="12.75" customHeight="1">
      <c r="A15" s="1"/>
      <c r="B15" s="213">
        <v>4.0</v>
      </c>
      <c r="C15" s="219" t="s">
        <v>46</v>
      </c>
      <c r="D15" s="215">
        <v>0.5</v>
      </c>
      <c r="E15" s="216">
        <v>3.0</v>
      </c>
      <c r="F15" s="217">
        <v>1.0</v>
      </c>
      <c r="G15" s="218">
        <f>'Start Here'!$F$21*D15</f>
        <v>50</v>
      </c>
      <c r="H15" s="138">
        <f t="shared" ref="H15:H18" si="15">E15*F15</f>
        <v>3</v>
      </c>
      <c r="I15" s="165">
        <f t="shared" ref="I15:I18" si="16">G15*H15</f>
        <v>150</v>
      </c>
      <c r="J15" s="166"/>
      <c r="K15" s="165"/>
      <c r="L15" s="166"/>
      <c r="M15" s="165"/>
      <c r="N15" s="75">
        <f t="shared" ref="N15:N18" si="17">IF(ISNUMBER(SEARCH("squat",$C15)),IF($D15&gt;=0.5,IF($D15&lt;0.6,$E15*$F15," ")," ")," ")</f>
        <v>3</v>
      </c>
      <c r="O15" s="75" t="str">
        <f t="shared" ref="O15:O18" si="18">IF(ISNUMBER(SEARCH("squat",$C15)),IF($D15&gt;=0.6,IF($D15&lt;0.7,$E15*$F15," ")," ")," ")</f>
        <v> </v>
      </c>
      <c r="P15" s="75" t="str">
        <f t="shared" ref="P15:P18" si="19">IF(ISNUMBER(SEARCH("squat",$C15)),IF($D15&gt;=0.7,IF($D15&lt;0.8,$E15*$F15," ")," ")," ")</f>
        <v> </v>
      </c>
      <c r="Q15" s="75" t="str">
        <f t="shared" ref="Q15:Q18" si="20">IF(ISNUMBER(SEARCH("squat",$C15)),IF($D15&gt;=0.8,IF($D15&lt;0.9,$E15*$F15," ")," ")," ")</f>
        <v> </v>
      </c>
      <c r="R15" s="75" t="str">
        <f t="shared" ref="R15:R18" si="21">IF(ISNUMBER(SEARCH("squat",$C15)),IF($D15&gt;=0.9,$E15*$F15," ")," ")</f>
        <v> </v>
      </c>
      <c r="S15" s="67"/>
      <c r="T15" s="67"/>
      <c r="U15" s="67"/>
      <c r="V15" s="67"/>
      <c r="W15" s="67"/>
      <c r="X15" s="67"/>
      <c r="Y15" s="67"/>
      <c r="Z15" s="67"/>
      <c r="AA15" s="67"/>
      <c r="AB15" s="67"/>
      <c r="AC15" s="85"/>
      <c r="AG15" s="86"/>
    </row>
    <row r="16" ht="12.75" customHeight="1">
      <c r="A16" s="1"/>
      <c r="B16" s="213"/>
      <c r="C16" s="214" t="s">
        <v>46</v>
      </c>
      <c r="D16" s="215">
        <v>0.6</v>
      </c>
      <c r="E16" s="216">
        <v>3.0</v>
      </c>
      <c r="F16" s="217">
        <v>1.0</v>
      </c>
      <c r="G16" s="218">
        <f>'Start Here'!$F$21*D16</f>
        <v>60</v>
      </c>
      <c r="H16" s="138">
        <f t="shared" si="15"/>
        <v>3</v>
      </c>
      <c r="I16" s="165">
        <f t="shared" si="16"/>
        <v>180</v>
      </c>
      <c r="J16" s="166"/>
      <c r="K16" s="165"/>
      <c r="L16" s="166"/>
      <c r="M16" s="165"/>
      <c r="N16" s="75" t="str">
        <f t="shared" si="17"/>
        <v> </v>
      </c>
      <c r="O16" s="75">
        <f t="shared" si="18"/>
        <v>3</v>
      </c>
      <c r="P16" s="75" t="str">
        <f t="shared" si="19"/>
        <v> </v>
      </c>
      <c r="Q16" s="75" t="str">
        <f t="shared" si="20"/>
        <v> </v>
      </c>
      <c r="R16" s="75" t="str">
        <f t="shared" si="21"/>
        <v> </v>
      </c>
      <c r="S16" s="67"/>
      <c r="T16" s="67"/>
      <c r="U16" s="67"/>
      <c r="V16" s="67"/>
      <c r="W16" s="67"/>
      <c r="X16" s="67"/>
      <c r="Y16" s="67"/>
      <c r="Z16" s="67"/>
      <c r="AA16" s="67"/>
      <c r="AB16" s="67"/>
      <c r="AC16" s="85"/>
      <c r="AG16" s="86"/>
    </row>
    <row r="17" ht="12.75" customHeight="1">
      <c r="A17" s="1"/>
      <c r="B17" s="213"/>
      <c r="C17" s="214" t="s">
        <v>46</v>
      </c>
      <c r="D17" s="215">
        <v>0.7</v>
      </c>
      <c r="E17" s="216">
        <v>3.0</v>
      </c>
      <c r="F17" s="217">
        <v>1.0</v>
      </c>
      <c r="G17" s="218">
        <f>'Start Here'!$F$21*D17</f>
        <v>70</v>
      </c>
      <c r="H17" s="138">
        <f t="shared" si="15"/>
        <v>3</v>
      </c>
      <c r="I17" s="165">
        <f t="shared" si="16"/>
        <v>210</v>
      </c>
      <c r="J17" s="166"/>
      <c r="K17" s="165"/>
      <c r="L17" s="166"/>
      <c r="M17" s="165"/>
      <c r="N17" s="75" t="str">
        <f t="shared" si="17"/>
        <v> </v>
      </c>
      <c r="O17" s="75" t="str">
        <f t="shared" si="18"/>
        <v> </v>
      </c>
      <c r="P17" s="75">
        <f t="shared" si="19"/>
        <v>3</v>
      </c>
      <c r="Q17" s="75" t="str">
        <f t="shared" si="20"/>
        <v> </v>
      </c>
      <c r="R17" s="75" t="str">
        <f t="shared" si="21"/>
        <v> </v>
      </c>
      <c r="S17" s="67"/>
      <c r="T17" s="67"/>
      <c r="U17" s="67"/>
      <c r="V17" s="67"/>
      <c r="W17" s="67"/>
      <c r="X17" s="67"/>
      <c r="Y17" s="67"/>
      <c r="Z17" s="67"/>
      <c r="AA17" s="67"/>
      <c r="AB17" s="67"/>
      <c r="AC17" s="85"/>
      <c r="AG17" s="86"/>
    </row>
    <row r="18" ht="12.75" customHeight="1">
      <c r="A18" s="1"/>
      <c r="B18" s="213"/>
      <c r="C18" s="214" t="s">
        <v>46</v>
      </c>
      <c r="D18" s="215">
        <v>0.8</v>
      </c>
      <c r="E18" s="216">
        <v>2.0</v>
      </c>
      <c r="F18" s="217">
        <v>4.0</v>
      </c>
      <c r="G18" s="218">
        <f>'Start Here'!$F$21*D18</f>
        <v>80</v>
      </c>
      <c r="H18" s="138">
        <f t="shared" si="15"/>
        <v>8</v>
      </c>
      <c r="I18" s="165">
        <f t="shared" si="16"/>
        <v>640</v>
      </c>
      <c r="J18" s="166"/>
      <c r="K18" s="165"/>
      <c r="L18" s="166"/>
      <c r="M18" s="165"/>
      <c r="N18" s="75" t="str">
        <f t="shared" si="17"/>
        <v> </v>
      </c>
      <c r="O18" s="75" t="str">
        <f t="shared" si="18"/>
        <v> </v>
      </c>
      <c r="P18" s="75" t="str">
        <f t="shared" si="19"/>
        <v> </v>
      </c>
      <c r="Q18" s="75">
        <f t="shared" si="20"/>
        <v>8</v>
      </c>
      <c r="R18" s="75" t="str">
        <f t="shared" si="21"/>
        <v> </v>
      </c>
      <c r="S18" s="67"/>
      <c r="T18" s="67"/>
      <c r="U18" s="67"/>
      <c r="V18" s="67"/>
      <c r="W18" s="67"/>
      <c r="X18" s="67"/>
      <c r="Y18" s="67"/>
      <c r="Z18" s="67"/>
      <c r="AA18" s="67"/>
      <c r="AB18" s="67"/>
      <c r="AC18" s="85"/>
      <c r="AG18" s="86"/>
    </row>
    <row r="19" ht="12.75" customHeight="1">
      <c r="A19" s="1"/>
      <c r="B19" s="96">
        <v>3.0</v>
      </c>
      <c r="C19" s="167" t="s">
        <v>92</v>
      </c>
      <c r="D19" s="168"/>
      <c r="E19" s="98">
        <v>6.0</v>
      </c>
      <c r="F19" s="169">
        <v>4.0</v>
      </c>
      <c r="G19" s="170"/>
      <c r="H19" s="138"/>
      <c r="I19" s="165"/>
      <c r="J19" s="166"/>
      <c r="K19" s="165"/>
      <c r="L19" s="166"/>
      <c r="M19" s="165"/>
      <c r="N19" s="67"/>
      <c r="O19" s="67"/>
      <c r="P19" s="67"/>
      <c r="Q19" s="67"/>
      <c r="R19" s="67"/>
      <c r="S19" s="67"/>
      <c r="T19" s="67"/>
      <c r="U19" s="67"/>
      <c r="V19" s="67"/>
      <c r="W19" s="67"/>
      <c r="X19" s="67"/>
      <c r="Y19" s="67"/>
      <c r="Z19" s="67"/>
      <c r="AA19" s="67"/>
      <c r="AB19" s="67"/>
      <c r="AC19" s="85"/>
      <c r="AG19" s="86"/>
    </row>
    <row r="20" ht="12.75" customHeight="1">
      <c r="A20" s="1"/>
      <c r="B20" s="100">
        <v>5.0</v>
      </c>
      <c r="C20" s="171" t="s">
        <v>78</v>
      </c>
      <c r="D20" s="172"/>
      <c r="E20" s="102">
        <v>5.0</v>
      </c>
      <c r="F20" s="173">
        <v>5.0</v>
      </c>
      <c r="G20" s="139"/>
      <c r="H20" s="138"/>
      <c r="I20" s="165"/>
      <c r="J20" s="166"/>
      <c r="K20" s="165"/>
      <c r="L20" s="166"/>
      <c r="M20" s="165"/>
      <c r="N20" s="67"/>
      <c r="O20" s="67"/>
      <c r="P20" s="67"/>
      <c r="Q20" s="67"/>
      <c r="R20" s="67"/>
      <c r="S20" s="67"/>
      <c r="T20" s="67"/>
      <c r="U20" s="67"/>
      <c r="V20" s="67"/>
      <c r="W20" s="67"/>
      <c r="X20" s="67"/>
      <c r="Y20" s="67"/>
      <c r="Z20" s="67"/>
      <c r="AA20" s="67"/>
      <c r="AB20" s="67"/>
      <c r="AC20" s="104"/>
      <c r="AD20" s="105"/>
      <c r="AE20" s="105"/>
      <c r="AF20" s="105"/>
      <c r="AG20" s="106"/>
    </row>
    <row r="21" ht="12.75" customHeight="1">
      <c r="A21" s="1"/>
      <c r="B21" s="67"/>
      <c r="C21" s="136"/>
      <c r="D21" s="137"/>
      <c r="E21" s="138"/>
      <c r="F21" s="138"/>
      <c r="G21" s="169"/>
      <c r="H21" s="138"/>
      <c r="I21" s="165"/>
      <c r="J21" s="166"/>
      <c r="K21" s="165"/>
      <c r="L21" s="166"/>
      <c r="M21" s="165"/>
      <c r="N21" s="67"/>
      <c r="O21" s="67"/>
      <c r="P21" s="67"/>
      <c r="Q21" s="67"/>
      <c r="R21" s="67"/>
      <c r="S21" s="67"/>
      <c r="T21" s="67"/>
      <c r="U21" s="67"/>
      <c r="V21" s="67"/>
      <c r="W21" s="67"/>
      <c r="X21" s="67"/>
      <c r="Y21" s="67"/>
      <c r="Z21" s="67"/>
      <c r="AA21" s="67"/>
      <c r="AB21" s="67"/>
      <c r="AC21" s="67"/>
      <c r="AD21" s="67"/>
      <c r="AE21" s="67"/>
      <c r="AF21" s="67"/>
      <c r="AG21" s="67"/>
    </row>
    <row r="22" ht="30.0" customHeight="1">
      <c r="A22" s="1"/>
      <c r="B22" s="68" t="s">
        <v>49</v>
      </c>
      <c r="D22" s="137" t="s">
        <v>34</v>
      </c>
      <c r="E22" s="138" t="s">
        <v>35</v>
      </c>
      <c r="F22" s="138" t="s">
        <v>36</v>
      </c>
      <c r="G22" s="173" t="s">
        <v>37</v>
      </c>
      <c r="H22" s="138"/>
      <c r="I22" s="165"/>
      <c r="J22" s="166"/>
      <c r="K22" s="165"/>
      <c r="L22" s="166"/>
      <c r="M22" s="165"/>
      <c r="N22" s="67"/>
      <c r="O22" s="67"/>
      <c r="P22" s="67"/>
      <c r="Q22" s="67"/>
      <c r="R22" s="67"/>
      <c r="S22" s="67"/>
      <c r="T22" s="67"/>
      <c r="U22" s="67"/>
      <c r="V22" s="67"/>
      <c r="W22" s="67"/>
      <c r="X22" s="67"/>
      <c r="Y22" s="67"/>
      <c r="Z22" s="67"/>
      <c r="AA22" s="67"/>
      <c r="AB22" s="67"/>
      <c r="AC22" s="67" t="s">
        <v>43</v>
      </c>
      <c r="AD22" s="67"/>
      <c r="AE22" s="67"/>
      <c r="AF22" s="67"/>
      <c r="AG22" s="67"/>
    </row>
    <row r="23" ht="12.75" customHeight="1">
      <c r="A23" s="1"/>
      <c r="B23" s="220">
        <v>1.0</v>
      </c>
      <c r="C23" s="221" t="s">
        <v>45</v>
      </c>
      <c r="D23" s="222">
        <v>0.5</v>
      </c>
      <c r="E23" s="223">
        <v>5.0</v>
      </c>
      <c r="F23" s="224">
        <v>1.0</v>
      </c>
      <c r="G23" s="225">
        <f>'Start Here'!$F$22*D23</f>
        <v>50</v>
      </c>
      <c r="H23" s="138"/>
      <c r="I23" s="165"/>
      <c r="J23" s="166">
        <f t="shared" ref="J23:J28" si="22">E23*F23</f>
        <v>5</v>
      </c>
      <c r="K23" s="165">
        <f t="shared" ref="K23:K28" si="23">G23*J23</f>
        <v>250</v>
      </c>
      <c r="L23" s="166"/>
      <c r="M23" s="165"/>
      <c r="N23" s="67"/>
      <c r="O23" s="67"/>
      <c r="P23" s="67"/>
      <c r="Q23" s="67"/>
      <c r="R23" s="67"/>
      <c r="S23" s="93">
        <f t="shared" ref="S23:S28" si="24">IF(ISNUMBER(SEARCH("bench",$C23)),IF($D23&gt;=0.5,IF($D23&lt;0.6,$E23*$F23," ")," ")," ")</f>
        <v>5</v>
      </c>
      <c r="T23" s="93" t="str">
        <f t="shared" ref="T23:T28" si="25">IF(ISNUMBER(SEARCH("bench",$C23)),IF($D23&gt;=0.6,IF($D23&lt;0.7,$E23*$F23," ")," ")," ")</f>
        <v> </v>
      </c>
      <c r="U23" s="93" t="str">
        <f t="shared" ref="U23:U28" si="26">IF(ISNUMBER(SEARCH("bench",$C23)),IF($D23&gt;=0.7,IF($D23&lt;0.8,$E23*$F23," ")," ")," ")</f>
        <v> </v>
      </c>
      <c r="V23" s="93" t="str">
        <f t="shared" ref="V23:V28" si="27">IF(ISNUMBER(SEARCH("bench",$C23)),IF($D23&gt;=0.8,IF($D23&lt;0.9,$E23*$F23," ")," ")," ")</f>
        <v> </v>
      </c>
      <c r="W23" s="93" t="str">
        <f t="shared" ref="W23:W28" si="28">IF(ISNUMBER(SEARCH("bench",$C23)),IF($D23&gt;=0.9,$E23*$F23," ")," ")</f>
        <v> </v>
      </c>
      <c r="X23" s="67"/>
      <c r="Y23" s="67"/>
      <c r="Z23" s="67"/>
      <c r="AA23" s="67"/>
      <c r="AB23" s="67"/>
      <c r="AC23" s="76"/>
      <c r="AD23" s="77"/>
      <c r="AE23" s="77"/>
      <c r="AF23" s="77"/>
      <c r="AG23" s="78"/>
    </row>
    <row r="24" ht="12.75" customHeight="1">
      <c r="A24" s="1"/>
      <c r="B24" s="226"/>
      <c r="C24" s="227" t="s">
        <v>45</v>
      </c>
      <c r="D24" s="228">
        <v>0.6</v>
      </c>
      <c r="E24" s="229">
        <v>4.0</v>
      </c>
      <c r="F24" s="230">
        <v>1.0</v>
      </c>
      <c r="G24" s="225">
        <f>'Start Here'!$F$22*D24</f>
        <v>60</v>
      </c>
      <c r="H24" s="138"/>
      <c r="I24" s="165"/>
      <c r="J24" s="166">
        <f t="shared" si="22"/>
        <v>4</v>
      </c>
      <c r="K24" s="165">
        <f t="shared" si="23"/>
        <v>240</v>
      </c>
      <c r="L24" s="166"/>
      <c r="M24" s="165"/>
      <c r="N24" s="67"/>
      <c r="O24" s="67"/>
      <c r="P24" s="67"/>
      <c r="Q24" s="67"/>
      <c r="R24" s="67"/>
      <c r="S24" s="93" t="str">
        <f t="shared" si="24"/>
        <v> </v>
      </c>
      <c r="T24" s="93">
        <f t="shared" si="25"/>
        <v>4</v>
      </c>
      <c r="U24" s="93" t="str">
        <f t="shared" si="26"/>
        <v> </v>
      </c>
      <c r="V24" s="93" t="str">
        <f t="shared" si="27"/>
        <v> </v>
      </c>
      <c r="W24" s="93" t="str">
        <f t="shared" si="28"/>
        <v> </v>
      </c>
      <c r="X24" s="67"/>
      <c r="Y24" s="67"/>
      <c r="Z24" s="67"/>
      <c r="AA24" s="67"/>
      <c r="AB24" s="67"/>
      <c r="AC24" s="85"/>
      <c r="AG24" s="86"/>
    </row>
    <row r="25" ht="12.75" customHeight="1">
      <c r="A25" s="1"/>
      <c r="B25" s="226"/>
      <c r="C25" s="227" t="s">
        <v>45</v>
      </c>
      <c r="D25" s="228">
        <v>0.7</v>
      </c>
      <c r="E25" s="229">
        <v>3.0</v>
      </c>
      <c r="F25" s="230">
        <v>1.0</v>
      </c>
      <c r="G25" s="225">
        <f>'Start Here'!$F$22*D25</f>
        <v>70</v>
      </c>
      <c r="H25" s="138"/>
      <c r="I25" s="165"/>
      <c r="J25" s="166">
        <f t="shared" si="22"/>
        <v>3</v>
      </c>
      <c r="K25" s="165">
        <f t="shared" si="23"/>
        <v>210</v>
      </c>
      <c r="L25" s="166"/>
      <c r="M25" s="165"/>
      <c r="N25" s="67"/>
      <c r="O25" s="67"/>
      <c r="P25" s="67"/>
      <c r="Q25" s="67"/>
      <c r="R25" s="67"/>
      <c r="S25" s="93" t="str">
        <f t="shared" si="24"/>
        <v> </v>
      </c>
      <c r="T25" s="93" t="str">
        <f t="shared" si="25"/>
        <v> </v>
      </c>
      <c r="U25" s="93">
        <f t="shared" si="26"/>
        <v>3</v>
      </c>
      <c r="V25" s="93" t="str">
        <f t="shared" si="27"/>
        <v> </v>
      </c>
      <c r="W25" s="93" t="str">
        <f t="shared" si="28"/>
        <v> </v>
      </c>
      <c r="X25" s="67"/>
      <c r="Y25" s="67"/>
      <c r="Z25" s="67"/>
      <c r="AA25" s="67"/>
      <c r="AB25" s="67"/>
      <c r="AC25" s="85"/>
      <c r="AG25" s="86"/>
    </row>
    <row r="26" ht="12.75" customHeight="1">
      <c r="A26" s="1"/>
      <c r="B26" s="226"/>
      <c r="C26" s="227" t="s">
        <v>45</v>
      </c>
      <c r="D26" s="228">
        <v>0.8</v>
      </c>
      <c r="E26" s="229">
        <v>2.0</v>
      </c>
      <c r="F26" s="230">
        <v>2.0</v>
      </c>
      <c r="G26" s="225">
        <f>'Start Here'!$F$22*D26</f>
        <v>80</v>
      </c>
      <c r="H26" s="138"/>
      <c r="I26" s="165"/>
      <c r="J26" s="166">
        <f t="shared" si="22"/>
        <v>4</v>
      </c>
      <c r="K26" s="165">
        <f t="shared" si="23"/>
        <v>320</v>
      </c>
      <c r="L26" s="166"/>
      <c r="M26" s="165"/>
      <c r="N26" s="67"/>
      <c r="O26" s="67"/>
      <c r="P26" s="67"/>
      <c r="Q26" s="67"/>
      <c r="R26" s="67"/>
      <c r="S26" s="93" t="str">
        <f t="shared" si="24"/>
        <v> </v>
      </c>
      <c r="T26" s="93" t="str">
        <f t="shared" si="25"/>
        <v> </v>
      </c>
      <c r="U26" s="93" t="str">
        <f t="shared" si="26"/>
        <v> </v>
      </c>
      <c r="V26" s="93">
        <f t="shared" si="27"/>
        <v>4</v>
      </c>
      <c r="W26" s="93" t="str">
        <f t="shared" si="28"/>
        <v> </v>
      </c>
      <c r="X26" s="67"/>
      <c r="Y26" s="67"/>
      <c r="Z26" s="67"/>
      <c r="AA26" s="67"/>
      <c r="AB26" s="67"/>
      <c r="AC26" s="85"/>
      <c r="AG26" s="86"/>
    </row>
    <row r="27" ht="12.75" customHeight="1">
      <c r="A27" s="1"/>
      <c r="B27" s="226"/>
      <c r="C27" s="227" t="s">
        <v>45</v>
      </c>
      <c r="D27" s="228">
        <v>0.85</v>
      </c>
      <c r="E27" s="229">
        <v>1.0</v>
      </c>
      <c r="F27" s="230">
        <v>2.0</v>
      </c>
      <c r="G27" s="225">
        <f>'Start Here'!$F$22*D27</f>
        <v>85</v>
      </c>
      <c r="H27" s="138"/>
      <c r="I27" s="165"/>
      <c r="J27" s="166">
        <f t="shared" si="22"/>
        <v>2</v>
      </c>
      <c r="K27" s="165">
        <f t="shared" si="23"/>
        <v>170</v>
      </c>
      <c r="L27" s="166"/>
      <c r="M27" s="165"/>
      <c r="N27" s="67"/>
      <c r="O27" s="67"/>
      <c r="P27" s="67"/>
      <c r="Q27" s="67"/>
      <c r="R27" s="67"/>
      <c r="S27" s="93" t="str">
        <f t="shared" si="24"/>
        <v> </v>
      </c>
      <c r="T27" s="93" t="str">
        <f t="shared" si="25"/>
        <v> </v>
      </c>
      <c r="U27" s="93" t="str">
        <f t="shared" si="26"/>
        <v> </v>
      </c>
      <c r="V27" s="93">
        <f t="shared" si="27"/>
        <v>2</v>
      </c>
      <c r="W27" s="93" t="str">
        <f t="shared" si="28"/>
        <v> </v>
      </c>
      <c r="X27" s="67"/>
      <c r="Y27" s="67"/>
      <c r="Z27" s="67"/>
      <c r="AA27" s="67"/>
      <c r="AB27" s="67"/>
      <c r="AC27" s="85"/>
      <c r="AG27" s="86"/>
    </row>
    <row r="28" ht="12.75" customHeight="1">
      <c r="A28" s="1"/>
      <c r="B28" s="226"/>
      <c r="C28" s="227" t="s">
        <v>45</v>
      </c>
      <c r="D28" s="228">
        <v>0.8</v>
      </c>
      <c r="E28" s="229">
        <v>2.0</v>
      </c>
      <c r="F28" s="230">
        <v>2.0</v>
      </c>
      <c r="G28" s="225">
        <f>'Start Here'!$F$22*D28</f>
        <v>80</v>
      </c>
      <c r="H28" s="138"/>
      <c r="I28" s="165"/>
      <c r="J28" s="166">
        <f t="shared" si="22"/>
        <v>4</v>
      </c>
      <c r="K28" s="165">
        <f t="shared" si="23"/>
        <v>320</v>
      </c>
      <c r="L28" s="166"/>
      <c r="M28" s="165"/>
      <c r="N28" s="67"/>
      <c r="O28" s="67"/>
      <c r="P28" s="67"/>
      <c r="Q28" s="67"/>
      <c r="R28" s="67"/>
      <c r="S28" s="93" t="str">
        <f t="shared" si="24"/>
        <v> </v>
      </c>
      <c r="T28" s="93" t="str">
        <f t="shared" si="25"/>
        <v> </v>
      </c>
      <c r="U28" s="93" t="str">
        <f t="shared" si="26"/>
        <v> </v>
      </c>
      <c r="V28" s="93">
        <f t="shared" si="27"/>
        <v>4</v>
      </c>
      <c r="W28" s="93" t="str">
        <f t="shared" si="28"/>
        <v> </v>
      </c>
      <c r="X28" s="67"/>
      <c r="Y28" s="67"/>
      <c r="Z28" s="67"/>
      <c r="AA28" s="67"/>
      <c r="AB28" s="67"/>
      <c r="AC28" s="85"/>
      <c r="AG28" s="86"/>
    </row>
    <row r="29" ht="12.75" customHeight="1">
      <c r="A29" s="1"/>
      <c r="B29" s="115">
        <v>2.0</v>
      </c>
      <c r="C29" s="121" t="s">
        <v>117</v>
      </c>
      <c r="D29" s="117">
        <v>0.65</v>
      </c>
      <c r="E29" s="118">
        <v>3.0</v>
      </c>
      <c r="F29" s="119">
        <v>1.0</v>
      </c>
      <c r="G29" s="120">
        <f>'Start Here'!$F$23*D29</f>
        <v>65</v>
      </c>
      <c r="H29" s="138"/>
      <c r="I29" s="165"/>
      <c r="J29" s="166"/>
      <c r="K29" s="165"/>
      <c r="L29" s="166">
        <f t="shared" ref="L29:L32" si="29">E29*F29</f>
        <v>3</v>
      </c>
      <c r="M29" s="165">
        <f t="shared" ref="M29:M32" si="30">G29*L29</f>
        <v>195</v>
      </c>
      <c r="N29" s="67"/>
      <c r="O29" s="67"/>
      <c r="P29" s="67"/>
      <c r="Q29" s="67"/>
      <c r="R29" s="67"/>
      <c r="S29" s="67"/>
      <c r="T29" s="67"/>
      <c r="U29" s="67"/>
      <c r="V29" s="67"/>
      <c r="W29" s="67"/>
      <c r="X29" s="114" t="str">
        <f t="shared" ref="X29:X32" si="31">IF(ISNUMBER(SEARCH("deadlift",$C29)),IF($D29&gt;=0.5,IF($D29&lt;0.6,$E29*$F29," ")," ")," ")</f>
        <v> </v>
      </c>
      <c r="Y29" s="114">
        <f t="shared" ref="Y29:Y32" si="32">IF(ISNUMBER(SEARCH("deadlift",$C29)),IF($D29&gt;=0.6,IF($D29&lt;0.7,$E29*$F29," ")," ")," ")</f>
        <v>3</v>
      </c>
      <c r="Z29" s="114" t="str">
        <f t="shared" ref="Z29:Z32" si="33">IF(ISNUMBER(SEARCH("deadlift",$C29)),IF($D29&gt;=0.7,IF($D29&lt;0.8,$E29*$F29," ")," ")," ")</f>
        <v> </v>
      </c>
      <c r="AA29" s="114" t="str">
        <f t="shared" ref="AA29:AA32" si="34">IF(ISNUMBER(SEARCH("deadlift",$C29)),IF($D29&gt;=0.8,IF($D29&lt;0.9,$E29*$F29," ")," ")," ")</f>
        <v> </v>
      </c>
      <c r="AB29" s="114" t="str">
        <f t="shared" ref="AB29:AB32" si="35">IF(ISNUMBER(SEARCH("deadlift",$C29)),IF($D29&gt;=0.9,$E29*$F29," ")," ")</f>
        <v> </v>
      </c>
      <c r="AC29" s="85"/>
      <c r="AG29" s="86"/>
    </row>
    <row r="30" ht="12.75" customHeight="1">
      <c r="A30" s="1"/>
      <c r="B30" s="115"/>
      <c r="C30" s="122" t="s">
        <v>117</v>
      </c>
      <c r="D30" s="117">
        <v>0.75</v>
      </c>
      <c r="E30" s="118">
        <v>3.0</v>
      </c>
      <c r="F30" s="119">
        <v>1.0</v>
      </c>
      <c r="G30" s="120">
        <f>'Start Here'!$F$23*D30</f>
        <v>75</v>
      </c>
      <c r="H30" s="138"/>
      <c r="I30" s="165"/>
      <c r="J30" s="166"/>
      <c r="K30" s="165"/>
      <c r="L30" s="166">
        <f t="shared" si="29"/>
        <v>3</v>
      </c>
      <c r="M30" s="165">
        <f t="shared" si="30"/>
        <v>225</v>
      </c>
      <c r="N30" s="67"/>
      <c r="O30" s="67"/>
      <c r="P30" s="67"/>
      <c r="Q30" s="67"/>
      <c r="R30" s="67"/>
      <c r="S30" s="67"/>
      <c r="T30" s="67"/>
      <c r="U30" s="67"/>
      <c r="V30" s="67"/>
      <c r="W30" s="67"/>
      <c r="X30" s="114" t="str">
        <f t="shared" si="31"/>
        <v> </v>
      </c>
      <c r="Y30" s="114" t="str">
        <f t="shared" si="32"/>
        <v> </v>
      </c>
      <c r="Z30" s="114">
        <f t="shared" si="33"/>
        <v>3</v>
      </c>
      <c r="AA30" s="114" t="str">
        <f t="shared" si="34"/>
        <v> </v>
      </c>
      <c r="AB30" s="114" t="str">
        <f t="shared" si="35"/>
        <v> </v>
      </c>
      <c r="AC30" s="85"/>
      <c r="AG30" s="86"/>
    </row>
    <row r="31" ht="12.75" customHeight="1">
      <c r="A31" s="1"/>
      <c r="B31" s="115"/>
      <c r="C31" s="122" t="s">
        <v>117</v>
      </c>
      <c r="D31" s="117">
        <v>0.85</v>
      </c>
      <c r="E31" s="118">
        <v>3.0</v>
      </c>
      <c r="F31" s="119">
        <v>2.0</v>
      </c>
      <c r="G31" s="120">
        <f>'Start Here'!$F$23*D31</f>
        <v>85</v>
      </c>
      <c r="H31" s="138"/>
      <c r="I31" s="165"/>
      <c r="J31" s="166"/>
      <c r="K31" s="165"/>
      <c r="L31" s="166">
        <f t="shared" si="29"/>
        <v>6</v>
      </c>
      <c r="M31" s="165">
        <f t="shared" si="30"/>
        <v>510</v>
      </c>
      <c r="N31" s="67"/>
      <c r="O31" s="67"/>
      <c r="P31" s="67"/>
      <c r="Q31" s="67"/>
      <c r="R31" s="67"/>
      <c r="S31" s="67"/>
      <c r="T31" s="67"/>
      <c r="U31" s="67"/>
      <c r="V31" s="67"/>
      <c r="W31" s="67"/>
      <c r="X31" s="114" t="str">
        <f t="shared" si="31"/>
        <v> </v>
      </c>
      <c r="Y31" s="114" t="str">
        <f t="shared" si="32"/>
        <v> </v>
      </c>
      <c r="Z31" s="114" t="str">
        <f t="shared" si="33"/>
        <v> </v>
      </c>
      <c r="AA31" s="114">
        <f t="shared" si="34"/>
        <v>6</v>
      </c>
      <c r="AB31" s="114" t="str">
        <f t="shared" si="35"/>
        <v> </v>
      </c>
      <c r="AC31" s="85"/>
      <c r="AG31" s="86"/>
    </row>
    <row r="32" ht="12.75" customHeight="1">
      <c r="A32" s="1"/>
      <c r="B32" s="115"/>
      <c r="C32" s="122" t="s">
        <v>117</v>
      </c>
      <c r="D32" s="117">
        <v>0.9</v>
      </c>
      <c r="E32" s="118">
        <v>2.0</v>
      </c>
      <c r="F32" s="119">
        <v>3.0</v>
      </c>
      <c r="G32" s="120">
        <f>'Start Here'!$F$23*D32</f>
        <v>90</v>
      </c>
      <c r="H32" s="138"/>
      <c r="I32" s="165"/>
      <c r="J32" s="166"/>
      <c r="K32" s="165"/>
      <c r="L32" s="166">
        <f t="shared" si="29"/>
        <v>6</v>
      </c>
      <c r="M32" s="165">
        <f t="shared" si="30"/>
        <v>540</v>
      </c>
      <c r="N32" s="67"/>
      <c r="O32" s="67"/>
      <c r="P32" s="67"/>
      <c r="Q32" s="67"/>
      <c r="R32" s="67"/>
      <c r="S32" s="67"/>
      <c r="T32" s="67"/>
      <c r="U32" s="67"/>
      <c r="V32" s="67"/>
      <c r="W32" s="67"/>
      <c r="X32" s="114" t="str">
        <f t="shared" si="31"/>
        <v> </v>
      </c>
      <c r="Y32" s="114" t="str">
        <f t="shared" si="32"/>
        <v> </v>
      </c>
      <c r="Z32" s="114" t="str">
        <f t="shared" si="33"/>
        <v> </v>
      </c>
      <c r="AA32" s="114" t="str">
        <f t="shared" si="34"/>
        <v> </v>
      </c>
      <c r="AB32" s="114">
        <f t="shared" si="35"/>
        <v>6</v>
      </c>
      <c r="AC32" s="85"/>
      <c r="AG32" s="86"/>
    </row>
    <row r="33" ht="12.75" customHeight="1">
      <c r="A33" s="1"/>
      <c r="B33" s="96">
        <v>3.0</v>
      </c>
      <c r="C33" s="167" t="s">
        <v>83</v>
      </c>
      <c r="D33" s="168"/>
      <c r="E33" s="169">
        <v>6.0</v>
      </c>
      <c r="F33" s="169">
        <v>5.0</v>
      </c>
      <c r="G33" s="170"/>
      <c r="H33" s="138"/>
      <c r="I33" s="165"/>
      <c r="J33" s="166"/>
      <c r="K33" s="165"/>
      <c r="L33" s="166"/>
      <c r="M33" s="165"/>
      <c r="N33" s="67"/>
      <c r="O33" s="67"/>
      <c r="P33" s="67"/>
      <c r="Q33" s="67"/>
      <c r="R33" s="67"/>
      <c r="S33" s="67"/>
      <c r="T33" s="67"/>
      <c r="U33" s="67"/>
      <c r="V33" s="67"/>
      <c r="W33" s="67"/>
      <c r="X33" s="67"/>
      <c r="Y33" s="67"/>
      <c r="Z33" s="67"/>
      <c r="AA33" s="67"/>
      <c r="AB33" s="67"/>
      <c r="AC33" s="85"/>
      <c r="AG33" s="86"/>
    </row>
    <row r="34" ht="12.75" customHeight="1">
      <c r="A34" s="1"/>
      <c r="B34" s="135">
        <v>4.0</v>
      </c>
      <c r="C34" s="136" t="s">
        <v>95</v>
      </c>
      <c r="D34" s="137"/>
      <c r="E34" s="138">
        <v>6.0</v>
      </c>
      <c r="F34" s="138">
        <v>5.0</v>
      </c>
      <c r="G34" s="139"/>
      <c r="H34" s="138"/>
      <c r="I34" s="165"/>
      <c r="J34" s="166"/>
      <c r="K34" s="165"/>
      <c r="L34" s="166"/>
      <c r="M34" s="165"/>
      <c r="N34" s="67"/>
      <c r="O34" s="67"/>
      <c r="P34" s="67"/>
      <c r="Q34" s="67"/>
      <c r="R34" s="67"/>
      <c r="S34" s="67"/>
      <c r="T34" s="67"/>
      <c r="U34" s="67"/>
      <c r="V34" s="67"/>
      <c r="W34" s="67"/>
      <c r="X34" s="67"/>
      <c r="Y34" s="67"/>
      <c r="Z34" s="67"/>
      <c r="AA34" s="67"/>
      <c r="AB34" s="67"/>
      <c r="AC34" s="85"/>
      <c r="AG34" s="86"/>
    </row>
    <row r="35" ht="12.75" customHeight="1">
      <c r="A35" s="1"/>
      <c r="B35" s="100">
        <v>5.0</v>
      </c>
      <c r="C35" s="171" t="s">
        <v>48</v>
      </c>
      <c r="D35" s="172"/>
      <c r="E35" s="102">
        <v>8.0</v>
      </c>
      <c r="F35" s="173">
        <v>4.0</v>
      </c>
      <c r="G35" s="139"/>
      <c r="H35" s="138"/>
      <c r="I35" s="165"/>
      <c r="J35" s="166"/>
      <c r="K35" s="165"/>
      <c r="L35" s="166"/>
      <c r="M35" s="165"/>
      <c r="N35" s="67"/>
      <c r="O35" s="67"/>
      <c r="P35" s="67"/>
      <c r="Q35" s="67"/>
      <c r="R35" s="67"/>
      <c r="S35" s="67"/>
      <c r="T35" s="67"/>
      <c r="U35" s="67"/>
      <c r="V35" s="67"/>
      <c r="W35" s="67"/>
      <c r="X35" s="67"/>
      <c r="Y35" s="67"/>
      <c r="Z35" s="67"/>
      <c r="AA35" s="67"/>
      <c r="AB35" s="67"/>
      <c r="AC35" s="104"/>
      <c r="AD35" s="105"/>
      <c r="AE35" s="105"/>
      <c r="AF35" s="105"/>
      <c r="AG35" s="106"/>
    </row>
    <row r="36" ht="12.75" customHeight="1">
      <c r="A36" s="1"/>
      <c r="B36" s="67"/>
      <c r="C36" s="136"/>
      <c r="D36" s="137"/>
      <c r="E36" s="138"/>
      <c r="F36" s="138"/>
      <c r="G36" s="169"/>
      <c r="H36" s="138"/>
      <c r="I36" s="165"/>
      <c r="J36" s="166"/>
      <c r="K36" s="165"/>
      <c r="L36" s="166"/>
      <c r="M36" s="165"/>
      <c r="N36" s="67"/>
      <c r="O36" s="67"/>
      <c r="P36" s="67"/>
      <c r="Q36" s="67"/>
      <c r="R36" s="67"/>
      <c r="S36" s="67"/>
      <c r="T36" s="67"/>
      <c r="U36" s="67"/>
      <c r="V36" s="67"/>
      <c r="W36" s="67"/>
      <c r="X36" s="67"/>
      <c r="Y36" s="67"/>
      <c r="Z36" s="67"/>
      <c r="AA36" s="67"/>
      <c r="AB36" s="67"/>
      <c r="AC36" s="67"/>
      <c r="AD36" s="67"/>
      <c r="AE36" s="67"/>
      <c r="AF36" s="67"/>
      <c r="AG36" s="67"/>
    </row>
    <row r="37" ht="25.5" customHeight="1">
      <c r="A37" s="1"/>
      <c r="B37" s="68" t="s">
        <v>54</v>
      </c>
      <c r="D37" s="137" t="s">
        <v>34</v>
      </c>
      <c r="E37" s="138" t="s">
        <v>35</v>
      </c>
      <c r="F37" s="138" t="s">
        <v>36</v>
      </c>
      <c r="G37" s="173" t="s">
        <v>37</v>
      </c>
      <c r="H37" s="138"/>
      <c r="I37" s="165"/>
      <c r="J37" s="166"/>
      <c r="K37" s="165"/>
      <c r="L37" s="166"/>
      <c r="M37" s="165"/>
      <c r="N37" s="67"/>
      <c r="O37" s="67"/>
      <c r="P37" s="67"/>
      <c r="Q37" s="67"/>
      <c r="R37" s="67"/>
      <c r="S37" s="67"/>
      <c r="T37" s="67"/>
      <c r="U37" s="67"/>
      <c r="V37" s="67"/>
      <c r="W37" s="67"/>
      <c r="X37" s="67"/>
      <c r="Y37" s="67"/>
      <c r="Z37" s="67"/>
      <c r="AA37" s="67"/>
      <c r="AB37" s="67"/>
      <c r="AC37" s="67" t="s">
        <v>43</v>
      </c>
      <c r="AD37" s="67"/>
      <c r="AE37" s="67"/>
      <c r="AF37" s="67"/>
      <c r="AG37" s="67"/>
    </row>
    <row r="38" ht="15.75" customHeight="1">
      <c r="A38" s="1"/>
      <c r="B38" s="207">
        <v>1.0</v>
      </c>
      <c r="C38" s="208" t="s">
        <v>46</v>
      </c>
      <c r="D38" s="209">
        <v>0.5</v>
      </c>
      <c r="E38" s="210">
        <v>5.0</v>
      </c>
      <c r="F38" s="211">
        <v>1.0</v>
      </c>
      <c r="G38" s="218">
        <f>'Start Here'!$F$21*D38</f>
        <v>50</v>
      </c>
      <c r="H38" s="138">
        <f t="shared" ref="H38:H41" si="36">E38*F38</f>
        <v>5</v>
      </c>
      <c r="I38" s="165">
        <f t="shared" ref="I38:I41" si="37">G38*H38</f>
        <v>250</v>
      </c>
      <c r="J38" s="166"/>
      <c r="K38" s="165"/>
      <c r="L38" s="166"/>
      <c r="M38" s="165"/>
      <c r="N38" s="75">
        <f t="shared" ref="N38:N41" si="38">IF(ISNUMBER(SEARCH("squat",$C38)),IF($D38&gt;=0.5,IF($D38&lt;0.6,$E38*$F38," ")," ")," ")</f>
        <v>5</v>
      </c>
      <c r="O38" s="75" t="str">
        <f t="shared" ref="O38:O41" si="39">IF(ISNUMBER(SEARCH("squat",$C38)),IF($D38&gt;=0.6,IF($D38&lt;0.7,$E38*$F38," ")," ")," ")</f>
        <v> </v>
      </c>
      <c r="P38" s="75" t="str">
        <f t="shared" ref="P38:P41" si="40">IF(ISNUMBER(SEARCH("squat",$C38)),IF($D38&gt;=0.7,IF($D38&lt;0.8,$E38*$F38," ")," ")," ")</f>
        <v> </v>
      </c>
      <c r="Q38" s="75" t="str">
        <f t="shared" ref="Q38:Q41" si="41">IF(ISNUMBER(SEARCH("squat",$C38)),IF($D38&gt;=0.8,IF($D38&lt;0.9,$E38*$F38," ")," ")," ")</f>
        <v> </v>
      </c>
      <c r="R38" s="75" t="str">
        <f t="shared" ref="R38:R41" si="42">IF(ISNUMBER(SEARCH("squat",$C38)),IF($D38&gt;=0.9,$E38*$F38," ")," ")</f>
        <v> </v>
      </c>
      <c r="S38" s="67"/>
      <c r="T38" s="67"/>
      <c r="U38" s="67"/>
      <c r="V38" s="67"/>
      <c r="W38" s="67"/>
      <c r="X38" s="67"/>
      <c r="Y38" s="67"/>
      <c r="Z38" s="67"/>
      <c r="AA38" s="67"/>
      <c r="AB38" s="67"/>
      <c r="AC38" s="76"/>
      <c r="AD38" s="77"/>
      <c r="AE38" s="77"/>
      <c r="AF38" s="77"/>
      <c r="AG38" s="78"/>
    </row>
    <row r="39" ht="12.75" customHeight="1">
      <c r="A39" s="1"/>
      <c r="B39" s="213"/>
      <c r="C39" s="214" t="s">
        <v>46</v>
      </c>
      <c r="D39" s="215">
        <v>0.6</v>
      </c>
      <c r="E39" s="216">
        <v>4.0</v>
      </c>
      <c r="F39" s="217">
        <v>1.0</v>
      </c>
      <c r="G39" s="218">
        <f>'Start Here'!$F$21*D39</f>
        <v>60</v>
      </c>
      <c r="H39" s="138">
        <f t="shared" si="36"/>
        <v>4</v>
      </c>
      <c r="I39" s="165">
        <f t="shared" si="37"/>
        <v>240</v>
      </c>
      <c r="J39" s="166"/>
      <c r="K39" s="165"/>
      <c r="L39" s="166"/>
      <c r="M39" s="165"/>
      <c r="N39" s="75" t="str">
        <f t="shared" si="38"/>
        <v> </v>
      </c>
      <c r="O39" s="75">
        <f t="shared" si="39"/>
        <v>4</v>
      </c>
      <c r="P39" s="75" t="str">
        <f t="shared" si="40"/>
        <v> </v>
      </c>
      <c r="Q39" s="75" t="str">
        <f t="shared" si="41"/>
        <v> </v>
      </c>
      <c r="R39" s="75" t="str">
        <f t="shared" si="42"/>
        <v> </v>
      </c>
      <c r="S39" s="67"/>
      <c r="T39" s="67"/>
      <c r="U39" s="67"/>
      <c r="V39" s="67"/>
      <c r="W39" s="67"/>
      <c r="X39" s="67"/>
      <c r="Y39" s="67"/>
      <c r="Z39" s="67"/>
      <c r="AA39" s="67"/>
      <c r="AB39" s="67"/>
      <c r="AC39" s="85"/>
      <c r="AG39" s="86"/>
    </row>
    <row r="40" ht="12.75" customHeight="1">
      <c r="A40" s="1"/>
      <c r="B40" s="213"/>
      <c r="C40" s="214" t="s">
        <v>46</v>
      </c>
      <c r="D40" s="215">
        <v>0.7</v>
      </c>
      <c r="E40" s="216">
        <v>3.0</v>
      </c>
      <c r="F40" s="217">
        <v>1.0</v>
      </c>
      <c r="G40" s="218">
        <f>'Start Here'!$F$21*D40</f>
        <v>70</v>
      </c>
      <c r="H40" s="138">
        <f t="shared" si="36"/>
        <v>3</v>
      </c>
      <c r="I40" s="165">
        <f t="shared" si="37"/>
        <v>210</v>
      </c>
      <c r="J40" s="166"/>
      <c r="K40" s="165"/>
      <c r="L40" s="166"/>
      <c r="M40" s="165"/>
      <c r="N40" s="75" t="str">
        <f t="shared" si="38"/>
        <v> </v>
      </c>
      <c r="O40" s="75" t="str">
        <f t="shared" si="39"/>
        <v> </v>
      </c>
      <c r="P40" s="75">
        <f t="shared" si="40"/>
        <v>3</v>
      </c>
      <c r="Q40" s="75" t="str">
        <f t="shared" si="41"/>
        <v> </v>
      </c>
      <c r="R40" s="75" t="str">
        <f t="shared" si="42"/>
        <v> </v>
      </c>
      <c r="S40" s="67"/>
      <c r="T40" s="67"/>
      <c r="U40" s="67"/>
      <c r="V40" s="67"/>
      <c r="W40" s="67"/>
      <c r="X40" s="67"/>
      <c r="Y40" s="67"/>
      <c r="Z40" s="67"/>
      <c r="AA40" s="67"/>
      <c r="AB40" s="67"/>
      <c r="AC40" s="85"/>
      <c r="AG40" s="86"/>
    </row>
    <row r="41" ht="12.75" customHeight="1">
      <c r="A41" s="1"/>
      <c r="B41" s="213"/>
      <c r="C41" s="214" t="s">
        <v>46</v>
      </c>
      <c r="D41" s="215">
        <v>0.75</v>
      </c>
      <c r="E41" s="216">
        <v>2.0</v>
      </c>
      <c r="F41" s="217">
        <v>4.0</v>
      </c>
      <c r="G41" s="218">
        <f>'Start Here'!$F$21*D41</f>
        <v>75</v>
      </c>
      <c r="H41" s="138">
        <f t="shared" si="36"/>
        <v>8</v>
      </c>
      <c r="I41" s="165">
        <f t="shared" si="37"/>
        <v>600</v>
      </c>
      <c r="J41" s="166"/>
      <c r="K41" s="165"/>
      <c r="L41" s="166"/>
      <c r="M41" s="165"/>
      <c r="N41" s="75" t="str">
        <f t="shared" si="38"/>
        <v> </v>
      </c>
      <c r="O41" s="75" t="str">
        <f t="shared" si="39"/>
        <v> </v>
      </c>
      <c r="P41" s="75">
        <f t="shared" si="40"/>
        <v>8</v>
      </c>
      <c r="Q41" s="75" t="str">
        <f t="shared" si="41"/>
        <v> </v>
      </c>
      <c r="R41" s="75" t="str">
        <f t="shared" si="42"/>
        <v> </v>
      </c>
      <c r="S41" s="67"/>
      <c r="T41" s="67"/>
      <c r="U41" s="67"/>
      <c r="V41" s="67"/>
      <c r="W41" s="67"/>
      <c r="X41" s="67"/>
      <c r="Y41" s="67"/>
      <c r="Z41" s="67"/>
      <c r="AA41" s="67"/>
      <c r="AB41" s="67"/>
      <c r="AC41" s="85"/>
      <c r="AG41" s="86"/>
    </row>
    <row r="42" ht="12.75" customHeight="1">
      <c r="A42" s="1"/>
      <c r="B42" s="87">
        <v>2.0</v>
      </c>
      <c r="C42" s="88" t="s">
        <v>45</v>
      </c>
      <c r="D42" s="89">
        <v>0.5</v>
      </c>
      <c r="E42" s="90">
        <v>5.0</v>
      </c>
      <c r="F42" s="91">
        <v>1.0</v>
      </c>
      <c r="G42" s="92">
        <f>'Start Here'!$F$22*D42</f>
        <v>50</v>
      </c>
      <c r="H42" s="138"/>
      <c r="I42" s="165"/>
      <c r="J42" s="166">
        <f t="shared" ref="J42:J45" si="43">E42*F42</f>
        <v>5</v>
      </c>
      <c r="K42" s="165">
        <f t="shared" ref="K42:K45" si="44">G42*J42</f>
        <v>250</v>
      </c>
      <c r="L42" s="166"/>
      <c r="M42" s="165"/>
      <c r="N42" s="67"/>
      <c r="O42" s="67"/>
      <c r="P42" s="67"/>
      <c r="Q42" s="67"/>
      <c r="R42" s="67"/>
      <c r="S42" s="93">
        <f t="shared" ref="S42:S45" si="45">IF(ISNUMBER(SEARCH("bench",$C42)),IF($D42&gt;=0.5,IF($D42&lt;0.6,$E42*$F42," ")," ")," ")</f>
        <v>5</v>
      </c>
      <c r="T42" s="93" t="str">
        <f t="shared" ref="T42:T45" si="46">IF(ISNUMBER(SEARCH("bench",$C42)),IF($D42&gt;=0.6,IF($D42&lt;0.7,$E42*$F42," ")," ")," ")</f>
        <v> </v>
      </c>
      <c r="U42" s="93" t="str">
        <f t="shared" ref="U42:U45" si="47">IF(ISNUMBER(SEARCH("bench",$C42)),IF($D42&gt;=0.7,IF($D42&lt;0.8,$E42*$F42," ")," ")," ")</f>
        <v> </v>
      </c>
      <c r="V42" s="93" t="str">
        <f t="shared" ref="V42:V45" si="48">IF(ISNUMBER(SEARCH("bench",$C42)),IF($D42&gt;=0.8,IF($D42&lt;0.9,$E42*$F42," ")," ")," ")</f>
        <v> </v>
      </c>
      <c r="W42" s="93" t="str">
        <f t="shared" ref="W42:W45" si="49">IF(ISNUMBER(SEARCH("bench",$C42)),IF($D42&gt;=0.9,$E42*$F42," ")," ")</f>
        <v> </v>
      </c>
      <c r="X42" s="67"/>
      <c r="Y42" s="67"/>
      <c r="Z42" s="67"/>
      <c r="AA42" s="67"/>
      <c r="AB42" s="67"/>
      <c r="AC42" s="85"/>
      <c r="AG42" s="86"/>
    </row>
    <row r="43" ht="12.75" customHeight="1">
      <c r="A43" s="1"/>
      <c r="B43" s="87"/>
      <c r="C43" s="94" t="s">
        <v>45</v>
      </c>
      <c r="D43" s="89">
        <v>0.6</v>
      </c>
      <c r="E43" s="90">
        <v>4.0</v>
      </c>
      <c r="F43" s="91">
        <v>1.0</v>
      </c>
      <c r="G43" s="92">
        <f>'Start Here'!$F$22*D43</f>
        <v>60</v>
      </c>
      <c r="H43" s="138"/>
      <c r="I43" s="165"/>
      <c r="J43" s="166">
        <f t="shared" si="43"/>
        <v>4</v>
      </c>
      <c r="K43" s="165">
        <f t="shared" si="44"/>
        <v>240</v>
      </c>
      <c r="L43" s="166"/>
      <c r="M43" s="165"/>
      <c r="N43" s="67"/>
      <c r="O43" s="67"/>
      <c r="P43" s="67"/>
      <c r="Q43" s="67"/>
      <c r="R43" s="67"/>
      <c r="S43" s="93" t="str">
        <f t="shared" si="45"/>
        <v> </v>
      </c>
      <c r="T43" s="93">
        <f t="shared" si="46"/>
        <v>4</v>
      </c>
      <c r="U43" s="93" t="str">
        <f t="shared" si="47"/>
        <v> </v>
      </c>
      <c r="V43" s="93" t="str">
        <f t="shared" si="48"/>
        <v> </v>
      </c>
      <c r="W43" s="93" t="str">
        <f t="shared" si="49"/>
        <v> </v>
      </c>
      <c r="X43" s="67"/>
      <c r="Y43" s="67"/>
      <c r="Z43" s="67"/>
      <c r="AA43" s="67"/>
      <c r="AB43" s="67"/>
      <c r="AC43" s="85"/>
      <c r="AG43" s="86"/>
    </row>
    <row r="44" ht="12.75" customHeight="1">
      <c r="A44" s="1"/>
      <c r="B44" s="87"/>
      <c r="C44" s="94" t="s">
        <v>45</v>
      </c>
      <c r="D44" s="89">
        <v>0.7</v>
      </c>
      <c r="E44" s="90">
        <v>3.0</v>
      </c>
      <c r="F44" s="91">
        <v>1.0</v>
      </c>
      <c r="G44" s="92">
        <f>'Start Here'!$F$22*D44</f>
        <v>70</v>
      </c>
      <c r="H44" s="138"/>
      <c r="I44" s="165"/>
      <c r="J44" s="166">
        <f t="shared" si="43"/>
        <v>3</v>
      </c>
      <c r="K44" s="165">
        <f t="shared" si="44"/>
        <v>210</v>
      </c>
      <c r="L44" s="166"/>
      <c r="M44" s="165"/>
      <c r="N44" s="67"/>
      <c r="O44" s="67"/>
      <c r="P44" s="67"/>
      <c r="Q44" s="67"/>
      <c r="R44" s="67"/>
      <c r="S44" s="93" t="str">
        <f t="shared" si="45"/>
        <v> </v>
      </c>
      <c r="T44" s="93" t="str">
        <f t="shared" si="46"/>
        <v> </v>
      </c>
      <c r="U44" s="93">
        <f t="shared" si="47"/>
        <v>3</v>
      </c>
      <c r="V44" s="93" t="str">
        <f t="shared" si="48"/>
        <v> </v>
      </c>
      <c r="W44" s="93" t="str">
        <f t="shared" si="49"/>
        <v> </v>
      </c>
      <c r="X44" s="67"/>
      <c r="Y44" s="67"/>
      <c r="Z44" s="67"/>
      <c r="AA44" s="67"/>
      <c r="AB44" s="67"/>
      <c r="AC44" s="85"/>
      <c r="AG44" s="86"/>
    </row>
    <row r="45" ht="12.75" customHeight="1">
      <c r="A45" s="1"/>
      <c r="B45" s="87"/>
      <c r="C45" s="94" t="s">
        <v>45</v>
      </c>
      <c r="D45" s="89">
        <v>0.75</v>
      </c>
      <c r="E45" s="90">
        <v>2.0</v>
      </c>
      <c r="F45" s="91">
        <v>4.0</v>
      </c>
      <c r="G45" s="92">
        <f>'Start Here'!$F$22*D45</f>
        <v>75</v>
      </c>
      <c r="H45" s="138"/>
      <c r="I45" s="165"/>
      <c r="J45" s="166">
        <f t="shared" si="43"/>
        <v>8</v>
      </c>
      <c r="K45" s="165">
        <f t="shared" si="44"/>
        <v>600</v>
      </c>
      <c r="L45" s="166"/>
      <c r="M45" s="165"/>
      <c r="N45" s="67"/>
      <c r="O45" s="67"/>
      <c r="P45" s="67"/>
      <c r="Q45" s="67"/>
      <c r="R45" s="67"/>
      <c r="S45" s="93" t="str">
        <f t="shared" si="45"/>
        <v> </v>
      </c>
      <c r="T45" s="93" t="str">
        <f t="shared" si="46"/>
        <v> </v>
      </c>
      <c r="U45" s="93">
        <f t="shared" si="47"/>
        <v>8</v>
      </c>
      <c r="V45" s="93" t="str">
        <f t="shared" si="48"/>
        <v> </v>
      </c>
      <c r="W45" s="93" t="str">
        <f t="shared" si="49"/>
        <v> </v>
      </c>
      <c r="X45" s="67"/>
      <c r="Y45" s="67"/>
      <c r="Z45" s="67"/>
      <c r="AA45" s="67"/>
      <c r="AB45" s="67"/>
      <c r="AC45" s="85"/>
      <c r="AG45" s="86"/>
    </row>
    <row r="46" ht="12.75" customHeight="1">
      <c r="A46" s="1"/>
      <c r="B46" s="96">
        <v>3.0</v>
      </c>
      <c r="C46" s="167" t="s">
        <v>92</v>
      </c>
      <c r="D46" s="168"/>
      <c r="E46" s="169">
        <v>6.0</v>
      </c>
      <c r="F46" s="169">
        <v>5.0</v>
      </c>
      <c r="G46" s="170"/>
      <c r="H46" s="138"/>
      <c r="I46" s="165"/>
      <c r="J46" s="166"/>
      <c r="K46" s="165"/>
      <c r="L46" s="166"/>
      <c r="M46" s="165"/>
      <c r="N46" s="67"/>
      <c r="O46" s="67"/>
      <c r="P46" s="67"/>
      <c r="Q46" s="67"/>
      <c r="R46" s="67"/>
      <c r="S46" s="67"/>
      <c r="T46" s="67"/>
      <c r="U46" s="67"/>
      <c r="V46" s="67"/>
      <c r="W46" s="67"/>
      <c r="X46" s="67"/>
      <c r="Y46" s="67"/>
      <c r="Z46" s="67"/>
      <c r="AA46" s="67"/>
      <c r="AB46" s="67"/>
      <c r="AC46" s="85"/>
      <c r="AG46" s="86"/>
    </row>
    <row r="47" ht="12.75" customHeight="1">
      <c r="A47" s="1"/>
      <c r="B47" s="135">
        <v>4.0</v>
      </c>
      <c r="C47" s="136" t="s">
        <v>96</v>
      </c>
      <c r="D47" s="137"/>
      <c r="E47" s="138">
        <v>5.0</v>
      </c>
      <c r="F47" s="138">
        <v>5.0</v>
      </c>
      <c r="G47" s="139"/>
      <c r="H47" s="138"/>
      <c r="I47" s="165"/>
      <c r="J47" s="166"/>
      <c r="K47" s="165"/>
      <c r="L47" s="166"/>
      <c r="M47" s="165"/>
      <c r="N47" s="67"/>
      <c r="O47" s="67"/>
      <c r="P47" s="67"/>
      <c r="Q47" s="67"/>
      <c r="R47" s="67"/>
      <c r="S47" s="67"/>
      <c r="T47" s="67"/>
      <c r="U47" s="67"/>
      <c r="V47" s="67"/>
      <c r="W47" s="67"/>
      <c r="X47" s="67"/>
      <c r="Y47" s="67"/>
      <c r="Z47" s="67"/>
      <c r="AA47" s="67"/>
      <c r="AB47" s="67"/>
      <c r="AC47" s="85"/>
      <c r="AG47" s="86"/>
    </row>
    <row r="48" ht="12.75" customHeight="1">
      <c r="A48" s="1"/>
      <c r="B48" s="175">
        <v>5.0</v>
      </c>
      <c r="C48" s="176" t="s">
        <v>78</v>
      </c>
      <c r="D48" s="177"/>
      <c r="E48" s="178">
        <v>5.0</v>
      </c>
      <c r="F48" s="179">
        <v>5.0</v>
      </c>
      <c r="G48" s="231"/>
      <c r="H48" s="138"/>
      <c r="I48" s="165"/>
      <c r="J48" s="166"/>
      <c r="K48" s="165"/>
      <c r="L48" s="166"/>
      <c r="M48" s="165"/>
      <c r="N48" s="67"/>
      <c r="O48" s="67"/>
      <c r="P48" s="67"/>
      <c r="Q48" s="67"/>
      <c r="R48" s="67"/>
      <c r="S48" s="67"/>
      <c r="T48" s="67"/>
      <c r="U48" s="67"/>
      <c r="V48" s="67"/>
      <c r="W48" s="67"/>
      <c r="X48" s="67"/>
      <c r="Y48" s="67"/>
      <c r="Z48" s="67"/>
      <c r="AA48" s="67"/>
      <c r="AB48" s="67"/>
      <c r="AC48" s="104"/>
      <c r="AD48" s="105"/>
      <c r="AE48" s="105"/>
      <c r="AF48" s="105"/>
      <c r="AG48" s="106"/>
    </row>
    <row r="49" ht="12.75" customHeight="1">
      <c r="A49" s="1"/>
      <c r="B49" s="67"/>
      <c r="C49" s="136"/>
      <c r="D49" s="137"/>
      <c r="E49" s="138"/>
      <c r="F49" s="138"/>
      <c r="G49" s="169"/>
      <c r="H49" s="138"/>
      <c r="I49" s="165"/>
      <c r="J49" s="166"/>
      <c r="K49" s="165"/>
      <c r="L49" s="166"/>
      <c r="M49" s="165"/>
      <c r="N49" s="67"/>
      <c r="O49" s="67"/>
      <c r="P49" s="67"/>
      <c r="Q49" s="67"/>
      <c r="R49" s="67"/>
      <c r="S49" s="67"/>
      <c r="T49" s="67"/>
      <c r="U49" s="67"/>
      <c r="V49" s="67"/>
      <c r="W49" s="67"/>
      <c r="X49" s="67"/>
      <c r="Y49" s="67"/>
      <c r="Z49" s="67"/>
      <c r="AA49" s="67"/>
      <c r="AB49" s="67"/>
      <c r="AC49" s="67"/>
      <c r="AD49" s="67"/>
      <c r="AE49" s="67"/>
      <c r="AF49" s="67"/>
      <c r="AG49" s="67"/>
    </row>
    <row r="50" ht="30.75" customHeight="1">
      <c r="A50" s="1"/>
      <c r="B50" s="68" t="s">
        <v>58</v>
      </c>
      <c r="D50" s="137" t="s">
        <v>34</v>
      </c>
      <c r="E50" s="138" t="s">
        <v>35</v>
      </c>
      <c r="F50" s="138" t="s">
        <v>36</v>
      </c>
      <c r="G50" s="173" t="s">
        <v>37</v>
      </c>
      <c r="H50" s="138"/>
      <c r="I50" s="165"/>
      <c r="J50" s="166"/>
      <c r="K50" s="165"/>
      <c r="L50" s="166"/>
      <c r="M50" s="165"/>
      <c r="N50" s="67"/>
      <c r="O50" s="67"/>
      <c r="P50" s="67"/>
      <c r="Q50" s="67"/>
      <c r="R50" s="67"/>
      <c r="S50" s="67"/>
      <c r="T50" s="67"/>
      <c r="U50" s="67"/>
      <c r="V50" s="67"/>
      <c r="W50" s="67"/>
      <c r="X50" s="67"/>
      <c r="Y50" s="67"/>
      <c r="Z50" s="67"/>
      <c r="AA50" s="67"/>
      <c r="AB50" s="67"/>
      <c r="AC50" s="67" t="s">
        <v>43</v>
      </c>
      <c r="AD50" s="67"/>
      <c r="AE50" s="67"/>
      <c r="AF50" s="67"/>
      <c r="AG50" s="67"/>
    </row>
    <row r="51" ht="12.75" customHeight="1">
      <c r="A51" s="1"/>
      <c r="B51" s="232">
        <v>1.0</v>
      </c>
      <c r="C51" s="233" t="s">
        <v>103</v>
      </c>
      <c r="D51" s="234"/>
      <c r="E51" s="235">
        <v>3.0</v>
      </c>
      <c r="F51" s="236">
        <v>5.0</v>
      </c>
      <c r="G51" s="237"/>
      <c r="H51" s="138"/>
      <c r="I51" s="165"/>
      <c r="J51" s="166"/>
      <c r="K51" s="165"/>
      <c r="L51" s="166"/>
      <c r="M51" s="165"/>
      <c r="N51" s="67"/>
      <c r="O51" s="67"/>
      <c r="P51" s="67"/>
      <c r="Q51" s="67"/>
      <c r="R51" s="67"/>
      <c r="S51" s="67"/>
      <c r="T51" s="67"/>
      <c r="U51" s="67"/>
      <c r="V51" s="67"/>
      <c r="W51" s="67"/>
      <c r="X51" s="67"/>
      <c r="Y51" s="67"/>
      <c r="Z51" s="67"/>
      <c r="AA51" s="67"/>
      <c r="AB51" s="67"/>
      <c r="AC51" s="76"/>
      <c r="AD51" s="77"/>
      <c r="AE51" s="77"/>
      <c r="AF51" s="77"/>
      <c r="AG51" s="78"/>
    </row>
    <row r="52" ht="12.75" customHeight="1">
      <c r="A52" s="1"/>
      <c r="B52" s="238">
        <v>2.0</v>
      </c>
      <c r="C52" s="239" t="s">
        <v>118</v>
      </c>
      <c r="D52" s="240">
        <v>0.5</v>
      </c>
      <c r="E52" s="241">
        <v>3.0</v>
      </c>
      <c r="F52" s="242">
        <v>1.0</v>
      </c>
      <c r="G52" s="243">
        <f>'Start Here'!$F$23*D52</f>
        <v>50</v>
      </c>
      <c r="H52" s="138"/>
      <c r="I52" s="165"/>
      <c r="J52" s="166"/>
      <c r="K52" s="165"/>
      <c r="L52" s="166">
        <f t="shared" ref="L52:L55" si="50">E52*F52</f>
        <v>3</v>
      </c>
      <c r="M52" s="165">
        <f t="shared" ref="M52:M55" si="51">G52*L52</f>
        <v>150</v>
      </c>
      <c r="N52" s="67"/>
      <c r="O52" s="67"/>
      <c r="P52" s="67"/>
      <c r="Q52" s="67"/>
      <c r="R52" s="67"/>
      <c r="S52" s="67"/>
      <c r="T52" s="67"/>
      <c r="U52" s="67"/>
      <c r="V52" s="67"/>
      <c r="W52" s="67"/>
      <c r="X52" s="114">
        <f t="shared" ref="X52:X55" si="52">IF(ISNUMBER(SEARCH("deadlift",$C52)),IF($D52&gt;=0.5,IF($D52&lt;0.6,$E52*$F52," ")," ")," ")</f>
        <v>3</v>
      </c>
      <c r="Y52" s="114" t="str">
        <f t="shared" ref="Y52:Y55" si="53">IF(ISNUMBER(SEARCH("deadlift",$C52)),IF($D52&gt;=0.6,IF($D52&lt;0.7,$E52*$F52," ")," ")," ")</f>
        <v> </v>
      </c>
      <c r="Z52" s="114" t="str">
        <f t="shared" ref="Z52:Z55" si="54">IF(ISNUMBER(SEARCH("deadlift",$C52)),IF($D52&gt;=0.7,IF($D52&lt;0.8,$E52*$F52," ")," ")," ")</f>
        <v> </v>
      </c>
      <c r="AA52" s="114" t="str">
        <f t="shared" ref="AA52:AA55" si="55">IF(ISNUMBER(SEARCH("deadlift",$C52)),IF($D52&gt;=0.8,IF($D52&lt;0.9,$E52*$F52," ")," ")," ")</f>
        <v> </v>
      </c>
      <c r="AB52" s="114" t="str">
        <f t="shared" ref="AB52:AB55" si="56">IF(ISNUMBER(SEARCH("deadlift",$C52)),IF($D52&gt;=0.9,$E52*$F52," ")," ")</f>
        <v> </v>
      </c>
      <c r="AC52" s="85"/>
      <c r="AG52" s="86"/>
    </row>
    <row r="53" ht="12.75" customHeight="1">
      <c r="A53" s="1"/>
      <c r="B53" s="238"/>
      <c r="C53" s="244" t="s">
        <v>118</v>
      </c>
      <c r="D53" s="240">
        <v>0.6</v>
      </c>
      <c r="E53" s="241">
        <v>3.0</v>
      </c>
      <c r="F53" s="242">
        <v>1.0</v>
      </c>
      <c r="G53" s="243">
        <f>'Start Here'!$F$23*D53</f>
        <v>60</v>
      </c>
      <c r="H53" s="138"/>
      <c r="I53" s="165"/>
      <c r="J53" s="166"/>
      <c r="K53" s="165"/>
      <c r="L53" s="166">
        <f t="shared" si="50"/>
        <v>3</v>
      </c>
      <c r="M53" s="165">
        <f t="shared" si="51"/>
        <v>180</v>
      </c>
      <c r="N53" s="67"/>
      <c r="O53" s="67"/>
      <c r="P53" s="67"/>
      <c r="Q53" s="67"/>
      <c r="R53" s="67"/>
      <c r="S53" s="67"/>
      <c r="T53" s="67"/>
      <c r="U53" s="67"/>
      <c r="V53" s="67"/>
      <c r="W53" s="67"/>
      <c r="X53" s="114" t="str">
        <f t="shared" si="52"/>
        <v> </v>
      </c>
      <c r="Y53" s="114">
        <f t="shared" si="53"/>
        <v>3</v>
      </c>
      <c r="Z53" s="114" t="str">
        <f t="shared" si="54"/>
        <v> </v>
      </c>
      <c r="AA53" s="114" t="str">
        <f t="shared" si="55"/>
        <v> </v>
      </c>
      <c r="AB53" s="114" t="str">
        <f t="shared" si="56"/>
        <v> </v>
      </c>
      <c r="AC53" s="85"/>
      <c r="AG53" s="86"/>
    </row>
    <row r="54" ht="12.75" customHeight="1">
      <c r="A54" s="1"/>
      <c r="B54" s="238"/>
      <c r="C54" s="244" t="s">
        <v>118</v>
      </c>
      <c r="D54" s="240">
        <v>0.7</v>
      </c>
      <c r="E54" s="241">
        <v>3.0</v>
      </c>
      <c r="F54" s="242">
        <v>1.0</v>
      </c>
      <c r="G54" s="243">
        <f>'Start Here'!$F$23*D54</f>
        <v>70</v>
      </c>
      <c r="H54" s="138"/>
      <c r="I54" s="165"/>
      <c r="J54" s="166"/>
      <c r="K54" s="165"/>
      <c r="L54" s="166">
        <f t="shared" si="50"/>
        <v>3</v>
      </c>
      <c r="M54" s="165">
        <f t="shared" si="51"/>
        <v>210</v>
      </c>
      <c r="N54" s="67"/>
      <c r="O54" s="67"/>
      <c r="P54" s="67"/>
      <c r="Q54" s="67"/>
      <c r="R54" s="67"/>
      <c r="S54" s="67"/>
      <c r="T54" s="67"/>
      <c r="U54" s="67"/>
      <c r="V54" s="67"/>
      <c r="W54" s="67"/>
      <c r="X54" s="114" t="str">
        <f t="shared" si="52"/>
        <v> </v>
      </c>
      <c r="Y54" s="114" t="str">
        <f t="shared" si="53"/>
        <v> </v>
      </c>
      <c r="Z54" s="114">
        <f t="shared" si="54"/>
        <v>3</v>
      </c>
      <c r="AA54" s="114" t="str">
        <f t="shared" si="55"/>
        <v> </v>
      </c>
      <c r="AB54" s="114" t="str">
        <f t="shared" si="56"/>
        <v> </v>
      </c>
      <c r="AC54" s="85"/>
      <c r="AG54" s="86"/>
    </row>
    <row r="55" ht="12.75" customHeight="1">
      <c r="A55" s="1"/>
      <c r="B55" s="238"/>
      <c r="C55" s="244" t="s">
        <v>118</v>
      </c>
      <c r="D55" s="240">
        <v>0.75</v>
      </c>
      <c r="E55" s="241">
        <v>2.0</v>
      </c>
      <c r="F55" s="242">
        <v>4.0</v>
      </c>
      <c r="G55" s="243">
        <f>'Start Here'!$F$23*D55</f>
        <v>75</v>
      </c>
      <c r="H55" s="138"/>
      <c r="I55" s="165"/>
      <c r="J55" s="166"/>
      <c r="K55" s="165"/>
      <c r="L55" s="166">
        <f t="shared" si="50"/>
        <v>8</v>
      </c>
      <c r="M55" s="165">
        <f t="shared" si="51"/>
        <v>600</v>
      </c>
      <c r="N55" s="67"/>
      <c r="O55" s="67"/>
      <c r="P55" s="67"/>
      <c r="Q55" s="67"/>
      <c r="R55" s="67"/>
      <c r="S55" s="67"/>
      <c r="T55" s="67"/>
      <c r="U55" s="67"/>
      <c r="V55" s="67"/>
      <c r="W55" s="67"/>
      <c r="X55" s="114" t="str">
        <f t="shared" si="52"/>
        <v> </v>
      </c>
      <c r="Y55" s="114" t="str">
        <f t="shared" si="53"/>
        <v> </v>
      </c>
      <c r="Z55" s="114">
        <f t="shared" si="54"/>
        <v>8</v>
      </c>
      <c r="AA55" s="114" t="str">
        <f t="shared" si="55"/>
        <v> </v>
      </c>
      <c r="AB55" s="114" t="str">
        <f t="shared" si="56"/>
        <v> </v>
      </c>
      <c r="AC55" s="85"/>
      <c r="AG55" s="86"/>
    </row>
    <row r="56" ht="12.75" customHeight="1">
      <c r="A56" s="1"/>
      <c r="B56" s="96">
        <v>2.0</v>
      </c>
      <c r="C56" s="167" t="s">
        <v>95</v>
      </c>
      <c r="D56" s="168"/>
      <c r="E56" s="98">
        <v>6.0</v>
      </c>
      <c r="F56" s="169">
        <v>4.0</v>
      </c>
      <c r="G56" s="170"/>
      <c r="H56" s="138"/>
      <c r="I56" s="165"/>
      <c r="J56" s="166"/>
      <c r="K56" s="165"/>
      <c r="L56" s="166"/>
      <c r="M56" s="165"/>
      <c r="N56" s="67"/>
      <c r="O56" s="67"/>
      <c r="P56" s="67"/>
      <c r="Q56" s="67"/>
      <c r="R56" s="67"/>
      <c r="S56" s="67"/>
      <c r="T56" s="67"/>
      <c r="U56" s="67"/>
      <c r="V56" s="67"/>
      <c r="W56" s="67"/>
      <c r="X56" s="67"/>
      <c r="Y56" s="67"/>
      <c r="Z56" s="67"/>
      <c r="AA56" s="67"/>
      <c r="AB56" s="67"/>
      <c r="AC56" s="85"/>
      <c r="AG56" s="86"/>
    </row>
    <row r="57" ht="12.75" customHeight="1">
      <c r="A57" s="1"/>
      <c r="B57" s="100">
        <v>4.0</v>
      </c>
      <c r="C57" s="171" t="s">
        <v>57</v>
      </c>
      <c r="D57" s="172"/>
      <c r="E57" s="102">
        <v>8.0</v>
      </c>
      <c r="F57" s="173">
        <v>4.0</v>
      </c>
      <c r="G57" s="174"/>
      <c r="H57" s="138"/>
      <c r="I57" s="165"/>
      <c r="J57" s="166"/>
      <c r="K57" s="165"/>
      <c r="L57" s="166"/>
      <c r="M57" s="165"/>
      <c r="N57" s="67"/>
      <c r="O57" s="67"/>
      <c r="P57" s="67"/>
      <c r="Q57" s="67"/>
      <c r="R57" s="67"/>
      <c r="S57" s="67"/>
      <c r="T57" s="67"/>
      <c r="U57" s="67"/>
      <c r="V57" s="67"/>
      <c r="W57" s="67"/>
      <c r="X57" s="67"/>
      <c r="Y57" s="67"/>
      <c r="Z57" s="67"/>
      <c r="AA57" s="67"/>
      <c r="AB57" s="67"/>
      <c r="AC57" s="104"/>
      <c r="AD57" s="105"/>
      <c r="AE57" s="105"/>
      <c r="AF57" s="105"/>
      <c r="AG57" s="106"/>
    </row>
    <row r="58" ht="39.75" customHeight="1">
      <c r="A58" s="181"/>
      <c r="B58" s="142"/>
      <c r="C58" s="182"/>
      <c r="D58" s="183"/>
      <c r="E58" s="184"/>
      <c r="F58" s="184"/>
      <c r="G58" s="184"/>
      <c r="H58" s="184">
        <f t="shared" ref="H58:AB58" si="57">SUM(H7:H57)</f>
        <v>55</v>
      </c>
      <c r="I58" s="186">
        <f t="shared" si="57"/>
        <v>3750</v>
      </c>
      <c r="J58" s="185">
        <f t="shared" si="57"/>
        <v>62</v>
      </c>
      <c r="K58" s="186">
        <f t="shared" si="57"/>
        <v>4150</v>
      </c>
      <c r="L58" s="185">
        <f t="shared" si="57"/>
        <v>35</v>
      </c>
      <c r="M58" s="186">
        <f t="shared" si="57"/>
        <v>2610</v>
      </c>
      <c r="N58" s="144">
        <f t="shared" si="57"/>
        <v>13</v>
      </c>
      <c r="O58" s="144">
        <f t="shared" si="57"/>
        <v>11</v>
      </c>
      <c r="P58" s="144">
        <f t="shared" si="57"/>
        <v>17</v>
      </c>
      <c r="Q58" s="144">
        <f t="shared" si="57"/>
        <v>14</v>
      </c>
      <c r="R58" s="144">
        <f t="shared" si="57"/>
        <v>0</v>
      </c>
      <c r="S58" s="144">
        <f t="shared" si="57"/>
        <v>15</v>
      </c>
      <c r="T58" s="144">
        <f t="shared" si="57"/>
        <v>12</v>
      </c>
      <c r="U58" s="144">
        <f t="shared" si="57"/>
        <v>17</v>
      </c>
      <c r="V58" s="144">
        <f t="shared" si="57"/>
        <v>18</v>
      </c>
      <c r="W58" s="144">
        <f t="shared" si="57"/>
        <v>0</v>
      </c>
      <c r="X58" s="144">
        <f t="shared" si="57"/>
        <v>3</v>
      </c>
      <c r="Y58" s="144">
        <f t="shared" si="57"/>
        <v>6</v>
      </c>
      <c r="Z58" s="144">
        <f t="shared" si="57"/>
        <v>14</v>
      </c>
      <c r="AA58" s="144">
        <f t="shared" si="57"/>
        <v>6</v>
      </c>
      <c r="AB58" s="144">
        <f t="shared" si="57"/>
        <v>6</v>
      </c>
      <c r="AC58" s="142"/>
      <c r="AD58" s="142"/>
      <c r="AE58" s="142"/>
      <c r="AF58" s="142"/>
      <c r="AG58" s="142"/>
    </row>
    <row r="59" ht="36.0" customHeight="1">
      <c r="A59" s="1"/>
      <c r="B59" s="206" t="s">
        <v>65</v>
      </c>
      <c r="H59" s="138"/>
      <c r="I59" s="165"/>
      <c r="J59" s="166"/>
      <c r="K59" s="165"/>
      <c r="L59" s="166"/>
      <c r="M59" s="165"/>
      <c r="N59" s="67"/>
      <c r="O59" s="67"/>
      <c r="P59" s="67"/>
      <c r="Q59" s="67"/>
      <c r="R59" s="67"/>
      <c r="S59" s="67"/>
      <c r="T59" s="67"/>
      <c r="U59" s="67"/>
      <c r="V59" s="67"/>
      <c r="W59" s="67"/>
      <c r="X59" s="67"/>
      <c r="Y59" s="67"/>
      <c r="Z59" s="67"/>
      <c r="AA59" s="67"/>
      <c r="AB59" s="67"/>
      <c r="AC59" s="67"/>
      <c r="AD59" s="67"/>
      <c r="AE59" s="67"/>
      <c r="AF59" s="67"/>
      <c r="AG59" s="67"/>
    </row>
    <row r="60" ht="12.75" customHeight="1">
      <c r="A60" s="1"/>
      <c r="B60" s="68" t="s">
        <v>33</v>
      </c>
      <c r="D60" s="137" t="s">
        <v>34</v>
      </c>
      <c r="E60" s="138" t="s">
        <v>35</v>
      </c>
      <c r="F60" s="138" t="s">
        <v>36</v>
      </c>
      <c r="G60" s="138" t="s">
        <v>37</v>
      </c>
      <c r="H60" s="138"/>
      <c r="I60" s="165"/>
      <c r="J60" s="166"/>
      <c r="K60" s="165"/>
      <c r="L60" s="166"/>
      <c r="M60" s="165"/>
      <c r="N60" s="67"/>
      <c r="O60" s="67"/>
      <c r="P60" s="67"/>
      <c r="Q60" s="67"/>
      <c r="R60" s="67"/>
      <c r="S60" s="67"/>
      <c r="T60" s="67"/>
      <c r="U60" s="67"/>
      <c r="V60" s="67"/>
      <c r="W60" s="67"/>
      <c r="X60" s="67"/>
      <c r="Y60" s="67"/>
      <c r="Z60" s="67"/>
      <c r="AA60" s="67"/>
      <c r="AB60" s="67"/>
      <c r="AC60" s="67" t="s">
        <v>43</v>
      </c>
      <c r="AD60" s="67"/>
      <c r="AE60" s="67"/>
      <c r="AF60" s="67"/>
      <c r="AG60" s="67"/>
    </row>
    <row r="61" ht="12.75" customHeight="1">
      <c r="A61" s="1"/>
      <c r="B61" s="69">
        <v>1.0</v>
      </c>
      <c r="C61" s="70" t="s">
        <v>46</v>
      </c>
      <c r="D61" s="71">
        <v>0.5</v>
      </c>
      <c r="E61" s="145">
        <v>5.0</v>
      </c>
      <c r="F61" s="72">
        <v>1.0</v>
      </c>
      <c r="G61" s="73">
        <f>'Start Here'!$F$21*D61</f>
        <v>50</v>
      </c>
      <c r="H61" s="138">
        <f t="shared" ref="H61:H66" si="58">E61*F61</f>
        <v>5</v>
      </c>
      <c r="I61" s="165">
        <f t="shared" ref="I61:I66" si="59">G61*H61</f>
        <v>250</v>
      </c>
      <c r="J61" s="166"/>
      <c r="K61" s="165"/>
      <c r="L61" s="166"/>
      <c r="M61" s="165"/>
      <c r="N61" s="75">
        <f t="shared" ref="N61:N67" si="60">IF(ISNUMBER(SEARCH("squat",$C61)),IF($D61&gt;=0.5,IF($D61&lt;0.6,$E61*$F61," ")," ")," ")</f>
        <v>5</v>
      </c>
      <c r="O61" s="75" t="str">
        <f t="shared" ref="O61:O67" si="61">IF(ISNUMBER(SEARCH("squat",$C61)),IF($D61&gt;=0.6,IF($D61&lt;0.7,$E61*$F61," ")," ")," ")</f>
        <v> </v>
      </c>
      <c r="P61" s="75" t="str">
        <f t="shared" ref="P61:P67" si="62">IF(ISNUMBER(SEARCH("squat",$C61)),IF($D61&gt;=0.7,IF($D61&lt;0.8,$E61*$F61," ")," ")," ")</f>
        <v> </v>
      </c>
      <c r="Q61" s="75" t="str">
        <f t="shared" ref="Q61:Q67" si="63">IF(ISNUMBER(SEARCH("squat",$C61)),IF($D61&gt;=0.8,IF($D61&lt;0.9,$E61*$F61," ")," ")," ")</f>
        <v> </v>
      </c>
      <c r="R61" s="75" t="str">
        <f t="shared" ref="R61:R66" si="64">IF(ISNUMBER(SEARCH("squat",$C61)),IF($D61&gt;=0.9,$E61*$F61," ")," ")</f>
        <v> </v>
      </c>
      <c r="S61" s="67"/>
      <c r="T61" s="67"/>
      <c r="U61" s="67"/>
      <c r="V61" s="67"/>
      <c r="W61" s="67"/>
      <c r="X61" s="67"/>
      <c r="Y61" s="67"/>
      <c r="Z61" s="67"/>
      <c r="AA61" s="67"/>
      <c r="AB61" s="67"/>
      <c r="AC61" s="76"/>
      <c r="AD61" s="77"/>
      <c r="AE61" s="77"/>
      <c r="AF61" s="77"/>
      <c r="AG61" s="78"/>
    </row>
    <row r="62" ht="12.75" customHeight="1">
      <c r="A62" s="1"/>
      <c r="B62" s="79"/>
      <c r="C62" s="80" t="s">
        <v>46</v>
      </c>
      <c r="D62" s="81">
        <v>0.6</v>
      </c>
      <c r="E62" s="82">
        <v>4.0</v>
      </c>
      <c r="F62" s="83">
        <v>1.0</v>
      </c>
      <c r="G62" s="84">
        <f>'Start Here'!$F$21*D62</f>
        <v>60</v>
      </c>
      <c r="H62" s="138">
        <f t="shared" si="58"/>
        <v>4</v>
      </c>
      <c r="I62" s="165">
        <f t="shared" si="59"/>
        <v>240</v>
      </c>
      <c r="J62" s="166"/>
      <c r="K62" s="165"/>
      <c r="L62" s="166"/>
      <c r="M62" s="165"/>
      <c r="N62" s="75" t="str">
        <f t="shared" si="60"/>
        <v> </v>
      </c>
      <c r="O62" s="75">
        <f t="shared" si="61"/>
        <v>4</v>
      </c>
      <c r="P62" s="75" t="str">
        <f t="shared" si="62"/>
        <v> </v>
      </c>
      <c r="Q62" s="75" t="str">
        <f t="shared" si="63"/>
        <v> </v>
      </c>
      <c r="R62" s="75" t="str">
        <f t="shared" si="64"/>
        <v> </v>
      </c>
      <c r="S62" s="67"/>
      <c r="T62" s="67"/>
      <c r="U62" s="67"/>
      <c r="V62" s="67"/>
      <c r="W62" s="67"/>
      <c r="X62" s="67"/>
      <c r="Y62" s="67"/>
      <c r="Z62" s="67"/>
      <c r="AA62" s="67"/>
      <c r="AB62" s="67"/>
      <c r="AC62" s="85"/>
      <c r="AG62" s="86"/>
    </row>
    <row r="63" ht="12.75" customHeight="1">
      <c r="A63" s="1"/>
      <c r="B63" s="79"/>
      <c r="C63" s="80" t="s">
        <v>46</v>
      </c>
      <c r="D63" s="81">
        <v>0.7</v>
      </c>
      <c r="E63" s="82">
        <v>3.0</v>
      </c>
      <c r="F63" s="83">
        <v>1.0</v>
      </c>
      <c r="G63" s="84">
        <f>'Start Here'!$F$21*D63</f>
        <v>70</v>
      </c>
      <c r="H63" s="138">
        <f t="shared" si="58"/>
        <v>3</v>
      </c>
      <c r="I63" s="165">
        <f t="shared" si="59"/>
        <v>210</v>
      </c>
      <c r="J63" s="166"/>
      <c r="K63" s="165"/>
      <c r="L63" s="166"/>
      <c r="M63" s="165"/>
      <c r="N63" s="75" t="str">
        <f t="shared" si="60"/>
        <v> </v>
      </c>
      <c r="O63" s="75" t="str">
        <f t="shared" si="61"/>
        <v> </v>
      </c>
      <c r="P63" s="75">
        <f t="shared" si="62"/>
        <v>3</v>
      </c>
      <c r="Q63" s="75" t="str">
        <f t="shared" si="63"/>
        <v> </v>
      </c>
      <c r="R63" s="75" t="str">
        <f t="shared" si="64"/>
        <v> </v>
      </c>
      <c r="S63" s="67"/>
      <c r="T63" s="67"/>
      <c r="U63" s="67"/>
      <c r="V63" s="67"/>
      <c r="W63" s="67"/>
      <c r="X63" s="67"/>
      <c r="Y63" s="67"/>
      <c r="Z63" s="67"/>
      <c r="AA63" s="67"/>
      <c r="AB63" s="67"/>
      <c r="AC63" s="85"/>
      <c r="AG63" s="86"/>
    </row>
    <row r="64" ht="12.75" customHeight="1">
      <c r="A64" s="1"/>
      <c r="B64" s="79"/>
      <c r="C64" s="80" t="s">
        <v>46</v>
      </c>
      <c r="D64" s="81">
        <v>0.8</v>
      </c>
      <c r="E64" s="82">
        <v>2.0</v>
      </c>
      <c r="F64" s="83">
        <v>1.0</v>
      </c>
      <c r="G64" s="84">
        <f>'Start Here'!$F$21*D64</f>
        <v>80</v>
      </c>
      <c r="H64" s="138">
        <f t="shared" si="58"/>
        <v>2</v>
      </c>
      <c r="I64" s="165">
        <f t="shared" si="59"/>
        <v>160</v>
      </c>
      <c r="J64" s="166"/>
      <c r="K64" s="165"/>
      <c r="L64" s="166"/>
      <c r="M64" s="165"/>
      <c r="N64" s="75" t="str">
        <f t="shared" si="60"/>
        <v> </v>
      </c>
      <c r="O64" s="75" t="str">
        <f t="shared" si="61"/>
        <v> </v>
      </c>
      <c r="P64" s="75" t="str">
        <f t="shared" si="62"/>
        <v> </v>
      </c>
      <c r="Q64" s="75">
        <f t="shared" si="63"/>
        <v>2</v>
      </c>
      <c r="R64" s="75" t="str">
        <f t="shared" si="64"/>
        <v> </v>
      </c>
      <c r="S64" s="67"/>
      <c r="T64" s="67"/>
      <c r="U64" s="67"/>
      <c r="V64" s="67"/>
      <c r="W64" s="67"/>
      <c r="X64" s="67"/>
      <c r="Y64" s="67"/>
      <c r="Z64" s="67"/>
      <c r="AA64" s="67"/>
      <c r="AB64" s="67"/>
      <c r="AC64" s="85"/>
      <c r="AG64" s="86"/>
    </row>
    <row r="65" ht="12.75" customHeight="1">
      <c r="A65" s="1"/>
      <c r="B65" s="79"/>
      <c r="C65" s="80" t="s">
        <v>46</v>
      </c>
      <c r="D65" s="81">
        <v>0.9</v>
      </c>
      <c r="E65" s="82">
        <v>1.0</v>
      </c>
      <c r="F65" s="83">
        <v>1.0</v>
      </c>
      <c r="G65" s="84">
        <f>'Start Here'!$F$21*D65</f>
        <v>90</v>
      </c>
      <c r="H65" s="138">
        <f t="shared" si="58"/>
        <v>1</v>
      </c>
      <c r="I65" s="165">
        <f t="shared" si="59"/>
        <v>90</v>
      </c>
      <c r="J65" s="166"/>
      <c r="K65" s="165"/>
      <c r="L65" s="166"/>
      <c r="M65" s="165"/>
      <c r="N65" s="75" t="str">
        <f t="shared" si="60"/>
        <v> </v>
      </c>
      <c r="O65" s="75" t="str">
        <f t="shared" si="61"/>
        <v> </v>
      </c>
      <c r="P65" s="75" t="str">
        <f t="shared" si="62"/>
        <v> </v>
      </c>
      <c r="Q65" s="75" t="str">
        <f t="shared" si="63"/>
        <v> </v>
      </c>
      <c r="R65" s="75">
        <f t="shared" si="64"/>
        <v>1</v>
      </c>
      <c r="S65" s="67"/>
      <c r="T65" s="67"/>
      <c r="U65" s="67"/>
      <c r="V65" s="67"/>
      <c r="W65" s="67"/>
      <c r="X65" s="67"/>
      <c r="Y65" s="67"/>
      <c r="Z65" s="67"/>
      <c r="AA65" s="67"/>
      <c r="AB65" s="67"/>
      <c r="AC65" s="85"/>
      <c r="AG65" s="86"/>
    </row>
    <row r="66" ht="12.75" customHeight="1">
      <c r="A66" s="1"/>
      <c r="B66" s="79"/>
      <c r="C66" s="80" t="s">
        <v>46</v>
      </c>
      <c r="D66" s="81">
        <v>0.95</v>
      </c>
      <c r="E66" s="82">
        <v>1.0</v>
      </c>
      <c r="F66" s="83">
        <v>1.0</v>
      </c>
      <c r="G66" s="84">
        <f>'Start Here'!$F$21*D66</f>
        <v>95</v>
      </c>
      <c r="H66" s="138">
        <f t="shared" si="58"/>
        <v>1</v>
      </c>
      <c r="I66" s="165">
        <f t="shared" si="59"/>
        <v>95</v>
      </c>
      <c r="J66" s="166"/>
      <c r="K66" s="165"/>
      <c r="L66" s="166"/>
      <c r="M66" s="165"/>
      <c r="N66" s="75" t="str">
        <f t="shared" si="60"/>
        <v> </v>
      </c>
      <c r="O66" s="75" t="str">
        <f t="shared" si="61"/>
        <v> </v>
      </c>
      <c r="P66" s="75" t="str">
        <f t="shared" si="62"/>
        <v> </v>
      </c>
      <c r="Q66" s="75" t="str">
        <f t="shared" si="63"/>
        <v> </v>
      </c>
      <c r="R66" s="75">
        <f t="shared" si="64"/>
        <v>1</v>
      </c>
      <c r="S66" s="67"/>
      <c r="T66" s="67"/>
      <c r="U66" s="67"/>
      <c r="V66" s="67"/>
      <c r="W66" s="67"/>
      <c r="X66" s="67"/>
      <c r="Y66" s="67"/>
      <c r="Z66" s="67"/>
      <c r="AA66" s="67"/>
      <c r="AB66" s="67"/>
      <c r="AC66" s="85"/>
      <c r="AG66" s="86"/>
    </row>
    <row r="67" ht="12.75" customHeight="1">
      <c r="A67" s="1"/>
      <c r="B67" s="79"/>
      <c r="C67" s="80" t="s">
        <v>46</v>
      </c>
      <c r="D67" s="81" t="s">
        <v>124</v>
      </c>
      <c r="E67" s="82">
        <v>1.0</v>
      </c>
      <c r="F67" s="245" t="s">
        <v>125</v>
      </c>
      <c r="G67" s="246" t="str">
        <f>'Start Here'!$F$21*MID(D67,1,4)&amp;"-"&amp;'Start Here'!$F$21*MID(D67,6,8)</f>
        <v>100-105</v>
      </c>
      <c r="H67" s="138">
        <v>3.0</v>
      </c>
      <c r="I67" s="165">
        <v>300.0</v>
      </c>
      <c r="J67" s="166"/>
      <c r="K67" s="165"/>
      <c r="L67" s="166"/>
      <c r="M67" s="165"/>
      <c r="N67" s="75" t="str">
        <f t="shared" si="60"/>
        <v> </v>
      </c>
      <c r="O67" s="75" t="str">
        <f t="shared" si="61"/>
        <v> </v>
      </c>
      <c r="P67" s="75" t="str">
        <f t="shared" si="62"/>
        <v> </v>
      </c>
      <c r="Q67" s="75" t="str">
        <f t="shared" si="63"/>
        <v> </v>
      </c>
      <c r="R67" s="75">
        <v>3.0</v>
      </c>
      <c r="S67" s="67"/>
      <c r="T67" s="67"/>
      <c r="U67" s="67"/>
      <c r="V67" s="67"/>
      <c r="W67" s="67"/>
      <c r="X67" s="67"/>
      <c r="Y67" s="67"/>
      <c r="Z67" s="67"/>
      <c r="AA67" s="67"/>
      <c r="AB67" s="67"/>
      <c r="AC67" s="85"/>
      <c r="AG67" s="86"/>
    </row>
    <row r="68" ht="12.75" customHeight="1">
      <c r="A68" s="1"/>
      <c r="B68" s="87">
        <v>2.0</v>
      </c>
      <c r="C68" s="88" t="s">
        <v>45</v>
      </c>
      <c r="D68" s="89">
        <v>0.5</v>
      </c>
      <c r="E68" s="90">
        <v>5.0</v>
      </c>
      <c r="F68" s="91">
        <v>1.0</v>
      </c>
      <c r="G68" s="92">
        <f>'Start Here'!$F$22*D68</f>
        <v>50</v>
      </c>
      <c r="H68" s="138"/>
      <c r="I68" s="165"/>
      <c r="J68" s="166">
        <f t="shared" ref="J68:J71" si="65">E68*F68</f>
        <v>5</v>
      </c>
      <c r="K68" s="165">
        <f t="shared" ref="K68:K71" si="66">G68*J68</f>
        <v>250</v>
      </c>
      <c r="L68" s="166"/>
      <c r="M68" s="165"/>
      <c r="N68" s="67"/>
      <c r="O68" s="67"/>
      <c r="P68" s="67"/>
      <c r="Q68" s="67"/>
      <c r="R68" s="67"/>
      <c r="S68" s="93">
        <f t="shared" ref="S68:S71" si="67">IF(ISNUMBER(SEARCH("bench",$C68)),IF($D68&gt;=0.5,IF($D68&lt;0.6,$E68*$F68," ")," ")," ")</f>
        <v>5</v>
      </c>
      <c r="T68" s="93" t="str">
        <f t="shared" ref="T68:T71" si="68">IF(ISNUMBER(SEARCH("bench",$C68)),IF($D68&gt;=0.6,IF($D68&lt;0.7,$E68*$F68," ")," ")," ")</f>
        <v> </v>
      </c>
      <c r="U68" s="93" t="str">
        <f t="shared" ref="U68:U71" si="69">IF(ISNUMBER(SEARCH("bench",$C68)),IF($D68&gt;=0.7,IF($D68&lt;0.8,$E68*$F68," ")," ")," ")</f>
        <v> </v>
      </c>
      <c r="V68" s="93" t="str">
        <f t="shared" ref="V68:V71" si="70">IF(ISNUMBER(SEARCH("bench",$C68)),IF($D68&gt;=0.8,IF($D68&lt;0.9,$E68*$F68," ")," ")," ")</f>
        <v> </v>
      </c>
      <c r="W68" s="93" t="str">
        <f t="shared" ref="W68:W71" si="71">IF(ISNUMBER(SEARCH("bench",$C68)),IF($D68&gt;=0.9,$E68*$F68," ")," ")</f>
        <v> </v>
      </c>
      <c r="X68" s="67"/>
      <c r="Y68" s="67"/>
      <c r="Z68" s="67"/>
      <c r="AA68" s="67"/>
      <c r="AB68" s="67"/>
      <c r="AC68" s="85"/>
      <c r="AG68" s="86"/>
    </row>
    <row r="69" ht="12.75" customHeight="1">
      <c r="A69" s="1"/>
      <c r="B69" s="87"/>
      <c r="C69" s="94" t="s">
        <v>45</v>
      </c>
      <c r="D69" s="89">
        <v>0.6</v>
      </c>
      <c r="E69" s="90">
        <v>4.0</v>
      </c>
      <c r="F69" s="91">
        <v>1.0</v>
      </c>
      <c r="G69" s="92">
        <f>'Start Here'!$F$22*D69</f>
        <v>60</v>
      </c>
      <c r="H69" s="138"/>
      <c r="I69" s="165"/>
      <c r="J69" s="166">
        <f t="shared" si="65"/>
        <v>4</v>
      </c>
      <c r="K69" s="165">
        <f t="shared" si="66"/>
        <v>240</v>
      </c>
      <c r="L69" s="166"/>
      <c r="M69" s="165"/>
      <c r="N69" s="67"/>
      <c r="O69" s="67"/>
      <c r="P69" s="67"/>
      <c r="Q69" s="67"/>
      <c r="R69" s="67"/>
      <c r="S69" s="93" t="str">
        <f t="shared" si="67"/>
        <v> </v>
      </c>
      <c r="T69" s="93">
        <f t="shared" si="68"/>
        <v>4</v>
      </c>
      <c r="U69" s="93" t="str">
        <f t="shared" si="69"/>
        <v> </v>
      </c>
      <c r="V69" s="93" t="str">
        <f t="shared" si="70"/>
        <v> </v>
      </c>
      <c r="W69" s="93" t="str">
        <f t="shared" si="71"/>
        <v> </v>
      </c>
      <c r="X69" s="67"/>
      <c r="Y69" s="67"/>
      <c r="Z69" s="67"/>
      <c r="AA69" s="67"/>
      <c r="AB69" s="67"/>
      <c r="AC69" s="85"/>
      <c r="AG69" s="86"/>
    </row>
    <row r="70" ht="12.75" customHeight="1">
      <c r="A70" s="1"/>
      <c r="B70" s="87"/>
      <c r="C70" s="94" t="s">
        <v>45</v>
      </c>
      <c r="D70" s="89">
        <v>0.7</v>
      </c>
      <c r="E70" s="90">
        <v>3.0</v>
      </c>
      <c r="F70" s="91">
        <v>1.0</v>
      </c>
      <c r="G70" s="92">
        <f>'Start Here'!$F$22*D70</f>
        <v>70</v>
      </c>
      <c r="H70" s="138"/>
      <c r="I70" s="165"/>
      <c r="J70" s="166">
        <f t="shared" si="65"/>
        <v>3</v>
      </c>
      <c r="K70" s="165">
        <f t="shared" si="66"/>
        <v>210</v>
      </c>
      <c r="L70" s="166"/>
      <c r="M70" s="165"/>
      <c r="N70" s="67"/>
      <c r="O70" s="67"/>
      <c r="P70" s="67"/>
      <c r="Q70" s="67"/>
      <c r="R70" s="67"/>
      <c r="S70" s="93" t="str">
        <f t="shared" si="67"/>
        <v> </v>
      </c>
      <c r="T70" s="93" t="str">
        <f t="shared" si="68"/>
        <v> </v>
      </c>
      <c r="U70" s="93">
        <f t="shared" si="69"/>
        <v>3</v>
      </c>
      <c r="V70" s="93" t="str">
        <f t="shared" si="70"/>
        <v> </v>
      </c>
      <c r="W70" s="93" t="str">
        <f t="shared" si="71"/>
        <v> </v>
      </c>
      <c r="X70" s="67"/>
      <c r="Y70" s="67"/>
      <c r="Z70" s="67"/>
      <c r="AA70" s="67"/>
      <c r="AB70" s="67"/>
      <c r="AC70" s="85"/>
      <c r="AG70" s="86"/>
    </row>
    <row r="71" ht="12.75" customHeight="1">
      <c r="A71" s="1"/>
      <c r="B71" s="87"/>
      <c r="C71" s="94" t="s">
        <v>45</v>
      </c>
      <c r="D71" s="89">
        <v>0.75</v>
      </c>
      <c r="E71" s="90">
        <v>2.0</v>
      </c>
      <c r="F71" s="91">
        <v>3.0</v>
      </c>
      <c r="G71" s="92">
        <f>'Start Here'!$F$22*D71</f>
        <v>75</v>
      </c>
      <c r="H71" s="138"/>
      <c r="I71" s="165"/>
      <c r="J71" s="166">
        <f t="shared" si="65"/>
        <v>6</v>
      </c>
      <c r="K71" s="165">
        <f t="shared" si="66"/>
        <v>450</v>
      </c>
      <c r="L71" s="166"/>
      <c r="M71" s="165"/>
      <c r="N71" s="67"/>
      <c r="O71" s="67"/>
      <c r="P71" s="67"/>
      <c r="Q71" s="67"/>
      <c r="R71" s="67"/>
      <c r="S71" s="93" t="str">
        <f t="shared" si="67"/>
        <v> </v>
      </c>
      <c r="T71" s="93" t="str">
        <f t="shared" si="68"/>
        <v> </v>
      </c>
      <c r="U71" s="93">
        <f t="shared" si="69"/>
        <v>6</v>
      </c>
      <c r="V71" s="93" t="str">
        <f t="shared" si="70"/>
        <v> </v>
      </c>
      <c r="W71" s="93" t="str">
        <f t="shared" si="71"/>
        <v> </v>
      </c>
      <c r="X71" s="67"/>
      <c r="Y71" s="67"/>
      <c r="Z71" s="67"/>
      <c r="AA71" s="67"/>
      <c r="AB71" s="67"/>
      <c r="AC71" s="85"/>
      <c r="AG71" s="86"/>
    </row>
    <row r="72" ht="12.75" customHeight="1">
      <c r="A72" s="1"/>
      <c r="B72" s="96">
        <v>3.0</v>
      </c>
      <c r="C72" s="167" t="s">
        <v>92</v>
      </c>
      <c r="D72" s="168"/>
      <c r="E72" s="169">
        <v>5.0</v>
      </c>
      <c r="F72" s="169">
        <v>3.0</v>
      </c>
      <c r="G72" s="170"/>
      <c r="H72" s="138"/>
      <c r="I72" s="165"/>
      <c r="J72" s="166"/>
      <c r="K72" s="165"/>
      <c r="L72" s="166"/>
      <c r="M72" s="165"/>
      <c r="N72" s="67"/>
      <c r="O72" s="67"/>
      <c r="P72" s="67"/>
      <c r="Q72" s="67"/>
      <c r="R72" s="67"/>
      <c r="S72" s="67"/>
      <c r="T72" s="67"/>
      <c r="U72" s="67"/>
      <c r="V72" s="67"/>
      <c r="W72" s="67"/>
      <c r="X72" s="67"/>
      <c r="Y72" s="67"/>
      <c r="Z72" s="67"/>
      <c r="AA72" s="67"/>
      <c r="AB72" s="67"/>
      <c r="AC72" s="85"/>
      <c r="AG72" s="86"/>
    </row>
    <row r="73" ht="12.75" customHeight="1">
      <c r="A73" s="1"/>
      <c r="B73" s="175">
        <v>4.0</v>
      </c>
      <c r="C73" s="176" t="s">
        <v>57</v>
      </c>
      <c r="D73" s="177"/>
      <c r="E73" s="178">
        <v>8.0</v>
      </c>
      <c r="F73" s="179">
        <v>4.0</v>
      </c>
      <c r="G73" s="180"/>
      <c r="H73" s="138"/>
      <c r="I73" s="165"/>
      <c r="J73" s="166"/>
      <c r="K73" s="165"/>
      <c r="L73" s="166"/>
      <c r="M73" s="165"/>
      <c r="N73" s="67"/>
      <c r="O73" s="67"/>
      <c r="P73" s="67"/>
      <c r="Q73" s="67"/>
      <c r="R73" s="67"/>
      <c r="S73" s="67"/>
      <c r="T73" s="67"/>
      <c r="U73" s="67"/>
      <c r="V73" s="67"/>
      <c r="W73" s="67"/>
      <c r="X73" s="67"/>
      <c r="Y73" s="67"/>
      <c r="Z73" s="67"/>
      <c r="AA73" s="67"/>
      <c r="AB73" s="67"/>
      <c r="AC73" s="104"/>
      <c r="AD73" s="105"/>
      <c r="AE73" s="105"/>
      <c r="AF73" s="105"/>
      <c r="AG73" s="106"/>
    </row>
    <row r="74" ht="12.75" customHeight="1">
      <c r="A74" s="1"/>
      <c r="B74" s="67"/>
      <c r="C74" s="136"/>
      <c r="D74" s="137"/>
      <c r="E74" s="138"/>
      <c r="F74" s="138"/>
      <c r="G74" s="138"/>
      <c r="H74" s="138"/>
      <c r="I74" s="165"/>
      <c r="J74" s="166"/>
      <c r="K74" s="165"/>
      <c r="L74" s="166"/>
      <c r="M74" s="165"/>
      <c r="N74" s="67"/>
      <c r="O74" s="67"/>
      <c r="P74" s="67"/>
      <c r="Q74" s="67"/>
      <c r="R74" s="67"/>
      <c r="S74" s="67"/>
      <c r="T74" s="67"/>
      <c r="U74" s="67"/>
      <c r="V74" s="67"/>
      <c r="W74" s="67"/>
      <c r="X74" s="67"/>
      <c r="Y74" s="67"/>
      <c r="Z74" s="67"/>
      <c r="AA74" s="67"/>
      <c r="AB74" s="67"/>
      <c r="AC74" s="67"/>
      <c r="AD74" s="67"/>
      <c r="AE74" s="67"/>
      <c r="AF74" s="67"/>
      <c r="AG74" s="67"/>
    </row>
    <row r="75" ht="33.0" customHeight="1">
      <c r="A75" s="1"/>
      <c r="B75" s="68" t="s">
        <v>49</v>
      </c>
      <c r="D75" s="137" t="s">
        <v>34</v>
      </c>
      <c r="E75" s="138" t="s">
        <v>35</v>
      </c>
      <c r="F75" s="138" t="s">
        <v>36</v>
      </c>
      <c r="G75" s="138" t="s">
        <v>37</v>
      </c>
      <c r="H75" s="138"/>
      <c r="I75" s="165"/>
      <c r="J75" s="166"/>
      <c r="K75" s="165"/>
      <c r="L75" s="166"/>
      <c r="M75" s="165"/>
      <c r="N75" s="67"/>
      <c r="O75" s="67"/>
      <c r="P75" s="67"/>
      <c r="Q75" s="67"/>
      <c r="R75" s="67"/>
      <c r="S75" s="67"/>
      <c r="T75" s="67"/>
      <c r="U75" s="67"/>
      <c r="V75" s="67"/>
      <c r="W75" s="67"/>
      <c r="X75" s="67"/>
      <c r="Y75" s="67"/>
      <c r="Z75" s="67"/>
      <c r="AA75" s="67"/>
      <c r="AB75" s="67"/>
      <c r="AC75" s="67" t="s">
        <v>43</v>
      </c>
      <c r="AD75" s="67"/>
      <c r="AE75" s="67"/>
      <c r="AF75" s="67"/>
      <c r="AG75" s="67"/>
    </row>
    <row r="76" ht="12.75" customHeight="1">
      <c r="A76" s="1"/>
      <c r="B76" s="123">
        <v>1.0</v>
      </c>
      <c r="C76" s="124" t="s">
        <v>45</v>
      </c>
      <c r="D76" s="125">
        <v>0.5</v>
      </c>
      <c r="E76" s="126">
        <v>5.0</v>
      </c>
      <c r="F76" s="127">
        <v>1.0</v>
      </c>
      <c r="G76" s="128">
        <f>'Start Here'!$F$22*D76</f>
        <v>50</v>
      </c>
      <c r="H76" s="138"/>
      <c r="I76" s="165"/>
      <c r="J76" s="166">
        <f t="shared" ref="J76:J81" si="72">E76*F76</f>
        <v>5</v>
      </c>
      <c r="K76" s="165">
        <f t="shared" ref="K76:K81" si="73">G76*J76</f>
        <v>250</v>
      </c>
      <c r="L76" s="166"/>
      <c r="M76" s="165"/>
      <c r="N76" s="67"/>
      <c r="O76" s="67"/>
      <c r="P76" s="67"/>
      <c r="Q76" s="67"/>
      <c r="R76" s="67"/>
      <c r="S76" s="93">
        <f t="shared" ref="S76:S82" si="74">IF(ISNUMBER(SEARCH("bench",$C76)),IF($D76&gt;=0.5,IF($D76&lt;0.6,$E76*$F76," ")," ")," ")</f>
        <v>5</v>
      </c>
      <c r="T76" s="93" t="str">
        <f t="shared" ref="T76:T82" si="75">IF(ISNUMBER(SEARCH("bench",$C76)),IF($D76&gt;=0.6,IF($D76&lt;0.7,$E76*$F76," ")," ")," ")</f>
        <v> </v>
      </c>
      <c r="U76" s="93" t="str">
        <f t="shared" ref="U76:U82" si="76">IF(ISNUMBER(SEARCH("bench",$C76)),IF($D76&gt;=0.7,IF($D76&lt;0.8,$E76*$F76," ")," ")," ")</f>
        <v> </v>
      </c>
      <c r="V76" s="93" t="str">
        <f t="shared" ref="V76:V82" si="77">IF(ISNUMBER(SEARCH("bench",$C76)),IF($D76&gt;=0.8,IF($D76&lt;0.9,$E76*$F76," ")," ")," ")</f>
        <v> </v>
      </c>
      <c r="W76" s="93" t="str">
        <f t="shared" ref="W76:W81" si="78">IF(ISNUMBER(SEARCH("bench",$C76)),IF($D76&gt;=0.9,$E76*$F76," ")," ")</f>
        <v> </v>
      </c>
      <c r="X76" s="67"/>
      <c r="Y76" s="67"/>
      <c r="Z76" s="67"/>
      <c r="AA76" s="67"/>
      <c r="AB76" s="67"/>
      <c r="AC76" s="76"/>
      <c r="AD76" s="77"/>
      <c r="AE76" s="77"/>
      <c r="AF76" s="77"/>
      <c r="AG76" s="78"/>
    </row>
    <row r="77" ht="12.75" customHeight="1">
      <c r="A77" s="1"/>
      <c r="B77" s="87"/>
      <c r="C77" s="94" t="s">
        <v>45</v>
      </c>
      <c r="D77" s="89">
        <v>0.6</v>
      </c>
      <c r="E77" s="90">
        <v>4.0</v>
      </c>
      <c r="F77" s="91">
        <v>1.0</v>
      </c>
      <c r="G77" s="92">
        <f>'Start Here'!$F$22*D77</f>
        <v>60</v>
      </c>
      <c r="H77" s="138"/>
      <c r="I77" s="165"/>
      <c r="J77" s="166">
        <f t="shared" si="72"/>
        <v>4</v>
      </c>
      <c r="K77" s="165">
        <f t="shared" si="73"/>
        <v>240</v>
      </c>
      <c r="L77" s="166"/>
      <c r="M77" s="165"/>
      <c r="N77" s="67"/>
      <c r="O77" s="67"/>
      <c r="P77" s="67"/>
      <c r="Q77" s="67"/>
      <c r="R77" s="67"/>
      <c r="S77" s="93" t="str">
        <f t="shared" si="74"/>
        <v> </v>
      </c>
      <c r="T77" s="93">
        <f t="shared" si="75"/>
        <v>4</v>
      </c>
      <c r="U77" s="93" t="str">
        <f t="shared" si="76"/>
        <v> </v>
      </c>
      <c r="V77" s="93" t="str">
        <f t="shared" si="77"/>
        <v> </v>
      </c>
      <c r="W77" s="93" t="str">
        <f t="shared" si="78"/>
        <v> </v>
      </c>
      <c r="X77" s="67"/>
      <c r="Y77" s="67"/>
      <c r="Z77" s="67"/>
      <c r="AA77" s="67"/>
      <c r="AB77" s="67"/>
      <c r="AC77" s="85"/>
      <c r="AG77" s="86"/>
    </row>
    <row r="78" ht="12.75" customHeight="1">
      <c r="A78" s="1"/>
      <c r="B78" s="87"/>
      <c r="C78" s="94" t="s">
        <v>45</v>
      </c>
      <c r="D78" s="89">
        <v>0.7</v>
      </c>
      <c r="E78" s="90">
        <v>3.0</v>
      </c>
      <c r="F78" s="91">
        <v>1.0</v>
      </c>
      <c r="G78" s="92">
        <f>'Start Here'!$F$22*D78</f>
        <v>70</v>
      </c>
      <c r="H78" s="138"/>
      <c r="I78" s="165"/>
      <c r="J78" s="166">
        <f t="shared" si="72"/>
        <v>3</v>
      </c>
      <c r="K78" s="165">
        <f t="shared" si="73"/>
        <v>210</v>
      </c>
      <c r="L78" s="166"/>
      <c r="M78" s="165"/>
      <c r="N78" s="67"/>
      <c r="O78" s="67"/>
      <c r="P78" s="67"/>
      <c r="Q78" s="67"/>
      <c r="R78" s="67"/>
      <c r="S78" s="93" t="str">
        <f t="shared" si="74"/>
        <v> </v>
      </c>
      <c r="T78" s="93" t="str">
        <f t="shared" si="75"/>
        <v> </v>
      </c>
      <c r="U78" s="93">
        <f t="shared" si="76"/>
        <v>3</v>
      </c>
      <c r="V78" s="93" t="str">
        <f t="shared" si="77"/>
        <v> </v>
      </c>
      <c r="W78" s="93" t="str">
        <f t="shared" si="78"/>
        <v> </v>
      </c>
      <c r="X78" s="67"/>
      <c r="Y78" s="67"/>
      <c r="Z78" s="67"/>
      <c r="AA78" s="67"/>
      <c r="AB78" s="67"/>
      <c r="AC78" s="85"/>
      <c r="AG78" s="86"/>
    </row>
    <row r="79" ht="12.75" customHeight="1">
      <c r="A79" s="1"/>
      <c r="B79" s="87"/>
      <c r="C79" s="94" t="s">
        <v>45</v>
      </c>
      <c r="D79" s="89">
        <v>0.8</v>
      </c>
      <c r="E79" s="90">
        <v>2.0</v>
      </c>
      <c r="F79" s="91">
        <v>1.0</v>
      </c>
      <c r="G79" s="92">
        <f>'Start Here'!$F$22*D79</f>
        <v>80</v>
      </c>
      <c r="H79" s="138"/>
      <c r="I79" s="165"/>
      <c r="J79" s="166">
        <f t="shared" si="72"/>
        <v>2</v>
      </c>
      <c r="K79" s="165">
        <f t="shared" si="73"/>
        <v>160</v>
      </c>
      <c r="L79" s="166"/>
      <c r="M79" s="165"/>
      <c r="N79" s="67"/>
      <c r="O79" s="67"/>
      <c r="P79" s="67"/>
      <c r="Q79" s="67"/>
      <c r="R79" s="67"/>
      <c r="S79" s="93" t="str">
        <f t="shared" si="74"/>
        <v> </v>
      </c>
      <c r="T79" s="93" t="str">
        <f t="shared" si="75"/>
        <v> </v>
      </c>
      <c r="U79" s="93" t="str">
        <f t="shared" si="76"/>
        <v> </v>
      </c>
      <c r="V79" s="93">
        <f t="shared" si="77"/>
        <v>2</v>
      </c>
      <c r="W79" s="93" t="str">
        <f t="shared" si="78"/>
        <v> </v>
      </c>
      <c r="X79" s="67"/>
      <c r="Y79" s="67"/>
      <c r="Z79" s="67"/>
      <c r="AA79" s="67"/>
      <c r="AB79" s="67"/>
      <c r="AC79" s="85"/>
      <c r="AG79" s="86"/>
    </row>
    <row r="80" ht="12.75" customHeight="1">
      <c r="A80" s="1"/>
      <c r="B80" s="87"/>
      <c r="C80" s="94" t="s">
        <v>45</v>
      </c>
      <c r="D80" s="89">
        <v>0.9</v>
      </c>
      <c r="E80" s="90">
        <v>1.0</v>
      </c>
      <c r="F80" s="91">
        <v>1.0</v>
      </c>
      <c r="G80" s="92">
        <f>'Start Here'!$F$22*D80</f>
        <v>90</v>
      </c>
      <c r="H80" s="138"/>
      <c r="I80" s="165"/>
      <c r="J80" s="166">
        <f t="shared" si="72"/>
        <v>1</v>
      </c>
      <c r="K80" s="165">
        <f t="shared" si="73"/>
        <v>90</v>
      </c>
      <c r="L80" s="166"/>
      <c r="M80" s="165"/>
      <c r="N80" s="67"/>
      <c r="O80" s="67"/>
      <c r="P80" s="67"/>
      <c r="Q80" s="67"/>
      <c r="R80" s="67"/>
      <c r="S80" s="93" t="str">
        <f t="shared" si="74"/>
        <v> </v>
      </c>
      <c r="T80" s="93" t="str">
        <f t="shared" si="75"/>
        <v> </v>
      </c>
      <c r="U80" s="93" t="str">
        <f t="shared" si="76"/>
        <v> </v>
      </c>
      <c r="V80" s="93" t="str">
        <f t="shared" si="77"/>
        <v> </v>
      </c>
      <c r="W80" s="93">
        <f t="shared" si="78"/>
        <v>1</v>
      </c>
      <c r="X80" s="67"/>
      <c r="Y80" s="67"/>
      <c r="Z80" s="67"/>
      <c r="AA80" s="67"/>
      <c r="AB80" s="67"/>
      <c r="AC80" s="85"/>
      <c r="AG80" s="86"/>
    </row>
    <row r="81" ht="12.75" customHeight="1">
      <c r="A81" s="1"/>
      <c r="B81" s="87"/>
      <c r="C81" s="94" t="s">
        <v>45</v>
      </c>
      <c r="D81" s="89">
        <v>0.95</v>
      </c>
      <c r="E81" s="90">
        <v>1.0</v>
      </c>
      <c r="F81" s="91">
        <v>1.0</v>
      </c>
      <c r="G81" s="92">
        <f>'Start Here'!$F$22*D81</f>
        <v>95</v>
      </c>
      <c r="H81" s="138"/>
      <c r="I81" s="165"/>
      <c r="J81" s="166">
        <f t="shared" si="72"/>
        <v>1</v>
      </c>
      <c r="K81" s="165">
        <f t="shared" si="73"/>
        <v>95</v>
      </c>
      <c r="L81" s="166"/>
      <c r="M81" s="165"/>
      <c r="N81" s="67"/>
      <c r="O81" s="67"/>
      <c r="P81" s="67"/>
      <c r="Q81" s="67"/>
      <c r="R81" s="67"/>
      <c r="S81" s="93" t="str">
        <f t="shared" si="74"/>
        <v> </v>
      </c>
      <c r="T81" s="93" t="str">
        <f t="shared" si="75"/>
        <v> </v>
      </c>
      <c r="U81" s="93" t="str">
        <f t="shared" si="76"/>
        <v> </v>
      </c>
      <c r="V81" s="93" t="str">
        <f t="shared" si="77"/>
        <v> </v>
      </c>
      <c r="W81" s="93">
        <f t="shared" si="78"/>
        <v>1</v>
      </c>
      <c r="X81" s="67"/>
      <c r="Y81" s="67"/>
      <c r="Z81" s="67"/>
      <c r="AA81" s="67"/>
      <c r="AB81" s="67"/>
      <c r="AC81" s="85"/>
      <c r="AG81" s="86"/>
    </row>
    <row r="82" ht="12.75" customHeight="1">
      <c r="A82" s="1"/>
      <c r="B82" s="87"/>
      <c r="C82" s="94" t="s">
        <v>45</v>
      </c>
      <c r="D82" s="89" t="s">
        <v>124</v>
      </c>
      <c r="E82" s="90">
        <v>1.0</v>
      </c>
      <c r="F82" s="91" t="s">
        <v>125</v>
      </c>
      <c r="G82" s="92" t="str">
        <f>'Start Here'!$F$22*MID(D82,1,4)&amp;"-"&amp;'Start Here'!$F$22*MID(D82,6,8)</f>
        <v>100-105</v>
      </c>
      <c r="H82" s="138"/>
      <c r="I82" s="165"/>
      <c r="J82" s="166">
        <v>3.0</v>
      </c>
      <c r="K82" s="165">
        <v>300.0</v>
      </c>
      <c r="L82" s="166"/>
      <c r="M82" s="165"/>
      <c r="N82" s="67"/>
      <c r="O82" s="67"/>
      <c r="P82" s="67"/>
      <c r="Q82" s="67"/>
      <c r="R82" s="67"/>
      <c r="S82" s="93" t="str">
        <f t="shared" si="74"/>
        <v> </v>
      </c>
      <c r="T82" s="93" t="str">
        <f t="shared" si="75"/>
        <v> </v>
      </c>
      <c r="U82" s="93" t="str">
        <f t="shared" si="76"/>
        <v> </v>
      </c>
      <c r="V82" s="93" t="str">
        <f t="shared" si="77"/>
        <v> </v>
      </c>
      <c r="W82" s="93">
        <v>3.0</v>
      </c>
      <c r="X82" s="67"/>
      <c r="Y82" s="67"/>
      <c r="Z82" s="67"/>
      <c r="AA82" s="67"/>
      <c r="AB82" s="67"/>
      <c r="AC82" s="85"/>
      <c r="AG82" s="86"/>
    </row>
    <row r="83" ht="12.75" customHeight="1">
      <c r="A83" s="1"/>
      <c r="B83" s="115">
        <v>2.0</v>
      </c>
      <c r="C83" s="121" t="s">
        <v>122</v>
      </c>
      <c r="D83" s="117">
        <v>0.5</v>
      </c>
      <c r="E83" s="118">
        <v>5.0</v>
      </c>
      <c r="F83" s="119">
        <v>1.0</v>
      </c>
      <c r="G83" s="120">
        <f>'Start Here'!$F$22*D83</f>
        <v>50</v>
      </c>
      <c r="H83" s="138"/>
      <c r="I83" s="165"/>
      <c r="J83" s="166"/>
      <c r="K83" s="165"/>
      <c r="L83" s="166">
        <f t="shared" ref="L83:L88" si="79">E83*F83</f>
        <v>5</v>
      </c>
      <c r="M83" s="165">
        <f t="shared" ref="M83:M88" si="80">G83*L83</f>
        <v>250</v>
      </c>
      <c r="N83" s="67"/>
      <c r="O83" s="67"/>
      <c r="P83" s="67"/>
      <c r="Q83" s="67"/>
      <c r="R83" s="67"/>
      <c r="S83" s="67"/>
      <c r="T83" s="67"/>
      <c r="U83" s="67"/>
      <c r="V83" s="67"/>
      <c r="W83" s="67"/>
      <c r="X83" s="114">
        <f t="shared" ref="X83:X89" si="81">IF(ISNUMBER(SEARCH("deadlift",$C83)),IF($D83&gt;=0.5,IF($D83&lt;0.6,$E83*$F83," ")," ")," ")</f>
        <v>5</v>
      </c>
      <c r="Y83" s="114" t="str">
        <f t="shared" ref="Y83:Y89" si="82">IF(ISNUMBER(SEARCH("deadlift",$C83)),IF($D83&gt;=0.6,IF($D83&lt;0.7,$E83*$F83," ")," ")," ")</f>
        <v> </v>
      </c>
      <c r="Z83" s="114" t="str">
        <f t="shared" ref="Z83:Z89" si="83">IF(ISNUMBER(SEARCH("deadlift",$C83)),IF($D83&gt;=0.7,IF($D83&lt;0.8,$E83*$F83," ")," ")," ")</f>
        <v> </v>
      </c>
      <c r="AA83" s="114" t="str">
        <f t="shared" ref="AA83:AA89" si="84">IF(ISNUMBER(SEARCH("deadlift",$C83)),IF($D83&gt;=0.8,IF($D83&lt;0.9,$E83*$F83," ")," ")," ")</f>
        <v> </v>
      </c>
      <c r="AB83" s="114" t="str">
        <f t="shared" ref="AB83:AB88" si="85">IF(ISNUMBER(SEARCH("deadlift",$C83)),IF($D83&gt;=0.9,$E83*$F83," ")," ")</f>
        <v> </v>
      </c>
      <c r="AC83" s="85"/>
      <c r="AG83" s="86"/>
    </row>
    <row r="84" ht="12.75" customHeight="1">
      <c r="A84" s="1"/>
      <c r="B84" s="115"/>
      <c r="C84" s="122" t="s">
        <v>122</v>
      </c>
      <c r="D84" s="117">
        <v>0.6</v>
      </c>
      <c r="E84" s="118">
        <v>4.0</v>
      </c>
      <c r="F84" s="119">
        <v>1.0</v>
      </c>
      <c r="G84" s="120">
        <f>'Start Here'!$F$22*D84</f>
        <v>60</v>
      </c>
      <c r="H84" s="138"/>
      <c r="I84" s="165"/>
      <c r="J84" s="166"/>
      <c r="K84" s="165"/>
      <c r="L84" s="166">
        <f t="shared" si="79"/>
        <v>4</v>
      </c>
      <c r="M84" s="165">
        <f t="shared" si="80"/>
        <v>240</v>
      </c>
      <c r="N84" s="67"/>
      <c r="O84" s="67"/>
      <c r="P84" s="67"/>
      <c r="Q84" s="67"/>
      <c r="R84" s="67"/>
      <c r="S84" s="67"/>
      <c r="T84" s="67"/>
      <c r="U84" s="67"/>
      <c r="V84" s="67"/>
      <c r="W84" s="67"/>
      <c r="X84" s="114" t="str">
        <f t="shared" si="81"/>
        <v> </v>
      </c>
      <c r="Y84" s="114">
        <f t="shared" si="82"/>
        <v>4</v>
      </c>
      <c r="Z84" s="114" t="str">
        <f t="shared" si="83"/>
        <v> </v>
      </c>
      <c r="AA84" s="114" t="str">
        <f t="shared" si="84"/>
        <v> </v>
      </c>
      <c r="AB84" s="114" t="str">
        <f t="shared" si="85"/>
        <v> </v>
      </c>
      <c r="AC84" s="85"/>
      <c r="AG84" s="86"/>
    </row>
    <row r="85" ht="12.75" customHeight="1">
      <c r="A85" s="1"/>
      <c r="B85" s="115"/>
      <c r="C85" s="122" t="s">
        <v>122</v>
      </c>
      <c r="D85" s="117">
        <v>0.7</v>
      </c>
      <c r="E85" s="118">
        <v>3.0</v>
      </c>
      <c r="F85" s="119">
        <v>1.0</v>
      </c>
      <c r="G85" s="120">
        <f>'Start Here'!$F$22*D85</f>
        <v>70</v>
      </c>
      <c r="H85" s="138"/>
      <c r="I85" s="165"/>
      <c r="J85" s="166"/>
      <c r="K85" s="165"/>
      <c r="L85" s="166">
        <f t="shared" si="79"/>
        <v>3</v>
      </c>
      <c r="M85" s="165">
        <f t="shared" si="80"/>
        <v>210</v>
      </c>
      <c r="N85" s="67"/>
      <c r="O85" s="67"/>
      <c r="P85" s="67"/>
      <c r="Q85" s="67"/>
      <c r="R85" s="67"/>
      <c r="S85" s="67"/>
      <c r="T85" s="67"/>
      <c r="U85" s="67"/>
      <c r="V85" s="67"/>
      <c r="W85" s="67"/>
      <c r="X85" s="114" t="str">
        <f t="shared" si="81"/>
        <v> </v>
      </c>
      <c r="Y85" s="114" t="str">
        <f t="shared" si="82"/>
        <v> </v>
      </c>
      <c r="Z85" s="114">
        <f t="shared" si="83"/>
        <v>3</v>
      </c>
      <c r="AA85" s="114" t="str">
        <f t="shared" si="84"/>
        <v> </v>
      </c>
      <c r="AB85" s="114" t="str">
        <f t="shared" si="85"/>
        <v> </v>
      </c>
      <c r="AC85" s="85"/>
      <c r="AG85" s="86"/>
    </row>
    <row r="86" ht="12.75" customHeight="1">
      <c r="A86" s="1"/>
      <c r="B86" s="115"/>
      <c r="C86" s="122" t="s">
        <v>122</v>
      </c>
      <c r="D86" s="117">
        <v>0.8</v>
      </c>
      <c r="E86" s="118">
        <v>2.0</v>
      </c>
      <c r="F86" s="119">
        <v>1.0</v>
      </c>
      <c r="G86" s="120">
        <f>'Start Here'!$F$22*D86</f>
        <v>80</v>
      </c>
      <c r="H86" s="138"/>
      <c r="I86" s="165"/>
      <c r="J86" s="166"/>
      <c r="K86" s="165"/>
      <c r="L86" s="166">
        <f t="shared" si="79"/>
        <v>2</v>
      </c>
      <c r="M86" s="165">
        <f t="shared" si="80"/>
        <v>160</v>
      </c>
      <c r="N86" s="67"/>
      <c r="O86" s="67"/>
      <c r="P86" s="67"/>
      <c r="Q86" s="67"/>
      <c r="R86" s="67"/>
      <c r="S86" s="67"/>
      <c r="T86" s="67"/>
      <c r="U86" s="67"/>
      <c r="V86" s="67"/>
      <c r="W86" s="67"/>
      <c r="X86" s="114" t="str">
        <f t="shared" si="81"/>
        <v> </v>
      </c>
      <c r="Y86" s="114" t="str">
        <f t="shared" si="82"/>
        <v> </v>
      </c>
      <c r="Z86" s="114" t="str">
        <f t="shared" si="83"/>
        <v> </v>
      </c>
      <c r="AA86" s="114">
        <f t="shared" si="84"/>
        <v>2</v>
      </c>
      <c r="AB86" s="114" t="str">
        <f t="shared" si="85"/>
        <v> </v>
      </c>
      <c r="AC86" s="85"/>
      <c r="AG86" s="86"/>
    </row>
    <row r="87" ht="12.75" customHeight="1">
      <c r="A87" s="1"/>
      <c r="B87" s="115"/>
      <c r="C87" s="122" t="s">
        <v>122</v>
      </c>
      <c r="D87" s="117">
        <v>0.9</v>
      </c>
      <c r="E87" s="118">
        <v>1.0</v>
      </c>
      <c r="F87" s="119">
        <v>1.0</v>
      </c>
      <c r="G87" s="120">
        <f>'Start Here'!$F$22*D87</f>
        <v>90</v>
      </c>
      <c r="H87" s="138"/>
      <c r="I87" s="165"/>
      <c r="J87" s="166"/>
      <c r="K87" s="165"/>
      <c r="L87" s="166">
        <f t="shared" si="79"/>
        <v>1</v>
      </c>
      <c r="M87" s="165">
        <f t="shared" si="80"/>
        <v>90</v>
      </c>
      <c r="N87" s="67"/>
      <c r="O87" s="67"/>
      <c r="P87" s="67"/>
      <c r="Q87" s="67"/>
      <c r="R87" s="67"/>
      <c r="S87" s="67"/>
      <c r="T87" s="67"/>
      <c r="U87" s="67"/>
      <c r="V87" s="67"/>
      <c r="W87" s="67"/>
      <c r="X87" s="114" t="str">
        <f t="shared" si="81"/>
        <v> </v>
      </c>
      <c r="Y87" s="114" t="str">
        <f t="shared" si="82"/>
        <v> </v>
      </c>
      <c r="Z87" s="114" t="str">
        <f t="shared" si="83"/>
        <v> </v>
      </c>
      <c r="AA87" s="114" t="str">
        <f t="shared" si="84"/>
        <v> </v>
      </c>
      <c r="AB87" s="114">
        <f t="shared" si="85"/>
        <v>1</v>
      </c>
      <c r="AC87" s="85"/>
      <c r="AG87" s="86"/>
    </row>
    <row r="88" ht="12.75" customHeight="1">
      <c r="A88" s="1"/>
      <c r="B88" s="115"/>
      <c r="C88" s="122" t="s">
        <v>122</v>
      </c>
      <c r="D88" s="117">
        <v>0.95</v>
      </c>
      <c r="E88" s="118">
        <v>1.0</v>
      </c>
      <c r="F88" s="119">
        <v>1.0</v>
      </c>
      <c r="G88" s="120">
        <f>'Start Here'!$F$22*D88</f>
        <v>95</v>
      </c>
      <c r="H88" s="138"/>
      <c r="I88" s="165"/>
      <c r="J88" s="166"/>
      <c r="K88" s="165"/>
      <c r="L88" s="166">
        <f t="shared" si="79"/>
        <v>1</v>
      </c>
      <c r="M88" s="165">
        <f t="shared" si="80"/>
        <v>95</v>
      </c>
      <c r="N88" s="67"/>
      <c r="O88" s="67"/>
      <c r="P88" s="67"/>
      <c r="Q88" s="67"/>
      <c r="R88" s="67"/>
      <c r="S88" s="67"/>
      <c r="T88" s="67"/>
      <c r="U88" s="67"/>
      <c r="V88" s="67"/>
      <c r="W88" s="67"/>
      <c r="X88" s="114" t="str">
        <f t="shared" si="81"/>
        <v> </v>
      </c>
      <c r="Y88" s="114" t="str">
        <f t="shared" si="82"/>
        <v> </v>
      </c>
      <c r="Z88" s="114" t="str">
        <f t="shared" si="83"/>
        <v> </v>
      </c>
      <c r="AA88" s="114" t="str">
        <f t="shared" si="84"/>
        <v> </v>
      </c>
      <c r="AB88" s="114">
        <f t="shared" si="85"/>
        <v>1</v>
      </c>
      <c r="AC88" s="85"/>
      <c r="AG88" s="86"/>
    </row>
    <row r="89" ht="12.75" customHeight="1">
      <c r="A89" s="1"/>
      <c r="B89" s="115"/>
      <c r="C89" s="122" t="s">
        <v>122</v>
      </c>
      <c r="D89" s="117" t="s">
        <v>124</v>
      </c>
      <c r="E89" s="118">
        <v>1.0</v>
      </c>
      <c r="F89" s="119" t="s">
        <v>125</v>
      </c>
      <c r="G89" s="120" t="str">
        <f>'Start Here'!$F$23*MID(D89,1,4)&amp;"-"&amp;'Start Here'!$F$23*MID(D89,6,8)</f>
        <v>100-105</v>
      </c>
      <c r="H89" s="138"/>
      <c r="I89" s="165"/>
      <c r="J89" s="166"/>
      <c r="K89" s="165"/>
      <c r="L89" s="166">
        <v>3.0</v>
      </c>
      <c r="M89" s="165">
        <v>300.0</v>
      </c>
      <c r="N89" s="67"/>
      <c r="O89" s="67"/>
      <c r="P89" s="67"/>
      <c r="Q89" s="67"/>
      <c r="R89" s="67"/>
      <c r="S89" s="67"/>
      <c r="T89" s="67"/>
      <c r="U89" s="67"/>
      <c r="V89" s="67"/>
      <c r="W89" s="67"/>
      <c r="X89" s="114" t="str">
        <f t="shared" si="81"/>
        <v> </v>
      </c>
      <c r="Y89" s="114" t="str">
        <f t="shared" si="82"/>
        <v> </v>
      </c>
      <c r="Z89" s="114" t="str">
        <f t="shared" si="83"/>
        <v> </v>
      </c>
      <c r="AA89" s="114" t="str">
        <f t="shared" si="84"/>
        <v> </v>
      </c>
      <c r="AB89" s="114">
        <v>3.0</v>
      </c>
      <c r="AC89" s="85"/>
      <c r="AG89" s="86"/>
    </row>
    <row r="90" ht="12.75" customHeight="1">
      <c r="A90" s="1"/>
      <c r="B90" s="96">
        <v>3.0</v>
      </c>
      <c r="C90" s="167" t="s">
        <v>69</v>
      </c>
      <c r="D90" s="168"/>
      <c r="E90" s="169">
        <v>6.0</v>
      </c>
      <c r="F90" s="169">
        <v>4.0</v>
      </c>
      <c r="G90" s="170"/>
      <c r="H90" s="138"/>
      <c r="I90" s="165"/>
      <c r="J90" s="166"/>
      <c r="K90" s="165"/>
      <c r="L90" s="166"/>
      <c r="M90" s="165"/>
      <c r="N90" s="67"/>
      <c r="O90" s="67"/>
      <c r="P90" s="67"/>
      <c r="Q90" s="67"/>
      <c r="R90" s="67"/>
      <c r="S90" s="67"/>
      <c r="T90" s="67"/>
      <c r="U90" s="67"/>
      <c r="V90" s="67"/>
      <c r="W90" s="67"/>
      <c r="X90" s="67"/>
      <c r="Y90" s="67"/>
      <c r="Z90" s="67"/>
      <c r="AA90" s="67"/>
      <c r="AB90" s="67"/>
      <c r="AC90" s="85"/>
      <c r="AG90" s="86"/>
    </row>
    <row r="91" ht="12.75" customHeight="1">
      <c r="A91" s="1"/>
      <c r="B91" s="100">
        <v>4.0</v>
      </c>
      <c r="C91" s="171" t="s">
        <v>95</v>
      </c>
      <c r="D91" s="172"/>
      <c r="E91" s="102">
        <v>6.0</v>
      </c>
      <c r="F91" s="173">
        <v>4.0</v>
      </c>
      <c r="G91" s="174"/>
      <c r="H91" s="138"/>
      <c r="I91" s="165"/>
      <c r="J91" s="166"/>
      <c r="K91" s="165"/>
      <c r="L91" s="166"/>
      <c r="M91" s="165"/>
      <c r="N91" s="67"/>
      <c r="O91" s="67"/>
      <c r="P91" s="67"/>
      <c r="Q91" s="67"/>
      <c r="R91" s="67"/>
      <c r="S91" s="67"/>
      <c r="T91" s="67"/>
      <c r="U91" s="67"/>
      <c r="V91" s="67"/>
      <c r="W91" s="67"/>
      <c r="X91" s="67"/>
      <c r="Y91" s="67"/>
      <c r="Z91" s="67"/>
      <c r="AA91" s="67"/>
      <c r="AB91" s="67"/>
      <c r="AC91" s="104"/>
      <c r="AD91" s="105"/>
      <c r="AE91" s="105"/>
      <c r="AF91" s="105"/>
      <c r="AG91" s="106"/>
    </row>
    <row r="92" ht="12.75" customHeight="1">
      <c r="A92" s="1"/>
      <c r="B92" s="67"/>
      <c r="C92" s="136"/>
      <c r="D92" s="137"/>
      <c r="E92" s="138"/>
      <c r="F92" s="138"/>
      <c r="G92" s="138"/>
      <c r="H92" s="138"/>
      <c r="I92" s="165"/>
      <c r="J92" s="166"/>
      <c r="K92" s="165"/>
      <c r="L92" s="166"/>
      <c r="M92" s="165"/>
      <c r="N92" s="67"/>
      <c r="O92" s="67"/>
      <c r="P92" s="67"/>
      <c r="Q92" s="67"/>
      <c r="R92" s="67"/>
      <c r="S92" s="67"/>
      <c r="T92" s="67"/>
      <c r="U92" s="67"/>
      <c r="V92" s="67"/>
      <c r="W92" s="67"/>
      <c r="X92" s="67"/>
      <c r="Y92" s="67"/>
      <c r="Z92" s="67"/>
      <c r="AA92" s="67"/>
      <c r="AB92" s="67"/>
      <c r="AC92" s="67"/>
      <c r="AD92" s="67"/>
      <c r="AE92" s="67"/>
      <c r="AF92" s="67"/>
      <c r="AG92" s="67"/>
    </row>
    <row r="93" ht="33.75" customHeight="1">
      <c r="A93" s="1"/>
      <c r="B93" s="68" t="s">
        <v>54</v>
      </c>
      <c r="D93" s="137" t="s">
        <v>34</v>
      </c>
      <c r="E93" s="138" t="s">
        <v>35</v>
      </c>
      <c r="F93" s="138" t="s">
        <v>36</v>
      </c>
      <c r="G93" s="138" t="s">
        <v>37</v>
      </c>
      <c r="H93" s="138"/>
      <c r="I93" s="165"/>
      <c r="J93" s="166"/>
      <c r="K93" s="165"/>
      <c r="L93" s="166"/>
      <c r="M93" s="165"/>
      <c r="N93" s="67"/>
      <c r="O93" s="67"/>
      <c r="P93" s="67"/>
      <c r="Q93" s="67"/>
      <c r="R93" s="67"/>
      <c r="S93" s="67"/>
      <c r="T93" s="67"/>
      <c r="U93" s="67"/>
      <c r="V93" s="67"/>
      <c r="W93" s="67"/>
      <c r="X93" s="67"/>
      <c r="Y93" s="67"/>
      <c r="Z93" s="67"/>
      <c r="AA93" s="67"/>
      <c r="AB93" s="67"/>
      <c r="AC93" s="67" t="s">
        <v>43</v>
      </c>
      <c r="AD93" s="67"/>
      <c r="AE93" s="67"/>
      <c r="AF93" s="67"/>
      <c r="AG93" s="67"/>
    </row>
    <row r="94" ht="12.75" customHeight="1">
      <c r="A94" s="1"/>
      <c r="B94" s="69">
        <v>1.0</v>
      </c>
      <c r="C94" s="70" t="s">
        <v>46</v>
      </c>
      <c r="D94" s="71">
        <v>0.5</v>
      </c>
      <c r="E94" s="145">
        <v>5.0</v>
      </c>
      <c r="F94" s="72">
        <v>1.0</v>
      </c>
      <c r="G94" s="73">
        <f>'Start Here'!$F$21*D94</f>
        <v>50</v>
      </c>
      <c r="H94" s="138">
        <f t="shared" ref="H94:H97" si="86">E94*F94</f>
        <v>5</v>
      </c>
      <c r="I94" s="165">
        <f t="shared" ref="I94:I97" si="87">G94*H94</f>
        <v>250</v>
      </c>
      <c r="J94" s="166"/>
      <c r="K94" s="165"/>
      <c r="L94" s="166"/>
      <c r="M94" s="165"/>
      <c r="N94" s="75">
        <f t="shared" ref="N94:N97" si="88">IF(ISNUMBER(SEARCH("squat",$C94)),IF($D94&gt;=0.5,IF($D94&lt;0.6,$E94*$F94," ")," ")," ")</f>
        <v>5</v>
      </c>
      <c r="O94" s="75" t="str">
        <f t="shared" ref="O94:O97" si="89">IF(ISNUMBER(SEARCH("squat",$C94)),IF($D94&gt;=0.6,IF($D94&lt;0.7,$E94*$F94," ")," ")," ")</f>
        <v> </v>
      </c>
      <c r="P94" s="75" t="str">
        <f t="shared" ref="P94:P97" si="90">IF(ISNUMBER(SEARCH("squat",$C94)),IF($D94&gt;=0.7,IF($D94&lt;0.8,$E94*$F94," ")," ")," ")</f>
        <v> </v>
      </c>
      <c r="Q94" s="75" t="str">
        <f t="shared" ref="Q94:Q97" si="91">IF(ISNUMBER(SEARCH("squat",$C94)),IF($D94&gt;=0.8,IF($D94&lt;0.9,$E94*$F94," ")," ")," ")</f>
        <v> </v>
      </c>
      <c r="R94" s="75" t="str">
        <f t="shared" ref="R94:R97" si="92">IF(ISNUMBER(SEARCH("squat",$C94)),IF($D94&gt;=0.9,$E94*$F94," ")," ")</f>
        <v> </v>
      </c>
      <c r="S94" s="67"/>
      <c r="T94" s="67"/>
      <c r="U94" s="67"/>
      <c r="V94" s="67"/>
      <c r="W94" s="67"/>
      <c r="X94" s="67"/>
      <c r="Y94" s="67"/>
      <c r="Z94" s="67"/>
      <c r="AA94" s="67"/>
      <c r="AB94" s="67"/>
      <c r="AC94" s="76"/>
      <c r="AD94" s="77"/>
      <c r="AE94" s="77"/>
      <c r="AF94" s="77"/>
      <c r="AG94" s="78"/>
    </row>
    <row r="95" ht="12.75" customHeight="1">
      <c r="A95" s="1"/>
      <c r="B95" s="79"/>
      <c r="C95" s="80" t="s">
        <v>46</v>
      </c>
      <c r="D95" s="81">
        <v>0.6</v>
      </c>
      <c r="E95" s="82">
        <v>4.0</v>
      </c>
      <c r="F95" s="83">
        <v>1.0</v>
      </c>
      <c r="G95" s="84">
        <f>'Start Here'!$F$21*D95</f>
        <v>60</v>
      </c>
      <c r="H95" s="138">
        <f t="shared" si="86"/>
        <v>4</v>
      </c>
      <c r="I95" s="165">
        <f t="shared" si="87"/>
        <v>240</v>
      </c>
      <c r="J95" s="166"/>
      <c r="K95" s="165"/>
      <c r="L95" s="166"/>
      <c r="M95" s="165"/>
      <c r="N95" s="75" t="str">
        <f t="shared" si="88"/>
        <v> </v>
      </c>
      <c r="O95" s="75">
        <f t="shared" si="89"/>
        <v>4</v>
      </c>
      <c r="P95" s="75" t="str">
        <f t="shared" si="90"/>
        <v> </v>
      </c>
      <c r="Q95" s="75" t="str">
        <f t="shared" si="91"/>
        <v> </v>
      </c>
      <c r="R95" s="75" t="str">
        <f t="shared" si="92"/>
        <v> </v>
      </c>
      <c r="S95" s="67"/>
      <c r="T95" s="67"/>
      <c r="U95" s="67"/>
      <c r="V95" s="67"/>
      <c r="W95" s="67"/>
      <c r="X95" s="67"/>
      <c r="Y95" s="67"/>
      <c r="Z95" s="67"/>
      <c r="AA95" s="67"/>
      <c r="AB95" s="67"/>
      <c r="AC95" s="85"/>
      <c r="AG95" s="86"/>
    </row>
    <row r="96" ht="12.75" customHeight="1">
      <c r="A96" s="1"/>
      <c r="B96" s="79"/>
      <c r="C96" s="80" t="s">
        <v>46</v>
      </c>
      <c r="D96" s="81">
        <v>0.7</v>
      </c>
      <c r="E96" s="82">
        <v>3.0</v>
      </c>
      <c r="F96" s="83">
        <v>1.0</v>
      </c>
      <c r="G96" s="84">
        <f>'Start Here'!$F$21*D96</f>
        <v>70</v>
      </c>
      <c r="H96" s="138">
        <f t="shared" si="86"/>
        <v>3</v>
      </c>
      <c r="I96" s="165">
        <f t="shared" si="87"/>
        <v>210</v>
      </c>
      <c r="J96" s="166"/>
      <c r="K96" s="165"/>
      <c r="L96" s="166"/>
      <c r="M96" s="165"/>
      <c r="N96" s="75" t="str">
        <f t="shared" si="88"/>
        <v> </v>
      </c>
      <c r="O96" s="75" t="str">
        <f t="shared" si="89"/>
        <v> </v>
      </c>
      <c r="P96" s="75">
        <f t="shared" si="90"/>
        <v>3</v>
      </c>
      <c r="Q96" s="75" t="str">
        <f t="shared" si="91"/>
        <v> </v>
      </c>
      <c r="R96" s="75" t="str">
        <f t="shared" si="92"/>
        <v> </v>
      </c>
      <c r="S96" s="67"/>
      <c r="T96" s="67"/>
      <c r="U96" s="67"/>
      <c r="V96" s="67"/>
      <c r="W96" s="67"/>
      <c r="X96" s="67"/>
      <c r="Y96" s="67"/>
      <c r="Z96" s="67"/>
      <c r="AA96" s="67"/>
      <c r="AB96" s="67"/>
      <c r="AC96" s="85"/>
      <c r="AG96" s="86"/>
    </row>
    <row r="97" ht="12.75" customHeight="1">
      <c r="A97" s="1"/>
      <c r="B97" s="79"/>
      <c r="C97" s="80" t="s">
        <v>46</v>
      </c>
      <c r="D97" s="81">
        <v>0.8</v>
      </c>
      <c r="E97" s="82">
        <v>2.0</v>
      </c>
      <c r="F97" s="83">
        <v>4.0</v>
      </c>
      <c r="G97" s="84">
        <f>'Start Here'!$F$21*D97</f>
        <v>80</v>
      </c>
      <c r="H97" s="138">
        <f t="shared" si="86"/>
        <v>8</v>
      </c>
      <c r="I97" s="165">
        <f t="shared" si="87"/>
        <v>640</v>
      </c>
      <c r="J97" s="166"/>
      <c r="K97" s="165"/>
      <c r="L97" s="166"/>
      <c r="M97" s="165"/>
      <c r="N97" s="75" t="str">
        <f t="shared" si="88"/>
        <v> </v>
      </c>
      <c r="O97" s="75" t="str">
        <f t="shared" si="89"/>
        <v> </v>
      </c>
      <c r="P97" s="75" t="str">
        <f t="shared" si="90"/>
        <v> </v>
      </c>
      <c r="Q97" s="75">
        <f t="shared" si="91"/>
        <v>8</v>
      </c>
      <c r="R97" s="75" t="str">
        <f t="shared" si="92"/>
        <v> </v>
      </c>
      <c r="S97" s="67"/>
      <c r="T97" s="67"/>
      <c r="U97" s="67"/>
      <c r="V97" s="67"/>
      <c r="W97" s="67"/>
      <c r="X97" s="67"/>
      <c r="Y97" s="67"/>
      <c r="Z97" s="67"/>
      <c r="AA97" s="67"/>
      <c r="AB97" s="67"/>
      <c r="AC97" s="85"/>
      <c r="AG97" s="86"/>
    </row>
    <row r="98" ht="12.75" customHeight="1">
      <c r="A98" s="1"/>
      <c r="B98" s="87">
        <v>2.0</v>
      </c>
      <c r="C98" s="88" t="s">
        <v>45</v>
      </c>
      <c r="D98" s="89">
        <v>0.5</v>
      </c>
      <c r="E98" s="90">
        <v>5.0</v>
      </c>
      <c r="F98" s="91">
        <v>1.0</v>
      </c>
      <c r="G98" s="92">
        <f>'Start Here'!$F$22*D98</f>
        <v>50</v>
      </c>
      <c r="H98" s="138"/>
      <c r="I98" s="165"/>
      <c r="J98" s="166">
        <f t="shared" ref="J98:J101" si="93">E98*F98</f>
        <v>5</v>
      </c>
      <c r="K98" s="165">
        <f t="shared" ref="K98:K101" si="94">G98*J98</f>
        <v>250</v>
      </c>
      <c r="L98" s="166"/>
      <c r="M98" s="165"/>
      <c r="N98" s="67"/>
      <c r="O98" s="67"/>
      <c r="P98" s="67"/>
      <c r="Q98" s="67"/>
      <c r="R98" s="67"/>
      <c r="S98" s="93">
        <f t="shared" ref="S98:S101" si="95">IF(ISNUMBER(SEARCH("bench",$C98)),IF($D98&gt;=0.5,IF($D98&lt;0.6,$E98*$F98," ")," ")," ")</f>
        <v>5</v>
      </c>
      <c r="T98" s="93" t="str">
        <f t="shared" ref="T98:T101" si="96">IF(ISNUMBER(SEARCH("bench",$C98)),IF($D98&gt;=0.6,IF($D98&lt;0.7,$E98*$F98," ")," ")," ")</f>
        <v> </v>
      </c>
      <c r="U98" s="93" t="str">
        <f t="shared" ref="U98:U101" si="97">IF(ISNUMBER(SEARCH("bench",$C98)),IF($D98&gt;=0.7,IF($D98&lt;0.8,$E98*$F98," ")," ")," ")</f>
        <v> </v>
      </c>
      <c r="V98" s="93" t="str">
        <f t="shared" ref="V98:V101" si="98">IF(ISNUMBER(SEARCH("bench",$C98)),IF($D98&gt;=0.8,IF($D98&lt;0.9,$E98*$F98," ")," ")," ")</f>
        <v> </v>
      </c>
      <c r="W98" s="93" t="str">
        <f t="shared" ref="W98:W101" si="99">IF(ISNUMBER(SEARCH("bench",$C98)),IF($D98&gt;=0.9,$E98*$F98," ")," ")</f>
        <v> </v>
      </c>
      <c r="X98" s="67"/>
      <c r="Y98" s="67"/>
      <c r="Z98" s="67"/>
      <c r="AA98" s="67"/>
      <c r="AB98" s="67"/>
      <c r="AC98" s="85"/>
      <c r="AG98" s="86"/>
    </row>
    <row r="99" ht="12.75" customHeight="1">
      <c r="A99" s="1"/>
      <c r="B99" s="87"/>
      <c r="C99" s="94" t="s">
        <v>45</v>
      </c>
      <c r="D99" s="89">
        <v>0.6</v>
      </c>
      <c r="E99" s="90">
        <v>4.0</v>
      </c>
      <c r="F99" s="91">
        <v>1.0</v>
      </c>
      <c r="G99" s="92">
        <f>'Start Here'!$F$22*D99</f>
        <v>60</v>
      </c>
      <c r="H99" s="138"/>
      <c r="I99" s="165"/>
      <c r="J99" s="166">
        <f t="shared" si="93"/>
        <v>4</v>
      </c>
      <c r="K99" s="165">
        <f t="shared" si="94"/>
        <v>240</v>
      </c>
      <c r="L99" s="166"/>
      <c r="M99" s="165"/>
      <c r="N99" s="67"/>
      <c r="O99" s="67"/>
      <c r="P99" s="67"/>
      <c r="Q99" s="67"/>
      <c r="R99" s="67"/>
      <c r="S99" s="93" t="str">
        <f t="shared" si="95"/>
        <v> </v>
      </c>
      <c r="T99" s="93">
        <f t="shared" si="96"/>
        <v>4</v>
      </c>
      <c r="U99" s="93" t="str">
        <f t="shared" si="97"/>
        <v> </v>
      </c>
      <c r="V99" s="93" t="str">
        <f t="shared" si="98"/>
        <v> </v>
      </c>
      <c r="W99" s="93" t="str">
        <f t="shared" si="99"/>
        <v> </v>
      </c>
      <c r="X99" s="67"/>
      <c r="Y99" s="67"/>
      <c r="Z99" s="67"/>
      <c r="AA99" s="67"/>
      <c r="AB99" s="67"/>
      <c r="AC99" s="85"/>
      <c r="AG99" s="86"/>
    </row>
    <row r="100" ht="12.75" customHeight="1">
      <c r="A100" s="1"/>
      <c r="B100" s="87"/>
      <c r="C100" s="94" t="s">
        <v>45</v>
      </c>
      <c r="D100" s="89">
        <v>0.7</v>
      </c>
      <c r="E100" s="90">
        <v>3.0</v>
      </c>
      <c r="F100" s="91">
        <v>1.0</v>
      </c>
      <c r="G100" s="92">
        <f>'Start Here'!$F$22*D100</f>
        <v>70</v>
      </c>
      <c r="H100" s="138"/>
      <c r="I100" s="165"/>
      <c r="J100" s="166">
        <f t="shared" si="93"/>
        <v>3</v>
      </c>
      <c r="K100" s="165">
        <f t="shared" si="94"/>
        <v>210</v>
      </c>
      <c r="L100" s="166"/>
      <c r="M100" s="165"/>
      <c r="N100" s="67"/>
      <c r="O100" s="67"/>
      <c r="P100" s="67"/>
      <c r="Q100" s="67"/>
      <c r="R100" s="67"/>
      <c r="S100" s="93" t="str">
        <f t="shared" si="95"/>
        <v> </v>
      </c>
      <c r="T100" s="93" t="str">
        <f t="shared" si="96"/>
        <v> </v>
      </c>
      <c r="U100" s="93">
        <f t="shared" si="97"/>
        <v>3</v>
      </c>
      <c r="V100" s="93" t="str">
        <f t="shared" si="98"/>
        <v> </v>
      </c>
      <c r="W100" s="93" t="str">
        <f t="shared" si="99"/>
        <v> </v>
      </c>
      <c r="X100" s="67"/>
      <c r="Y100" s="67"/>
      <c r="Z100" s="67"/>
      <c r="AA100" s="67"/>
      <c r="AB100" s="67"/>
      <c r="AC100" s="85"/>
      <c r="AG100" s="86"/>
    </row>
    <row r="101" ht="12.75" customHeight="1">
      <c r="A101" s="1"/>
      <c r="B101" s="87"/>
      <c r="C101" s="94" t="s">
        <v>45</v>
      </c>
      <c r="D101" s="89">
        <v>0.75</v>
      </c>
      <c r="E101" s="90">
        <v>3.0</v>
      </c>
      <c r="F101" s="91">
        <v>5.0</v>
      </c>
      <c r="G101" s="92">
        <f>'Start Here'!$F$22*D101</f>
        <v>75</v>
      </c>
      <c r="H101" s="138"/>
      <c r="I101" s="165"/>
      <c r="J101" s="166">
        <f t="shared" si="93"/>
        <v>15</v>
      </c>
      <c r="K101" s="165">
        <f t="shared" si="94"/>
        <v>1125</v>
      </c>
      <c r="L101" s="166"/>
      <c r="M101" s="165"/>
      <c r="N101" s="67"/>
      <c r="O101" s="67"/>
      <c r="P101" s="67"/>
      <c r="Q101" s="67"/>
      <c r="R101" s="67"/>
      <c r="S101" s="93" t="str">
        <f t="shared" si="95"/>
        <v> </v>
      </c>
      <c r="T101" s="93" t="str">
        <f t="shared" si="96"/>
        <v> </v>
      </c>
      <c r="U101" s="93">
        <f t="shared" si="97"/>
        <v>15</v>
      </c>
      <c r="V101" s="93" t="str">
        <f t="shared" si="98"/>
        <v> </v>
      </c>
      <c r="W101" s="93" t="str">
        <f t="shared" si="99"/>
        <v> </v>
      </c>
      <c r="X101" s="67"/>
      <c r="Y101" s="67"/>
      <c r="Z101" s="67"/>
      <c r="AA101" s="67"/>
      <c r="AB101" s="67"/>
      <c r="AC101" s="85"/>
      <c r="AG101" s="86"/>
    </row>
    <row r="102" ht="12.75" customHeight="1">
      <c r="A102" s="1"/>
      <c r="B102" s="79">
        <v>4.0</v>
      </c>
      <c r="C102" s="95" t="s">
        <v>46</v>
      </c>
      <c r="D102" s="81">
        <v>0.5</v>
      </c>
      <c r="E102" s="82">
        <v>5.0</v>
      </c>
      <c r="F102" s="83">
        <v>1.0</v>
      </c>
      <c r="G102" s="84">
        <f>'Start Here'!$F$21*D102</f>
        <v>50</v>
      </c>
      <c r="H102" s="138">
        <f t="shared" ref="H102:H104" si="100">E102*F102</f>
        <v>5</v>
      </c>
      <c r="I102" s="165">
        <f t="shared" ref="I102:I104" si="101">G102*H102</f>
        <v>250</v>
      </c>
      <c r="J102" s="166"/>
      <c r="K102" s="165"/>
      <c r="L102" s="166"/>
      <c r="M102" s="165"/>
      <c r="N102" s="75">
        <f t="shared" ref="N102:N104" si="102">IF(ISNUMBER(SEARCH("squat",$C102)),IF($D102&gt;=0.5,IF($D102&lt;0.6,$E102*$F102," ")," ")," ")</f>
        <v>5</v>
      </c>
      <c r="O102" s="75" t="str">
        <f t="shared" ref="O102:O104" si="103">IF(ISNUMBER(SEARCH("squat",$C102)),IF($D102&gt;=0.6,IF($D102&lt;0.7,$E102*$F102," ")," ")," ")</f>
        <v> </v>
      </c>
      <c r="P102" s="75" t="str">
        <f t="shared" ref="P102:P104" si="104">IF(ISNUMBER(SEARCH("squat",$C102)),IF($D102&gt;=0.7,IF($D102&lt;0.8,$E102*$F102," ")," ")," ")</f>
        <v> </v>
      </c>
      <c r="Q102" s="75" t="str">
        <f t="shared" ref="Q102:Q104" si="105">IF(ISNUMBER(SEARCH("squat",$C102)),IF($D102&gt;=0.8,IF($D102&lt;0.9,$E102*$F102," ")," ")," ")</f>
        <v> </v>
      </c>
      <c r="R102" s="75" t="str">
        <f t="shared" ref="R102:R104" si="106">IF(ISNUMBER(SEARCH("squat",$C102)),IF($D102&gt;=0.9,$E102*$F102," ")," ")</f>
        <v> </v>
      </c>
      <c r="S102" s="67"/>
      <c r="T102" s="67"/>
      <c r="U102" s="67"/>
      <c r="V102" s="67"/>
      <c r="W102" s="67"/>
      <c r="X102" s="67"/>
      <c r="Y102" s="67"/>
      <c r="Z102" s="67"/>
      <c r="AA102" s="67"/>
      <c r="AB102" s="67"/>
      <c r="AC102" s="85"/>
      <c r="AG102" s="86"/>
    </row>
    <row r="103" ht="12.75" customHeight="1">
      <c r="A103" s="1"/>
      <c r="B103" s="79"/>
      <c r="C103" s="80" t="s">
        <v>46</v>
      </c>
      <c r="D103" s="81">
        <v>0.6</v>
      </c>
      <c r="E103" s="82">
        <v>5.0</v>
      </c>
      <c r="F103" s="83">
        <v>1.0</v>
      </c>
      <c r="G103" s="84">
        <f>'Start Here'!$F$21*D103</f>
        <v>60</v>
      </c>
      <c r="H103" s="138">
        <f t="shared" si="100"/>
        <v>5</v>
      </c>
      <c r="I103" s="165">
        <f t="shared" si="101"/>
        <v>300</v>
      </c>
      <c r="J103" s="166"/>
      <c r="K103" s="165"/>
      <c r="L103" s="166"/>
      <c r="M103" s="165"/>
      <c r="N103" s="75" t="str">
        <f t="shared" si="102"/>
        <v> </v>
      </c>
      <c r="O103" s="75">
        <f t="shared" si="103"/>
        <v>5</v>
      </c>
      <c r="P103" s="75" t="str">
        <f t="shared" si="104"/>
        <v> </v>
      </c>
      <c r="Q103" s="75" t="str">
        <f t="shared" si="105"/>
        <v> </v>
      </c>
      <c r="R103" s="75" t="str">
        <f t="shared" si="106"/>
        <v> </v>
      </c>
      <c r="S103" s="67"/>
      <c r="T103" s="67"/>
      <c r="U103" s="67"/>
      <c r="V103" s="67"/>
      <c r="W103" s="67"/>
      <c r="X103" s="67"/>
      <c r="Y103" s="67"/>
      <c r="Z103" s="67"/>
      <c r="AA103" s="67"/>
      <c r="AB103" s="67"/>
      <c r="AC103" s="85"/>
      <c r="AG103" s="86"/>
    </row>
    <row r="104" ht="12.75" customHeight="1">
      <c r="A104" s="1"/>
      <c r="B104" s="79"/>
      <c r="C104" s="80" t="s">
        <v>46</v>
      </c>
      <c r="D104" s="81">
        <v>0.7</v>
      </c>
      <c r="E104" s="82">
        <v>5.0</v>
      </c>
      <c r="F104" s="83">
        <v>4.0</v>
      </c>
      <c r="G104" s="84">
        <f>'Start Here'!$F$21*D104</f>
        <v>70</v>
      </c>
      <c r="H104" s="138">
        <f t="shared" si="100"/>
        <v>20</v>
      </c>
      <c r="I104" s="165">
        <f t="shared" si="101"/>
        <v>1400</v>
      </c>
      <c r="J104" s="166"/>
      <c r="K104" s="165"/>
      <c r="L104" s="166"/>
      <c r="M104" s="165"/>
      <c r="N104" s="75" t="str">
        <f t="shared" si="102"/>
        <v> </v>
      </c>
      <c r="O104" s="75" t="str">
        <f t="shared" si="103"/>
        <v> </v>
      </c>
      <c r="P104" s="75">
        <f t="shared" si="104"/>
        <v>20</v>
      </c>
      <c r="Q104" s="75" t="str">
        <f t="shared" si="105"/>
        <v> </v>
      </c>
      <c r="R104" s="75" t="str">
        <f t="shared" si="106"/>
        <v> </v>
      </c>
      <c r="S104" s="67"/>
      <c r="T104" s="67"/>
      <c r="U104" s="67"/>
      <c r="V104" s="67"/>
      <c r="W104" s="67"/>
      <c r="X104" s="67"/>
      <c r="Y104" s="67"/>
      <c r="Z104" s="67"/>
      <c r="AA104" s="67"/>
      <c r="AB104" s="67"/>
      <c r="AC104" s="85"/>
      <c r="AG104" s="86"/>
    </row>
    <row r="105" ht="12.75" customHeight="1">
      <c r="A105" s="1"/>
      <c r="B105" s="96">
        <v>3.0</v>
      </c>
      <c r="C105" s="167" t="s">
        <v>92</v>
      </c>
      <c r="D105" s="168"/>
      <c r="E105" s="98">
        <v>8.0</v>
      </c>
      <c r="F105" s="169">
        <v>5.0</v>
      </c>
      <c r="G105" s="170"/>
      <c r="H105" s="138"/>
      <c r="I105" s="165"/>
      <c r="J105" s="166"/>
      <c r="K105" s="165"/>
      <c r="L105" s="166"/>
      <c r="M105" s="165"/>
      <c r="N105" s="67"/>
      <c r="O105" s="67"/>
      <c r="P105" s="67"/>
      <c r="Q105" s="67"/>
      <c r="R105" s="67"/>
      <c r="S105" s="67"/>
      <c r="T105" s="67"/>
      <c r="U105" s="67"/>
      <c r="V105" s="67"/>
      <c r="W105" s="67"/>
      <c r="X105" s="67"/>
      <c r="Y105" s="67"/>
      <c r="Z105" s="67"/>
      <c r="AA105" s="67"/>
      <c r="AB105" s="67"/>
      <c r="AC105" s="85"/>
      <c r="AG105" s="86"/>
    </row>
    <row r="106" ht="12.75" customHeight="1">
      <c r="A106" s="1"/>
      <c r="B106" s="175">
        <v>4.0</v>
      </c>
      <c r="C106" s="176" t="s">
        <v>48</v>
      </c>
      <c r="D106" s="177"/>
      <c r="E106" s="178">
        <v>8.0</v>
      </c>
      <c r="F106" s="179">
        <v>4.0</v>
      </c>
      <c r="G106" s="180"/>
      <c r="H106" s="138"/>
      <c r="I106" s="165"/>
      <c r="J106" s="166"/>
      <c r="K106" s="165"/>
      <c r="L106" s="166"/>
      <c r="M106" s="165"/>
      <c r="N106" s="67"/>
      <c r="O106" s="67"/>
      <c r="P106" s="67"/>
      <c r="Q106" s="67"/>
      <c r="R106" s="67"/>
      <c r="S106" s="67"/>
      <c r="T106" s="67"/>
      <c r="U106" s="67"/>
      <c r="V106" s="67"/>
      <c r="W106" s="67"/>
      <c r="X106" s="67"/>
      <c r="Y106" s="67"/>
      <c r="Z106" s="67"/>
      <c r="AA106" s="67"/>
      <c r="AB106" s="67"/>
      <c r="AC106" s="104"/>
      <c r="AD106" s="105"/>
      <c r="AE106" s="105"/>
      <c r="AF106" s="105"/>
      <c r="AG106" s="106"/>
    </row>
    <row r="107" ht="12.75" customHeight="1">
      <c r="A107" s="1"/>
      <c r="B107" s="67"/>
      <c r="C107" s="136"/>
      <c r="D107" s="137"/>
      <c r="E107" s="138"/>
      <c r="F107" s="138"/>
      <c r="G107" s="138"/>
      <c r="H107" s="138"/>
      <c r="I107" s="165"/>
      <c r="J107" s="166"/>
      <c r="K107" s="165"/>
      <c r="L107" s="166"/>
      <c r="M107" s="165"/>
      <c r="N107" s="67"/>
      <c r="O107" s="67"/>
      <c r="P107" s="67"/>
      <c r="Q107" s="67"/>
      <c r="R107" s="67"/>
      <c r="S107" s="67"/>
      <c r="T107" s="67"/>
      <c r="U107" s="67"/>
      <c r="V107" s="67"/>
      <c r="W107" s="67"/>
      <c r="X107" s="67"/>
      <c r="Y107" s="67"/>
      <c r="Z107" s="67"/>
      <c r="AA107" s="67"/>
      <c r="AB107" s="67"/>
      <c r="AC107" s="67"/>
      <c r="AD107" s="67"/>
      <c r="AE107" s="67"/>
      <c r="AF107" s="67"/>
      <c r="AG107" s="67"/>
    </row>
    <row r="108" ht="30.75" customHeight="1">
      <c r="A108" s="1"/>
      <c r="B108" s="68" t="s">
        <v>58</v>
      </c>
      <c r="D108" s="137" t="s">
        <v>34</v>
      </c>
      <c r="E108" s="138" t="s">
        <v>35</v>
      </c>
      <c r="F108" s="138" t="s">
        <v>36</v>
      </c>
      <c r="G108" s="138" t="s">
        <v>37</v>
      </c>
      <c r="H108" s="138"/>
      <c r="I108" s="165"/>
      <c r="J108" s="166"/>
      <c r="K108" s="165"/>
      <c r="L108" s="166"/>
      <c r="M108" s="165"/>
      <c r="N108" s="67"/>
      <c r="O108" s="67"/>
      <c r="P108" s="67"/>
      <c r="Q108" s="67"/>
      <c r="R108" s="67"/>
      <c r="S108" s="67"/>
      <c r="T108" s="67"/>
      <c r="U108" s="67"/>
      <c r="V108" s="67"/>
      <c r="W108" s="67"/>
      <c r="X108" s="67"/>
      <c r="Y108" s="67"/>
      <c r="Z108" s="67"/>
      <c r="AA108" s="67"/>
      <c r="AB108" s="67"/>
      <c r="AC108" s="67" t="s">
        <v>43</v>
      </c>
      <c r="AD108" s="67"/>
      <c r="AE108" s="67"/>
      <c r="AF108" s="67"/>
      <c r="AG108" s="67"/>
    </row>
    <row r="109" ht="12.75" customHeight="1">
      <c r="A109" s="1"/>
      <c r="B109" s="107">
        <v>1.0</v>
      </c>
      <c r="C109" s="108" t="s">
        <v>113</v>
      </c>
      <c r="D109" s="109">
        <v>0.5</v>
      </c>
      <c r="E109" s="110">
        <v>3.0</v>
      </c>
      <c r="F109" s="111">
        <v>1.0</v>
      </c>
      <c r="G109" s="112">
        <f>'Start Here'!$F$23*D109</f>
        <v>50</v>
      </c>
      <c r="H109" s="138"/>
      <c r="I109" s="165"/>
      <c r="J109" s="166"/>
      <c r="K109" s="165"/>
      <c r="L109" s="166">
        <f t="shared" ref="L109:L112" si="107">E109*F109</f>
        <v>3</v>
      </c>
      <c r="M109" s="165">
        <f t="shared" ref="M109:M112" si="108">G109*L109</f>
        <v>150</v>
      </c>
      <c r="N109" s="67"/>
      <c r="O109" s="67"/>
      <c r="P109" s="67"/>
      <c r="Q109" s="67"/>
      <c r="R109" s="67"/>
      <c r="S109" s="67"/>
      <c r="T109" s="67"/>
      <c r="U109" s="67"/>
      <c r="V109" s="67"/>
      <c r="W109" s="67"/>
      <c r="X109" s="114">
        <f t="shared" ref="X109:X112" si="109">IF(ISNUMBER(SEARCH("deadlift",$C109)),IF($D109&gt;=0.5,IF($D109&lt;0.6,$E109*$F109," ")," ")," ")</f>
        <v>3</v>
      </c>
      <c r="Y109" s="114" t="str">
        <f t="shared" ref="Y109:Y112" si="110">IF(ISNUMBER(SEARCH("deadlift",$C109)),IF($D109&gt;=0.6,IF($D109&lt;0.7,$E109*$F109," ")," ")," ")</f>
        <v> </v>
      </c>
      <c r="Z109" s="114" t="str">
        <f t="shared" ref="Z109:Z112" si="111">IF(ISNUMBER(SEARCH("deadlift",$C109)),IF($D109&gt;=0.7,IF($D109&lt;0.8,$E109*$F109," ")," ")," ")</f>
        <v> </v>
      </c>
      <c r="AA109" s="114" t="str">
        <f t="shared" ref="AA109:AA112" si="112">IF(ISNUMBER(SEARCH("deadlift",$C109)),IF($D109&gt;=0.8,IF($D109&lt;0.9,$E109*$F109," ")," ")," ")</f>
        <v> </v>
      </c>
      <c r="AB109" s="114" t="str">
        <f t="shared" ref="AB109:AB112" si="113">IF(ISNUMBER(SEARCH("deadlift",$C109)),IF($D109&gt;=0.9,$E109*$F109," ")," ")</f>
        <v> </v>
      </c>
      <c r="AC109" s="76"/>
      <c r="AD109" s="77"/>
      <c r="AE109" s="77"/>
      <c r="AF109" s="77"/>
      <c r="AG109" s="78"/>
    </row>
    <row r="110" ht="12.75" customHeight="1">
      <c r="A110" s="1"/>
      <c r="B110" s="115"/>
      <c r="C110" s="122" t="s">
        <v>113</v>
      </c>
      <c r="D110" s="117">
        <v>0.6</v>
      </c>
      <c r="E110" s="118">
        <v>3.0</v>
      </c>
      <c r="F110" s="119">
        <v>1.0</v>
      </c>
      <c r="G110" s="120">
        <f>'Start Here'!$F$23*D110</f>
        <v>60</v>
      </c>
      <c r="H110" s="138"/>
      <c r="I110" s="165"/>
      <c r="J110" s="166"/>
      <c r="K110" s="165"/>
      <c r="L110" s="166">
        <f t="shared" si="107"/>
        <v>3</v>
      </c>
      <c r="M110" s="165">
        <f t="shared" si="108"/>
        <v>180</v>
      </c>
      <c r="N110" s="67"/>
      <c r="O110" s="67"/>
      <c r="P110" s="67"/>
      <c r="Q110" s="67"/>
      <c r="R110" s="67"/>
      <c r="S110" s="67"/>
      <c r="T110" s="67"/>
      <c r="U110" s="67"/>
      <c r="V110" s="67"/>
      <c r="W110" s="67"/>
      <c r="X110" s="114" t="str">
        <f t="shared" si="109"/>
        <v> </v>
      </c>
      <c r="Y110" s="114">
        <f t="shared" si="110"/>
        <v>3</v>
      </c>
      <c r="Z110" s="114" t="str">
        <f t="shared" si="111"/>
        <v> </v>
      </c>
      <c r="AA110" s="114" t="str">
        <f t="shared" si="112"/>
        <v> </v>
      </c>
      <c r="AB110" s="114" t="str">
        <f t="shared" si="113"/>
        <v> </v>
      </c>
      <c r="AC110" s="85"/>
      <c r="AG110" s="86"/>
    </row>
    <row r="111" ht="12.75" customHeight="1">
      <c r="A111" s="1"/>
      <c r="B111" s="115"/>
      <c r="C111" s="122" t="s">
        <v>113</v>
      </c>
      <c r="D111" s="117">
        <v>0.7</v>
      </c>
      <c r="E111" s="118">
        <v>3.0</v>
      </c>
      <c r="F111" s="119">
        <v>1.0</v>
      </c>
      <c r="G111" s="120">
        <f>'Start Here'!$F$23*D111</f>
        <v>70</v>
      </c>
      <c r="H111" s="138"/>
      <c r="I111" s="165"/>
      <c r="J111" s="166"/>
      <c r="K111" s="165"/>
      <c r="L111" s="166">
        <f t="shared" si="107"/>
        <v>3</v>
      </c>
      <c r="M111" s="165">
        <f t="shared" si="108"/>
        <v>210</v>
      </c>
      <c r="N111" s="67"/>
      <c r="O111" s="67"/>
      <c r="P111" s="67"/>
      <c r="Q111" s="67"/>
      <c r="R111" s="67"/>
      <c r="S111" s="67"/>
      <c r="T111" s="67"/>
      <c r="U111" s="67"/>
      <c r="V111" s="67"/>
      <c r="W111" s="67"/>
      <c r="X111" s="114" t="str">
        <f t="shared" si="109"/>
        <v> </v>
      </c>
      <c r="Y111" s="114" t="str">
        <f t="shared" si="110"/>
        <v> </v>
      </c>
      <c r="Z111" s="114">
        <f t="shared" si="111"/>
        <v>3</v>
      </c>
      <c r="AA111" s="114" t="str">
        <f t="shared" si="112"/>
        <v> </v>
      </c>
      <c r="AB111" s="114" t="str">
        <f t="shared" si="113"/>
        <v> </v>
      </c>
      <c r="AC111" s="85"/>
      <c r="AG111" s="86"/>
    </row>
    <row r="112" ht="12.75" customHeight="1">
      <c r="A112" s="1"/>
      <c r="B112" s="115"/>
      <c r="C112" s="122" t="s">
        <v>113</v>
      </c>
      <c r="D112" s="117">
        <v>0.75</v>
      </c>
      <c r="E112" s="118">
        <v>3.0</v>
      </c>
      <c r="F112" s="119">
        <v>4.0</v>
      </c>
      <c r="G112" s="120">
        <f>'Start Here'!$F$23*D112</f>
        <v>75</v>
      </c>
      <c r="H112" s="138"/>
      <c r="I112" s="165"/>
      <c r="J112" s="166"/>
      <c r="K112" s="165"/>
      <c r="L112" s="166">
        <f t="shared" si="107"/>
        <v>12</v>
      </c>
      <c r="M112" s="165">
        <f t="shared" si="108"/>
        <v>900</v>
      </c>
      <c r="N112" s="67"/>
      <c r="O112" s="67"/>
      <c r="P112" s="67"/>
      <c r="Q112" s="67"/>
      <c r="R112" s="67"/>
      <c r="S112" s="67"/>
      <c r="T112" s="67"/>
      <c r="U112" s="67"/>
      <c r="V112" s="67"/>
      <c r="W112" s="67"/>
      <c r="X112" s="114" t="str">
        <f t="shared" si="109"/>
        <v> </v>
      </c>
      <c r="Y112" s="114" t="str">
        <f t="shared" si="110"/>
        <v> </v>
      </c>
      <c r="Z112" s="114">
        <f t="shared" si="111"/>
        <v>12</v>
      </c>
      <c r="AA112" s="114" t="str">
        <f t="shared" si="112"/>
        <v> </v>
      </c>
      <c r="AB112" s="114" t="str">
        <f t="shared" si="113"/>
        <v> </v>
      </c>
      <c r="AC112" s="85"/>
      <c r="AG112" s="86"/>
    </row>
    <row r="113" ht="12.75" customHeight="1">
      <c r="A113" s="1"/>
      <c r="B113" s="87">
        <v>2.0</v>
      </c>
      <c r="C113" s="88" t="s">
        <v>126</v>
      </c>
      <c r="D113" s="89">
        <v>0.5</v>
      </c>
      <c r="E113" s="90">
        <v>5.0</v>
      </c>
      <c r="F113" s="91">
        <v>1.0</v>
      </c>
      <c r="G113" s="92">
        <f>'Start Here'!$F$22*D113</f>
        <v>50</v>
      </c>
      <c r="H113" s="138"/>
      <c r="I113" s="165"/>
      <c r="J113" s="166">
        <f t="shared" ref="J113:J115" si="114">E113*F113</f>
        <v>5</v>
      </c>
      <c r="K113" s="165">
        <f t="shared" ref="K113:K115" si="115">G113*J113</f>
        <v>250</v>
      </c>
      <c r="L113" s="166"/>
      <c r="M113" s="165"/>
      <c r="N113" s="67"/>
      <c r="O113" s="67"/>
      <c r="P113" s="67"/>
      <c r="Q113" s="67"/>
      <c r="R113" s="67"/>
      <c r="S113" s="93">
        <f t="shared" ref="S113:S115" si="116">IF(ISNUMBER(SEARCH("bench",$C113)),IF($D113&gt;=0.5,IF($D113&lt;0.6,$E113*$F113," ")," ")," ")</f>
        <v>5</v>
      </c>
      <c r="T113" s="93" t="str">
        <f t="shared" ref="T113:T115" si="117">IF(ISNUMBER(SEARCH("bench",$C113)),IF($D113&gt;=0.6,IF($D113&lt;0.7,$E113*$F113," ")," ")," ")</f>
        <v> </v>
      </c>
      <c r="U113" s="93" t="str">
        <f t="shared" ref="U113:U115" si="118">IF(ISNUMBER(SEARCH("bench",$C113)),IF($D113&gt;=0.7,IF($D113&lt;0.8,$E113*$F113," ")," ")," ")</f>
        <v> </v>
      </c>
      <c r="V113" s="93" t="str">
        <f t="shared" ref="V113:V115" si="119">IF(ISNUMBER(SEARCH("bench",$C113)),IF($D113&gt;=0.8,IF($D113&lt;0.9,$E113*$F113," ")," ")," ")</f>
        <v> </v>
      </c>
      <c r="W113" s="93" t="str">
        <f t="shared" ref="W113:W115" si="120">IF(ISNUMBER(SEARCH("bench",$C113)),IF($D113&gt;=0.9,$E113*$F113," ")," ")</f>
        <v> </v>
      </c>
      <c r="X113" s="67"/>
      <c r="Y113" s="67"/>
      <c r="Z113" s="67"/>
      <c r="AA113" s="67"/>
      <c r="AB113" s="67"/>
      <c r="AC113" s="85"/>
      <c r="AG113" s="86"/>
    </row>
    <row r="114" ht="12.75" customHeight="1">
      <c r="A114" s="1"/>
      <c r="B114" s="87"/>
      <c r="C114" s="94" t="s">
        <v>126</v>
      </c>
      <c r="D114" s="89">
        <v>0.6</v>
      </c>
      <c r="E114" s="90">
        <v>5.0</v>
      </c>
      <c r="F114" s="91">
        <v>1.0</v>
      </c>
      <c r="G114" s="92">
        <f>'Start Here'!$F$22*D114</f>
        <v>60</v>
      </c>
      <c r="H114" s="138"/>
      <c r="I114" s="165"/>
      <c r="J114" s="166">
        <f t="shared" si="114"/>
        <v>5</v>
      </c>
      <c r="K114" s="165">
        <f t="shared" si="115"/>
        <v>300</v>
      </c>
      <c r="L114" s="166"/>
      <c r="M114" s="165"/>
      <c r="N114" s="67"/>
      <c r="O114" s="67"/>
      <c r="P114" s="67"/>
      <c r="Q114" s="67"/>
      <c r="R114" s="67"/>
      <c r="S114" s="93" t="str">
        <f t="shared" si="116"/>
        <v> </v>
      </c>
      <c r="T114" s="93">
        <f t="shared" si="117"/>
        <v>5</v>
      </c>
      <c r="U114" s="93" t="str">
        <f t="shared" si="118"/>
        <v> </v>
      </c>
      <c r="V114" s="93" t="str">
        <f t="shared" si="119"/>
        <v> </v>
      </c>
      <c r="W114" s="93" t="str">
        <f t="shared" si="120"/>
        <v> </v>
      </c>
      <c r="X114" s="67"/>
      <c r="Y114" s="67"/>
      <c r="Z114" s="67"/>
      <c r="AA114" s="67"/>
      <c r="AB114" s="67"/>
      <c r="AC114" s="85"/>
      <c r="AG114" s="86"/>
    </row>
    <row r="115" ht="12.75" customHeight="1">
      <c r="A115" s="1"/>
      <c r="B115" s="87"/>
      <c r="C115" s="94" t="s">
        <v>126</v>
      </c>
      <c r="D115" s="89">
        <v>0.7</v>
      </c>
      <c r="E115" s="90">
        <v>5.0</v>
      </c>
      <c r="F115" s="91">
        <v>4.0</v>
      </c>
      <c r="G115" s="92">
        <f>'Start Here'!$F$22*D115</f>
        <v>70</v>
      </c>
      <c r="H115" s="138"/>
      <c r="I115" s="165"/>
      <c r="J115" s="166">
        <f t="shared" si="114"/>
        <v>20</v>
      </c>
      <c r="K115" s="165">
        <f t="shared" si="115"/>
        <v>1400</v>
      </c>
      <c r="L115" s="166"/>
      <c r="M115" s="165"/>
      <c r="N115" s="67"/>
      <c r="O115" s="67"/>
      <c r="P115" s="67"/>
      <c r="Q115" s="67"/>
      <c r="R115" s="67"/>
      <c r="S115" s="93" t="str">
        <f t="shared" si="116"/>
        <v> </v>
      </c>
      <c r="T115" s="93" t="str">
        <f t="shared" si="117"/>
        <v> </v>
      </c>
      <c r="U115" s="93">
        <f t="shared" si="118"/>
        <v>20</v>
      </c>
      <c r="V115" s="93" t="str">
        <f t="shared" si="119"/>
        <v> </v>
      </c>
      <c r="W115" s="93" t="str">
        <f t="shared" si="120"/>
        <v> </v>
      </c>
      <c r="X115" s="67"/>
      <c r="Y115" s="67"/>
      <c r="Z115" s="67"/>
      <c r="AA115" s="67"/>
      <c r="AB115" s="67"/>
      <c r="AC115" s="85"/>
      <c r="AG115" s="86"/>
    </row>
    <row r="116" ht="12.75" customHeight="1">
      <c r="A116" s="1"/>
      <c r="B116" s="115">
        <v>3.0</v>
      </c>
      <c r="C116" s="121" t="s">
        <v>117</v>
      </c>
      <c r="D116" s="117">
        <v>0.6</v>
      </c>
      <c r="E116" s="118">
        <v>4.0</v>
      </c>
      <c r="F116" s="119">
        <v>1.0</v>
      </c>
      <c r="G116" s="120">
        <f>'Start Here'!$F$23*D116</f>
        <v>60</v>
      </c>
      <c r="H116" s="138"/>
      <c r="I116" s="165"/>
      <c r="J116" s="166"/>
      <c r="K116" s="165"/>
      <c r="L116" s="166">
        <f t="shared" ref="L116:L118" si="121">E116*F116</f>
        <v>4</v>
      </c>
      <c r="M116" s="165">
        <f t="shared" ref="M116:M118" si="122">G116*L116</f>
        <v>240</v>
      </c>
      <c r="N116" s="67"/>
      <c r="O116" s="67"/>
      <c r="P116" s="67"/>
      <c r="Q116" s="67"/>
      <c r="R116" s="67"/>
      <c r="S116" s="67"/>
      <c r="T116" s="67"/>
      <c r="U116" s="67"/>
      <c r="V116" s="67"/>
      <c r="W116" s="67"/>
      <c r="X116" s="114" t="str">
        <f t="shared" ref="X116:X118" si="123">IF(ISNUMBER(SEARCH("deadlift",$C116)),IF($D116&gt;=0.5,IF($D116&lt;0.6,$E116*$F116," ")," ")," ")</f>
        <v> </v>
      </c>
      <c r="Y116" s="114">
        <f t="shared" ref="Y116:Y118" si="124">IF(ISNUMBER(SEARCH("deadlift",$C116)),IF($D116&gt;=0.6,IF($D116&lt;0.7,$E116*$F116," ")," ")," ")</f>
        <v>4</v>
      </c>
      <c r="Z116" s="114" t="str">
        <f t="shared" ref="Z116:Z118" si="125">IF(ISNUMBER(SEARCH("deadlift",$C116)),IF($D116&gt;=0.7,IF($D116&lt;0.8,$E116*$F116," ")," ")," ")</f>
        <v> </v>
      </c>
      <c r="AA116" s="114" t="str">
        <f t="shared" ref="AA116:AA118" si="126">IF(ISNUMBER(SEARCH("deadlift",$C116)),IF($D116&gt;=0.8,IF($D116&lt;0.9,$E116*$F116," ")," ")," ")</f>
        <v> </v>
      </c>
      <c r="AB116" s="114" t="str">
        <f t="shared" ref="AB116:AB118" si="127">IF(ISNUMBER(SEARCH("deadlift",$C116)),IF($D116&gt;=0.9,$E116*$F116," ")," ")</f>
        <v> </v>
      </c>
      <c r="AC116" s="85"/>
      <c r="AG116" s="86"/>
    </row>
    <row r="117" ht="12.75" customHeight="1">
      <c r="A117" s="1"/>
      <c r="B117" s="115"/>
      <c r="C117" s="122" t="s">
        <v>117</v>
      </c>
      <c r="D117" s="117">
        <v>0.7</v>
      </c>
      <c r="E117" s="118">
        <v>4.0</v>
      </c>
      <c r="F117" s="119">
        <v>1.0</v>
      </c>
      <c r="G117" s="120">
        <f>'Start Here'!$F$23*D117</f>
        <v>70</v>
      </c>
      <c r="H117" s="138"/>
      <c r="I117" s="165"/>
      <c r="J117" s="166"/>
      <c r="K117" s="165"/>
      <c r="L117" s="166">
        <f t="shared" si="121"/>
        <v>4</v>
      </c>
      <c r="M117" s="165">
        <f t="shared" si="122"/>
        <v>280</v>
      </c>
      <c r="N117" s="67"/>
      <c r="O117" s="67"/>
      <c r="P117" s="67"/>
      <c r="Q117" s="67"/>
      <c r="R117" s="67"/>
      <c r="S117" s="67"/>
      <c r="T117" s="67"/>
      <c r="U117" s="67"/>
      <c r="V117" s="67"/>
      <c r="W117" s="67"/>
      <c r="X117" s="114" t="str">
        <f t="shared" si="123"/>
        <v> </v>
      </c>
      <c r="Y117" s="114" t="str">
        <f t="shared" si="124"/>
        <v> </v>
      </c>
      <c r="Z117" s="114">
        <f t="shared" si="125"/>
        <v>4</v>
      </c>
      <c r="AA117" s="114" t="str">
        <f t="shared" si="126"/>
        <v> </v>
      </c>
      <c r="AB117" s="114" t="str">
        <f t="shared" si="127"/>
        <v> </v>
      </c>
      <c r="AC117" s="85"/>
      <c r="AG117" s="86"/>
    </row>
    <row r="118" ht="12.75" customHeight="1">
      <c r="A118" s="1"/>
      <c r="B118" s="115"/>
      <c r="C118" s="122" t="s">
        <v>117</v>
      </c>
      <c r="D118" s="117">
        <v>0.8</v>
      </c>
      <c r="E118" s="118">
        <v>4.0</v>
      </c>
      <c r="F118" s="119">
        <v>4.0</v>
      </c>
      <c r="G118" s="120">
        <f>'Start Here'!$F$23*D118</f>
        <v>80</v>
      </c>
      <c r="H118" s="138"/>
      <c r="I118" s="165"/>
      <c r="J118" s="166"/>
      <c r="K118" s="165"/>
      <c r="L118" s="166">
        <f t="shared" si="121"/>
        <v>16</v>
      </c>
      <c r="M118" s="165">
        <f t="shared" si="122"/>
        <v>1280</v>
      </c>
      <c r="N118" s="67"/>
      <c r="O118" s="67"/>
      <c r="P118" s="67"/>
      <c r="Q118" s="67"/>
      <c r="R118" s="67"/>
      <c r="S118" s="67"/>
      <c r="T118" s="67"/>
      <c r="U118" s="67"/>
      <c r="V118" s="67"/>
      <c r="W118" s="67"/>
      <c r="X118" s="114" t="str">
        <f t="shared" si="123"/>
        <v> </v>
      </c>
      <c r="Y118" s="114" t="str">
        <f t="shared" si="124"/>
        <v> </v>
      </c>
      <c r="Z118" s="114" t="str">
        <f t="shared" si="125"/>
        <v> </v>
      </c>
      <c r="AA118" s="114">
        <f t="shared" si="126"/>
        <v>16</v>
      </c>
      <c r="AB118" s="114" t="str">
        <f t="shared" si="127"/>
        <v> </v>
      </c>
      <c r="AC118" s="85"/>
      <c r="AG118" s="86"/>
    </row>
    <row r="119" ht="12.75" customHeight="1">
      <c r="A119" s="1"/>
      <c r="B119" s="96">
        <v>4.0</v>
      </c>
      <c r="C119" s="167" t="s">
        <v>96</v>
      </c>
      <c r="D119" s="168"/>
      <c r="E119" s="169">
        <v>4.0</v>
      </c>
      <c r="F119" s="169">
        <v>5.0</v>
      </c>
      <c r="G119" s="188"/>
      <c r="H119" s="138"/>
      <c r="I119" s="165"/>
      <c r="J119" s="166"/>
      <c r="K119" s="165"/>
      <c r="L119" s="166"/>
      <c r="M119" s="165"/>
      <c r="N119" s="67"/>
      <c r="O119" s="67"/>
      <c r="P119" s="67"/>
      <c r="Q119" s="67"/>
      <c r="R119" s="67"/>
      <c r="S119" s="67"/>
      <c r="T119" s="67"/>
      <c r="U119" s="67"/>
      <c r="V119" s="67"/>
      <c r="W119" s="67"/>
      <c r="X119" s="67"/>
      <c r="Y119" s="67"/>
      <c r="Z119" s="67"/>
      <c r="AA119" s="67"/>
      <c r="AB119" s="67"/>
      <c r="AC119" s="85"/>
      <c r="AG119" s="86"/>
    </row>
    <row r="120" ht="12.75" customHeight="1">
      <c r="A120" s="1"/>
      <c r="B120" s="135">
        <v>5.0</v>
      </c>
      <c r="C120" s="136" t="s">
        <v>95</v>
      </c>
      <c r="D120" s="137"/>
      <c r="E120" s="68">
        <v>6.0</v>
      </c>
      <c r="F120" s="138">
        <v>5.0</v>
      </c>
      <c r="G120" s="139"/>
      <c r="H120" s="138"/>
      <c r="I120" s="165"/>
      <c r="J120" s="166"/>
      <c r="K120" s="165"/>
      <c r="L120" s="166"/>
      <c r="M120" s="165"/>
      <c r="N120" s="67"/>
      <c r="O120" s="67"/>
      <c r="P120" s="67"/>
      <c r="Q120" s="67"/>
      <c r="R120" s="67"/>
      <c r="S120" s="67"/>
      <c r="T120" s="67"/>
      <c r="U120" s="67"/>
      <c r="V120" s="67"/>
      <c r="W120" s="67"/>
      <c r="X120" s="67"/>
      <c r="Y120" s="67"/>
      <c r="Z120" s="67"/>
      <c r="AA120" s="67"/>
      <c r="AB120" s="67"/>
      <c r="AC120" s="85"/>
      <c r="AG120" s="86"/>
    </row>
    <row r="121" ht="12.75" customHeight="1">
      <c r="A121" s="1"/>
      <c r="B121" s="100">
        <v>6.0</v>
      </c>
      <c r="C121" s="171" t="s">
        <v>57</v>
      </c>
      <c r="D121" s="172"/>
      <c r="E121" s="102">
        <v>8.0</v>
      </c>
      <c r="F121" s="173">
        <v>4.0</v>
      </c>
      <c r="G121" s="174"/>
      <c r="H121" s="138"/>
      <c r="I121" s="165"/>
      <c r="J121" s="166"/>
      <c r="K121" s="165"/>
      <c r="L121" s="166"/>
      <c r="M121" s="165"/>
      <c r="N121" s="67"/>
      <c r="O121" s="67"/>
      <c r="P121" s="67"/>
      <c r="Q121" s="67"/>
      <c r="R121" s="67"/>
      <c r="S121" s="67"/>
      <c r="T121" s="67"/>
      <c r="U121" s="67"/>
      <c r="V121" s="67"/>
      <c r="W121" s="67"/>
      <c r="X121" s="67"/>
      <c r="Y121" s="67"/>
      <c r="Z121" s="67"/>
      <c r="AA121" s="67"/>
      <c r="AB121" s="67"/>
      <c r="AC121" s="104"/>
      <c r="AD121" s="105"/>
      <c r="AE121" s="105"/>
      <c r="AF121" s="105"/>
      <c r="AG121" s="106"/>
    </row>
    <row r="122" ht="36.75" customHeight="1">
      <c r="A122" s="181"/>
      <c r="B122" s="142"/>
      <c r="C122" s="182"/>
      <c r="D122" s="183"/>
      <c r="E122" s="184"/>
      <c r="F122" s="184"/>
      <c r="G122" s="184"/>
      <c r="H122" s="184">
        <f t="shared" ref="H122:AB122" si="128">SUM(H61:H121)</f>
        <v>69</v>
      </c>
      <c r="I122" s="185">
        <f t="shared" si="128"/>
        <v>4635</v>
      </c>
      <c r="J122" s="185">
        <f t="shared" si="128"/>
        <v>94</v>
      </c>
      <c r="K122" s="185">
        <f t="shared" si="128"/>
        <v>6270</v>
      </c>
      <c r="L122" s="185">
        <f t="shared" si="128"/>
        <v>64</v>
      </c>
      <c r="M122" s="185">
        <f t="shared" si="128"/>
        <v>4585</v>
      </c>
      <c r="N122" s="184">
        <f t="shared" si="128"/>
        <v>15</v>
      </c>
      <c r="O122" s="184">
        <f t="shared" si="128"/>
        <v>13</v>
      </c>
      <c r="P122" s="184">
        <f t="shared" si="128"/>
        <v>26</v>
      </c>
      <c r="Q122" s="184">
        <f t="shared" si="128"/>
        <v>10</v>
      </c>
      <c r="R122" s="184">
        <f t="shared" si="128"/>
        <v>5</v>
      </c>
      <c r="S122" s="184">
        <f t="shared" si="128"/>
        <v>20</v>
      </c>
      <c r="T122" s="184">
        <f t="shared" si="128"/>
        <v>17</v>
      </c>
      <c r="U122" s="184">
        <f t="shared" si="128"/>
        <v>50</v>
      </c>
      <c r="V122" s="184">
        <f t="shared" si="128"/>
        <v>2</v>
      </c>
      <c r="W122" s="184">
        <f t="shared" si="128"/>
        <v>5</v>
      </c>
      <c r="X122" s="184">
        <f t="shared" si="128"/>
        <v>8</v>
      </c>
      <c r="Y122" s="184">
        <f t="shared" si="128"/>
        <v>11</v>
      </c>
      <c r="Z122" s="184">
        <f t="shared" si="128"/>
        <v>22</v>
      </c>
      <c r="AA122" s="184">
        <f t="shared" si="128"/>
        <v>18</v>
      </c>
      <c r="AB122" s="184">
        <f t="shared" si="128"/>
        <v>5</v>
      </c>
      <c r="AC122" s="142"/>
      <c r="AD122" s="142"/>
      <c r="AE122" s="142"/>
      <c r="AF122" s="142"/>
      <c r="AG122" s="142"/>
    </row>
    <row r="123" ht="28.5" customHeight="1">
      <c r="A123" s="1"/>
      <c r="B123" s="206" t="s">
        <v>77</v>
      </c>
      <c r="H123" s="138"/>
      <c r="I123" s="165"/>
      <c r="J123" s="166"/>
      <c r="K123" s="165"/>
      <c r="L123" s="166"/>
      <c r="M123" s="165"/>
      <c r="N123" s="67"/>
      <c r="O123" s="67"/>
      <c r="P123" s="67"/>
      <c r="Q123" s="67"/>
      <c r="R123" s="67"/>
      <c r="S123" s="67"/>
      <c r="T123" s="67"/>
      <c r="U123" s="67"/>
      <c r="V123" s="67"/>
      <c r="W123" s="67"/>
      <c r="X123" s="67"/>
      <c r="Y123" s="67"/>
      <c r="Z123" s="67"/>
      <c r="AA123" s="67"/>
      <c r="AB123" s="67"/>
      <c r="AC123" s="67"/>
      <c r="AD123" s="67"/>
      <c r="AE123" s="67"/>
      <c r="AF123" s="67"/>
      <c r="AG123" s="67"/>
    </row>
    <row r="124" ht="15.75" customHeight="1">
      <c r="A124" s="1"/>
      <c r="B124" s="68" t="s">
        <v>33</v>
      </c>
      <c r="D124" s="137" t="s">
        <v>34</v>
      </c>
      <c r="E124" s="138" t="s">
        <v>35</v>
      </c>
      <c r="F124" s="138" t="s">
        <v>36</v>
      </c>
      <c r="G124" s="138" t="s">
        <v>37</v>
      </c>
      <c r="H124" s="138"/>
      <c r="I124" s="165"/>
      <c r="J124" s="166"/>
      <c r="K124" s="165"/>
      <c r="L124" s="166"/>
      <c r="M124" s="165"/>
      <c r="N124" s="67"/>
      <c r="O124" s="67"/>
      <c r="P124" s="67"/>
      <c r="Q124" s="67"/>
      <c r="R124" s="67"/>
      <c r="S124" s="67"/>
      <c r="T124" s="67"/>
      <c r="U124" s="67"/>
      <c r="V124" s="67"/>
      <c r="W124" s="67"/>
      <c r="X124" s="67"/>
      <c r="Y124" s="67"/>
      <c r="Z124" s="67"/>
      <c r="AA124" s="67"/>
      <c r="AB124" s="67"/>
      <c r="AC124" s="67" t="s">
        <v>43</v>
      </c>
      <c r="AD124" s="67"/>
      <c r="AE124" s="67"/>
      <c r="AF124" s="67"/>
      <c r="AG124" s="67"/>
    </row>
    <row r="125" ht="12.75" customHeight="1">
      <c r="A125" s="1"/>
      <c r="B125" s="123">
        <v>1.0</v>
      </c>
      <c r="C125" s="124" t="s">
        <v>45</v>
      </c>
      <c r="D125" s="125">
        <v>0.5</v>
      </c>
      <c r="E125" s="126">
        <v>5.0</v>
      </c>
      <c r="F125" s="127">
        <v>1.0</v>
      </c>
      <c r="G125" s="128">
        <f>'Start Here'!$F$22*D125</f>
        <v>50</v>
      </c>
      <c r="H125" s="138"/>
      <c r="I125" s="165"/>
      <c r="J125" s="166">
        <f t="shared" ref="J125:J128" si="129">E125*F125</f>
        <v>5</v>
      </c>
      <c r="K125" s="165">
        <f t="shared" ref="K125:K128" si="130">G125*J125</f>
        <v>250</v>
      </c>
      <c r="L125" s="166"/>
      <c r="M125" s="165"/>
      <c r="N125" s="67"/>
      <c r="O125" s="67"/>
      <c r="P125" s="67"/>
      <c r="Q125" s="67"/>
      <c r="R125" s="67"/>
      <c r="S125" s="93">
        <f t="shared" ref="S125:S128" si="131">IF(ISNUMBER(SEARCH("bench",$C125)),IF($D125&gt;=0.5,IF($D125&lt;0.6,$E125*$F125," ")," ")," ")</f>
        <v>5</v>
      </c>
      <c r="T125" s="93" t="str">
        <f t="shared" ref="T125:T128" si="132">IF(ISNUMBER(SEARCH("bench",$C125)),IF($D125&gt;=0.6,IF($D125&lt;0.7,$E125*$F125," ")," ")," ")</f>
        <v> </v>
      </c>
      <c r="U125" s="93" t="str">
        <f t="shared" ref="U125:U128" si="133">IF(ISNUMBER(SEARCH("bench",$C125)),IF($D125&gt;=0.7,IF($D125&lt;0.8,$E125*$F125," ")," ")," ")</f>
        <v> </v>
      </c>
      <c r="V125" s="93" t="str">
        <f t="shared" ref="V125:V128" si="134">IF(ISNUMBER(SEARCH("bench",$C125)),IF($D125&gt;=0.8,IF($D125&lt;0.9,$E125*$F125," ")," ")," ")</f>
        <v> </v>
      </c>
      <c r="W125" s="93" t="str">
        <f t="shared" ref="W125:W128" si="135">IF(ISNUMBER(SEARCH("bench",$C125)),IF($D125&gt;=0.9,$E125*$F125," ")," ")</f>
        <v> </v>
      </c>
      <c r="X125" s="67"/>
      <c r="Y125" s="67"/>
      <c r="Z125" s="67"/>
      <c r="AA125" s="67"/>
      <c r="AB125" s="67"/>
      <c r="AC125" s="76"/>
      <c r="AD125" s="77"/>
      <c r="AE125" s="77"/>
      <c r="AF125" s="77"/>
      <c r="AG125" s="78"/>
    </row>
    <row r="126" ht="12.75" customHeight="1">
      <c r="A126" s="1"/>
      <c r="B126" s="87"/>
      <c r="C126" s="94" t="s">
        <v>45</v>
      </c>
      <c r="D126" s="89">
        <v>0.6</v>
      </c>
      <c r="E126" s="90">
        <v>4.0</v>
      </c>
      <c r="F126" s="91">
        <v>1.0</v>
      </c>
      <c r="G126" s="92">
        <f>'Start Here'!$F$22*D126</f>
        <v>60</v>
      </c>
      <c r="H126" s="138"/>
      <c r="I126" s="165"/>
      <c r="J126" s="166">
        <f t="shared" si="129"/>
        <v>4</v>
      </c>
      <c r="K126" s="165">
        <f t="shared" si="130"/>
        <v>240</v>
      </c>
      <c r="L126" s="166"/>
      <c r="M126" s="165"/>
      <c r="N126" s="67"/>
      <c r="O126" s="67"/>
      <c r="P126" s="67"/>
      <c r="Q126" s="67"/>
      <c r="R126" s="67"/>
      <c r="S126" s="93" t="str">
        <f t="shared" si="131"/>
        <v> </v>
      </c>
      <c r="T126" s="93">
        <f t="shared" si="132"/>
        <v>4</v>
      </c>
      <c r="U126" s="93" t="str">
        <f t="shared" si="133"/>
        <v> </v>
      </c>
      <c r="V126" s="93" t="str">
        <f t="shared" si="134"/>
        <v> </v>
      </c>
      <c r="W126" s="93" t="str">
        <f t="shared" si="135"/>
        <v> </v>
      </c>
      <c r="X126" s="67"/>
      <c r="Y126" s="67"/>
      <c r="Z126" s="67"/>
      <c r="AA126" s="67"/>
      <c r="AB126" s="67"/>
      <c r="AC126" s="85"/>
      <c r="AG126" s="86"/>
    </row>
    <row r="127" ht="12.75" customHeight="1">
      <c r="A127" s="1"/>
      <c r="B127" s="87"/>
      <c r="C127" s="94" t="s">
        <v>45</v>
      </c>
      <c r="D127" s="89">
        <v>0.7</v>
      </c>
      <c r="E127" s="90">
        <v>3.0</v>
      </c>
      <c r="F127" s="91">
        <v>1.0</v>
      </c>
      <c r="G127" s="92">
        <f>'Start Here'!$F$22*D127</f>
        <v>70</v>
      </c>
      <c r="H127" s="138"/>
      <c r="I127" s="165"/>
      <c r="J127" s="166">
        <f t="shared" si="129"/>
        <v>3</v>
      </c>
      <c r="K127" s="165">
        <f t="shared" si="130"/>
        <v>210</v>
      </c>
      <c r="L127" s="166"/>
      <c r="M127" s="165"/>
      <c r="N127" s="67"/>
      <c r="O127" s="67"/>
      <c r="P127" s="67"/>
      <c r="Q127" s="67"/>
      <c r="R127" s="67"/>
      <c r="S127" s="93" t="str">
        <f t="shared" si="131"/>
        <v> </v>
      </c>
      <c r="T127" s="93" t="str">
        <f t="shared" si="132"/>
        <v> </v>
      </c>
      <c r="U127" s="93">
        <f t="shared" si="133"/>
        <v>3</v>
      </c>
      <c r="V127" s="93" t="str">
        <f t="shared" si="134"/>
        <v> </v>
      </c>
      <c r="W127" s="93" t="str">
        <f t="shared" si="135"/>
        <v> </v>
      </c>
      <c r="X127" s="67"/>
      <c r="Y127" s="67"/>
      <c r="Z127" s="67"/>
      <c r="AA127" s="67"/>
      <c r="AB127" s="67"/>
      <c r="AC127" s="85"/>
      <c r="AG127" s="86"/>
    </row>
    <row r="128" ht="12.75" customHeight="1">
      <c r="A128" s="1"/>
      <c r="B128" s="87"/>
      <c r="C128" s="94" t="s">
        <v>45</v>
      </c>
      <c r="D128" s="89">
        <v>0.8</v>
      </c>
      <c r="E128" s="90">
        <v>3.0</v>
      </c>
      <c r="F128" s="91">
        <v>4.0</v>
      </c>
      <c r="G128" s="92">
        <f>'Start Here'!$F$22*D128</f>
        <v>80</v>
      </c>
      <c r="H128" s="138"/>
      <c r="I128" s="165"/>
      <c r="J128" s="166">
        <f t="shared" si="129"/>
        <v>12</v>
      </c>
      <c r="K128" s="165">
        <f t="shared" si="130"/>
        <v>960</v>
      </c>
      <c r="L128" s="166"/>
      <c r="M128" s="165"/>
      <c r="N128" s="67"/>
      <c r="O128" s="67"/>
      <c r="P128" s="67"/>
      <c r="Q128" s="67"/>
      <c r="R128" s="67"/>
      <c r="S128" s="93" t="str">
        <f t="shared" si="131"/>
        <v> </v>
      </c>
      <c r="T128" s="93" t="str">
        <f t="shared" si="132"/>
        <v> </v>
      </c>
      <c r="U128" s="93" t="str">
        <f t="shared" si="133"/>
        <v> </v>
      </c>
      <c r="V128" s="93">
        <f t="shared" si="134"/>
        <v>12</v>
      </c>
      <c r="W128" s="93" t="str">
        <f t="shared" si="135"/>
        <v> </v>
      </c>
      <c r="X128" s="67"/>
      <c r="Y128" s="67"/>
      <c r="Z128" s="67"/>
      <c r="AA128" s="67"/>
      <c r="AB128" s="67"/>
      <c r="AC128" s="85"/>
      <c r="AG128" s="86"/>
    </row>
    <row r="129" ht="12.75" customHeight="1">
      <c r="A129" s="1"/>
      <c r="B129" s="79">
        <v>2.0</v>
      </c>
      <c r="C129" s="95" t="s">
        <v>46</v>
      </c>
      <c r="D129" s="81">
        <v>0.5</v>
      </c>
      <c r="E129" s="82">
        <v>5.0</v>
      </c>
      <c r="F129" s="83">
        <v>1.0</v>
      </c>
      <c r="G129" s="84">
        <f>'Start Here'!$F$21*D129</f>
        <v>50</v>
      </c>
      <c r="H129" s="138">
        <f t="shared" ref="H129:H132" si="136">E129*F129</f>
        <v>5</v>
      </c>
      <c r="I129" s="165">
        <f t="shared" ref="I129:I132" si="137">G129*H129</f>
        <v>250</v>
      </c>
      <c r="J129" s="166"/>
      <c r="K129" s="165"/>
      <c r="L129" s="166"/>
      <c r="M129" s="165"/>
      <c r="N129" s="75">
        <f t="shared" ref="N129:N132" si="138">IF(ISNUMBER(SEARCH("squat",$C129)),IF($D129&gt;=0.5,IF($D129&lt;0.6,$E129*$F129," ")," ")," ")</f>
        <v>5</v>
      </c>
      <c r="O129" s="75" t="str">
        <f t="shared" ref="O129:O132" si="139">IF(ISNUMBER(SEARCH("squat",$C129)),IF($D129&gt;=0.6,IF($D129&lt;0.7,$E129*$F129," ")," ")," ")</f>
        <v> </v>
      </c>
      <c r="P129" s="75" t="str">
        <f t="shared" ref="P129:P132" si="140">IF(ISNUMBER(SEARCH("squat",$C129)),IF($D129&gt;=0.7,IF($D129&lt;0.8,$E129*$F129," ")," ")," ")</f>
        <v> </v>
      </c>
      <c r="Q129" s="75" t="str">
        <f t="shared" ref="Q129:Q132" si="141">IF(ISNUMBER(SEARCH("squat",$C129)),IF($D129&gt;=0.8,IF($D129&lt;0.9,$E129*$F129," ")," ")," ")</f>
        <v> </v>
      </c>
      <c r="R129" s="75" t="str">
        <f t="shared" ref="R129:R132" si="142">IF(ISNUMBER(SEARCH("squat",$C129)),IF($D129&gt;=0.9,$E129*$F129," ")," ")</f>
        <v> </v>
      </c>
      <c r="S129" s="67"/>
      <c r="T129" s="67"/>
      <c r="U129" s="67"/>
      <c r="V129" s="67"/>
      <c r="W129" s="67"/>
      <c r="X129" s="67"/>
      <c r="Y129" s="67"/>
      <c r="Z129" s="67"/>
      <c r="AA129" s="67"/>
      <c r="AB129" s="67"/>
      <c r="AC129" s="85"/>
      <c r="AG129" s="86"/>
    </row>
    <row r="130" ht="12.75" customHeight="1">
      <c r="A130" s="1"/>
      <c r="B130" s="79"/>
      <c r="C130" s="80" t="s">
        <v>46</v>
      </c>
      <c r="D130" s="81">
        <v>0.6</v>
      </c>
      <c r="E130" s="82">
        <v>4.0</v>
      </c>
      <c r="F130" s="83">
        <v>1.0</v>
      </c>
      <c r="G130" s="84">
        <f>'Start Here'!$F$21*D130</f>
        <v>60</v>
      </c>
      <c r="H130" s="138">
        <f t="shared" si="136"/>
        <v>4</v>
      </c>
      <c r="I130" s="165">
        <f t="shared" si="137"/>
        <v>240</v>
      </c>
      <c r="J130" s="166"/>
      <c r="K130" s="165"/>
      <c r="L130" s="166"/>
      <c r="M130" s="165"/>
      <c r="N130" s="75" t="str">
        <f t="shared" si="138"/>
        <v> </v>
      </c>
      <c r="O130" s="75">
        <f t="shared" si="139"/>
        <v>4</v>
      </c>
      <c r="P130" s="75" t="str">
        <f t="shared" si="140"/>
        <v> </v>
      </c>
      <c r="Q130" s="75" t="str">
        <f t="shared" si="141"/>
        <v> </v>
      </c>
      <c r="R130" s="75" t="str">
        <f t="shared" si="142"/>
        <v> </v>
      </c>
      <c r="S130" s="67"/>
      <c r="T130" s="67"/>
      <c r="U130" s="67"/>
      <c r="V130" s="67"/>
      <c r="W130" s="67"/>
      <c r="X130" s="67"/>
      <c r="Y130" s="67"/>
      <c r="Z130" s="67"/>
      <c r="AA130" s="67"/>
      <c r="AB130" s="67"/>
      <c r="AC130" s="85"/>
      <c r="AG130" s="86"/>
    </row>
    <row r="131" ht="12.75" customHeight="1">
      <c r="A131" s="1"/>
      <c r="B131" s="79"/>
      <c r="C131" s="80" t="s">
        <v>46</v>
      </c>
      <c r="D131" s="81">
        <v>0.7</v>
      </c>
      <c r="E131" s="82">
        <v>3.0</v>
      </c>
      <c r="F131" s="83">
        <v>1.0</v>
      </c>
      <c r="G131" s="84">
        <f>'Start Here'!$F$21*D131</f>
        <v>70</v>
      </c>
      <c r="H131" s="138">
        <f t="shared" si="136"/>
        <v>3</v>
      </c>
      <c r="I131" s="165">
        <f t="shared" si="137"/>
        <v>210</v>
      </c>
      <c r="J131" s="166"/>
      <c r="K131" s="165"/>
      <c r="L131" s="166"/>
      <c r="M131" s="165"/>
      <c r="N131" s="75" t="str">
        <f t="shared" si="138"/>
        <v> </v>
      </c>
      <c r="O131" s="75" t="str">
        <f t="shared" si="139"/>
        <v> </v>
      </c>
      <c r="P131" s="75">
        <f t="shared" si="140"/>
        <v>3</v>
      </c>
      <c r="Q131" s="75" t="str">
        <f t="shared" si="141"/>
        <v> </v>
      </c>
      <c r="R131" s="75" t="str">
        <f t="shared" si="142"/>
        <v> </v>
      </c>
      <c r="S131" s="67"/>
      <c r="T131" s="67"/>
      <c r="U131" s="67"/>
      <c r="V131" s="67"/>
      <c r="W131" s="67"/>
      <c r="X131" s="67"/>
      <c r="Y131" s="67"/>
      <c r="Z131" s="67"/>
      <c r="AA131" s="67"/>
      <c r="AB131" s="67"/>
      <c r="AC131" s="85"/>
      <c r="AG131" s="86"/>
    </row>
    <row r="132" ht="12.75" customHeight="1">
      <c r="A132" s="1"/>
      <c r="B132" s="79"/>
      <c r="C132" s="80" t="s">
        <v>46</v>
      </c>
      <c r="D132" s="81">
        <v>0.8</v>
      </c>
      <c r="E132" s="82">
        <v>3.0</v>
      </c>
      <c r="F132" s="83">
        <v>5.0</v>
      </c>
      <c r="G132" s="84">
        <f>'Start Here'!$F$21*D132</f>
        <v>80</v>
      </c>
      <c r="H132" s="138">
        <f t="shared" si="136"/>
        <v>15</v>
      </c>
      <c r="I132" s="165">
        <f t="shared" si="137"/>
        <v>1200</v>
      </c>
      <c r="J132" s="166"/>
      <c r="K132" s="165"/>
      <c r="L132" s="166"/>
      <c r="M132" s="165"/>
      <c r="N132" s="75" t="str">
        <f t="shared" si="138"/>
        <v> </v>
      </c>
      <c r="O132" s="75" t="str">
        <f t="shared" si="139"/>
        <v> </v>
      </c>
      <c r="P132" s="75" t="str">
        <f t="shared" si="140"/>
        <v> </v>
      </c>
      <c r="Q132" s="75">
        <f t="shared" si="141"/>
        <v>15</v>
      </c>
      <c r="R132" s="75" t="str">
        <f t="shared" si="142"/>
        <v> </v>
      </c>
      <c r="S132" s="67"/>
      <c r="T132" s="67"/>
      <c r="U132" s="67"/>
      <c r="V132" s="67"/>
      <c r="W132" s="67"/>
      <c r="X132" s="67"/>
      <c r="Y132" s="67"/>
      <c r="Z132" s="67"/>
      <c r="AA132" s="67"/>
      <c r="AB132" s="67"/>
      <c r="AC132" s="85"/>
      <c r="AG132" s="86"/>
    </row>
    <row r="133" ht="12.75" customHeight="1">
      <c r="A133" s="1"/>
      <c r="B133" s="87">
        <v>3.0</v>
      </c>
      <c r="C133" s="88" t="s">
        <v>91</v>
      </c>
      <c r="D133" s="89">
        <v>0.6</v>
      </c>
      <c r="E133" s="90">
        <v>4.0</v>
      </c>
      <c r="F133" s="91">
        <v>1.0</v>
      </c>
      <c r="G133" s="92">
        <f>'Start Here'!$F$22*D133</f>
        <v>60</v>
      </c>
      <c r="H133" s="138"/>
      <c r="I133" s="165"/>
      <c r="J133" s="166">
        <f t="shared" ref="J133:J135" si="143">E133*F133</f>
        <v>4</v>
      </c>
      <c r="K133" s="165">
        <f t="shared" ref="K133:K135" si="144">G133*J133</f>
        <v>240</v>
      </c>
      <c r="L133" s="166"/>
      <c r="M133" s="165"/>
      <c r="N133" s="67"/>
      <c r="O133" s="67"/>
      <c r="P133" s="67"/>
      <c r="Q133" s="67"/>
      <c r="R133" s="67"/>
      <c r="S133" s="93" t="str">
        <f t="shared" ref="S133:S135" si="145">IF(ISNUMBER(SEARCH("bench",$C133)),IF($D133&gt;=0.5,IF($D133&lt;0.6,$E133*$F133," ")," ")," ")</f>
        <v> </v>
      </c>
      <c r="T133" s="93">
        <f t="shared" ref="T133:T135" si="146">IF(ISNUMBER(SEARCH("bench",$C133)),IF($D133&gt;=0.6,IF($D133&lt;0.7,$E133*$F133," ")," ")," ")</f>
        <v>4</v>
      </c>
      <c r="U133" s="93" t="str">
        <f t="shared" ref="U133:U135" si="147">IF(ISNUMBER(SEARCH("bench",$C133)),IF($D133&gt;=0.7,IF($D133&lt;0.8,$E133*$F133," ")," ")," ")</f>
        <v> </v>
      </c>
      <c r="V133" s="93" t="str">
        <f t="shared" ref="V133:V135" si="148">IF(ISNUMBER(SEARCH("bench",$C133)),IF($D133&gt;=0.8,IF($D133&lt;0.9,$E133*$F133," ")," ")," ")</f>
        <v> </v>
      </c>
      <c r="W133" s="93" t="str">
        <f t="shared" ref="W133:W135" si="149">IF(ISNUMBER(SEARCH("bench",$C133)),IF($D133&gt;=0.9,$E133*$F133," ")," ")</f>
        <v> </v>
      </c>
      <c r="X133" s="67"/>
      <c r="Y133" s="67"/>
      <c r="Z133" s="67"/>
      <c r="AA133" s="67"/>
      <c r="AB133" s="67"/>
      <c r="AC133" s="85"/>
      <c r="AG133" s="86"/>
    </row>
    <row r="134" ht="12.75" customHeight="1">
      <c r="A134" s="1"/>
      <c r="B134" s="87"/>
      <c r="C134" s="94" t="s">
        <v>91</v>
      </c>
      <c r="D134" s="89">
        <v>0.7</v>
      </c>
      <c r="E134" s="90">
        <v>4.0</v>
      </c>
      <c r="F134" s="91">
        <v>1.0</v>
      </c>
      <c r="G134" s="92">
        <f>'Start Here'!$F$22*D134</f>
        <v>70</v>
      </c>
      <c r="H134" s="138"/>
      <c r="I134" s="165"/>
      <c r="J134" s="166">
        <f t="shared" si="143"/>
        <v>4</v>
      </c>
      <c r="K134" s="165">
        <f t="shared" si="144"/>
        <v>280</v>
      </c>
      <c r="L134" s="166"/>
      <c r="M134" s="165"/>
      <c r="N134" s="67"/>
      <c r="O134" s="67"/>
      <c r="P134" s="67"/>
      <c r="Q134" s="67"/>
      <c r="R134" s="67"/>
      <c r="S134" s="93" t="str">
        <f t="shared" si="145"/>
        <v> </v>
      </c>
      <c r="T134" s="93" t="str">
        <f t="shared" si="146"/>
        <v> </v>
      </c>
      <c r="U134" s="93">
        <f t="shared" si="147"/>
        <v>4</v>
      </c>
      <c r="V134" s="93" t="str">
        <f t="shared" si="148"/>
        <v> </v>
      </c>
      <c r="W134" s="93" t="str">
        <f t="shared" si="149"/>
        <v> </v>
      </c>
      <c r="X134" s="67"/>
      <c r="Y134" s="67"/>
      <c r="Z134" s="67"/>
      <c r="AA134" s="67"/>
      <c r="AB134" s="67"/>
      <c r="AC134" s="85"/>
      <c r="AG134" s="86"/>
    </row>
    <row r="135" ht="12.75" customHeight="1">
      <c r="A135" s="1"/>
      <c r="B135" s="87"/>
      <c r="C135" s="94" t="s">
        <v>91</v>
      </c>
      <c r="D135" s="89">
        <v>0.8</v>
      </c>
      <c r="E135" s="90">
        <v>4.0</v>
      </c>
      <c r="F135" s="91">
        <v>4.0</v>
      </c>
      <c r="G135" s="92">
        <f>'Start Here'!$F$22*D135</f>
        <v>80</v>
      </c>
      <c r="H135" s="138"/>
      <c r="I135" s="165"/>
      <c r="J135" s="166">
        <f t="shared" si="143"/>
        <v>16</v>
      </c>
      <c r="K135" s="165">
        <f t="shared" si="144"/>
        <v>1280</v>
      </c>
      <c r="L135" s="166"/>
      <c r="M135" s="165"/>
      <c r="N135" s="67"/>
      <c r="O135" s="67"/>
      <c r="P135" s="67"/>
      <c r="Q135" s="67"/>
      <c r="R135" s="67"/>
      <c r="S135" s="93" t="str">
        <f t="shared" si="145"/>
        <v> </v>
      </c>
      <c r="T135" s="93" t="str">
        <f t="shared" si="146"/>
        <v> </v>
      </c>
      <c r="U135" s="93" t="str">
        <f t="shared" si="147"/>
        <v> </v>
      </c>
      <c r="V135" s="93">
        <f t="shared" si="148"/>
        <v>16</v>
      </c>
      <c r="W135" s="93" t="str">
        <f t="shared" si="149"/>
        <v> </v>
      </c>
      <c r="X135" s="67"/>
      <c r="Y135" s="67"/>
      <c r="Z135" s="67"/>
      <c r="AA135" s="67"/>
      <c r="AB135" s="67"/>
      <c r="AC135" s="85"/>
      <c r="AG135" s="86"/>
    </row>
    <row r="136" ht="12.75" customHeight="1">
      <c r="A136" s="1"/>
      <c r="B136" s="96">
        <v>4.0</v>
      </c>
      <c r="C136" s="167" t="s">
        <v>92</v>
      </c>
      <c r="D136" s="168"/>
      <c r="E136" s="98">
        <v>6.0</v>
      </c>
      <c r="F136" s="169">
        <v>4.0</v>
      </c>
      <c r="G136" s="170"/>
      <c r="H136" s="138"/>
      <c r="I136" s="165"/>
      <c r="J136" s="166"/>
      <c r="K136" s="165"/>
      <c r="L136" s="166"/>
      <c r="M136" s="165"/>
      <c r="N136" s="67"/>
      <c r="O136" s="67"/>
      <c r="P136" s="67"/>
      <c r="Q136" s="67"/>
      <c r="R136" s="67"/>
      <c r="S136" s="67"/>
      <c r="T136" s="67"/>
      <c r="U136" s="67"/>
      <c r="V136" s="67"/>
      <c r="W136" s="67"/>
      <c r="X136" s="67"/>
      <c r="Y136" s="67"/>
      <c r="Z136" s="67"/>
      <c r="AA136" s="67"/>
      <c r="AB136" s="67"/>
      <c r="AC136" s="85"/>
      <c r="AG136" s="86"/>
    </row>
    <row r="137" ht="12.75" customHeight="1">
      <c r="A137" s="1"/>
      <c r="B137" s="175">
        <v>5.0</v>
      </c>
      <c r="C137" s="176" t="s">
        <v>78</v>
      </c>
      <c r="D137" s="177"/>
      <c r="E137" s="178">
        <v>5.0</v>
      </c>
      <c r="F137" s="179">
        <v>5.0</v>
      </c>
      <c r="G137" s="180"/>
      <c r="H137" s="138"/>
      <c r="I137" s="165"/>
      <c r="J137" s="166"/>
      <c r="K137" s="165"/>
      <c r="L137" s="166"/>
      <c r="M137" s="165"/>
      <c r="N137" s="67"/>
      <c r="O137" s="67"/>
      <c r="P137" s="67"/>
      <c r="Q137" s="67"/>
      <c r="R137" s="67"/>
      <c r="S137" s="67"/>
      <c r="T137" s="67"/>
      <c r="U137" s="67"/>
      <c r="V137" s="67"/>
      <c r="W137" s="67"/>
      <c r="X137" s="67"/>
      <c r="Y137" s="67"/>
      <c r="Z137" s="67"/>
      <c r="AA137" s="67"/>
      <c r="AB137" s="67"/>
      <c r="AC137" s="104"/>
      <c r="AD137" s="105"/>
      <c r="AE137" s="105"/>
      <c r="AF137" s="105"/>
      <c r="AG137" s="106"/>
    </row>
    <row r="138" ht="12.75" customHeight="1">
      <c r="A138" s="1"/>
      <c r="B138" s="67"/>
      <c r="C138" s="136"/>
      <c r="D138" s="137"/>
      <c r="E138" s="138"/>
      <c r="F138" s="138"/>
      <c r="G138" s="138"/>
      <c r="H138" s="138"/>
      <c r="I138" s="165"/>
      <c r="J138" s="166"/>
      <c r="K138" s="165"/>
      <c r="L138" s="166"/>
      <c r="M138" s="165"/>
      <c r="N138" s="67"/>
      <c r="O138" s="67"/>
      <c r="P138" s="67"/>
      <c r="Q138" s="67"/>
      <c r="R138" s="67"/>
      <c r="S138" s="67"/>
      <c r="T138" s="67"/>
      <c r="U138" s="67"/>
      <c r="V138" s="67"/>
      <c r="W138" s="67"/>
      <c r="X138" s="67"/>
      <c r="Y138" s="67"/>
      <c r="Z138" s="67"/>
      <c r="AA138" s="67"/>
      <c r="AB138" s="67"/>
      <c r="AC138" s="67"/>
      <c r="AD138" s="67"/>
      <c r="AE138" s="67"/>
      <c r="AF138" s="67"/>
      <c r="AG138" s="67"/>
    </row>
    <row r="139" ht="27.0" customHeight="1">
      <c r="A139" s="1"/>
      <c r="B139" s="68" t="s">
        <v>49</v>
      </c>
      <c r="D139" s="137" t="s">
        <v>34</v>
      </c>
      <c r="E139" s="138" t="s">
        <v>35</v>
      </c>
      <c r="F139" s="138" t="s">
        <v>36</v>
      </c>
      <c r="G139" s="138" t="s">
        <v>37</v>
      </c>
      <c r="H139" s="138"/>
      <c r="I139" s="165"/>
      <c r="J139" s="166"/>
      <c r="K139" s="165"/>
      <c r="L139" s="166"/>
      <c r="M139" s="165"/>
      <c r="N139" s="67"/>
      <c r="O139" s="67"/>
      <c r="P139" s="67"/>
      <c r="Q139" s="67"/>
      <c r="R139" s="67"/>
      <c r="S139" s="67"/>
      <c r="T139" s="67"/>
      <c r="U139" s="67"/>
      <c r="V139" s="67"/>
      <c r="W139" s="67"/>
      <c r="X139" s="67"/>
      <c r="Y139" s="67"/>
      <c r="Z139" s="67"/>
      <c r="AA139" s="67"/>
      <c r="AB139" s="67"/>
      <c r="AC139" s="67" t="s">
        <v>43</v>
      </c>
      <c r="AD139" s="67"/>
      <c r="AE139" s="67"/>
      <c r="AF139" s="67"/>
      <c r="AG139" s="67"/>
    </row>
    <row r="140" ht="12.75" customHeight="1">
      <c r="A140" s="1"/>
      <c r="B140" s="107">
        <v>1.0</v>
      </c>
      <c r="C140" s="108" t="s">
        <v>127</v>
      </c>
      <c r="D140" s="109">
        <v>0.5</v>
      </c>
      <c r="E140" s="110">
        <v>4.0</v>
      </c>
      <c r="F140" s="111">
        <v>1.0</v>
      </c>
      <c r="G140" s="112">
        <f>'Start Here'!$F$23*D140</f>
        <v>50</v>
      </c>
      <c r="H140" s="138"/>
      <c r="I140" s="165"/>
      <c r="J140" s="166"/>
      <c r="K140" s="165"/>
      <c r="L140" s="166">
        <f t="shared" ref="L140:L142" si="150">E140*F140</f>
        <v>4</v>
      </c>
      <c r="M140" s="165">
        <f t="shared" ref="M140:M142" si="151">G140*L140</f>
        <v>200</v>
      </c>
      <c r="N140" s="67"/>
      <c r="O140" s="67"/>
      <c r="P140" s="67"/>
      <c r="Q140" s="67"/>
      <c r="R140" s="67"/>
      <c r="S140" s="67"/>
      <c r="T140" s="67"/>
      <c r="U140" s="67"/>
      <c r="V140" s="67"/>
      <c r="W140" s="67"/>
      <c r="X140" s="114">
        <f t="shared" ref="X140:X142" si="152">IF(ISNUMBER(SEARCH("deadlift",$C140)),IF($D140&gt;=0.5,IF($D140&lt;0.6,$E140*$F140," ")," ")," ")</f>
        <v>4</v>
      </c>
      <c r="Y140" s="114" t="str">
        <f t="shared" ref="Y140:Y142" si="153">IF(ISNUMBER(SEARCH("deadlift",$C140)),IF($D140&gt;=0.6,IF($D140&lt;0.7,$E140*$F140," ")," ")," ")</f>
        <v> </v>
      </c>
      <c r="Z140" s="114" t="str">
        <f t="shared" ref="Z140:Z142" si="154">IF(ISNUMBER(SEARCH("deadlift",$C140)),IF($D140&gt;=0.7,IF($D140&lt;0.8,$E140*$F140," ")," ")," ")</f>
        <v> </v>
      </c>
      <c r="AA140" s="114" t="str">
        <f t="shared" ref="AA140:AA142" si="155">IF(ISNUMBER(SEARCH("deadlift",$C140)),IF($D140&gt;=0.8,IF($D140&lt;0.9,$E140*$F140," ")," ")," ")</f>
        <v> </v>
      </c>
      <c r="AB140" s="114" t="str">
        <f t="shared" ref="AB140:AB142" si="156">IF(ISNUMBER(SEARCH("deadlift",$C140)),IF($D140&gt;=0.9,$E140*$F140," ")," ")</f>
        <v> </v>
      </c>
      <c r="AC140" s="76"/>
      <c r="AD140" s="77"/>
      <c r="AE140" s="77"/>
      <c r="AF140" s="77"/>
      <c r="AG140" s="78"/>
    </row>
    <row r="141" ht="12.75" customHeight="1">
      <c r="A141" s="1"/>
      <c r="B141" s="115"/>
      <c r="C141" s="122" t="s">
        <v>127</v>
      </c>
      <c r="D141" s="117">
        <v>0.6</v>
      </c>
      <c r="E141" s="118">
        <v>4.0</v>
      </c>
      <c r="F141" s="119">
        <v>1.0</v>
      </c>
      <c r="G141" s="120">
        <f>'Start Here'!$F$23*D141</f>
        <v>60</v>
      </c>
      <c r="H141" s="138"/>
      <c r="I141" s="165"/>
      <c r="J141" s="166"/>
      <c r="K141" s="165"/>
      <c r="L141" s="166">
        <f t="shared" si="150"/>
        <v>4</v>
      </c>
      <c r="M141" s="165">
        <f t="shared" si="151"/>
        <v>240</v>
      </c>
      <c r="N141" s="67"/>
      <c r="O141" s="67"/>
      <c r="P141" s="67"/>
      <c r="Q141" s="67"/>
      <c r="R141" s="67"/>
      <c r="S141" s="67"/>
      <c r="T141" s="67"/>
      <c r="U141" s="67"/>
      <c r="V141" s="67"/>
      <c r="W141" s="67"/>
      <c r="X141" s="114" t="str">
        <f t="shared" si="152"/>
        <v> </v>
      </c>
      <c r="Y141" s="114">
        <f t="shared" si="153"/>
        <v>4</v>
      </c>
      <c r="Z141" s="114" t="str">
        <f t="shared" si="154"/>
        <v> </v>
      </c>
      <c r="AA141" s="114" t="str">
        <f t="shared" si="155"/>
        <v> </v>
      </c>
      <c r="AB141" s="114" t="str">
        <f t="shared" si="156"/>
        <v> </v>
      </c>
      <c r="AC141" s="85"/>
      <c r="AG141" s="86"/>
    </row>
    <row r="142" ht="12.75" customHeight="1">
      <c r="A142" s="1"/>
      <c r="B142" s="115"/>
      <c r="C142" s="122" t="s">
        <v>127</v>
      </c>
      <c r="D142" s="117">
        <v>0.7</v>
      </c>
      <c r="E142" s="118">
        <v>4.0</v>
      </c>
      <c r="F142" s="119">
        <v>4.0</v>
      </c>
      <c r="G142" s="120">
        <f>'Start Here'!$F$23*D142</f>
        <v>70</v>
      </c>
      <c r="H142" s="138"/>
      <c r="I142" s="165"/>
      <c r="J142" s="166"/>
      <c r="K142" s="165"/>
      <c r="L142" s="166">
        <f t="shared" si="150"/>
        <v>16</v>
      </c>
      <c r="M142" s="165">
        <f t="shared" si="151"/>
        <v>1120</v>
      </c>
      <c r="N142" s="67"/>
      <c r="O142" s="67"/>
      <c r="P142" s="67"/>
      <c r="Q142" s="67"/>
      <c r="R142" s="67"/>
      <c r="S142" s="67"/>
      <c r="T142" s="67"/>
      <c r="U142" s="67"/>
      <c r="V142" s="67"/>
      <c r="W142" s="67"/>
      <c r="X142" s="114" t="str">
        <f t="shared" si="152"/>
        <v> </v>
      </c>
      <c r="Y142" s="114" t="str">
        <f t="shared" si="153"/>
        <v> </v>
      </c>
      <c r="Z142" s="114">
        <f t="shared" si="154"/>
        <v>16</v>
      </c>
      <c r="AA142" s="114" t="str">
        <f t="shared" si="155"/>
        <v> </v>
      </c>
      <c r="AB142" s="114" t="str">
        <f t="shared" si="156"/>
        <v> </v>
      </c>
      <c r="AC142" s="85"/>
      <c r="AG142" s="86"/>
    </row>
    <row r="143" ht="12.75" customHeight="1">
      <c r="A143" s="1"/>
      <c r="B143" s="87">
        <v>2.0</v>
      </c>
      <c r="C143" s="88" t="s">
        <v>45</v>
      </c>
      <c r="D143" s="89">
        <v>0.5</v>
      </c>
      <c r="E143" s="90">
        <v>5.0</v>
      </c>
      <c r="F143" s="91">
        <v>1.0</v>
      </c>
      <c r="G143" s="92">
        <f>'Start Here'!$F$22*D143</f>
        <v>50</v>
      </c>
      <c r="H143" s="138"/>
      <c r="I143" s="165"/>
      <c r="J143" s="166">
        <f t="shared" ref="J143:J151" si="157">E143*F143</f>
        <v>5</v>
      </c>
      <c r="K143" s="165">
        <f t="shared" ref="K143:K151" si="158">G143*J143</f>
        <v>250</v>
      </c>
      <c r="L143" s="166"/>
      <c r="M143" s="165"/>
      <c r="N143" s="67"/>
      <c r="O143" s="67"/>
      <c r="P143" s="67"/>
      <c r="Q143" s="67"/>
      <c r="R143" s="67"/>
      <c r="S143" s="93">
        <f t="shared" ref="S143:S152" si="159">IF(ISNUMBER(SEARCH("bench",$C143)),IF($D143&gt;=0.5,IF($D143&lt;0.6,$E143*$F143," ")," ")," ")</f>
        <v>5</v>
      </c>
      <c r="T143" s="93" t="str">
        <f t="shared" ref="T143:T152" si="160">IF(ISNUMBER(SEARCH("bench",$C143)),IF($D143&gt;=0.6,IF($D143&lt;0.7,$E143*$F143," ")," ")," ")</f>
        <v> </v>
      </c>
      <c r="U143" s="93" t="str">
        <f t="shared" ref="U143:U152" si="161">IF(ISNUMBER(SEARCH("bench",$C143)),IF($D143&gt;=0.7,IF($D143&lt;0.8,$E143*$F143," ")," ")," ")</f>
        <v> </v>
      </c>
      <c r="V143" s="93" t="str">
        <f t="shared" ref="V143:V152" si="162">IF(ISNUMBER(SEARCH("bench",$C143)),IF($D143&gt;=0.8,IF($D143&lt;0.9,$E143*$F143," ")," ")," ")</f>
        <v> </v>
      </c>
      <c r="W143" s="93" t="str">
        <f t="shared" ref="W143:W152" si="163">IF(ISNUMBER(SEARCH("bench",$C143)),IF($D143&gt;=0.9,$E143*$F143," ")," ")</f>
        <v> </v>
      </c>
      <c r="X143" s="67"/>
      <c r="Y143" s="67"/>
      <c r="Z143" s="67"/>
      <c r="AA143" s="67"/>
      <c r="AB143" s="67"/>
      <c r="AC143" s="85"/>
      <c r="AG143" s="86"/>
    </row>
    <row r="144" ht="12.75" customHeight="1">
      <c r="A144" s="1"/>
      <c r="B144" s="87"/>
      <c r="C144" s="94" t="s">
        <v>45</v>
      </c>
      <c r="D144" s="89">
        <v>0.6</v>
      </c>
      <c r="E144" s="90">
        <v>4.0</v>
      </c>
      <c r="F144" s="91">
        <v>1.0</v>
      </c>
      <c r="G144" s="92">
        <f>'Start Here'!$F$22*D144</f>
        <v>60</v>
      </c>
      <c r="H144" s="138"/>
      <c r="I144" s="165"/>
      <c r="J144" s="166">
        <f t="shared" si="157"/>
        <v>4</v>
      </c>
      <c r="K144" s="165">
        <f t="shared" si="158"/>
        <v>240</v>
      </c>
      <c r="L144" s="166"/>
      <c r="M144" s="165"/>
      <c r="N144" s="67"/>
      <c r="O144" s="67"/>
      <c r="P144" s="67"/>
      <c r="Q144" s="67"/>
      <c r="R144" s="67"/>
      <c r="S144" s="93" t="str">
        <f t="shared" si="159"/>
        <v> </v>
      </c>
      <c r="T144" s="93">
        <f t="shared" si="160"/>
        <v>4</v>
      </c>
      <c r="U144" s="93" t="str">
        <f t="shared" si="161"/>
        <v> </v>
      </c>
      <c r="V144" s="93" t="str">
        <f t="shared" si="162"/>
        <v> </v>
      </c>
      <c r="W144" s="93" t="str">
        <f t="shared" si="163"/>
        <v> </v>
      </c>
      <c r="X144" s="67"/>
      <c r="Y144" s="67"/>
      <c r="Z144" s="67"/>
      <c r="AA144" s="67"/>
      <c r="AB144" s="67"/>
      <c r="AC144" s="85"/>
      <c r="AG144" s="86"/>
    </row>
    <row r="145" ht="12.75" customHeight="1">
      <c r="A145" s="1"/>
      <c r="B145" s="87"/>
      <c r="C145" s="94" t="s">
        <v>45</v>
      </c>
      <c r="D145" s="89">
        <v>0.7</v>
      </c>
      <c r="E145" s="90">
        <v>3.0</v>
      </c>
      <c r="F145" s="91">
        <v>1.0</v>
      </c>
      <c r="G145" s="92">
        <f>'Start Here'!$F$22*D145</f>
        <v>70</v>
      </c>
      <c r="H145" s="138"/>
      <c r="I145" s="165"/>
      <c r="J145" s="166">
        <f t="shared" si="157"/>
        <v>3</v>
      </c>
      <c r="K145" s="165">
        <f t="shared" si="158"/>
        <v>210</v>
      </c>
      <c r="L145" s="166"/>
      <c r="M145" s="165"/>
      <c r="N145" s="67"/>
      <c r="O145" s="67"/>
      <c r="P145" s="67"/>
      <c r="Q145" s="67"/>
      <c r="R145" s="67"/>
      <c r="S145" s="93" t="str">
        <f t="shared" si="159"/>
        <v> </v>
      </c>
      <c r="T145" s="93" t="str">
        <f t="shared" si="160"/>
        <v> </v>
      </c>
      <c r="U145" s="93">
        <f t="shared" si="161"/>
        <v>3</v>
      </c>
      <c r="V145" s="93" t="str">
        <f t="shared" si="162"/>
        <v> </v>
      </c>
      <c r="W145" s="93" t="str">
        <f t="shared" si="163"/>
        <v> </v>
      </c>
      <c r="X145" s="67"/>
      <c r="Y145" s="67"/>
      <c r="Z145" s="67"/>
      <c r="AA145" s="67"/>
      <c r="AB145" s="67"/>
      <c r="AC145" s="85"/>
      <c r="AG145" s="86"/>
    </row>
    <row r="146" ht="12.75" customHeight="1">
      <c r="A146" s="1"/>
      <c r="B146" s="87"/>
      <c r="C146" s="94" t="s">
        <v>45</v>
      </c>
      <c r="D146" s="89">
        <v>0.8</v>
      </c>
      <c r="E146" s="90">
        <v>3.0</v>
      </c>
      <c r="F146" s="91">
        <v>2.0</v>
      </c>
      <c r="G146" s="92">
        <f>'Start Here'!$F$22*D146</f>
        <v>80</v>
      </c>
      <c r="H146" s="138"/>
      <c r="I146" s="165"/>
      <c r="J146" s="166">
        <f t="shared" si="157"/>
        <v>6</v>
      </c>
      <c r="K146" s="165">
        <f t="shared" si="158"/>
        <v>480</v>
      </c>
      <c r="L146" s="166"/>
      <c r="M146" s="165"/>
      <c r="N146" s="67"/>
      <c r="O146" s="67"/>
      <c r="P146" s="67"/>
      <c r="Q146" s="67"/>
      <c r="R146" s="67"/>
      <c r="S146" s="93" t="str">
        <f t="shared" si="159"/>
        <v> </v>
      </c>
      <c r="T146" s="93" t="str">
        <f t="shared" si="160"/>
        <v> </v>
      </c>
      <c r="U146" s="93" t="str">
        <f t="shared" si="161"/>
        <v> </v>
      </c>
      <c r="V146" s="93">
        <f t="shared" si="162"/>
        <v>6</v>
      </c>
      <c r="W146" s="93" t="str">
        <f t="shared" si="163"/>
        <v> </v>
      </c>
      <c r="X146" s="67"/>
      <c r="Y146" s="67"/>
      <c r="Z146" s="67"/>
      <c r="AA146" s="67"/>
      <c r="AB146" s="67"/>
      <c r="AC146" s="85"/>
      <c r="AG146" s="86"/>
    </row>
    <row r="147" ht="12.75" customHeight="1">
      <c r="A147" s="1"/>
      <c r="B147" s="87"/>
      <c r="C147" s="94" t="s">
        <v>45</v>
      </c>
      <c r="D147" s="89">
        <v>0.85</v>
      </c>
      <c r="E147" s="90">
        <v>2.0</v>
      </c>
      <c r="F147" s="91">
        <v>2.0</v>
      </c>
      <c r="G147" s="92">
        <f>'Start Here'!$F$22*D147</f>
        <v>85</v>
      </c>
      <c r="H147" s="138"/>
      <c r="I147" s="165"/>
      <c r="J147" s="166">
        <f t="shared" si="157"/>
        <v>4</v>
      </c>
      <c r="K147" s="165">
        <f t="shared" si="158"/>
        <v>340</v>
      </c>
      <c r="L147" s="166"/>
      <c r="M147" s="165"/>
      <c r="N147" s="67"/>
      <c r="O147" s="67"/>
      <c r="P147" s="67"/>
      <c r="Q147" s="67"/>
      <c r="R147" s="67"/>
      <c r="S147" s="93" t="str">
        <f t="shared" si="159"/>
        <v> </v>
      </c>
      <c r="T147" s="93" t="str">
        <f t="shared" si="160"/>
        <v> </v>
      </c>
      <c r="U147" s="93" t="str">
        <f t="shared" si="161"/>
        <v> </v>
      </c>
      <c r="V147" s="93">
        <f t="shared" si="162"/>
        <v>4</v>
      </c>
      <c r="W147" s="93" t="str">
        <f t="shared" si="163"/>
        <v> </v>
      </c>
      <c r="X147" s="67"/>
      <c r="Y147" s="67"/>
      <c r="Z147" s="67"/>
      <c r="AA147" s="67"/>
      <c r="AB147" s="67"/>
      <c r="AC147" s="85"/>
      <c r="AG147" s="86"/>
    </row>
    <row r="148" ht="12.75" customHeight="1">
      <c r="A148" s="1"/>
      <c r="B148" s="87"/>
      <c r="C148" s="94" t="s">
        <v>45</v>
      </c>
      <c r="D148" s="89">
        <v>0.8</v>
      </c>
      <c r="E148" s="90">
        <v>3.0</v>
      </c>
      <c r="F148" s="91">
        <v>1.0</v>
      </c>
      <c r="G148" s="92">
        <f>'Start Here'!$F$22*D148</f>
        <v>80</v>
      </c>
      <c r="H148" s="138"/>
      <c r="I148" s="165"/>
      <c r="J148" s="166">
        <f t="shared" si="157"/>
        <v>3</v>
      </c>
      <c r="K148" s="165">
        <f t="shared" si="158"/>
        <v>240</v>
      </c>
      <c r="L148" s="166"/>
      <c r="M148" s="165"/>
      <c r="N148" s="67"/>
      <c r="O148" s="67"/>
      <c r="P148" s="67"/>
      <c r="Q148" s="67"/>
      <c r="R148" s="67"/>
      <c r="S148" s="93" t="str">
        <f t="shared" si="159"/>
        <v> </v>
      </c>
      <c r="T148" s="93" t="str">
        <f t="shared" si="160"/>
        <v> </v>
      </c>
      <c r="U148" s="93" t="str">
        <f t="shared" si="161"/>
        <v> </v>
      </c>
      <c r="V148" s="93">
        <f t="shared" si="162"/>
        <v>3</v>
      </c>
      <c r="W148" s="93" t="str">
        <f t="shared" si="163"/>
        <v> </v>
      </c>
      <c r="X148" s="67"/>
      <c r="Y148" s="67"/>
      <c r="Z148" s="67"/>
      <c r="AA148" s="67"/>
      <c r="AB148" s="67"/>
      <c r="AC148" s="85"/>
      <c r="AG148" s="86"/>
    </row>
    <row r="149" ht="12.75" customHeight="1">
      <c r="A149" s="1"/>
      <c r="B149" s="87"/>
      <c r="C149" s="94" t="s">
        <v>45</v>
      </c>
      <c r="D149" s="89">
        <v>0.7</v>
      </c>
      <c r="E149" s="90">
        <v>5.0</v>
      </c>
      <c r="F149" s="91">
        <v>1.0</v>
      </c>
      <c r="G149" s="92">
        <f>'Start Here'!$F$22*D149</f>
        <v>70</v>
      </c>
      <c r="H149" s="138"/>
      <c r="I149" s="165"/>
      <c r="J149" s="166">
        <f t="shared" si="157"/>
        <v>5</v>
      </c>
      <c r="K149" s="165">
        <f t="shared" si="158"/>
        <v>350</v>
      </c>
      <c r="L149" s="166"/>
      <c r="M149" s="165"/>
      <c r="N149" s="67"/>
      <c r="O149" s="67"/>
      <c r="P149" s="67"/>
      <c r="Q149" s="67"/>
      <c r="R149" s="67"/>
      <c r="S149" s="93" t="str">
        <f t="shared" si="159"/>
        <v> </v>
      </c>
      <c r="T149" s="93" t="str">
        <f t="shared" si="160"/>
        <v> </v>
      </c>
      <c r="U149" s="93">
        <f t="shared" si="161"/>
        <v>5</v>
      </c>
      <c r="V149" s="93" t="str">
        <f t="shared" si="162"/>
        <v> </v>
      </c>
      <c r="W149" s="93" t="str">
        <f t="shared" si="163"/>
        <v> </v>
      </c>
      <c r="X149" s="67"/>
      <c r="Y149" s="67"/>
      <c r="Z149" s="67"/>
      <c r="AA149" s="67"/>
      <c r="AB149" s="67"/>
      <c r="AC149" s="85"/>
      <c r="AG149" s="86"/>
    </row>
    <row r="150" ht="12.75" customHeight="1">
      <c r="A150" s="1"/>
      <c r="B150" s="87"/>
      <c r="C150" s="94" t="s">
        <v>45</v>
      </c>
      <c r="D150" s="89">
        <v>0.6</v>
      </c>
      <c r="E150" s="90">
        <v>7.0</v>
      </c>
      <c r="F150" s="91">
        <v>1.0</v>
      </c>
      <c r="G150" s="92">
        <f>'Start Here'!$F$22*D150</f>
        <v>60</v>
      </c>
      <c r="H150" s="138"/>
      <c r="I150" s="165"/>
      <c r="J150" s="166">
        <f t="shared" si="157"/>
        <v>7</v>
      </c>
      <c r="K150" s="165">
        <f t="shared" si="158"/>
        <v>420</v>
      </c>
      <c r="L150" s="166"/>
      <c r="M150" s="165"/>
      <c r="N150" s="67"/>
      <c r="O150" s="67"/>
      <c r="P150" s="67"/>
      <c r="Q150" s="67"/>
      <c r="R150" s="67"/>
      <c r="S150" s="93" t="str">
        <f t="shared" si="159"/>
        <v> </v>
      </c>
      <c r="T150" s="93">
        <f t="shared" si="160"/>
        <v>7</v>
      </c>
      <c r="U150" s="93" t="str">
        <f t="shared" si="161"/>
        <v> </v>
      </c>
      <c r="V150" s="93" t="str">
        <f t="shared" si="162"/>
        <v> </v>
      </c>
      <c r="W150" s="93" t="str">
        <f t="shared" si="163"/>
        <v> </v>
      </c>
      <c r="X150" s="67"/>
      <c r="Y150" s="67"/>
      <c r="Z150" s="67"/>
      <c r="AA150" s="67"/>
      <c r="AB150" s="67"/>
      <c r="AC150" s="85"/>
      <c r="AG150" s="86"/>
    </row>
    <row r="151" ht="12.75" customHeight="1">
      <c r="A151" s="1"/>
      <c r="B151" s="87"/>
      <c r="C151" s="94" t="s">
        <v>45</v>
      </c>
      <c r="D151" s="89">
        <v>0.5</v>
      </c>
      <c r="E151" s="90">
        <v>9.0</v>
      </c>
      <c r="F151" s="91">
        <v>1.0</v>
      </c>
      <c r="G151" s="92">
        <f>'Start Here'!$F$22*D151</f>
        <v>50</v>
      </c>
      <c r="H151" s="138"/>
      <c r="I151" s="165"/>
      <c r="J151" s="166">
        <f t="shared" si="157"/>
        <v>9</v>
      </c>
      <c r="K151" s="165">
        <f t="shared" si="158"/>
        <v>450</v>
      </c>
      <c r="L151" s="166"/>
      <c r="M151" s="165"/>
      <c r="N151" s="67"/>
      <c r="O151" s="67"/>
      <c r="P151" s="67"/>
      <c r="Q151" s="67"/>
      <c r="R151" s="67"/>
      <c r="S151" s="93">
        <f t="shared" si="159"/>
        <v>9</v>
      </c>
      <c r="T151" s="93" t="str">
        <f t="shared" si="160"/>
        <v> </v>
      </c>
      <c r="U151" s="93" t="str">
        <f t="shared" si="161"/>
        <v> </v>
      </c>
      <c r="V151" s="93" t="str">
        <f t="shared" si="162"/>
        <v> </v>
      </c>
      <c r="W151" s="93" t="str">
        <f t="shared" si="163"/>
        <v> </v>
      </c>
      <c r="X151" s="67"/>
      <c r="Y151" s="67"/>
      <c r="Z151" s="67"/>
      <c r="AA151" s="67"/>
      <c r="AB151" s="67"/>
      <c r="AC151" s="85"/>
      <c r="AG151" s="86"/>
    </row>
    <row r="152" ht="12.75" customHeight="1">
      <c r="A152" s="1"/>
      <c r="B152" s="115">
        <v>3.0</v>
      </c>
      <c r="C152" s="121" t="s">
        <v>128</v>
      </c>
      <c r="D152" s="117">
        <v>0.5</v>
      </c>
      <c r="E152" s="118">
        <v>4.0</v>
      </c>
      <c r="F152" s="119">
        <v>1.0</v>
      </c>
      <c r="G152" s="120">
        <f>'Start Here'!$F$23*D152</f>
        <v>50</v>
      </c>
      <c r="H152" s="138"/>
      <c r="I152" s="165"/>
      <c r="J152" s="166"/>
      <c r="K152" s="165"/>
      <c r="L152" s="166">
        <f t="shared" ref="L152:L155" si="164">E152*F152</f>
        <v>4</v>
      </c>
      <c r="M152" s="165">
        <f t="shared" ref="M152:M155" si="165">G152*L152</f>
        <v>200</v>
      </c>
      <c r="N152" s="67"/>
      <c r="O152" s="67"/>
      <c r="P152" s="67"/>
      <c r="Q152" s="67"/>
      <c r="R152" s="67"/>
      <c r="S152" s="93" t="str">
        <f t="shared" si="159"/>
        <v> </v>
      </c>
      <c r="T152" s="93" t="str">
        <f t="shared" si="160"/>
        <v> </v>
      </c>
      <c r="U152" s="93" t="str">
        <f t="shared" si="161"/>
        <v> </v>
      </c>
      <c r="V152" s="93" t="str">
        <f t="shared" si="162"/>
        <v> </v>
      </c>
      <c r="W152" s="93" t="str">
        <f t="shared" si="163"/>
        <v> </v>
      </c>
      <c r="X152" s="114">
        <f t="shared" ref="X152:X155" si="166">IF(ISNUMBER(SEARCH("deadlift",$C152)),IF($D152&gt;=0.5,IF($D152&lt;0.6,$E152*$F152," ")," ")," ")</f>
        <v>4</v>
      </c>
      <c r="Y152" s="114" t="str">
        <f t="shared" ref="Y152:Y155" si="167">IF(ISNUMBER(SEARCH("deadlift",$C152)),IF($D152&gt;=0.6,IF($D152&lt;0.7,$E152*$F152," ")," ")," ")</f>
        <v> </v>
      </c>
      <c r="Z152" s="114" t="str">
        <f t="shared" ref="Z152:Z155" si="168">IF(ISNUMBER(SEARCH("deadlift",$C152)),IF($D152&gt;=0.7,IF($D152&lt;0.8,$E152*$F152," ")," ")," ")</f>
        <v> </v>
      </c>
      <c r="AA152" s="114" t="str">
        <f t="shared" ref="AA152:AA155" si="169">IF(ISNUMBER(SEARCH("deadlift",$C152)),IF($D152&gt;=0.8,IF($D152&lt;0.9,$E152*$F152," ")," ")," ")</f>
        <v> </v>
      </c>
      <c r="AB152" s="114" t="str">
        <f t="shared" ref="AB152:AB155" si="170">IF(ISNUMBER(SEARCH("deadlift",$C152)),IF($D152&gt;=0.9,$E152*$F152," ")," ")</f>
        <v> </v>
      </c>
      <c r="AC152" s="85"/>
      <c r="AG152" s="86"/>
    </row>
    <row r="153" ht="12.75" customHeight="1">
      <c r="A153" s="1"/>
      <c r="B153" s="115"/>
      <c r="C153" s="247" t="s">
        <v>128</v>
      </c>
      <c r="D153" s="117">
        <v>0.6</v>
      </c>
      <c r="E153" s="118">
        <v>4.0</v>
      </c>
      <c r="F153" s="119">
        <v>1.0</v>
      </c>
      <c r="G153" s="120">
        <f>'Start Here'!$F$23*D153</f>
        <v>60</v>
      </c>
      <c r="H153" s="138"/>
      <c r="I153" s="165"/>
      <c r="J153" s="166"/>
      <c r="K153" s="165"/>
      <c r="L153" s="166">
        <f t="shared" si="164"/>
        <v>4</v>
      </c>
      <c r="M153" s="165">
        <f t="shared" si="165"/>
        <v>240</v>
      </c>
      <c r="N153" s="67"/>
      <c r="O153" s="67"/>
      <c r="P153" s="67"/>
      <c r="Q153" s="67"/>
      <c r="R153" s="67"/>
      <c r="S153" s="67"/>
      <c r="T153" s="67"/>
      <c r="U153" s="67"/>
      <c r="V153" s="67"/>
      <c r="W153" s="67"/>
      <c r="X153" s="114" t="str">
        <f t="shared" si="166"/>
        <v> </v>
      </c>
      <c r="Y153" s="114">
        <f t="shared" si="167"/>
        <v>4</v>
      </c>
      <c r="Z153" s="114" t="str">
        <f t="shared" si="168"/>
        <v> </v>
      </c>
      <c r="AA153" s="114" t="str">
        <f t="shared" si="169"/>
        <v> </v>
      </c>
      <c r="AB153" s="114" t="str">
        <f t="shared" si="170"/>
        <v> </v>
      </c>
      <c r="AC153" s="85"/>
      <c r="AG153" s="86"/>
    </row>
    <row r="154" ht="12.75" customHeight="1">
      <c r="A154" s="1"/>
      <c r="B154" s="115"/>
      <c r="C154" s="247" t="s">
        <v>128</v>
      </c>
      <c r="D154" s="117">
        <v>0.7</v>
      </c>
      <c r="E154" s="118">
        <v>4.0</v>
      </c>
      <c r="F154" s="119">
        <v>1.0</v>
      </c>
      <c r="G154" s="120">
        <f>'Start Here'!$F$23*D154</f>
        <v>70</v>
      </c>
      <c r="H154" s="138"/>
      <c r="I154" s="165"/>
      <c r="J154" s="166"/>
      <c r="K154" s="165"/>
      <c r="L154" s="166">
        <f t="shared" si="164"/>
        <v>4</v>
      </c>
      <c r="M154" s="165">
        <f t="shared" si="165"/>
        <v>280</v>
      </c>
      <c r="N154" s="67"/>
      <c r="O154" s="67"/>
      <c r="P154" s="67"/>
      <c r="Q154" s="67"/>
      <c r="R154" s="67"/>
      <c r="S154" s="67"/>
      <c r="T154" s="67"/>
      <c r="U154" s="67"/>
      <c r="V154" s="67"/>
      <c r="W154" s="67"/>
      <c r="X154" s="114" t="str">
        <f t="shared" si="166"/>
        <v> </v>
      </c>
      <c r="Y154" s="114" t="str">
        <f t="shared" si="167"/>
        <v> </v>
      </c>
      <c r="Z154" s="114">
        <f t="shared" si="168"/>
        <v>4</v>
      </c>
      <c r="AA154" s="114" t="str">
        <f t="shared" si="169"/>
        <v> </v>
      </c>
      <c r="AB154" s="114" t="str">
        <f t="shared" si="170"/>
        <v> </v>
      </c>
      <c r="AC154" s="85"/>
      <c r="AG154" s="86"/>
    </row>
    <row r="155" ht="12.75" customHeight="1">
      <c r="A155" s="1"/>
      <c r="B155" s="115"/>
      <c r="C155" s="247" t="s">
        <v>129</v>
      </c>
      <c r="D155" s="117">
        <v>0.75</v>
      </c>
      <c r="E155" s="118">
        <v>3.0</v>
      </c>
      <c r="F155" s="119">
        <v>4.0</v>
      </c>
      <c r="G155" s="120">
        <f>'Start Here'!$F$23*D155</f>
        <v>75</v>
      </c>
      <c r="H155" s="138"/>
      <c r="I155" s="165"/>
      <c r="J155" s="166"/>
      <c r="K155" s="165"/>
      <c r="L155" s="166">
        <f t="shared" si="164"/>
        <v>12</v>
      </c>
      <c r="M155" s="165">
        <f t="shared" si="165"/>
        <v>900</v>
      </c>
      <c r="N155" s="67"/>
      <c r="O155" s="67"/>
      <c r="P155" s="67"/>
      <c r="Q155" s="67"/>
      <c r="R155" s="67"/>
      <c r="S155" s="67"/>
      <c r="T155" s="67"/>
      <c r="U155" s="67"/>
      <c r="V155" s="67"/>
      <c r="W155" s="67"/>
      <c r="X155" s="114" t="str">
        <f t="shared" si="166"/>
        <v> </v>
      </c>
      <c r="Y155" s="114" t="str">
        <f t="shared" si="167"/>
        <v> </v>
      </c>
      <c r="Z155" s="114">
        <f t="shared" si="168"/>
        <v>12</v>
      </c>
      <c r="AA155" s="114" t="str">
        <f t="shared" si="169"/>
        <v> </v>
      </c>
      <c r="AB155" s="114" t="str">
        <f t="shared" si="170"/>
        <v> </v>
      </c>
      <c r="AC155" s="85"/>
      <c r="AG155" s="86"/>
    </row>
    <row r="156" ht="12.75" customHeight="1">
      <c r="A156" s="1"/>
      <c r="B156" s="96">
        <v>4.0</v>
      </c>
      <c r="C156" s="167" t="s">
        <v>83</v>
      </c>
      <c r="D156" s="168"/>
      <c r="E156" s="169">
        <v>6.0</v>
      </c>
      <c r="F156" s="169">
        <v>5.0</v>
      </c>
      <c r="G156" s="170"/>
      <c r="H156" s="138"/>
      <c r="I156" s="165"/>
      <c r="J156" s="166"/>
      <c r="K156" s="165"/>
      <c r="L156" s="166"/>
      <c r="M156" s="165"/>
      <c r="N156" s="67"/>
      <c r="O156" s="67"/>
      <c r="P156" s="67"/>
      <c r="Q156" s="67"/>
      <c r="R156" s="67"/>
      <c r="S156" s="67"/>
      <c r="T156" s="67"/>
      <c r="U156" s="67"/>
      <c r="V156" s="67"/>
      <c r="W156" s="67"/>
      <c r="X156" s="67"/>
      <c r="Y156" s="67"/>
      <c r="Z156" s="67"/>
      <c r="AA156" s="67"/>
      <c r="AB156" s="67"/>
      <c r="AC156" s="85"/>
      <c r="AG156" s="86"/>
    </row>
    <row r="157" ht="12.75" customHeight="1">
      <c r="A157" s="1"/>
      <c r="B157" s="135">
        <v>5.0</v>
      </c>
      <c r="C157" s="136" t="s">
        <v>95</v>
      </c>
      <c r="D157" s="137"/>
      <c r="E157" s="68">
        <v>6.0</v>
      </c>
      <c r="F157" s="138">
        <v>5.0</v>
      </c>
      <c r="G157" s="139"/>
      <c r="H157" s="138"/>
      <c r="I157" s="165"/>
      <c r="J157" s="166"/>
      <c r="K157" s="165"/>
      <c r="L157" s="166"/>
      <c r="M157" s="165"/>
      <c r="N157" s="67"/>
      <c r="O157" s="67"/>
      <c r="P157" s="67"/>
      <c r="Q157" s="67"/>
      <c r="R157" s="67"/>
      <c r="S157" s="67"/>
      <c r="T157" s="67"/>
      <c r="U157" s="67"/>
      <c r="V157" s="67"/>
      <c r="W157" s="67"/>
      <c r="X157" s="67"/>
      <c r="Y157" s="67"/>
      <c r="Z157" s="67"/>
      <c r="AA157" s="67"/>
      <c r="AB157" s="67"/>
      <c r="AC157" s="85"/>
      <c r="AG157" s="86"/>
    </row>
    <row r="158" ht="12.75" customHeight="1">
      <c r="A158" s="1"/>
      <c r="B158" s="100">
        <v>6.0</v>
      </c>
      <c r="C158" s="171" t="s">
        <v>48</v>
      </c>
      <c r="D158" s="172"/>
      <c r="E158" s="102">
        <v>10.0</v>
      </c>
      <c r="F158" s="173">
        <v>4.0</v>
      </c>
      <c r="G158" s="174"/>
      <c r="H158" s="138"/>
      <c r="I158" s="165"/>
      <c r="J158" s="166"/>
      <c r="K158" s="165"/>
      <c r="L158" s="166"/>
      <c r="M158" s="165"/>
      <c r="N158" s="67"/>
      <c r="O158" s="67"/>
      <c r="P158" s="67"/>
      <c r="Q158" s="67"/>
      <c r="R158" s="67"/>
      <c r="S158" s="67"/>
      <c r="T158" s="67"/>
      <c r="U158" s="67"/>
      <c r="V158" s="67"/>
      <c r="W158" s="67"/>
      <c r="X158" s="67"/>
      <c r="Y158" s="67"/>
      <c r="Z158" s="67"/>
      <c r="AA158" s="67"/>
      <c r="AB158" s="67"/>
      <c r="AC158" s="104"/>
      <c r="AD158" s="105"/>
      <c r="AE158" s="105"/>
      <c r="AF158" s="105"/>
      <c r="AG158" s="106"/>
    </row>
    <row r="159" ht="12.75" customHeight="1">
      <c r="A159" s="1"/>
      <c r="B159" s="67"/>
      <c r="C159" s="136"/>
      <c r="D159" s="137"/>
      <c r="E159" s="138"/>
      <c r="F159" s="138"/>
      <c r="G159" s="138"/>
      <c r="H159" s="138"/>
      <c r="I159" s="165"/>
      <c r="J159" s="166"/>
      <c r="K159" s="165"/>
      <c r="L159" s="166"/>
      <c r="M159" s="165"/>
      <c r="N159" s="67"/>
      <c r="O159" s="67"/>
      <c r="P159" s="67"/>
      <c r="Q159" s="67"/>
      <c r="R159" s="67"/>
      <c r="S159" s="67"/>
      <c r="T159" s="67"/>
      <c r="U159" s="67"/>
      <c r="V159" s="67"/>
      <c r="W159" s="67"/>
      <c r="X159" s="67"/>
      <c r="Y159" s="67"/>
      <c r="Z159" s="67"/>
      <c r="AA159" s="67"/>
      <c r="AB159" s="67"/>
      <c r="AC159" s="67"/>
      <c r="AD159" s="67"/>
      <c r="AE159" s="67"/>
      <c r="AF159" s="67"/>
      <c r="AG159" s="67"/>
    </row>
    <row r="160" ht="33.0" customHeight="1">
      <c r="A160" s="1"/>
      <c r="B160" s="68" t="s">
        <v>54</v>
      </c>
      <c r="D160" s="137" t="s">
        <v>34</v>
      </c>
      <c r="E160" s="138" t="s">
        <v>35</v>
      </c>
      <c r="F160" s="138" t="s">
        <v>36</v>
      </c>
      <c r="G160" s="138" t="s">
        <v>37</v>
      </c>
      <c r="H160" s="138"/>
      <c r="I160" s="165"/>
      <c r="J160" s="166"/>
      <c r="K160" s="165"/>
      <c r="L160" s="166"/>
      <c r="M160" s="165"/>
      <c r="N160" s="67"/>
      <c r="O160" s="67"/>
      <c r="P160" s="67"/>
      <c r="Q160" s="67"/>
      <c r="R160" s="67"/>
      <c r="S160" s="67"/>
      <c r="T160" s="67"/>
      <c r="U160" s="67"/>
      <c r="V160" s="67"/>
      <c r="W160" s="67"/>
      <c r="X160" s="67"/>
      <c r="Y160" s="67"/>
      <c r="Z160" s="67"/>
      <c r="AA160" s="67"/>
      <c r="AB160" s="67"/>
      <c r="AC160" s="67" t="s">
        <v>43</v>
      </c>
      <c r="AD160" s="67"/>
      <c r="AE160" s="67"/>
      <c r="AF160" s="67"/>
      <c r="AG160" s="67"/>
    </row>
    <row r="161" ht="12.75" customHeight="1">
      <c r="A161" s="1"/>
      <c r="B161" s="69">
        <v>1.0</v>
      </c>
      <c r="C161" s="70" t="s">
        <v>46</v>
      </c>
      <c r="D161" s="71">
        <v>0.5</v>
      </c>
      <c r="E161" s="145">
        <v>5.0</v>
      </c>
      <c r="F161" s="72">
        <v>1.0</v>
      </c>
      <c r="G161" s="73">
        <f>'Start Here'!$F$21*D161</f>
        <v>50</v>
      </c>
      <c r="H161" s="138">
        <f t="shared" ref="H161:H168" si="171">E161*F161</f>
        <v>5</v>
      </c>
      <c r="I161" s="165">
        <f t="shared" ref="I161:I168" si="172">G161*H161</f>
        <v>250</v>
      </c>
      <c r="J161" s="166"/>
      <c r="K161" s="165"/>
      <c r="L161" s="166"/>
      <c r="M161" s="165"/>
      <c r="N161" s="75">
        <f t="shared" ref="N161:N168" si="173">IF(ISNUMBER(SEARCH("squat",$C161)),IF($D161&gt;=0.5,IF($D161&lt;0.6,$E161*$F161," ")," ")," ")</f>
        <v>5</v>
      </c>
      <c r="O161" s="75" t="str">
        <f t="shared" ref="O161:O168" si="174">IF(ISNUMBER(SEARCH("squat",$C161)),IF($D161&gt;=0.6,IF($D161&lt;0.7,$E161*$F161," ")," ")," ")</f>
        <v> </v>
      </c>
      <c r="P161" s="75" t="str">
        <f t="shared" ref="P161:P168" si="175">IF(ISNUMBER(SEARCH("squat",$C161)),IF($D161&gt;=0.7,IF($D161&lt;0.8,$E161*$F161," ")," ")," ")</f>
        <v> </v>
      </c>
      <c r="Q161" s="75" t="str">
        <f t="shared" ref="Q161:Q168" si="176">IF(ISNUMBER(SEARCH("squat",$C161)),IF($D161&gt;=0.8,IF($D161&lt;0.9,$E161*$F161," ")," ")," ")</f>
        <v> </v>
      </c>
      <c r="R161" s="75" t="str">
        <f t="shared" ref="R161:R168" si="177">IF(ISNUMBER(SEARCH("squat",$C161)),IF($D161&gt;=0.9,$E161*$F161," ")," ")</f>
        <v> </v>
      </c>
      <c r="S161" s="67"/>
      <c r="T161" s="67"/>
      <c r="U161" s="67"/>
      <c r="V161" s="67"/>
      <c r="W161" s="67"/>
      <c r="X161" s="67"/>
      <c r="Y161" s="67"/>
      <c r="Z161" s="67"/>
      <c r="AA161" s="67"/>
      <c r="AB161" s="67"/>
      <c r="AC161" s="76"/>
      <c r="AD161" s="77"/>
      <c r="AE161" s="77"/>
      <c r="AF161" s="77"/>
      <c r="AG161" s="78"/>
    </row>
    <row r="162" ht="12.75" customHeight="1">
      <c r="A162" s="1"/>
      <c r="B162" s="79"/>
      <c r="C162" s="80" t="s">
        <v>46</v>
      </c>
      <c r="D162" s="81">
        <v>0.6</v>
      </c>
      <c r="E162" s="82">
        <v>5.0</v>
      </c>
      <c r="F162" s="83">
        <v>1.0</v>
      </c>
      <c r="G162" s="84">
        <f>'Start Here'!$F$21*D162</f>
        <v>60</v>
      </c>
      <c r="H162" s="138">
        <f t="shared" si="171"/>
        <v>5</v>
      </c>
      <c r="I162" s="165">
        <f t="shared" si="172"/>
        <v>300</v>
      </c>
      <c r="J162" s="166"/>
      <c r="K162" s="165"/>
      <c r="L162" s="166"/>
      <c r="M162" s="165"/>
      <c r="N162" s="75" t="str">
        <f t="shared" si="173"/>
        <v> </v>
      </c>
      <c r="O162" s="75">
        <f t="shared" si="174"/>
        <v>5</v>
      </c>
      <c r="P162" s="75" t="str">
        <f t="shared" si="175"/>
        <v> </v>
      </c>
      <c r="Q162" s="75" t="str">
        <f t="shared" si="176"/>
        <v> </v>
      </c>
      <c r="R162" s="75" t="str">
        <f t="shared" si="177"/>
        <v> </v>
      </c>
      <c r="S162" s="67"/>
      <c r="T162" s="67"/>
      <c r="U162" s="67"/>
      <c r="V162" s="67"/>
      <c r="W162" s="67"/>
      <c r="X162" s="67"/>
      <c r="Y162" s="67"/>
      <c r="Z162" s="67"/>
      <c r="AA162" s="67"/>
      <c r="AB162" s="67"/>
      <c r="AC162" s="85"/>
      <c r="AG162" s="86"/>
    </row>
    <row r="163" ht="12.75" customHeight="1">
      <c r="A163" s="1"/>
      <c r="B163" s="79"/>
      <c r="C163" s="80" t="s">
        <v>46</v>
      </c>
      <c r="D163" s="81">
        <v>0.65</v>
      </c>
      <c r="E163" s="82">
        <v>3.0</v>
      </c>
      <c r="F163" s="83">
        <v>1.0</v>
      </c>
      <c r="G163" s="84">
        <f>'Start Here'!$F$21*D163</f>
        <v>65</v>
      </c>
      <c r="H163" s="138">
        <f t="shared" si="171"/>
        <v>3</v>
      </c>
      <c r="I163" s="165">
        <f t="shared" si="172"/>
        <v>195</v>
      </c>
      <c r="J163" s="166"/>
      <c r="K163" s="165"/>
      <c r="L163" s="166"/>
      <c r="M163" s="165"/>
      <c r="N163" s="75" t="str">
        <f t="shared" si="173"/>
        <v> </v>
      </c>
      <c r="O163" s="75">
        <f t="shared" si="174"/>
        <v>3</v>
      </c>
      <c r="P163" s="75" t="str">
        <f t="shared" si="175"/>
        <v> </v>
      </c>
      <c r="Q163" s="75" t="str">
        <f t="shared" si="176"/>
        <v> </v>
      </c>
      <c r="R163" s="75" t="str">
        <f t="shared" si="177"/>
        <v> </v>
      </c>
      <c r="S163" s="67"/>
      <c r="T163" s="67"/>
      <c r="U163" s="67"/>
      <c r="V163" s="67"/>
      <c r="W163" s="67"/>
      <c r="X163" s="67"/>
      <c r="Y163" s="67"/>
      <c r="Z163" s="67"/>
      <c r="AA163" s="67"/>
      <c r="AB163" s="67"/>
      <c r="AC163" s="85"/>
      <c r="AG163" s="86"/>
    </row>
    <row r="164" ht="12.75" customHeight="1">
      <c r="A164" s="1"/>
      <c r="B164" s="79"/>
      <c r="C164" s="80" t="s">
        <v>46</v>
      </c>
      <c r="D164" s="81">
        <v>0.65</v>
      </c>
      <c r="E164" s="82">
        <v>7.0</v>
      </c>
      <c r="F164" s="83">
        <v>1.0</v>
      </c>
      <c r="G164" s="84">
        <f>'Start Here'!$F$21*D164</f>
        <v>65</v>
      </c>
      <c r="H164" s="138">
        <f t="shared" si="171"/>
        <v>7</v>
      </c>
      <c r="I164" s="165">
        <f t="shared" si="172"/>
        <v>455</v>
      </c>
      <c r="J164" s="166"/>
      <c r="K164" s="165"/>
      <c r="L164" s="166"/>
      <c r="M164" s="165"/>
      <c r="N164" s="75" t="str">
        <f t="shared" si="173"/>
        <v> </v>
      </c>
      <c r="O164" s="75">
        <f t="shared" si="174"/>
        <v>7</v>
      </c>
      <c r="P164" s="75" t="str">
        <f t="shared" si="175"/>
        <v> </v>
      </c>
      <c r="Q164" s="75" t="str">
        <f t="shared" si="176"/>
        <v> </v>
      </c>
      <c r="R164" s="75" t="str">
        <f t="shared" si="177"/>
        <v> </v>
      </c>
      <c r="S164" s="67"/>
      <c r="T164" s="67"/>
      <c r="U164" s="67"/>
      <c r="V164" s="67"/>
      <c r="W164" s="67"/>
      <c r="X164" s="67"/>
      <c r="Y164" s="67"/>
      <c r="Z164" s="67"/>
      <c r="AA164" s="67"/>
      <c r="AB164" s="67"/>
      <c r="AC164" s="85"/>
      <c r="AG164" s="86"/>
    </row>
    <row r="165" ht="12.75" customHeight="1">
      <c r="A165" s="1"/>
      <c r="B165" s="79"/>
      <c r="C165" s="80" t="s">
        <v>46</v>
      </c>
      <c r="D165" s="81">
        <v>0.65</v>
      </c>
      <c r="E165" s="82">
        <v>4.0</v>
      </c>
      <c r="F165" s="83">
        <v>1.0</v>
      </c>
      <c r="G165" s="84">
        <f>'Start Here'!$F$21*D165</f>
        <v>65</v>
      </c>
      <c r="H165" s="138">
        <f t="shared" si="171"/>
        <v>4</v>
      </c>
      <c r="I165" s="165">
        <f t="shared" si="172"/>
        <v>260</v>
      </c>
      <c r="J165" s="166"/>
      <c r="K165" s="165"/>
      <c r="L165" s="166"/>
      <c r="M165" s="165"/>
      <c r="N165" s="75" t="str">
        <f t="shared" si="173"/>
        <v> </v>
      </c>
      <c r="O165" s="75">
        <f t="shared" si="174"/>
        <v>4</v>
      </c>
      <c r="P165" s="75" t="str">
        <f t="shared" si="175"/>
        <v> </v>
      </c>
      <c r="Q165" s="75" t="str">
        <f t="shared" si="176"/>
        <v> </v>
      </c>
      <c r="R165" s="75" t="str">
        <f t="shared" si="177"/>
        <v> </v>
      </c>
      <c r="S165" s="67"/>
      <c r="T165" s="67"/>
      <c r="U165" s="67"/>
      <c r="V165" s="67"/>
      <c r="W165" s="67"/>
      <c r="X165" s="67"/>
      <c r="Y165" s="67"/>
      <c r="Z165" s="67"/>
      <c r="AA165" s="67"/>
      <c r="AB165" s="67"/>
      <c r="AC165" s="85"/>
      <c r="AG165" s="86"/>
    </row>
    <row r="166" ht="12.75" customHeight="1">
      <c r="A166" s="1"/>
      <c r="B166" s="79"/>
      <c r="C166" s="80" t="s">
        <v>46</v>
      </c>
      <c r="D166" s="81">
        <v>0.65</v>
      </c>
      <c r="E166" s="82">
        <v>8.0</v>
      </c>
      <c r="F166" s="83">
        <v>1.0</v>
      </c>
      <c r="G166" s="84">
        <f>'Start Here'!$F$21*D166</f>
        <v>65</v>
      </c>
      <c r="H166" s="138">
        <f t="shared" si="171"/>
        <v>8</v>
      </c>
      <c r="I166" s="165">
        <f t="shared" si="172"/>
        <v>520</v>
      </c>
      <c r="J166" s="166"/>
      <c r="K166" s="165"/>
      <c r="L166" s="166"/>
      <c r="M166" s="165"/>
      <c r="N166" s="75" t="str">
        <f t="shared" si="173"/>
        <v> </v>
      </c>
      <c r="O166" s="75">
        <f t="shared" si="174"/>
        <v>8</v>
      </c>
      <c r="P166" s="75" t="str">
        <f t="shared" si="175"/>
        <v> </v>
      </c>
      <c r="Q166" s="75" t="str">
        <f t="shared" si="176"/>
        <v> </v>
      </c>
      <c r="R166" s="75" t="str">
        <f t="shared" si="177"/>
        <v> </v>
      </c>
      <c r="S166" s="67"/>
      <c r="T166" s="67"/>
      <c r="U166" s="67"/>
      <c r="V166" s="67"/>
      <c r="W166" s="67"/>
      <c r="X166" s="67"/>
      <c r="Y166" s="67"/>
      <c r="Z166" s="67"/>
      <c r="AA166" s="67"/>
      <c r="AB166" s="67"/>
      <c r="AC166" s="85"/>
      <c r="AG166" s="86"/>
    </row>
    <row r="167" ht="12.75" customHeight="1">
      <c r="A167" s="1"/>
      <c r="B167" s="79"/>
      <c r="C167" s="80" t="s">
        <v>46</v>
      </c>
      <c r="D167" s="81">
        <v>0.65</v>
      </c>
      <c r="E167" s="82">
        <v>2.0</v>
      </c>
      <c r="F167" s="83">
        <v>1.0</v>
      </c>
      <c r="G167" s="84">
        <f>'Start Here'!$F$21*D167</f>
        <v>65</v>
      </c>
      <c r="H167" s="138">
        <f t="shared" si="171"/>
        <v>2</v>
      </c>
      <c r="I167" s="165">
        <f t="shared" si="172"/>
        <v>130</v>
      </c>
      <c r="J167" s="166"/>
      <c r="K167" s="165"/>
      <c r="L167" s="166"/>
      <c r="M167" s="165"/>
      <c r="N167" s="75" t="str">
        <f t="shared" si="173"/>
        <v> </v>
      </c>
      <c r="O167" s="75">
        <f t="shared" si="174"/>
        <v>2</v>
      </c>
      <c r="P167" s="75" t="str">
        <f t="shared" si="175"/>
        <v> </v>
      </c>
      <c r="Q167" s="75" t="str">
        <f t="shared" si="176"/>
        <v> </v>
      </c>
      <c r="R167" s="75" t="str">
        <f t="shared" si="177"/>
        <v> </v>
      </c>
      <c r="S167" s="67"/>
      <c r="T167" s="67"/>
      <c r="U167" s="67"/>
      <c r="V167" s="67"/>
      <c r="W167" s="67"/>
      <c r="X167" s="67"/>
      <c r="Y167" s="67"/>
      <c r="Z167" s="67"/>
      <c r="AA167" s="67"/>
      <c r="AB167" s="67"/>
      <c r="AC167" s="85"/>
      <c r="AG167" s="86"/>
    </row>
    <row r="168" ht="12.75" customHeight="1">
      <c r="A168" s="1"/>
      <c r="B168" s="79"/>
      <c r="C168" s="80" t="s">
        <v>46</v>
      </c>
      <c r="D168" s="81">
        <v>0.65</v>
      </c>
      <c r="E168" s="82">
        <v>6.0</v>
      </c>
      <c r="F168" s="83">
        <v>1.0</v>
      </c>
      <c r="G168" s="84">
        <f>'Start Here'!$F$21*D168</f>
        <v>65</v>
      </c>
      <c r="H168" s="138">
        <f t="shared" si="171"/>
        <v>6</v>
      </c>
      <c r="I168" s="165">
        <f t="shared" si="172"/>
        <v>390</v>
      </c>
      <c r="J168" s="166"/>
      <c r="K168" s="165"/>
      <c r="L168" s="166"/>
      <c r="M168" s="165"/>
      <c r="N168" s="75" t="str">
        <f t="shared" si="173"/>
        <v> </v>
      </c>
      <c r="O168" s="75">
        <f t="shared" si="174"/>
        <v>6</v>
      </c>
      <c r="P168" s="75" t="str">
        <f t="shared" si="175"/>
        <v> </v>
      </c>
      <c r="Q168" s="75" t="str">
        <f t="shared" si="176"/>
        <v> </v>
      </c>
      <c r="R168" s="75" t="str">
        <f t="shared" si="177"/>
        <v> </v>
      </c>
      <c r="S168" s="67"/>
      <c r="T168" s="67"/>
      <c r="U168" s="67"/>
      <c r="V168" s="67"/>
      <c r="W168" s="67"/>
      <c r="X168" s="67"/>
      <c r="Y168" s="67"/>
      <c r="Z168" s="67"/>
      <c r="AA168" s="67"/>
      <c r="AB168" s="67"/>
      <c r="AC168" s="85"/>
      <c r="AG168" s="86"/>
    </row>
    <row r="169" ht="12.75" customHeight="1">
      <c r="A169" s="1"/>
      <c r="B169" s="87">
        <v>2.0</v>
      </c>
      <c r="C169" s="88" t="s">
        <v>45</v>
      </c>
      <c r="D169" s="89">
        <v>0.5</v>
      </c>
      <c r="E169" s="90">
        <v>5.0</v>
      </c>
      <c r="F169" s="91">
        <v>1.0</v>
      </c>
      <c r="G169" s="92">
        <f>'Start Here'!$F$22*D169</f>
        <v>50</v>
      </c>
      <c r="H169" s="138"/>
      <c r="I169" s="165"/>
      <c r="J169" s="166">
        <f t="shared" ref="J169:J172" si="178">E169*F169</f>
        <v>5</v>
      </c>
      <c r="K169" s="165">
        <f t="shared" ref="K169:K172" si="179">G169*J169</f>
        <v>250</v>
      </c>
      <c r="L169" s="166"/>
      <c r="M169" s="165"/>
      <c r="N169" s="67"/>
      <c r="O169" s="67"/>
      <c r="P169" s="67"/>
      <c r="Q169" s="67"/>
      <c r="R169" s="67"/>
      <c r="S169" s="93">
        <f t="shared" ref="S169:S172" si="180">IF(ISNUMBER(SEARCH("bench",$C169)),IF($D169&gt;=0.5,IF($D169&lt;0.6,$E169*$F169," ")," ")," ")</f>
        <v>5</v>
      </c>
      <c r="T169" s="93" t="str">
        <f t="shared" ref="T169:T172" si="181">IF(ISNUMBER(SEARCH("bench",$C169)),IF($D169&gt;=0.6,IF($D169&lt;0.7,$E169*$F169," ")," ")," ")</f>
        <v> </v>
      </c>
      <c r="U169" s="93" t="str">
        <f t="shared" ref="U169:U172" si="182">IF(ISNUMBER(SEARCH("bench",$C169)),IF($D169&gt;=0.7,IF($D169&lt;0.8,$E169*$F169," ")," ")," ")</f>
        <v> </v>
      </c>
      <c r="V169" s="93" t="str">
        <f t="shared" ref="V169:V172" si="183">IF(ISNUMBER(SEARCH("bench",$C169)),IF($D169&gt;=0.8,IF($D169&lt;0.9,$E169*$F169," ")," ")," ")</f>
        <v> </v>
      </c>
      <c r="W169" s="93" t="str">
        <f t="shared" ref="W169:W172" si="184">IF(ISNUMBER(SEARCH("bench",$C169)),IF($D169&gt;=0.9,$E169*$F169," ")," ")</f>
        <v> </v>
      </c>
      <c r="X169" s="67"/>
      <c r="Y169" s="67"/>
      <c r="Z169" s="67"/>
      <c r="AA169" s="67"/>
      <c r="AB169" s="67"/>
      <c r="AC169" s="85"/>
      <c r="AG169" s="86"/>
    </row>
    <row r="170" ht="12.75" customHeight="1">
      <c r="A170" s="1"/>
      <c r="B170" s="87"/>
      <c r="C170" s="94" t="s">
        <v>45</v>
      </c>
      <c r="D170" s="89">
        <v>0.6</v>
      </c>
      <c r="E170" s="90">
        <v>4.0</v>
      </c>
      <c r="F170" s="91">
        <v>1.0</v>
      </c>
      <c r="G170" s="92">
        <f>'Start Here'!$F$22*D170</f>
        <v>60</v>
      </c>
      <c r="H170" s="138"/>
      <c r="I170" s="165"/>
      <c r="J170" s="166">
        <f t="shared" si="178"/>
        <v>4</v>
      </c>
      <c r="K170" s="165">
        <f t="shared" si="179"/>
        <v>240</v>
      </c>
      <c r="L170" s="166"/>
      <c r="M170" s="165"/>
      <c r="N170" s="67"/>
      <c r="O170" s="67"/>
      <c r="P170" s="67"/>
      <c r="Q170" s="67"/>
      <c r="R170" s="67"/>
      <c r="S170" s="93" t="str">
        <f t="shared" si="180"/>
        <v> </v>
      </c>
      <c r="T170" s="93">
        <f t="shared" si="181"/>
        <v>4</v>
      </c>
      <c r="U170" s="93" t="str">
        <f t="shared" si="182"/>
        <v> </v>
      </c>
      <c r="V170" s="93" t="str">
        <f t="shared" si="183"/>
        <v> </v>
      </c>
      <c r="W170" s="93" t="str">
        <f t="shared" si="184"/>
        <v> </v>
      </c>
      <c r="X170" s="67"/>
      <c r="Y170" s="67"/>
      <c r="Z170" s="67"/>
      <c r="AA170" s="67"/>
      <c r="AB170" s="67"/>
      <c r="AC170" s="85"/>
      <c r="AG170" s="86"/>
    </row>
    <row r="171" ht="12.75" customHeight="1">
      <c r="A171" s="1"/>
      <c r="B171" s="87"/>
      <c r="C171" s="94" t="s">
        <v>45</v>
      </c>
      <c r="D171" s="89">
        <v>0.7</v>
      </c>
      <c r="E171" s="90">
        <v>3.0</v>
      </c>
      <c r="F171" s="91">
        <v>1.0</v>
      </c>
      <c r="G171" s="92">
        <f>'Start Here'!$F$22*D171</f>
        <v>70</v>
      </c>
      <c r="H171" s="138"/>
      <c r="I171" s="165"/>
      <c r="J171" s="166">
        <f t="shared" si="178"/>
        <v>3</v>
      </c>
      <c r="K171" s="165">
        <f t="shared" si="179"/>
        <v>210</v>
      </c>
      <c r="L171" s="166"/>
      <c r="M171" s="165"/>
      <c r="N171" s="67"/>
      <c r="O171" s="67"/>
      <c r="P171" s="67"/>
      <c r="Q171" s="67"/>
      <c r="R171" s="67"/>
      <c r="S171" s="93" t="str">
        <f t="shared" si="180"/>
        <v> </v>
      </c>
      <c r="T171" s="93" t="str">
        <f t="shared" si="181"/>
        <v> </v>
      </c>
      <c r="U171" s="93">
        <f t="shared" si="182"/>
        <v>3</v>
      </c>
      <c r="V171" s="93" t="str">
        <f t="shared" si="183"/>
        <v> </v>
      </c>
      <c r="W171" s="93" t="str">
        <f t="shared" si="184"/>
        <v> </v>
      </c>
      <c r="X171" s="67"/>
      <c r="Y171" s="67"/>
      <c r="Z171" s="67"/>
      <c r="AA171" s="67"/>
      <c r="AB171" s="67"/>
      <c r="AC171" s="85"/>
      <c r="AG171" s="86"/>
    </row>
    <row r="172" ht="12.75" customHeight="1">
      <c r="A172" s="1"/>
      <c r="B172" s="87"/>
      <c r="C172" s="94" t="s">
        <v>45</v>
      </c>
      <c r="D172" s="89">
        <v>0.8</v>
      </c>
      <c r="E172" s="90">
        <v>2.0</v>
      </c>
      <c r="F172" s="91">
        <v>5.0</v>
      </c>
      <c r="G172" s="92">
        <f>'Start Here'!$F$22*D172</f>
        <v>80</v>
      </c>
      <c r="H172" s="138"/>
      <c r="I172" s="165"/>
      <c r="J172" s="166">
        <f t="shared" si="178"/>
        <v>10</v>
      </c>
      <c r="K172" s="165">
        <f t="shared" si="179"/>
        <v>800</v>
      </c>
      <c r="L172" s="166"/>
      <c r="M172" s="165"/>
      <c r="N172" s="67"/>
      <c r="O172" s="67"/>
      <c r="P172" s="67"/>
      <c r="Q172" s="67"/>
      <c r="R172" s="67"/>
      <c r="S172" s="93" t="str">
        <f t="shared" si="180"/>
        <v> </v>
      </c>
      <c r="T172" s="93" t="str">
        <f t="shared" si="181"/>
        <v> </v>
      </c>
      <c r="U172" s="93" t="str">
        <f t="shared" si="182"/>
        <v> </v>
      </c>
      <c r="V172" s="93">
        <f t="shared" si="183"/>
        <v>10</v>
      </c>
      <c r="W172" s="93" t="str">
        <f t="shared" si="184"/>
        <v> </v>
      </c>
      <c r="X172" s="67"/>
      <c r="Y172" s="67"/>
      <c r="Z172" s="67"/>
      <c r="AA172" s="67"/>
      <c r="AB172" s="67"/>
      <c r="AC172" s="85"/>
      <c r="AG172" s="86"/>
    </row>
    <row r="173" ht="12.75" customHeight="1">
      <c r="A173" s="1"/>
      <c r="B173" s="96">
        <v>3.0</v>
      </c>
      <c r="C173" s="167" t="s">
        <v>96</v>
      </c>
      <c r="D173" s="168"/>
      <c r="E173" s="98">
        <v>4.0</v>
      </c>
      <c r="F173" s="169">
        <v>5.0</v>
      </c>
      <c r="G173" s="170"/>
      <c r="H173" s="138"/>
      <c r="I173" s="165"/>
      <c r="J173" s="166"/>
      <c r="K173" s="165"/>
      <c r="L173" s="166"/>
      <c r="M173" s="165"/>
      <c r="N173" s="67"/>
      <c r="O173" s="67"/>
      <c r="P173" s="67"/>
      <c r="Q173" s="67"/>
      <c r="R173" s="67"/>
      <c r="S173" s="67"/>
      <c r="T173" s="67"/>
      <c r="U173" s="67"/>
      <c r="V173" s="67"/>
      <c r="W173" s="67"/>
      <c r="X173" s="67"/>
      <c r="Y173" s="67"/>
      <c r="Z173" s="67"/>
      <c r="AA173" s="67"/>
      <c r="AB173" s="67"/>
      <c r="AC173" s="85"/>
      <c r="AG173" s="86"/>
    </row>
    <row r="174" ht="12.75" customHeight="1">
      <c r="A174" s="1"/>
      <c r="B174" s="135">
        <v>4.0</v>
      </c>
      <c r="C174" s="136" t="s">
        <v>92</v>
      </c>
      <c r="D174" s="137"/>
      <c r="E174" s="68">
        <v>6.0</v>
      </c>
      <c r="F174" s="138">
        <v>4.0</v>
      </c>
      <c r="G174" s="139"/>
      <c r="H174" s="138"/>
      <c r="I174" s="165"/>
      <c r="J174" s="166"/>
      <c r="K174" s="165"/>
      <c r="L174" s="166"/>
      <c r="M174" s="165"/>
      <c r="N174" s="67"/>
      <c r="O174" s="67"/>
      <c r="P174" s="67"/>
      <c r="Q174" s="67"/>
      <c r="R174" s="67"/>
      <c r="S174" s="67"/>
      <c r="T174" s="67"/>
      <c r="U174" s="67"/>
      <c r="V174" s="67"/>
      <c r="W174" s="67"/>
      <c r="X174" s="67"/>
      <c r="Y174" s="67"/>
      <c r="Z174" s="67"/>
      <c r="AA174" s="67"/>
      <c r="AB174" s="67"/>
      <c r="AC174" s="85"/>
      <c r="AG174" s="86"/>
    </row>
    <row r="175" ht="12.75" customHeight="1">
      <c r="A175" s="1"/>
      <c r="B175" s="100">
        <v>5.0</v>
      </c>
      <c r="C175" s="171" t="s">
        <v>57</v>
      </c>
      <c r="D175" s="172"/>
      <c r="E175" s="102">
        <v>8.0</v>
      </c>
      <c r="F175" s="173">
        <v>4.0</v>
      </c>
      <c r="G175" s="174"/>
      <c r="H175" s="138"/>
      <c r="I175" s="165"/>
      <c r="J175" s="166"/>
      <c r="K175" s="165"/>
      <c r="L175" s="166"/>
      <c r="M175" s="165"/>
      <c r="N175" s="67"/>
      <c r="O175" s="67"/>
      <c r="P175" s="67"/>
      <c r="Q175" s="67"/>
      <c r="R175" s="67"/>
      <c r="S175" s="67"/>
      <c r="T175" s="67"/>
      <c r="U175" s="67"/>
      <c r="V175" s="67"/>
      <c r="W175" s="67"/>
      <c r="X175" s="67"/>
      <c r="Y175" s="67"/>
      <c r="Z175" s="67"/>
      <c r="AA175" s="67"/>
      <c r="AB175" s="67"/>
      <c r="AC175" s="104"/>
      <c r="AD175" s="105"/>
      <c r="AE175" s="105"/>
      <c r="AF175" s="105"/>
      <c r="AG175" s="106"/>
    </row>
    <row r="176" ht="12.75" customHeight="1">
      <c r="A176" s="1"/>
      <c r="B176" s="67"/>
      <c r="C176" s="136"/>
      <c r="D176" s="137"/>
      <c r="E176" s="138"/>
      <c r="F176" s="138"/>
      <c r="G176" s="138"/>
      <c r="H176" s="138"/>
      <c r="I176" s="165"/>
      <c r="J176" s="166"/>
      <c r="K176" s="165"/>
      <c r="L176" s="166"/>
      <c r="M176" s="165"/>
      <c r="N176" s="67"/>
      <c r="O176" s="67"/>
      <c r="P176" s="67"/>
      <c r="Q176" s="67"/>
      <c r="R176" s="67"/>
      <c r="S176" s="67"/>
      <c r="T176" s="67"/>
      <c r="U176" s="67"/>
      <c r="V176" s="67"/>
      <c r="W176" s="67"/>
      <c r="X176" s="67"/>
      <c r="Y176" s="67"/>
      <c r="Z176" s="67"/>
      <c r="AA176" s="67"/>
      <c r="AB176" s="67"/>
      <c r="AC176" s="67"/>
      <c r="AD176" s="67"/>
      <c r="AE176" s="67"/>
      <c r="AF176" s="67"/>
      <c r="AG176" s="67"/>
    </row>
    <row r="177" ht="28.5" customHeight="1">
      <c r="A177" s="1"/>
      <c r="B177" s="68" t="s">
        <v>58</v>
      </c>
      <c r="D177" s="137" t="s">
        <v>34</v>
      </c>
      <c r="E177" s="138" t="s">
        <v>35</v>
      </c>
      <c r="F177" s="138" t="s">
        <v>36</v>
      </c>
      <c r="G177" s="138" t="s">
        <v>37</v>
      </c>
      <c r="H177" s="138"/>
      <c r="I177" s="165"/>
      <c r="J177" s="166"/>
      <c r="K177" s="165"/>
      <c r="L177" s="166"/>
      <c r="M177" s="165"/>
      <c r="N177" s="67"/>
      <c r="O177" s="67"/>
      <c r="P177" s="67"/>
      <c r="Q177" s="67"/>
      <c r="R177" s="67"/>
      <c r="S177" s="67"/>
      <c r="T177" s="67"/>
      <c r="U177" s="67"/>
      <c r="V177" s="67"/>
      <c r="W177" s="67"/>
      <c r="X177" s="67"/>
      <c r="Y177" s="67"/>
      <c r="Z177" s="67"/>
      <c r="AA177" s="67"/>
      <c r="AB177" s="67"/>
      <c r="AC177" s="67" t="s">
        <v>43</v>
      </c>
      <c r="AD177" s="67"/>
      <c r="AE177" s="67"/>
      <c r="AF177" s="67"/>
      <c r="AG177" s="67"/>
    </row>
    <row r="178" ht="12.75" customHeight="1">
      <c r="A178" s="1"/>
      <c r="B178" s="107">
        <v>1.0</v>
      </c>
      <c r="C178" s="108" t="s">
        <v>51</v>
      </c>
      <c r="D178" s="109">
        <v>0.5</v>
      </c>
      <c r="E178" s="110">
        <v>3.0</v>
      </c>
      <c r="F178" s="111">
        <v>1.0</v>
      </c>
      <c r="G178" s="112">
        <f>'Start Here'!$F$23*D178</f>
        <v>50</v>
      </c>
      <c r="H178" s="138"/>
      <c r="I178" s="165"/>
      <c r="J178" s="166"/>
      <c r="K178" s="165"/>
      <c r="L178" s="166">
        <f t="shared" ref="L178:L181" si="185">E178*F178</f>
        <v>3</v>
      </c>
      <c r="M178" s="165">
        <f t="shared" ref="M178:M181" si="186">G178*L178</f>
        <v>150</v>
      </c>
      <c r="N178" s="67"/>
      <c r="O178" s="67"/>
      <c r="P178" s="67"/>
      <c r="Q178" s="67"/>
      <c r="R178" s="67"/>
      <c r="S178" s="67"/>
      <c r="T178" s="67"/>
      <c r="U178" s="67"/>
      <c r="V178" s="67"/>
      <c r="W178" s="67"/>
      <c r="X178" s="114">
        <f t="shared" ref="X178:X181" si="187">IF(ISNUMBER(SEARCH("deadlift",$C178)),IF($D178&gt;=0.5,IF($D178&lt;0.6,$E178*$F178," ")," ")," ")</f>
        <v>3</v>
      </c>
      <c r="Y178" s="114" t="str">
        <f t="shared" ref="Y178:Y181" si="188">IF(ISNUMBER(SEARCH("deadlift",$C178)),IF($D178&gt;=0.6,IF($D178&lt;0.7,$E178*$F178," ")," ")," ")</f>
        <v> </v>
      </c>
      <c r="Z178" s="114" t="str">
        <f t="shared" ref="Z178:Z181" si="189">IF(ISNUMBER(SEARCH("deadlift",$C178)),IF($D178&gt;=0.7,IF($D178&lt;0.8,$E178*$F178," ")," ")," ")</f>
        <v> </v>
      </c>
      <c r="AA178" s="114" t="str">
        <f t="shared" ref="AA178:AA181" si="190">IF(ISNUMBER(SEARCH("deadlift",$C178)),IF($D178&gt;=0.8,IF($D178&lt;0.9,$E178*$F178," ")," ")," ")</f>
        <v> </v>
      </c>
      <c r="AB178" s="114" t="str">
        <f t="shared" ref="AB178:AB181" si="191">IF(ISNUMBER(SEARCH("deadlift",$C178)),IF($D178&gt;=0.9,$E178*$F178," ")," ")</f>
        <v> </v>
      </c>
      <c r="AC178" s="76"/>
      <c r="AD178" s="77"/>
      <c r="AE178" s="77"/>
      <c r="AF178" s="77"/>
      <c r="AG178" s="78"/>
    </row>
    <row r="179" ht="12.75" customHeight="1">
      <c r="A179" s="1"/>
      <c r="B179" s="115"/>
      <c r="C179" s="122" t="s">
        <v>51</v>
      </c>
      <c r="D179" s="117">
        <v>0.6</v>
      </c>
      <c r="E179" s="118">
        <v>3.0</v>
      </c>
      <c r="F179" s="119">
        <v>1.0</v>
      </c>
      <c r="G179" s="120">
        <f>'Start Here'!$F$23*D179</f>
        <v>60</v>
      </c>
      <c r="H179" s="138"/>
      <c r="I179" s="165"/>
      <c r="J179" s="166"/>
      <c r="K179" s="165"/>
      <c r="L179" s="166">
        <f t="shared" si="185"/>
        <v>3</v>
      </c>
      <c r="M179" s="165">
        <f t="shared" si="186"/>
        <v>180</v>
      </c>
      <c r="N179" s="67"/>
      <c r="O179" s="67"/>
      <c r="P179" s="67"/>
      <c r="Q179" s="67"/>
      <c r="R179" s="67"/>
      <c r="S179" s="67"/>
      <c r="T179" s="67"/>
      <c r="U179" s="67"/>
      <c r="V179" s="67"/>
      <c r="W179" s="67"/>
      <c r="X179" s="114" t="str">
        <f t="shared" si="187"/>
        <v> </v>
      </c>
      <c r="Y179" s="114">
        <f t="shared" si="188"/>
        <v>3</v>
      </c>
      <c r="Z179" s="114" t="str">
        <f t="shared" si="189"/>
        <v> </v>
      </c>
      <c r="AA179" s="114" t="str">
        <f t="shared" si="190"/>
        <v> </v>
      </c>
      <c r="AB179" s="114" t="str">
        <f t="shared" si="191"/>
        <v> </v>
      </c>
      <c r="AC179" s="85"/>
      <c r="AG179" s="86"/>
    </row>
    <row r="180" ht="12.75" customHeight="1">
      <c r="A180" s="1"/>
      <c r="B180" s="115"/>
      <c r="C180" s="122" t="s">
        <v>51</v>
      </c>
      <c r="D180" s="117">
        <v>0.7</v>
      </c>
      <c r="E180" s="118">
        <v>3.0</v>
      </c>
      <c r="F180" s="119">
        <v>1.0</v>
      </c>
      <c r="G180" s="120">
        <f>'Start Here'!$F$23*D180</f>
        <v>70</v>
      </c>
      <c r="H180" s="138"/>
      <c r="I180" s="165"/>
      <c r="J180" s="166"/>
      <c r="K180" s="165"/>
      <c r="L180" s="166">
        <f t="shared" si="185"/>
        <v>3</v>
      </c>
      <c r="M180" s="165">
        <f t="shared" si="186"/>
        <v>210</v>
      </c>
      <c r="N180" s="67"/>
      <c r="O180" s="67"/>
      <c r="P180" s="67"/>
      <c r="Q180" s="67"/>
      <c r="R180" s="67"/>
      <c r="S180" s="67"/>
      <c r="T180" s="67"/>
      <c r="U180" s="67"/>
      <c r="V180" s="67"/>
      <c r="W180" s="67"/>
      <c r="X180" s="114" t="str">
        <f t="shared" si="187"/>
        <v> </v>
      </c>
      <c r="Y180" s="114" t="str">
        <f t="shared" si="188"/>
        <v> </v>
      </c>
      <c r="Z180" s="114">
        <f t="shared" si="189"/>
        <v>3</v>
      </c>
      <c r="AA180" s="114" t="str">
        <f t="shared" si="190"/>
        <v> </v>
      </c>
      <c r="AB180" s="114" t="str">
        <f t="shared" si="191"/>
        <v> </v>
      </c>
      <c r="AC180" s="85"/>
      <c r="AG180" s="86"/>
    </row>
    <row r="181" ht="12.75" customHeight="1">
      <c r="A181" s="1"/>
      <c r="B181" s="115"/>
      <c r="C181" s="122" t="s">
        <v>51</v>
      </c>
      <c r="D181" s="117">
        <v>0.75</v>
      </c>
      <c r="E181" s="118">
        <v>2.0</v>
      </c>
      <c r="F181" s="119">
        <v>4.0</v>
      </c>
      <c r="G181" s="120">
        <f>'Start Here'!$F$23*D181</f>
        <v>75</v>
      </c>
      <c r="H181" s="138"/>
      <c r="I181" s="165"/>
      <c r="J181" s="166"/>
      <c r="K181" s="165"/>
      <c r="L181" s="166">
        <f t="shared" si="185"/>
        <v>8</v>
      </c>
      <c r="M181" s="165">
        <f t="shared" si="186"/>
        <v>600</v>
      </c>
      <c r="N181" s="67"/>
      <c r="O181" s="67"/>
      <c r="P181" s="67"/>
      <c r="Q181" s="67"/>
      <c r="R181" s="67"/>
      <c r="S181" s="67"/>
      <c r="T181" s="67"/>
      <c r="U181" s="67"/>
      <c r="V181" s="67"/>
      <c r="W181" s="67"/>
      <c r="X181" s="114" t="str">
        <f t="shared" si="187"/>
        <v> </v>
      </c>
      <c r="Y181" s="114" t="str">
        <f t="shared" si="188"/>
        <v> </v>
      </c>
      <c r="Z181" s="114">
        <f t="shared" si="189"/>
        <v>8</v>
      </c>
      <c r="AA181" s="114" t="str">
        <f t="shared" si="190"/>
        <v> </v>
      </c>
      <c r="AB181" s="114" t="str">
        <f t="shared" si="191"/>
        <v> </v>
      </c>
      <c r="AC181" s="85"/>
      <c r="AG181" s="86"/>
    </row>
    <row r="182" ht="12.75" customHeight="1">
      <c r="A182" s="1"/>
      <c r="B182" s="87">
        <v>2.0</v>
      </c>
      <c r="C182" s="88" t="s">
        <v>99</v>
      </c>
      <c r="D182" s="89">
        <v>0.5</v>
      </c>
      <c r="E182" s="90">
        <v>4.0</v>
      </c>
      <c r="F182" s="91">
        <v>1.0</v>
      </c>
      <c r="G182" s="92">
        <f>'Start Here'!$F$22*D182</f>
        <v>50</v>
      </c>
      <c r="H182" s="138"/>
      <c r="I182" s="165"/>
      <c r="J182" s="166">
        <f t="shared" ref="J182:J184" si="192">E182*F182</f>
        <v>4</v>
      </c>
      <c r="K182" s="165">
        <f t="shared" ref="K182:K184" si="193">G182*J182</f>
        <v>200</v>
      </c>
      <c r="L182" s="166"/>
      <c r="M182" s="165"/>
      <c r="N182" s="67"/>
      <c r="O182" s="67"/>
      <c r="P182" s="67"/>
      <c r="Q182" s="67"/>
      <c r="R182" s="67"/>
      <c r="S182" s="93">
        <f t="shared" ref="S182:S184" si="194">IF(ISNUMBER(SEARCH("bench",$C182)),IF($D182&gt;=0.5,IF($D182&lt;0.6,$E182*$F182," ")," ")," ")</f>
        <v>4</v>
      </c>
      <c r="T182" s="93" t="str">
        <f t="shared" ref="T182:T184" si="195">IF(ISNUMBER(SEARCH("bench",$C182)),IF($D182&gt;=0.6,IF($D182&lt;0.7,$E182*$F182," ")," ")," ")</f>
        <v> </v>
      </c>
      <c r="U182" s="93" t="str">
        <f t="shared" ref="U182:U184" si="196">IF(ISNUMBER(SEARCH("bench",$C182)),IF($D182&gt;=0.7,IF($D182&lt;0.8,$E182*$F182," ")," ")," ")</f>
        <v> </v>
      </c>
      <c r="V182" s="93" t="str">
        <f t="shared" ref="V182:V184" si="197">IF(ISNUMBER(SEARCH("bench",$C182)),IF($D182&gt;=0.8,IF($D182&lt;0.9,$E182*$F182," ")," ")," ")</f>
        <v> </v>
      </c>
      <c r="W182" s="93" t="str">
        <f t="shared" ref="W182:W184" si="198">IF(ISNUMBER(SEARCH("bench",$C182)),IF($D182&gt;=0.9,$E182*$F182," ")," ")</f>
        <v> </v>
      </c>
      <c r="X182" s="67"/>
      <c r="Y182" s="67"/>
      <c r="Z182" s="67"/>
      <c r="AA182" s="67"/>
      <c r="AB182" s="67"/>
      <c r="AC182" s="85"/>
      <c r="AG182" s="86"/>
    </row>
    <row r="183" ht="12.75" customHeight="1">
      <c r="A183" s="1"/>
      <c r="B183" s="87"/>
      <c r="C183" s="94" t="s">
        <v>99</v>
      </c>
      <c r="D183" s="89">
        <v>0.6</v>
      </c>
      <c r="E183" s="90">
        <v>4.0</v>
      </c>
      <c r="F183" s="91">
        <v>1.0</v>
      </c>
      <c r="G183" s="92">
        <f>'Start Here'!$F$22*D183</f>
        <v>60</v>
      </c>
      <c r="H183" s="138"/>
      <c r="I183" s="165"/>
      <c r="J183" s="166">
        <f t="shared" si="192"/>
        <v>4</v>
      </c>
      <c r="K183" s="165">
        <f t="shared" si="193"/>
        <v>240</v>
      </c>
      <c r="L183" s="166"/>
      <c r="M183" s="165"/>
      <c r="N183" s="67"/>
      <c r="O183" s="67"/>
      <c r="P183" s="67"/>
      <c r="Q183" s="67"/>
      <c r="R183" s="67"/>
      <c r="S183" s="93" t="str">
        <f t="shared" si="194"/>
        <v> </v>
      </c>
      <c r="T183" s="93">
        <f t="shared" si="195"/>
        <v>4</v>
      </c>
      <c r="U183" s="93" t="str">
        <f t="shared" si="196"/>
        <v> </v>
      </c>
      <c r="V183" s="93" t="str">
        <f t="shared" si="197"/>
        <v> </v>
      </c>
      <c r="W183" s="93" t="str">
        <f t="shared" si="198"/>
        <v> </v>
      </c>
      <c r="X183" s="67"/>
      <c r="Y183" s="67"/>
      <c r="Z183" s="67"/>
      <c r="AA183" s="67"/>
      <c r="AB183" s="67"/>
      <c r="AC183" s="85"/>
      <c r="AG183" s="86"/>
    </row>
    <row r="184" ht="12.75" customHeight="1">
      <c r="A184" s="1"/>
      <c r="B184" s="87"/>
      <c r="C184" s="94" t="s">
        <v>99</v>
      </c>
      <c r="D184" s="89">
        <v>0.7</v>
      </c>
      <c r="E184" s="90">
        <v>4.0</v>
      </c>
      <c r="F184" s="91">
        <v>4.0</v>
      </c>
      <c r="G184" s="92">
        <f>'Start Here'!$F$22*D184</f>
        <v>70</v>
      </c>
      <c r="H184" s="138"/>
      <c r="I184" s="165"/>
      <c r="J184" s="166">
        <f t="shared" si="192"/>
        <v>16</v>
      </c>
      <c r="K184" s="165">
        <f t="shared" si="193"/>
        <v>1120</v>
      </c>
      <c r="L184" s="166"/>
      <c r="M184" s="165"/>
      <c r="N184" s="67"/>
      <c r="O184" s="67"/>
      <c r="P184" s="67"/>
      <c r="Q184" s="67"/>
      <c r="R184" s="67"/>
      <c r="S184" s="93" t="str">
        <f t="shared" si="194"/>
        <v> </v>
      </c>
      <c r="T184" s="93" t="str">
        <f t="shared" si="195"/>
        <v> </v>
      </c>
      <c r="U184" s="93">
        <f t="shared" si="196"/>
        <v>16</v>
      </c>
      <c r="V184" s="93" t="str">
        <f t="shared" si="197"/>
        <v> </v>
      </c>
      <c r="W184" s="93" t="str">
        <f t="shared" si="198"/>
        <v> </v>
      </c>
      <c r="X184" s="67"/>
      <c r="Y184" s="67"/>
      <c r="Z184" s="67"/>
      <c r="AA184" s="67"/>
      <c r="AB184" s="67"/>
      <c r="AC184" s="85"/>
      <c r="AG184" s="86"/>
    </row>
    <row r="185" ht="12.75" customHeight="1">
      <c r="A185" s="1"/>
      <c r="B185" s="96">
        <v>3.0</v>
      </c>
      <c r="C185" s="167" t="s">
        <v>78</v>
      </c>
      <c r="D185" s="168"/>
      <c r="E185" s="98">
        <v>5.0</v>
      </c>
      <c r="F185" s="169">
        <v>5.0</v>
      </c>
      <c r="G185" s="170"/>
      <c r="H185" s="138"/>
      <c r="I185" s="165"/>
      <c r="J185" s="166"/>
      <c r="K185" s="165"/>
      <c r="L185" s="166"/>
      <c r="M185" s="165"/>
      <c r="N185" s="67"/>
      <c r="O185" s="67"/>
      <c r="P185" s="67"/>
      <c r="Q185" s="67"/>
      <c r="R185" s="67"/>
      <c r="S185" s="67"/>
      <c r="T185" s="67"/>
      <c r="U185" s="67"/>
      <c r="V185" s="67"/>
      <c r="W185" s="67"/>
      <c r="X185" s="67"/>
      <c r="Y185" s="67"/>
      <c r="Z185" s="67"/>
      <c r="AA185" s="67"/>
      <c r="AB185" s="67"/>
      <c r="AC185" s="85"/>
      <c r="AG185" s="86"/>
    </row>
    <row r="186" ht="12.75" customHeight="1">
      <c r="A186" s="1"/>
      <c r="B186" s="100">
        <v>4.0</v>
      </c>
      <c r="C186" s="171" t="s">
        <v>115</v>
      </c>
      <c r="D186" s="172"/>
      <c r="E186" s="102">
        <v>6.0</v>
      </c>
      <c r="F186" s="173">
        <v>5.0</v>
      </c>
      <c r="G186" s="174"/>
      <c r="H186" s="138"/>
      <c r="I186" s="165"/>
      <c r="J186" s="166"/>
      <c r="K186" s="165"/>
      <c r="L186" s="166"/>
      <c r="M186" s="165"/>
      <c r="N186" s="67"/>
      <c r="O186" s="67"/>
      <c r="P186" s="67"/>
      <c r="Q186" s="67"/>
      <c r="R186" s="67"/>
      <c r="S186" s="67"/>
      <c r="T186" s="67"/>
      <c r="U186" s="67"/>
      <c r="V186" s="67"/>
      <c r="W186" s="67"/>
      <c r="X186" s="67"/>
      <c r="Y186" s="67"/>
      <c r="Z186" s="67"/>
      <c r="AA186" s="67"/>
      <c r="AB186" s="67"/>
      <c r="AC186" s="104"/>
      <c r="AD186" s="105"/>
      <c r="AE186" s="105"/>
      <c r="AF186" s="105"/>
      <c r="AG186" s="106"/>
    </row>
    <row r="187" ht="25.5" customHeight="1">
      <c r="A187" s="181"/>
      <c r="B187" s="142"/>
      <c r="C187" s="182"/>
      <c r="D187" s="183"/>
      <c r="E187" s="184"/>
      <c r="F187" s="184"/>
      <c r="G187" s="184"/>
      <c r="H187" s="184">
        <f t="shared" ref="H187:AB187" si="199">SUM(H125:H186)</f>
        <v>67</v>
      </c>
      <c r="I187" s="186">
        <f t="shared" si="199"/>
        <v>4400</v>
      </c>
      <c r="J187" s="185">
        <f t="shared" si="199"/>
        <v>140</v>
      </c>
      <c r="K187" s="186">
        <f t="shared" si="199"/>
        <v>9500</v>
      </c>
      <c r="L187" s="185">
        <f t="shared" si="199"/>
        <v>65</v>
      </c>
      <c r="M187" s="186">
        <f t="shared" si="199"/>
        <v>4320</v>
      </c>
      <c r="N187" s="184">
        <f t="shared" si="199"/>
        <v>10</v>
      </c>
      <c r="O187" s="184">
        <f t="shared" si="199"/>
        <v>39</v>
      </c>
      <c r="P187" s="142">
        <f t="shared" si="199"/>
        <v>3</v>
      </c>
      <c r="Q187" s="142">
        <f t="shared" si="199"/>
        <v>15</v>
      </c>
      <c r="R187" s="184">
        <f t="shared" si="199"/>
        <v>0</v>
      </c>
      <c r="S187" s="144">
        <f t="shared" si="199"/>
        <v>28</v>
      </c>
      <c r="T187" s="144">
        <f t="shared" si="199"/>
        <v>27</v>
      </c>
      <c r="U187" s="144">
        <f t="shared" si="199"/>
        <v>34</v>
      </c>
      <c r="V187" s="144">
        <f t="shared" si="199"/>
        <v>51</v>
      </c>
      <c r="W187" s="144">
        <f t="shared" si="199"/>
        <v>0</v>
      </c>
      <c r="X187" s="144">
        <f t="shared" si="199"/>
        <v>11</v>
      </c>
      <c r="Y187" s="144">
        <f t="shared" si="199"/>
        <v>11</v>
      </c>
      <c r="Z187" s="144">
        <f t="shared" si="199"/>
        <v>43</v>
      </c>
      <c r="AA187" s="144">
        <f t="shared" si="199"/>
        <v>0</v>
      </c>
      <c r="AB187" s="144">
        <f t="shared" si="199"/>
        <v>0</v>
      </c>
      <c r="AC187" s="142"/>
      <c r="AD187" s="142"/>
      <c r="AE187" s="142"/>
      <c r="AF187" s="142"/>
      <c r="AG187" s="142"/>
    </row>
    <row r="188" ht="33.75" customHeight="1">
      <c r="A188" s="1"/>
      <c r="B188" s="66" t="s">
        <v>84</v>
      </c>
      <c r="H188" s="138"/>
      <c r="I188" s="165"/>
      <c r="J188" s="166"/>
      <c r="K188" s="165"/>
      <c r="L188" s="166"/>
      <c r="M188" s="165"/>
      <c r="N188" s="67"/>
      <c r="O188" s="67"/>
      <c r="P188" s="67"/>
      <c r="Q188" s="67"/>
      <c r="R188" s="67"/>
      <c r="S188" s="67"/>
      <c r="T188" s="67"/>
      <c r="U188" s="67"/>
      <c r="V188" s="67"/>
      <c r="W188" s="67"/>
      <c r="X188" s="67"/>
      <c r="Y188" s="67"/>
      <c r="Z188" s="67"/>
      <c r="AA188" s="67"/>
      <c r="AB188" s="67"/>
      <c r="AC188" s="67"/>
      <c r="AD188" s="67"/>
      <c r="AE188" s="67"/>
      <c r="AF188" s="67"/>
      <c r="AG188" s="67"/>
    </row>
    <row r="189" ht="24.0" customHeight="1">
      <c r="A189" s="1"/>
      <c r="B189" s="68" t="s">
        <v>33</v>
      </c>
      <c r="D189" s="137" t="s">
        <v>34</v>
      </c>
      <c r="E189" s="138" t="s">
        <v>35</v>
      </c>
      <c r="F189" s="138" t="s">
        <v>36</v>
      </c>
      <c r="G189" s="138" t="s">
        <v>37</v>
      </c>
      <c r="H189" s="138"/>
      <c r="I189" s="165"/>
      <c r="J189" s="166"/>
      <c r="K189" s="165"/>
      <c r="L189" s="166"/>
      <c r="M189" s="165"/>
      <c r="N189" s="67"/>
      <c r="O189" s="67"/>
      <c r="P189" s="67"/>
      <c r="Q189" s="67"/>
      <c r="R189" s="67"/>
      <c r="S189" s="67"/>
      <c r="T189" s="67"/>
      <c r="U189" s="67"/>
      <c r="V189" s="67"/>
      <c r="W189" s="67"/>
      <c r="X189" s="67"/>
      <c r="Y189" s="67"/>
      <c r="Z189" s="67"/>
      <c r="AA189" s="67"/>
      <c r="AB189" s="67"/>
      <c r="AC189" s="67" t="s">
        <v>43</v>
      </c>
      <c r="AD189" s="67"/>
      <c r="AE189" s="67"/>
      <c r="AF189" s="67"/>
      <c r="AG189" s="67"/>
    </row>
    <row r="190" ht="12.75" customHeight="1">
      <c r="A190" s="1"/>
      <c r="B190" s="123">
        <v>1.0</v>
      </c>
      <c r="C190" s="124" t="s">
        <v>91</v>
      </c>
      <c r="D190" s="125">
        <v>0.55</v>
      </c>
      <c r="E190" s="126">
        <v>3.0</v>
      </c>
      <c r="F190" s="127">
        <v>1.0</v>
      </c>
      <c r="G190" s="128">
        <f>'Start Here'!$F$22*D190</f>
        <v>55</v>
      </c>
      <c r="H190" s="138"/>
      <c r="I190" s="165"/>
      <c r="J190" s="166">
        <f t="shared" ref="J190:J194" si="200">E190*F190</f>
        <v>3</v>
      </c>
      <c r="K190" s="165">
        <f t="shared" ref="K190:K194" si="201">G190*J190</f>
        <v>165</v>
      </c>
      <c r="L190" s="166"/>
      <c r="M190" s="165"/>
      <c r="N190" s="67"/>
      <c r="O190" s="67"/>
      <c r="P190" s="67"/>
      <c r="Q190" s="67"/>
      <c r="R190" s="67"/>
      <c r="S190" s="93">
        <f t="shared" ref="S190:S194" si="202">IF(ISNUMBER(SEARCH("bench",$C190)),IF($D190&gt;=0.5,IF($D190&lt;0.6,$E190*$F190," ")," ")," ")</f>
        <v>3</v>
      </c>
      <c r="T190" s="93" t="str">
        <f t="shared" ref="T190:T194" si="203">IF(ISNUMBER(SEARCH("bench",$C190)),IF($D190&gt;=0.6,IF($D190&lt;0.7,$E190*$F190," ")," ")," ")</f>
        <v> </v>
      </c>
      <c r="U190" s="93" t="str">
        <f t="shared" ref="U190:U194" si="204">IF(ISNUMBER(SEARCH("bench",$C190)),IF($D190&gt;=0.7,IF($D190&lt;0.8,$E190*$F190," ")," ")," ")</f>
        <v> </v>
      </c>
      <c r="V190" s="93" t="str">
        <f t="shared" ref="V190:V194" si="205">IF(ISNUMBER(SEARCH("bench",$C190)),IF($D190&gt;=0.8,IF($D190&lt;0.9,$E190*$F190," ")," ")," ")</f>
        <v> </v>
      </c>
      <c r="W190" s="93" t="str">
        <f t="shared" ref="W190:W194" si="206">IF(ISNUMBER(SEARCH("bench",$C190)),IF($D190&gt;=0.9,$E190*$F190," ")," ")</f>
        <v> </v>
      </c>
      <c r="X190" s="67"/>
      <c r="Y190" s="67"/>
      <c r="Z190" s="67"/>
      <c r="AA190" s="67"/>
      <c r="AB190" s="67"/>
      <c r="AC190" s="76"/>
      <c r="AD190" s="77"/>
      <c r="AE190" s="77"/>
      <c r="AF190" s="77"/>
      <c r="AG190" s="78"/>
    </row>
    <row r="191" ht="12.75" customHeight="1">
      <c r="A191" s="1"/>
      <c r="B191" s="87"/>
      <c r="C191" s="94" t="s">
        <v>91</v>
      </c>
      <c r="D191" s="89">
        <v>0.65</v>
      </c>
      <c r="E191" s="90">
        <v>3.0</v>
      </c>
      <c r="F191" s="91">
        <v>1.0</v>
      </c>
      <c r="G191" s="92">
        <f>'Start Here'!$F$22*D191</f>
        <v>65</v>
      </c>
      <c r="H191" s="138"/>
      <c r="I191" s="165"/>
      <c r="J191" s="166">
        <f t="shared" si="200"/>
        <v>3</v>
      </c>
      <c r="K191" s="165">
        <f t="shared" si="201"/>
        <v>195</v>
      </c>
      <c r="L191" s="166"/>
      <c r="M191" s="165"/>
      <c r="N191" s="67"/>
      <c r="O191" s="67"/>
      <c r="P191" s="67"/>
      <c r="Q191" s="67"/>
      <c r="R191" s="67"/>
      <c r="S191" s="93" t="str">
        <f t="shared" si="202"/>
        <v> </v>
      </c>
      <c r="T191" s="93">
        <f t="shared" si="203"/>
        <v>3</v>
      </c>
      <c r="U191" s="93" t="str">
        <f t="shared" si="204"/>
        <v> </v>
      </c>
      <c r="V191" s="93" t="str">
        <f t="shared" si="205"/>
        <v> </v>
      </c>
      <c r="W191" s="93" t="str">
        <f t="shared" si="206"/>
        <v> </v>
      </c>
      <c r="X191" s="67"/>
      <c r="Y191" s="67"/>
      <c r="Z191" s="67"/>
      <c r="AA191" s="67"/>
      <c r="AB191" s="67"/>
      <c r="AC191" s="85"/>
      <c r="AG191" s="86"/>
    </row>
    <row r="192" ht="12.75" customHeight="1">
      <c r="A192" s="1"/>
      <c r="B192" s="87"/>
      <c r="C192" s="94" t="s">
        <v>91</v>
      </c>
      <c r="D192" s="89">
        <v>0.75</v>
      </c>
      <c r="E192" s="90">
        <v>3.0</v>
      </c>
      <c r="F192" s="91">
        <v>1.0</v>
      </c>
      <c r="G192" s="92">
        <f>'Start Here'!$F$22*D192</f>
        <v>75</v>
      </c>
      <c r="H192" s="138"/>
      <c r="I192" s="165"/>
      <c r="J192" s="166">
        <f t="shared" si="200"/>
        <v>3</v>
      </c>
      <c r="K192" s="165">
        <f t="shared" si="201"/>
        <v>225</v>
      </c>
      <c r="L192" s="166"/>
      <c r="M192" s="165"/>
      <c r="N192" s="67"/>
      <c r="O192" s="67"/>
      <c r="P192" s="67"/>
      <c r="Q192" s="67"/>
      <c r="R192" s="67"/>
      <c r="S192" s="93" t="str">
        <f t="shared" si="202"/>
        <v> </v>
      </c>
      <c r="T192" s="93" t="str">
        <f t="shared" si="203"/>
        <v> </v>
      </c>
      <c r="U192" s="93">
        <f t="shared" si="204"/>
        <v>3</v>
      </c>
      <c r="V192" s="93" t="str">
        <f t="shared" si="205"/>
        <v> </v>
      </c>
      <c r="W192" s="93" t="str">
        <f t="shared" si="206"/>
        <v> </v>
      </c>
      <c r="X192" s="67"/>
      <c r="Y192" s="67"/>
      <c r="Z192" s="67"/>
      <c r="AA192" s="67"/>
      <c r="AB192" s="67"/>
      <c r="AC192" s="85"/>
      <c r="AG192" s="86"/>
    </row>
    <row r="193" ht="12.75" customHeight="1">
      <c r="A193" s="1"/>
      <c r="B193" s="87"/>
      <c r="C193" s="94" t="s">
        <v>91</v>
      </c>
      <c r="D193" s="89">
        <v>0.85</v>
      </c>
      <c r="E193" s="90">
        <v>3.0</v>
      </c>
      <c r="F193" s="91">
        <v>2.0</v>
      </c>
      <c r="G193" s="92">
        <f>'Start Here'!$F$22*D193</f>
        <v>85</v>
      </c>
      <c r="H193" s="138"/>
      <c r="I193" s="165"/>
      <c r="J193" s="166">
        <f t="shared" si="200"/>
        <v>6</v>
      </c>
      <c r="K193" s="165">
        <f t="shared" si="201"/>
        <v>510</v>
      </c>
      <c r="L193" s="166"/>
      <c r="M193" s="165"/>
      <c r="N193" s="67"/>
      <c r="O193" s="67"/>
      <c r="P193" s="67"/>
      <c r="Q193" s="67"/>
      <c r="R193" s="67"/>
      <c r="S193" s="93" t="str">
        <f t="shared" si="202"/>
        <v> </v>
      </c>
      <c r="T193" s="93" t="str">
        <f t="shared" si="203"/>
        <v> </v>
      </c>
      <c r="U193" s="93" t="str">
        <f t="shared" si="204"/>
        <v> </v>
      </c>
      <c r="V193" s="93">
        <f t="shared" si="205"/>
        <v>6</v>
      </c>
      <c r="W193" s="93" t="str">
        <f t="shared" si="206"/>
        <v> </v>
      </c>
      <c r="X193" s="67"/>
      <c r="Y193" s="67"/>
      <c r="Z193" s="67"/>
      <c r="AA193" s="67"/>
      <c r="AB193" s="67"/>
      <c r="AC193" s="85"/>
      <c r="AG193" s="86"/>
    </row>
    <row r="194" ht="12.75" customHeight="1">
      <c r="A194" s="1"/>
      <c r="B194" s="87"/>
      <c r="C194" s="94" t="s">
        <v>91</v>
      </c>
      <c r="D194" s="89">
        <v>0.9</v>
      </c>
      <c r="E194" s="90">
        <v>2.0</v>
      </c>
      <c r="F194" s="91">
        <v>3.0</v>
      </c>
      <c r="G194" s="92">
        <f>'Start Here'!$F$22*D194</f>
        <v>90</v>
      </c>
      <c r="H194" s="138"/>
      <c r="I194" s="165"/>
      <c r="J194" s="166">
        <f t="shared" si="200"/>
        <v>6</v>
      </c>
      <c r="K194" s="165">
        <f t="shared" si="201"/>
        <v>540</v>
      </c>
      <c r="L194" s="166"/>
      <c r="M194" s="165"/>
      <c r="N194" s="67"/>
      <c r="O194" s="67"/>
      <c r="P194" s="67"/>
      <c r="Q194" s="67"/>
      <c r="R194" s="67"/>
      <c r="S194" s="93" t="str">
        <f t="shared" si="202"/>
        <v> </v>
      </c>
      <c r="T194" s="93" t="str">
        <f t="shared" si="203"/>
        <v> </v>
      </c>
      <c r="U194" s="93" t="str">
        <f t="shared" si="204"/>
        <v> </v>
      </c>
      <c r="V194" s="93" t="str">
        <f t="shared" si="205"/>
        <v> </v>
      </c>
      <c r="W194" s="93">
        <f t="shared" si="206"/>
        <v>6</v>
      </c>
      <c r="X194" s="67"/>
      <c r="Y194" s="67"/>
      <c r="Z194" s="67"/>
      <c r="AA194" s="67"/>
      <c r="AB194" s="67"/>
      <c r="AC194" s="85"/>
      <c r="AG194" s="86"/>
    </row>
    <row r="195" ht="12.75" customHeight="1">
      <c r="A195" s="1"/>
      <c r="B195" s="79">
        <v>2.0</v>
      </c>
      <c r="C195" s="95" t="s">
        <v>46</v>
      </c>
      <c r="D195" s="81">
        <v>0.5</v>
      </c>
      <c r="E195" s="82">
        <v>5.0</v>
      </c>
      <c r="F195" s="83">
        <v>1.0</v>
      </c>
      <c r="G195" s="84">
        <f>'Start Here'!$F$21*D195</f>
        <v>50</v>
      </c>
      <c r="H195" s="138">
        <f t="shared" ref="H195:H200" si="207">E195*F195</f>
        <v>5</v>
      </c>
      <c r="I195" s="165">
        <f t="shared" ref="I195:I200" si="208">G195*H195</f>
        <v>250</v>
      </c>
      <c r="J195" s="166"/>
      <c r="K195" s="165"/>
      <c r="L195" s="166"/>
      <c r="M195" s="165"/>
      <c r="N195" s="75">
        <f t="shared" ref="N195:N200" si="209">IF(ISNUMBER(SEARCH("squat",$C195)),IF($D195&gt;=0.5,IF($D195&lt;0.6,$E195*$F195," ")," ")," ")</f>
        <v>5</v>
      </c>
      <c r="O195" s="75" t="str">
        <f t="shared" ref="O195:O200" si="210">IF(ISNUMBER(SEARCH("squat",$C195)),IF($D195&gt;=0.6,IF($D195&lt;0.7,$E195*$F195," ")," ")," ")</f>
        <v> </v>
      </c>
      <c r="P195" s="75" t="str">
        <f t="shared" ref="P195:P200" si="211">IF(ISNUMBER(SEARCH("squat",$C195)),IF($D195&gt;=0.7,IF($D195&lt;0.8,$E195*$F195," ")," ")," ")</f>
        <v> </v>
      </c>
      <c r="Q195" s="75" t="str">
        <f t="shared" ref="Q195:Q200" si="212">IF(ISNUMBER(SEARCH("squat",$C195)),IF($D195&gt;=0.8,IF($D195&lt;0.9,$E195*$F195," ")," ")," ")</f>
        <v> </v>
      </c>
      <c r="R195" s="75" t="str">
        <f t="shared" ref="R195:R200" si="213">IF(ISNUMBER(SEARCH("squat",$C195)),IF($D195&gt;=0.9,$E195*$F195," ")," ")</f>
        <v> </v>
      </c>
      <c r="S195" s="67"/>
      <c r="T195" s="67"/>
      <c r="U195" s="67"/>
      <c r="V195" s="67"/>
      <c r="W195" s="67"/>
      <c r="X195" s="67"/>
      <c r="Y195" s="67"/>
      <c r="Z195" s="67"/>
      <c r="AA195" s="67"/>
      <c r="AB195" s="67"/>
      <c r="AC195" s="85"/>
      <c r="AG195" s="86"/>
    </row>
    <row r="196" ht="12.75" customHeight="1">
      <c r="A196" s="1"/>
      <c r="B196" s="79"/>
      <c r="C196" s="80" t="s">
        <v>46</v>
      </c>
      <c r="D196" s="81">
        <v>0.6</v>
      </c>
      <c r="E196" s="82">
        <v>4.0</v>
      </c>
      <c r="F196" s="83">
        <v>1.0</v>
      </c>
      <c r="G196" s="84">
        <f>'Start Here'!$F$21*D196</f>
        <v>60</v>
      </c>
      <c r="H196" s="138">
        <f t="shared" si="207"/>
        <v>4</v>
      </c>
      <c r="I196" s="165">
        <f t="shared" si="208"/>
        <v>240</v>
      </c>
      <c r="J196" s="166"/>
      <c r="K196" s="165"/>
      <c r="L196" s="166"/>
      <c r="M196" s="165"/>
      <c r="N196" s="75" t="str">
        <f t="shared" si="209"/>
        <v> </v>
      </c>
      <c r="O196" s="75">
        <f t="shared" si="210"/>
        <v>4</v>
      </c>
      <c r="P196" s="75" t="str">
        <f t="shared" si="211"/>
        <v> </v>
      </c>
      <c r="Q196" s="75" t="str">
        <f t="shared" si="212"/>
        <v> </v>
      </c>
      <c r="R196" s="75" t="str">
        <f t="shared" si="213"/>
        <v> </v>
      </c>
      <c r="S196" s="67"/>
      <c r="T196" s="67"/>
      <c r="U196" s="67"/>
      <c r="V196" s="67"/>
      <c r="W196" s="67"/>
      <c r="X196" s="67"/>
      <c r="Y196" s="67"/>
      <c r="Z196" s="67"/>
      <c r="AA196" s="67"/>
      <c r="AB196" s="67"/>
      <c r="AC196" s="85"/>
      <c r="AG196" s="86"/>
    </row>
    <row r="197" ht="12.75" customHeight="1">
      <c r="A197" s="1"/>
      <c r="B197" s="79"/>
      <c r="C197" s="80" t="s">
        <v>46</v>
      </c>
      <c r="D197" s="81">
        <v>0.7</v>
      </c>
      <c r="E197" s="82">
        <v>3.0</v>
      </c>
      <c r="F197" s="83">
        <v>1.0</v>
      </c>
      <c r="G197" s="84">
        <f>'Start Here'!$F$21*D197</f>
        <v>70</v>
      </c>
      <c r="H197" s="138">
        <f t="shared" si="207"/>
        <v>3</v>
      </c>
      <c r="I197" s="165">
        <f t="shared" si="208"/>
        <v>210</v>
      </c>
      <c r="J197" s="166"/>
      <c r="K197" s="165"/>
      <c r="L197" s="166"/>
      <c r="M197" s="165"/>
      <c r="N197" s="75" t="str">
        <f t="shared" si="209"/>
        <v> </v>
      </c>
      <c r="O197" s="75" t="str">
        <f t="shared" si="210"/>
        <v> </v>
      </c>
      <c r="P197" s="75">
        <f t="shared" si="211"/>
        <v>3</v>
      </c>
      <c r="Q197" s="75" t="str">
        <f t="shared" si="212"/>
        <v> </v>
      </c>
      <c r="R197" s="75" t="str">
        <f t="shared" si="213"/>
        <v> </v>
      </c>
      <c r="S197" s="67"/>
      <c r="T197" s="67"/>
      <c r="U197" s="67"/>
      <c r="V197" s="67"/>
      <c r="W197" s="67"/>
      <c r="X197" s="67"/>
      <c r="Y197" s="67"/>
      <c r="Z197" s="67"/>
      <c r="AA197" s="67"/>
      <c r="AB197" s="67"/>
      <c r="AC197" s="85"/>
      <c r="AG197" s="86"/>
    </row>
    <row r="198" ht="12.75" customHeight="1">
      <c r="A198" s="1"/>
      <c r="B198" s="79"/>
      <c r="C198" s="80" t="s">
        <v>46</v>
      </c>
      <c r="D198" s="81">
        <v>0.8</v>
      </c>
      <c r="E198" s="82">
        <v>3.0</v>
      </c>
      <c r="F198" s="83">
        <v>2.0</v>
      </c>
      <c r="G198" s="84">
        <f>'Start Here'!$F$21*D198</f>
        <v>80</v>
      </c>
      <c r="H198" s="138">
        <f t="shared" si="207"/>
        <v>6</v>
      </c>
      <c r="I198" s="165">
        <f t="shared" si="208"/>
        <v>480</v>
      </c>
      <c r="J198" s="166"/>
      <c r="K198" s="165"/>
      <c r="L198" s="166"/>
      <c r="M198" s="165"/>
      <c r="N198" s="75" t="str">
        <f t="shared" si="209"/>
        <v> </v>
      </c>
      <c r="O198" s="75" t="str">
        <f t="shared" si="210"/>
        <v> </v>
      </c>
      <c r="P198" s="75" t="str">
        <f t="shared" si="211"/>
        <v> </v>
      </c>
      <c r="Q198" s="75">
        <f t="shared" si="212"/>
        <v>6</v>
      </c>
      <c r="R198" s="75" t="str">
        <f t="shared" si="213"/>
        <v> </v>
      </c>
      <c r="S198" s="67"/>
      <c r="T198" s="67"/>
      <c r="U198" s="67"/>
      <c r="V198" s="67"/>
      <c r="W198" s="67"/>
      <c r="X198" s="67"/>
      <c r="Y198" s="67"/>
      <c r="Z198" s="67"/>
      <c r="AA198" s="67"/>
      <c r="AB198" s="67"/>
      <c r="AC198" s="85"/>
      <c r="AG198" s="86"/>
    </row>
    <row r="199" ht="12.75" customHeight="1">
      <c r="A199" s="1"/>
      <c r="B199" s="79"/>
      <c r="C199" s="80" t="s">
        <v>46</v>
      </c>
      <c r="D199" s="81">
        <v>0.85</v>
      </c>
      <c r="E199" s="82">
        <v>2.0</v>
      </c>
      <c r="F199" s="83">
        <v>2.0</v>
      </c>
      <c r="G199" s="84">
        <f>'Start Here'!$F$21*D199</f>
        <v>85</v>
      </c>
      <c r="H199" s="138">
        <f t="shared" si="207"/>
        <v>4</v>
      </c>
      <c r="I199" s="165">
        <f t="shared" si="208"/>
        <v>340</v>
      </c>
      <c r="J199" s="166"/>
      <c r="K199" s="165"/>
      <c r="L199" s="166"/>
      <c r="M199" s="165"/>
      <c r="N199" s="75" t="str">
        <f t="shared" si="209"/>
        <v> </v>
      </c>
      <c r="O199" s="75" t="str">
        <f t="shared" si="210"/>
        <v> </v>
      </c>
      <c r="P199" s="75" t="str">
        <f t="shared" si="211"/>
        <v> </v>
      </c>
      <c r="Q199" s="75">
        <f t="shared" si="212"/>
        <v>4</v>
      </c>
      <c r="R199" s="75" t="str">
        <f t="shared" si="213"/>
        <v> </v>
      </c>
      <c r="S199" s="67"/>
      <c r="T199" s="67"/>
      <c r="U199" s="67"/>
      <c r="V199" s="67"/>
      <c r="W199" s="67"/>
      <c r="X199" s="67"/>
      <c r="Y199" s="67"/>
      <c r="Z199" s="67"/>
      <c r="AA199" s="67"/>
      <c r="AB199" s="67"/>
      <c r="AC199" s="85"/>
      <c r="AG199" s="86"/>
    </row>
    <row r="200" ht="12.75" customHeight="1">
      <c r="A200" s="1"/>
      <c r="B200" s="79"/>
      <c r="C200" s="80" t="s">
        <v>46</v>
      </c>
      <c r="D200" s="81">
        <v>0.8</v>
      </c>
      <c r="E200" s="82">
        <v>3.0</v>
      </c>
      <c r="F200" s="83">
        <v>2.0</v>
      </c>
      <c r="G200" s="84">
        <f>'Start Here'!$F$21*D200</f>
        <v>80</v>
      </c>
      <c r="H200" s="138">
        <f t="shared" si="207"/>
        <v>6</v>
      </c>
      <c r="I200" s="165">
        <f t="shared" si="208"/>
        <v>480</v>
      </c>
      <c r="J200" s="166"/>
      <c r="K200" s="165"/>
      <c r="L200" s="166"/>
      <c r="M200" s="165"/>
      <c r="N200" s="75" t="str">
        <f t="shared" si="209"/>
        <v> </v>
      </c>
      <c r="O200" s="75" t="str">
        <f t="shared" si="210"/>
        <v> </v>
      </c>
      <c r="P200" s="75" t="str">
        <f t="shared" si="211"/>
        <v> </v>
      </c>
      <c r="Q200" s="75">
        <f t="shared" si="212"/>
        <v>6</v>
      </c>
      <c r="R200" s="75" t="str">
        <f t="shared" si="213"/>
        <v> </v>
      </c>
      <c r="S200" s="67"/>
      <c r="T200" s="67"/>
      <c r="U200" s="67"/>
      <c r="V200" s="67"/>
      <c r="W200" s="67"/>
      <c r="X200" s="67"/>
      <c r="Y200" s="67"/>
      <c r="Z200" s="67"/>
      <c r="AA200" s="67"/>
      <c r="AB200" s="67"/>
      <c r="AC200" s="85"/>
      <c r="AG200" s="86"/>
    </row>
    <row r="201" ht="12.75" customHeight="1">
      <c r="A201" s="1"/>
      <c r="B201" s="87">
        <v>3.0</v>
      </c>
      <c r="C201" s="88" t="s">
        <v>130</v>
      </c>
      <c r="D201" s="89">
        <v>0.5</v>
      </c>
      <c r="E201" s="90">
        <v>4.0</v>
      </c>
      <c r="F201" s="91">
        <v>1.0</v>
      </c>
      <c r="G201" s="92">
        <f>'Start Here'!$F$22*D201</f>
        <v>50</v>
      </c>
      <c r="H201" s="138"/>
      <c r="I201" s="165"/>
      <c r="J201" s="166">
        <f t="shared" ref="J201:J203" si="214">E201*F201</f>
        <v>4</v>
      </c>
      <c r="K201" s="165">
        <f t="shared" ref="K201:K203" si="215">G201*J201</f>
        <v>200</v>
      </c>
      <c r="L201" s="166"/>
      <c r="M201" s="165"/>
      <c r="N201" s="67"/>
      <c r="O201" s="67"/>
      <c r="P201" s="67"/>
      <c r="Q201" s="67"/>
      <c r="R201" s="67"/>
      <c r="S201" s="93">
        <f t="shared" ref="S201:S203" si="216">IF(ISNUMBER(SEARCH("bench",$C201)),IF($D201&gt;=0.5,IF($D201&lt;0.6,$E201*$F201," ")," ")," ")</f>
        <v>4</v>
      </c>
      <c r="T201" s="93" t="str">
        <f t="shared" ref="T201:T203" si="217">IF(ISNUMBER(SEARCH("bench",$C201)),IF($D201&gt;=0.6,IF($D201&lt;0.7,$E201*$F201," ")," ")," ")</f>
        <v> </v>
      </c>
      <c r="U201" s="93" t="str">
        <f t="shared" ref="U201:U203" si="218">IF(ISNUMBER(SEARCH("bench",$C201)),IF($D201&gt;=0.7,IF($D201&lt;0.8,$E201*$F201," ")," ")," ")</f>
        <v> </v>
      </c>
      <c r="V201" s="93" t="str">
        <f t="shared" ref="V201:V203" si="219">IF(ISNUMBER(SEARCH("bench",$C201)),IF($D201&gt;=0.8,IF($D201&lt;0.9,$E201*$F201," ")," ")," ")</f>
        <v> </v>
      </c>
      <c r="W201" s="93" t="str">
        <f t="shared" ref="W201:W203" si="220">IF(ISNUMBER(SEARCH("bench",$C201)),IF($D201&gt;=0.9,$E201*$F201," ")," ")</f>
        <v> </v>
      </c>
      <c r="X201" s="67"/>
      <c r="Y201" s="67"/>
      <c r="Z201" s="67"/>
      <c r="AA201" s="67"/>
      <c r="AB201" s="67"/>
      <c r="AC201" s="85"/>
      <c r="AG201" s="86"/>
    </row>
    <row r="202" ht="12.75" customHeight="1">
      <c r="A202" s="1"/>
      <c r="B202" s="87"/>
      <c r="C202" s="94" t="s">
        <v>130</v>
      </c>
      <c r="D202" s="89">
        <v>0.6</v>
      </c>
      <c r="E202" s="90">
        <v>4.0</v>
      </c>
      <c r="F202" s="91">
        <v>1.0</v>
      </c>
      <c r="G202" s="92">
        <f>'Start Here'!$F$22*D202</f>
        <v>60</v>
      </c>
      <c r="H202" s="138"/>
      <c r="I202" s="165"/>
      <c r="J202" s="166">
        <f t="shared" si="214"/>
        <v>4</v>
      </c>
      <c r="K202" s="165">
        <f t="shared" si="215"/>
        <v>240</v>
      </c>
      <c r="L202" s="166"/>
      <c r="M202" s="165"/>
      <c r="N202" s="67"/>
      <c r="O202" s="67"/>
      <c r="P202" s="67"/>
      <c r="Q202" s="67"/>
      <c r="R202" s="67"/>
      <c r="S202" s="93" t="str">
        <f t="shared" si="216"/>
        <v> </v>
      </c>
      <c r="T202" s="93">
        <f t="shared" si="217"/>
        <v>4</v>
      </c>
      <c r="U202" s="93" t="str">
        <f t="shared" si="218"/>
        <v> </v>
      </c>
      <c r="V202" s="93" t="str">
        <f t="shared" si="219"/>
        <v> </v>
      </c>
      <c r="W202" s="93" t="str">
        <f t="shared" si="220"/>
        <v> </v>
      </c>
      <c r="X202" s="67"/>
      <c r="Y202" s="67"/>
      <c r="Z202" s="67"/>
      <c r="AA202" s="67"/>
      <c r="AB202" s="67"/>
      <c r="AC202" s="85"/>
      <c r="AG202" s="86"/>
    </row>
    <row r="203" ht="12.75" customHeight="1">
      <c r="A203" s="1"/>
      <c r="B203" s="87"/>
      <c r="C203" s="94" t="s">
        <v>130</v>
      </c>
      <c r="D203" s="89">
        <v>0.7</v>
      </c>
      <c r="E203" s="90">
        <v>4.0</v>
      </c>
      <c r="F203" s="91">
        <v>5.0</v>
      </c>
      <c r="G203" s="92">
        <f>'Start Here'!$F$22*D203</f>
        <v>70</v>
      </c>
      <c r="H203" s="138"/>
      <c r="I203" s="165"/>
      <c r="J203" s="166">
        <f t="shared" si="214"/>
        <v>20</v>
      </c>
      <c r="K203" s="165">
        <f t="shared" si="215"/>
        <v>1400</v>
      </c>
      <c r="L203" s="166"/>
      <c r="M203" s="165"/>
      <c r="N203" s="67"/>
      <c r="O203" s="67"/>
      <c r="P203" s="67"/>
      <c r="Q203" s="67"/>
      <c r="R203" s="67"/>
      <c r="S203" s="93" t="str">
        <f t="shared" si="216"/>
        <v> </v>
      </c>
      <c r="T203" s="93" t="str">
        <f t="shared" si="217"/>
        <v> </v>
      </c>
      <c r="U203" s="93">
        <f t="shared" si="218"/>
        <v>20</v>
      </c>
      <c r="V203" s="93" t="str">
        <f t="shared" si="219"/>
        <v> </v>
      </c>
      <c r="W203" s="93" t="str">
        <f t="shared" si="220"/>
        <v> </v>
      </c>
      <c r="X203" s="67"/>
      <c r="Y203" s="67"/>
      <c r="Z203" s="67"/>
      <c r="AA203" s="67"/>
      <c r="AB203" s="67"/>
      <c r="AC203" s="85"/>
      <c r="AG203" s="86"/>
    </row>
    <row r="204" ht="12.75" customHeight="1">
      <c r="A204" s="1"/>
      <c r="B204" s="189">
        <v>4.0</v>
      </c>
      <c r="C204" s="190" t="s">
        <v>92</v>
      </c>
      <c r="D204" s="191"/>
      <c r="E204" s="192">
        <v>6.0</v>
      </c>
      <c r="F204" s="193">
        <v>4.0</v>
      </c>
      <c r="G204" s="194"/>
      <c r="H204" s="138"/>
      <c r="I204" s="165"/>
      <c r="J204" s="166"/>
      <c r="K204" s="165"/>
      <c r="L204" s="166"/>
      <c r="M204" s="165"/>
      <c r="N204" s="67"/>
      <c r="O204" s="67"/>
      <c r="P204" s="67"/>
      <c r="Q204" s="67"/>
      <c r="R204" s="67"/>
      <c r="S204" s="67"/>
      <c r="T204" s="67"/>
      <c r="U204" s="67"/>
      <c r="V204" s="67"/>
      <c r="W204" s="67"/>
      <c r="X204" s="67"/>
      <c r="Y204" s="67"/>
      <c r="Z204" s="67"/>
      <c r="AA204" s="67"/>
      <c r="AB204" s="67"/>
      <c r="AC204" s="85"/>
      <c r="AG204" s="86"/>
    </row>
    <row r="205" ht="12.75" customHeight="1">
      <c r="A205" s="1"/>
      <c r="B205" s="175">
        <v>5.0</v>
      </c>
      <c r="C205" s="176" t="s">
        <v>48</v>
      </c>
      <c r="D205" s="177"/>
      <c r="E205" s="178">
        <v>10.0</v>
      </c>
      <c r="F205" s="179">
        <v>3.0</v>
      </c>
      <c r="G205" s="180"/>
      <c r="H205" s="138"/>
      <c r="I205" s="165"/>
      <c r="J205" s="166"/>
      <c r="K205" s="165"/>
      <c r="L205" s="166"/>
      <c r="M205" s="165"/>
      <c r="N205" s="67"/>
      <c r="O205" s="67"/>
      <c r="P205" s="67"/>
      <c r="Q205" s="67"/>
      <c r="R205" s="67"/>
      <c r="S205" s="67"/>
      <c r="T205" s="67"/>
      <c r="U205" s="67"/>
      <c r="V205" s="67"/>
      <c r="W205" s="67"/>
      <c r="X205" s="67"/>
      <c r="Y205" s="67"/>
      <c r="Z205" s="67"/>
      <c r="AA205" s="67"/>
      <c r="AB205" s="67"/>
      <c r="AC205" s="104"/>
      <c r="AD205" s="105"/>
      <c r="AE205" s="105"/>
      <c r="AF205" s="105"/>
      <c r="AG205" s="106"/>
    </row>
    <row r="206" ht="12.75" customHeight="1">
      <c r="A206" s="1"/>
      <c r="B206" s="67"/>
      <c r="C206" s="136"/>
      <c r="D206" s="137"/>
      <c r="E206" s="138"/>
      <c r="F206" s="138"/>
      <c r="G206" s="138"/>
      <c r="H206" s="138"/>
      <c r="I206" s="165"/>
      <c r="J206" s="166"/>
      <c r="K206" s="165"/>
      <c r="L206" s="166"/>
      <c r="M206" s="165"/>
      <c r="N206" s="67"/>
      <c r="O206" s="67"/>
      <c r="P206" s="67"/>
      <c r="Q206" s="67"/>
      <c r="R206" s="67"/>
      <c r="S206" s="67"/>
      <c r="T206" s="67"/>
      <c r="U206" s="67"/>
      <c r="V206" s="67"/>
      <c r="W206" s="67"/>
      <c r="X206" s="67"/>
      <c r="Y206" s="67"/>
      <c r="Z206" s="67"/>
      <c r="AA206" s="67"/>
      <c r="AB206" s="67"/>
      <c r="AC206" s="67"/>
      <c r="AD206" s="67"/>
      <c r="AE206" s="67"/>
      <c r="AF206" s="67"/>
      <c r="AG206" s="67"/>
    </row>
    <row r="207" ht="30.75" customHeight="1">
      <c r="A207" s="1"/>
      <c r="B207" s="68" t="s">
        <v>49</v>
      </c>
      <c r="D207" s="137" t="s">
        <v>34</v>
      </c>
      <c r="E207" s="138" t="s">
        <v>35</v>
      </c>
      <c r="F207" s="138" t="s">
        <v>36</v>
      </c>
      <c r="G207" s="138" t="s">
        <v>37</v>
      </c>
      <c r="H207" s="138"/>
      <c r="I207" s="165"/>
      <c r="J207" s="166"/>
      <c r="K207" s="165"/>
      <c r="L207" s="166"/>
      <c r="M207" s="165"/>
      <c r="N207" s="67"/>
      <c r="O207" s="67"/>
      <c r="P207" s="67"/>
      <c r="Q207" s="67"/>
      <c r="R207" s="67"/>
      <c r="S207" s="67"/>
      <c r="T207" s="67"/>
      <c r="U207" s="67"/>
      <c r="V207" s="67"/>
      <c r="W207" s="67"/>
      <c r="X207" s="67"/>
      <c r="Y207" s="67"/>
      <c r="Z207" s="67"/>
      <c r="AA207" s="67"/>
      <c r="AB207" s="67"/>
      <c r="AC207" s="67" t="s">
        <v>43</v>
      </c>
      <c r="AD207" s="67"/>
      <c r="AE207" s="67"/>
      <c r="AF207" s="67"/>
      <c r="AG207" s="67"/>
    </row>
    <row r="208" ht="12.75" customHeight="1">
      <c r="A208" s="1"/>
      <c r="B208" s="107">
        <v>1.0</v>
      </c>
      <c r="C208" s="108" t="s">
        <v>68</v>
      </c>
      <c r="D208" s="109">
        <v>0.5</v>
      </c>
      <c r="E208" s="110">
        <v>3.0</v>
      </c>
      <c r="F208" s="111">
        <v>1.0</v>
      </c>
      <c r="G208" s="112">
        <f>'Start Here'!$F$23*D208</f>
        <v>50</v>
      </c>
      <c r="H208" s="138"/>
      <c r="I208" s="165"/>
      <c r="J208" s="166"/>
      <c r="K208" s="165"/>
      <c r="L208" s="166">
        <f t="shared" ref="L208:L211" si="221">E208*F208</f>
        <v>3</v>
      </c>
      <c r="M208" s="165">
        <f t="shared" ref="M208:M211" si="222">G208*L208</f>
        <v>150</v>
      </c>
      <c r="N208" s="67"/>
      <c r="O208" s="67"/>
      <c r="P208" s="67"/>
      <c r="Q208" s="67"/>
      <c r="R208" s="67"/>
      <c r="S208" s="67"/>
      <c r="T208" s="67"/>
      <c r="U208" s="67"/>
      <c r="V208" s="67"/>
      <c r="W208" s="67"/>
      <c r="X208" s="114">
        <f t="shared" ref="X208:X211" si="223">IF(ISNUMBER(SEARCH("deadlift",$C208)),IF($D208&gt;=0.5,IF($D208&lt;0.6,$E208*$F208," ")," ")," ")</f>
        <v>3</v>
      </c>
      <c r="Y208" s="114" t="str">
        <f t="shared" ref="Y208:Y211" si="224">IF(ISNUMBER(SEARCH("deadlift",$C208)),IF($D208&gt;=0.6,IF($D208&lt;0.7,$E208*$F208," ")," ")," ")</f>
        <v> </v>
      </c>
      <c r="Z208" s="114" t="str">
        <f t="shared" ref="Z208:Z211" si="225">IF(ISNUMBER(SEARCH("deadlift",$C208)),IF($D208&gt;=0.7,IF($D208&lt;0.8,$E208*$F208," ")," ")," ")</f>
        <v> </v>
      </c>
      <c r="AA208" s="114" t="str">
        <f t="shared" ref="AA208:AA211" si="226">IF(ISNUMBER(SEARCH("deadlift",$C208)),IF($D208&gt;=0.8,IF($D208&lt;0.9,$E208*$F208," ")," ")," ")</f>
        <v> </v>
      </c>
      <c r="AB208" s="114" t="str">
        <f t="shared" ref="AB208:AB211" si="227">IF(ISNUMBER(SEARCH("deadlift",$C208)),IF($D208&gt;=0.9,$E208*$F208," ")," ")</f>
        <v> </v>
      </c>
      <c r="AC208" s="76"/>
      <c r="AD208" s="77"/>
      <c r="AE208" s="77"/>
      <c r="AF208" s="77"/>
      <c r="AG208" s="78"/>
    </row>
    <row r="209" ht="12.75" customHeight="1">
      <c r="A209" s="1"/>
      <c r="B209" s="115"/>
      <c r="C209" s="122" t="s">
        <v>68</v>
      </c>
      <c r="D209" s="117">
        <v>0.6</v>
      </c>
      <c r="E209" s="118">
        <v>3.0</v>
      </c>
      <c r="F209" s="119">
        <v>1.0</v>
      </c>
      <c r="G209" s="120">
        <f>'Start Here'!$F$23*D209</f>
        <v>60</v>
      </c>
      <c r="H209" s="138"/>
      <c r="I209" s="165"/>
      <c r="J209" s="166"/>
      <c r="K209" s="165"/>
      <c r="L209" s="166">
        <f t="shared" si="221"/>
        <v>3</v>
      </c>
      <c r="M209" s="165">
        <f t="shared" si="222"/>
        <v>180</v>
      </c>
      <c r="N209" s="67"/>
      <c r="O209" s="67"/>
      <c r="P209" s="67"/>
      <c r="Q209" s="67"/>
      <c r="R209" s="67"/>
      <c r="S209" s="67"/>
      <c r="T209" s="67"/>
      <c r="U209" s="67"/>
      <c r="V209" s="67"/>
      <c r="W209" s="67"/>
      <c r="X209" s="114" t="str">
        <f t="shared" si="223"/>
        <v> </v>
      </c>
      <c r="Y209" s="114">
        <f t="shared" si="224"/>
        <v>3</v>
      </c>
      <c r="Z209" s="114" t="str">
        <f t="shared" si="225"/>
        <v> </v>
      </c>
      <c r="AA209" s="114" t="str">
        <f t="shared" si="226"/>
        <v> </v>
      </c>
      <c r="AB209" s="114" t="str">
        <f t="shared" si="227"/>
        <v> </v>
      </c>
      <c r="AC209" s="85"/>
      <c r="AG209" s="86"/>
    </row>
    <row r="210" ht="12.75" customHeight="1">
      <c r="A210" s="1"/>
      <c r="B210" s="115"/>
      <c r="C210" s="122" t="s">
        <v>68</v>
      </c>
      <c r="D210" s="117">
        <v>0.7</v>
      </c>
      <c r="E210" s="118">
        <v>3.0</v>
      </c>
      <c r="F210" s="119">
        <v>1.0</v>
      </c>
      <c r="G210" s="120">
        <f>'Start Here'!$F$23*D210</f>
        <v>70</v>
      </c>
      <c r="H210" s="138"/>
      <c r="I210" s="165"/>
      <c r="J210" s="166"/>
      <c r="K210" s="165"/>
      <c r="L210" s="166">
        <f t="shared" si="221"/>
        <v>3</v>
      </c>
      <c r="M210" s="165">
        <f t="shared" si="222"/>
        <v>210</v>
      </c>
      <c r="N210" s="67"/>
      <c r="O210" s="67"/>
      <c r="P210" s="67"/>
      <c r="Q210" s="67"/>
      <c r="R210" s="67"/>
      <c r="S210" s="67"/>
      <c r="T210" s="67"/>
      <c r="U210" s="67"/>
      <c r="V210" s="67"/>
      <c r="W210" s="67"/>
      <c r="X210" s="114" t="str">
        <f t="shared" si="223"/>
        <v> </v>
      </c>
      <c r="Y210" s="114" t="str">
        <f t="shared" si="224"/>
        <v> </v>
      </c>
      <c r="Z210" s="114">
        <f t="shared" si="225"/>
        <v>3</v>
      </c>
      <c r="AA210" s="114" t="str">
        <f t="shared" si="226"/>
        <v> </v>
      </c>
      <c r="AB210" s="114" t="str">
        <f t="shared" si="227"/>
        <v> </v>
      </c>
      <c r="AC210" s="85"/>
      <c r="AG210" s="86"/>
    </row>
    <row r="211" ht="12.75" customHeight="1">
      <c r="A211" s="1"/>
      <c r="B211" s="115"/>
      <c r="C211" s="122" t="s">
        <v>68</v>
      </c>
      <c r="D211" s="117">
        <v>0.8</v>
      </c>
      <c r="E211" s="118">
        <v>2.0</v>
      </c>
      <c r="F211" s="119">
        <v>4.0</v>
      </c>
      <c r="G211" s="120">
        <f>'Start Here'!$F$23*D211</f>
        <v>80</v>
      </c>
      <c r="H211" s="138"/>
      <c r="I211" s="165"/>
      <c r="J211" s="166"/>
      <c r="K211" s="165"/>
      <c r="L211" s="166">
        <f t="shared" si="221"/>
        <v>8</v>
      </c>
      <c r="M211" s="165">
        <f t="shared" si="222"/>
        <v>640</v>
      </c>
      <c r="N211" s="67"/>
      <c r="O211" s="67"/>
      <c r="P211" s="67"/>
      <c r="Q211" s="67"/>
      <c r="R211" s="67"/>
      <c r="S211" s="67"/>
      <c r="T211" s="67"/>
      <c r="U211" s="67"/>
      <c r="V211" s="67"/>
      <c r="W211" s="67"/>
      <c r="X211" s="114" t="str">
        <f t="shared" si="223"/>
        <v> </v>
      </c>
      <c r="Y211" s="114" t="str">
        <f t="shared" si="224"/>
        <v> </v>
      </c>
      <c r="Z211" s="114" t="str">
        <f t="shared" si="225"/>
        <v> </v>
      </c>
      <c r="AA211" s="114">
        <f t="shared" si="226"/>
        <v>8</v>
      </c>
      <c r="AB211" s="114" t="str">
        <f t="shared" si="227"/>
        <v> </v>
      </c>
      <c r="AC211" s="85"/>
      <c r="AG211" s="86"/>
    </row>
    <row r="212" ht="12.75" customHeight="1">
      <c r="A212" s="1"/>
      <c r="B212" s="87">
        <v>2.0</v>
      </c>
      <c r="C212" s="88" t="s">
        <v>45</v>
      </c>
      <c r="D212" s="89">
        <v>0.5</v>
      </c>
      <c r="E212" s="90">
        <v>5.0</v>
      </c>
      <c r="F212" s="91">
        <v>1.0</v>
      </c>
      <c r="G212" s="92">
        <f>'Start Here'!$F$22*D212</f>
        <v>50</v>
      </c>
      <c r="H212" s="138"/>
      <c r="I212" s="165"/>
      <c r="J212" s="166">
        <f t="shared" ref="J212:J217" si="228">E212*F212</f>
        <v>5</v>
      </c>
      <c r="K212" s="165">
        <f t="shared" ref="K212:K217" si="229">G212*J212</f>
        <v>250</v>
      </c>
      <c r="L212" s="166"/>
      <c r="M212" s="165"/>
      <c r="N212" s="67"/>
      <c r="O212" s="67"/>
      <c r="P212" s="67"/>
      <c r="Q212" s="67"/>
      <c r="R212" s="67"/>
      <c r="S212" s="93">
        <f t="shared" ref="S212:S217" si="230">IF(ISNUMBER(SEARCH("bench",$C212)),IF($D212&gt;=0.5,IF($D212&lt;0.6,$E212*$F212," ")," ")," ")</f>
        <v>5</v>
      </c>
      <c r="T212" s="93" t="str">
        <f t="shared" ref="T212:T217" si="231">IF(ISNUMBER(SEARCH("bench",$C212)),IF($D212&gt;=0.6,IF($D212&lt;0.7,$E212*$F212," ")," ")," ")</f>
        <v> </v>
      </c>
      <c r="U212" s="93" t="str">
        <f t="shared" ref="U212:U217" si="232">IF(ISNUMBER(SEARCH("bench",$C212)),IF($D212&gt;=0.7,IF($D212&lt;0.8,$E212*$F212," ")," ")," ")</f>
        <v> </v>
      </c>
      <c r="V212" s="93" t="str">
        <f t="shared" ref="V212:V217" si="233">IF(ISNUMBER(SEARCH("bench",$C212)),IF($D212&gt;=0.8,IF($D212&lt;0.9,$E212*$F212," ")," ")," ")</f>
        <v> </v>
      </c>
      <c r="W212" s="93" t="str">
        <f t="shared" ref="W212:W217" si="234">IF(ISNUMBER(SEARCH("bench",$C212)),IF($D212&gt;=0.9,$E212*$F212," ")," ")</f>
        <v> </v>
      </c>
      <c r="X212" s="67"/>
      <c r="Y212" s="67"/>
      <c r="Z212" s="67"/>
      <c r="AA212" s="67"/>
      <c r="AB212" s="67"/>
      <c r="AC212" s="85"/>
      <c r="AG212" s="86"/>
    </row>
    <row r="213" ht="12.75" customHeight="1">
      <c r="A213" s="1"/>
      <c r="B213" s="87"/>
      <c r="C213" s="94" t="s">
        <v>45</v>
      </c>
      <c r="D213" s="89">
        <v>0.6</v>
      </c>
      <c r="E213" s="90">
        <v>4.0</v>
      </c>
      <c r="F213" s="91">
        <v>1.0</v>
      </c>
      <c r="G213" s="92">
        <f>'Start Here'!$F$22*D213</f>
        <v>60</v>
      </c>
      <c r="H213" s="138"/>
      <c r="I213" s="165"/>
      <c r="J213" s="166">
        <f t="shared" si="228"/>
        <v>4</v>
      </c>
      <c r="K213" s="165">
        <f t="shared" si="229"/>
        <v>240</v>
      </c>
      <c r="L213" s="166"/>
      <c r="M213" s="165"/>
      <c r="N213" s="67"/>
      <c r="O213" s="67"/>
      <c r="P213" s="67"/>
      <c r="Q213" s="67"/>
      <c r="R213" s="67"/>
      <c r="S213" s="93" t="str">
        <f t="shared" si="230"/>
        <v> </v>
      </c>
      <c r="T213" s="93">
        <f t="shared" si="231"/>
        <v>4</v>
      </c>
      <c r="U213" s="93" t="str">
        <f t="shared" si="232"/>
        <v> </v>
      </c>
      <c r="V213" s="93" t="str">
        <f t="shared" si="233"/>
        <v> </v>
      </c>
      <c r="W213" s="93" t="str">
        <f t="shared" si="234"/>
        <v> </v>
      </c>
      <c r="X213" s="67"/>
      <c r="Y213" s="67"/>
      <c r="Z213" s="67"/>
      <c r="AA213" s="67"/>
      <c r="AB213" s="67"/>
      <c r="AC213" s="85"/>
      <c r="AG213" s="86"/>
    </row>
    <row r="214" ht="12.75" customHeight="1">
      <c r="A214" s="1"/>
      <c r="B214" s="87"/>
      <c r="C214" s="94" t="s">
        <v>45</v>
      </c>
      <c r="D214" s="89">
        <v>0.7</v>
      </c>
      <c r="E214" s="90">
        <v>3.0</v>
      </c>
      <c r="F214" s="91">
        <v>1.0</v>
      </c>
      <c r="G214" s="92">
        <f>'Start Here'!$F$22*D214</f>
        <v>70</v>
      </c>
      <c r="H214" s="138"/>
      <c r="I214" s="165"/>
      <c r="J214" s="166">
        <f t="shared" si="228"/>
        <v>3</v>
      </c>
      <c r="K214" s="165">
        <f t="shared" si="229"/>
        <v>210</v>
      </c>
      <c r="L214" s="166"/>
      <c r="M214" s="165"/>
      <c r="N214" s="67"/>
      <c r="O214" s="67"/>
      <c r="P214" s="67"/>
      <c r="Q214" s="67"/>
      <c r="R214" s="67"/>
      <c r="S214" s="93" t="str">
        <f t="shared" si="230"/>
        <v> </v>
      </c>
      <c r="T214" s="93" t="str">
        <f t="shared" si="231"/>
        <v> </v>
      </c>
      <c r="U214" s="93">
        <f t="shared" si="232"/>
        <v>3</v>
      </c>
      <c r="V214" s="93" t="str">
        <f t="shared" si="233"/>
        <v> </v>
      </c>
      <c r="W214" s="93" t="str">
        <f t="shared" si="234"/>
        <v> </v>
      </c>
      <c r="X214" s="67"/>
      <c r="Y214" s="67"/>
      <c r="Z214" s="67"/>
      <c r="AA214" s="67"/>
      <c r="AB214" s="67"/>
      <c r="AC214" s="85"/>
      <c r="AG214" s="86"/>
    </row>
    <row r="215" ht="12.75" customHeight="1">
      <c r="A215" s="1"/>
      <c r="B215" s="87"/>
      <c r="C215" s="94" t="s">
        <v>45</v>
      </c>
      <c r="D215" s="89">
        <v>0.8</v>
      </c>
      <c r="E215" s="90">
        <v>3.0</v>
      </c>
      <c r="F215" s="91">
        <v>2.0</v>
      </c>
      <c r="G215" s="92">
        <f>'Start Here'!$F$22*D215</f>
        <v>80</v>
      </c>
      <c r="H215" s="138"/>
      <c r="I215" s="165"/>
      <c r="J215" s="166">
        <f t="shared" si="228"/>
        <v>6</v>
      </c>
      <c r="K215" s="165">
        <f t="shared" si="229"/>
        <v>480</v>
      </c>
      <c r="L215" s="166"/>
      <c r="M215" s="165"/>
      <c r="N215" s="67"/>
      <c r="O215" s="67"/>
      <c r="P215" s="67"/>
      <c r="Q215" s="67"/>
      <c r="R215" s="67"/>
      <c r="S215" s="93" t="str">
        <f t="shared" si="230"/>
        <v> </v>
      </c>
      <c r="T215" s="93" t="str">
        <f t="shared" si="231"/>
        <v> </v>
      </c>
      <c r="U215" s="93" t="str">
        <f t="shared" si="232"/>
        <v> </v>
      </c>
      <c r="V215" s="93">
        <f t="shared" si="233"/>
        <v>6</v>
      </c>
      <c r="W215" s="93" t="str">
        <f t="shared" si="234"/>
        <v> </v>
      </c>
      <c r="X215" s="67"/>
      <c r="Y215" s="67"/>
      <c r="Z215" s="67"/>
      <c r="AA215" s="67"/>
      <c r="AB215" s="67"/>
      <c r="AC215" s="85"/>
      <c r="AG215" s="86"/>
    </row>
    <row r="216" ht="12.75" customHeight="1">
      <c r="A216" s="1"/>
      <c r="B216" s="87"/>
      <c r="C216" s="94" t="s">
        <v>45</v>
      </c>
      <c r="D216" s="89">
        <v>0.85</v>
      </c>
      <c r="E216" s="90">
        <v>2.0</v>
      </c>
      <c r="F216" s="91">
        <v>3.0</v>
      </c>
      <c r="G216" s="92">
        <f>'Start Here'!$F$22*D216</f>
        <v>85</v>
      </c>
      <c r="H216" s="138"/>
      <c r="I216" s="165"/>
      <c r="J216" s="166">
        <f t="shared" si="228"/>
        <v>6</v>
      </c>
      <c r="K216" s="165">
        <f t="shared" si="229"/>
        <v>510</v>
      </c>
      <c r="L216" s="166"/>
      <c r="M216" s="165"/>
      <c r="N216" s="67"/>
      <c r="O216" s="67"/>
      <c r="P216" s="67"/>
      <c r="Q216" s="67"/>
      <c r="R216" s="67"/>
      <c r="S216" s="93" t="str">
        <f t="shared" si="230"/>
        <v> </v>
      </c>
      <c r="T216" s="93" t="str">
        <f t="shared" si="231"/>
        <v> </v>
      </c>
      <c r="U216" s="93" t="str">
        <f t="shared" si="232"/>
        <v> </v>
      </c>
      <c r="V216" s="93">
        <f t="shared" si="233"/>
        <v>6</v>
      </c>
      <c r="W216" s="93" t="str">
        <f t="shared" si="234"/>
        <v> </v>
      </c>
      <c r="X216" s="67"/>
      <c r="Y216" s="67"/>
      <c r="Z216" s="67"/>
      <c r="AA216" s="67"/>
      <c r="AB216" s="67"/>
      <c r="AC216" s="85"/>
      <c r="AG216" s="86"/>
    </row>
    <row r="217" ht="12.0" customHeight="1">
      <c r="A217" s="1"/>
      <c r="B217" s="87"/>
      <c r="C217" s="94" t="s">
        <v>45</v>
      </c>
      <c r="D217" s="89">
        <v>0.8</v>
      </c>
      <c r="E217" s="90">
        <v>3.0</v>
      </c>
      <c r="F217" s="91">
        <v>2.0</v>
      </c>
      <c r="G217" s="92">
        <f>'Start Here'!$F$22*D217</f>
        <v>80</v>
      </c>
      <c r="H217" s="138"/>
      <c r="I217" s="165"/>
      <c r="J217" s="166">
        <f t="shared" si="228"/>
        <v>6</v>
      </c>
      <c r="K217" s="165">
        <f t="shared" si="229"/>
        <v>480</v>
      </c>
      <c r="L217" s="166"/>
      <c r="M217" s="165"/>
      <c r="N217" s="67"/>
      <c r="O217" s="67"/>
      <c r="P217" s="67"/>
      <c r="Q217" s="67"/>
      <c r="R217" s="67"/>
      <c r="S217" s="93" t="str">
        <f t="shared" si="230"/>
        <v> </v>
      </c>
      <c r="T217" s="93" t="str">
        <f t="shared" si="231"/>
        <v> </v>
      </c>
      <c r="U217" s="93" t="str">
        <f t="shared" si="232"/>
        <v> </v>
      </c>
      <c r="V217" s="93">
        <f t="shared" si="233"/>
        <v>6</v>
      </c>
      <c r="W217" s="93" t="str">
        <f t="shared" si="234"/>
        <v> </v>
      </c>
      <c r="X217" s="67"/>
      <c r="Y217" s="67"/>
      <c r="Z217" s="67"/>
      <c r="AA217" s="67"/>
      <c r="AB217" s="67"/>
      <c r="AC217" s="85"/>
      <c r="AG217" s="86"/>
    </row>
    <row r="218" ht="12.75" customHeight="1">
      <c r="A218" s="1"/>
      <c r="B218" s="115">
        <v>3.0</v>
      </c>
      <c r="C218" s="121" t="s">
        <v>117</v>
      </c>
      <c r="D218" s="117">
        <v>0.65</v>
      </c>
      <c r="E218" s="118">
        <v>3.0</v>
      </c>
      <c r="F218" s="119">
        <v>1.0</v>
      </c>
      <c r="G218" s="120">
        <f>'Start Here'!$F$23*D218</f>
        <v>65</v>
      </c>
      <c r="H218" s="138"/>
      <c r="I218" s="165"/>
      <c r="J218" s="166"/>
      <c r="K218" s="165"/>
      <c r="L218" s="166">
        <f t="shared" ref="L218:L221" si="235">E218*F218</f>
        <v>3</v>
      </c>
      <c r="M218" s="165">
        <f t="shared" ref="M218:M221" si="236">G218*L218</f>
        <v>195</v>
      </c>
      <c r="N218" s="67"/>
      <c r="O218" s="67"/>
      <c r="P218" s="67"/>
      <c r="Q218" s="67"/>
      <c r="R218" s="67"/>
      <c r="S218" s="67"/>
      <c r="T218" s="67"/>
      <c r="U218" s="67"/>
      <c r="V218" s="67"/>
      <c r="W218" s="67"/>
      <c r="X218" s="114" t="str">
        <f t="shared" ref="X218:X221" si="237">IF(ISNUMBER(SEARCH("deadlift",$C218)),IF($D218&gt;=0.5,IF($D218&lt;0.6,$E218*$F218," ")," ")," ")</f>
        <v> </v>
      </c>
      <c r="Y218" s="114">
        <f t="shared" ref="Y218:Y221" si="238">IF(ISNUMBER(SEARCH("deadlift",$C218)),IF($D218&gt;=0.6,IF($D218&lt;0.7,$E218*$F218," ")," ")," ")</f>
        <v>3</v>
      </c>
      <c r="Z218" s="114" t="str">
        <f t="shared" ref="Z218:Z221" si="239">IF(ISNUMBER(SEARCH("deadlift",$C218)),IF($D218&gt;=0.7,IF($D218&lt;0.8,$E218*$F218," ")," ")," ")</f>
        <v> </v>
      </c>
      <c r="AA218" s="114" t="str">
        <f t="shared" ref="AA218:AA221" si="240">IF(ISNUMBER(SEARCH("deadlift",$C218)),IF($D218&gt;=0.8,IF($D218&lt;0.9,$E218*$F218," ")," ")," ")</f>
        <v> </v>
      </c>
      <c r="AB218" s="114" t="str">
        <f t="shared" ref="AB218:AB221" si="241">IF(ISNUMBER(SEARCH("deadlift",$C218)),IF($D218&gt;=0.9,$E218*$F218," ")," ")</f>
        <v> </v>
      </c>
      <c r="AC218" s="85"/>
      <c r="AG218" s="86"/>
    </row>
    <row r="219" ht="12.75" customHeight="1">
      <c r="A219" s="1"/>
      <c r="B219" s="115"/>
      <c r="C219" s="122" t="s">
        <v>117</v>
      </c>
      <c r="D219" s="117">
        <v>0.75</v>
      </c>
      <c r="E219" s="118">
        <v>3.0</v>
      </c>
      <c r="F219" s="119">
        <v>1.0</v>
      </c>
      <c r="G219" s="120">
        <f>'Start Here'!$F$23*D219</f>
        <v>75</v>
      </c>
      <c r="H219" s="138"/>
      <c r="I219" s="165"/>
      <c r="J219" s="166"/>
      <c r="K219" s="165"/>
      <c r="L219" s="166">
        <f t="shared" si="235"/>
        <v>3</v>
      </c>
      <c r="M219" s="165">
        <f t="shared" si="236"/>
        <v>225</v>
      </c>
      <c r="N219" s="67"/>
      <c r="O219" s="67"/>
      <c r="P219" s="67"/>
      <c r="Q219" s="67"/>
      <c r="R219" s="67"/>
      <c r="S219" s="67"/>
      <c r="T219" s="67"/>
      <c r="U219" s="67"/>
      <c r="V219" s="67"/>
      <c r="W219" s="67"/>
      <c r="X219" s="114" t="str">
        <f t="shared" si="237"/>
        <v> </v>
      </c>
      <c r="Y219" s="114" t="str">
        <f t="shared" si="238"/>
        <v> </v>
      </c>
      <c r="Z219" s="114">
        <f t="shared" si="239"/>
        <v>3</v>
      </c>
      <c r="AA219" s="114" t="str">
        <f t="shared" si="240"/>
        <v> </v>
      </c>
      <c r="AB219" s="114" t="str">
        <f t="shared" si="241"/>
        <v> </v>
      </c>
      <c r="AC219" s="85"/>
      <c r="AG219" s="86"/>
    </row>
    <row r="220" ht="12.75" customHeight="1">
      <c r="A220" s="1"/>
      <c r="B220" s="115"/>
      <c r="C220" s="122" t="s">
        <v>117</v>
      </c>
      <c r="D220" s="117">
        <v>0.85</v>
      </c>
      <c r="E220" s="118">
        <v>3.0</v>
      </c>
      <c r="F220" s="119">
        <v>2.0</v>
      </c>
      <c r="G220" s="120">
        <f>'Start Here'!$F$23*D220</f>
        <v>85</v>
      </c>
      <c r="H220" s="138"/>
      <c r="I220" s="165"/>
      <c r="J220" s="166"/>
      <c r="K220" s="165"/>
      <c r="L220" s="166">
        <f t="shared" si="235"/>
        <v>6</v>
      </c>
      <c r="M220" s="165">
        <f t="shared" si="236"/>
        <v>510</v>
      </c>
      <c r="N220" s="67"/>
      <c r="O220" s="67"/>
      <c r="P220" s="67"/>
      <c r="Q220" s="67"/>
      <c r="R220" s="67"/>
      <c r="S220" s="67"/>
      <c r="T220" s="67"/>
      <c r="U220" s="67"/>
      <c r="V220" s="67"/>
      <c r="W220" s="67"/>
      <c r="X220" s="114" t="str">
        <f t="shared" si="237"/>
        <v> </v>
      </c>
      <c r="Y220" s="114" t="str">
        <f t="shared" si="238"/>
        <v> </v>
      </c>
      <c r="Z220" s="114" t="str">
        <f t="shared" si="239"/>
        <v> </v>
      </c>
      <c r="AA220" s="114">
        <f t="shared" si="240"/>
        <v>6</v>
      </c>
      <c r="AB220" s="114" t="str">
        <f t="shared" si="241"/>
        <v> </v>
      </c>
      <c r="AC220" s="85"/>
      <c r="AG220" s="86"/>
    </row>
    <row r="221" ht="12.75" customHeight="1">
      <c r="A221" s="1"/>
      <c r="B221" s="115"/>
      <c r="C221" s="122" t="s">
        <v>117</v>
      </c>
      <c r="D221" s="117">
        <v>0.95</v>
      </c>
      <c r="E221" s="118">
        <v>2.0</v>
      </c>
      <c r="F221" s="119">
        <v>3.0</v>
      </c>
      <c r="G221" s="120">
        <f>'Start Here'!$F$23*D221</f>
        <v>95</v>
      </c>
      <c r="H221" s="138"/>
      <c r="I221" s="165"/>
      <c r="J221" s="166"/>
      <c r="K221" s="165"/>
      <c r="L221" s="166">
        <f t="shared" si="235"/>
        <v>6</v>
      </c>
      <c r="M221" s="165">
        <f t="shared" si="236"/>
        <v>570</v>
      </c>
      <c r="N221" s="67"/>
      <c r="O221" s="67"/>
      <c r="P221" s="67"/>
      <c r="Q221" s="67"/>
      <c r="R221" s="67"/>
      <c r="S221" s="67"/>
      <c r="T221" s="67"/>
      <c r="U221" s="67"/>
      <c r="V221" s="67"/>
      <c r="W221" s="67"/>
      <c r="X221" s="114" t="str">
        <f t="shared" si="237"/>
        <v> </v>
      </c>
      <c r="Y221" s="114" t="str">
        <f t="shared" si="238"/>
        <v> </v>
      </c>
      <c r="Z221" s="114" t="str">
        <f t="shared" si="239"/>
        <v> </v>
      </c>
      <c r="AA221" s="114" t="str">
        <f t="shared" si="240"/>
        <v> </v>
      </c>
      <c r="AB221" s="114">
        <f t="shared" si="241"/>
        <v>6</v>
      </c>
      <c r="AC221" s="85"/>
      <c r="AG221" s="86"/>
    </row>
    <row r="222" ht="12.75" customHeight="1">
      <c r="A222" s="1"/>
      <c r="B222" s="96">
        <v>4.0</v>
      </c>
      <c r="C222" s="167" t="s">
        <v>95</v>
      </c>
      <c r="D222" s="168"/>
      <c r="E222" s="169">
        <v>6.0</v>
      </c>
      <c r="F222" s="169">
        <v>5.0</v>
      </c>
      <c r="G222" s="170"/>
      <c r="H222" s="138"/>
      <c r="I222" s="165"/>
      <c r="J222" s="166"/>
      <c r="K222" s="165"/>
      <c r="L222" s="166"/>
      <c r="M222" s="165"/>
      <c r="N222" s="67"/>
      <c r="O222" s="67"/>
      <c r="P222" s="67"/>
      <c r="Q222" s="67"/>
      <c r="R222" s="67"/>
      <c r="S222" s="67"/>
      <c r="T222" s="67"/>
      <c r="U222" s="67"/>
      <c r="V222" s="67"/>
      <c r="W222" s="67"/>
      <c r="X222" s="67"/>
      <c r="Y222" s="67"/>
      <c r="Z222" s="67"/>
      <c r="AA222" s="67"/>
      <c r="AB222" s="67"/>
      <c r="AC222" s="85"/>
      <c r="AG222" s="86"/>
    </row>
    <row r="223" ht="12.75" customHeight="1">
      <c r="A223" s="1"/>
      <c r="B223" s="100">
        <v>5.0</v>
      </c>
      <c r="C223" s="171" t="s">
        <v>78</v>
      </c>
      <c r="D223" s="172"/>
      <c r="E223" s="102">
        <v>5.0</v>
      </c>
      <c r="F223" s="173">
        <v>5.0</v>
      </c>
      <c r="G223" s="174"/>
      <c r="H223" s="138"/>
      <c r="I223" s="165"/>
      <c r="J223" s="166"/>
      <c r="K223" s="165"/>
      <c r="L223" s="166"/>
      <c r="M223" s="165"/>
      <c r="N223" s="67"/>
      <c r="O223" s="67"/>
      <c r="P223" s="67"/>
      <c r="Q223" s="67"/>
      <c r="R223" s="67"/>
      <c r="S223" s="67"/>
      <c r="T223" s="67"/>
      <c r="U223" s="67"/>
      <c r="V223" s="67"/>
      <c r="W223" s="67"/>
      <c r="X223" s="67"/>
      <c r="Y223" s="67"/>
      <c r="Z223" s="67"/>
      <c r="AA223" s="67"/>
      <c r="AB223" s="67"/>
      <c r="AC223" s="104"/>
      <c r="AD223" s="105"/>
      <c r="AE223" s="105"/>
      <c r="AF223" s="105"/>
      <c r="AG223" s="106"/>
    </row>
    <row r="224" ht="12.75" customHeight="1">
      <c r="A224" s="1"/>
      <c r="B224" s="67"/>
      <c r="C224" s="136"/>
      <c r="D224" s="137"/>
      <c r="E224" s="138"/>
      <c r="F224" s="138"/>
      <c r="G224" s="138"/>
      <c r="H224" s="138"/>
      <c r="I224" s="165"/>
      <c r="J224" s="166"/>
      <c r="K224" s="165"/>
      <c r="L224" s="166"/>
      <c r="M224" s="165"/>
      <c r="N224" s="67"/>
      <c r="O224" s="67"/>
      <c r="P224" s="67"/>
      <c r="Q224" s="67"/>
      <c r="R224" s="67"/>
      <c r="S224" s="67"/>
      <c r="T224" s="67"/>
      <c r="U224" s="67"/>
      <c r="V224" s="67"/>
      <c r="W224" s="67"/>
      <c r="X224" s="67"/>
      <c r="Y224" s="67"/>
      <c r="Z224" s="67"/>
      <c r="AA224" s="67"/>
      <c r="AB224" s="67"/>
      <c r="AC224" s="67"/>
      <c r="AD224" s="67"/>
      <c r="AE224" s="67"/>
      <c r="AF224" s="67"/>
      <c r="AG224" s="67"/>
    </row>
    <row r="225" ht="37.5" customHeight="1">
      <c r="A225" s="1"/>
      <c r="B225" s="68" t="s">
        <v>54</v>
      </c>
      <c r="D225" s="137" t="s">
        <v>34</v>
      </c>
      <c r="E225" s="138" t="s">
        <v>35</v>
      </c>
      <c r="F225" s="138" t="s">
        <v>36</v>
      </c>
      <c r="G225" s="138" t="s">
        <v>37</v>
      </c>
      <c r="H225" s="138"/>
      <c r="I225" s="165"/>
      <c r="J225" s="166"/>
      <c r="K225" s="165"/>
      <c r="L225" s="166"/>
      <c r="M225" s="165"/>
      <c r="N225" s="67"/>
      <c r="O225" s="67"/>
      <c r="P225" s="67"/>
      <c r="Q225" s="67"/>
      <c r="R225" s="67"/>
      <c r="S225" s="67"/>
      <c r="T225" s="67"/>
      <c r="U225" s="67"/>
      <c r="V225" s="67"/>
      <c r="W225" s="67"/>
      <c r="X225" s="67"/>
      <c r="Y225" s="67"/>
      <c r="Z225" s="67"/>
      <c r="AA225" s="67"/>
      <c r="AB225" s="67"/>
      <c r="AC225" s="67" t="s">
        <v>43</v>
      </c>
      <c r="AD225" s="67"/>
      <c r="AE225" s="67"/>
      <c r="AF225" s="67"/>
      <c r="AG225" s="67"/>
    </row>
    <row r="226" ht="12.75" customHeight="1">
      <c r="A226" s="1"/>
      <c r="B226" s="123">
        <v>1.0</v>
      </c>
      <c r="C226" s="124" t="s">
        <v>99</v>
      </c>
      <c r="D226" s="125">
        <v>0.5</v>
      </c>
      <c r="E226" s="126">
        <v>3.0</v>
      </c>
      <c r="F226" s="127">
        <v>1.0</v>
      </c>
      <c r="G226" s="128">
        <f>'Start Here'!$F$22*D226</f>
        <v>50</v>
      </c>
      <c r="H226" s="138"/>
      <c r="I226" s="165"/>
      <c r="J226" s="166">
        <f t="shared" ref="J226:J229" si="242">E226*F226</f>
        <v>3</v>
      </c>
      <c r="K226" s="165">
        <f t="shared" ref="K226:K229" si="243">G226*J226</f>
        <v>150</v>
      </c>
      <c r="L226" s="166"/>
      <c r="M226" s="165"/>
      <c r="N226" s="67"/>
      <c r="O226" s="67"/>
      <c r="P226" s="67"/>
      <c r="Q226" s="67"/>
      <c r="R226" s="67"/>
      <c r="S226" s="93">
        <f t="shared" ref="S226:S229" si="244">IF(ISNUMBER(SEARCH("bench",$C226)),IF($D226&gt;=0.5,IF($D226&lt;0.6,$E226*$F226," ")," ")," ")</f>
        <v>3</v>
      </c>
      <c r="T226" s="93" t="str">
        <f t="shared" ref="T226:T229" si="245">IF(ISNUMBER(SEARCH("bench",$C226)),IF($D226&gt;=0.6,IF($D226&lt;0.7,$E226*$F226," ")," ")," ")</f>
        <v> </v>
      </c>
      <c r="U226" s="93" t="str">
        <f t="shared" ref="U226:U229" si="246">IF(ISNUMBER(SEARCH("bench",$C226)),IF($D226&gt;=0.7,IF($D226&lt;0.8,$E226*$F226," ")," ")," ")</f>
        <v> </v>
      </c>
      <c r="V226" s="93" t="str">
        <f t="shared" ref="V226:V229" si="247">IF(ISNUMBER(SEARCH("bench",$C226)),IF($D226&gt;=0.8,IF($D226&lt;0.9,$E226*$F226," ")," ")," ")</f>
        <v> </v>
      </c>
      <c r="W226" s="93" t="str">
        <f t="shared" ref="W226:W229" si="248">IF(ISNUMBER(SEARCH("bench",$C226)),IF($D226&gt;=0.9,$E226*$F226," ")," ")</f>
        <v> </v>
      </c>
      <c r="X226" s="67"/>
      <c r="Y226" s="67"/>
      <c r="Z226" s="67"/>
      <c r="AA226" s="67"/>
      <c r="AB226" s="67"/>
      <c r="AC226" s="76"/>
      <c r="AD226" s="77"/>
      <c r="AE226" s="77"/>
      <c r="AF226" s="77"/>
      <c r="AG226" s="78"/>
    </row>
    <row r="227" ht="12.75" customHeight="1">
      <c r="A227" s="1"/>
      <c r="B227" s="87"/>
      <c r="C227" s="94" t="s">
        <v>99</v>
      </c>
      <c r="D227" s="89">
        <v>0.6</v>
      </c>
      <c r="E227" s="90">
        <v>3.0</v>
      </c>
      <c r="F227" s="91">
        <v>1.0</v>
      </c>
      <c r="G227" s="92">
        <f>'Start Here'!$F$22*D227</f>
        <v>60</v>
      </c>
      <c r="H227" s="138"/>
      <c r="I227" s="165"/>
      <c r="J227" s="166">
        <f t="shared" si="242"/>
        <v>3</v>
      </c>
      <c r="K227" s="165">
        <f t="shared" si="243"/>
        <v>180</v>
      </c>
      <c r="L227" s="166"/>
      <c r="M227" s="165"/>
      <c r="N227" s="67"/>
      <c r="O227" s="67"/>
      <c r="P227" s="67"/>
      <c r="Q227" s="67"/>
      <c r="R227" s="67"/>
      <c r="S227" s="93" t="str">
        <f t="shared" si="244"/>
        <v> </v>
      </c>
      <c r="T227" s="93">
        <f t="shared" si="245"/>
        <v>3</v>
      </c>
      <c r="U227" s="93" t="str">
        <f t="shared" si="246"/>
        <v> </v>
      </c>
      <c r="V227" s="93" t="str">
        <f t="shared" si="247"/>
        <v> </v>
      </c>
      <c r="W227" s="93" t="str">
        <f t="shared" si="248"/>
        <v> </v>
      </c>
      <c r="X227" s="67"/>
      <c r="Y227" s="67"/>
      <c r="Z227" s="67"/>
      <c r="AA227" s="67"/>
      <c r="AB227" s="67"/>
      <c r="AC227" s="85"/>
      <c r="AG227" s="86"/>
    </row>
    <row r="228" ht="12.75" customHeight="1">
      <c r="A228" s="1"/>
      <c r="B228" s="87"/>
      <c r="C228" s="94" t="s">
        <v>99</v>
      </c>
      <c r="D228" s="89">
        <v>0.7</v>
      </c>
      <c r="E228" s="90">
        <v>3.0</v>
      </c>
      <c r="F228" s="91">
        <v>1.0</v>
      </c>
      <c r="G228" s="92">
        <f>'Start Here'!$F$22*D228</f>
        <v>70</v>
      </c>
      <c r="H228" s="138"/>
      <c r="I228" s="165"/>
      <c r="J228" s="166">
        <f t="shared" si="242"/>
        <v>3</v>
      </c>
      <c r="K228" s="165">
        <f t="shared" si="243"/>
        <v>210</v>
      </c>
      <c r="L228" s="166"/>
      <c r="M228" s="165"/>
      <c r="N228" s="67"/>
      <c r="O228" s="67"/>
      <c r="P228" s="67"/>
      <c r="Q228" s="67"/>
      <c r="R228" s="67"/>
      <c r="S228" s="93" t="str">
        <f t="shared" si="244"/>
        <v> </v>
      </c>
      <c r="T228" s="93" t="str">
        <f t="shared" si="245"/>
        <v> </v>
      </c>
      <c r="U228" s="93">
        <f t="shared" si="246"/>
        <v>3</v>
      </c>
      <c r="V228" s="93" t="str">
        <f t="shared" si="247"/>
        <v> </v>
      </c>
      <c r="W228" s="93" t="str">
        <f t="shared" si="248"/>
        <v> </v>
      </c>
      <c r="X228" s="67"/>
      <c r="Y228" s="67"/>
      <c r="Z228" s="67"/>
      <c r="AA228" s="67"/>
      <c r="AB228" s="67"/>
      <c r="AC228" s="85"/>
      <c r="AG228" s="86"/>
    </row>
    <row r="229" ht="12.75" customHeight="1">
      <c r="A229" s="1"/>
      <c r="B229" s="87"/>
      <c r="C229" s="94" t="s">
        <v>99</v>
      </c>
      <c r="D229" s="89">
        <v>0.75</v>
      </c>
      <c r="E229" s="90">
        <v>3.0</v>
      </c>
      <c r="F229" s="91">
        <v>4.0</v>
      </c>
      <c r="G229" s="92">
        <f>'Start Here'!$F$22*D229</f>
        <v>75</v>
      </c>
      <c r="H229" s="138"/>
      <c r="I229" s="165"/>
      <c r="J229" s="166">
        <f t="shared" si="242"/>
        <v>12</v>
      </c>
      <c r="K229" s="165">
        <f t="shared" si="243"/>
        <v>900</v>
      </c>
      <c r="L229" s="166"/>
      <c r="M229" s="165"/>
      <c r="N229" s="67"/>
      <c r="O229" s="67"/>
      <c r="P229" s="67"/>
      <c r="Q229" s="67"/>
      <c r="R229" s="67"/>
      <c r="S229" s="93" t="str">
        <f t="shared" si="244"/>
        <v> </v>
      </c>
      <c r="T229" s="93" t="str">
        <f t="shared" si="245"/>
        <v> </v>
      </c>
      <c r="U229" s="93">
        <f t="shared" si="246"/>
        <v>12</v>
      </c>
      <c r="V229" s="93" t="str">
        <f t="shared" si="247"/>
        <v> </v>
      </c>
      <c r="W229" s="93" t="str">
        <f t="shared" si="248"/>
        <v> </v>
      </c>
      <c r="X229" s="67"/>
      <c r="Y229" s="67"/>
      <c r="Z229" s="67"/>
      <c r="AA229" s="67"/>
      <c r="AB229" s="67"/>
      <c r="AC229" s="85"/>
      <c r="AG229" s="86"/>
    </row>
    <row r="230" ht="12.75" customHeight="1">
      <c r="A230" s="1"/>
      <c r="B230" s="79">
        <v>2.0</v>
      </c>
      <c r="C230" s="95" t="s">
        <v>46</v>
      </c>
      <c r="D230" s="81">
        <v>0.5</v>
      </c>
      <c r="E230" s="82">
        <v>5.0</v>
      </c>
      <c r="F230" s="83">
        <v>1.0</v>
      </c>
      <c r="G230" s="84">
        <f>'Start Here'!$F$21*D230</f>
        <v>50</v>
      </c>
      <c r="H230" s="138">
        <f t="shared" ref="H230:H237" si="249">E230*F230</f>
        <v>5</v>
      </c>
      <c r="I230" s="165">
        <f t="shared" ref="I230:I237" si="250">G230*H230</f>
        <v>250</v>
      </c>
      <c r="J230" s="166"/>
      <c r="K230" s="165"/>
      <c r="L230" s="166"/>
      <c r="M230" s="165"/>
      <c r="N230" s="75">
        <f t="shared" ref="N230:N237" si="251">IF(ISNUMBER(SEARCH("squat",$C230)),IF($D230&gt;=0.5,IF($D230&lt;0.6,$E230*$F230," ")," ")," ")</f>
        <v>5</v>
      </c>
      <c r="O230" s="75" t="str">
        <f t="shared" ref="O230:O237" si="252">IF(ISNUMBER(SEARCH("squat",$C230)),IF($D230&gt;=0.6,IF($D230&lt;0.7,$E230*$F230," ")," ")," ")</f>
        <v> </v>
      </c>
      <c r="P230" s="75" t="str">
        <f t="shared" ref="P230:P237" si="253">IF(ISNUMBER(SEARCH("squat",$C230)),IF($D230&gt;=0.7,IF($D230&lt;0.8,$E230*$F230," ")," ")," ")</f>
        <v> </v>
      </c>
      <c r="Q230" s="75" t="str">
        <f t="shared" ref="Q230:Q237" si="254">IF(ISNUMBER(SEARCH("squat",$C230)),IF($D230&gt;=0.8,IF($D230&lt;0.9,$E230*$F230," ")," ")," ")</f>
        <v> </v>
      </c>
      <c r="R230" s="75" t="str">
        <f t="shared" ref="R230:R237" si="255">IF(ISNUMBER(SEARCH("squat",$C230)),IF($D230&gt;=0.9,$E230*$F230," ")," ")</f>
        <v> </v>
      </c>
      <c r="S230" s="67"/>
      <c r="T230" s="67"/>
      <c r="U230" s="67"/>
      <c r="V230" s="67"/>
      <c r="W230" s="67"/>
      <c r="X230" s="67"/>
      <c r="Y230" s="67"/>
      <c r="Z230" s="67"/>
      <c r="AA230" s="67"/>
      <c r="AB230" s="67"/>
      <c r="AC230" s="85"/>
      <c r="AG230" s="86"/>
    </row>
    <row r="231" ht="12.75" customHeight="1">
      <c r="A231" s="1"/>
      <c r="B231" s="79"/>
      <c r="C231" s="80" t="s">
        <v>46</v>
      </c>
      <c r="D231" s="81">
        <v>0.6</v>
      </c>
      <c r="E231" s="82">
        <v>5.0</v>
      </c>
      <c r="F231" s="83">
        <v>1.0</v>
      </c>
      <c r="G231" s="84">
        <f>'Start Here'!$F$21*D231</f>
        <v>60</v>
      </c>
      <c r="H231" s="138">
        <f t="shared" si="249"/>
        <v>5</v>
      </c>
      <c r="I231" s="165">
        <f t="shared" si="250"/>
        <v>300</v>
      </c>
      <c r="J231" s="166"/>
      <c r="K231" s="165"/>
      <c r="L231" s="166"/>
      <c r="M231" s="165"/>
      <c r="N231" s="75" t="str">
        <f t="shared" si="251"/>
        <v> </v>
      </c>
      <c r="O231" s="75">
        <f t="shared" si="252"/>
        <v>5</v>
      </c>
      <c r="P231" s="75" t="str">
        <f t="shared" si="253"/>
        <v> </v>
      </c>
      <c r="Q231" s="75" t="str">
        <f t="shared" si="254"/>
        <v> </v>
      </c>
      <c r="R231" s="75" t="str">
        <f t="shared" si="255"/>
        <v> </v>
      </c>
      <c r="S231" s="67"/>
      <c r="T231" s="67"/>
      <c r="U231" s="67"/>
      <c r="V231" s="67"/>
      <c r="W231" s="67"/>
      <c r="X231" s="67"/>
      <c r="Y231" s="67"/>
      <c r="Z231" s="67"/>
      <c r="AA231" s="67"/>
      <c r="AB231" s="67"/>
      <c r="AC231" s="85"/>
      <c r="AG231" s="86"/>
    </row>
    <row r="232" ht="12.75" customHeight="1">
      <c r="A232" s="1"/>
      <c r="B232" s="79"/>
      <c r="C232" s="80" t="s">
        <v>46</v>
      </c>
      <c r="D232" s="81">
        <v>0.7</v>
      </c>
      <c r="E232" s="82">
        <v>3.0</v>
      </c>
      <c r="F232" s="83">
        <v>1.0</v>
      </c>
      <c r="G232" s="84">
        <f>'Start Here'!$F$21*D232</f>
        <v>70</v>
      </c>
      <c r="H232" s="138">
        <f t="shared" si="249"/>
        <v>3</v>
      </c>
      <c r="I232" s="165">
        <f t="shared" si="250"/>
        <v>210</v>
      </c>
      <c r="J232" s="166"/>
      <c r="K232" s="165"/>
      <c r="L232" s="166"/>
      <c r="M232" s="165"/>
      <c r="N232" s="75" t="str">
        <f t="shared" si="251"/>
        <v> </v>
      </c>
      <c r="O232" s="75" t="str">
        <f t="shared" si="252"/>
        <v> </v>
      </c>
      <c r="P232" s="75">
        <f t="shared" si="253"/>
        <v>3</v>
      </c>
      <c r="Q232" s="75" t="str">
        <f t="shared" si="254"/>
        <v> </v>
      </c>
      <c r="R232" s="75" t="str">
        <f t="shared" si="255"/>
        <v> </v>
      </c>
      <c r="S232" s="67"/>
      <c r="T232" s="67"/>
      <c r="U232" s="67"/>
      <c r="V232" s="67"/>
      <c r="W232" s="67"/>
      <c r="X232" s="67"/>
      <c r="Y232" s="67"/>
      <c r="Z232" s="67"/>
      <c r="AA232" s="67"/>
      <c r="AB232" s="67"/>
      <c r="AC232" s="85"/>
      <c r="AG232" s="86"/>
    </row>
    <row r="233" ht="12.0" customHeight="1">
      <c r="A233" s="1"/>
      <c r="B233" s="79"/>
      <c r="C233" s="80" t="s">
        <v>46</v>
      </c>
      <c r="D233" s="81">
        <v>0.7</v>
      </c>
      <c r="E233" s="82">
        <v>5.0</v>
      </c>
      <c r="F233" s="83">
        <v>1.0</v>
      </c>
      <c r="G233" s="84">
        <f>'Start Here'!$F$21*D233</f>
        <v>70</v>
      </c>
      <c r="H233" s="138">
        <f t="shared" si="249"/>
        <v>5</v>
      </c>
      <c r="I233" s="165">
        <f t="shared" si="250"/>
        <v>350</v>
      </c>
      <c r="J233" s="166"/>
      <c r="K233" s="165"/>
      <c r="L233" s="166"/>
      <c r="M233" s="165"/>
      <c r="N233" s="75" t="str">
        <f t="shared" si="251"/>
        <v> </v>
      </c>
      <c r="O233" s="75" t="str">
        <f t="shared" si="252"/>
        <v> </v>
      </c>
      <c r="P233" s="75">
        <f t="shared" si="253"/>
        <v>5</v>
      </c>
      <c r="Q233" s="75" t="str">
        <f t="shared" si="254"/>
        <v> </v>
      </c>
      <c r="R233" s="75" t="str">
        <f t="shared" si="255"/>
        <v> </v>
      </c>
      <c r="S233" s="67"/>
      <c r="T233" s="67"/>
      <c r="U233" s="67"/>
      <c r="V233" s="67"/>
      <c r="W233" s="67"/>
      <c r="X233" s="67"/>
      <c r="Y233" s="67"/>
      <c r="Z233" s="67"/>
      <c r="AA233" s="67"/>
      <c r="AB233" s="67"/>
      <c r="AC233" s="85"/>
      <c r="AG233" s="86"/>
    </row>
    <row r="234" ht="12.75" customHeight="1">
      <c r="A234" s="1"/>
      <c r="B234" s="79"/>
      <c r="C234" s="80" t="s">
        <v>46</v>
      </c>
      <c r="D234" s="81">
        <v>0.7</v>
      </c>
      <c r="E234" s="82">
        <v>7.0</v>
      </c>
      <c r="F234" s="83">
        <v>1.0</v>
      </c>
      <c r="G234" s="84">
        <f>'Start Here'!$F$21*D234</f>
        <v>70</v>
      </c>
      <c r="H234" s="138">
        <f t="shared" si="249"/>
        <v>7</v>
      </c>
      <c r="I234" s="165">
        <f t="shared" si="250"/>
        <v>490</v>
      </c>
      <c r="J234" s="166"/>
      <c r="K234" s="165"/>
      <c r="L234" s="166"/>
      <c r="M234" s="165"/>
      <c r="N234" s="75" t="str">
        <f t="shared" si="251"/>
        <v> </v>
      </c>
      <c r="O234" s="75" t="str">
        <f t="shared" si="252"/>
        <v> </v>
      </c>
      <c r="P234" s="75">
        <f t="shared" si="253"/>
        <v>7</v>
      </c>
      <c r="Q234" s="75" t="str">
        <f t="shared" si="254"/>
        <v> </v>
      </c>
      <c r="R234" s="75" t="str">
        <f t="shared" si="255"/>
        <v> </v>
      </c>
      <c r="S234" s="67"/>
      <c r="T234" s="67"/>
      <c r="U234" s="67"/>
      <c r="V234" s="67"/>
      <c r="W234" s="67"/>
      <c r="X234" s="67"/>
      <c r="Y234" s="67"/>
      <c r="Z234" s="67"/>
      <c r="AA234" s="67"/>
      <c r="AB234" s="67"/>
      <c r="AC234" s="85"/>
      <c r="AG234" s="86"/>
    </row>
    <row r="235" ht="12.75" customHeight="1">
      <c r="A235" s="1"/>
      <c r="B235" s="79"/>
      <c r="C235" s="80" t="s">
        <v>46</v>
      </c>
      <c r="D235" s="81">
        <v>0.7</v>
      </c>
      <c r="E235" s="82">
        <v>4.0</v>
      </c>
      <c r="F235" s="83">
        <v>1.0</v>
      </c>
      <c r="G235" s="84">
        <f>'Start Here'!$F$21*D235</f>
        <v>70</v>
      </c>
      <c r="H235" s="138">
        <f t="shared" si="249"/>
        <v>4</v>
      </c>
      <c r="I235" s="165">
        <f t="shared" si="250"/>
        <v>280</v>
      </c>
      <c r="J235" s="166"/>
      <c r="K235" s="165"/>
      <c r="L235" s="166"/>
      <c r="M235" s="165"/>
      <c r="N235" s="75" t="str">
        <f t="shared" si="251"/>
        <v> </v>
      </c>
      <c r="O235" s="75" t="str">
        <f t="shared" si="252"/>
        <v> </v>
      </c>
      <c r="P235" s="75">
        <f t="shared" si="253"/>
        <v>4</v>
      </c>
      <c r="Q235" s="75" t="str">
        <f t="shared" si="254"/>
        <v> </v>
      </c>
      <c r="R235" s="75" t="str">
        <f t="shared" si="255"/>
        <v> </v>
      </c>
      <c r="S235" s="67"/>
      <c r="T235" s="67"/>
      <c r="U235" s="67"/>
      <c r="V235" s="67"/>
      <c r="W235" s="67"/>
      <c r="X235" s="67"/>
      <c r="Y235" s="67"/>
      <c r="Z235" s="67"/>
      <c r="AA235" s="67"/>
      <c r="AB235" s="67"/>
      <c r="AC235" s="85"/>
      <c r="AG235" s="86"/>
    </row>
    <row r="236" ht="12.75" customHeight="1">
      <c r="A236" s="1"/>
      <c r="B236" s="79"/>
      <c r="C236" s="80" t="s">
        <v>46</v>
      </c>
      <c r="D236" s="81">
        <v>0.7</v>
      </c>
      <c r="E236" s="82">
        <v>6.0</v>
      </c>
      <c r="F236" s="83">
        <v>1.0</v>
      </c>
      <c r="G236" s="84">
        <f>'Start Here'!$F$21*D236</f>
        <v>70</v>
      </c>
      <c r="H236" s="138">
        <f t="shared" si="249"/>
        <v>6</v>
      </c>
      <c r="I236" s="165">
        <f t="shared" si="250"/>
        <v>420</v>
      </c>
      <c r="J236" s="166"/>
      <c r="K236" s="165"/>
      <c r="L236" s="166"/>
      <c r="M236" s="165"/>
      <c r="N236" s="75" t="str">
        <f t="shared" si="251"/>
        <v> </v>
      </c>
      <c r="O236" s="75" t="str">
        <f t="shared" si="252"/>
        <v> </v>
      </c>
      <c r="P236" s="75">
        <f t="shared" si="253"/>
        <v>6</v>
      </c>
      <c r="Q236" s="75" t="str">
        <f t="shared" si="254"/>
        <v> </v>
      </c>
      <c r="R236" s="75" t="str">
        <f t="shared" si="255"/>
        <v> </v>
      </c>
      <c r="S236" s="67"/>
      <c r="T236" s="67"/>
      <c r="U236" s="67"/>
      <c r="V236" s="67"/>
      <c r="W236" s="67"/>
      <c r="X236" s="67"/>
      <c r="Y236" s="67"/>
      <c r="Z236" s="67"/>
      <c r="AA236" s="67"/>
      <c r="AB236" s="67"/>
      <c r="AC236" s="85"/>
      <c r="AG236" s="86"/>
    </row>
    <row r="237" ht="12.75" customHeight="1">
      <c r="A237" s="1"/>
      <c r="B237" s="79"/>
      <c r="C237" s="80" t="s">
        <v>46</v>
      </c>
      <c r="D237" s="81">
        <v>0.7</v>
      </c>
      <c r="E237" s="82">
        <v>8.0</v>
      </c>
      <c r="F237" s="83">
        <v>1.0</v>
      </c>
      <c r="G237" s="84">
        <f>'Start Here'!$F$21*D237</f>
        <v>70</v>
      </c>
      <c r="H237" s="138">
        <f t="shared" si="249"/>
        <v>8</v>
      </c>
      <c r="I237" s="165">
        <f t="shared" si="250"/>
        <v>560</v>
      </c>
      <c r="J237" s="166"/>
      <c r="K237" s="165"/>
      <c r="L237" s="166"/>
      <c r="M237" s="165"/>
      <c r="N237" s="75" t="str">
        <f t="shared" si="251"/>
        <v> </v>
      </c>
      <c r="O237" s="75" t="str">
        <f t="shared" si="252"/>
        <v> </v>
      </c>
      <c r="P237" s="75">
        <f t="shared" si="253"/>
        <v>8</v>
      </c>
      <c r="Q237" s="75" t="str">
        <f t="shared" si="254"/>
        <v> </v>
      </c>
      <c r="R237" s="75" t="str">
        <f t="shared" si="255"/>
        <v> </v>
      </c>
      <c r="S237" s="67"/>
      <c r="T237" s="67"/>
      <c r="U237" s="67"/>
      <c r="V237" s="67"/>
      <c r="W237" s="67"/>
      <c r="X237" s="67"/>
      <c r="Y237" s="67"/>
      <c r="Z237" s="67"/>
      <c r="AA237" s="67"/>
      <c r="AB237" s="67"/>
      <c r="AC237" s="85"/>
      <c r="AG237" s="86"/>
    </row>
    <row r="238" ht="12.75" customHeight="1">
      <c r="A238" s="1"/>
      <c r="B238" s="87">
        <v>3.0</v>
      </c>
      <c r="C238" s="88" t="s">
        <v>91</v>
      </c>
      <c r="D238" s="89">
        <v>0.5</v>
      </c>
      <c r="E238" s="90">
        <v>4.0</v>
      </c>
      <c r="F238" s="91">
        <v>1.0</v>
      </c>
      <c r="G238" s="92">
        <f>'Start Here'!$F$22*D238</f>
        <v>50</v>
      </c>
      <c r="H238" s="138"/>
      <c r="I238" s="165"/>
      <c r="J238" s="166">
        <f t="shared" ref="J238:J241" si="256">E238*F238</f>
        <v>4</v>
      </c>
      <c r="K238" s="165">
        <f t="shared" ref="K238:K241" si="257">G238*J238</f>
        <v>200</v>
      </c>
      <c r="L238" s="166"/>
      <c r="M238" s="165"/>
      <c r="N238" s="67"/>
      <c r="O238" s="67"/>
      <c r="P238" s="67"/>
      <c r="Q238" s="67"/>
      <c r="R238" s="67"/>
      <c r="S238" s="93">
        <f t="shared" ref="S238:S241" si="258">IF(ISNUMBER(SEARCH("bench",$C238)),IF($D238&gt;=0.5,IF($D238&lt;0.6,$E238*$F238," ")," ")," ")</f>
        <v>4</v>
      </c>
      <c r="T238" s="93" t="str">
        <f t="shared" ref="T238:T241" si="259">IF(ISNUMBER(SEARCH("bench",$C238)),IF($D238&gt;=0.6,IF($D238&lt;0.7,$E238*$F238," ")," ")," ")</f>
        <v> </v>
      </c>
      <c r="U238" s="93" t="str">
        <f t="shared" ref="U238:U241" si="260">IF(ISNUMBER(SEARCH("bench",$C238)),IF($D238&gt;=0.7,IF($D238&lt;0.8,$E238*$F238," ")," ")," ")</f>
        <v> </v>
      </c>
      <c r="V238" s="93" t="str">
        <f t="shared" ref="V238:V241" si="261">IF(ISNUMBER(SEARCH("bench",$C238)),IF($D238&gt;=0.8,IF($D238&lt;0.9,$E238*$F238," ")," ")," ")</f>
        <v> </v>
      </c>
      <c r="W238" s="93" t="str">
        <f t="shared" ref="W238:W241" si="262">IF(ISNUMBER(SEARCH("bench",$C238)),IF($D238&gt;=0.9,$E238*$F238," ")," ")</f>
        <v> </v>
      </c>
      <c r="X238" s="67"/>
      <c r="Y238" s="67"/>
      <c r="Z238" s="67"/>
      <c r="AA238" s="67"/>
      <c r="AB238" s="67"/>
      <c r="AC238" s="85"/>
      <c r="AG238" s="86"/>
    </row>
    <row r="239" ht="12.75" customHeight="1">
      <c r="A239" s="1"/>
      <c r="B239" s="87"/>
      <c r="C239" s="94" t="s">
        <v>91</v>
      </c>
      <c r="D239" s="89">
        <v>0.6</v>
      </c>
      <c r="E239" s="90">
        <v>4.0</v>
      </c>
      <c r="F239" s="91">
        <v>1.0</v>
      </c>
      <c r="G239" s="92">
        <f>'Start Here'!$F$22*D239</f>
        <v>60</v>
      </c>
      <c r="H239" s="138"/>
      <c r="I239" s="165"/>
      <c r="J239" s="166">
        <f t="shared" si="256"/>
        <v>4</v>
      </c>
      <c r="K239" s="165">
        <f t="shared" si="257"/>
        <v>240</v>
      </c>
      <c r="L239" s="166"/>
      <c r="M239" s="165"/>
      <c r="N239" s="67"/>
      <c r="O239" s="67"/>
      <c r="P239" s="67"/>
      <c r="Q239" s="67"/>
      <c r="R239" s="67"/>
      <c r="S239" s="93" t="str">
        <f t="shared" si="258"/>
        <v> </v>
      </c>
      <c r="T239" s="93">
        <f t="shared" si="259"/>
        <v>4</v>
      </c>
      <c r="U239" s="93" t="str">
        <f t="shared" si="260"/>
        <v> </v>
      </c>
      <c r="V239" s="93" t="str">
        <f t="shared" si="261"/>
        <v> </v>
      </c>
      <c r="W239" s="93" t="str">
        <f t="shared" si="262"/>
        <v> </v>
      </c>
      <c r="X239" s="67"/>
      <c r="Y239" s="67"/>
      <c r="Z239" s="67"/>
      <c r="AA239" s="67"/>
      <c r="AB239" s="67"/>
      <c r="AC239" s="85"/>
      <c r="AG239" s="86"/>
    </row>
    <row r="240" ht="12.75" customHeight="1">
      <c r="A240" s="1"/>
      <c r="B240" s="87"/>
      <c r="C240" s="94" t="s">
        <v>91</v>
      </c>
      <c r="D240" s="89">
        <v>0.7</v>
      </c>
      <c r="E240" s="90">
        <v>4.0</v>
      </c>
      <c r="F240" s="91">
        <v>1.0</v>
      </c>
      <c r="G240" s="92">
        <f>'Start Here'!$F$22*D240</f>
        <v>70</v>
      </c>
      <c r="H240" s="138"/>
      <c r="I240" s="165"/>
      <c r="J240" s="166">
        <f t="shared" si="256"/>
        <v>4</v>
      </c>
      <c r="K240" s="165">
        <f t="shared" si="257"/>
        <v>280</v>
      </c>
      <c r="L240" s="166"/>
      <c r="M240" s="165"/>
      <c r="N240" s="67"/>
      <c r="O240" s="67"/>
      <c r="P240" s="67"/>
      <c r="Q240" s="67"/>
      <c r="R240" s="67"/>
      <c r="S240" s="93" t="str">
        <f t="shared" si="258"/>
        <v> </v>
      </c>
      <c r="T240" s="93" t="str">
        <f t="shared" si="259"/>
        <v> </v>
      </c>
      <c r="U240" s="93">
        <f t="shared" si="260"/>
        <v>4</v>
      </c>
      <c r="V240" s="93" t="str">
        <f t="shared" si="261"/>
        <v> </v>
      </c>
      <c r="W240" s="93" t="str">
        <f t="shared" si="262"/>
        <v> </v>
      </c>
      <c r="X240" s="67"/>
      <c r="Y240" s="67"/>
      <c r="Z240" s="67"/>
      <c r="AA240" s="67"/>
      <c r="AB240" s="67"/>
      <c r="AC240" s="85"/>
      <c r="AG240" s="86"/>
    </row>
    <row r="241" ht="12.75" customHeight="1">
      <c r="A241" s="1"/>
      <c r="B241" s="87"/>
      <c r="C241" s="94" t="s">
        <v>91</v>
      </c>
      <c r="D241" s="89">
        <v>0.75</v>
      </c>
      <c r="E241" s="90">
        <v>4.0</v>
      </c>
      <c r="F241" s="91">
        <v>4.0</v>
      </c>
      <c r="G241" s="92">
        <f>'Start Here'!$F$22*D241</f>
        <v>75</v>
      </c>
      <c r="H241" s="138"/>
      <c r="I241" s="165"/>
      <c r="J241" s="166">
        <f t="shared" si="256"/>
        <v>16</v>
      </c>
      <c r="K241" s="165">
        <f t="shared" si="257"/>
        <v>1200</v>
      </c>
      <c r="L241" s="166"/>
      <c r="M241" s="165"/>
      <c r="N241" s="67"/>
      <c r="O241" s="67"/>
      <c r="P241" s="67"/>
      <c r="Q241" s="67"/>
      <c r="R241" s="67"/>
      <c r="S241" s="93" t="str">
        <f t="shared" si="258"/>
        <v> </v>
      </c>
      <c r="T241" s="93" t="str">
        <f t="shared" si="259"/>
        <v> </v>
      </c>
      <c r="U241" s="93">
        <f t="shared" si="260"/>
        <v>16</v>
      </c>
      <c r="V241" s="93" t="str">
        <f t="shared" si="261"/>
        <v> </v>
      </c>
      <c r="W241" s="93" t="str">
        <f t="shared" si="262"/>
        <v> </v>
      </c>
      <c r="X241" s="67"/>
      <c r="Y241" s="67"/>
      <c r="Z241" s="67"/>
      <c r="AA241" s="67"/>
      <c r="AB241" s="67"/>
      <c r="AC241" s="85"/>
      <c r="AG241" s="86"/>
    </row>
    <row r="242" ht="12.75" customHeight="1">
      <c r="A242" s="1"/>
      <c r="B242" s="96">
        <v>4.0</v>
      </c>
      <c r="C242" s="167" t="s">
        <v>92</v>
      </c>
      <c r="D242" s="168"/>
      <c r="E242" s="98">
        <v>6.0</v>
      </c>
      <c r="F242" s="169">
        <v>5.0</v>
      </c>
      <c r="G242" s="170"/>
      <c r="H242" s="138"/>
      <c r="I242" s="165"/>
      <c r="J242" s="166"/>
      <c r="K242" s="165"/>
      <c r="L242" s="166"/>
      <c r="M242" s="165"/>
      <c r="N242" s="67"/>
      <c r="O242" s="67"/>
      <c r="P242" s="67"/>
      <c r="Q242" s="67"/>
      <c r="R242" s="67"/>
      <c r="S242" s="67"/>
      <c r="T242" s="67"/>
      <c r="U242" s="67"/>
      <c r="V242" s="67"/>
      <c r="W242" s="67"/>
      <c r="X242" s="67"/>
      <c r="Y242" s="67"/>
      <c r="Z242" s="67"/>
      <c r="AA242" s="67"/>
      <c r="AB242" s="67"/>
      <c r="AC242" s="85"/>
      <c r="AG242" s="86"/>
    </row>
    <row r="243" ht="12.75" customHeight="1">
      <c r="A243" s="1"/>
      <c r="B243" s="100">
        <v>5.0</v>
      </c>
      <c r="C243" s="171" t="s">
        <v>96</v>
      </c>
      <c r="D243" s="172"/>
      <c r="E243" s="102">
        <v>5.0</v>
      </c>
      <c r="F243" s="173">
        <v>5.0</v>
      </c>
      <c r="G243" s="174"/>
      <c r="H243" s="138"/>
      <c r="I243" s="165"/>
      <c r="J243" s="166"/>
      <c r="K243" s="165"/>
      <c r="L243" s="166"/>
      <c r="M243" s="165"/>
      <c r="N243" s="67"/>
      <c r="O243" s="67"/>
      <c r="P243" s="67"/>
      <c r="Q243" s="67"/>
      <c r="R243" s="67"/>
      <c r="S243" s="67"/>
      <c r="T243" s="67"/>
      <c r="U243" s="67"/>
      <c r="V243" s="67"/>
      <c r="W243" s="67"/>
      <c r="X243" s="67"/>
      <c r="Y243" s="67"/>
      <c r="Z243" s="67"/>
      <c r="AA243" s="67"/>
      <c r="AB243" s="67"/>
      <c r="AC243" s="104"/>
      <c r="AD243" s="105"/>
      <c r="AE243" s="105"/>
      <c r="AF243" s="105"/>
      <c r="AG243" s="106"/>
    </row>
    <row r="244" ht="12.75" customHeight="1">
      <c r="A244" s="1"/>
      <c r="B244" s="67"/>
      <c r="C244" s="136"/>
      <c r="D244" s="137"/>
      <c r="E244" s="138"/>
      <c r="F244" s="138"/>
      <c r="G244" s="138"/>
      <c r="H244" s="138"/>
      <c r="I244" s="165"/>
      <c r="J244" s="166"/>
      <c r="K244" s="165"/>
      <c r="L244" s="166"/>
      <c r="M244" s="165"/>
      <c r="N244" s="67"/>
      <c r="O244" s="67"/>
      <c r="P244" s="67"/>
      <c r="Q244" s="67"/>
      <c r="R244" s="67"/>
      <c r="S244" s="67"/>
      <c r="T244" s="67"/>
      <c r="U244" s="67"/>
      <c r="V244" s="67"/>
      <c r="W244" s="67"/>
      <c r="X244" s="67"/>
      <c r="Y244" s="67"/>
      <c r="Z244" s="67"/>
      <c r="AA244" s="67"/>
      <c r="AB244" s="67"/>
      <c r="AC244" s="67"/>
      <c r="AD244" s="67"/>
      <c r="AE244" s="67"/>
      <c r="AF244" s="67"/>
      <c r="AG244" s="67"/>
    </row>
    <row r="245" ht="33.75" customHeight="1">
      <c r="A245" s="1"/>
      <c r="B245" s="68" t="s">
        <v>58</v>
      </c>
      <c r="D245" s="137" t="s">
        <v>34</v>
      </c>
      <c r="E245" s="138" t="s">
        <v>35</v>
      </c>
      <c r="F245" s="138" t="s">
        <v>36</v>
      </c>
      <c r="G245" s="138" t="s">
        <v>37</v>
      </c>
      <c r="H245" s="138"/>
      <c r="I245" s="165"/>
      <c r="J245" s="166"/>
      <c r="K245" s="165"/>
      <c r="L245" s="166"/>
      <c r="M245" s="165"/>
      <c r="N245" s="67"/>
      <c r="O245" s="67"/>
      <c r="P245" s="67"/>
      <c r="Q245" s="67"/>
      <c r="R245" s="67"/>
      <c r="S245" s="67"/>
      <c r="T245" s="67"/>
      <c r="U245" s="67"/>
      <c r="V245" s="67"/>
      <c r="W245" s="67"/>
      <c r="X245" s="67"/>
      <c r="Y245" s="67"/>
      <c r="Z245" s="67"/>
      <c r="AA245" s="67"/>
      <c r="AB245" s="67"/>
      <c r="AC245" s="67" t="s">
        <v>43</v>
      </c>
      <c r="AD245" s="67"/>
      <c r="AE245" s="67"/>
      <c r="AF245" s="67"/>
      <c r="AG245" s="67"/>
    </row>
    <row r="246" ht="12.75" customHeight="1">
      <c r="A246" s="1"/>
      <c r="B246" s="107">
        <v>1.0</v>
      </c>
      <c r="C246" s="108" t="s">
        <v>128</v>
      </c>
      <c r="D246" s="109">
        <v>0.5</v>
      </c>
      <c r="E246" s="110">
        <v>4.0</v>
      </c>
      <c r="F246" s="111">
        <v>1.0</v>
      </c>
      <c r="G246" s="112">
        <f>'Start Here'!$F$23*D246</f>
        <v>50</v>
      </c>
      <c r="H246" s="138"/>
      <c r="I246" s="165"/>
      <c r="J246" s="166"/>
      <c r="K246" s="165"/>
      <c r="L246" s="166">
        <f t="shared" ref="L246:L249" si="263">E246*F246</f>
        <v>4</v>
      </c>
      <c r="M246" s="165">
        <f t="shared" ref="M246:M249" si="264">G246*L246</f>
        <v>200</v>
      </c>
      <c r="N246" s="67"/>
      <c r="O246" s="67"/>
      <c r="P246" s="67"/>
      <c r="Q246" s="67"/>
      <c r="R246" s="67"/>
      <c r="S246" s="67"/>
      <c r="T246" s="67"/>
      <c r="U246" s="67"/>
      <c r="V246" s="67"/>
      <c r="W246" s="67"/>
      <c r="X246" s="114">
        <f t="shared" ref="X246:X249" si="265">IF(ISNUMBER(SEARCH("deadlift",$C246)),IF($D246&gt;=0.5,IF($D246&lt;0.6,$E246*$F246," ")," ")," ")</f>
        <v>4</v>
      </c>
      <c r="Y246" s="114" t="str">
        <f t="shared" ref="Y246:Y249" si="266">IF(ISNUMBER(SEARCH("deadlift",$C246)),IF($D246&gt;=0.6,IF($D246&lt;0.7,$E246*$F246," ")," ")," ")</f>
        <v> </v>
      </c>
      <c r="Z246" s="114" t="str">
        <f t="shared" ref="Z246:Z249" si="267">IF(ISNUMBER(SEARCH("deadlift",$C246)),IF($D246&gt;=0.7,IF($D246&lt;0.8,$E246*$F246," ")," ")," ")</f>
        <v> </v>
      </c>
      <c r="AA246" s="114" t="str">
        <f t="shared" ref="AA246:AA249" si="268">IF(ISNUMBER(SEARCH("deadlift",$C246)),IF($D246&gt;=0.8,IF($D246&lt;0.9,$E246*$F246," ")," ")," ")</f>
        <v> </v>
      </c>
      <c r="AB246" s="114" t="str">
        <f t="shared" ref="AB246:AB249" si="269">IF(ISNUMBER(SEARCH("deadlift",$C246)),IF($D246&gt;=0.9,$E246*$F246," ")," ")</f>
        <v> </v>
      </c>
      <c r="AC246" s="76"/>
      <c r="AD246" s="77"/>
      <c r="AE246" s="77"/>
      <c r="AF246" s="77"/>
      <c r="AG246" s="78"/>
    </row>
    <row r="247" ht="12.75" customHeight="1">
      <c r="A247" s="1"/>
      <c r="B247" s="115"/>
      <c r="C247" s="247" t="s">
        <v>128</v>
      </c>
      <c r="D247" s="117">
        <v>0.6</v>
      </c>
      <c r="E247" s="118">
        <v>4.0</v>
      </c>
      <c r="F247" s="119">
        <v>1.0</v>
      </c>
      <c r="G247" s="120">
        <f>'Start Here'!$F$23*D247</f>
        <v>60</v>
      </c>
      <c r="H247" s="138"/>
      <c r="I247" s="165"/>
      <c r="J247" s="166"/>
      <c r="K247" s="165"/>
      <c r="L247" s="166">
        <f t="shared" si="263"/>
        <v>4</v>
      </c>
      <c r="M247" s="165">
        <f t="shared" si="264"/>
        <v>240</v>
      </c>
      <c r="N247" s="67"/>
      <c r="O247" s="67"/>
      <c r="P247" s="67"/>
      <c r="Q247" s="67"/>
      <c r="R247" s="67"/>
      <c r="S247" s="67"/>
      <c r="T247" s="67"/>
      <c r="U247" s="67"/>
      <c r="V247" s="67"/>
      <c r="W247" s="67"/>
      <c r="X247" s="114" t="str">
        <f t="shared" si="265"/>
        <v> </v>
      </c>
      <c r="Y247" s="114">
        <f t="shared" si="266"/>
        <v>4</v>
      </c>
      <c r="Z247" s="114" t="str">
        <f t="shared" si="267"/>
        <v> </v>
      </c>
      <c r="AA247" s="114" t="str">
        <f t="shared" si="268"/>
        <v> </v>
      </c>
      <c r="AB247" s="114" t="str">
        <f t="shared" si="269"/>
        <v> </v>
      </c>
      <c r="AC247" s="85"/>
      <c r="AG247" s="86"/>
    </row>
    <row r="248" ht="12.75" customHeight="1">
      <c r="A248" s="1"/>
      <c r="B248" s="115"/>
      <c r="C248" s="247" t="s">
        <v>131</v>
      </c>
      <c r="D248" s="117">
        <v>0.7</v>
      </c>
      <c r="E248" s="118">
        <v>3.0</v>
      </c>
      <c r="F248" s="119">
        <v>1.0</v>
      </c>
      <c r="G248" s="120">
        <f>'Start Here'!$F$23*D248</f>
        <v>70</v>
      </c>
      <c r="H248" s="138"/>
      <c r="I248" s="165"/>
      <c r="J248" s="166"/>
      <c r="K248" s="165"/>
      <c r="L248" s="166">
        <f t="shared" si="263"/>
        <v>3</v>
      </c>
      <c r="M248" s="165">
        <f t="shared" si="264"/>
        <v>210</v>
      </c>
      <c r="N248" s="67"/>
      <c r="O248" s="67"/>
      <c r="P248" s="67"/>
      <c r="Q248" s="67"/>
      <c r="R248" s="67"/>
      <c r="S248" s="67"/>
      <c r="T248" s="67"/>
      <c r="U248" s="67"/>
      <c r="V248" s="67"/>
      <c r="W248" s="67"/>
      <c r="X248" s="114" t="str">
        <f t="shared" si="265"/>
        <v> </v>
      </c>
      <c r="Y248" s="114" t="str">
        <f t="shared" si="266"/>
        <v> </v>
      </c>
      <c r="Z248" s="114">
        <f t="shared" si="267"/>
        <v>3</v>
      </c>
      <c r="AA248" s="114" t="str">
        <f t="shared" si="268"/>
        <v> </v>
      </c>
      <c r="AB248" s="114" t="str">
        <f t="shared" si="269"/>
        <v> </v>
      </c>
      <c r="AC248" s="85"/>
      <c r="AG248" s="86"/>
    </row>
    <row r="249" ht="12.75" customHeight="1">
      <c r="A249" s="1"/>
      <c r="B249" s="115"/>
      <c r="C249" s="247" t="s">
        <v>132</v>
      </c>
      <c r="D249" s="117">
        <v>0.8</v>
      </c>
      <c r="E249" s="118">
        <v>2.0</v>
      </c>
      <c r="F249" s="119">
        <v>4.0</v>
      </c>
      <c r="G249" s="120">
        <f>'Start Here'!$F$23*D249</f>
        <v>80</v>
      </c>
      <c r="H249" s="138"/>
      <c r="I249" s="165"/>
      <c r="J249" s="166"/>
      <c r="K249" s="165"/>
      <c r="L249" s="166">
        <f t="shared" si="263"/>
        <v>8</v>
      </c>
      <c r="M249" s="165">
        <f t="shared" si="264"/>
        <v>640</v>
      </c>
      <c r="N249" s="67"/>
      <c r="O249" s="67"/>
      <c r="P249" s="67"/>
      <c r="Q249" s="67"/>
      <c r="R249" s="67"/>
      <c r="S249" s="67"/>
      <c r="T249" s="67"/>
      <c r="U249" s="67"/>
      <c r="V249" s="67"/>
      <c r="W249" s="67"/>
      <c r="X249" s="114" t="str">
        <f t="shared" si="265"/>
        <v> </v>
      </c>
      <c r="Y249" s="114" t="str">
        <f t="shared" si="266"/>
        <v> </v>
      </c>
      <c r="Z249" s="114" t="str">
        <f t="shared" si="267"/>
        <v> </v>
      </c>
      <c r="AA249" s="114">
        <f t="shared" si="268"/>
        <v>8</v>
      </c>
      <c r="AB249" s="114" t="str">
        <f t="shared" si="269"/>
        <v> </v>
      </c>
      <c r="AC249" s="85"/>
      <c r="AG249" s="86"/>
    </row>
    <row r="250" ht="12.75" customHeight="1">
      <c r="A250" s="1"/>
      <c r="B250" s="96">
        <v>2.0</v>
      </c>
      <c r="C250" s="167" t="s">
        <v>103</v>
      </c>
      <c r="D250" s="168"/>
      <c r="E250" s="169">
        <v>3.0</v>
      </c>
      <c r="F250" s="169">
        <v>5.0</v>
      </c>
      <c r="G250" s="188"/>
      <c r="H250" s="138"/>
      <c r="I250" s="165"/>
      <c r="J250" s="166"/>
      <c r="K250" s="165"/>
      <c r="L250" s="166"/>
      <c r="M250" s="165"/>
      <c r="N250" s="67"/>
      <c r="O250" s="67"/>
      <c r="P250" s="67"/>
      <c r="Q250" s="67"/>
      <c r="R250" s="67"/>
      <c r="S250" s="67"/>
      <c r="T250" s="67"/>
      <c r="U250" s="67"/>
      <c r="V250" s="67"/>
      <c r="W250" s="67"/>
      <c r="X250" s="67"/>
      <c r="Y250" s="67"/>
      <c r="Z250" s="67"/>
      <c r="AA250" s="67"/>
      <c r="AB250" s="67"/>
      <c r="AC250" s="85"/>
      <c r="AG250" s="86"/>
    </row>
    <row r="251" ht="12.75" customHeight="1">
      <c r="A251" s="1"/>
      <c r="B251" s="135">
        <v>3.0</v>
      </c>
      <c r="C251" s="136" t="s">
        <v>95</v>
      </c>
      <c r="D251" s="137"/>
      <c r="E251" s="68">
        <v>6.0</v>
      </c>
      <c r="F251" s="138">
        <v>5.0</v>
      </c>
      <c r="G251" s="139"/>
      <c r="H251" s="138"/>
      <c r="I251" s="165"/>
      <c r="J251" s="166"/>
      <c r="K251" s="165"/>
      <c r="L251" s="166"/>
      <c r="M251" s="165"/>
      <c r="N251" s="67"/>
      <c r="O251" s="67"/>
      <c r="P251" s="67"/>
      <c r="Q251" s="67"/>
      <c r="R251" s="67"/>
      <c r="S251" s="67"/>
      <c r="T251" s="67"/>
      <c r="U251" s="67"/>
      <c r="V251" s="67"/>
      <c r="W251" s="67"/>
      <c r="X251" s="67"/>
      <c r="Y251" s="67"/>
      <c r="Z251" s="67"/>
      <c r="AA251" s="67"/>
      <c r="AB251" s="67"/>
      <c r="AC251" s="85"/>
      <c r="AG251" s="86"/>
    </row>
    <row r="252" ht="12.75" customHeight="1">
      <c r="A252" s="1"/>
      <c r="B252" s="100">
        <v>4.0</v>
      </c>
      <c r="C252" s="171" t="s">
        <v>57</v>
      </c>
      <c r="D252" s="172"/>
      <c r="E252" s="102">
        <v>8.0</v>
      </c>
      <c r="F252" s="173">
        <v>4.0</v>
      </c>
      <c r="G252" s="174"/>
      <c r="H252" s="196"/>
      <c r="I252" s="197"/>
      <c r="J252" s="198"/>
      <c r="K252" s="197"/>
      <c r="L252" s="198"/>
      <c r="M252" s="197"/>
      <c r="N252" s="67"/>
      <c r="O252" s="67"/>
      <c r="P252" s="67"/>
      <c r="Q252" s="67"/>
      <c r="R252" s="67"/>
      <c r="S252" s="67"/>
      <c r="T252" s="67"/>
      <c r="U252" s="67"/>
      <c r="V252" s="67"/>
      <c r="W252" s="67"/>
      <c r="X252" s="67"/>
      <c r="Y252" s="67"/>
      <c r="Z252" s="67"/>
      <c r="AA252" s="67"/>
      <c r="AB252" s="67"/>
      <c r="AC252" s="104"/>
      <c r="AD252" s="105"/>
      <c r="AE252" s="105"/>
      <c r="AF252" s="105"/>
      <c r="AG252" s="106"/>
    </row>
    <row r="253" ht="42.0" customHeight="1">
      <c r="A253" s="181"/>
      <c r="B253" s="142"/>
      <c r="C253" s="182"/>
      <c r="D253" s="183"/>
      <c r="E253" s="143"/>
      <c r="F253" s="184"/>
      <c r="G253" s="184"/>
      <c r="H253" s="184">
        <f t="shared" ref="H253:AB253" si="270">SUM(H190:H252)</f>
        <v>71</v>
      </c>
      <c r="I253" s="185">
        <f t="shared" si="270"/>
        <v>4860</v>
      </c>
      <c r="J253" s="185">
        <f t="shared" si="270"/>
        <v>128</v>
      </c>
      <c r="K253" s="185">
        <f t="shared" si="270"/>
        <v>9005</v>
      </c>
      <c r="L253" s="185">
        <f t="shared" si="270"/>
        <v>54</v>
      </c>
      <c r="M253" s="185">
        <f t="shared" si="270"/>
        <v>3970</v>
      </c>
      <c r="N253" s="185">
        <f t="shared" si="270"/>
        <v>10</v>
      </c>
      <c r="O253" s="185">
        <f t="shared" si="270"/>
        <v>9</v>
      </c>
      <c r="P253" s="142">
        <f t="shared" si="270"/>
        <v>36</v>
      </c>
      <c r="Q253" s="142">
        <f t="shared" si="270"/>
        <v>16</v>
      </c>
      <c r="R253" s="184">
        <f t="shared" si="270"/>
        <v>0</v>
      </c>
      <c r="S253" s="144">
        <f t="shared" si="270"/>
        <v>19</v>
      </c>
      <c r="T253" s="144">
        <f t="shared" si="270"/>
        <v>18</v>
      </c>
      <c r="U253" s="144">
        <f t="shared" si="270"/>
        <v>61</v>
      </c>
      <c r="V253" s="144">
        <f t="shared" si="270"/>
        <v>24</v>
      </c>
      <c r="W253" s="144">
        <f t="shared" si="270"/>
        <v>6</v>
      </c>
      <c r="X253" s="144">
        <f t="shared" si="270"/>
        <v>7</v>
      </c>
      <c r="Y253" s="144">
        <f t="shared" si="270"/>
        <v>10</v>
      </c>
      <c r="Z253" s="144">
        <f t="shared" si="270"/>
        <v>9</v>
      </c>
      <c r="AA253" s="144">
        <f t="shared" si="270"/>
        <v>22</v>
      </c>
      <c r="AB253" s="144">
        <f t="shared" si="270"/>
        <v>6</v>
      </c>
      <c r="AC253" s="142"/>
      <c r="AD253" s="142"/>
      <c r="AE253" s="142"/>
      <c r="AF253" s="142"/>
      <c r="AG253" s="142"/>
    </row>
    <row r="254" ht="25.5" customHeight="1">
      <c r="A254" s="1"/>
      <c r="B254" s="66" t="s">
        <v>116</v>
      </c>
      <c r="H254" s="138"/>
      <c r="I254" s="165"/>
      <c r="J254" s="166"/>
      <c r="K254" s="165"/>
      <c r="L254" s="166"/>
      <c r="M254" s="165"/>
      <c r="N254" s="67"/>
      <c r="O254" s="67"/>
      <c r="P254" s="67"/>
      <c r="Q254" s="67"/>
      <c r="R254" s="67"/>
      <c r="S254" s="67"/>
      <c r="T254" s="67"/>
      <c r="U254" s="67"/>
      <c r="V254" s="67"/>
      <c r="W254" s="67"/>
      <c r="X254" s="67"/>
      <c r="Y254" s="67"/>
      <c r="Z254" s="67"/>
      <c r="AA254" s="67"/>
      <c r="AB254" s="67"/>
      <c r="AC254" s="67"/>
      <c r="AD254" s="67"/>
      <c r="AE254" s="67"/>
      <c r="AF254" s="67"/>
      <c r="AG254" s="67"/>
    </row>
    <row r="255" ht="22.5" customHeight="1">
      <c r="A255" s="1"/>
      <c r="B255" s="68" t="s">
        <v>33</v>
      </c>
      <c r="D255" s="137" t="s">
        <v>34</v>
      </c>
      <c r="E255" s="138" t="s">
        <v>35</v>
      </c>
      <c r="F255" s="138" t="s">
        <v>36</v>
      </c>
      <c r="G255" s="138" t="s">
        <v>37</v>
      </c>
      <c r="H255" s="138"/>
      <c r="I255" s="165"/>
      <c r="J255" s="166"/>
      <c r="K255" s="165"/>
      <c r="L255" s="166"/>
      <c r="M255" s="165"/>
      <c r="N255" s="67"/>
      <c r="O255" s="67"/>
      <c r="P255" s="67"/>
      <c r="Q255" s="67"/>
      <c r="R255" s="67"/>
      <c r="S255" s="67"/>
      <c r="T255" s="67"/>
      <c r="U255" s="67"/>
      <c r="V255" s="67"/>
      <c r="W255" s="67"/>
      <c r="X255" s="67"/>
      <c r="Y255" s="67"/>
      <c r="Z255" s="67"/>
      <c r="AA255" s="67"/>
      <c r="AB255" s="67"/>
      <c r="AC255" s="67" t="s">
        <v>43</v>
      </c>
      <c r="AD255" s="67"/>
      <c r="AE255" s="67"/>
      <c r="AF255" s="67"/>
      <c r="AG255" s="67"/>
    </row>
    <row r="256" ht="12.75" customHeight="1">
      <c r="A256" s="1"/>
      <c r="B256" s="123">
        <v>1.0</v>
      </c>
      <c r="C256" s="124" t="s">
        <v>45</v>
      </c>
      <c r="D256" s="125">
        <v>0.5</v>
      </c>
      <c r="E256" s="126">
        <v>5.0</v>
      </c>
      <c r="F256" s="127">
        <v>1.0</v>
      </c>
      <c r="G256" s="128">
        <f>'Start Here'!$F$22*D256</f>
        <v>50</v>
      </c>
      <c r="H256" s="138"/>
      <c r="I256" s="165"/>
      <c r="J256" s="166">
        <f t="shared" ref="J256:J259" si="271">E256*F256</f>
        <v>5</v>
      </c>
      <c r="K256" s="165">
        <f t="shared" ref="K256:K259" si="272">G256*J256</f>
        <v>250</v>
      </c>
      <c r="L256" s="166"/>
      <c r="M256" s="165"/>
      <c r="N256" s="67"/>
      <c r="O256" s="67"/>
      <c r="P256" s="67"/>
      <c r="Q256" s="67"/>
      <c r="R256" s="67"/>
      <c r="S256" s="93">
        <f t="shared" ref="S256:S259" si="273">IF(ISNUMBER(SEARCH("bench",$C256)),IF($D256&gt;=0.5,IF($D256&lt;0.6,$E256*$F256," ")," ")," ")</f>
        <v>5</v>
      </c>
      <c r="T256" s="93" t="str">
        <f t="shared" ref="T256:T259" si="274">IF(ISNUMBER(SEARCH("bench",$C256)),IF($D256&gt;=0.6,IF($D256&lt;0.7,$E256*$F256," ")," ")," ")</f>
        <v> </v>
      </c>
      <c r="U256" s="93" t="str">
        <f t="shared" ref="U256:U259" si="275">IF(ISNUMBER(SEARCH("bench",$C256)),IF($D256&gt;=0.7,IF($D256&lt;0.8,$E256*$F256," ")," ")," ")</f>
        <v> </v>
      </c>
      <c r="V256" s="93" t="str">
        <f t="shared" ref="V256:V259" si="276">IF(ISNUMBER(SEARCH("bench",$C256)),IF($D256&gt;=0.8,IF($D256&lt;0.9,$E256*$F256," ")," ")," ")</f>
        <v> </v>
      </c>
      <c r="W256" s="93" t="str">
        <f t="shared" ref="W256:W259" si="277">IF(ISNUMBER(SEARCH("bench",$C256)),IF($D256&gt;=0.9,$E256*$F256," ")," ")</f>
        <v> </v>
      </c>
      <c r="X256" s="67"/>
      <c r="Y256" s="67"/>
      <c r="Z256" s="67"/>
      <c r="AA256" s="67"/>
      <c r="AB256" s="67"/>
      <c r="AC256" s="76"/>
      <c r="AD256" s="77"/>
      <c r="AE256" s="77"/>
      <c r="AF256" s="77"/>
      <c r="AG256" s="78"/>
    </row>
    <row r="257" ht="12.75" customHeight="1">
      <c r="A257" s="1"/>
      <c r="B257" s="87"/>
      <c r="C257" s="94" t="s">
        <v>45</v>
      </c>
      <c r="D257" s="89">
        <v>0.6</v>
      </c>
      <c r="E257" s="90">
        <v>4.0</v>
      </c>
      <c r="F257" s="91">
        <v>1.0</v>
      </c>
      <c r="G257" s="92">
        <f>'Start Here'!$F$22*D257</f>
        <v>60</v>
      </c>
      <c r="H257" s="138"/>
      <c r="I257" s="165"/>
      <c r="J257" s="166">
        <f t="shared" si="271"/>
        <v>4</v>
      </c>
      <c r="K257" s="165">
        <f t="shared" si="272"/>
        <v>240</v>
      </c>
      <c r="L257" s="166"/>
      <c r="M257" s="165"/>
      <c r="N257" s="67"/>
      <c r="O257" s="67"/>
      <c r="P257" s="67"/>
      <c r="Q257" s="67"/>
      <c r="R257" s="67"/>
      <c r="S257" s="93" t="str">
        <f t="shared" si="273"/>
        <v> </v>
      </c>
      <c r="T257" s="93">
        <f t="shared" si="274"/>
        <v>4</v>
      </c>
      <c r="U257" s="93" t="str">
        <f t="shared" si="275"/>
        <v> </v>
      </c>
      <c r="V257" s="93" t="str">
        <f t="shared" si="276"/>
        <v> </v>
      </c>
      <c r="W257" s="93" t="str">
        <f t="shared" si="277"/>
        <v> </v>
      </c>
      <c r="X257" s="67"/>
      <c r="Y257" s="67"/>
      <c r="Z257" s="67"/>
      <c r="AA257" s="67"/>
      <c r="AB257" s="67"/>
      <c r="AC257" s="85"/>
      <c r="AG257" s="86"/>
    </row>
    <row r="258" ht="12.75" customHeight="1">
      <c r="A258" s="1"/>
      <c r="B258" s="87"/>
      <c r="C258" s="94" t="s">
        <v>45</v>
      </c>
      <c r="D258" s="89">
        <v>0.7</v>
      </c>
      <c r="E258" s="90">
        <v>3.0</v>
      </c>
      <c r="F258" s="91">
        <v>1.0</v>
      </c>
      <c r="G258" s="92">
        <f>'Start Here'!$F$22*D258</f>
        <v>70</v>
      </c>
      <c r="H258" s="138"/>
      <c r="I258" s="165"/>
      <c r="J258" s="166">
        <f t="shared" si="271"/>
        <v>3</v>
      </c>
      <c r="K258" s="165">
        <f t="shared" si="272"/>
        <v>210</v>
      </c>
      <c r="L258" s="166"/>
      <c r="M258" s="165"/>
      <c r="N258" s="67"/>
      <c r="O258" s="67"/>
      <c r="P258" s="67"/>
      <c r="Q258" s="67"/>
      <c r="R258" s="67"/>
      <c r="S258" s="93" t="str">
        <f t="shared" si="273"/>
        <v> </v>
      </c>
      <c r="T258" s="93" t="str">
        <f t="shared" si="274"/>
        <v> </v>
      </c>
      <c r="U258" s="93">
        <f t="shared" si="275"/>
        <v>3</v>
      </c>
      <c r="V258" s="93" t="str">
        <f t="shared" si="276"/>
        <v> </v>
      </c>
      <c r="W258" s="93" t="str">
        <f t="shared" si="277"/>
        <v> </v>
      </c>
      <c r="X258" s="67"/>
      <c r="Y258" s="67"/>
      <c r="Z258" s="67"/>
      <c r="AA258" s="67"/>
      <c r="AB258" s="67"/>
      <c r="AC258" s="85"/>
      <c r="AG258" s="86"/>
    </row>
    <row r="259" ht="12.75" customHeight="1">
      <c r="A259" s="1"/>
      <c r="B259" s="87"/>
      <c r="C259" s="94" t="s">
        <v>45</v>
      </c>
      <c r="D259" s="89">
        <v>0.8</v>
      </c>
      <c r="E259" s="90">
        <v>3.0</v>
      </c>
      <c r="F259" s="91">
        <v>4.0</v>
      </c>
      <c r="G259" s="92">
        <f>'Start Here'!$F$22*D259</f>
        <v>80</v>
      </c>
      <c r="H259" s="138"/>
      <c r="I259" s="165"/>
      <c r="J259" s="166">
        <f t="shared" si="271"/>
        <v>12</v>
      </c>
      <c r="K259" s="165">
        <f t="shared" si="272"/>
        <v>960</v>
      </c>
      <c r="L259" s="166"/>
      <c r="M259" s="165"/>
      <c r="N259" s="67"/>
      <c r="O259" s="67"/>
      <c r="P259" s="67"/>
      <c r="Q259" s="67"/>
      <c r="R259" s="67"/>
      <c r="S259" s="93" t="str">
        <f t="shared" si="273"/>
        <v> </v>
      </c>
      <c r="T259" s="93" t="str">
        <f t="shared" si="274"/>
        <v> </v>
      </c>
      <c r="U259" s="93" t="str">
        <f t="shared" si="275"/>
        <v> </v>
      </c>
      <c r="V259" s="93">
        <f t="shared" si="276"/>
        <v>12</v>
      </c>
      <c r="W259" s="93" t="str">
        <f t="shared" si="277"/>
        <v> </v>
      </c>
      <c r="X259" s="67"/>
      <c r="Y259" s="67"/>
      <c r="Z259" s="67"/>
      <c r="AA259" s="67"/>
      <c r="AB259" s="67"/>
      <c r="AC259" s="85"/>
      <c r="AG259" s="86"/>
    </row>
    <row r="260" ht="12.75" customHeight="1">
      <c r="A260" s="1"/>
      <c r="B260" s="79">
        <v>2.0</v>
      </c>
      <c r="C260" s="95" t="s">
        <v>46</v>
      </c>
      <c r="D260" s="81">
        <v>0.5</v>
      </c>
      <c r="E260" s="82">
        <v>5.0</v>
      </c>
      <c r="F260" s="83">
        <v>1.0</v>
      </c>
      <c r="G260" s="84">
        <f>'Start Here'!$F$21*D260</f>
        <v>50</v>
      </c>
      <c r="H260" s="138">
        <f t="shared" ref="H260:H263" si="278">E260*F260</f>
        <v>5</v>
      </c>
      <c r="I260" s="165">
        <f t="shared" ref="I260:I263" si="279">G260*H260</f>
        <v>250</v>
      </c>
      <c r="J260" s="166"/>
      <c r="K260" s="165"/>
      <c r="L260" s="166"/>
      <c r="M260" s="165"/>
      <c r="N260" s="75">
        <f t="shared" ref="N260:N263" si="280">IF(ISNUMBER(SEARCH("squat",$C260)),IF($D260&gt;=0.5,IF($D260&lt;0.6,$E260*$F260," ")," ")," ")</f>
        <v>5</v>
      </c>
      <c r="O260" s="75" t="str">
        <f t="shared" ref="O260:O263" si="281">IF(ISNUMBER(SEARCH("squat",$C260)),IF($D260&gt;=0.6,IF($D260&lt;0.7,$E260*$F260," ")," ")," ")</f>
        <v> </v>
      </c>
      <c r="P260" s="75" t="str">
        <f t="shared" ref="P260:P263" si="282">IF(ISNUMBER(SEARCH("squat",$C260)),IF($D260&gt;=0.7,IF($D260&lt;0.8,$E260*$F260," ")," ")," ")</f>
        <v> </v>
      </c>
      <c r="Q260" s="75" t="str">
        <f t="shared" ref="Q260:Q263" si="283">IF(ISNUMBER(SEARCH("squat",$C260)),IF($D260&gt;=0.8,IF($D260&lt;0.9,$E260*$F260," ")," ")," ")</f>
        <v> </v>
      </c>
      <c r="R260" s="75" t="str">
        <f t="shared" ref="R260:R263" si="284">IF(ISNUMBER(SEARCH("squat",$C260)),IF($D260&gt;=0.9,$E260*$F260," ")," ")</f>
        <v> </v>
      </c>
      <c r="S260" s="67"/>
      <c r="T260" s="67"/>
      <c r="U260" s="67"/>
      <c r="V260" s="67"/>
      <c r="W260" s="67"/>
      <c r="X260" s="67"/>
      <c r="Y260" s="67"/>
      <c r="Z260" s="67"/>
      <c r="AA260" s="67"/>
      <c r="AB260" s="67"/>
      <c r="AC260" s="85"/>
      <c r="AG260" s="86"/>
    </row>
    <row r="261" ht="12.75" customHeight="1">
      <c r="A261" s="1"/>
      <c r="B261" s="79"/>
      <c r="C261" s="80" t="s">
        <v>46</v>
      </c>
      <c r="D261" s="81">
        <v>0.6</v>
      </c>
      <c r="E261" s="82">
        <v>4.0</v>
      </c>
      <c r="F261" s="83">
        <v>1.0</v>
      </c>
      <c r="G261" s="84">
        <f>'Start Here'!$F$21*D261</f>
        <v>60</v>
      </c>
      <c r="H261" s="138">
        <f t="shared" si="278"/>
        <v>4</v>
      </c>
      <c r="I261" s="165">
        <f t="shared" si="279"/>
        <v>240</v>
      </c>
      <c r="J261" s="166"/>
      <c r="K261" s="165"/>
      <c r="L261" s="166"/>
      <c r="M261" s="165"/>
      <c r="N261" s="75" t="str">
        <f t="shared" si="280"/>
        <v> </v>
      </c>
      <c r="O261" s="75">
        <f t="shared" si="281"/>
        <v>4</v>
      </c>
      <c r="P261" s="75" t="str">
        <f t="shared" si="282"/>
        <v> </v>
      </c>
      <c r="Q261" s="75" t="str">
        <f t="shared" si="283"/>
        <v> </v>
      </c>
      <c r="R261" s="75" t="str">
        <f t="shared" si="284"/>
        <v> </v>
      </c>
      <c r="S261" s="67"/>
      <c r="T261" s="67"/>
      <c r="U261" s="67"/>
      <c r="V261" s="67"/>
      <c r="W261" s="67"/>
      <c r="X261" s="67"/>
      <c r="Y261" s="67"/>
      <c r="Z261" s="67"/>
      <c r="AA261" s="67"/>
      <c r="AB261" s="67"/>
      <c r="AC261" s="85"/>
      <c r="AG261" s="86"/>
    </row>
    <row r="262" ht="12.75" customHeight="1">
      <c r="A262" s="1"/>
      <c r="B262" s="79"/>
      <c r="C262" s="80" t="s">
        <v>46</v>
      </c>
      <c r="D262" s="81">
        <v>0.7</v>
      </c>
      <c r="E262" s="82">
        <v>3.0</v>
      </c>
      <c r="F262" s="83">
        <v>1.0</v>
      </c>
      <c r="G262" s="84">
        <f>'Start Here'!$F$21*D262</f>
        <v>70</v>
      </c>
      <c r="H262" s="138">
        <f t="shared" si="278"/>
        <v>3</v>
      </c>
      <c r="I262" s="165">
        <f t="shared" si="279"/>
        <v>210</v>
      </c>
      <c r="J262" s="166"/>
      <c r="K262" s="165"/>
      <c r="L262" s="166"/>
      <c r="M262" s="165"/>
      <c r="N262" s="75" t="str">
        <f t="shared" si="280"/>
        <v> </v>
      </c>
      <c r="O262" s="75" t="str">
        <f t="shared" si="281"/>
        <v> </v>
      </c>
      <c r="P262" s="75">
        <f t="shared" si="282"/>
        <v>3</v>
      </c>
      <c r="Q262" s="75" t="str">
        <f t="shared" si="283"/>
        <v> </v>
      </c>
      <c r="R262" s="75" t="str">
        <f t="shared" si="284"/>
        <v> </v>
      </c>
      <c r="S262" s="67"/>
      <c r="T262" s="67"/>
      <c r="U262" s="67"/>
      <c r="V262" s="67"/>
      <c r="W262" s="67"/>
      <c r="X262" s="67"/>
      <c r="Y262" s="67"/>
      <c r="Z262" s="67"/>
      <c r="AA262" s="67"/>
      <c r="AB262" s="67"/>
      <c r="AC262" s="85"/>
      <c r="AG262" s="86"/>
    </row>
    <row r="263" ht="12.75" customHeight="1">
      <c r="A263" s="1"/>
      <c r="B263" s="79"/>
      <c r="C263" s="80" t="s">
        <v>46</v>
      </c>
      <c r="D263" s="81">
        <v>0.8</v>
      </c>
      <c r="E263" s="82">
        <v>2.0</v>
      </c>
      <c r="F263" s="83">
        <v>4.0</v>
      </c>
      <c r="G263" s="84">
        <f>'Start Here'!$F$21*D263</f>
        <v>80</v>
      </c>
      <c r="H263" s="138">
        <f t="shared" si="278"/>
        <v>8</v>
      </c>
      <c r="I263" s="165">
        <f t="shared" si="279"/>
        <v>640</v>
      </c>
      <c r="J263" s="166"/>
      <c r="K263" s="165"/>
      <c r="L263" s="166"/>
      <c r="M263" s="165"/>
      <c r="N263" s="75" t="str">
        <f t="shared" si="280"/>
        <v> </v>
      </c>
      <c r="O263" s="75" t="str">
        <f t="shared" si="281"/>
        <v> </v>
      </c>
      <c r="P263" s="75" t="str">
        <f t="shared" si="282"/>
        <v> </v>
      </c>
      <c r="Q263" s="75">
        <f t="shared" si="283"/>
        <v>8</v>
      </c>
      <c r="R263" s="75" t="str">
        <f t="shared" si="284"/>
        <v> </v>
      </c>
      <c r="S263" s="67"/>
      <c r="T263" s="67"/>
      <c r="U263" s="67"/>
      <c r="V263" s="67"/>
      <c r="W263" s="67"/>
      <c r="X263" s="67"/>
      <c r="Y263" s="67"/>
      <c r="Z263" s="67"/>
      <c r="AA263" s="67"/>
      <c r="AB263" s="67"/>
      <c r="AC263" s="85"/>
      <c r="AG263" s="86"/>
    </row>
    <row r="264" ht="12.75" customHeight="1">
      <c r="A264" s="1"/>
      <c r="B264" s="87">
        <v>3.0</v>
      </c>
      <c r="C264" s="88" t="s">
        <v>45</v>
      </c>
      <c r="D264" s="89">
        <v>0.5</v>
      </c>
      <c r="E264" s="90">
        <v>4.0</v>
      </c>
      <c r="F264" s="91">
        <v>1.0</v>
      </c>
      <c r="G264" s="92">
        <f>'Start Here'!$F$22*D264</f>
        <v>50</v>
      </c>
      <c r="H264" s="138"/>
      <c r="I264" s="165"/>
      <c r="J264" s="166">
        <f t="shared" ref="J264:J266" si="285">E264*F264</f>
        <v>4</v>
      </c>
      <c r="K264" s="165">
        <f t="shared" ref="K264:K266" si="286">G264*J264</f>
        <v>200</v>
      </c>
      <c r="L264" s="166"/>
      <c r="M264" s="165"/>
      <c r="N264" s="67"/>
      <c r="O264" s="67"/>
      <c r="P264" s="67"/>
      <c r="Q264" s="67"/>
      <c r="R264" s="67"/>
      <c r="S264" s="93">
        <f t="shared" ref="S264:S266" si="287">IF(ISNUMBER(SEARCH("bench",$C264)),IF($D264&gt;=0.5,IF($D264&lt;0.6,$E264*$F264," ")," ")," ")</f>
        <v>4</v>
      </c>
      <c r="T264" s="93" t="str">
        <f t="shared" ref="T264:T266" si="288">IF(ISNUMBER(SEARCH("bench",$C264)),IF($D264&gt;=0.6,IF($D264&lt;0.7,$E264*$F264," ")," ")," ")</f>
        <v> </v>
      </c>
      <c r="U264" s="93" t="str">
        <f t="shared" ref="U264:U266" si="289">IF(ISNUMBER(SEARCH("bench",$C264)),IF($D264&gt;=0.7,IF($D264&lt;0.8,$E264*$F264," ")," ")," ")</f>
        <v> </v>
      </c>
      <c r="V264" s="93" t="str">
        <f t="shared" ref="V264:V266" si="290">IF(ISNUMBER(SEARCH("bench",$C264)),IF($D264&gt;=0.8,IF($D264&lt;0.9,$E264*$F264," ")," ")," ")</f>
        <v> </v>
      </c>
      <c r="W264" s="93" t="str">
        <f t="shared" ref="W264:W266" si="291">IF(ISNUMBER(SEARCH("bench",$C264)),IF($D264&gt;=0.9,$E264*$F264," ")," ")</f>
        <v> </v>
      </c>
      <c r="X264" s="67"/>
      <c r="Y264" s="67"/>
      <c r="Z264" s="67"/>
      <c r="AA264" s="67"/>
      <c r="AB264" s="67"/>
      <c r="AC264" s="85"/>
      <c r="AG264" s="86"/>
    </row>
    <row r="265" ht="12.75" customHeight="1">
      <c r="A265" s="1"/>
      <c r="B265" s="87"/>
      <c r="C265" s="94" t="s">
        <v>45</v>
      </c>
      <c r="D265" s="89">
        <v>0.6</v>
      </c>
      <c r="E265" s="90">
        <v>4.0</v>
      </c>
      <c r="F265" s="91">
        <v>1.0</v>
      </c>
      <c r="G265" s="92">
        <f>'Start Here'!$F$22*D265</f>
        <v>60</v>
      </c>
      <c r="H265" s="138"/>
      <c r="I265" s="165"/>
      <c r="J265" s="166">
        <f t="shared" si="285"/>
        <v>4</v>
      </c>
      <c r="K265" s="165">
        <f t="shared" si="286"/>
        <v>240</v>
      </c>
      <c r="L265" s="166"/>
      <c r="M265" s="165"/>
      <c r="N265" s="67"/>
      <c r="O265" s="67"/>
      <c r="P265" s="67"/>
      <c r="Q265" s="67"/>
      <c r="R265" s="67"/>
      <c r="S265" s="93" t="str">
        <f t="shared" si="287"/>
        <v> </v>
      </c>
      <c r="T265" s="93">
        <f t="shared" si="288"/>
        <v>4</v>
      </c>
      <c r="U265" s="93" t="str">
        <f t="shared" si="289"/>
        <v> </v>
      </c>
      <c r="V265" s="93" t="str">
        <f t="shared" si="290"/>
        <v> </v>
      </c>
      <c r="W265" s="93" t="str">
        <f t="shared" si="291"/>
        <v> </v>
      </c>
      <c r="X265" s="67"/>
      <c r="Y265" s="67"/>
      <c r="Z265" s="67"/>
      <c r="AA265" s="67"/>
      <c r="AB265" s="67"/>
      <c r="AC265" s="85"/>
      <c r="AG265" s="86"/>
    </row>
    <row r="266" ht="12.75" customHeight="1">
      <c r="A266" s="1"/>
      <c r="B266" s="87"/>
      <c r="C266" s="94" t="s">
        <v>45</v>
      </c>
      <c r="D266" s="89">
        <v>0.7</v>
      </c>
      <c r="E266" s="90">
        <v>4.0</v>
      </c>
      <c r="F266" s="91">
        <v>4.0</v>
      </c>
      <c r="G266" s="92">
        <f>'Start Here'!$F$22*D266</f>
        <v>70</v>
      </c>
      <c r="H266" s="138"/>
      <c r="I266" s="165"/>
      <c r="J266" s="166">
        <f t="shared" si="285"/>
        <v>16</v>
      </c>
      <c r="K266" s="165">
        <f t="shared" si="286"/>
        <v>1120</v>
      </c>
      <c r="L266" s="166"/>
      <c r="M266" s="165"/>
      <c r="N266" s="67"/>
      <c r="O266" s="67"/>
      <c r="P266" s="67"/>
      <c r="Q266" s="67"/>
      <c r="R266" s="67"/>
      <c r="S266" s="93" t="str">
        <f t="shared" si="287"/>
        <v> </v>
      </c>
      <c r="T266" s="93" t="str">
        <f t="shared" si="288"/>
        <v> </v>
      </c>
      <c r="U266" s="93">
        <f t="shared" si="289"/>
        <v>16</v>
      </c>
      <c r="V266" s="93" t="str">
        <f t="shared" si="290"/>
        <v> </v>
      </c>
      <c r="W266" s="93" t="str">
        <f t="shared" si="291"/>
        <v> </v>
      </c>
      <c r="X266" s="67"/>
      <c r="Y266" s="67"/>
      <c r="Z266" s="67"/>
      <c r="AA266" s="67"/>
      <c r="AB266" s="67"/>
      <c r="AC266" s="85"/>
      <c r="AG266" s="86"/>
    </row>
    <row r="267" ht="12.75" customHeight="1">
      <c r="A267" s="1"/>
      <c r="B267" s="96">
        <v>4.0</v>
      </c>
      <c r="C267" s="167" t="s">
        <v>92</v>
      </c>
      <c r="D267" s="168"/>
      <c r="E267" s="98">
        <v>6.0</v>
      </c>
      <c r="F267" s="169">
        <v>4.0</v>
      </c>
      <c r="G267" s="170"/>
      <c r="H267" s="138"/>
      <c r="I267" s="165"/>
      <c r="J267" s="166"/>
      <c r="K267" s="165"/>
      <c r="L267" s="166"/>
      <c r="M267" s="165"/>
      <c r="N267" s="67"/>
      <c r="O267" s="67"/>
      <c r="P267" s="67"/>
      <c r="Q267" s="67"/>
      <c r="R267" s="67"/>
      <c r="S267" s="67"/>
      <c r="T267" s="67"/>
      <c r="U267" s="67"/>
      <c r="V267" s="67"/>
      <c r="W267" s="67"/>
      <c r="X267" s="67"/>
      <c r="Y267" s="67"/>
      <c r="Z267" s="67"/>
      <c r="AA267" s="67"/>
      <c r="AB267" s="67"/>
      <c r="AC267" s="85"/>
      <c r="AG267" s="86"/>
    </row>
    <row r="268" ht="12.75" customHeight="1">
      <c r="A268" s="1"/>
      <c r="B268" s="175">
        <v>5.0</v>
      </c>
      <c r="C268" s="176" t="s">
        <v>78</v>
      </c>
      <c r="D268" s="177"/>
      <c r="E268" s="178">
        <v>5.0</v>
      </c>
      <c r="F268" s="179">
        <v>5.0</v>
      </c>
      <c r="G268" s="180"/>
      <c r="H268" s="138"/>
      <c r="I268" s="165"/>
      <c r="J268" s="166"/>
      <c r="K268" s="165"/>
      <c r="L268" s="166"/>
      <c r="M268" s="165"/>
      <c r="N268" s="67"/>
      <c r="O268" s="67"/>
      <c r="P268" s="67"/>
      <c r="Q268" s="67"/>
      <c r="R268" s="67"/>
      <c r="S268" s="67"/>
      <c r="T268" s="67"/>
      <c r="U268" s="67"/>
      <c r="V268" s="67"/>
      <c r="W268" s="67"/>
      <c r="X268" s="67"/>
      <c r="Y268" s="67"/>
      <c r="Z268" s="67"/>
      <c r="AA268" s="67"/>
      <c r="AB268" s="67"/>
      <c r="AC268" s="104"/>
      <c r="AD268" s="105"/>
      <c r="AE268" s="105"/>
      <c r="AF268" s="105"/>
      <c r="AG268" s="106"/>
    </row>
    <row r="269" ht="12.75" customHeight="1">
      <c r="A269" s="1"/>
      <c r="B269" s="67"/>
      <c r="C269" s="136"/>
      <c r="D269" s="137"/>
      <c r="E269" s="138"/>
      <c r="F269" s="138"/>
      <c r="G269" s="138"/>
      <c r="H269" s="138"/>
      <c r="I269" s="165"/>
      <c r="J269" s="166"/>
      <c r="K269" s="165"/>
      <c r="L269" s="166"/>
      <c r="M269" s="165"/>
      <c r="N269" s="67"/>
      <c r="O269" s="67"/>
      <c r="P269" s="67"/>
      <c r="Q269" s="67"/>
      <c r="R269" s="67"/>
      <c r="S269" s="67"/>
      <c r="T269" s="67"/>
      <c r="U269" s="67"/>
      <c r="V269" s="67"/>
      <c r="W269" s="67"/>
      <c r="X269" s="67"/>
      <c r="Y269" s="67"/>
      <c r="Z269" s="67"/>
      <c r="AA269" s="67"/>
      <c r="AB269" s="67"/>
      <c r="AC269" s="67"/>
      <c r="AD269" s="67"/>
      <c r="AE269" s="67"/>
      <c r="AF269" s="67"/>
      <c r="AG269" s="67"/>
    </row>
    <row r="270" ht="36.75" customHeight="1">
      <c r="A270" s="1"/>
      <c r="B270" s="68" t="s">
        <v>49</v>
      </c>
      <c r="D270" s="137" t="s">
        <v>34</v>
      </c>
      <c r="E270" s="138" t="s">
        <v>35</v>
      </c>
      <c r="F270" s="138" t="s">
        <v>36</v>
      </c>
      <c r="G270" s="138" t="s">
        <v>37</v>
      </c>
      <c r="H270" s="138"/>
      <c r="I270" s="165"/>
      <c r="J270" s="166"/>
      <c r="K270" s="165"/>
      <c r="L270" s="166"/>
      <c r="M270" s="165"/>
      <c r="N270" s="67"/>
      <c r="O270" s="67"/>
      <c r="P270" s="67"/>
      <c r="Q270" s="67"/>
      <c r="R270" s="67"/>
      <c r="S270" s="67"/>
      <c r="T270" s="67"/>
      <c r="U270" s="67"/>
      <c r="V270" s="67"/>
      <c r="W270" s="67"/>
      <c r="X270" s="67"/>
      <c r="Y270" s="67"/>
      <c r="Z270" s="67"/>
      <c r="AA270" s="67"/>
      <c r="AB270" s="67"/>
      <c r="AC270" s="67" t="s">
        <v>43</v>
      </c>
      <c r="AD270" s="67"/>
      <c r="AE270" s="67"/>
      <c r="AF270" s="67"/>
      <c r="AG270" s="67"/>
    </row>
    <row r="271" ht="12.75" customHeight="1">
      <c r="A271" s="1"/>
      <c r="B271" s="107">
        <v>1.0</v>
      </c>
      <c r="C271" s="108" t="s">
        <v>59</v>
      </c>
      <c r="D271" s="109">
        <v>0.5</v>
      </c>
      <c r="E271" s="110">
        <v>3.0</v>
      </c>
      <c r="F271" s="111">
        <v>1.0</v>
      </c>
      <c r="G271" s="112">
        <f>'Start Here'!$F$23*D271</f>
        <v>50</v>
      </c>
      <c r="H271" s="138"/>
      <c r="I271" s="165"/>
      <c r="J271" s="166"/>
      <c r="K271" s="165"/>
      <c r="L271" s="166">
        <f t="shared" ref="L271:L274" si="292">E271*F271</f>
        <v>3</v>
      </c>
      <c r="M271" s="165">
        <f t="shared" ref="M271:M274" si="293">G271*L271</f>
        <v>150</v>
      </c>
      <c r="N271" s="67"/>
      <c r="O271" s="67"/>
      <c r="P271" s="67"/>
      <c r="Q271" s="67"/>
      <c r="R271" s="67"/>
      <c r="S271" s="67"/>
      <c r="T271" s="67"/>
      <c r="U271" s="67"/>
      <c r="V271" s="67"/>
      <c r="W271" s="67"/>
      <c r="X271" s="114">
        <f t="shared" ref="X271:X274" si="294">IF(ISNUMBER(SEARCH("deadlift",$C271)),IF($D271&gt;=0.5,IF($D271&lt;0.6,$E271*$F271," ")," ")," ")</f>
        <v>3</v>
      </c>
      <c r="Y271" s="114" t="str">
        <f t="shared" ref="Y271:Y274" si="295">IF(ISNUMBER(SEARCH("deadlift",$C271)),IF($D271&gt;=0.6,IF($D271&lt;0.7,$E271*$F271," ")," ")," ")</f>
        <v> </v>
      </c>
      <c r="Z271" s="114" t="str">
        <f t="shared" ref="Z271:Z274" si="296">IF(ISNUMBER(SEARCH("deadlift",$C271)),IF($D271&gt;=0.7,IF($D271&lt;0.8,$E271*$F271," ")," ")," ")</f>
        <v> </v>
      </c>
      <c r="AA271" s="114" t="str">
        <f t="shared" ref="AA271:AA274" si="297">IF(ISNUMBER(SEARCH("deadlift",$C271)),IF($D271&gt;=0.8,IF($D271&lt;0.9,$E271*$F271," ")," ")," ")</f>
        <v> </v>
      </c>
      <c r="AB271" s="114" t="str">
        <f t="shared" ref="AB271:AB274" si="298">IF(ISNUMBER(SEARCH("deadlift",$C271)),IF($D271&gt;=0.9,$E271*$F271," ")," ")</f>
        <v> </v>
      </c>
      <c r="AC271" s="76"/>
      <c r="AD271" s="77"/>
      <c r="AE271" s="77"/>
      <c r="AF271" s="77"/>
      <c r="AG271" s="78"/>
    </row>
    <row r="272" ht="12.75" customHeight="1">
      <c r="A272" s="1"/>
      <c r="B272" s="115"/>
      <c r="C272" s="122" t="s">
        <v>59</v>
      </c>
      <c r="D272" s="117">
        <v>0.6</v>
      </c>
      <c r="E272" s="118">
        <v>3.0</v>
      </c>
      <c r="F272" s="119">
        <v>1.0</v>
      </c>
      <c r="G272" s="120">
        <f>'Start Here'!$F$23*D272</f>
        <v>60</v>
      </c>
      <c r="H272" s="138"/>
      <c r="I272" s="165"/>
      <c r="J272" s="166"/>
      <c r="K272" s="165"/>
      <c r="L272" s="166">
        <f t="shared" si="292"/>
        <v>3</v>
      </c>
      <c r="M272" s="165">
        <f t="shared" si="293"/>
        <v>180</v>
      </c>
      <c r="N272" s="67"/>
      <c r="O272" s="67"/>
      <c r="P272" s="67"/>
      <c r="Q272" s="67"/>
      <c r="R272" s="67"/>
      <c r="S272" s="67"/>
      <c r="T272" s="67"/>
      <c r="U272" s="67"/>
      <c r="V272" s="67"/>
      <c r="W272" s="67"/>
      <c r="X272" s="114" t="str">
        <f t="shared" si="294"/>
        <v> </v>
      </c>
      <c r="Y272" s="114">
        <f t="shared" si="295"/>
        <v>3</v>
      </c>
      <c r="Z272" s="114" t="str">
        <f t="shared" si="296"/>
        <v> </v>
      </c>
      <c r="AA272" s="114" t="str">
        <f t="shared" si="297"/>
        <v> </v>
      </c>
      <c r="AB272" s="114" t="str">
        <f t="shared" si="298"/>
        <v> </v>
      </c>
      <c r="AC272" s="85"/>
      <c r="AG272" s="86"/>
    </row>
    <row r="273" ht="12.75" customHeight="1">
      <c r="A273" s="1"/>
      <c r="B273" s="115"/>
      <c r="C273" s="122" t="s">
        <v>59</v>
      </c>
      <c r="D273" s="117">
        <v>0.65</v>
      </c>
      <c r="E273" s="118">
        <v>3.0</v>
      </c>
      <c r="F273" s="119">
        <v>1.0</v>
      </c>
      <c r="G273" s="120">
        <f>'Start Here'!$F$23*D273</f>
        <v>65</v>
      </c>
      <c r="H273" s="138"/>
      <c r="I273" s="165"/>
      <c r="J273" s="166"/>
      <c r="K273" s="165"/>
      <c r="L273" s="166">
        <f t="shared" si="292"/>
        <v>3</v>
      </c>
      <c r="M273" s="165">
        <f t="shared" si="293"/>
        <v>195</v>
      </c>
      <c r="N273" s="67"/>
      <c r="O273" s="67"/>
      <c r="P273" s="67"/>
      <c r="Q273" s="67"/>
      <c r="R273" s="67"/>
      <c r="S273" s="67"/>
      <c r="T273" s="67"/>
      <c r="U273" s="67"/>
      <c r="V273" s="67"/>
      <c r="W273" s="67"/>
      <c r="X273" s="114" t="str">
        <f t="shared" si="294"/>
        <v> </v>
      </c>
      <c r="Y273" s="114">
        <f t="shared" si="295"/>
        <v>3</v>
      </c>
      <c r="Z273" s="114" t="str">
        <f t="shared" si="296"/>
        <v> </v>
      </c>
      <c r="AA273" s="114" t="str">
        <f t="shared" si="297"/>
        <v> </v>
      </c>
      <c r="AB273" s="114" t="str">
        <f t="shared" si="298"/>
        <v> </v>
      </c>
      <c r="AC273" s="85"/>
      <c r="AG273" s="86"/>
    </row>
    <row r="274" ht="12.75" customHeight="1">
      <c r="A274" s="1"/>
      <c r="B274" s="115"/>
      <c r="C274" s="122" t="s">
        <v>59</v>
      </c>
      <c r="D274" s="117">
        <v>0.7</v>
      </c>
      <c r="E274" s="118">
        <v>2.0</v>
      </c>
      <c r="F274" s="119">
        <v>4.0</v>
      </c>
      <c r="G274" s="120">
        <f>'Start Here'!$F$23*D274</f>
        <v>70</v>
      </c>
      <c r="H274" s="138"/>
      <c r="I274" s="165"/>
      <c r="J274" s="166"/>
      <c r="K274" s="165"/>
      <c r="L274" s="166">
        <f t="shared" si="292"/>
        <v>8</v>
      </c>
      <c r="M274" s="165">
        <f t="shared" si="293"/>
        <v>560</v>
      </c>
      <c r="N274" s="67"/>
      <c r="O274" s="67"/>
      <c r="P274" s="67"/>
      <c r="Q274" s="67"/>
      <c r="R274" s="67"/>
      <c r="S274" s="67"/>
      <c r="T274" s="67"/>
      <c r="U274" s="67"/>
      <c r="V274" s="67"/>
      <c r="W274" s="67"/>
      <c r="X274" s="114" t="str">
        <f t="shared" si="294"/>
        <v> </v>
      </c>
      <c r="Y274" s="114" t="str">
        <f t="shared" si="295"/>
        <v> </v>
      </c>
      <c r="Z274" s="114">
        <f t="shared" si="296"/>
        <v>8</v>
      </c>
      <c r="AA274" s="114" t="str">
        <f t="shared" si="297"/>
        <v> </v>
      </c>
      <c r="AB274" s="114" t="str">
        <f t="shared" si="298"/>
        <v> </v>
      </c>
      <c r="AC274" s="85"/>
      <c r="AG274" s="86"/>
    </row>
    <row r="275" ht="12.75" customHeight="1">
      <c r="A275" s="1"/>
      <c r="B275" s="87">
        <v>2.0</v>
      </c>
      <c r="C275" s="88" t="s">
        <v>45</v>
      </c>
      <c r="D275" s="89">
        <v>0.5</v>
      </c>
      <c r="E275" s="90">
        <v>5.0</v>
      </c>
      <c r="F275" s="91">
        <v>1.0</v>
      </c>
      <c r="G275" s="92">
        <f>'Start Here'!$F$22*D275</f>
        <v>50</v>
      </c>
      <c r="H275" s="138"/>
      <c r="I275" s="165"/>
      <c r="J275" s="166">
        <f t="shared" ref="J275:J278" si="299">E275*F275</f>
        <v>5</v>
      </c>
      <c r="K275" s="165">
        <f t="shared" ref="K275:K278" si="300">G275*J275</f>
        <v>250</v>
      </c>
      <c r="L275" s="166"/>
      <c r="M275" s="165"/>
      <c r="N275" s="67"/>
      <c r="O275" s="67"/>
      <c r="P275" s="67"/>
      <c r="Q275" s="67"/>
      <c r="R275" s="67"/>
      <c r="S275" s="93">
        <f t="shared" ref="S275:S278" si="301">IF(ISNUMBER(SEARCH("bench",$C275)),IF($D275&gt;=0.5,IF($D275&lt;0.6,$E275*$F275," ")," ")," ")</f>
        <v>5</v>
      </c>
      <c r="T275" s="93" t="str">
        <f t="shared" ref="T275:T278" si="302">IF(ISNUMBER(SEARCH("bench",$C275)),IF($D275&gt;=0.6,IF($D275&lt;0.7,$E275*$F275," ")," ")," ")</f>
        <v> </v>
      </c>
      <c r="U275" s="93" t="str">
        <f t="shared" ref="U275:U278" si="303">IF(ISNUMBER(SEARCH("bench",$C275)),IF($D275&gt;=0.7,IF($D275&lt;0.8,$E275*$F275," ")," ")," ")</f>
        <v> </v>
      </c>
      <c r="V275" s="93" t="str">
        <f t="shared" ref="V275:V278" si="304">IF(ISNUMBER(SEARCH("bench",$C275)),IF($D275&gt;=0.8,IF($D275&lt;0.9,$E275*$F275," ")," ")," ")</f>
        <v> </v>
      </c>
      <c r="W275" s="93" t="str">
        <f t="shared" ref="W275:W278" si="305">IF(ISNUMBER(SEARCH("bench",$C275)),IF($D275&gt;=0.9,$E275*$F275," ")," ")</f>
        <v> </v>
      </c>
      <c r="X275" s="67"/>
      <c r="Y275" s="67"/>
      <c r="Z275" s="67"/>
      <c r="AA275" s="67"/>
      <c r="AB275" s="67"/>
      <c r="AC275" s="85"/>
      <c r="AG275" s="86"/>
    </row>
    <row r="276" ht="12.75" customHeight="1">
      <c r="A276" s="1"/>
      <c r="B276" s="87"/>
      <c r="C276" s="94" t="s">
        <v>45</v>
      </c>
      <c r="D276" s="89">
        <v>0.6</v>
      </c>
      <c r="E276" s="90">
        <v>4.0</v>
      </c>
      <c r="F276" s="91">
        <v>1.0</v>
      </c>
      <c r="G276" s="92">
        <f>'Start Here'!$F$22*D276</f>
        <v>60</v>
      </c>
      <c r="H276" s="138"/>
      <c r="I276" s="165"/>
      <c r="J276" s="166">
        <f t="shared" si="299"/>
        <v>4</v>
      </c>
      <c r="K276" s="165">
        <f t="shared" si="300"/>
        <v>240</v>
      </c>
      <c r="L276" s="166"/>
      <c r="M276" s="165"/>
      <c r="N276" s="67"/>
      <c r="O276" s="67"/>
      <c r="P276" s="67"/>
      <c r="Q276" s="67"/>
      <c r="R276" s="67"/>
      <c r="S276" s="93" t="str">
        <f t="shared" si="301"/>
        <v> </v>
      </c>
      <c r="T276" s="93">
        <f t="shared" si="302"/>
        <v>4</v>
      </c>
      <c r="U276" s="93" t="str">
        <f t="shared" si="303"/>
        <v> </v>
      </c>
      <c r="V276" s="93" t="str">
        <f t="shared" si="304"/>
        <v> </v>
      </c>
      <c r="W276" s="93" t="str">
        <f t="shared" si="305"/>
        <v> </v>
      </c>
      <c r="X276" s="67"/>
      <c r="Y276" s="67"/>
      <c r="Z276" s="67"/>
      <c r="AA276" s="67"/>
      <c r="AB276" s="67"/>
      <c r="AC276" s="85"/>
      <c r="AG276" s="86"/>
    </row>
    <row r="277" ht="12.75" customHeight="1">
      <c r="A277" s="1"/>
      <c r="B277" s="87"/>
      <c r="C277" s="94" t="s">
        <v>45</v>
      </c>
      <c r="D277" s="89">
        <v>0.7</v>
      </c>
      <c r="E277" s="90">
        <v>3.0</v>
      </c>
      <c r="F277" s="91">
        <v>1.0</v>
      </c>
      <c r="G277" s="92">
        <f>'Start Here'!$F$22*D277</f>
        <v>70</v>
      </c>
      <c r="H277" s="138"/>
      <c r="I277" s="165"/>
      <c r="J277" s="166">
        <f t="shared" si="299"/>
        <v>3</v>
      </c>
      <c r="K277" s="165">
        <f t="shared" si="300"/>
        <v>210</v>
      </c>
      <c r="L277" s="166"/>
      <c r="M277" s="165"/>
      <c r="N277" s="67"/>
      <c r="O277" s="67"/>
      <c r="P277" s="67"/>
      <c r="Q277" s="67"/>
      <c r="R277" s="67"/>
      <c r="S277" s="93" t="str">
        <f t="shared" si="301"/>
        <v> </v>
      </c>
      <c r="T277" s="93" t="str">
        <f t="shared" si="302"/>
        <v> </v>
      </c>
      <c r="U277" s="93">
        <f t="shared" si="303"/>
        <v>3</v>
      </c>
      <c r="V277" s="93" t="str">
        <f t="shared" si="304"/>
        <v> </v>
      </c>
      <c r="W277" s="93" t="str">
        <f t="shared" si="305"/>
        <v> </v>
      </c>
      <c r="X277" s="67"/>
      <c r="Y277" s="67"/>
      <c r="Z277" s="67"/>
      <c r="AA277" s="67"/>
      <c r="AB277" s="67"/>
      <c r="AC277" s="85"/>
      <c r="AG277" s="86"/>
    </row>
    <row r="278" ht="12.75" customHeight="1">
      <c r="A278" s="1"/>
      <c r="B278" s="87"/>
      <c r="C278" s="94" t="s">
        <v>45</v>
      </c>
      <c r="D278" s="89">
        <v>0.75</v>
      </c>
      <c r="E278" s="90">
        <v>2.0</v>
      </c>
      <c r="F278" s="91">
        <v>4.0</v>
      </c>
      <c r="G278" s="92">
        <f>'Start Here'!$F$22*D278</f>
        <v>75</v>
      </c>
      <c r="H278" s="138"/>
      <c r="I278" s="165"/>
      <c r="J278" s="166">
        <f t="shared" si="299"/>
        <v>8</v>
      </c>
      <c r="K278" s="165">
        <f t="shared" si="300"/>
        <v>600</v>
      </c>
      <c r="L278" s="166"/>
      <c r="M278" s="165"/>
      <c r="N278" s="67"/>
      <c r="O278" s="67"/>
      <c r="P278" s="67"/>
      <c r="Q278" s="67"/>
      <c r="R278" s="67"/>
      <c r="S278" s="93" t="str">
        <f t="shared" si="301"/>
        <v> </v>
      </c>
      <c r="T278" s="93" t="str">
        <f t="shared" si="302"/>
        <v> </v>
      </c>
      <c r="U278" s="93">
        <f t="shared" si="303"/>
        <v>8</v>
      </c>
      <c r="V278" s="93" t="str">
        <f t="shared" si="304"/>
        <v> </v>
      </c>
      <c r="W278" s="93" t="str">
        <f t="shared" si="305"/>
        <v> </v>
      </c>
      <c r="X278" s="67"/>
      <c r="Y278" s="67"/>
      <c r="Z278" s="67"/>
      <c r="AA278" s="67"/>
      <c r="AB278" s="67"/>
      <c r="AC278" s="85"/>
      <c r="AG278" s="86"/>
    </row>
    <row r="279" ht="12.75" customHeight="1">
      <c r="A279" s="1"/>
      <c r="B279" s="115">
        <v>3.0</v>
      </c>
      <c r="C279" s="121" t="s">
        <v>133</v>
      </c>
      <c r="D279" s="117">
        <v>0.7</v>
      </c>
      <c r="E279" s="118">
        <v>3.0</v>
      </c>
      <c r="F279" s="119">
        <v>1.0</v>
      </c>
      <c r="G279" s="120">
        <f>'Start Here'!$F$23*D279</f>
        <v>70</v>
      </c>
      <c r="H279" s="138"/>
      <c r="I279" s="165"/>
      <c r="J279" s="166"/>
      <c r="K279" s="165"/>
      <c r="L279" s="166">
        <f t="shared" ref="L279:L282" si="306">E279*F279</f>
        <v>3</v>
      </c>
      <c r="M279" s="165">
        <f t="shared" ref="M279:M282" si="307">G279*L279</f>
        <v>210</v>
      </c>
      <c r="N279" s="67"/>
      <c r="O279" s="67"/>
      <c r="P279" s="67"/>
      <c r="Q279" s="67"/>
      <c r="R279" s="67"/>
      <c r="S279" s="67"/>
      <c r="T279" s="67"/>
      <c r="U279" s="67"/>
      <c r="V279" s="67"/>
      <c r="W279" s="67"/>
      <c r="X279" s="114" t="str">
        <f t="shared" ref="X279:X282" si="308">IF(ISNUMBER(SEARCH("deadlift",$C279)),IF($D279&gt;=0.5,IF($D279&lt;0.6,$E279*$F279," ")," ")," ")</f>
        <v> </v>
      </c>
      <c r="Y279" s="114" t="str">
        <f t="shared" ref="Y279:Y282" si="309">IF(ISNUMBER(SEARCH("deadlift",$C279)),IF($D279&gt;=0.6,IF($D279&lt;0.7,$E279*$F279," ")," ")," ")</f>
        <v> </v>
      </c>
      <c r="Z279" s="114">
        <f t="shared" ref="Z279:Z282" si="310">IF(ISNUMBER(SEARCH("deadlift",$C279)),IF($D279&gt;=0.7,IF($D279&lt;0.8,$E279*$F279," ")," ")," ")</f>
        <v>3</v>
      </c>
      <c r="AA279" s="114" t="str">
        <f t="shared" ref="AA279:AA282" si="311">IF(ISNUMBER(SEARCH("deadlift",$C279)),IF($D279&gt;=0.8,IF($D279&lt;0.9,$E279*$F279," ")," ")," ")</f>
        <v> </v>
      </c>
      <c r="AB279" s="114" t="str">
        <f t="shared" ref="AB279:AB282" si="312">IF(ISNUMBER(SEARCH("deadlift",$C279)),IF($D279&gt;=0.9,$E279*$F279," ")," ")</f>
        <v> </v>
      </c>
      <c r="AC279" s="85"/>
      <c r="AG279" s="86"/>
    </row>
    <row r="280" ht="12.75" customHeight="1">
      <c r="A280" s="1"/>
      <c r="B280" s="115"/>
      <c r="C280" s="122" t="s">
        <v>133</v>
      </c>
      <c r="D280" s="117">
        <v>0.8</v>
      </c>
      <c r="E280" s="118">
        <v>3.0</v>
      </c>
      <c r="F280" s="119">
        <v>1.0</v>
      </c>
      <c r="G280" s="120">
        <f>'Start Here'!$F$23*D280</f>
        <v>80</v>
      </c>
      <c r="H280" s="138"/>
      <c r="I280" s="165"/>
      <c r="J280" s="166"/>
      <c r="K280" s="165"/>
      <c r="L280" s="166">
        <f t="shared" si="306"/>
        <v>3</v>
      </c>
      <c r="M280" s="165">
        <f t="shared" si="307"/>
        <v>240</v>
      </c>
      <c r="N280" s="67"/>
      <c r="O280" s="67"/>
      <c r="P280" s="67"/>
      <c r="Q280" s="67"/>
      <c r="R280" s="67"/>
      <c r="S280" s="67"/>
      <c r="T280" s="67"/>
      <c r="U280" s="67"/>
      <c r="V280" s="67"/>
      <c r="W280" s="67"/>
      <c r="X280" s="114" t="str">
        <f t="shared" si="308"/>
        <v> </v>
      </c>
      <c r="Y280" s="114" t="str">
        <f t="shared" si="309"/>
        <v> </v>
      </c>
      <c r="Z280" s="114" t="str">
        <f t="shared" si="310"/>
        <v> </v>
      </c>
      <c r="AA280" s="114">
        <f t="shared" si="311"/>
        <v>3</v>
      </c>
      <c r="AB280" s="114" t="str">
        <f t="shared" si="312"/>
        <v> </v>
      </c>
      <c r="AC280" s="85"/>
      <c r="AG280" s="86"/>
    </row>
    <row r="281" ht="12.75" customHeight="1">
      <c r="A281" s="1"/>
      <c r="B281" s="115"/>
      <c r="C281" s="122" t="s">
        <v>133</v>
      </c>
      <c r="D281" s="117">
        <v>0.9</v>
      </c>
      <c r="E281" s="118">
        <v>2.0</v>
      </c>
      <c r="F281" s="119">
        <v>2.0</v>
      </c>
      <c r="G281" s="120">
        <f>'Start Here'!$F$23*D281</f>
        <v>90</v>
      </c>
      <c r="H281" s="138"/>
      <c r="I281" s="165"/>
      <c r="J281" s="166"/>
      <c r="K281" s="165"/>
      <c r="L281" s="166">
        <f t="shared" si="306"/>
        <v>4</v>
      </c>
      <c r="M281" s="165">
        <f t="shared" si="307"/>
        <v>360</v>
      </c>
      <c r="N281" s="67"/>
      <c r="O281" s="67"/>
      <c r="P281" s="67"/>
      <c r="Q281" s="67"/>
      <c r="R281" s="67"/>
      <c r="S281" s="67"/>
      <c r="T281" s="67"/>
      <c r="U281" s="67"/>
      <c r="V281" s="67"/>
      <c r="W281" s="67"/>
      <c r="X281" s="114" t="str">
        <f t="shared" si="308"/>
        <v> </v>
      </c>
      <c r="Y281" s="114" t="str">
        <f t="shared" si="309"/>
        <v> </v>
      </c>
      <c r="Z281" s="114" t="str">
        <f t="shared" si="310"/>
        <v> </v>
      </c>
      <c r="AA281" s="114" t="str">
        <f t="shared" si="311"/>
        <v> </v>
      </c>
      <c r="AB281" s="114">
        <f t="shared" si="312"/>
        <v>4</v>
      </c>
      <c r="AC281" s="85"/>
      <c r="AG281" s="86"/>
    </row>
    <row r="282" ht="12.75" customHeight="1">
      <c r="A282" s="1"/>
      <c r="B282" s="115"/>
      <c r="C282" s="122" t="s">
        <v>133</v>
      </c>
      <c r="D282" s="117">
        <v>0.95</v>
      </c>
      <c r="E282" s="118">
        <v>1.0</v>
      </c>
      <c r="F282" s="119">
        <v>3.0</v>
      </c>
      <c r="G282" s="120">
        <f>'Start Here'!$F$23*D282</f>
        <v>95</v>
      </c>
      <c r="H282" s="138"/>
      <c r="I282" s="165"/>
      <c r="J282" s="166"/>
      <c r="K282" s="165"/>
      <c r="L282" s="166">
        <f t="shared" si="306"/>
        <v>3</v>
      </c>
      <c r="M282" s="165">
        <f t="shared" si="307"/>
        <v>285</v>
      </c>
      <c r="N282" s="67"/>
      <c r="O282" s="67"/>
      <c r="P282" s="67"/>
      <c r="Q282" s="67"/>
      <c r="R282" s="67"/>
      <c r="S282" s="67"/>
      <c r="T282" s="67"/>
      <c r="U282" s="67"/>
      <c r="V282" s="67"/>
      <c r="W282" s="67"/>
      <c r="X282" s="114" t="str">
        <f t="shared" si="308"/>
        <v> </v>
      </c>
      <c r="Y282" s="114" t="str">
        <f t="shared" si="309"/>
        <v> </v>
      </c>
      <c r="Z282" s="114" t="str">
        <f t="shared" si="310"/>
        <v> </v>
      </c>
      <c r="AA282" s="114" t="str">
        <f t="shared" si="311"/>
        <v> </v>
      </c>
      <c r="AB282" s="114">
        <f t="shared" si="312"/>
        <v>3</v>
      </c>
      <c r="AC282" s="85"/>
      <c r="AG282" s="86"/>
    </row>
    <row r="283" ht="12.75" customHeight="1">
      <c r="A283" s="1"/>
      <c r="B283" s="96">
        <v>4.0</v>
      </c>
      <c r="C283" s="167" t="s">
        <v>83</v>
      </c>
      <c r="D283" s="168"/>
      <c r="E283" s="169">
        <v>6.0</v>
      </c>
      <c r="F283" s="169">
        <v>5.0</v>
      </c>
      <c r="G283" s="170"/>
      <c r="H283" s="138"/>
      <c r="I283" s="165"/>
      <c r="J283" s="166"/>
      <c r="K283" s="165"/>
      <c r="L283" s="166"/>
      <c r="M283" s="165"/>
      <c r="N283" s="67"/>
      <c r="O283" s="67"/>
      <c r="P283" s="67"/>
      <c r="Q283" s="67"/>
      <c r="R283" s="67"/>
      <c r="S283" s="67"/>
      <c r="T283" s="67"/>
      <c r="U283" s="67"/>
      <c r="V283" s="67"/>
      <c r="W283" s="67"/>
      <c r="X283" s="67"/>
      <c r="Y283" s="67"/>
      <c r="Z283" s="67"/>
      <c r="AA283" s="67"/>
      <c r="AB283" s="67"/>
      <c r="AC283" s="85"/>
      <c r="AG283" s="86"/>
    </row>
    <row r="284" ht="12.75" customHeight="1">
      <c r="A284" s="1"/>
      <c r="B284" s="100">
        <v>5.0</v>
      </c>
      <c r="C284" s="171" t="s">
        <v>78</v>
      </c>
      <c r="D284" s="172"/>
      <c r="E284" s="102">
        <v>5.0</v>
      </c>
      <c r="F284" s="173">
        <v>4.0</v>
      </c>
      <c r="G284" s="174"/>
      <c r="H284" s="138"/>
      <c r="I284" s="165"/>
      <c r="J284" s="166"/>
      <c r="K284" s="165"/>
      <c r="L284" s="166"/>
      <c r="M284" s="165"/>
      <c r="N284" s="67"/>
      <c r="O284" s="67"/>
      <c r="P284" s="67"/>
      <c r="Q284" s="67"/>
      <c r="R284" s="67"/>
      <c r="S284" s="67"/>
      <c r="T284" s="67"/>
      <c r="U284" s="67"/>
      <c r="V284" s="67"/>
      <c r="W284" s="67"/>
      <c r="X284" s="67"/>
      <c r="Y284" s="67"/>
      <c r="Z284" s="67"/>
      <c r="AA284" s="67"/>
      <c r="AB284" s="67"/>
      <c r="AC284" s="104"/>
      <c r="AD284" s="105"/>
      <c r="AE284" s="105"/>
      <c r="AF284" s="105"/>
      <c r="AG284" s="106"/>
    </row>
    <row r="285" ht="12.75" customHeight="1">
      <c r="A285" s="1"/>
      <c r="B285" s="67"/>
      <c r="C285" s="136"/>
      <c r="D285" s="137"/>
      <c r="E285" s="138"/>
      <c r="F285" s="138"/>
      <c r="G285" s="138"/>
      <c r="H285" s="138"/>
      <c r="I285" s="165"/>
      <c r="J285" s="166"/>
      <c r="K285" s="165"/>
      <c r="L285" s="166"/>
      <c r="M285" s="165"/>
      <c r="N285" s="67"/>
      <c r="O285" s="67"/>
      <c r="P285" s="67"/>
      <c r="Q285" s="67"/>
      <c r="R285" s="67"/>
      <c r="S285" s="67"/>
      <c r="T285" s="67"/>
      <c r="U285" s="67"/>
      <c r="V285" s="67"/>
      <c r="W285" s="67"/>
      <c r="X285" s="67"/>
      <c r="Y285" s="67"/>
      <c r="Z285" s="67"/>
      <c r="AA285" s="67"/>
      <c r="AB285" s="67"/>
      <c r="AC285" s="67"/>
      <c r="AD285" s="67"/>
      <c r="AE285" s="67"/>
      <c r="AF285" s="67"/>
      <c r="AG285" s="67"/>
    </row>
    <row r="286" ht="34.5" customHeight="1">
      <c r="A286" s="1"/>
      <c r="B286" s="68" t="s">
        <v>54</v>
      </c>
      <c r="D286" s="137" t="s">
        <v>34</v>
      </c>
      <c r="E286" s="138" t="s">
        <v>35</v>
      </c>
      <c r="F286" s="138" t="s">
        <v>36</v>
      </c>
      <c r="G286" s="138" t="s">
        <v>37</v>
      </c>
      <c r="H286" s="138"/>
      <c r="I286" s="165"/>
      <c r="J286" s="166"/>
      <c r="K286" s="165"/>
      <c r="L286" s="166"/>
      <c r="M286" s="165"/>
      <c r="N286" s="67"/>
      <c r="O286" s="67"/>
      <c r="P286" s="67"/>
      <c r="Q286" s="67"/>
      <c r="R286" s="67"/>
      <c r="S286" s="67"/>
      <c r="T286" s="67"/>
      <c r="U286" s="67"/>
      <c r="V286" s="67"/>
      <c r="W286" s="67"/>
      <c r="X286" s="67"/>
      <c r="Y286" s="67"/>
      <c r="Z286" s="67"/>
      <c r="AA286" s="67"/>
      <c r="AB286" s="67"/>
      <c r="AC286" s="67" t="s">
        <v>43</v>
      </c>
      <c r="AD286" s="67"/>
      <c r="AE286" s="67"/>
      <c r="AF286" s="67"/>
      <c r="AG286" s="67"/>
    </row>
    <row r="287" ht="21.0" customHeight="1">
      <c r="A287" s="1"/>
      <c r="B287" s="69">
        <v>1.0</v>
      </c>
      <c r="C287" s="70" t="s">
        <v>46</v>
      </c>
      <c r="D287" s="71">
        <v>0.5</v>
      </c>
      <c r="E287" s="145">
        <v>5.0</v>
      </c>
      <c r="F287" s="72">
        <v>1.0</v>
      </c>
      <c r="G287" s="73">
        <f>'Start Here'!$F$21*D287</f>
        <v>50</v>
      </c>
      <c r="H287" s="138">
        <f t="shared" ref="H287:H290" si="313">E287*F287</f>
        <v>5</v>
      </c>
      <c r="I287" s="165">
        <f t="shared" ref="I287:I290" si="314">G287*H287</f>
        <v>250</v>
      </c>
      <c r="J287" s="166"/>
      <c r="K287" s="165"/>
      <c r="L287" s="166"/>
      <c r="M287" s="165"/>
      <c r="N287" s="75">
        <f t="shared" ref="N287:N290" si="315">IF(ISNUMBER(SEARCH("squat",$C287)),IF($D287&gt;=0.5,IF($D287&lt;0.6,$E287*$F287," ")," ")," ")</f>
        <v>5</v>
      </c>
      <c r="O287" s="75" t="str">
        <f t="shared" ref="O287:O290" si="316">IF(ISNUMBER(SEARCH("squat",$C287)),IF($D287&gt;=0.6,IF($D287&lt;0.7,$E287*$F287," ")," ")," ")</f>
        <v> </v>
      </c>
      <c r="P287" s="75" t="str">
        <f t="shared" ref="P287:P290" si="317">IF(ISNUMBER(SEARCH("squat",$C287)),IF($D287&gt;=0.7,IF($D287&lt;0.8,$E287*$F287," ")," ")," ")</f>
        <v> </v>
      </c>
      <c r="Q287" s="75" t="str">
        <f t="shared" ref="Q287:Q290" si="318">IF(ISNUMBER(SEARCH("squat",$C287)),IF($D287&gt;=0.8,IF($D287&lt;0.9,$E287*$F287," ")," ")," ")</f>
        <v> </v>
      </c>
      <c r="R287" s="75" t="str">
        <f t="shared" ref="R287:R290" si="319">IF(ISNUMBER(SEARCH("squat",$C287)),IF($D287&gt;=0.9,$E287*$F287," ")," ")</f>
        <v> </v>
      </c>
      <c r="S287" s="67"/>
      <c r="T287" s="67"/>
      <c r="U287" s="67"/>
      <c r="V287" s="67"/>
      <c r="W287" s="67"/>
      <c r="X287" s="67"/>
      <c r="Y287" s="67"/>
      <c r="Z287" s="67"/>
      <c r="AA287" s="67"/>
      <c r="AB287" s="67"/>
      <c r="AC287" s="76"/>
      <c r="AD287" s="77"/>
      <c r="AE287" s="77"/>
      <c r="AF287" s="77"/>
      <c r="AG287" s="78"/>
    </row>
    <row r="288" ht="12.75" customHeight="1">
      <c r="A288" s="1"/>
      <c r="B288" s="79"/>
      <c r="C288" s="80" t="s">
        <v>46</v>
      </c>
      <c r="D288" s="81">
        <v>0.6</v>
      </c>
      <c r="E288" s="82">
        <v>4.0</v>
      </c>
      <c r="F288" s="83">
        <v>1.0</v>
      </c>
      <c r="G288" s="84">
        <f>'Start Here'!$F$21*D288</f>
        <v>60</v>
      </c>
      <c r="H288" s="138">
        <f t="shared" si="313"/>
        <v>4</v>
      </c>
      <c r="I288" s="165">
        <f t="shared" si="314"/>
        <v>240</v>
      </c>
      <c r="J288" s="166"/>
      <c r="K288" s="165"/>
      <c r="L288" s="166"/>
      <c r="M288" s="165"/>
      <c r="N288" s="75" t="str">
        <f t="shared" si="315"/>
        <v> </v>
      </c>
      <c r="O288" s="75">
        <f t="shared" si="316"/>
        <v>4</v>
      </c>
      <c r="P288" s="75" t="str">
        <f t="shared" si="317"/>
        <v> </v>
      </c>
      <c r="Q288" s="75" t="str">
        <f t="shared" si="318"/>
        <v> </v>
      </c>
      <c r="R288" s="75" t="str">
        <f t="shared" si="319"/>
        <v> </v>
      </c>
      <c r="S288" s="67"/>
      <c r="T288" s="67"/>
      <c r="U288" s="67"/>
      <c r="V288" s="67"/>
      <c r="W288" s="67"/>
      <c r="X288" s="67"/>
      <c r="Y288" s="67"/>
      <c r="Z288" s="67"/>
      <c r="AA288" s="67"/>
      <c r="AB288" s="67"/>
      <c r="AC288" s="85"/>
      <c r="AG288" s="86"/>
    </row>
    <row r="289" ht="12.75" customHeight="1">
      <c r="A289" s="1"/>
      <c r="B289" s="79"/>
      <c r="C289" s="80" t="s">
        <v>46</v>
      </c>
      <c r="D289" s="81">
        <v>0.7</v>
      </c>
      <c r="E289" s="82">
        <v>3.0</v>
      </c>
      <c r="F289" s="83">
        <v>1.0</v>
      </c>
      <c r="G289" s="84">
        <f>'Start Here'!$F$21*D289</f>
        <v>70</v>
      </c>
      <c r="H289" s="138">
        <f t="shared" si="313"/>
        <v>3</v>
      </c>
      <c r="I289" s="165">
        <f t="shared" si="314"/>
        <v>210</v>
      </c>
      <c r="J289" s="166"/>
      <c r="K289" s="165"/>
      <c r="L289" s="166"/>
      <c r="M289" s="165"/>
      <c r="N289" s="75" t="str">
        <f t="shared" si="315"/>
        <v> </v>
      </c>
      <c r="O289" s="75" t="str">
        <f t="shared" si="316"/>
        <v> </v>
      </c>
      <c r="P289" s="75">
        <f t="shared" si="317"/>
        <v>3</v>
      </c>
      <c r="Q289" s="75" t="str">
        <f t="shared" si="318"/>
        <v> </v>
      </c>
      <c r="R289" s="75" t="str">
        <f t="shared" si="319"/>
        <v> </v>
      </c>
      <c r="S289" s="67"/>
      <c r="T289" s="67"/>
      <c r="U289" s="67"/>
      <c r="V289" s="67"/>
      <c r="W289" s="67"/>
      <c r="X289" s="67"/>
      <c r="Y289" s="67"/>
      <c r="Z289" s="67"/>
      <c r="AA289" s="67"/>
      <c r="AB289" s="67"/>
      <c r="AC289" s="85"/>
      <c r="AG289" s="86"/>
    </row>
    <row r="290" ht="12.75" customHeight="1">
      <c r="A290" s="1"/>
      <c r="B290" s="79"/>
      <c r="C290" s="80" t="s">
        <v>46</v>
      </c>
      <c r="D290" s="81">
        <v>0.8</v>
      </c>
      <c r="E290" s="82">
        <v>2.0</v>
      </c>
      <c r="F290" s="83">
        <v>4.0</v>
      </c>
      <c r="G290" s="84">
        <f>'Start Here'!$F$21*D290</f>
        <v>80</v>
      </c>
      <c r="H290" s="138">
        <f t="shared" si="313"/>
        <v>8</v>
      </c>
      <c r="I290" s="165">
        <f t="shared" si="314"/>
        <v>640</v>
      </c>
      <c r="J290" s="166"/>
      <c r="K290" s="165"/>
      <c r="L290" s="166"/>
      <c r="M290" s="165"/>
      <c r="N290" s="75" t="str">
        <f t="shared" si="315"/>
        <v> </v>
      </c>
      <c r="O290" s="75" t="str">
        <f t="shared" si="316"/>
        <v> </v>
      </c>
      <c r="P290" s="75" t="str">
        <f t="shared" si="317"/>
        <v> </v>
      </c>
      <c r="Q290" s="75">
        <f t="shared" si="318"/>
        <v>8</v>
      </c>
      <c r="R290" s="75" t="str">
        <f t="shared" si="319"/>
        <v> </v>
      </c>
      <c r="S290" s="67"/>
      <c r="T290" s="67"/>
      <c r="U290" s="67"/>
      <c r="V290" s="67"/>
      <c r="W290" s="67"/>
      <c r="X290" s="67"/>
      <c r="Y290" s="67"/>
      <c r="Z290" s="67"/>
      <c r="AA290" s="67"/>
      <c r="AB290" s="67"/>
      <c r="AC290" s="85"/>
      <c r="AG290" s="86"/>
    </row>
    <row r="291" ht="12.75" customHeight="1">
      <c r="A291" s="1"/>
      <c r="B291" s="87">
        <v>2.0</v>
      </c>
      <c r="C291" s="88" t="s">
        <v>45</v>
      </c>
      <c r="D291" s="89">
        <v>0.5</v>
      </c>
      <c r="E291" s="90">
        <v>6.0</v>
      </c>
      <c r="F291" s="91">
        <v>1.0</v>
      </c>
      <c r="G291" s="92">
        <f>'Start Here'!$F$22*D291</f>
        <v>50</v>
      </c>
      <c r="H291" s="138"/>
      <c r="I291" s="165"/>
      <c r="J291" s="166">
        <f t="shared" ref="J291:J293" si="320">E291*F291</f>
        <v>6</v>
      </c>
      <c r="K291" s="165">
        <f t="shared" ref="K291:K293" si="321">G291*J291</f>
        <v>300</v>
      </c>
      <c r="L291" s="166"/>
      <c r="M291" s="165"/>
      <c r="N291" s="67"/>
      <c r="O291" s="67"/>
      <c r="P291" s="67"/>
      <c r="Q291" s="67"/>
      <c r="R291" s="67"/>
      <c r="S291" s="93">
        <f t="shared" ref="S291:S293" si="322">IF(ISNUMBER(SEARCH("bench",$C291)),IF($D291&gt;=0.5,IF($D291&lt;0.6,$E291*$F291," ")," ")," ")</f>
        <v>6</v>
      </c>
      <c r="T291" s="93" t="str">
        <f t="shared" ref="T291:T293" si="323">IF(ISNUMBER(SEARCH("bench",$C291)),IF($D291&gt;=0.6,IF($D291&lt;0.7,$E291*$F291," ")," ")," ")</f>
        <v> </v>
      </c>
      <c r="U291" s="93" t="str">
        <f t="shared" ref="U291:U293" si="324">IF(ISNUMBER(SEARCH("bench",$C291)),IF($D291&gt;=0.7,IF($D291&lt;0.8,$E291*$F291," ")," ")," ")</f>
        <v> </v>
      </c>
      <c r="V291" s="93" t="str">
        <f t="shared" ref="V291:V293" si="325">IF(ISNUMBER(SEARCH("bench",$C291)),IF($D291&gt;=0.8,IF($D291&lt;0.9,$E291*$F291," ")," ")," ")</f>
        <v> </v>
      </c>
      <c r="W291" s="93" t="str">
        <f t="shared" ref="W291:W293" si="326">IF(ISNUMBER(SEARCH("bench",$C291)),IF($D291&gt;=0.9,$E291*$F291," ")," ")</f>
        <v> </v>
      </c>
      <c r="X291" s="67"/>
      <c r="Y291" s="67"/>
      <c r="Z291" s="67"/>
      <c r="AA291" s="67"/>
      <c r="AB291" s="67"/>
      <c r="AC291" s="85"/>
      <c r="AG291" s="86"/>
    </row>
    <row r="292" ht="12.75" customHeight="1">
      <c r="A292" s="1"/>
      <c r="B292" s="87"/>
      <c r="C292" s="94" t="s">
        <v>45</v>
      </c>
      <c r="D292" s="89">
        <v>0.6</v>
      </c>
      <c r="E292" s="90">
        <v>6.0</v>
      </c>
      <c r="F292" s="91">
        <v>1.0</v>
      </c>
      <c r="G292" s="92">
        <f>'Start Here'!$F$22*D292</f>
        <v>60</v>
      </c>
      <c r="H292" s="138"/>
      <c r="I292" s="165"/>
      <c r="J292" s="166">
        <f t="shared" si="320"/>
        <v>6</v>
      </c>
      <c r="K292" s="165">
        <f t="shared" si="321"/>
        <v>360</v>
      </c>
      <c r="L292" s="166"/>
      <c r="M292" s="165"/>
      <c r="N292" s="67"/>
      <c r="O292" s="67"/>
      <c r="P292" s="67"/>
      <c r="Q292" s="67"/>
      <c r="R292" s="67"/>
      <c r="S292" s="93" t="str">
        <f t="shared" si="322"/>
        <v> </v>
      </c>
      <c r="T292" s="93">
        <f t="shared" si="323"/>
        <v>6</v>
      </c>
      <c r="U292" s="93" t="str">
        <f t="shared" si="324"/>
        <v> </v>
      </c>
      <c r="V292" s="93" t="str">
        <f t="shared" si="325"/>
        <v> </v>
      </c>
      <c r="W292" s="93" t="str">
        <f t="shared" si="326"/>
        <v> </v>
      </c>
      <c r="X292" s="67"/>
      <c r="Y292" s="67"/>
      <c r="Z292" s="67"/>
      <c r="AA292" s="67"/>
      <c r="AB292" s="67"/>
      <c r="AC292" s="85"/>
      <c r="AG292" s="86"/>
    </row>
    <row r="293" ht="12.75" customHeight="1">
      <c r="A293" s="1"/>
      <c r="B293" s="87"/>
      <c r="C293" s="94" t="s">
        <v>45</v>
      </c>
      <c r="D293" s="89">
        <v>0.7</v>
      </c>
      <c r="E293" s="90">
        <v>6.0</v>
      </c>
      <c r="F293" s="91">
        <v>5.0</v>
      </c>
      <c r="G293" s="92">
        <f>'Start Here'!$F$22*D293</f>
        <v>70</v>
      </c>
      <c r="H293" s="138"/>
      <c r="I293" s="165"/>
      <c r="J293" s="166">
        <f t="shared" si="320"/>
        <v>30</v>
      </c>
      <c r="K293" s="165">
        <f t="shared" si="321"/>
        <v>2100</v>
      </c>
      <c r="L293" s="166"/>
      <c r="M293" s="165"/>
      <c r="N293" s="67"/>
      <c r="O293" s="67"/>
      <c r="P293" s="67"/>
      <c r="Q293" s="67"/>
      <c r="R293" s="67"/>
      <c r="S293" s="93" t="str">
        <f t="shared" si="322"/>
        <v> </v>
      </c>
      <c r="T293" s="93" t="str">
        <f t="shared" si="323"/>
        <v> </v>
      </c>
      <c r="U293" s="93">
        <f t="shared" si="324"/>
        <v>30</v>
      </c>
      <c r="V293" s="93" t="str">
        <f t="shared" si="325"/>
        <v> </v>
      </c>
      <c r="W293" s="93" t="str">
        <f t="shared" si="326"/>
        <v> </v>
      </c>
      <c r="X293" s="67"/>
      <c r="Y293" s="67"/>
      <c r="Z293" s="67"/>
      <c r="AA293" s="67"/>
      <c r="AB293" s="67"/>
      <c r="AC293" s="85"/>
      <c r="AG293" s="86"/>
    </row>
    <row r="294" ht="12.75" customHeight="1">
      <c r="A294" s="1"/>
      <c r="B294" s="79">
        <v>4.0</v>
      </c>
      <c r="C294" s="95" t="s">
        <v>46</v>
      </c>
      <c r="D294" s="81">
        <v>0.55</v>
      </c>
      <c r="E294" s="82">
        <v>3.0</v>
      </c>
      <c r="F294" s="83">
        <v>1.0</v>
      </c>
      <c r="G294" s="84">
        <f>'Start Here'!$F$21*D294</f>
        <v>55</v>
      </c>
      <c r="H294" s="138">
        <f t="shared" ref="H294:H296" si="327">E294*F294</f>
        <v>3</v>
      </c>
      <c r="I294" s="165">
        <f t="shared" ref="I294:I296" si="328">G294*H294</f>
        <v>165</v>
      </c>
      <c r="J294" s="166"/>
      <c r="K294" s="165"/>
      <c r="L294" s="166"/>
      <c r="M294" s="165"/>
      <c r="N294" s="75">
        <f t="shared" ref="N294:N296" si="329">IF(ISNUMBER(SEARCH("squat",$C294)),IF($D294&gt;=0.5,IF($D294&lt;0.6,$E294*$F294," ")," ")," ")</f>
        <v>3</v>
      </c>
      <c r="O294" s="75" t="str">
        <f t="shared" ref="O294:O296" si="330">IF(ISNUMBER(SEARCH("squat",$C294)),IF($D294&gt;=0.6,IF($D294&lt;0.7,$E294*$F294," ")," ")," ")</f>
        <v> </v>
      </c>
      <c r="P294" s="75" t="str">
        <f t="shared" ref="P294:P296" si="331">IF(ISNUMBER(SEARCH("squat",$C294)),IF($D294&gt;=0.7,IF($D294&lt;0.8,$E294*$F294," ")," ")," ")</f>
        <v> </v>
      </c>
      <c r="Q294" s="75" t="str">
        <f t="shared" ref="Q294:Q296" si="332">IF(ISNUMBER(SEARCH("squat",$C294)),IF($D294&gt;=0.8,IF($D294&lt;0.9,$E294*$F294," ")," ")," ")</f>
        <v> </v>
      </c>
      <c r="R294" s="75" t="str">
        <f t="shared" ref="R294:R296" si="333">IF(ISNUMBER(SEARCH("squat",$C294)),IF($D294&gt;=0.9,$E294*$F294," ")," ")</f>
        <v> </v>
      </c>
      <c r="S294" s="67"/>
      <c r="T294" s="67"/>
      <c r="U294" s="67"/>
      <c r="V294" s="67"/>
      <c r="W294" s="67"/>
      <c r="X294" s="67"/>
      <c r="Y294" s="67"/>
      <c r="Z294" s="67"/>
      <c r="AA294" s="67"/>
      <c r="AB294" s="67"/>
      <c r="AC294" s="85"/>
      <c r="AG294" s="86"/>
    </row>
    <row r="295" ht="12.75" customHeight="1">
      <c r="A295" s="1"/>
      <c r="B295" s="79"/>
      <c r="C295" s="80" t="s">
        <v>46</v>
      </c>
      <c r="D295" s="81">
        <v>0.65</v>
      </c>
      <c r="E295" s="82">
        <v>3.0</v>
      </c>
      <c r="F295" s="83">
        <v>1.0</v>
      </c>
      <c r="G295" s="84">
        <f>'Start Here'!$F$21*D295</f>
        <v>65</v>
      </c>
      <c r="H295" s="138">
        <f t="shared" si="327"/>
        <v>3</v>
      </c>
      <c r="I295" s="165">
        <f t="shared" si="328"/>
        <v>195</v>
      </c>
      <c r="J295" s="166"/>
      <c r="K295" s="165"/>
      <c r="L295" s="166"/>
      <c r="M295" s="165"/>
      <c r="N295" s="75" t="str">
        <f t="shared" si="329"/>
        <v> </v>
      </c>
      <c r="O295" s="75">
        <f t="shared" si="330"/>
        <v>3</v>
      </c>
      <c r="P295" s="75" t="str">
        <f t="shared" si="331"/>
        <v> </v>
      </c>
      <c r="Q295" s="75" t="str">
        <f t="shared" si="332"/>
        <v> </v>
      </c>
      <c r="R295" s="75" t="str">
        <f t="shared" si="333"/>
        <v> </v>
      </c>
      <c r="S295" s="67"/>
      <c r="T295" s="67"/>
      <c r="U295" s="67"/>
      <c r="V295" s="67"/>
      <c r="W295" s="67"/>
      <c r="X295" s="67"/>
      <c r="Y295" s="67"/>
      <c r="Z295" s="67"/>
      <c r="AA295" s="67"/>
      <c r="AB295" s="67"/>
      <c r="AC295" s="85"/>
      <c r="AG295" s="86"/>
    </row>
    <row r="296" ht="12.75" customHeight="1">
      <c r="A296" s="1"/>
      <c r="B296" s="79"/>
      <c r="C296" s="80" t="s">
        <v>46</v>
      </c>
      <c r="D296" s="81">
        <v>0.75</v>
      </c>
      <c r="E296" s="82">
        <v>3.0</v>
      </c>
      <c r="F296" s="83">
        <v>4.0</v>
      </c>
      <c r="G296" s="84">
        <f>'Start Here'!$F$21*D296</f>
        <v>75</v>
      </c>
      <c r="H296" s="138">
        <f t="shared" si="327"/>
        <v>12</v>
      </c>
      <c r="I296" s="165">
        <f t="shared" si="328"/>
        <v>900</v>
      </c>
      <c r="J296" s="166"/>
      <c r="K296" s="165"/>
      <c r="L296" s="166"/>
      <c r="M296" s="165"/>
      <c r="N296" s="75" t="str">
        <f t="shared" si="329"/>
        <v> </v>
      </c>
      <c r="O296" s="75" t="str">
        <f t="shared" si="330"/>
        <v> </v>
      </c>
      <c r="P296" s="75">
        <f t="shared" si="331"/>
        <v>12</v>
      </c>
      <c r="Q296" s="75" t="str">
        <f t="shared" si="332"/>
        <v> </v>
      </c>
      <c r="R296" s="75" t="str">
        <f t="shared" si="333"/>
        <v> </v>
      </c>
      <c r="S296" s="67"/>
      <c r="T296" s="67"/>
      <c r="U296" s="67"/>
      <c r="V296" s="67"/>
      <c r="W296" s="67"/>
      <c r="X296" s="67"/>
      <c r="Y296" s="67"/>
      <c r="Z296" s="67"/>
      <c r="AA296" s="67"/>
      <c r="AB296" s="67"/>
      <c r="AC296" s="85"/>
      <c r="AG296" s="86"/>
    </row>
    <row r="297" ht="12.75" customHeight="1">
      <c r="A297" s="1"/>
      <c r="B297" s="96">
        <v>3.0</v>
      </c>
      <c r="C297" s="167" t="s">
        <v>92</v>
      </c>
      <c r="D297" s="168"/>
      <c r="E297" s="98">
        <v>6.0</v>
      </c>
      <c r="F297" s="169">
        <v>5.0</v>
      </c>
      <c r="G297" s="170"/>
      <c r="H297" s="138"/>
      <c r="I297" s="165"/>
      <c r="J297" s="166"/>
      <c r="K297" s="165"/>
      <c r="L297" s="166"/>
      <c r="M297" s="165"/>
      <c r="N297" s="67"/>
      <c r="O297" s="67"/>
      <c r="P297" s="67"/>
      <c r="Q297" s="67"/>
      <c r="R297" s="67"/>
      <c r="S297" s="67"/>
      <c r="T297" s="67"/>
      <c r="U297" s="67"/>
      <c r="V297" s="67"/>
      <c r="W297" s="67"/>
      <c r="X297" s="67"/>
      <c r="Y297" s="67"/>
      <c r="Z297" s="67"/>
      <c r="AA297" s="67"/>
      <c r="AB297" s="67"/>
      <c r="AC297" s="85"/>
      <c r="AG297" s="86"/>
    </row>
    <row r="298" ht="12.75" customHeight="1">
      <c r="A298" s="1"/>
      <c r="B298" s="100">
        <v>5.0</v>
      </c>
      <c r="C298" s="171" t="s">
        <v>95</v>
      </c>
      <c r="D298" s="172"/>
      <c r="E298" s="102">
        <v>6.0</v>
      </c>
      <c r="F298" s="173">
        <v>5.0</v>
      </c>
      <c r="G298" s="174"/>
      <c r="H298" s="138"/>
      <c r="I298" s="165"/>
      <c r="J298" s="166"/>
      <c r="K298" s="165"/>
      <c r="L298" s="166"/>
      <c r="M298" s="165"/>
      <c r="N298" s="67"/>
      <c r="O298" s="67"/>
      <c r="P298" s="67"/>
      <c r="Q298" s="67"/>
      <c r="R298" s="67"/>
      <c r="S298" s="67"/>
      <c r="T298" s="67"/>
      <c r="U298" s="67"/>
      <c r="V298" s="67"/>
      <c r="W298" s="67"/>
      <c r="X298" s="67"/>
      <c r="Y298" s="67"/>
      <c r="Z298" s="67"/>
      <c r="AA298" s="67"/>
      <c r="AB298" s="67"/>
      <c r="AC298" s="104"/>
      <c r="AD298" s="105"/>
      <c r="AE298" s="105"/>
      <c r="AF298" s="105"/>
      <c r="AG298" s="106"/>
    </row>
    <row r="299" ht="12.75" customHeight="1">
      <c r="A299" s="1"/>
      <c r="B299" s="67"/>
      <c r="C299" s="136"/>
      <c r="D299" s="137"/>
      <c r="E299" s="138"/>
      <c r="F299" s="138"/>
      <c r="G299" s="138"/>
      <c r="H299" s="138"/>
      <c r="I299" s="165"/>
      <c r="J299" s="166"/>
      <c r="K299" s="165"/>
      <c r="L299" s="166"/>
      <c r="M299" s="165"/>
      <c r="N299" s="67"/>
      <c r="O299" s="67"/>
      <c r="P299" s="67"/>
      <c r="Q299" s="67"/>
      <c r="R299" s="67"/>
      <c r="S299" s="67"/>
      <c r="T299" s="67"/>
      <c r="U299" s="67"/>
      <c r="V299" s="67"/>
      <c r="W299" s="67"/>
      <c r="X299" s="67"/>
      <c r="Y299" s="67"/>
      <c r="Z299" s="67"/>
      <c r="AA299" s="67"/>
      <c r="AB299" s="67"/>
      <c r="AC299" s="67"/>
      <c r="AD299" s="67"/>
      <c r="AE299" s="67"/>
      <c r="AF299" s="67"/>
      <c r="AG299" s="67"/>
    </row>
    <row r="300" ht="33.0" customHeight="1">
      <c r="A300" s="1"/>
      <c r="B300" s="68" t="s">
        <v>58</v>
      </c>
      <c r="D300" s="137" t="s">
        <v>34</v>
      </c>
      <c r="E300" s="138" t="s">
        <v>35</v>
      </c>
      <c r="F300" s="138" t="s">
        <v>36</v>
      </c>
      <c r="G300" s="138" t="s">
        <v>37</v>
      </c>
      <c r="H300" s="138"/>
      <c r="I300" s="165"/>
      <c r="J300" s="166"/>
      <c r="K300" s="165"/>
      <c r="L300" s="166"/>
      <c r="M300" s="165"/>
      <c r="N300" s="67"/>
      <c r="O300" s="67"/>
      <c r="P300" s="67"/>
      <c r="Q300" s="67"/>
      <c r="R300" s="67"/>
      <c r="S300" s="67"/>
      <c r="T300" s="67"/>
      <c r="U300" s="67"/>
      <c r="V300" s="67"/>
      <c r="W300" s="67"/>
      <c r="X300" s="67"/>
      <c r="Y300" s="67"/>
      <c r="Z300" s="67"/>
      <c r="AA300" s="67"/>
      <c r="AB300" s="67"/>
      <c r="AC300" s="67" t="s">
        <v>43</v>
      </c>
      <c r="AD300" s="67"/>
      <c r="AE300" s="67"/>
      <c r="AF300" s="67"/>
      <c r="AG300" s="67"/>
    </row>
    <row r="301" ht="12.75" customHeight="1">
      <c r="A301" s="1"/>
      <c r="B301" s="107">
        <v>1.0</v>
      </c>
      <c r="C301" s="108" t="s">
        <v>127</v>
      </c>
      <c r="D301" s="109">
        <v>0.5</v>
      </c>
      <c r="E301" s="110">
        <v>3.0</v>
      </c>
      <c r="F301" s="111">
        <v>1.0</v>
      </c>
      <c r="G301" s="112">
        <f>'Start Here'!$F$23*D301</f>
        <v>50</v>
      </c>
      <c r="H301" s="138"/>
      <c r="I301" s="165"/>
      <c r="J301" s="166"/>
      <c r="K301" s="165"/>
      <c r="L301" s="166">
        <f t="shared" ref="L301:L304" si="334">E301*F301</f>
        <v>3</v>
      </c>
      <c r="M301" s="165">
        <f t="shared" ref="M301:M304" si="335">G301*L301</f>
        <v>150</v>
      </c>
      <c r="N301" s="67"/>
      <c r="O301" s="67"/>
      <c r="P301" s="67"/>
      <c r="Q301" s="67"/>
      <c r="R301" s="67"/>
      <c r="S301" s="67"/>
      <c r="T301" s="67"/>
      <c r="U301" s="67"/>
      <c r="V301" s="67"/>
      <c r="W301" s="67"/>
      <c r="X301" s="114">
        <f t="shared" ref="X301:X304" si="336">IF(ISNUMBER(SEARCH("deadlift",$C301)),IF($D301&gt;=0.5,IF($D301&lt;0.6,$E301*$F301," ")," ")," ")</f>
        <v>3</v>
      </c>
      <c r="Y301" s="114" t="str">
        <f t="shared" ref="Y301:Y304" si="337">IF(ISNUMBER(SEARCH("deadlift",$C301)),IF($D301&gt;=0.6,IF($D301&lt;0.7,$E301*$F301," ")," ")," ")</f>
        <v> </v>
      </c>
      <c r="Z301" s="114" t="str">
        <f t="shared" ref="Z301:Z304" si="338">IF(ISNUMBER(SEARCH("deadlift",$C301)),IF($D301&gt;=0.7,IF($D301&lt;0.8,$E301*$F301," ")," ")," ")</f>
        <v> </v>
      </c>
      <c r="AA301" s="114" t="str">
        <f t="shared" ref="AA301:AA304" si="339">IF(ISNUMBER(SEARCH("deadlift",$C301)),IF($D301&gt;=0.8,IF($D301&lt;0.9,$E301*$F301," ")," ")," ")</f>
        <v> </v>
      </c>
      <c r="AB301" s="114" t="str">
        <f t="shared" ref="AB301:AB304" si="340">IF(ISNUMBER(SEARCH("deadlift",$C301)),IF($D301&gt;=0.9,$E301*$F301," ")," ")</f>
        <v> </v>
      </c>
      <c r="AC301" s="76"/>
      <c r="AD301" s="77"/>
      <c r="AE301" s="77"/>
      <c r="AF301" s="77"/>
      <c r="AG301" s="78"/>
    </row>
    <row r="302" ht="12.75" customHeight="1">
      <c r="A302" s="1"/>
      <c r="B302" s="115"/>
      <c r="C302" s="122" t="s">
        <v>127</v>
      </c>
      <c r="D302" s="117">
        <v>0.6</v>
      </c>
      <c r="E302" s="118">
        <v>3.0</v>
      </c>
      <c r="F302" s="119">
        <v>1.0</v>
      </c>
      <c r="G302" s="120">
        <f>'Start Here'!$F$23*D302</f>
        <v>60</v>
      </c>
      <c r="H302" s="138"/>
      <c r="I302" s="165"/>
      <c r="J302" s="166"/>
      <c r="K302" s="165"/>
      <c r="L302" s="166">
        <f t="shared" si="334"/>
        <v>3</v>
      </c>
      <c r="M302" s="165">
        <f t="shared" si="335"/>
        <v>180</v>
      </c>
      <c r="N302" s="67"/>
      <c r="O302" s="67"/>
      <c r="P302" s="67"/>
      <c r="Q302" s="67"/>
      <c r="R302" s="67"/>
      <c r="S302" s="67"/>
      <c r="T302" s="67"/>
      <c r="U302" s="67"/>
      <c r="V302" s="67"/>
      <c r="W302" s="67"/>
      <c r="X302" s="114" t="str">
        <f t="shared" si="336"/>
        <v> </v>
      </c>
      <c r="Y302" s="114">
        <f t="shared" si="337"/>
        <v>3</v>
      </c>
      <c r="Z302" s="114" t="str">
        <f t="shared" si="338"/>
        <v> </v>
      </c>
      <c r="AA302" s="114" t="str">
        <f t="shared" si="339"/>
        <v> </v>
      </c>
      <c r="AB302" s="114" t="str">
        <f t="shared" si="340"/>
        <v> </v>
      </c>
      <c r="AC302" s="85"/>
      <c r="AG302" s="86"/>
    </row>
    <row r="303" ht="12.75" customHeight="1">
      <c r="A303" s="1"/>
      <c r="B303" s="115"/>
      <c r="C303" s="122" t="s">
        <v>127</v>
      </c>
      <c r="D303" s="117">
        <v>0.7</v>
      </c>
      <c r="E303" s="118">
        <v>3.0</v>
      </c>
      <c r="F303" s="119">
        <v>1.0</v>
      </c>
      <c r="G303" s="120">
        <f>'Start Here'!$F$23*D303</f>
        <v>70</v>
      </c>
      <c r="H303" s="138"/>
      <c r="I303" s="165"/>
      <c r="J303" s="166"/>
      <c r="K303" s="165"/>
      <c r="L303" s="166">
        <f t="shared" si="334"/>
        <v>3</v>
      </c>
      <c r="M303" s="165">
        <f t="shared" si="335"/>
        <v>210</v>
      </c>
      <c r="N303" s="67"/>
      <c r="O303" s="67"/>
      <c r="P303" s="67"/>
      <c r="Q303" s="67"/>
      <c r="R303" s="67"/>
      <c r="S303" s="67"/>
      <c r="T303" s="67"/>
      <c r="U303" s="67"/>
      <c r="V303" s="67"/>
      <c r="W303" s="67"/>
      <c r="X303" s="114" t="str">
        <f t="shared" si="336"/>
        <v> </v>
      </c>
      <c r="Y303" s="114" t="str">
        <f t="shared" si="337"/>
        <v> </v>
      </c>
      <c r="Z303" s="114">
        <f t="shared" si="338"/>
        <v>3</v>
      </c>
      <c r="AA303" s="114" t="str">
        <f t="shared" si="339"/>
        <v> </v>
      </c>
      <c r="AB303" s="114" t="str">
        <f t="shared" si="340"/>
        <v> </v>
      </c>
      <c r="AC303" s="85"/>
      <c r="AG303" s="86"/>
    </row>
    <row r="304" ht="12.75" customHeight="1">
      <c r="A304" s="1"/>
      <c r="B304" s="115"/>
      <c r="C304" s="122" t="s">
        <v>127</v>
      </c>
      <c r="D304" s="117">
        <v>0.75</v>
      </c>
      <c r="E304" s="118">
        <v>3.0</v>
      </c>
      <c r="F304" s="119">
        <v>4.0</v>
      </c>
      <c r="G304" s="120">
        <f>'Start Here'!$F$23*D304</f>
        <v>75</v>
      </c>
      <c r="H304" s="138"/>
      <c r="I304" s="165"/>
      <c r="J304" s="166"/>
      <c r="K304" s="165"/>
      <c r="L304" s="166">
        <f t="shared" si="334"/>
        <v>12</v>
      </c>
      <c r="M304" s="165">
        <f t="shared" si="335"/>
        <v>900</v>
      </c>
      <c r="N304" s="67"/>
      <c r="O304" s="67"/>
      <c r="P304" s="67"/>
      <c r="Q304" s="67"/>
      <c r="R304" s="67"/>
      <c r="S304" s="67"/>
      <c r="T304" s="67"/>
      <c r="U304" s="67"/>
      <c r="V304" s="67"/>
      <c r="W304" s="67"/>
      <c r="X304" s="114" t="str">
        <f t="shared" si="336"/>
        <v> </v>
      </c>
      <c r="Y304" s="114" t="str">
        <f t="shared" si="337"/>
        <v> </v>
      </c>
      <c r="Z304" s="114">
        <f t="shared" si="338"/>
        <v>12</v>
      </c>
      <c r="AA304" s="114" t="str">
        <f t="shared" si="339"/>
        <v> </v>
      </c>
      <c r="AB304" s="114" t="str">
        <f t="shared" si="340"/>
        <v> </v>
      </c>
      <c r="AC304" s="85"/>
      <c r="AG304" s="86"/>
    </row>
    <row r="305" ht="12.75" customHeight="1">
      <c r="A305" s="1"/>
      <c r="B305" s="87">
        <v>2.0</v>
      </c>
      <c r="C305" s="88" t="s">
        <v>111</v>
      </c>
      <c r="D305" s="89">
        <v>0.5</v>
      </c>
      <c r="E305" s="90">
        <v>4.0</v>
      </c>
      <c r="F305" s="91">
        <v>1.0</v>
      </c>
      <c r="G305" s="92">
        <f>'Start Here'!$F$22*D305</f>
        <v>50</v>
      </c>
      <c r="H305" s="138"/>
      <c r="I305" s="165"/>
      <c r="J305" s="166">
        <f t="shared" ref="J305:J307" si="341">E305*F305</f>
        <v>4</v>
      </c>
      <c r="K305" s="165">
        <f t="shared" ref="K305:K307" si="342">G305*J305</f>
        <v>200</v>
      </c>
      <c r="L305" s="166"/>
      <c r="M305" s="165"/>
      <c r="N305" s="67"/>
      <c r="O305" s="67"/>
      <c r="P305" s="67"/>
      <c r="Q305" s="67"/>
      <c r="R305" s="67"/>
      <c r="S305" s="93">
        <f t="shared" ref="S305:S307" si="343">IF(ISNUMBER(SEARCH("bench",$C305)),IF($D305&gt;=0.5,IF($D305&lt;0.6,$E305*$F305," ")," ")," ")</f>
        <v>4</v>
      </c>
      <c r="T305" s="93" t="str">
        <f t="shared" ref="T305:T307" si="344">IF(ISNUMBER(SEARCH("bench",$C305)),IF($D305&gt;=0.6,IF($D305&lt;0.7,$E305*$F305," ")," ")," ")</f>
        <v> </v>
      </c>
      <c r="U305" s="93" t="str">
        <f t="shared" ref="U305:U307" si="345">IF(ISNUMBER(SEARCH("bench",$C305)),IF($D305&gt;=0.7,IF($D305&lt;0.8,$E305*$F305," ")," ")," ")</f>
        <v> </v>
      </c>
      <c r="V305" s="93" t="str">
        <f t="shared" ref="V305:V307" si="346">IF(ISNUMBER(SEARCH("bench",$C305)),IF($D305&gt;=0.8,IF($D305&lt;0.9,$E305*$F305," ")," ")," ")</f>
        <v> </v>
      </c>
      <c r="W305" s="93" t="str">
        <f t="shared" ref="W305:W307" si="347">IF(ISNUMBER(SEARCH("bench",$C305)),IF($D305&gt;=0.9,$E305*$F305," ")," ")</f>
        <v> </v>
      </c>
      <c r="X305" s="67"/>
      <c r="Y305" s="67"/>
      <c r="Z305" s="67"/>
      <c r="AA305" s="67"/>
      <c r="AB305" s="67"/>
      <c r="AC305" s="85"/>
      <c r="AG305" s="86"/>
    </row>
    <row r="306" ht="12.75" customHeight="1">
      <c r="A306" s="1"/>
      <c r="B306" s="87"/>
      <c r="C306" s="94" t="s">
        <v>111</v>
      </c>
      <c r="D306" s="89">
        <v>0.6</v>
      </c>
      <c r="E306" s="90">
        <v>4.0</v>
      </c>
      <c r="F306" s="91">
        <v>1.0</v>
      </c>
      <c r="G306" s="92">
        <f>'Start Here'!$F$22*D306</f>
        <v>60</v>
      </c>
      <c r="H306" s="138"/>
      <c r="I306" s="165"/>
      <c r="J306" s="166">
        <f t="shared" si="341"/>
        <v>4</v>
      </c>
      <c r="K306" s="165">
        <f t="shared" si="342"/>
        <v>240</v>
      </c>
      <c r="L306" s="166"/>
      <c r="M306" s="165"/>
      <c r="N306" s="67"/>
      <c r="O306" s="67"/>
      <c r="P306" s="67"/>
      <c r="Q306" s="67"/>
      <c r="R306" s="67"/>
      <c r="S306" s="93" t="str">
        <f t="shared" si="343"/>
        <v> </v>
      </c>
      <c r="T306" s="93">
        <f t="shared" si="344"/>
        <v>4</v>
      </c>
      <c r="U306" s="93" t="str">
        <f t="shared" si="345"/>
        <v> </v>
      </c>
      <c r="V306" s="93" t="str">
        <f t="shared" si="346"/>
        <v> </v>
      </c>
      <c r="W306" s="93" t="str">
        <f t="shared" si="347"/>
        <v> </v>
      </c>
      <c r="X306" s="67"/>
      <c r="Y306" s="67"/>
      <c r="Z306" s="67"/>
      <c r="AA306" s="67"/>
      <c r="AB306" s="67"/>
      <c r="AC306" s="85"/>
      <c r="AG306" s="86"/>
    </row>
    <row r="307" ht="12.75" customHeight="1">
      <c r="A307" s="1"/>
      <c r="B307" s="87"/>
      <c r="C307" s="94" t="s">
        <v>111</v>
      </c>
      <c r="D307" s="89">
        <v>0.7</v>
      </c>
      <c r="E307" s="90">
        <v>4.0</v>
      </c>
      <c r="F307" s="91">
        <v>4.0</v>
      </c>
      <c r="G307" s="92">
        <f>'Start Here'!$F$22*D307</f>
        <v>70</v>
      </c>
      <c r="H307" s="138"/>
      <c r="I307" s="165"/>
      <c r="J307" s="166">
        <f t="shared" si="341"/>
        <v>16</v>
      </c>
      <c r="K307" s="165">
        <f t="shared" si="342"/>
        <v>1120</v>
      </c>
      <c r="L307" s="166"/>
      <c r="M307" s="165"/>
      <c r="N307" s="67"/>
      <c r="O307" s="67"/>
      <c r="P307" s="67"/>
      <c r="Q307" s="67"/>
      <c r="R307" s="67"/>
      <c r="S307" s="93" t="str">
        <f t="shared" si="343"/>
        <v> </v>
      </c>
      <c r="T307" s="93" t="str">
        <f t="shared" si="344"/>
        <v> </v>
      </c>
      <c r="U307" s="93">
        <f t="shared" si="345"/>
        <v>16</v>
      </c>
      <c r="V307" s="93" t="str">
        <f t="shared" si="346"/>
        <v> </v>
      </c>
      <c r="W307" s="93" t="str">
        <f t="shared" si="347"/>
        <v> </v>
      </c>
      <c r="X307" s="67"/>
      <c r="Y307" s="67"/>
      <c r="Z307" s="67"/>
      <c r="AA307" s="67"/>
      <c r="AB307" s="67"/>
      <c r="AC307" s="85"/>
      <c r="AG307" s="86"/>
    </row>
    <row r="308" ht="12.75" customHeight="1">
      <c r="A308" s="1"/>
      <c r="B308" s="115">
        <v>3.0</v>
      </c>
      <c r="C308" s="121" t="s">
        <v>117</v>
      </c>
      <c r="D308" s="117">
        <v>0.55</v>
      </c>
      <c r="E308" s="118">
        <v>3.0</v>
      </c>
      <c r="F308" s="119">
        <v>1.0</v>
      </c>
      <c r="G308" s="120">
        <f>'Start Here'!$F$23*D308</f>
        <v>55</v>
      </c>
      <c r="H308" s="138"/>
      <c r="I308" s="165"/>
      <c r="J308" s="166"/>
      <c r="K308" s="165"/>
      <c r="L308" s="166">
        <f t="shared" ref="L308:L311" si="348">E308*F308</f>
        <v>3</v>
      </c>
      <c r="M308" s="165">
        <f t="shared" ref="M308:M311" si="349">G308*L308</f>
        <v>165</v>
      </c>
      <c r="N308" s="67"/>
      <c r="O308" s="67"/>
      <c r="P308" s="67"/>
      <c r="Q308" s="67"/>
      <c r="R308" s="67"/>
      <c r="S308" s="67"/>
      <c r="T308" s="67"/>
      <c r="U308" s="67"/>
      <c r="V308" s="67"/>
      <c r="W308" s="67"/>
      <c r="X308" s="114">
        <f t="shared" ref="X308:X311" si="350">IF(ISNUMBER(SEARCH("deadlift",$C308)),IF($D308&gt;=0.5,IF($D308&lt;0.6,$E308*$F308," ")," ")," ")</f>
        <v>3</v>
      </c>
      <c r="Y308" s="114" t="str">
        <f t="shared" ref="Y308:Y311" si="351">IF(ISNUMBER(SEARCH("deadlift",$C308)),IF($D308&gt;=0.6,IF($D308&lt;0.7,$E308*$F308," ")," ")," ")</f>
        <v> </v>
      </c>
      <c r="Z308" s="114" t="str">
        <f t="shared" ref="Z308:Z311" si="352">IF(ISNUMBER(SEARCH("deadlift",$C308)),IF($D308&gt;=0.7,IF($D308&lt;0.8,$E308*$F308," ")," ")," ")</f>
        <v> </v>
      </c>
      <c r="AA308" s="114" t="str">
        <f t="shared" ref="AA308:AA311" si="353">IF(ISNUMBER(SEARCH("deadlift",$C308)),IF($D308&gt;=0.8,IF($D308&lt;0.9,$E308*$F308," ")," ")," ")</f>
        <v> </v>
      </c>
      <c r="AB308" s="114" t="str">
        <f t="shared" ref="AB308:AB311" si="354">IF(ISNUMBER(SEARCH("deadlift",$C308)),IF($D308&gt;=0.9,$E308*$F308," ")," ")</f>
        <v> </v>
      </c>
      <c r="AC308" s="85"/>
      <c r="AG308" s="86"/>
    </row>
    <row r="309" ht="12.75" customHeight="1">
      <c r="A309" s="1"/>
      <c r="B309" s="115"/>
      <c r="C309" s="122" t="s">
        <v>117</v>
      </c>
      <c r="D309" s="117">
        <v>0.65</v>
      </c>
      <c r="E309" s="118">
        <v>3.0</v>
      </c>
      <c r="F309" s="119">
        <v>1.0</v>
      </c>
      <c r="G309" s="120">
        <f>'Start Here'!$F$23*D309</f>
        <v>65</v>
      </c>
      <c r="H309" s="138"/>
      <c r="I309" s="165"/>
      <c r="J309" s="166"/>
      <c r="K309" s="165"/>
      <c r="L309" s="166">
        <f t="shared" si="348"/>
        <v>3</v>
      </c>
      <c r="M309" s="165">
        <f t="shared" si="349"/>
        <v>195</v>
      </c>
      <c r="N309" s="67"/>
      <c r="O309" s="67"/>
      <c r="P309" s="67"/>
      <c r="Q309" s="67"/>
      <c r="R309" s="67"/>
      <c r="S309" s="67"/>
      <c r="T309" s="67"/>
      <c r="U309" s="67"/>
      <c r="V309" s="67"/>
      <c r="W309" s="67"/>
      <c r="X309" s="114" t="str">
        <f t="shared" si="350"/>
        <v> </v>
      </c>
      <c r="Y309" s="114">
        <f t="shared" si="351"/>
        <v>3</v>
      </c>
      <c r="Z309" s="114" t="str">
        <f t="shared" si="352"/>
        <v> </v>
      </c>
      <c r="AA309" s="114" t="str">
        <f t="shared" si="353"/>
        <v> </v>
      </c>
      <c r="AB309" s="114" t="str">
        <f t="shared" si="354"/>
        <v> </v>
      </c>
      <c r="AC309" s="85"/>
      <c r="AG309" s="86"/>
    </row>
    <row r="310" ht="12.75" customHeight="1">
      <c r="A310" s="1"/>
      <c r="B310" s="115"/>
      <c r="C310" s="122" t="s">
        <v>117</v>
      </c>
      <c r="D310" s="117">
        <v>0.75</v>
      </c>
      <c r="E310" s="118">
        <v>3.0</v>
      </c>
      <c r="F310" s="119">
        <v>1.0</v>
      </c>
      <c r="G310" s="120">
        <f>'Start Here'!$F$23*D310</f>
        <v>75</v>
      </c>
      <c r="H310" s="138"/>
      <c r="I310" s="165"/>
      <c r="J310" s="166"/>
      <c r="K310" s="165"/>
      <c r="L310" s="166">
        <f t="shared" si="348"/>
        <v>3</v>
      </c>
      <c r="M310" s="165">
        <f t="shared" si="349"/>
        <v>225</v>
      </c>
      <c r="N310" s="67"/>
      <c r="O310" s="67"/>
      <c r="P310" s="67"/>
      <c r="Q310" s="67"/>
      <c r="R310" s="67"/>
      <c r="S310" s="67"/>
      <c r="T310" s="67"/>
      <c r="U310" s="67"/>
      <c r="V310" s="67"/>
      <c r="W310" s="67"/>
      <c r="X310" s="114" t="str">
        <f t="shared" si="350"/>
        <v> </v>
      </c>
      <c r="Y310" s="114" t="str">
        <f t="shared" si="351"/>
        <v> </v>
      </c>
      <c r="Z310" s="114">
        <f t="shared" si="352"/>
        <v>3</v>
      </c>
      <c r="AA310" s="114" t="str">
        <f t="shared" si="353"/>
        <v> </v>
      </c>
      <c r="AB310" s="114" t="str">
        <f t="shared" si="354"/>
        <v> </v>
      </c>
      <c r="AC310" s="85"/>
      <c r="AG310" s="86"/>
    </row>
    <row r="311" ht="12.75" customHeight="1">
      <c r="A311" s="1"/>
      <c r="B311" s="115"/>
      <c r="C311" s="122" t="s">
        <v>117</v>
      </c>
      <c r="D311" s="117">
        <v>0.85</v>
      </c>
      <c r="E311" s="118">
        <v>3.0</v>
      </c>
      <c r="F311" s="119">
        <v>4.0</v>
      </c>
      <c r="G311" s="120">
        <f>'Start Here'!$F$23*D311</f>
        <v>85</v>
      </c>
      <c r="H311" s="138"/>
      <c r="I311" s="165"/>
      <c r="J311" s="166"/>
      <c r="K311" s="165"/>
      <c r="L311" s="166">
        <f t="shared" si="348"/>
        <v>12</v>
      </c>
      <c r="M311" s="165">
        <f t="shared" si="349"/>
        <v>1020</v>
      </c>
      <c r="N311" s="67"/>
      <c r="O311" s="67"/>
      <c r="P311" s="67"/>
      <c r="Q311" s="67"/>
      <c r="R311" s="67"/>
      <c r="S311" s="67"/>
      <c r="T311" s="67"/>
      <c r="U311" s="67"/>
      <c r="V311" s="67"/>
      <c r="W311" s="67"/>
      <c r="X311" s="114" t="str">
        <f t="shared" si="350"/>
        <v> </v>
      </c>
      <c r="Y311" s="114" t="str">
        <f t="shared" si="351"/>
        <v> </v>
      </c>
      <c r="Z311" s="114" t="str">
        <f t="shared" si="352"/>
        <v> </v>
      </c>
      <c r="AA311" s="114">
        <f t="shared" si="353"/>
        <v>12</v>
      </c>
      <c r="AB311" s="114" t="str">
        <f t="shared" si="354"/>
        <v> </v>
      </c>
      <c r="AC311" s="85"/>
      <c r="AG311" s="86"/>
    </row>
    <row r="312" ht="12.75" customHeight="1">
      <c r="A312" s="1"/>
      <c r="B312" s="96">
        <v>4.0</v>
      </c>
      <c r="C312" s="167" t="s">
        <v>96</v>
      </c>
      <c r="D312" s="168"/>
      <c r="E312" s="98">
        <v>5.0</v>
      </c>
      <c r="F312" s="169">
        <v>5.0</v>
      </c>
      <c r="G312" s="170"/>
      <c r="H312" s="138"/>
      <c r="I312" s="165"/>
      <c r="J312" s="166"/>
      <c r="K312" s="165"/>
      <c r="L312" s="166"/>
      <c r="M312" s="165"/>
      <c r="N312" s="67"/>
      <c r="O312" s="67"/>
      <c r="P312" s="67"/>
      <c r="Q312" s="67"/>
      <c r="R312" s="67"/>
      <c r="S312" s="67"/>
      <c r="T312" s="67"/>
      <c r="U312" s="67"/>
      <c r="V312" s="67"/>
      <c r="W312" s="67"/>
      <c r="X312" s="67"/>
      <c r="Y312" s="67"/>
      <c r="Z312" s="67"/>
      <c r="AA312" s="67"/>
      <c r="AB312" s="67"/>
      <c r="AC312" s="85"/>
      <c r="AG312" s="86"/>
    </row>
    <row r="313" ht="12.75" customHeight="1">
      <c r="A313" s="1"/>
      <c r="B313" s="100">
        <v>5.0</v>
      </c>
      <c r="C313" s="171" t="s">
        <v>83</v>
      </c>
      <c r="D313" s="172"/>
      <c r="E313" s="102">
        <v>6.0</v>
      </c>
      <c r="F313" s="173">
        <v>5.0</v>
      </c>
      <c r="G313" s="174"/>
      <c r="H313" s="138"/>
      <c r="I313" s="165"/>
      <c r="J313" s="166"/>
      <c r="K313" s="165"/>
      <c r="L313" s="166"/>
      <c r="M313" s="165"/>
      <c r="N313" s="67"/>
      <c r="O313" s="67"/>
      <c r="P313" s="67"/>
      <c r="Q313" s="67"/>
      <c r="R313" s="67"/>
      <c r="S313" s="67"/>
      <c r="T313" s="67"/>
      <c r="U313" s="67"/>
      <c r="V313" s="67"/>
      <c r="W313" s="67"/>
      <c r="X313" s="67"/>
      <c r="Y313" s="67"/>
      <c r="Z313" s="67"/>
      <c r="AA313" s="67"/>
      <c r="AB313" s="67"/>
      <c r="AC313" s="104"/>
      <c r="AD313" s="105"/>
      <c r="AE313" s="105"/>
      <c r="AF313" s="105"/>
      <c r="AG313" s="106"/>
    </row>
    <row r="314" ht="12.75" customHeight="1">
      <c r="A314" s="181"/>
      <c r="B314" s="181"/>
      <c r="C314" s="199"/>
      <c r="D314" s="200"/>
      <c r="E314" s="201"/>
      <c r="F314" s="201"/>
      <c r="G314" s="201"/>
      <c r="H314" s="201">
        <f t="shared" ref="H314:AB314" si="355">SUM(H256:H313)</f>
        <v>58</v>
      </c>
      <c r="I314" s="248">
        <f t="shared" si="355"/>
        <v>3940</v>
      </c>
      <c r="J314" s="249">
        <f t="shared" si="355"/>
        <v>134</v>
      </c>
      <c r="K314" s="248">
        <f t="shared" si="355"/>
        <v>8840</v>
      </c>
      <c r="L314" s="249">
        <f t="shared" si="355"/>
        <v>72</v>
      </c>
      <c r="M314" s="248">
        <f t="shared" si="355"/>
        <v>5225</v>
      </c>
      <c r="N314" s="201">
        <f t="shared" si="355"/>
        <v>13</v>
      </c>
      <c r="O314" s="201">
        <f t="shared" si="355"/>
        <v>11</v>
      </c>
      <c r="P314" s="201">
        <f t="shared" si="355"/>
        <v>18</v>
      </c>
      <c r="Q314" s="201">
        <f t="shared" si="355"/>
        <v>16</v>
      </c>
      <c r="R314" s="201">
        <f t="shared" si="355"/>
        <v>0</v>
      </c>
      <c r="S314" s="202">
        <f t="shared" si="355"/>
        <v>24</v>
      </c>
      <c r="T314" s="202">
        <f t="shared" si="355"/>
        <v>22</v>
      </c>
      <c r="U314" s="202">
        <f t="shared" si="355"/>
        <v>76</v>
      </c>
      <c r="V314" s="202">
        <f t="shared" si="355"/>
        <v>12</v>
      </c>
      <c r="W314" s="202">
        <f t="shared" si="355"/>
        <v>0</v>
      </c>
      <c r="X314" s="202">
        <f t="shared" si="355"/>
        <v>9</v>
      </c>
      <c r="Y314" s="202">
        <f t="shared" si="355"/>
        <v>12</v>
      </c>
      <c r="Z314" s="202">
        <f t="shared" si="355"/>
        <v>29</v>
      </c>
      <c r="AA314" s="202">
        <f t="shared" si="355"/>
        <v>15</v>
      </c>
      <c r="AB314" s="202">
        <f t="shared" si="355"/>
        <v>7</v>
      </c>
      <c r="AC314" s="181"/>
      <c r="AD314" s="181"/>
      <c r="AE314" s="181"/>
      <c r="AF314" s="181"/>
      <c r="AG314" s="181"/>
    </row>
    <row r="315" ht="12.75" customHeight="1">
      <c r="A315" s="1"/>
      <c r="B315" s="146"/>
      <c r="C315" s="150"/>
      <c r="D315" s="151"/>
      <c r="E315" s="24"/>
      <c r="F315" s="24"/>
      <c r="G315" s="24"/>
      <c r="H315" s="24"/>
      <c r="I315" s="24"/>
      <c r="J315" s="24"/>
      <c r="K315" s="24"/>
      <c r="L315" s="24"/>
      <c r="M315" s="24"/>
      <c r="N315" s="1"/>
      <c r="O315" s="1"/>
      <c r="P315" s="1"/>
      <c r="Q315" s="1"/>
      <c r="R315" s="1"/>
      <c r="S315" s="1"/>
      <c r="T315" s="1"/>
      <c r="U315" s="1"/>
      <c r="V315" s="1"/>
      <c r="W315" s="1"/>
      <c r="X315" s="1"/>
      <c r="Y315" s="1"/>
      <c r="Z315" s="1"/>
      <c r="AA315" s="1"/>
      <c r="AB315" s="1"/>
    </row>
    <row r="316" ht="12.75" customHeight="1">
      <c r="A316" s="1"/>
      <c r="B316" s="146"/>
      <c r="C316" s="150"/>
      <c r="D316" s="151"/>
      <c r="E316" s="24"/>
      <c r="F316" s="24"/>
      <c r="G316" s="24"/>
      <c r="H316" s="24"/>
      <c r="I316" s="24"/>
      <c r="J316" s="24"/>
      <c r="K316" s="24"/>
      <c r="L316" s="24"/>
      <c r="M316" s="24"/>
      <c r="N316" s="1"/>
      <c r="O316" s="1"/>
      <c r="P316" s="1"/>
      <c r="Q316" s="1"/>
      <c r="R316" s="1"/>
      <c r="S316" s="1"/>
      <c r="T316" s="1"/>
      <c r="U316" s="1"/>
      <c r="V316" s="1"/>
      <c r="W316" s="1"/>
      <c r="X316" s="1"/>
      <c r="Y316" s="1"/>
      <c r="Z316" s="1"/>
      <c r="AA316" s="1"/>
      <c r="AB316" s="1"/>
    </row>
    <row r="317" ht="12.75" customHeight="1">
      <c r="A317" s="1"/>
      <c r="B317" s="146"/>
      <c r="C317" s="150"/>
      <c r="D317" s="151"/>
      <c r="E317" s="24"/>
      <c r="F317" s="24"/>
      <c r="G317" s="24"/>
      <c r="H317" s="203">
        <f t="shared" ref="H317:AB317" si="356">SUM(H253+H314+H187+H122+H58)</f>
        <v>320</v>
      </c>
      <c r="I317" s="203">
        <f t="shared" si="356"/>
        <v>21585</v>
      </c>
      <c r="J317" s="203">
        <f t="shared" si="356"/>
        <v>558</v>
      </c>
      <c r="K317" s="203">
        <f t="shared" si="356"/>
        <v>37765</v>
      </c>
      <c r="L317" s="203">
        <f t="shared" si="356"/>
        <v>290</v>
      </c>
      <c r="M317" s="203">
        <f t="shared" si="356"/>
        <v>20710</v>
      </c>
      <c r="N317" s="203">
        <f t="shared" si="356"/>
        <v>61</v>
      </c>
      <c r="O317" s="203">
        <f t="shared" si="356"/>
        <v>83</v>
      </c>
      <c r="P317" s="203">
        <f t="shared" si="356"/>
        <v>100</v>
      </c>
      <c r="Q317" s="203">
        <f t="shared" si="356"/>
        <v>71</v>
      </c>
      <c r="R317" s="203">
        <f t="shared" si="356"/>
        <v>5</v>
      </c>
      <c r="S317" s="203">
        <f t="shared" si="356"/>
        <v>106</v>
      </c>
      <c r="T317" s="203">
        <f t="shared" si="356"/>
        <v>96</v>
      </c>
      <c r="U317" s="203">
        <f t="shared" si="356"/>
        <v>238</v>
      </c>
      <c r="V317" s="203">
        <f t="shared" si="356"/>
        <v>107</v>
      </c>
      <c r="W317" s="203">
        <f t="shared" si="356"/>
        <v>11</v>
      </c>
      <c r="X317" s="203">
        <f t="shared" si="356"/>
        <v>38</v>
      </c>
      <c r="Y317" s="203">
        <f t="shared" si="356"/>
        <v>50</v>
      </c>
      <c r="Z317" s="203">
        <f t="shared" si="356"/>
        <v>117</v>
      </c>
      <c r="AA317" s="203">
        <f t="shared" si="356"/>
        <v>61</v>
      </c>
      <c r="AB317" s="203">
        <f t="shared" si="356"/>
        <v>24</v>
      </c>
    </row>
    <row r="318" ht="12.75" customHeight="1">
      <c r="A318" s="1"/>
      <c r="B318" s="146"/>
      <c r="C318" s="150"/>
      <c r="D318" s="151"/>
      <c r="E318" s="24"/>
      <c r="F318" s="24"/>
      <c r="G318" s="24"/>
      <c r="H318" s="24"/>
      <c r="I318" s="24"/>
      <c r="J318" s="24"/>
      <c r="K318" s="24"/>
      <c r="L318" s="24"/>
      <c r="M318" s="24"/>
      <c r="N318" s="1"/>
      <c r="O318" s="1"/>
      <c r="P318" s="1"/>
      <c r="Q318" s="1"/>
      <c r="R318" s="1"/>
      <c r="S318" s="1"/>
      <c r="T318" s="1"/>
      <c r="U318" s="1"/>
      <c r="V318" s="1"/>
      <c r="W318" s="1"/>
      <c r="X318" s="1"/>
      <c r="Y318" s="1"/>
      <c r="Z318" s="1"/>
      <c r="AA318" s="1"/>
      <c r="AB318" s="1"/>
    </row>
    <row r="319" ht="12.75" customHeight="1">
      <c r="A319" s="1"/>
      <c r="B319" s="146"/>
      <c r="C319" s="150"/>
      <c r="D319" s="151"/>
      <c r="E319" s="24"/>
      <c r="F319" s="24"/>
      <c r="G319" s="24"/>
      <c r="H319" s="24"/>
      <c r="I319" s="24"/>
      <c r="J319" s="24"/>
      <c r="K319" s="24"/>
      <c r="L319" s="24"/>
      <c r="M319" s="24"/>
      <c r="N319" s="1"/>
      <c r="O319" s="1"/>
      <c r="P319" s="1"/>
      <c r="Q319" s="1"/>
      <c r="R319" s="1"/>
      <c r="S319" s="1"/>
      <c r="T319" s="1"/>
      <c r="U319" s="1"/>
      <c r="V319" s="1"/>
      <c r="W319" s="1"/>
      <c r="X319" s="1"/>
      <c r="Y319" s="1"/>
      <c r="Z319" s="1"/>
      <c r="AA319" s="1"/>
      <c r="AB319" s="1"/>
    </row>
    <row r="320" ht="12.75" customHeight="1">
      <c r="A320" s="1"/>
      <c r="B320" s="146"/>
      <c r="C320" s="150"/>
      <c r="D320" s="151"/>
      <c r="E320" s="24"/>
      <c r="F320" s="24"/>
      <c r="G320" s="24"/>
      <c r="H320" s="24"/>
      <c r="I320" s="24"/>
      <c r="J320" s="24"/>
      <c r="K320" s="24"/>
      <c r="L320" s="24"/>
      <c r="M320" s="24"/>
      <c r="N320" s="1"/>
      <c r="O320" s="1"/>
      <c r="P320" s="1"/>
      <c r="Q320" s="1"/>
      <c r="R320" s="1"/>
      <c r="S320" s="1"/>
      <c r="T320" s="1"/>
      <c r="U320" s="1"/>
      <c r="V320" s="1"/>
      <c r="W320" s="1"/>
      <c r="X320" s="1"/>
      <c r="Y320" s="1"/>
      <c r="Z320" s="1"/>
      <c r="AA320" s="1"/>
      <c r="AB320" s="1"/>
    </row>
    <row r="321" ht="12.75" customHeight="1">
      <c r="A321" s="1"/>
      <c r="B321" s="146"/>
      <c r="C321" s="150"/>
      <c r="D321" s="151"/>
      <c r="E321" s="24"/>
      <c r="F321" s="24"/>
      <c r="G321" s="24"/>
      <c r="H321" s="24"/>
      <c r="I321" s="24"/>
      <c r="J321" s="24"/>
      <c r="K321" s="24"/>
      <c r="L321" s="24"/>
      <c r="M321" s="24"/>
      <c r="N321" s="1"/>
      <c r="O321" s="1"/>
      <c r="P321" s="1"/>
      <c r="Q321" s="1"/>
      <c r="R321" s="1"/>
      <c r="S321" s="1"/>
      <c r="T321" s="1"/>
      <c r="U321" s="1"/>
      <c r="V321" s="1"/>
      <c r="W321" s="1"/>
      <c r="X321" s="1"/>
      <c r="Y321" s="1"/>
      <c r="Z321" s="1"/>
      <c r="AA321" s="1"/>
      <c r="AB321" s="1"/>
    </row>
    <row r="322" ht="12.75" customHeight="1">
      <c r="A322" s="1"/>
      <c r="B322" s="146"/>
      <c r="C322" s="150"/>
      <c r="D322" s="151"/>
      <c r="E322" s="24"/>
      <c r="F322" s="24"/>
      <c r="G322" s="24"/>
      <c r="H322" s="24"/>
      <c r="I322" s="24"/>
      <c r="J322" s="24"/>
      <c r="K322" s="24"/>
      <c r="L322" s="24"/>
      <c r="M322" s="24"/>
      <c r="N322" s="1"/>
      <c r="O322" s="1"/>
      <c r="P322" s="1"/>
      <c r="Q322" s="1"/>
      <c r="R322" s="1"/>
      <c r="S322" s="1"/>
      <c r="T322" s="1"/>
      <c r="U322" s="1"/>
      <c r="V322" s="1"/>
      <c r="W322" s="1"/>
      <c r="X322" s="1"/>
      <c r="Y322" s="1"/>
      <c r="Z322" s="1"/>
      <c r="AA322" s="1"/>
      <c r="AB322" s="1"/>
    </row>
    <row r="323" ht="12.75" customHeight="1">
      <c r="A323" s="1"/>
      <c r="B323" s="146"/>
      <c r="C323" s="150"/>
      <c r="D323" s="151"/>
      <c r="E323" s="24"/>
      <c r="F323" s="24"/>
      <c r="G323" s="24"/>
      <c r="H323" s="24"/>
      <c r="I323" s="24"/>
      <c r="J323" s="24"/>
      <c r="K323" s="24"/>
      <c r="L323" s="24"/>
      <c r="M323" s="24"/>
      <c r="N323" s="1"/>
      <c r="O323" s="1"/>
      <c r="P323" s="1"/>
      <c r="Q323" s="1"/>
      <c r="R323" s="1"/>
      <c r="S323" s="1"/>
      <c r="T323" s="1"/>
      <c r="U323" s="1"/>
      <c r="V323" s="1"/>
      <c r="W323" s="1"/>
      <c r="X323" s="1"/>
      <c r="Y323" s="1"/>
      <c r="Z323" s="1"/>
      <c r="AA323" s="1"/>
      <c r="AB323" s="1"/>
    </row>
    <row r="324" ht="12.75" customHeight="1">
      <c r="A324" s="1"/>
      <c r="B324" s="146"/>
      <c r="C324" s="150"/>
      <c r="D324" s="151"/>
      <c r="E324" s="24"/>
      <c r="F324" s="24"/>
      <c r="G324" s="24"/>
      <c r="H324" s="24"/>
      <c r="I324" s="24"/>
      <c r="J324" s="24"/>
      <c r="K324" s="24"/>
      <c r="L324" s="24"/>
      <c r="M324" s="24"/>
      <c r="N324" s="1"/>
      <c r="O324" s="1"/>
      <c r="P324" s="1"/>
      <c r="Q324" s="1"/>
      <c r="R324" s="1"/>
      <c r="S324" s="1"/>
      <c r="T324" s="1"/>
      <c r="U324" s="1"/>
      <c r="V324" s="1"/>
      <c r="W324" s="1"/>
      <c r="X324" s="1"/>
      <c r="Y324" s="1"/>
      <c r="Z324" s="1"/>
      <c r="AA324" s="1"/>
      <c r="AB324" s="1"/>
    </row>
    <row r="325" ht="12.75" customHeight="1">
      <c r="A325" s="1"/>
      <c r="B325" s="146"/>
      <c r="C325" s="150"/>
      <c r="D325" s="151"/>
      <c r="E325" s="24"/>
      <c r="F325" s="24"/>
      <c r="G325" s="24"/>
      <c r="H325" s="24"/>
      <c r="I325" s="24"/>
      <c r="J325" s="24"/>
      <c r="K325" s="24"/>
      <c r="L325" s="24"/>
      <c r="M325" s="24"/>
      <c r="N325" s="1"/>
      <c r="O325" s="1"/>
      <c r="P325" s="1"/>
      <c r="Q325" s="1"/>
      <c r="R325" s="1"/>
      <c r="S325" s="1"/>
      <c r="T325" s="1"/>
      <c r="U325" s="1"/>
      <c r="V325" s="1"/>
      <c r="W325" s="1"/>
      <c r="X325" s="1"/>
      <c r="Y325" s="1"/>
      <c r="Z325" s="1"/>
      <c r="AA325" s="1"/>
      <c r="AB325" s="1"/>
    </row>
    <row r="326" ht="12.75" customHeight="1">
      <c r="A326" s="1"/>
      <c r="B326" s="146"/>
      <c r="C326" s="150"/>
      <c r="D326" s="151"/>
      <c r="E326" s="24"/>
      <c r="F326" s="24"/>
      <c r="G326" s="24"/>
      <c r="H326" s="24"/>
      <c r="I326" s="24"/>
      <c r="J326" s="24"/>
      <c r="K326" s="24"/>
      <c r="L326" s="24"/>
      <c r="M326" s="24"/>
      <c r="N326" s="1"/>
      <c r="O326" s="1"/>
      <c r="P326" s="1"/>
      <c r="Q326" s="1"/>
      <c r="R326" s="1"/>
      <c r="S326" s="1"/>
      <c r="T326" s="1"/>
      <c r="U326" s="1"/>
      <c r="V326" s="1"/>
      <c r="W326" s="1"/>
      <c r="X326" s="1"/>
      <c r="Y326" s="1"/>
      <c r="Z326" s="1"/>
      <c r="AA326" s="1"/>
      <c r="AB326" s="1"/>
    </row>
    <row r="327" ht="12.75" customHeight="1">
      <c r="A327" s="1"/>
      <c r="B327" s="146"/>
      <c r="C327" s="150"/>
      <c r="D327" s="151"/>
      <c r="E327" s="24"/>
      <c r="F327" s="24"/>
      <c r="G327" s="24"/>
      <c r="H327" s="24"/>
      <c r="I327" s="24"/>
      <c r="J327" s="24"/>
      <c r="K327" s="24"/>
      <c r="L327" s="24"/>
      <c r="M327" s="24"/>
      <c r="N327" s="1"/>
      <c r="O327" s="1"/>
      <c r="P327" s="1"/>
      <c r="Q327" s="1"/>
      <c r="R327" s="1"/>
      <c r="S327" s="1"/>
      <c r="T327" s="1"/>
      <c r="U327" s="1"/>
      <c r="V327" s="1"/>
      <c r="W327" s="1"/>
      <c r="X327" s="1"/>
      <c r="Y327" s="1"/>
      <c r="Z327" s="1"/>
      <c r="AA327" s="1"/>
      <c r="AB327" s="1"/>
    </row>
    <row r="328" ht="12.75" customHeight="1">
      <c r="A328" s="1"/>
      <c r="B328" s="146"/>
      <c r="C328" s="150"/>
      <c r="D328" s="151"/>
      <c r="E328" s="24"/>
      <c r="F328" s="24"/>
      <c r="G328" s="24"/>
      <c r="H328" s="24"/>
      <c r="I328" s="24"/>
      <c r="J328" s="24"/>
      <c r="K328" s="24"/>
      <c r="L328" s="24"/>
      <c r="M328" s="24"/>
      <c r="N328" s="1"/>
      <c r="O328" s="1"/>
      <c r="P328" s="1"/>
      <c r="Q328" s="1"/>
      <c r="R328" s="1"/>
      <c r="S328" s="1"/>
      <c r="T328" s="1"/>
      <c r="U328" s="1"/>
      <c r="V328" s="1"/>
      <c r="W328" s="1"/>
      <c r="X328" s="1"/>
      <c r="Y328" s="1"/>
      <c r="Z328" s="1"/>
      <c r="AA328" s="1"/>
      <c r="AB328" s="1"/>
    </row>
    <row r="329" ht="12.75" customHeight="1">
      <c r="A329" s="1"/>
      <c r="B329" s="146"/>
      <c r="C329" s="150"/>
      <c r="D329" s="151"/>
      <c r="E329" s="24"/>
      <c r="F329" s="24"/>
      <c r="G329" s="24"/>
      <c r="H329" s="24"/>
      <c r="I329" s="24"/>
      <c r="J329" s="24"/>
      <c r="K329" s="24"/>
      <c r="L329" s="24"/>
      <c r="M329" s="24"/>
      <c r="N329" s="1"/>
      <c r="O329" s="1"/>
      <c r="P329" s="1"/>
      <c r="Q329" s="1"/>
      <c r="R329" s="1"/>
      <c r="S329" s="1"/>
      <c r="T329" s="1"/>
      <c r="U329" s="1"/>
      <c r="V329" s="1"/>
      <c r="W329" s="1"/>
      <c r="X329" s="1"/>
      <c r="Y329" s="1"/>
      <c r="Z329" s="1"/>
      <c r="AA329" s="1"/>
      <c r="AB329" s="1"/>
    </row>
    <row r="330" ht="12.75" customHeight="1">
      <c r="A330" s="1"/>
      <c r="B330" s="146"/>
      <c r="C330" s="150"/>
      <c r="D330" s="151"/>
      <c r="E330" s="24"/>
      <c r="F330" s="24"/>
      <c r="G330" s="24"/>
      <c r="H330" s="24"/>
      <c r="I330" s="24"/>
      <c r="J330" s="24"/>
      <c r="K330" s="24"/>
      <c r="L330" s="24"/>
      <c r="M330" s="24"/>
      <c r="N330" s="1"/>
      <c r="O330" s="1"/>
      <c r="P330" s="1"/>
      <c r="Q330" s="1"/>
      <c r="R330" s="1"/>
      <c r="S330" s="1"/>
      <c r="T330" s="1"/>
      <c r="U330" s="1"/>
      <c r="V330" s="1"/>
      <c r="W330" s="1"/>
      <c r="X330" s="1"/>
      <c r="Y330" s="1"/>
      <c r="Z330" s="1"/>
      <c r="AA330" s="1"/>
      <c r="AB330" s="1"/>
    </row>
    <row r="331" ht="12.75" customHeight="1">
      <c r="A331" s="1"/>
      <c r="B331" s="146"/>
      <c r="C331" s="150"/>
      <c r="D331" s="151"/>
      <c r="E331" s="24"/>
      <c r="F331" s="24"/>
      <c r="G331" s="24"/>
      <c r="H331" s="24"/>
      <c r="I331" s="24"/>
      <c r="J331" s="24"/>
      <c r="K331" s="24"/>
      <c r="L331" s="24"/>
      <c r="M331" s="24"/>
      <c r="N331" s="1"/>
      <c r="O331" s="1"/>
      <c r="P331" s="1"/>
      <c r="Q331" s="1"/>
      <c r="R331" s="1"/>
      <c r="S331" s="1"/>
      <c r="T331" s="1"/>
      <c r="U331" s="1"/>
      <c r="V331" s="1"/>
      <c r="W331" s="1"/>
      <c r="X331" s="1"/>
      <c r="Y331" s="1"/>
      <c r="Z331" s="1"/>
      <c r="AA331" s="1"/>
      <c r="AB331" s="1"/>
    </row>
    <row r="332" ht="12.75" customHeight="1">
      <c r="A332" s="1"/>
      <c r="B332" s="146"/>
      <c r="C332" s="150"/>
      <c r="D332" s="151"/>
      <c r="E332" s="24"/>
      <c r="F332" s="24"/>
      <c r="G332" s="24"/>
      <c r="H332" s="24"/>
      <c r="I332" s="24"/>
      <c r="J332" s="24"/>
      <c r="K332" s="24"/>
      <c r="L332" s="24"/>
      <c r="M332" s="24"/>
      <c r="N332" s="1"/>
      <c r="O332" s="1"/>
      <c r="P332" s="1"/>
      <c r="Q332" s="1"/>
      <c r="R332" s="1"/>
      <c r="S332" s="1"/>
      <c r="T332" s="1"/>
      <c r="U332" s="1"/>
      <c r="V332" s="1"/>
      <c r="W332" s="1"/>
      <c r="X332" s="1"/>
      <c r="Y332" s="1"/>
      <c r="Z332" s="1"/>
      <c r="AA332" s="1"/>
      <c r="AB332" s="1"/>
    </row>
    <row r="333" ht="12.75" customHeight="1">
      <c r="A333" s="1"/>
      <c r="B333" s="146"/>
      <c r="C333" s="150"/>
      <c r="D333" s="151"/>
      <c r="E333" s="24"/>
      <c r="F333" s="24"/>
      <c r="G333" s="24"/>
      <c r="H333" s="24"/>
      <c r="I333" s="24"/>
      <c r="J333" s="24"/>
      <c r="K333" s="24"/>
      <c r="L333" s="24"/>
      <c r="M333" s="24"/>
      <c r="N333" s="1"/>
      <c r="O333" s="1"/>
      <c r="P333" s="1"/>
      <c r="Q333" s="1"/>
      <c r="R333" s="1"/>
      <c r="S333" s="1"/>
      <c r="T333" s="1"/>
      <c r="U333" s="1"/>
      <c r="V333" s="1"/>
      <c r="W333" s="1"/>
      <c r="X333" s="1"/>
      <c r="Y333" s="1"/>
      <c r="Z333" s="1"/>
      <c r="AA333" s="1"/>
      <c r="AB333" s="1"/>
    </row>
    <row r="334" ht="12.75" customHeight="1">
      <c r="A334" s="1"/>
      <c r="B334" s="146"/>
      <c r="C334" s="150"/>
      <c r="D334" s="151"/>
      <c r="E334" s="24"/>
      <c r="F334" s="24"/>
      <c r="G334" s="24"/>
      <c r="H334" s="24"/>
      <c r="I334" s="24"/>
      <c r="J334" s="24"/>
      <c r="K334" s="24"/>
      <c r="L334" s="24"/>
      <c r="M334" s="24"/>
      <c r="N334" s="1"/>
      <c r="O334" s="1"/>
      <c r="P334" s="1"/>
      <c r="Q334" s="1"/>
      <c r="R334" s="1"/>
      <c r="S334" s="1"/>
      <c r="T334" s="1"/>
      <c r="U334" s="1"/>
      <c r="V334" s="1"/>
      <c r="W334" s="1"/>
      <c r="X334" s="1"/>
      <c r="Y334" s="1"/>
      <c r="Z334" s="1"/>
      <c r="AA334" s="1"/>
      <c r="AB334" s="1"/>
    </row>
    <row r="335" ht="12.75" customHeight="1">
      <c r="A335" s="1"/>
      <c r="B335" s="146"/>
      <c r="C335" s="150"/>
      <c r="D335" s="151"/>
      <c r="E335" s="24"/>
      <c r="F335" s="24"/>
      <c r="G335" s="24"/>
      <c r="H335" s="24"/>
      <c r="I335" s="24"/>
      <c r="J335" s="24"/>
      <c r="K335" s="24"/>
      <c r="L335" s="24"/>
      <c r="M335" s="24"/>
      <c r="N335" s="1"/>
      <c r="O335" s="1"/>
      <c r="P335" s="1"/>
      <c r="Q335" s="1"/>
      <c r="R335" s="1"/>
      <c r="S335" s="1"/>
      <c r="T335" s="1"/>
      <c r="U335" s="1"/>
      <c r="V335" s="1"/>
      <c r="W335" s="1"/>
      <c r="X335" s="1"/>
      <c r="Y335" s="1"/>
      <c r="Z335" s="1"/>
      <c r="AA335" s="1"/>
      <c r="AB335" s="1"/>
    </row>
    <row r="336" ht="12.75" customHeight="1">
      <c r="A336" s="1"/>
      <c r="B336" s="146"/>
      <c r="C336" s="150"/>
      <c r="D336" s="151"/>
      <c r="E336" s="24"/>
      <c r="F336" s="24"/>
      <c r="G336" s="24"/>
      <c r="H336" s="24"/>
      <c r="I336" s="24"/>
      <c r="J336" s="24"/>
      <c r="K336" s="24"/>
      <c r="L336" s="24"/>
      <c r="M336" s="24"/>
      <c r="N336" s="1"/>
      <c r="O336" s="1"/>
      <c r="P336" s="1"/>
      <c r="Q336" s="1"/>
      <c r="R336" s="1"/>
      <c r="S336" s="1"/>
      <c r="T336" s="1"/>
      <c r="U336" s="1"/>
      <c r="V336" s="1"/>
      <c r="W336" s="1"/>
      <c r="X336" s="1"/>
      <c r="Y336" s="1"/>
      <c r="Z336" s="1"/>
      <c r="AA336" s="1"/>
      <c r="AB336" s="1"/>
    </row>
    <row r="337" ht="12.75" customHeight="1">
      <c r="A337" s="1"/>
      <c r="B337" s="146"/>
      <c r="C337" s="150"/>
      <c r="D337" s="151"/>
      <c r="E337" s="24"/>
      <c r="F337" s="24"/>
      <c r="G337" s="24"/>
      <c r="H337" s="24"/>
      <c r="I337" s="24"/>
      <c r="J337" s="24"/>
      <c r="K337" s="24"/>
      <c r="L337" s="24"/>
      <c r="M337" s="24"/>
      <c r="N337" s="1"/>
      <c r="O337" s="1"/>
      <c r="P337" s="1"/>
      <c r="Q337" s="1"/>
      <c r="R337" s="1"/>
      <c r="S337" s="1"/>
      <c r="T337" s="1"/>
      <c r="U337" s="1"/>
      <c r="V337" s="1"/>
      <c r="W337" s="1"/>
      <c r="X337" s="1"/>
      <c r="Y337" s="1"/>
      <c r="Z337" s="1"/>
      <c r="AA337" s="1"/>
      <c r="AB337" s="1"/>
    </row>
    <row r="338" ht="12.75" customHeight="1">
      <c r="A338" s="1"/>
      <c r="B338" s="146"/>
      <c r="C338" s="150"/>
      <c r="D338" s="151"/>
      <c r="E338" s="24"/>
      <c r="F338" s="24"/>
      <c r="G338" s="24"/>
      <c r="H338" s="24"/>
      <c r="I338" s="24"/>
      <c r="J338" s="24"/>
      <c r="K338" s="24"/>
      <c r="L338" s="24"/>
      <c r="M338" s="24"/>
      <c r="N338" s="1"/>
      <c r="O338" s="1"/>
      <c r="P338" s="1"/>
      <c r="Q338" s="1"/>
      <c r="R338" s="1"/>
      <c r="S338" s="1"/>
      <c r="T338" s="1"/>
      <c r="U338" s="1"/>
      <c r="V338" s="1"/>
      <c r="W338" s="1"/>
      <c r="X338" s="1"/>
      <c r="Y338" s="1"/>
      <c r="Z338" s="1"/>
      <c r="AA338" s="1"/>
      <c r="AB338" s="1"/>
    </row>
    <row r="339" ht="12.75" customHeight="1">
      <c r="A339" s="1"/>
      <c r="B339" s="146"/>
      <c r="C339" s="150"/>
      <c r="D339" s="151"/>
      <c r="E339" s="24"/>
      <c r="F339" s="24"/>
      <c r="G339" s="24"/>
      <c r="H339" s="24"/>
      <c r="I339" s="24"/>
      <c r="J339" s="24"/>
      <c r="K339" s="24"/>
      <c r="L339" s="24"/>
      <c r="M339" s="24"/>
      <c r="N339" s="1"/>
      <c r="O339" s="1"/>
      <c r="P339" s="1"/>
      <c r="Q339" s="1"/>
      <c r="R339" s="1"/>
      <c r="S339" s="1"/>
      <c r="T339" s="1"/>
      <c r="U339" s="1"/>
      <c r="V339" s="1"/>
      <c r="W339" s="1"/>
      <c r="X339" s="1"/>
      <c r="Y339" s="1"/>
      <c r="Z339" s="1"/>
      <c r="AA339" s="1"/>
      <c r="AB339" s="1"/>
    </row>
    <row r="340" ht="12.75" customHeight="1">
      <c r="A340" s="1"/>
      <c r="B340" s="146"/>
      <c r="C340" s="150"/>
      <c r="D340" s="151"/>
      <c r="E340" s="24"/>
      <c r="F340" s="24"/>
      <c r="G340" s="24"/>
      <c r="H340" s="24"/>
      <c r="I340" s="24"/>
      <c r="J340" s="24"/>
      <c r="K340" s="24"/>
      <c r="L340" s="24"/>
      <c r="M340" s="24"/>
      <c r="N340" s="1"/>
      <c r="O340" s="1"/>
      <c r="P340" s="1"/>
      <c r="Q340" s="1"/>
      <c r="R340" s="1"/>
      <c r="S340" s="1"/>
      <c r="T340" s="1"/>
      <c r="U340" s="1"/>
      <c r="V340" s="1"/>
      <c r="W340" s="1"/>
      <c r="X340" s="1"/>
      <c r="Y340" s="1"/>
      <c r="Z340" s="1"/>
      <c r="AA340" s="1"/>
      <c r="AB340" s="1"/>
    </row>
    <row r="341" ht="12.75" customHeight="1">
      <c r="A341" s="1"/>
      <c r="B341" s="146"/>
      <c r="C341" s="150"/>
      <c r="D341" s="151"/>
      <c r="E341" s="24"/>
      <c r="F341" s="24"/>
      <c r="G341" s="24"/>
      <c r="H341" s="24"/>
      <c r="I341" s="24"/>
      <c r="J341" s="24"/>
      <c r="K341" s="24"/>
      <c r="L341" s="24"/>
      <c r="M341" s="24"/>
      <c r="N341" s="1"/>
      <c r="O341" s="1"/>
      <c r="P341" s="1"/>
      <c r="Q341" s="1"/>
      <c r="R341" s="1"/>
      <c r="S341" s="1"/>
      <c r="T341" s="1"/>
      <c r="U341" s="1"/>
      <c r="V341" s="1"/>
      <c r="W341" s="1"/>
      <c r="X341" s="1"/>
      <c r="Y341" s="1"/>
      <c r="Z341" s="1"/>
      <c r="AA341" s="1"/>
      <c r="AB341" s="1"/>
    </row>
    <row r="342" ht="12.75" customHeight="1">
      <c r="A342" s="1"/>
      <c r="B342" s="146"/>
      <c r="C342" s="150"/>
      <c r="D342" s="151"/>
      <c r="E342" s="24"/>
      <c r="F342" s="24"/>
      <c r="G342" s="24"/>
      <c r="H342" s="24"/>
      <c r="I342" s="24"/>
      <c r="J342" s="24"/>
      <c r="K342" s="24"/>
      <c r="L342" s="24"/>
      <c r="M342" s="24"/>
      <c r="N342" s="1"/>
      <c r="O342" s="1"/>
      <c r="P342" s="1"/>
      <c r="Q342" s="1"/>
      <c r="R342" s="1"/>
      <c r="S342" s="1"/>
      <c r="T342" s="1"/>
      <c r="U342" s="1"/>
      <c r="V342" s="1"/>
      <c r="W342" s="1"/>
      <c r="X342" s="1"/>
      <c r="Y342" s="1"/>
      <c r="Z342" s="1"/>
      <c r="AA342" s="1"/>
      <c r="AB342" s="1"/>
    </row>
    <row r="343" ht="12.75" customHeight="1">
      <c r="A343" s="1"/>
      <c r="B343" s="146"/>
      <c r="C343" s="150"/>
      <c r="D343" s="151"/>
      <c r="E343" s="24"/>
      <c r="F343" s="24"/>
      <c r="G343" s="24"/>
      <c r="H343" s="24"/>
      <c r="I343" s="24"/>
      <c r="J343" s="24"/>
      <c r="K343" s="24"/>
      <c r="L343" s="24"/>
      <c r="M343" s="24"/>
      <c r="N343" s="1"/>
      <c r="O343" s="1"/>
      <c r="P343" s="1"/>
      <c r="Q343" s="1"/>
      <c r="R343" s="1"/>
      <c r="S343" s="1"/>
      <c r="T343" s="1"/>
      <c r="U343" s="1"/>
      <c r="V343" s="1"/>
      <c r="W343" s="1"/>
      <c r="X343" s="1"/>
      <c r="Y343" s="1"/>
      <c r="Z343" s="1"/>
      <c r="AA343" s="1"/>
      <c r="AB343" s="1"/>
    </row>
    <row r="344" ht="12.75" customHeight="1">
      <c r="A344" s="1"/>
      <c r="B344" s="146"/>
      <c r="C344" s="150"/>
      <c r="D344" s="151"/>
      <c r="E344" s="24"/>
      <c r="F344" s="24"/>
      <c r="G344" s="24"/>
      <c r="H344" s="24"/>
      <c r="I344" s="24"/>
      <c r="J344" s="24"/>
      <c r="K344" s="24"/>
      <c r="L344" s="24"/>
      <c r="M344" s="24"/>
      <c r="N344" s="1"/>
      <c r="O344" s="1"/>
      <c r="P344" s="1"/>
      <c r="Q344" s="1"/>
      <c r="R344" s="1"/>
      <c r="S344" s="1"/>
      <c r="T344" s="1"/>
      <c r="U344" s="1"/>
      <c r="V344" s="1"/>
      <c r="W344" s="1"/>
      <c r="X344" s="1"/>
      <c r="Y344" s="1"/>
      <c r="Z344" s="1"/>
      <c r="AA344" s="1"/>
      <c r="AB344" s="1"/>
    </row>
    <row r="345" ht="12.75" customHeight="1">
      <c r="A345" s="1"/>
      <c r="B345" s="146"/>
      <c r="C345" s="150"/>
      <c r="D345" s="151"/>
      <c r="E345" s="24"/>
      <c r="F345" s="24"/>
      <c r="G345" s="24"/>
      <c r="H345" s="24"/>
      <c r="I345" s="24"/>
      <c r="J345" s="24"/>
      <c r="K345" s="24"/>
      <c r="L345" s="24"/>
      <c r="M345" s="24"/>
      <c r="N345" s="1"/>
      <c r="O345" s="1"/>
      <c r="P345" s="1"/>
      <c r="Q345" s="1"/>
      <c r="R345" s="1"/>
      <c r="S345" s="1"/>
      <c r="T345" s="1"/>
      <c r="U345" s="1"/>
      <c r="V345" s="1"/>
      <c r="W345" s="1"/>
      <c r="X345" s="1"/>
      <c r="Y345" s="1"/>
      <c r="Z345" s="1"/>
      <c r="AA345" s="1"/>
      <c r="AB345" s="1"/>
    </row>
    <row r="346" ht="12.75" customHeight="1">
      <c r="A346" s="1"/>
      <c r="B346" s="146"/>
      <c r="C346" s="150"/>
      <c r="D346" s="151"/>
      <c r="E346" s="24"/>
      <c r="F346" s="24"/>
      <c r="G346" s="24"/>
      <c r="H346" s="24"/>
      <c r="I346" s="24"/>
      <c r="J346" s="24"/>
      <c r="K346" s="24"/>
      <c r="L346" s="24"/>
      <c r="M346" s="24"/>
      <c r="N346" s="1"/>
      <c r="O346" s="1"/>
      <c r="P346" s="1"/>
      <c r="Q346" s="1"/>
      <c r="R346" s="1"/>
      <c r="S346" s="1"/>
      <c r="T346" s="1"/>
      <c r="U346" s="1"/>
      <c r="V346" s="1"/>
      <c r="W346" s="1"/>
      <c r="X346" s="1"/>
      <c r="Y346" s="1"/>
      <c r="Z346" s="1"/>
      <c r="AA346" s="1"/>
      <c r="AB346" s="1"/>
    </row>
    <row r="347" ht="12.75" customHeight="1">
      <c r="A347" s="1"/>
      <c r="B347" s="146"/>
      <c r="C347" s="150"/>
      <c r="D347" s="151"/>
      <c r="E347" s="24"/>
      <c r="F347" s="24"/>
      <c r="G347" s="24"/>
      <c r="H347" s="24"/>
      <c r="I347" s="24"/>
      <c r="J347" s="24"/>
      <c r="K347" s="24"/>
      <c r="L347" s="24"/>
      <c r="M347" s="24"/>
      <c r="N347" s="1"/>
      <c r="O347" s="1"/>
      <c r="P347" s="1"/>
      <c r="Q347" s="1"/>
      <c r="R347" s="1"/>
      <c r="S347" s="1"/>
      <c r="T347" s="1"/>
      <c r="U347" s="1"/>
      <c r="V347" s="1"/>
      <c r="W347" s="1"/>
      <c r="X347" s="1"/>
      <c r="Y347" s="1"/>
      <c r="Z347" s="1"/>
      <c r="AA347" s="1"/>
      <c r="AB347" s="1"/>
    </row>
    <row r="348" ht="12.75" customHeight="1">
      <c r="A348" s="1"/>
      <c r="B348" s="146"/>
      <c r="C348" s="150"/>
      <c r="D348" s="151"/>
      <c r="E348" s="24"/>
      <c r="F348" s="24"/>
      <c r="G348" s="24"/>
      <c r="H348" s="24"/>
      <c r="I348" s="24"/>
      <c r="J348" s="24"/>
      <c r="K348" s="24"/>
      <c r="L348" s="24"/>
      <c r="M348" s="24"/>
      <c r="N348" s="1"/>
      <c r="O348" s="1"/>
      <c r="P348" s="1"/>
      <c r="Q348" s="1"/>
      <c r="R348" s="1"/>
      <c r="S348" s="1"/>
      <c r="T348" s="1"/>
      <c r="U348" s="1"/>
      <c r="V348" s="1"/>
      <c r="W348" s="1"/>
      <c r="X348" s="1"/>
      <c r="Y348" s="1"/>
      <c r="Z348" s="1"/>
      <c r="AA348" s="1"/>
      <c r="AB348" s="1"/>
    </row>
    <row r="349" ht="12.75" customHeight="1">
      <c r="A349" s="1"/>
      <c r="B349" s="146"/>
      <c r="C349" s="150"/>
      <c r="D349" s="151"/>
      <c r="E349" s="24"/>
      <c r="F349" s="24"/>
      <c r="G349" s="24"/>
      <c r="H349" s="24"/>
      <c r="I349" s="24"/>
      <c r="J349" s="24"/>
      <c r="K349" s="24"/>
      <c r="L349" s="24"/>
      <c r="M349" s="24"/>
      <c r="N349" s="1"/>
      <c r="O349" s="1"/>
      <c r="P349" s="1"/>
      <c r="Q349" s="1"/>
      <c r="R349" s="1"/>
      <c r="S349" s="1"/>
      <c r="T349" s="1"/>
      <c r="U349" s="1"/>
      <c r="V349" s="1"/>
      <c r="W349" s="1"/>
      <c r="X349" s="1"/>
      <c r="Y349" s="1"/>
      <c r="Z349" s="1"/>
      <c r="AA349" s="1"/>
      <c r="AB349" s="1"/>
    </row>
    <row r="350" ht="12.75" customHeight="1">
      <c r="A350" s="1"/>
      <c r="B350" s="146"/>
      <c r="C350" s="150"/>
      <c r="D350" s="151"/>
      <c r="E350" s="24"/>
      <c r="F350" s="24"/>
      <c r="G350" s="24"/>
      <c r="H350" s="24"/>
      <c r="I350" s="24"/>
      <c r="J350" s="24"/>
      <c r="K350" s="24"/>
      <c r="L350" s="24"/>
      <c r="M350" s="24"/>
      <c r="N350" s="1"/>
      <c r="O350" s="1"/>
      <c r="P350" s="1"/>
      <c r="Q350" s="1"/>
      <c r="R350" s="1"/>
      <c r="S350" s="1"/>
      <c r="T350" s="1"/>
      <c r="U350" s="1"/>
      <c r="V350" s="1"/>
      <c r="W350" s="1"/>
      <c r="X350" s="1"/>
      <c r="Y350" s="1"/>
      <c r="Z350" s="1"/>
      <c r="AA350" s="1"/>
      <c r="AB350" s="1"/>
    </row>
    <row r="351" ht="12.75" customHeight="1">
      <c r="A351" s="1"/>
      <c r="B351" s="146"/>
      <c r="C351" s="150"/>
      <c r="D351" s="151"/>
      <c r="E351" s="24"/>
      <c r="F351" s="24"/>
      <c r="G351" s="24"/>
      <c r="H351" s="24"/>
      <c r="I351" s="24"/>
      <c r="J351" s="24"/>
      <c r="K351" s="24"/>
      <c r="L351" s="24"/>
      <c r="M351" s="24"/>
      <c r="N351" s="1"/>
      <c r="O351" s="1"/>
      <c r="P351" s="1"/>
      <c r="Q351" s="1"/>
      <c r="R351" s="1"/>
      <c r="S351" s="1"/>
      <c r="T351" s="1"/>
      <c r="U351" s="1"/>
      <c r="V351" s="1"/>
      <c r="W351" s="1"/>
      <c r="X351" s="1"/>
      <c r="Y351" s="1"/>
      <c r="Z351" s="1"/>
      <c r="AA351" s="1"/>
      <c r="AB351" s="1"/>
    </row>
    <row r="352" ht="12.75" customHeight="1">
      <c r="A352" s="1"/>
      <c r="B352" s="146"/>
      <c r="C352" s="150"/>
      <c r="D352" s="151"/>
      <c r="E352" s="24"/>
      <c r="F352" s="24"/>
      <c r="G352" s="24"/>
      <c r="H352" s="24"/>
      <c r="I352" s="24"/>
      <c r="J352" s="24"/>
      <c r="K352" s="24"/>
      <c r="L352" s="24"/>
      <c r="M352" s="24"/>
      <c r="N352" s="1"/>
      <c r="O352" s="1"/>
      <c r="P352" s="1"/>
      <c r="Q352" s="1"/>
      <c r="R352" s="1"/>
      <c r="S352" s="1"/>
      <c r="T352" s="1"/>
      <c r="U352" s="1"/>
      <c r="V352" s="1"/>
      <c r="W352" s="1"/>
      <c r="X352" s="1"/>
      <c r="Y352" s="1"/>
      <c r="Z352" s="1"/>
      <c r="AA352" s="1"/>
      <c r="AB352" s="1"/>
    </row>
    <row r="353" ht="12.75" customHeight="1">
      <c r="A353" s="1"/>
      <c r="B353" s="146"/>
      <c r="C353" s="150"/>
      <c r="D353" s="151"/>
      <c r="E353" s="24"/>
      <c r="F353" s="24"/>
      <c r="G353" s="24"/>
      <c r="H353" s="24"/>
      <c r="I353" s="24"/>
      <c r="J353" s="24"/>
      <c r="K353" s="24"/>
      <c r="L353" s="24"/>
      <c r="M353" s="24"/>
      <c r="N353" s="1"/>
      <c r="O353" s="1"/>
      <c r="P353" s="1"/>
      <c r="Q353" s="1"/>
      <c r="R353" s="1"/>
      <c r="S353" s="1"/>
      <c r="T353" s="1"/>
      <c r="U353" s="1"/>
      <c r="V353" s="1"/>
      <c r="W353" s="1"/>
      <c r="X353" s="1"/>
      <c r="Y353" s="1"/>
      <c r="Z353" s="1"/>
      <c r="AA353" s="1"/>
      <c r="AB353" s="1"/>
    </row>
    <row r="354" ht="12.75" customHeight="1">
      <c r="A354" s="1"/>
      <c r="B354" s="146"/>
      <c r="C354" s="150"/>
      <c r="D354" s="151"/>
      <c r="E354" s="24"/>
      <c r="F354" s="24"/>
      <c r="G354" s="24"/>
      <c r="H354" s="24"/>
      <c r="I354" s="24"/>
      <c r="J354" s="24"/>
      <c r="K354" s="24"/>
      <c r="L354" s="24"/>
      <c r="M354" s="24"/>
      <c r="N354" s="1"/>
      <c r="O354" s="1"/>
      <c r="P354" s="1"/>
      <c r="Q354" s="1"/>
      <c r="R354" s="1"/>
      <c r="S354" s="1"/>
      <c r="T354" s="1"/>
      <c r="U354" s="1"/>
      <c r="V354" s="1"/>
      <c r="W354" s="1"/>
      <c r="X354" s="1"/>
      <c r="Y354" s="1"/>
      <c r="Z354" s="1"/>
      <c r="AA354" s="1"/>
      <c r="AB354" s="1"/>
    </row>
    <row r="355" ht="12.75" customHeight="1">
      <c r="A355" s="1"/>
      <c r="B355" s="146"/>
      <c r="C355" s="150"/>
      <c r="D355" s="151"/>
      <c r="E355" s="24"/>
      <c r="F355" s="24"/>
      <c r="G355" s="24"/>
      <c r="H355" s="24"/>
      <c r="I355" s="24"/>
      <c r="J355" s="24"/>
      <c r="K355" s="24"/>
      <c r="L355" s="24"/>
      <c r="M355" s="24"/>
      <c r="N355" s="1"/>
      <c r="O355" s="1"/>
      <c r="P355" s="1"/>
      <c r="Q355" s="1"/>
      <c r="R355" s="1"/>
      <c r="S355" s="1"/>
      <c r="T355" s="1"/>
      <c r="U355" s="1"/>
      <c r="V355" s="1"/>
      <c r="W355" s="1"/>
      <c r="X355" s="1"/>
      <c r="Y355" s="1"/>
      <c r="Z355" s="1"/>
      <c r="AA355" s="1"/>
      <c r="AB355" s="1"/>
    </row>
    <row r="356" ht="12.75" customHeight="1">
      <c r="A356" s="1"/>
      <c r="B356" s="146"/>
      <c r="C356" s="150"/>
      <c r="D356" s="151"/>
      <c r="E356" s="24"/>
      <c r="F356" s="24"/>
      <c r="G356" s="24"/>
      <c r="H356" s="24"/>
      <c r="I356" s="24"/>
      <c r="J356" s="24"/>
      <c r="K356" s="24"/>
      <c r="L356" s="24"/>
      <c r="M356" s="24"/>
      <c r="N356" s="1"/>
      <c r="O356" s="1"/>
      <c r="P356" s="1"/>
      <c r="Q356" s="1"/>
      <c r="R356" s="1"/>
      <c r="S356" s="1"/>
      <c r="T356" s="1"/>
      <c r="U356" s="1"/>
      <c r="V356" s="1"/>
      <c r="W356" s="1"/>
      <c r="X356" s="1"/>
      <c r="Y356" s="1"/>
      <c r="Z356" s="1"/>
      <c r="AA356" s="1"/>
      <c r="AB356" s="1"/>
    </row>
    <row r="357" ht="12.75" customHeight="1">
      <c r="A357" s="1"/>
      <c r="B357" s="146"/>
      <c r="C357" s="150"/>
      <c r="D357" s="151"/>
      <c r="E357" s="24"/>
      <c r="F357" s="24"/>
      <c r="G357" s="24"/>
      <c r="H357" s="24"/>
      <c r="I357" s="24"/>
      <c r="J357" s="24"/>
      <c r="K357" s="24"/>
      <c r="L357" s="24"/>
      <c r="M357" s="24"/>
      <c r="N357" s="1"/>
      <c r="O357" s="1"/>
      <c r="P357" s="1"/>
      <c r="Q357" s="1"/>
      <c r="R357" s="1"/>
      <c r="S357" s="1"/>
      <c r="T357" s="1"/>
      <c r="U357" s="1"/>
      <c r="V357" s="1"/>
      <c r="W357" s="1"/>
      <c r="X357" s="1"/>
      <c r="Y357" s="1"/>
      <c r="Z357" s="1"/>
      <c r="AA357" s="1"/>
      <c r="AB357" s="1"/>
    </row>
    <row r="358" ht="12.75" customHeight="1">
      <c r="A358" s="1"/>
      <c r="B358" s="146"/>
      <c r="C358" s="150"/>
      <c r="D358" s="151"/>
      <c r="E358" s="24"/>
      <c r="F358" s="24"/>
      <c r="G358" s="24"/>
      <c r="H358" s="24"/>
      <c r="I358" s="24"/>
      <c r="J358" s="24"/>
      <c r="K358" s="24"/>
      <c r="L358" s="24"/>
      <c r="M358" s="24"/>
      <c r="N358" s="1"/>
      <c r="O358" s="1"/>
      <c r="P358" s="1"/>
      <c r="Q358" s="1"/>
      <c r="R358" s="1"/>
      <c r="S358" s="1"/>
      <c r="T358" s="1"/>
      <c r="U358" s="1"/>
      <c r="V358" s="1"/>
      <c r="W358" s="1"/>
      <c r="X358" s="1"/>
      <c r="Y358" s="1"/>
      <c r="Z358" s="1"/>
      <c r="AA358" s="1"/>
      <c r="AB358" s="1"/>
    </row>
    <row r="359" ht="12.75" customHeight="1">
      <c r="A359" s="1"/>
      <c r="B359" s="146"/>
      <c r="C359" s="150"/>
      <c r="D359" s="151"/>
      <c r="E359" s="24"/>
      <c r="F359" s="24"/>
      <c r="G359" s="24"/>
      <c r="H359" s="24"/>
      <c r="I359" s="24"/>
      <c r="J359" s="24"/>
      <c r="K359" s="24"/>
      <c r="L359" s="24"/>
      <c r="M359" s="24"/>
      <c r="N359" s="1"/>
      <c r="O359" s="1"/>
      <c r="P359" s="1"/>
      <c r="Q359" s="1"/>
      <c r="R359" s="1"/>
      <c r="S359" s="1"/>
      <c r="T359" s="1"/>
      <c r="U359" s="1"/>
      <c r="V359" s="1"/>
      <c r="W359" s="1"/>
      <c r="X359" s="1"/>
      <c r="Y359" s="1"/>
      <c r="Z359" s="1"/>
      <c r="AA359" s="1"/>
      <c r="AB359" s="1"/>
    </row>
    <row r="360" ht="12.75" customHeight="1">
      <c r="A360" s="1"/>
      <c r="B360" s="146"/>
      <c r="C360" s="150"/>
      <c r="D360" s="151"/>
      <c r="E360" s="24"/>
      <c r="F360" s="24"/>
      <c r="G360" s="24"/>
      <c r="H360" s="24"/>
      <c r="I360" s="24"/>
      <c r="J360" s="24"/>
      <c r="K360" s="24"/>
      <c r="L360" s="24"/>
      <c r="M360" s="24"/>
      <c r="N360" s="1"/>
      <c r="O360" s="1"/>
      <c r="P360" s="1"/>
      <c r="Q360" s="1"/>
      <c r="R360" s="1"/>
      <c r="S360" s="1"/>
      <c r="T360" s="1"/>
      <c r="U360" s="1"/>
      <c r="V360" s="1"/>
      <c r="W360" s="1"/>
      <c r="X360" s="1"/>
      <c r="Y360" s="1"/>
      <c r="Z360" s="1"/>
      <c r="AA360" s="1"/>
      <c r="AB360" s="1"/>
    </row>
    <row r="361" ht="12.75" customHeight="1">
      <c r="A361" s="1"/>
      <c r="B361" s="146"/>
      <c r="C361" s="150"/>
      <c r="D361" s="151"/>
      <c r="E361" s="24"/>
      <c r="F361" s="24"/>
      <c r="G361" s="24"/>
      <c r="H361" s="24"/>
      <c r="I361" s="24"/>
      <c r="J361" s="24"/>
      <c r="K361" s="24"/>
      <c r="L361" s="24"/>
      <c r="M361" s="24"/>
      <c r="N361" s="1"/>
      <c r="O361" s="1"/>
      <c r="P361" s="1"/>
      <c r="Q361" s="1"/>
      <c r="R361" s="1"/>
      <c r="S361" s="1"/>
      <c r="T361" s="1"/>
      <c r="U361" s="1"/>
      <c r="V361" s="1"/>
      <c r="W361" s="1"/>
      <c r="X361" s="1"/>
      <c r="Y361" s="1"/>
      <c r="Z361" s="1"/>
      <c r="AA361" s="1"/>
      <c r="AB361" s="1"/>
    </row>
    <row r="362" ht="12.75" customHeight="1">
      <c r="A362" s="1"/>
      <c r="B362" s="146"/>
      <c r="C362" s="150"/>
      <c r="D362" s="151"/>
      <c r="E362" s="24"/>
      <c r="F362" s="24"/>
      <c r="G362" s="24"/>
      <c r="H362" s="24"/>
      <c r="I362" s="24"/>
      <c r="J362" s="24"/>
      <c r="K362" s="24"/>
      <c r="L362" s="24"/>
      <c r="M362" s="24"/>
      <c r="N362" s="1"/>
      <c r="O362" s="1"/>
      <c r="P362" s="1"/>
      <c r="Q362" s="1"/>
      <c r="R362" s="1"/>
      <c r="S362" s="1"/>
      <c r="T362" s="1"/>
      <c r="U362" s="1"/>
      <c r="V362" s="1"/>
      <c r="W362" s="1"/>
      <c r="X362" s="1"/>
      <c r="Y362" s="1"/>
      <c r="Z362" s="1"/>
      <c r="AA362" s="1"/>
      <c r="AB362" s="1"/>
    </row>
    <row r="363" ht="12.75" customHeight="1">
      <c r="A363" s="1"/>
      <c r="B363" s="146"/>
      <c r="C363" s="150"/>
      <c r="D363" s="151"/>
      <c r="E363" s="24"/>
      <c r="F363" s="24"/>
      <c r="G363" s="24"/>
      <c r="H363" s="24"/>
      <c r="I363" s="24"/>
      <c r="J363" s="24"/>
      <c r="K363" s="24"/>
      <c r="L363" s="24"/>
      <c r="M363" s="24"/>
      <c r="N363" s="1"/>
      <c r="O363" s="1"/>
      <c r="P363" s="1"/>
      <c r="Q363" s="1"/>
      <c r="R363" s="1"/>
      <c r="S363" s="1"/>
      <c r="T363" s="1"/>
      <c r="U363" s="1"/>
      <c r="V363" s="1"/>
      <c r="W363" s="1"/>
      <c r="X363" s="1"/>
      <c r="Y363" s="1"/>
      <c r="Z363" s="1"/>
      <c r="AA363" s="1"/>
      <c r="AB363" s="1"/>
    </row>
    <row r="364" ht="12.75" customHeight="1">
      <c r="A364" s="1"/>
      <c r="B364" s="146"/>
      <c r="C364" s="150"/>
      <c r="D364" s="151"/>
      <c r="E364" s="24"/>
      <c r="F364" s="24"/>
      <c r="G364" s="24"/>
      <c r="H364" s="24"/>
      <c r="I364" s="24"/>
      <c r="J364" s="24"/>
      <c r="K364" s="24"/>
      <c r="L364" s="24"/>
      <c r="M364" s="24"/>
      <c r="N364" s="1"/>
      <c r="O364" s="1"/>
      <c r="P364" s="1"/>
      <c r="Q364" s="1"/>
      <c r="R364" s="1"/>
      <c r="S364" s="1"/>
      <c r="T364" s="1"/>
      <c r="U364" s="1"/>
      <c r="V364" s="1"/>
      <c r="W364" s="1"/>
      <c r="X364" s="1"/>
      <c r="Y364" s="1"/>
      <c r="Z364" s="1"/>
      <c r="AA364" s="1"/>
      <c r="AB364" s="1"/>
    </row>
    <row r="365" ht="12.75" customHeight="1">
      <c r="A365" s="1"/>
      <c r="B365" s="146"/>
      <c r="C365" s="150"/>
      <c r="D365" s="151"/>
      <c r="E365" s="24"/>
      <c r="F365" s="24"/>
      <c r="G365" s="24"/>
      <c r="H365" s="24"/>
      <c r="I365" s="24"/>
      <c r="J365" s="24"/>
      <c r="K365" s="24"/>
      <c r="L365" s="24"/>
      <c r="M365" s="24"/>
      <c r="N365" s="1"/>
      <c r="O365" s="1"/>
      <c r="P365" s="1"/>
      <c r="Q365" s="1"/>
      <c r="R365" s="1"/>
      <c r="S365" s="1"/>
      <c r="T365" s="1"/>
      <c r="U365" s="1"/>
      <c r="V365" s="1"/>
      <c r="W365" s="1"/>
      <c r="X365" s="1"/>
      <c r="Y365" s="1"/>
      <c r="Z365" s="1"/>
      <c r="AA365" s="1"/>
      <c r="AB365" s="1"/>
    </row>
    <row r="366" ht="12.75" customHeight="1">
      <c r="A366" s="1"/>
      <c r="B366" s="146"/>
      <c r="C366" s="150"/>
      <c r="D366" s="151"/>
      <c r="E366" s="24"/>
      <c r="F366" s="24"/>
      <c r="G366" s="24"/>
      <c r="H366" s="24"/>
      <c r="I366" s="24"/>
      <c r="J366" s="24"/>
      <c r="K366" s="24"/>
      <c r="L366" s="24"/>
      <c r="M366" s="24"/>
      <c r="N366" s="1"/>
      <c r="O366" s="1"/>
      <c r="P366" s="1"/>
      <c r="Q366" s="1"/>
      <c r="R366" s="1"/>
      <c r="S366" s="1"/>
      <c r="T366" s="1"/>
      <c r="U366" s="1"/>
      <c r="V366" s="1"/>
      <c r="W366" s="1"/>
      <c r="X366" s="1"/>
      <c r="Y366" s="1"/>
      <c r="Z366" s="1"/>
      <c r="AA366" s="1"/>
      <c r="AB366" s="1"/>
    </row>
    <row r="367" ht="12.75" customHeight="1">
      <c r="A367" s="1"/>
      <c r="B367" s="146"/>
      <c r="C367" s="150"/>
      <c r="D367" s="151"/>
      <c r="E367" s="24"/>
      <c r="F367" s="24"/>
      <c r="G367" s="24"/>
      <c r="H367" s="24"/>
      <c r="I367" s="24"/>
      <c r="J367" s="24"/>
      <c r="K367" s="24"/>
      <c r="L367" s="24"/>
      <c r="M367" s="24"/>
      <c r="N367" s="1"/>
      <c r="O367" s="1"/>
      <c r="P367" s="1"/>
      <c r="Q367" s="1"/>
      <c r="R367" s="1"/>
      <c r="S367" s="1"/>
      <c r="T367" s="1"/>
      <c r="U367" s="1"/>
      <c r="V367" s="1"/>
      <c r="W367" s="1"/>
      <c r="X367" s="1"/>
      <c r="Y367" s="1"/>
      <c r="Z367" s="1"/>
      <c r="AA367" s="1"/>
      <c r="AB367" s="1"/>
    </row>
    <row r="368" ht="12.75" customHeight="1">
      <c r="A368" s="1"/>
      <c r="B368" s="146"/>
      <c r="C368" s="150"/>
      <c r="D368" s="151"/>
      <c r="E368" s="24"/>
      <c r="F368" s="24"/>
      <c r="G368" s="24"/>
      <c r="H368" s="24"/>
      <c r="I368" s="24"/>
      <c r="J368" s="24"/>
      <c r="K368" s="24"/>
      <c r="L368" s="24"/>
      <c r="M368" s="24"/>
      <c r="N368" s="1"/>
      <c r="O368" s="1"/>
      <c r="P368" s="1"/>
      <c r="Q368" s="1"/>
      <c r="R368" s="1"/>
      <c r="S368" s="1"/>
      <c r="T368" s="1"/>
      <c r="U368" s="1"/>
      <c r="V368" s="1"/>
      <c r="W368" s="1"/>
      <c r="X368" s="1"/>
      <c r="Y368" s="1"/>
      <c r="Z368" s="1"/>
      <c r="AA368" s="1"/>
      <c r="AB368" s="1"/>
    </row>
    <row r="369" ht="12.75" customHeight="1">
      <c r="A369" s="1"/>
      <c r="B369" s="146"/>
      <c r="C369" s="150"/>
      <c r="D369" s="151"/>
      <c r="E369" s="24"/>
      <c r="F369" s="24"/>
      <c r="G369" s="24"/>
      <c r="H369" s="24"/>
      <c r="I369" s="24"/>
      <c r="J369" s="24"/>
      <c r="K369" s="24"/>
      <c r="L369" s="24"/>
      <c r="M369" s="24"/>
      <c r="N369" s="1"/>
      <c r="O369" s="1"/>
      <c r="P369" s="1"/>
      <c r="Q369" s="1"/>
      <c r="R369" s="1"/>
      <c r="S369" s="1"/>
      <c r="T369" s="1"/>
      <c r="U369" s="1"/>
      <c r="V369" s="1"/>
      <c r="W369" s="1"/>
      <c r="X369" s="1"/>
      <c r="Y369" s="1"/>
      <c r="Z369" s="1"/>
      <c r="AA369" s="1"/>
      <c r="AB369" s="1"/>
    </row>
    <row r="370" ht="12.75" customHeight="1">
      <c r="A370" s="1"/>
      <c r="B370" s="146"/>
      <c r="C370" s="150"/>
      <c r="D370" s="151"/>
      <c r="E370" s="24"/>
      <c r="F370" s="24"/>
      <c r="G370" s="24"/>
      <c r="H370" s="24"/>
      <c r="I370" s="24"/>
      <c r="J370" s="24"/>
      <c r="K370" s="24"/>
      <c r="L370" s="24"/>
      <c r="M370" s="24"/>
      <c r="N370" s="1"/>
      <c r="O370" s="1"/>
      <c r="P370" s="1"/>
      <c r="Q370" s="1"/>
      <c r="R370" s="1"/>
      <c r="S370" s="1"/>
      <c r="T370" s="1"/>
      <c r="U370" s="1"/>
      <c r="V370" s="1"/>
      <c r="W370" s="1"/>
      <c r="X370" s="1"/>
      <c r="Y370" s="1"/>
      <c r="Z370" s="1"/>
      <c r="AA370" s="1"/>
      <c r="AB370" s="1"/>
    </row>
    <row r="371" ht="12.75" customHeight="1">
      <c r="A371" s="1"/>
      <c r="B371" s="146"/>
      <c r="C371" s="150"/>
      <c r="D371" s="151"/>
      <c r="E371" s="24"/>
      <c r="F371" s="24"/>
      <c r="G371" s="24"/>
      <c r="H371" s="24"/>
      <c r="I371" s="24"/>
      <c r="J371" s="24"/>
      <c r="K371" s="24"/>
      <c r="L371" s="24"/>
      <c r="M371" s="24"/>
      <c r="N371" s="1"/>
      <c r="O371" s="1"/>
      <c r="P371" s="1"/>
      <c r="Q371" s="1"/>
      <c r="R371" s="1"/>
      <c r="S371" s="1"/>
      <c r="T371" s="1"/>
      <c r="U371" s="1"/>
      <c r="V371" s="1"/>
      <c r="W371" s="1"/>
      <c r="X371" s="1"/>
      <c r="Y371" s="1"/>
      <c r="Z371" s="1"/>
      <c r="AA371" s="1"/>
      <c r="AB371" s="1"/>
    </row>
    <row r="372" ht="12.75" customHeight="1">
      <c r="A372" s="1"/>
      <c r="B372" s="146"/>
      <c r="C372" s="150"/>
      <c r="D372" s="151"/>
      <c r="E372" s="24"/>
      <c r="F372" s="24"/>
      <c r="G372" s="24"/>
      <c r="H372" s="24"/>
      <c r="I372" s="24"/>
      <c r="J372" s="24"/>
      <c r="K372" s="24"/>
      <c r="L372" s="24"/>
      <c r="M372" s="24"/>
      <c r="N372" s="1"/>
      <c r="O372" s="1"/>
      <c r="P372" s="1"/>
      <c r="Q372" s="1"/>
      <c r="R372" s="1"/>
      <c r="S372" s="1"/>
      <c r="T372" s="1"/>
      <c r="U372" s="1"/>
      <c r="V372" s="1"/>
      <c r="W372" s="1"/>
      <c r="X372" s="1"/>
      <c r="Y372" s="1"/>
      <c r="Z372" s="1"/>
      <c r="AA372" s="1"/>
      <c r="AB372" s="1"/>
    </row>
    <row r="373" ht="12.75" customHeight="1">
      <c r="A373" s="1"/>
      <c r="B373" s="146"/>
      <c r="C373" s="150"/>
      <c r="D373" s="151"/>
      <c r="E373" s="24"/>
      <c r="F373" s="24"/>
      <c r="G373" s="24"/>
      <c r="H373" s="24"/>
      <c r="I373" s="24"/>
      <c r="J373" s="24"/>
      <c r="K373" s="24"/>
      <c r="L373" s="24"/>
      <c r="M373" s="24"/>
      <c r="N373" s="1"/>
      <c r="O373" s="1"/>
      <c r="P373" s="1"/>
      <c r="Q373" s="1"/>
      <c r="R373" s="1"/>
      <c r="S373" s="1"/>
      <c r="T373" s="1"/>
      <c r="U373" s="1"/>
      <c r="V373" s="1"/>
      <c r="W373" s="1"/>
      <c r="X373" s="1"/>
      <c r="Y373" s="1"/>
      <c r="Z373" s="1"/>
      <c r="AA373" s="1"/>
      <c r="AB373" s="1"/>
    </row>
    <row r="374" ht="12.75" customHeight="1">
      <c r="A374" s="1"/>
      <c r="B374" s="146"/>
      <c r="C374" s="150"/>
      <c r="D374" s="151"/>
      <c r="E374" s="24"/>
      <c r="F374" s="24"/>
      <c r="G374" s="24"/>
      <c r="H374" s="24"/>
      <c r="I374" s="24"/>
      <c r="J374" s="24"/>
      <c r="K374" s="24"/>
      <c r="L374" s="24"/>
      <c r="M374" s="24"/>
      <c r="N374" s="1"/>
      <c r="O374" s="1"/>
      <c r="P374" s="1"/>
      <c r="Q374" s="1"/>
      <c r="R374" s="1"/>
      <c r="S374" s="1"/>
      <c r="T374" s="1"/>
      <c r="U374" s="1"/>
      <c r="V374" s="1"/>
      <c r="W374" s="1"/>
      <c r="X374" s="1"/>
      <c r="Y374" s="1"/>
      <c r="Z374" s="1"/>
      <c r="AA374" s="1"/>
      <c r="AB374" s="1"/>
    </row>
    <row r="375" ht="12.75" customHeight="1">
      <c r="A375" s="1"/>
      <c r="B375" s="146"/>
      <c r="C375" s="150"/>
      <c r="D375" s="151"/>
      <c r="E375" s="24"/>
      <c r="F375" s="24"/>
      <c r="G375" s="24"/>
      <c r="H375" s="24"/>
      <c r="I375" s="24"/>
      <c r="J375" s="24"/>
      <c r="K375" s="24"/>
      <c r="L375" s="24"/>
      <c r="M375" s="24"/>
      <c r="N375" s="1"/>
      <c r="O375" s="1"/>
      <c r="P375" s="1"/>
      <c r="Q375" s="1"/>
      <c r="R375" s="1"/>
      <c r="S375" s="1"/>
      <c r="T375" s="1"/>
      <c r="U375" s="1"/>
      <c r="V375" s="1"/>
      <c r="W375" s="1"/>
      <c r="X375" s="1"/>
      <c r="Y375" s="1"/>
      <c r="Z375" s="1"/>
      <c r="AA375" s="1"/>
      <c r="AB375" s="1"/>
    </row>
    <row r="376" ht="12.75" customHeight="1">
      <c r="A376" s="1"/>
      <c r="B376" s="146"/>
      <c r="C376" s="150"/>
      <c r="D376" s="151"/>
      <c r="E376" s="24"/>
      <c r="F376" s="24"/>
      <c r="G376" s="24"/>
      <c r="H376" s="24"/>
      <c r="I376" s="24"/>
      <c r="J376" s="24"/>
      <c r="K376" s="24"/>
      <c r="L376" s="24"/>
      <c r="M376" s="24"/>
      <c r="N376" s="1"/>
      <c r="O376" s="1"/>
      <c r="P376" s="1"/>
      <c r="Q376" s="1"/>
      <c r="R376" s="1"/>
      <c r="S376" s="1"/>
      <c r="T376" s="1"/>
      <c r="U376" s="1"/>
      <c r="V376" s="1"/>
      <c r="W376" s="1"/>
      <c r="X376" s="1"/>
      <c r="Y376" s="1"/>
      <c r="Z376" s="1"/>
      <c r="AA376" s="1"/>
      <c r="AB376" s="1"/>
    </row>
    <row r="377" ht="12.75" customHeight="1">
      <c r="A377" s="1"/>
      <c r="B377" s="146"/>
      <c r="C377" s="150"/>
      <c r="D377" s="151"/>
      <c r="E377" s="24"/>
      <c r="F377" s="24"/>
      <c r="G377" s="24"/>
      <c r="H377" s="24"/>
      <c r="I377" s="24"/>
      <c r="J377" s="24"/>
      <c r="K377" s="24"/>
      <c r="L377" s="24"/>
      <c r="M377" s="24"/>
      <c r="N377" s="1"/>
      <c r="O377" s="1"/>
      <c r="P377" s="1"/>
      <c r="Q377" s="1"/>
      <c r="R377" s="1"/>
      <c r="S377" s="1"/>
      <c r="T377" s="1"/>
      <c r="U377" s="1"/>
      <c r="V377" s="1"/>
      <c r="W377" s="1"/>
      <c r="X377" s="1"/>
      <c r="Y377" s="1"/>
      <c r="Z377" s="1"/>
      <c r="AA377" s="1"/>
      <c r="AB377" s="1"/>
    </row>
    <row r="378" ht="12.75" customHeight="1">
      <c r="A378" s="1"/>
      <c r="B378" s="146"/>
      <c r="C378" s="150"/>
      <c r="D378" s="151"/>
      <c r="E378" s="24"/>
      <c r="F378" s="24"/>
      <c r="G378" s="24"/>
      <c r="H378" s="24"/>
      <c r="I378" s="24"/>
      <c r="J378" s="24"/>
      <c r="K378" s="24"/>
      <c r="L378" s="24"/>
      <c r="M378" s="24"/>
      <c r="N378" s="1"/>
      <c r="O378" s="1"/>
      <c r="P378" s="1"/>
      <c r="Q378" s="1"/>
      <c r="R378" s="1"/>
      <c r="S378" s="1"/>
      <c r="T378" s="1"/>
      <c r="U378" s="1"/>
      <c r="V378" s="1"/>
      <c r="W378" s="1"/>
      <c r="X378" s="1"/>
      <c r="Y378" s="1"/>
      <c r="Z378" s="1"/>
      <c r="AA378" s="1"/>
      <c r="AB378" s="1"/>
    </row>
    <row r="379" ht="12.75" customHeight="1">
      <c r="A379" s="1"/>
      <c r="B379" s="146"/>
      <c r="C379" s="150"/>
      <c r="D379" s="151"/>
      <c r="E379" s="24"/>
      <c r="F379" s="24"/>
      <c r="G379" s="24"/>
      <c r="H379" s="24"/>
      <c r="I379" s="24"/>
      <c r="J379" s="24"/>
      <c r="K379" s="24"/>
      <c r="L379" s="24"/>
      <c r="M379" s="24"/>
      <c r="N379" s="1"/>
      <c r="O379" s="1"/>
      <c r="P379" s="1"/>
      <c r="Q379" s="1"/>
      <c r="R379" s="1"/>
      <c r="S379" s="1"/>
      <c r="T379" s="1"/>
      <c r="U379" s="1"/>
      <c r="V379" s="1"/>
      <c r="W379" s="1"/>
      <c r="X379" s="1"/>
      <c r="Y379" s="1"/>
      <c r="Z379" s="1"/>
      <c r="AA379" s="1"/>
      <c r="AB379" s="1"/>
    </row>
    <row r="380" ht="12.75" customHeight="1">
      <c r="A380" s="1"/>
      <c r="B380" s="146"/>
      <c r="C380" s="150"/>
      <c r="D380" s="151"/>
      <c r="E380" s="24"/>
      <c r="F380" s="24"/>
      <c r="G380" s="24"/>
      <c r="H380" s="24"/>
      <c r="I380" s="24"/>
      <c r="J380" s="24"/>
      <c r="K380" s="24"/>
      <c r="L380" s="24"/>
      <c r="M380" s="24"/>
      <c r="N380" s="1"/>
      <c r="O380" s="1"/>
      <c r="P380" s="1"/>
      <c r="Q380" s="1"/>
      <c r="R380" s="1"/>
      <c r="S380" s="1"/>
      <c r="T380" s="1"/>
      <c r="U380" s="1"/>
      <c r="V380" s="1"/>
      <c r="W380" s="1"/>
      <c r="X380" s="1"/>
      <c r="Y380" s="1"/>
      <c r="Z380" s="1"/>
      <c r="AA380" s="1"/>
      <c r="AB380" s="1"/>
    </row>
    <row r="381" ht="12.75" customHeight="1">
      <c r="A381" s="1"/>
      <c r="B381" s="146"/>
      <c r="C381" s="150"/>
      <c r="D381" s="151"/>
      <c r="E381" s="24"/>
      <c r="F381" s="24"/>
      <c r="G381" s="24"/>
      <c r="H381" s="24"/>
      <c r="I381" s="24"/>
      <c r="J381" s="24"/>
      <c r="K381" s="24"/>
      <c r="L381" s="24"/>
      <c r="M381" s="24"/>
      <c r="N381" s="1"/>
      <c r="O381" s="1"/>
      <c r="P381" s="1"/>
      <c r="Q381" s="1"/>
      <c r="R381" s="1"/>
      <c r="S381" s="1"/>
      <c r="T381" s="1"/>
      <c r="U381" s="1"/>
      <c r="V381" s="1"/>
      <c r="W381" s="1"/>
      <c r="X381" s="1"/>
      <c r="Y381" s="1"/>
      <c r="Z381" s="1"/>
      <c r="AA381" s="1"/>
      <c r="AB381" s="1"/>
    </row>
    <row r="382" ht="12.75" customHeight="1">
      <c r="A382" s="1"/>
      <c r="B382" s="146"/>
      <c r="C382" s="150"/>
      <c r="D382" s="151"/>
      <c r="E382" s="24"/>
      <c r="F382" s="24"/>
      <c r="G382" s="24"/>
      <c r="H382" s="24"/>
      <c r="I382" s="24"/>
      <c r="J382" s="24"/>
      <c r="K382" s="24"/>
      <c r="L382" s="24"/>
      <c r="M382" s="24"/>
      <c r="N382" s="1"/>
      <c r="O382" s="1"/>
      <c r="P382" s="1"/>
      <c r="Q382" s="1"/>
      <c r="R382" s="1"/>
      <c r="S382" s="1"/>
      <c r="T382" s="1"/>
      <c r="U382" s="1"/>
      <c r="V382" s="1"/>
      <c r="W382" s="1"/>
      <c r="X382" s="1"/>
      <c r="Y382" s="1"/>
      <c r="Z382" s="1"/>
      <c r="AA382" s="1"/>
      <c r="AB382" s="1"/>
    </row>
    <row r="383" ht="12.75" customHeight="1">
      <c r="A383" s="1"/>
      <c r="B383" s="146"/>
      <c r="C383" s="150"/>
      <c r="D383" s="151"/>
      <c r="E383" s="24"/>
      <c r="F383" s="24"/>
      <c r="G383" s="24"/>
      <c r="H383" s="24"/>
      <c r="I383" s="24"/>
      <c r="J383" s="24"/>
      <c r="K383" s="24"/>
      <c r="L383" s="24"/>
      <c r="M383" s="24"/>
      <c r="N383" s="1"/>
      <c r="O383" s="1"/>
      <c r="P383" s="1"/>
      <c r="Q383" s="1"/>
      <c r="R383" s="1"/>
      <c r="S383" s="1"/>
      <c r="T383" s="1"/>
      <c r="U383" s="1"/>
      <c r="V383" s="1"/>
      <c r="W383" s="1"/>
      <c r="X383" s="1"/>
      <c r="Y383" s="1"/>
      <c r="Z383" s="1"/>
      <c r="AA383" s="1"/>
      <c r="AB383" s="1"/>
    </row>
    <row r="384" ht="12.75" customHeight="1">
      <c r="A384" s="1"/>
      <c r="B384" s="146"/>
      <c r="C384" s="150"/>
      <c r="D384" s="151"/>
      <c r="E384" s="24"/>
      <c r="F384" s="24"/>
      <c r="G384" s="24"/>
      <c r="H384" s="24"/>
      <c r="I384" s="24"/>
      <c r="J384" s="24"/>
      <c r="K384" s="24"/>
      <c r="L384" s="24"/>
      <c r="M384" s="24"/>
      <c r="N384" s="1"/>
      <c r="O384" s="1"/>
      <c r="P384" s="1"/>
      <c r="Q384" s="1"/>
      <c r="R384" s="1"/>
      <c r="S384" s="1"/>
      <c r="T384" s="1"/>
      <c r="U384" s="1"/>
      <c r="V384" s="1"/>
      <c r="W384" s="1"/>
      <c r="X384" s="1"/>
      <c r="Y384" s="1"/>
      <c r="Z384" s="1"/>
      <c r="AA384" s="1"/>
      <c r="AB384" s="1"/>
    </row>
    <row r="385" ht="12.75" customHeight="1">
      <c r="A385" s="1"/>
      <c r="B385" s="146"/>
      <c r="C385" s="150"/>
      <c r="D385" s="151"/>
      <c r="E385" s="24"/>
      <c r="F385" s="24"/>
      <c r="G385" s="24"/>
      <c r="H385" s="24"/>
      <c r="I385" s="24"/>
      <c r="J385" s="24"/>
      <c r="K385" s="24"/>
      <c r="L385" s="24"/>
      <c r="M385" s="24"/>
      <c r="N385" s="1"/>
      <c r="O385" s="1"/>
      <c r="P385" s="1"/>
      <c r="Q385" s="1"/>
      <c r="R385" s="1"/>
      <c r="S385" s="1"/>
      <c r="T385" s="1"/>
      <c r="U385" s="1"/>
      <c r="V385" s="1"/>
      <c r="W385" s="1"/>
      <c r="X385" s="1"/>
      <c r="Y385" s="1"/>
      <c r="Z385" s="1"/>
      <c r="AA385" s="1"/>
      <c r="AB385" s="1"/>
    </row>
    <row r="386" ht="12.75" customHeight="1">
      <c r="A386" s="1"/>
      <c r="B386" s="146"/>
      <c r="C386" s="150"/>
      <c r="D386" s="151"/>
      <c r="E386" s="24"/>
      <c r="F386" s="24"/>
      <c r="G386" s="24"/>
      <c r="H386" s="24"/>
      <c r="I386" s="24"/>
      <c r="J386" s="24"/>
      <c r="K386" s="24"/>
      <c r="L386" s="24"/>
      <c r="M386" s="24"/>
      <c r="N386" s="1"/>
      <c r="O386" s="1"/>
      <c r="P386" s="1"/>
      <c r="Q386" s="1"/>
      <c r="R386" s="1"/>
      <c r="S386" s="1"/>
      <c r="T386" s="1"/>
      <c r="U386" s="1"/>
      <c r="V386" s="1"/>
      <c r="W386" s="1"/>
      <c r="X386" s="1"/>
      <c r="Y386" s="1"/>
      <c r="Z386" s="1"/>
      <c r="AA386" s="1"/>
      <c r="AB386" s="1"/>
    </row>
    <row r="387" ht="12.75" customHeight="1">
      <c r="A387" s="1"/>
      <c r="B387" s="146"/>
      <c r="C387" s="150"/>
      <c r="D387" s="151"/>
      <c r="E387" s="24"/>
      <c r="F387" s="24"/>
      <c r="G387" s="24"/>
      <c r="H387" s="24"/>
      <c r="I387" s="24"/>
      <c r="J387" s="24"/>
      <c r="K387" s="24"/>
      <c r="L387" s="24"/>
      <c r="M387" s="24"/>
      <c r="N387" s="1"/>
      <c r="O387" s="1"/>
      <c r="P387" s="1"/>
      <c r="Q387" s="1"/>
      <c r="R387" s="1"/>
      <c r="S387" s="1"/>
      <c r="T387" s="1"/>
      <c r="U387" s="1"/>
      <c r="V387" s="1"/>
      <c r="W387" s="1"/>
      <c r="X387" s="1"/>
      <c r="Y387" s="1"/>
      <c r="Z387" s="1"/>
      <c r="AA387" s="1"/>
      <c r="AB387" s="1"/>
    </row>
    <row r="388" ht="12.75" customHeight="1">
      <c r="A388" s="1"/>
      <c r="B388" s="146"/>
      <c r="C388" s="150"/>
      <c r="D388" s="151"/>
      <c r="E388" s="24"/>
      <c r="F388" s="24"/>
      <c r="G388" s="24"/>
      <c r="H388" s="24"/>
      <c r="I388" s="24"/>
      <c r="J388" s="24"/>
      <c r="K388" s="24"/>
      <c r="L388" s="24"/>
      <c r="M388" s="24"/>
      <c r="N388" s="1"/>
      <c r="O388" s="1"/>
      <c r="P388" s="1"/>
      <c r="Q388" s="1"/>
      <c r="R388" s="1"/>
      <c r="S388" s="1"/>
      <c r="T388" s="1"/>
      <c r="U388" s="1"/>
      <c r="V388" s="1"/>
      <c r="W388" s="1"/>
      <c r="X388" s="1"/>
      <c r="Y388" s="1"/>
      <c r="Z388" s="1"/>
      <c r="AA388" s="1"/>
      <c r="AB388" s="1"/>
    </row>
    <row r="389" ht="12.75" customHeight="1">
      <c r="A389" s="1"/>
      <c r="B389" s="146"/>
      <c r="C389" s="150"/>
      <c r="D389" s="151"/>
      <c r="E389" s="24"/>
      <c r="F389" s="24"/>
      <c r="G389" s="24"/>
      <c r="H389" s="24"/>
      <c r="I389" s="24"/>
      <c r="J389" s="24"/>
      <c r="K389" s="24"/>
      <c r="L389" s="24"/>
      <c r="M389" s="24"/>
      <c r="N389" s="1"/>
      <c r="O389" s="1"/>
      <c r="P389" s="1"/>
      <c r="Q389" s="1"/>
      <c r="R389" s="1"/>
      <c r="S389" s="1"/>
      <c r="T389" s="1"/>
      <c r="U389" s="1"/>
      <c r="V389" s="1"/>
      <c r="W389" s="1"/>
      <c r="X389" s="1"/>
      <c r="Y389" s="1"/>
      <c r="Z389" s="1"/>
      <c r="AA389" s="1"/>
      <c r="AB389" s="1"/>
    </row>
    <row r="390" ht="12.75" customHeight="1">
      <c r="A390" s="1"/>
      <c r="B390" s="146"/>
      <c r="C390" s="150"/>
      <c r="D390" s="151"/>
      <c r="E390" s="24"/>
      <c r="F390" s="24"/>
      <c r="G390" s="24"/>
      <c r="H390" s="24"/>
      <c r="I390" s="24"/>
      <c r="J390" s="24"/>
      <c r="K390" s="24"/>
      <c r="L390" s="24"/>
      <c r="M390" s="24"/>
      <c r="N390" s="1"/>
      <c r="O390" s="1"/>
      <c r="P390" s="1"/>
      <c r="Q390" s="1"/>
      <c r="R390" s="1"/>
      <c r="S390" s="1"/>
      <c r="T390" s="1"/>
      <c r="U390" s="1"/>
      <c r="V390" s="1"/>
      <c r="W390" s="1"/>
      <c r="X390" s="1"/>
      <c r="Y390" s="1"/>
      <c r="Z390" s="1"/>
      <c r="AA390" s="1"/>
      <c r="AB390" s="1"/>
    </row>
    <row r="391" ht="12.75" customHeight="1">
      <c r="A391" s="1"/>
      <c r="B391" s="146"/>
      <c r="C391" s="150"/>
      <c r="D391" s="151"/>
      <c r="E391" s="24"/>
      <c r="F391" s="24"/>
      <c r="G391" s="24"/>
      <c r="H391" s="24"/>
      <c r="I391" s="24"/>
      <c r="J391" s="24"/>
      <c r="K391" s="24"/>
      <c r="L391" s="24"/>
      <c r="M391" s="24"/>
      <c r="N391" s="1"/>
      <c r="O391" s="1"/>
      <c r="P391" s="1"/>
      <c r="Q391" s="1"/>
      <c r="R391" s="1"/>
      <c r="S391" s="1"/>
      <c r="T391" s="1"/>
      <c r="U391" s="1"/>
      <c r="V391" s="1"/>
      <c r="W391" s="1"/>
      <c r="X391" s="1"/>
      <c r="Y391" s="1"/>
      <c r="Z391" s="1"/>
      <c r="AA391" s="1"/>
      <c r="AB391" s="1"/>
    </row>
    <row r="392" ht="12.75" customHeight="1">
      <c r="A392" s="1"/>
      <c r="B392" s="146"/>
      <c r="C392" s="150"/>
      <c r="D392" s="151"/>
      <c r="E392" s="24"/>
      <c r="F392" s="24"/>
      <c r="G392" s="24"/>
      <c r="H392" s="24"/>
      <c r="I392" s="24"/>
      <c r="J392" s="24"/>
      <c r="K392" s="24"/>
      <c r="L392" s="24"/>
      <c r="M392" s="24"/>
      <c r="N392" s="1"/>
      <c r="O392" s="1"/>
      <c r="P392" s="1"/>
      <c r="Q392" s="1"/>
      <c r="R392" s="1"/>
      <c r="S392" s="1"/>
      <c r="T392" s="1"/>
      <c r="U392" s="1"/>
      <c r="V392" s="1"/>
      <c r="W392" s="1"/>
      <c r="X392" s="1"/>
      <c r="Y392" s="1"/>
      <c r="Z392" s="1"/>
      <c r="AA392" s="1"/>
      <c r="AB392" s="1"/>
    </row>
    <row r="393" ht="12.75" customHeight="1">
      <c r="A393" s="1"/>
      <c r="B393" s="146"/>
      <c r="C393" s="150"/>
      <c r="D393" s="151"/>
      <c r="E393" s="24"/>
      <c r="F393" s="24"/>
      <c r="G393" s="24"/>
      <c r="H393" s="24"/>
      <c r="I393" s="24"/>
      <c r="J393" s="24"/>
      <c r="K393" s="24"/>
      <c r="L393" s="24"/>
      <c r="M393" s="24"/>
      <c r="N393" s="1"/>
      <c r="O393" s="1"/>
      <c r="P393" s="1"/>
      <c r="Q393" s="1"/>
      <c r="R393" s="1"/>
      <c r="S393" s="1"/>
      <c r="T393" s="1"/>
      <c r="U393" s="1"/>
      <c r="V393" s="1"/>
      <c r="W393" s="1"/>
      <c r="X393" s="1"/>
      <c r="Y393" s="1"/>
      <c r="Z393" s="1"/>
      <c r="AA393" s="1"/>
      <c r="AB393" s="1"/>
    </row>
    <row r="394" ht="12.75" customHeight="1">
      <c r="A394" s="1"/>
      <c r="B394" s="146"/>
      <c r="C394" s="150"/>
      <c r="D394" s="151"/>
      <c r="E394" s="24"/>
      <c r="F394" s="24"/>
      <c r="G394" s="24"/>
      <c r="H394" s="24"/>
      <c r="I394" s="24"/>
      <c r="J394" s="24"/>
      <c r="K394" s="24"/>
      <c r="L394" s="24"/>
      <c r="M394" s="24"/>
      <c r="N394" s="1"/>
      <c r="O394" s="1"/>
      <c r="P394" s="1"/>
      <c r="Q394" s="1"/>
      <c r="R394" s="1"/>
      <c r="S394" s="1"/>
      <c r="T394" s="1"/>
      <c r="U394" s="1"/>
      <c r="V394" s="1"/>
      <c r="W394" s="1"/>
      <c r="X394" s="1"/>
      <c r="Y394" s="1"/>
      <c r="Z394" s="1"/>
      <c r="AA394" s="1"/>
      <c r="AB394" s="1"/>
    </row>
    <row r="395" ht="12.75" customHeight="1">
      <c r="A395" s="1"/>
      <c r="B395" s="146"/>
      <c r="C395" s="150"/>
      <c r="D395" s="151"/>
      <c r="E395" s="24"/>
      <c r="F395" s="24"/>
      <c r="G395" s="24"/>
      <c r="H395" s="24"/>
      <c r="I395" s="24"/>
      <c r="J395" s="24"/>
      <c r="K395" s="24"/>
      <c r="L395" s="24"/>
      <c r="M395" s="24"/>
      <c r="N395" s="1"/>
      <c r="O395" s="1"/>
      <c r="P395" s="1"/>
      <c r="Q395" s="1"/>
      <c r="R395" s="1"/>
      <c r="S395" s="1"/>
      <c r="T395" s="1"/>
      <c r="U395" s="1"/>
      <c r="V395" s="1"/>
      <c r="W395" s="1"/>
      <c r="X395" s="1"/>
      <c r="Y395" s="1"/>
      <c r="Z395" s="1"/>
      <c r="AA395" s="1"/>
      <c r="AB395" s="1"/>
    </row>
    <row r="396" ht="12.75" customHeight="1">
      <c r="A396" s="1"/>
      <c r="B396" s="146"/>
      <c r="C396" s="150"/>
      <c r="D396" s="151"/>
      <c r="E396" s="24"/>
      <c r="F396" s="24"/>
      <c r="G396" s="24"/>
      <c r="H396" s="24"/>
      <c r="I396" s="24"/>
      <c r="J396" s="24"/>
      <c r="K396" s="24"/>
      <c r="L396" s="24"/>
      <c r="M396" s="24"/>
      <c r="N396" s="1"/>
      <c r="O396" s="1"/>
      <c r="P396" s="1"/>
      <c r="Q396" s="1"/>
      <c r="R396" s="1"/>
      <c r="S396" s="1"/>
      <c r="T396" s="1"/>
      <c r="U396" s="1"/>
      <c r="V396" s="1"/>
      <c r="W396" s="1"/>
      <c r="X396" s="1"/>
      <c r="Y396" s="1"/>
      <c r="Z396" s="1"/>
      <c r="AA396" s="1"/>
      <c r="AB396" s="1"/>
    </row>
    <row r="397" ht="12.75" customHeight="1">
      <c r="A397" s="1"/>
      <c r="B397" s="146"/>
      <c r="C397" s="150"/>
      <c r="D397" s="151"/>
      <c r="E397" s="24"/>
      <c r="F397" s="24"/>
      <c r="G397" s="24"/>
      <c r="H397" s="24"/>
      <c r="I397" s="24"/>
      <c r="J397" s="24"/>
      <c r="K397" s="24"/>
      <c r="L397" s="24"/>
      <c r="M397" s="24"/>
      <c r="N397" s="1"/>
      <c r="O397" s="1"/>
      <c r="P397" s="1"/>
      <c r="Q397" s="1"/>
      <c r="R397" s="1"/>
      <c r="S397" s="1"/>
      <c r="T397" s="1"/>
      <c r="U397" s="1"/>
      <c r="V397" s="1"/>
      <c r="W397" s="1"/>
      <c r="X397" s="1"/>
      <c r="Y397" s="1"/>
      <c r="Z397" s="1"/>
      <c r="AA397" s="1"/>
      <c r="AB397" s="1"/>
    </row>
    <row r="398" ht="12.75" customHeight="1">
      <c r="A398" s="1"/>
      <c r="B398" s="146"/>
      <c r="C398" s="150"/>
      <c r="D398" s="151"/>
      <c r="E398" s="24"/>
      <c r="F398" s="24"/>
      <c r="G398" s="24"/>
      <c r="H398" s="24"/>
      <c r="I398" s="24"/>
      <c r="J398" s="24"/>
      <c r="K398" s="24"/>
      <c r="L398" s="24"/>
      <c r="M398" s="24"/>
      <c r="N398" s="1"/>
      <c r="O398" s="1"/>
      <c r="P398" s="1"/>
      <c r="Q398" s="1"/>
      <c r="R398" s="1"/>
      <c r="S398" s="1"/>
      <c r="T398" s="1"/>
      <c r="U398" s="1"/>
      <c r="V398" s="1"/>
      <c r="W398" s="1"/>
      <c r="X398" s="1"/>
      <c r="Y398" s="1"/>
      <c r="Z398" s="1"/>
      <c r="AA398" s="1"/>
      <c r="AB398" s="1"/>
    </row>
    <row r="399" ht="12.75" customHeight="1">
      <c r="A399" s="1"/>
      <c r="B399" s="146"/>
      <c r="C399" s="150"/>
      <c r="D399" s="151"/>
      <c r="E399" s="24"/>
      <c r="F399" s="24"/>
      <c r="G399" s="24"/>
      <c r="H399" s="24"/>
      <c r="I399" s="24"/>
      <c r="J399" s="24"/>
      <c r="K399" s="24"/>
      <c r="L399" s="24"/>
      <c r="M399" s="24"/>
      <c r="N399" s="1"/>
      <c r="O399" s="1"/>
      <c r="P399" s="1"/>
      <c r="Q399" s="1"/>
      <c r="R399" s="1"/>
      <c r="S399" s="1"/>
      <c r="T399" s="1"/>
      <c r="U399" s="1"/>
      <c r="V399" s="1"/>
      <c r="W399" s="1"/>
      <c r="X399" s="1"/>
      <c r="Y399" s="1"/>
      <c r="Z399" s="1"/>
      <c r="AA399" s="1"/>
      <c r="AB399" s="1"/>
    </row>
    <row r="400" ht="12.75" customHeight="1">
      <c r="A400" s="1"/>
      <c r="B400" s="146"/>
      <c r="C400" s="150"/>
      <c r="D400" s="151"/>
      <c r="E400" s="24"/>
      <c r="F400" s="24"/>
      <c r="G400" s="24"/>
      <c r="H400" s="24"/>
      <c r="I400" s="24"/>
      <c r="J400" s="24"/>
      <c r="K400" s="24"/>
      <c r="L400" s="24"/>
      <c r="M400" s="24"/>
      <c r="N400" s="1"/>
      <c r="O400" s="1"/>
      <c r="P400" s="1"/>
      <c r="Q400" s="1"/>
      <c r="R400" s="1"/>
      <c r="S400" s="1"/>
      <c r="T400" s="1"/>
      <c r="U400" s="1"/>
      <c r="V400" s="1"/>
      <c r="W400" s="1"/>
      <c r="X400" s="1"/>
      <c r="Y400" s="1"/>
      <c r="Z400" s="1"/>
      <c r="AA400" s="1"/>
      <c r="AB400" s="1"/>
    </row>
    <row r="401" ht="12.75" customHeight="1">
      <c r="A401" s="1"/>
      <c r="B401" s="146"/>
      <c r="C401" s="150"/>
      <c r="D401" s="151"/>
      <c r="E401" s="24"/>
      <c r="F401" s="24"/>
      <c r="G401" s="24"/>
      <c r="H401" s="24"/>
      <c r="I401" s="24"/>
      <c r="J401" s="24"/>
      <c r="K401" s="24"/>
      <c r="L401" s="24"/>
      <c r="M401" s="24"/>
      <c r="N401" s="1"/>
      <c r="O401" s="1"/>
      <c r="P401" s="1"/>
      <c r="Q401" s="1"/>
      <c r="R401" s="1"/>
      <c r="S401" s="1"/>
      <c r="T401" s="1"/>
      <c r="U401" s="1"/>
      <c r="V401" s="1"/>
      <c r="W401" s="1"/>
      <c r="X401" s="1"/>
      <c r="Y401" s="1"/>
      <c r="Z401" s="1"/>
      <c r="AA401" s="1"/>
      <c r="AB401" s="1"/>
    </row>
    <row r="402" ht="12.75" customHeight="1">
      <c r="A402" s="1"/>
      <c r="B402" s="146"/>
      <c r="C402" s="150"/>
      <c r="D402" s="151"/>
      <c r="E402" s="24"/>
      <c r="F402" s="24"/>
      <c r="G402" s="24"/>
      <c r="H402" s="24"/>
      <c r="I402" s="24"/>
      <c r="J402" s="24"/>
      <c r="K402" s="24"/>
      <c r="L402" s="24"/>
      <c r="M402" s="24"/>
      <c r="N402" s="1"/>
      <c r="O402" s="1"/>
      <c r="P402" s="1"/>
      <c r="Q402" s="1"/>
      <c r="R402" s="1"/>
      <c r="S402" s="1"/>
      <c r="T402" s="1"/>
      <c r="U402" s="1"/>
      <c r="V402" s="1"/>
      <c r="W402" s="1"/>
      <c r="X402" s="1"/>
      <c r="Y402" s="1"/>
      <c r="Z402" s="1"/>
      <c r="AA402" s="1"/>
      <c r="AB402" s="1"/>
    </row>
    <row r="403" ht="12.75" customHeight="1">
      <c r="A403" s="1"/>
      <c r="B403" s="146"/>
      <c r="C403" s="150"/>
      <c r="D403" s="151"/>
      <c r="E403" s="24"/>
      <c r="F403" s="24"/>
      <c r="G403" s="24"/>
      <c r="H403" s="24"/>
      <c r="I403" s="24"/>
      <c r="J403" s="24"/>
      <c r="K403" s="24"/>
      <c r="L403" s="24"/>
      <c r="M403" s="24"/>
      <c r="N403" s="1"/>
      <c r="O403" s="1"/>
      <c r="P403" s="1"/>
      <c r="Q403" s="1"/>
      <c r="R403" s="1"/>
      <c r="S403" s="1"/>
      <c r="T403" s="1"/>
      <c r="U403" s="1"/>
      <c r="V403" s="1"/>
      <c r="W403" s="1"/>
      <c r="X403" s="1"/>
      <c r="Y403" s="1"/>
      <c r="Z403" s="1"/>
      <c r="AA403" s="1"/>
      <c r="AB403" s="1"/>
    </row>
    <row r="404" ht="12.75" customHeight="1">
      <c r="A404" s="1"/>
      <c r="B404" s="146"/>
      <c r="C404" s="150"/>
      <c r="D404" s="151"/>
      <c r="E404" s="24"/>
      <c r="F404" s="24"/>
      <c r="G404" s="24"/>
      <c r="H404" s="24"/>
      <c r="I404" s="24"/>
      <c r="J404" s="24"/>
      <c r="K404" s="24"/>
      <c r="L404" s="24"/>
      <c r="M404" s="24"/>
      <c r="N404" s="1"/>
      <c r="O404" s="1"/>
      <c r="P404" s="1"/>
      <c r="Q404" s="1"/>
      <c r="R404" s="1"/>
      <c r="S404" s="1"/>
      <c r="T404" s="1"/>
      <c r="U404" s="1"/>
      <c r="V404" s="1"/>
      <c r="W404" s="1"/>
      <c r="X404" s="1"/>
      <c r="Y404" s="1"/>
      <c r="Z404" s="1"/>
      <c r="AA404" s="1"/>
      <c r="AB404" s="1"/>
    </row>
    <row r="405" ht="12.75" customHeight="1">
      <c r="A405" s="1"/>
      <c r="B405" s="146"/>
      <c r="C405" s="150"/>
      <c r="D405" s="151"/>
      <c r="E405" s="24"/>
      <c r="F405" s="24"/>
      <c r="G405" s="24"/>
      <c r="H405" s="24"/>
      <c r="I405" s="24"/>
      <c r="J405" s="24"/>
      <c r="K405" s="24"/>
      <c r="L405" s="24"/>
      <c r="M405" s="24"/>
      <c r="N405" s="1"/>
      <c r="O405" s="1"/>
      <c r="P405" s="1"/>
      <c r="Q405" s="1"/>
      <c r="R405" s="1"/>
      <c r="S405" s="1"/>
      <c r="T405" s="1"/>
      <c r="U405" s="1"/>
      <c r="V405" s="1"/>
      <c r="W405" s="1"/>
      <c r="X405" s="1"/>
      <c r="Y405" s="1"/>
      <c r="Z405" s="1"/>
      <c r="AA405" s="1"/>
      <c r="AB405" s="1"/>
    </row>
    <row r="406" ht="12.75" customHeight="1">
      <c r="A406" s="1"/>
      <c r="B406" s="146"/>
      <c r="C406" s="150"/>
      <c r="D406" s="151"/>
      <c r="E406" s="24"/>
      <c r="F406" s="24"/>
      <c r="G406" s="24"/>
      <c r="H406" s="24"/>
      <c r="I406" s="24"/>
      <c r="J406" s="24"/>
      <c r="K406" s="24"/>
      <c r="L406" s="24"/>
      <c r="M406" s="24"/>
      <c r="N406" s="1"/>
      <c r="O406" s="1"/>
      <c r="P406" s="1"/>
      <c r="Q406" s="1"/>
      <c r="R406" s="1"/>
      <c r="S406" s="1"/>
      <c r="T406" s="1"/>
      <c r="U406" s="1"/>
      <c r="V406" s="1"/>
      <c r="W406" s="1"/>
      <c r="X406" s="1"/>
      <c r="Y406" s="1"/>
      <c r="Z406" s="1"/>
      <c r="AA406" s="1"/>
      <c r="AB406" s="1"/>
    </row>
    <row r="407" ht="12.75" customHeight="1">
      <c r="A407" s="1"/>
      <c r="B407" s="146"/>
      <c r="C407" s="150"/>
      <c r="D407" s="151"/>
      <c r="E407" s="24"/>
      <c r="F407" s="24"/>
      <c r="G407" s="24"/>
      <c r="H407" s="24"/>
      <c r="I407" s="24"/>
      <c r="J407" s="24"/>
      <c r="K407" s="24"/>
      <c r="L407" s="24"/>
      <c r="M407" s="24"/>
      <c r="N407" s="1"/>
      <c r="O407" s="1"/>
      <c r="P407" s="1"/>
      <c r="Q407" s="1"/>
      <c r="R407" s="1"/>
      <c r="S407" s="1"/>
      <c r="T407" s="1"/>
      <c r="U407" s="1"/>
      <c r="V407" s="1"/>
      <c r="W407" s="1"/>
      <c r="X407" s="1"/>
      <c r="Y407" s="1"/>
      <c r="Z407" s="1"/>
      <c r="AA407" s="1"/>
      <c r="AB407" s="1"/>
    </row>
    <row r="408" ht="12.75" customHeight="1">
      <c r="A408" s="1"/>
      <c r="B408" s="146"/>
      <c r="C408" s="150"/>
      <c r="D408" s="151"/>
      <c r="E408" s="24"/>
      <c r="F408" s="24"/>
      <c r="G408" s="24"/>
      <c r="H408" s="24"/>
      <c r="I408" s="24"/>
      <c r="J408" s="24"/>
      <c r="K408" s="24"/>
      <c r="L408" s="24"/>
      <c r="M408" s="24"/>
      <c r="N408" s="1"/>
      <c r="O408" s="1"/>
      <c r="P408" s="1"/>
      <c r="Q408" s="1"/>
      <c r="R408" s="1"/>
      <c r="S408" s="1"/>
      <c r="T408" s="1"/>
      <c r="U408" s="1"/>
      <c r="V408" s="1"/>
      <c r="W408" s="1"/>
      <c r="X408" s="1"/>
      <c r="Y408" s="1"/>
      <c r="Z408" s="1"/>
      <c r="AA408" s="1"/>
      <c r="AB408" s="1"/>
    </row>
    <row r="409" ht="12.75" customHeight="1">
      <c r="A409" s="1"/>
      <c r="B409" s="146"/>
      <c r="C409" s="150"/>
      <c r="D409" s="151"/>
      <c r="E409" s="24"/>
      <c r="F409" s="24"/>
      <c r="G409" s="24"/>
      <c r="H409" s="24"/>
      <c r="I409" s="24"/>
      <c r="J409" s="24"/>
      <c r="K409" s="24"/>
      <c r="L409" s="24"/>
      <c r="M409" s="24"/>
      <c r="N409" s="1"/>
      <c r="O409" s="1"/>
      <c r="P409" s="1"/>
      <c r="Q409" s="1"/>
      <c r="R409" s="1"/>
      <c r="S409" s="1"/>
      <c r="T409" s="1"/>
      <c r="U409" s="1"/>
      <c r="V409" s="1"/>
      <c r="W409" s="1"/>
      <c r="X409" s="1"/>
      <c r="Y409" s="1"/>
      <c r="Z409" s="1"/>
      <c r="AA409" s="1"/>
      <c r="AB409" s="1"/>
    </row>
    <row r="410" ht="12.75" customHeight="1">
      <c r="A410" s="1"/>
      <c r="B410" s="146"/>
      <c r="C410" s="150"/>
      <c r="D410" s="151"/>
      <c r="E410" s="24"/>
      <c r="F410" s="24"/>
      <c r="G410" s="24"/>
      <c r="H410" s="24"/>
      <c r="I410" s="24"/>
      <c r="J410" s="24"/>
      <c r="K410" s="24"/>
      <c r="L410" s="24"/>
      <c r="M410" s="24"/>
      <c r="N410" s="1"/>
      <c r="O410" s="1"/>
      <c r="P410" s="1"/>
      <c r="Q410" s="1"/>
      <c r="R410" s="1"/>
      <c r="S410" s="1"/>
      <c r="T410" s="1"/>
      <c r="U410" s="1"/>
      <c r="V410" s="1"/>
      <c r="W410" s="1"/>
      <c r="X410" s="1"/>
      <c r="Y410" s="1"/>
      <c r="Z410" s="1"/>
      <c r="AA410" s="1"/>
      <c r="AB410" s="1"/>
    </row>
    <row r="411" ht="12.75" customHeight="1">
      <c r="A411" s="1"/>
      <c r="B411" s="146"/>
      <c r="C411" s="150"/>
      <c r="D411" s="151"/>
      <c r="E411" s="24"/>
      <c r="F411" s="24"/>
      <c r="G411" s="24"/>
      <c r="H411" s="24"/>
      <c r="I411" s="24"/>
      <c r="J411" s="24"/>
      <c r="K411" s="24"/>
      <c r="L411" s="24"/>
      <c r="M411" s="24"/>
      <c r="N411" s="1"/>
      <c r="O411" s="1"/>
      <c r="P411" s="1"/>
      <c r="Q411" s="1"/>
      <c r="R411" s="1"/>
      <c r="S411" s="1"/>
      <c r="T411" s="1"/>
      <c r="U411" s="1"/>
      <c r="V411" s="1"/>
      <c r="W411" s="1"/>
      <c r="X411" s="1"/>
      <c r="Y411" s="1"/>
      <c r="Z411" s="1"/>
      <c r="AA411" s="1"/>
      <c r="AB411" s="1"/>
    </row>
    <row r="412" ht="12.75" customHeight="1">
      <c r="A412" s="1"/>
      <c r="B412" s="146"/>
      <c r="C412" s="150"/>
      <c r="D412" s="151"/>
      <c r="E412" s="24"/>
      <c r="F412" s="24"/>
      <c r="G412" s="24"/>
      <c r="H412" s="24"/>
      <c r="I412" s="24"/>
      <c r="J412" s="24"/>
      <c r="K412" s="24"/>
      <c r="L412" s="24"/>
      <c r="M412" s="24"/>
      <c r="N412" s="1"/>
      <c r="O412" s="1"/>
      <c r="P412" s="1"/>
      <c r="Q412" s="1"/>
      <c r="R412" s="1"/>
      <c r="S412" s="1"/>
      <c r="T412" s="1"/>
      <c r="U412" s="1"/>
      <c r="V412" s="1"/>
      <c r="W412" s="1"/>
      <c r="X412" s="1"/>
      <c r="Y412" s="1"/>
      <c r="Z412" s="1"/>
      <c r="AA412" s="1"/>
      <c r="AB412" s="1"/>
    </row>
    <row r="413" ht="12.75" customHeight="1">
      <c r="A413" s="1"/>
      <c r="B413" s="146"/>
      <c r="C413" s="150"/>
      <c r="D413" s="151"/>
      <c r="E413" s="24"/>
      <c r="F413" s="24"/>
      <c r="G413" s="24"/>
      <c r="H413" s="24"/>
      <c r="I413" s="24"/>
      <c r="J413" s="24"/>
      <c r="K413" s="24"/>
      <c r="L413" s="24"/>
      <c r="M413" s="24"/>
      <c r="N413" s="1"/>
      <c r="O413" s="1"/>
      <c r="P413" s="1"/>
      <c r="Q413" s="1"/>
      <c r="R413" s="1"/>
      <c r="S413" s="1"/>
      <c r="T413" s="1"/>
      <c r="U413" s="1"/>
      <c r="V413" s="1"/>
      <c r="W413" s="1"/>
      <c r="X413" s="1"/>
      <c r="Y413" s="1"/>
      <c r="Z413" s="1"/>
      <c r="AA413" s="1"/>
      <c r="AB413" s="1"/>
    </row>
    <row r="414" ht="12.75" customHeight="1">
      <c r="A414" s="1"/>
      <c r="B414" s="146"/>
      <c r="C414" s="150"/>
      <c r="D414" s="151"/>
      <c r="E414" s="24"/>
      <c r="F414" s="24"/>
      <c r="G414" s="24"/>
      <c r="H414" s="24"/>
      <c r="I414" s="24"/>
      <c r="J414" s="24"/>
      <c r="K414" s="24"/>
      <c r="L414" s="24"/>
      <c r="M414" s="24"/>
      <c r="N414" s="1"/>
      <c r="O414" s="1"/>
      <c r="P414" s="1"/>
      <c r="Q414" s="1"/>
      <c r="R414" s="1"/>
      <c r="S414" s="1"/>
      <c r="T414" s="1"/>
      <c r="U414" s="1"/>
      <c r="V414" s="1"/>
      <c r="W414" s="1"/>
      <c r="X414" s="1"/>
      <c r="Y414" s="1"/>
      <c r="Z414" s="1"/>
      <c r="AA414" s="1"/>
      <c r="AB414" s="1"/>
    </row>
    <row r="415" ht="12.75" customHeight="1">
      <c r="A415" s="1"/>
      <c r="B415" s="146"/>
      <c r="C415" s="150"/>
      <c r="D415" s="151"/>
      <c r="E415" s="24"/>
      <c r="F415" s="24"/>
      <c r="G415" s="24"/>
      <c r="H415" s="24"/>
      <c r="I415" s="24"/>
      <c r="J415" s="24"/>
      <c r="K415" s="24"/>
      <c r="L415" s="24"/>
      <c r="M415" s="24"/>
      <c r="N415" s="1"/>
      <c r="O415" s="1"/>
      <c r="P415" s="1"/>
      <c r="Q415" s="1"/>
      <c r="R415" s="1"/>
      <c r="S415" s="1"/>
      <c r="T415" s="1"/>
      <c r="U415" s="1"/>
      <c r="V415" s="1"/>
      <c r="W415" s="1"/>
      <c r="X415" s="1"/>
      <c r="Y415" s="1"/>
      <c r="Z415" s="1"/>
      <c r="AA415" s="1"/>
      <c r="AB415" s="1"/>
    </row>
    <row r="416" ht="12.75" customHeight="1">
      <c r="A416" s="1"/>
      <c r="B416" s="146"/>
      <c r="C416" s="150"/>
      <c r="D416" s="151"/>
      <c r="E416" s="24"/>
      <c r="F416" s="24"/>
      <c r="G416" s="24"/>
      <c r="H416" s="24"/>
      <c r="I416" s="24"/>
      <c r="J416" s="24"/>
      <c r="K416" s="24"/>
      <c r="L416" s="24"/>
      <c r="M416" s="24"/>
      <c r="N416" s="1"/>
      <c r="O416" s="1"/>
      <c r="P416" s="1"/>
      <c r="Q416" s="1"/>
      <c r="R416" s="1"/>
      <c r="S416" s="1"/>
      <c r="T416" s="1"/>
      <c r="U416" s="1"/>
      <c r="V416" s="1"/>
      <c r="W416" s="1"/>
      <c r="X416" s="1"/>
      <c r="Y416" s="1"/>
      <c r="Z416" s="1"/>
      <c r="AA416" s="1"/>
      <c r="AB416" s="1"/>
    </row>
    <row r="417" ht="12.75" customHeight="1">
      <c r="A417" s="1"/>
      <c r="B417" s="146"/>
      <c r="C417" s="150"/>
      <c r="D417" s="151"/>
      <c r="E417" s="24"/>
      <c r="F417" s="24"/>
      <c r="G417" s="24"/>
      <c r="H417" s="24"/>
      <c r="I417" s="24"/>
      <c r="J417" s="24"/>
      <c r="K417" s="24"/>
      <c r="L417" s="24"/>
      <c r="M417" s="24"/>
      <c r="N417" s="1"/>
      <c r="O417" s="1"/>
      <c r="P417" s="1"/>
      <c r="Q417" s="1"/>
      <c r="R417" s="1"/>
      <c r="S417" s="1"/>
      <c r="T417" s="1"/>
      <c r="U417" s="1"/>
      <c r="V417" s="1"/>
      <c r="W417" s="1"/>
      <c r="X417" s="1"/>
      <c r="Y417" s="1"/>
      <c r="Z417" s="1"/>
      <c r="AA417" s="1"/>
      <c r="AB417" s="1"/>
    </row>
    <row r="418" ht="12.75" customHeight="1">
      <c r="A418" s="1"/>
      <c r="B418" s="146"/>
      <c r="C418" s="150"/>
      <c r="D418" s="151"/>
      <c r="E418" s="24"/>
      <c r="F418" s="24"/>
      <c r="G418" s="24"/>
      <c r="H418" s="24"/>
      <c r="I418" s="24"/>
      <c r="J418" s="24"/>
      <c r="K418" s="24"/>
      <c r="L418" s="24"/>
      <c r="M418" s="24"/>
      <c r="N418" s="1"/>
      <c r="O418" s="1"/>
      <c r="P418" s="1"/>
      <c r="Q418" s="1"/>
      <c r="R418" s="1"/>
      <c r="S418" s="1"/>
      <c r="T418" s="1"/>
      <c r="U418" s="1"/>
      <c r="V418" s="1"/>
      <c r="W418" s="1"/>
      <c r="X418" s="1"/>
      <c r="Y418" s="1"/>
      <c r="Z418" s="1"/>
      <c r="AA418" s="1"/>
      <c r="AB418" s="1"/>
    </row>
    <row r="419" ht="12.75" customHeight="1">
      <c r="A419" s="1"/>
      <c r="B419" s="146"/>
      <c r="C419" s="150"/>
      <c r="D419" s="151"/>
      <c r="E419" s="24"/>
      <c r="F419" s="24"/>
      <c r="G419" s="24"/>
      <c r="H419" s="24"/>
      <c r="I419" s="24"/>
      <c r="J419" s="24"/>
      <c r="K419" s="24"/>
      <c r="L419" s="24"/>
      <c r="M419" s="24"/>
      <c r="N419" s="1"/>
      <c r="O419" s="1"/>
      <c r="P419" s="1"/>
      <c r="Q419" s="1"/>
      <c r="R419" s="1"/>
      <c r="S419" s="1"/>
      <c r="T419" s="1"/>
      <c r="U419" s="1"/>
      <c r="V419" s="1"/>
      <c r="W419" s="1"/>
      <c r="X419" s="1"/>
      <c r="Y419" s="1"/>
      <c r="Z419" s="1"/>
      <c r="AA419" s="1"/>
      <c r="AB419" s="1"/>
    </row>
    <row r="420" ht="12.75" customHeight="1">
      <c r="A420" s="1"/>
      <c r="B420" s="146"/>
      <c r="C420" s="150"/>
      <c r="D420" s="151"/>
      <c r="E420" s="24"/>
      <c r="F420" s="24"/>
      <c r="G420" s="24"/>
      <c r="H420" s="24"/>
      <c r="I420" s="24"/>
      <c r="J420" s="24"/>
      <c r="K420" s="24"/>
      <c r="L420" s="24"/>
      <c r="M420" s="24"/>
      <c r="N420" s="1"/>
      <c r="O420" s="1"/>
      <c r="P420" s="1"/>
      <c r="Q420" s="1"/>
      <c r="R420" s="1"/>
      <c r="S420" s="1"/>
      <c r="T420" s="1"/>
      <c r="U420" s="1"/>
      <c r="V420" s="1"/>
      <c r="W420" s="1"/>
      <c r="X420" s="1"/>
      <c r="Y420" s="1"/>
      <c r="Z420" s="1"/>
      <c r="AA420" s="1"/>
      <c r="AB420" s="1"/>
    </row>
    <row r="421" ht="12.75" customHeight="1">
      <c r="A421" s="1"/>
      <c r="B421" s="146"/>
      <c r="C421" s="150"/>
      <c r="D421" s="151"/>
      <c r="E421" s="24"/>
      <c r="F421" s="24"/>
      <c r="G421" s="24"/>
      <c r="H421" s="24"/>
      <c r="I421" s="24"/>
      <c r="J421" s="24"/>
      <c r="K421" s="24"/>
      <c r="L421" s="24"/>
      <c r="M421" s="24"/>
      <c r="N421" s="1"/>
      <c r="O421" s="1"/>
      <c r="P421" s="1"/>
      <c r="Q421" s="1"/>
      <c r="R421" s="1"/>
      <c r="S421" s="1"/>
      <c r="T421" s="1"/>
      <c r="U421" s="1"/>
      <c r="V421" s="1"/>
      <c r="W421" s="1"/>
      <c r="X421" s="1"/>
      <c r="Y421" s="1"/>
      <c r="Z421" s="1"/>
      <c r="AA421" s="1"/>
      <c r="AB421" s="1"/>
    </row>
    <row r="422" ht="12.75" customHeight="1">
      <c r="A422" s="1"/>
      <c r="B422" s="146"/>
      <c r="C422" s="150"/>
      <c r="D422" s="151"/>
      <c r="E422" s="24"/>
      <c r="F422" s="24"/>
      <c r="G422" s="24"/>
      <c r="H422" s="24"/>
      <c r="I422" s="24"/>
      <c r="J422" s="24"/>
      <c r="K422" s="24"/>
      <c r="L422" s="24"/>
      <c r="M422" s="24"/>
      <c r="N422" s="1"/>
      <c r="O422" s="1"/>
      <c r="P422" s="1"/>
      <c r="Q422" s="1"/>
      <c r="R422" s="1"/>
      <c r="S422" s="1"/>
      <c r="T422" s="1"/>
      <c r="U422" s="1"/>
      <c r="V422" s="1"/>
      <c r="W422" s="1"/>
      <c r="X422" s="1"/>
      <c r="Y422" s="1"/>
      <c r="Z422" s="1"/>
      <c r="AA422" s="1"/>
      <c r="AB422" s="1"/>
    </row>
    <row r="423" ht="12.75" customHeight="1">
      <c r="A423" s="1"/>
      <c r="B423" s="146"/>
      <c r="C423" s="150"/>
      <c r="D423" s="151"/>
      <c r="E423" s="24"/>
      <c r="F423" s="24"/>
      <c r="G423" s="24"/>
      <c r="H423" s="24"/>
      <c r="I423" s="24"/>
      <c r="J423" s="24"/>
      <c r="K423" s="24"/>
      <c r="L423" s="24"/>
      <c r="M423" s="24"/>
      <c r="N423" s="1"/>
      <c r="O423" s="1"/>
      <c r="P423" s="1"/>
      <c r="Q423" s="1"/>
      <c r="R423" s="1"/>
      <c r="S423" s="1"/>
      <c r="T423" s="1"/>
      <c r="U423" s="1"/>
      <c r="V423" s="1"/>
      <c r="W423" s="1"/>
      <c r="X423" s="1"/>
      <c r="Y423" s="1"/>
      <c r="Z423" s="1"/>
      <c r="AA423" s="1"/>
      <c r="AB423" s="1"/>
    </row>
    <row r="424" ht="12.75" customHeight="1">
      <c r="A424" s="1"/>
      <c r="B424" s="146"/>
      <c r="C424" s="150"/>
      <c r="D424" s="151"/>
      <c r="E424" s="24"/>
      <c r="F424" s="24"/>
      <c r="G424" s="24"/>
      <c r="H424" s="24"/>
      <c r="I424" s="24"/>
      <c r="J424" s="24"/>
      <c r="K424" s="24"/>
      <c r="L424" s="24"/>
      <c r="M424" s="24"/>
      <c r="N424" s="1"/>
      <c r="O424" s="1"/>
      <c r="P424" s="1"/>
      <c r="Q424" s="1"/>
      <c r="R424" s="1"/>
      <c r="S424" s="1"/>
      <c r="T424" s="1"/>
      <c r="U424" s="1"/>
      <c r="V424" s="1"/>
      <c r="W424" s="1"/>
      <c r="X424" s="1"/>
      <c r="Y424" s="1"/>
      <c r="Z424" s="1"/>
      <c r="AA424" s="1"/>
      <c r="AB424" s="1"/>
    </row>
    <row r="425" ht="12.75" customHeight="1">
      <c r="A425" s="1"/>
      <c r="B425" s="146"/>
      <c r="C425" s="150"/>
      <c r="D425" s="151"/>
      <c r="E425" s="24"/>
      <c r="F425" s="24"/>
      <c r="G425" s="24"/>
      <c r="H425" s="24"/>
      <c r="I425" s="24"/>
      <c r="J425" s="24"/>
      <c r="K425" s="24"/>
      <c r="L425" s="24"/>
      <c r="M425" s="24"/>
      <c r="N425" s="1"/>
      <c r="O425" s="1"/>
      <c r="P425" s="1"/>
      <c r="Q425" s="1"/>
      <c r="R425" s="1"/>
      <c r="S425" s="1"/>
      <c r="T425" s="1"/>
      <c r="U425" s="1"/>
      <c r="V425" s="1"/>
      <c r="W425" s="1"/>
      <c r="X425" s="1"/>
      <c r="Y425" s="1"/>
      <c r="Z425" s="1"/>
      <c r="AA425" s="1"/>
      <c r="AB425" s="1"/>
    </row>
    <row r="426" ht="12.75" customHeight="1">
      <c r="A426" s="1"/>
      <c r="B426" s="146"/>
      <c r="C426" s="150"/>
      <c r="D426" s="151"/>
      <c r="E426" s="24"/>
      <c r="F426" s="24"/>
      <c r="G426" s="24"/>
      <c r="H426" s="24"/>
      <c r="I426" s="24"/>
      <c r="J426" s="24"/>
      <c r="K426" s="24"/>
      <c r="L426" s="24"/>
      <c r="M426" s="24"/>
      <c r="N426" s="1"/>
      <c r="O426" s="1"/>
      <c r="P426" s="1"/>
      <c r="Q426" s="1"/>
      <c r="R426" s="1"/>
      <c r="S426" s="1"/>
      <c r="T426" s="1"/>
      <c r="U426" s="1"/>
      <c r="V426" s="1"/>
      <c r="W426" s="1"/>
      <c r="X426" s="1"/>
      <c r="Y426" s="1"/>
      <c r="Z426" s="1"/>
      <c r="AA426" s="1"/>
      <c r="AB426" s="1"/>
    </row>
    <row r="427" ht="12.75" customHeight="1">
      <c r="A427" s="1"/>
      <c r="B427" s="146"/>
      <c r="C427" s="150"/>
      <c r="D427" s="151"/>
      <c r="E427" s="24"/>
      <c r="F427" s="24"/>
      <c r="G427" s="24"/>
      <c r="H427" s="24"/>
      <c r="I427" s="24"/>
      <c r="J427" s="24"/>
      <c r="K427" s="24"/>
      <c r="L427" s="24"/>
      <c r="M427" s="24"/>
      <c r="N427" s="1"/>
      <c r="O427" s="1"/>
      <c r="P427" s="1"/>
      <c r="Q427" s="1"/>
      <c r="R427" s="1"/>
      <c r="S427" s="1"/>
      <c r="T427" s="1"/>
      <c r="U427" s="1"/>
      <c r="V427" s="1"/>
      <c r="W427" s="1"/>
      <c r="X427" s="1"/>
      <c r="Y427" s="1"/>
      <c r="Z427" s="1"/>
      <c r="AA427" s="1"/>
      <c r="AB427" s="1"/>
    </row>
    <row r="428" ht="12.75" customHeight="1">
      <c r="A428" s="1"/>
      <c r="B428" s="146"/>
      <c r="C428" s="150"/>
      <c r="D428" s="151"/>
      <c r="E428" s="24"/>
      <c r="F428" s="24"/>
      <c r="G428" s="24"/>
      <c r="H428" s="24"/>
      <c r="I428" s="24"/>
      <c r="J428" s="24"/>
      <c r="K428" s="24"/>
      <c r="L428" s="24"/>
      <c r="M428" s="24"/>
      <c r="N428" s="1"/>
      <c r="O428" s="1"/>
      <c r="P428" s="1"/>
      <c r="Q428" s="1"/>
      <c r="R428" s="1"/>
      <c r="S428" s="1"/>
      <c r="T428" s="1"/>
      <c r="U428" s="1"/>
      <c r="V428" s="1"/>
      <c r="W428" s="1"/>
      <c r="X428" s="1"/>
      <c r="Y428" s="1"/>
      <c r="Z428" s="1"/>
      <c r="AA428" s="1"/>
      <c r="AB428" s="1"/>
    </row>
    <row r="429" ht="12.75" customHeight="1">
      <c r="A429" s="1"/>
      <c r="B429" s="146"/>
      <c r="C429" s="150"/>
      <c r="D429" s="151"/>
      <c r="E429" s="24"/>
      <c r="F429" s="24"/>
      <c r="G429" s="24"/>
      <c r="H429" s="24"/>
      <c r="I429" s="24"/>
      <c r="J429" s="24"/>
      <c r="K429" s="24"/>
      <c r="L429" s="24"/>
      <c r="M429" s="24"/>
      <c r="N429" s="1"/>
      <c r="O429" s="1"/>
      <c r="P429" s="1"/>
      <c r="Q429" s="1"/>
      <c r="R429" s="1"/>
      <c r="S429" s="1"/>
      <c r="T429" s="1"/>
      <c r="U429" s="1"/>
      <c r="V429" s="1"/>
      <c r="W429" s="1"/>
      <c r="X429" s="1"/>
      <c r="Y429" s="1"/>
      <c r="Z429" s="1"/>
      <c r="AA429" s="1"/>
      <c r="AB429" s="1"/>
    </row>
    <row r="430" ht="12.75" customHeight="1">
      <c r="A430" s="1"/>
      <c r="B430" s="146"/>
      <c r="C430" s="150"/>
      <c r="D430" s="151"/>
      <c r="E430" s="24"/>
      <c r="F430" s="24"/>
      <c r="G430" s="24"/>
      <c r="H430" s="24"/>
      <c r="I430" s="24"/>
      <c r="J430" s="24"/>
      <c r="K430" s="24"/>
      <c r="L430" s="24"/>
      <c r="M430" s="24"/>
      <c r="N430" s="1"/>
      <c r="O430" s="1"/>
      <c r="P430" s="1"/>
      <c r="Q430" s="1"/>
      <c r="R430" s="1"/>
      <c r="S430" s="1"/>
      <c r="T430" s="1"/>
      <c r="U430" s="1"/>
      <c r="V430" s="1"/>
      <c r="W430" s="1"/>
      <c r="X430" s="1"/>
      <c r="Y430" s="1"/>
      <c r="Z430" s="1"/>
      <c r="AA430" s="1"/>
      <c r="AB430" s="1"/>
    </row>
    <row r="431" ht="12.75" customHeight="1">
      <c r="A431" s="1"/>
      <c r="B431" s="146"/>
      <c r="C431" s="150"/>
      <c r="D431" s="151"/>
      <c r="E431" s="24"/>
      <c r="F431" s="24"/>
      <c r="G431" s="24"/>
      <c r="H431" s="24"/>
      <c r="I431" s="24"/>
      <c r="J431" s="24"/>
      <c r="K431" s="24"/>
      <c r="L431" s="24"/>
      <c r="M431" s="24"/>
      <c r="N431" s="1"/>
      <c r="O431" s="1"/>
      <c r="P431" s="1"/>
      <c r="Q431" s="1"/>
      <c r="R431" s="1"/>
      <c r="S431" s="1"/>
      <c r="T431" s="1"/>
      <c r="U431" s="1"/>
      <c r="V431" s="1"/>
      <c r="W431" s="1"/>
      <c r="X431" s="1"/>
      <c r="Y431" s="1"/>
      <c r="Z431" s="1"/>
      <c r="AA431" s="1"/>
      <c r="AB431" s="1"/>
    </row>
    <row r="432" ht="12.75" customHeight="1">
      <c r="A432" s="1"/>
      <c r="B432" s="146"/>
      <c r="C432" s="150"/>
      <c r="D432" s="151"/>
      <c r="E432" s="24"/>
      <c r="F432" s="24"/>
      <c r="G432" s="24"/>
      <c r="H432" s="24"/>
      <c r="I432" s="24"/>
      <c r="J432" s="24"/>
      <c r="K432" s="24"/>
      <c r="L432" s="24"/>
      <c r="M432" s="24"/>
      <c r="N432" s="1"/>
      <c r="O432" s="1"/>
      <c r="P432" s="1"/>
      <c r="Q432" s="1"/>
      <c r="R432" s="1"/>
      <c r="S432" s="1"/>
      <c r="T432" s="1"/>
      <c r="U432" s="1"/>
      <c r="V432" s="1"/>
      <c r="W432" s="1"/>
      <c r="X432" s="1"/>
      <c r="Y432" s="1"/>
      <c r="Z432" s="1"/>
      <c r="AA432" s="1"/>
      <c r="AB432" s="1"/>
    </row>
    <row r="433" ht="12.75" customHeight="1">
      <c r="A433" s="1"/>
      <c r="B433" s="146"/>
      <c r="C433" s="150"/>
      <c r="D433" s="151"/>
      <c r="E433" s="24"/>
      <c r="F433" s="24"/>
      <c r="G433" s="24"/>
      <c r="H433" s="24"/>
      <c r="I433" s="24"/>
      <c r="J433" s="24"/>
      <c r="K433" s="24"/>
      <c r="L433" s="24"/>
      <c r="M433" s="24"/>
      <c r="N433" s="1"/>
      <c r="O433" s="1"/>
      <c r="P433" s="1"/>
      <c r="Q433" s="1"/>
      <c r="R433" s="1"/>
      <c r="S433" s="1"/>
      <c r="T433" s="1"/>
      <c r="U433" s="1"/>
      <c r="V433" s="1"/>
      <c r="W433" s="1"/>
      <c r="X433" s="1"/>
      <c r="Y433" s="1"/>
      <c r="Z433" s="1"/>
      <c r="AA433" s="1"/>
      <c r="AB433" s="1"/>
    </row>
    <row r="434" ht="12.75" customHeight="1">
      <c r="A434" s="1"/>
      <c r="B434" s="146"/>
      <c r="C434" s="150"/>
      <c r="D434" s="151"/>
      <c r="E434" s="24"/>
      <c r="F434" s="24"/>
      <c r="G434" s="24"/>
      <c r="H434" s="24"/>
      <c r="I434" s="24"/>
      <c r="J434" s="24"/>
      <c r="K434" s="24"/>
      <c r="L434" s="24"/>
      <c r="M434" s="24"/>
      <c r="N434" s="1"/>
      <c r="O434" s="1"/>
      <c r="P434" s="1"/>
      <c r="Q434" s="1"/>
      <c r="R434" s="1"/>
      <c r="S434" s="1"/>
      <c r="T434" s="1"/>
      <c r="U434" s="1"/>
      <c r="V434" s="1"/>
      <c r="W434" s="1"/>
      <c r="X434" s="1"/>
      <c r="Y434" s="1"/>
      <c r="Z434" s="1"/>
      <c r="AA434" s="1"/>
      <c r="AB434" s="1"/>
    </row>
    <row r="435" ht="12.75" customHeight="1">
      <c r="A435" s="1"/>
      <c r="B435" s="146"/>
      <c r="C435" s="150"/>
      <c r="D435" s="151"/>
      <c r="E435" s="24"/>
      <c r="F435" s="24"/>
      <c r="G435" s="24"/>
      <c r="H435" s="24"/>
      <c r="I435" s="24"/>
      <c r="J435" s="24"/>
      <c r="K435" s="24"/>
      <c r="L435" s="24"/>
      <c r="M435" s="24"/>
      <c r="N435" s="1"/>
      <c r="O435" s="1"/>
      <c r="P435" s="1"/>
      <c r="Q435" s="1"/>
      <c r="R435" s="1"/>
      <c r="S435" s="1"/>
      <c r="T435" s="1"/>
      <c r="U435" s="1"/>
      <c r="V435" s="1"/>
      <c r="W435" s="1"/>
      <c r="X435" s="1"/>
      <c r="Y435" s="1"/>
      <c r="Z435" s="1"/>
      <c r="AA435" s="1"/>
      <c r="AB435" s="1"/>
    </row>
    <row r="436" ht="12.75" customHeight="1">
      <c r="A436" s="1"/>
      <c r="B436" s="146"/>
      <c r="C436" s="150"/>
      <c r="D436" s="151"/>
      <c r="E436" s="24"/>
      <c r="F436" s="24"/>
      <c r="G436" s="24"/>
      <c r="H436" s="24"/>
      <c r="I436" s="24"/>
      <c r="J436" s="24"/>
      <c r="K436" s="24"/>
      <c r="L436" s="24"/>
      <c r="M436" s="24"/>
      <c r="N436" s="1"/>
      <c r="O436" s="1"/>
      <c r="P436" s="1"/>
      <c r="Q436" s="1"/>
      <c r="R436" s="1"/>
      <c r="S436" s="1"/>
      <c r="T436" s="1"/>
      <c r="U436" s="1"/>
      <c r="V436" s="1"/>
      <c r="W436" s="1"/>
      <c r="X436" s="1"/>
      <c r="Y436" s="1"/>
      <c r="Z436" s="1"/>
      <c r="AA436" s="1"/>
      <c r="AB436" s="1"/>
    </row>
    <row r="437" ht="12.75" customHeight="1">
      <c r="A437" s="1"/>
      <c r="B437" s="146"/>
      <c r="C437" s="150"/>
      <c r="D437" s="151"/>
      <c r="E437" s="24"/>
      <c r="F437" s="24"/>
      <c r="G437" s="24"/>
      <c r="H437" s="24"/>
      <c r="I437" s="24"/>
      <c r="J437" s="24"/>
      <c r="K437" s="24"/>
      <c r="L437" s="24"/>
      <c r="M437" s="24"/>
      <c r="N437" s="1"/>
      <c r="O437" s="1"/>
      <c r="P437" s="1"/>
      <c r="Q437" s="1"/>
      <c r="R437" s="1"/>
      <c r="S437" s="1"/>
      <c r="T437" s="1"/>
      <c r="U437" s="1"/>
      <c r="V437" s="1"/>
      <c r="W437" s="1"/>
      <c r="X437" s="1"/>
      <c r="Y437" s="1"/>
      <c r="Z437" s="1"/>
      <c r="AA437" s="1"/>
      <c r="AB437" s="1"/>
    </row>
    <row r="438" ht="12.75" customHeight="1">
      <c r="A438" s="1"/>
      <c r="B438" s="146"/>
      <c r="C438" s="150"/>
      <c r="D438" s="151"/>
      <c r="E438" s="24"/>
      <c r="F438" s="24"/>
      <c r="G438" s="24"/>
      <c r="H438" s="24"/>
      <c r="I438" s="24"/>
      <c r="J438" s="24"/>
      <c r="K438" s="24"/>
      <c r="L438" s="24"/>
      <c r="M438" s="24"/>
      <c r="N438" s="1"/>
      <c r="O438" s="1"/>
      <c r="P438" s="1"/>
      <c r="Q438" s="1"/>
      <c r="R438" s="1"/>
      <c r="S438" s="1"/>
      <c r="T438" s="1"/>
      <c r="U438" s="1"/>
      <c r="V438" s="1"/>
      <c r="W438" s="1"/>
      <c r="X438" s="1"/>
      <c r="Y438" s="1"/>
      <c r="Z438" s="1"/>
      <c r="AA438" s="1"/>
      <c r="AB438" s="1"/>
    </row>
    <row r="439" ht="12.75" customHeight="1">
      <c r="A439" s="1"/>
      <c r="B439" s="146"/>
      <c r="C439" s="150"/>
      <c r="D439" s="151"/>
      <c r="E439" s="24"/>
      <c r="F439" s="24"/>
      <c r="G439" s="24"/>
      <c r="H439" s="24"/>
      <c r="I439" s="24"/>
      <c r="J439" s="24"/>
      <c r="K439" s="24"/>
      <c r="L439" s="24"/>
      <c r="M439" s="24"/>
      <c r="N439" s="1"/>
      <c r="O439" s="1"/>
      <c r="P439" s="1"/>
      <c r="Q439" s="1"/>
      <c r="R439" s="1"/>
      <c r="S439" s="1"/>
      <c r="T439" s="1"/>
      <c r="U439" s="1"/>
      <c r="V439" s="1"/>
      <c r="W439" s="1"/>
      <c r="X439" s="1"/>
      <c r="Y439" s="1"/>
      <c r="Z439" s="1"/>
      <c r="AA439" s="1"/>
      <c r="AB439" s="1"/>
    </row>
    <row r="440" ht="12.75" customHeight="1">
      <c r="A440" s="1"/>
      <c r="B440" s="146"/>
      <c r="C440" s="150"/>
      <c r="D440" s="151"/>
      <c r="E440" s="24"/>
      <c r="F440" s="24"/>
      <c r="G440" s="24"/>
      <c r="H440" s="24"/>
      <c r="I440" s="24"/>
      <c r="J440" s="24"/>
      <c r="K440" s="24"/>
      <c r="L440" s="24"/>
      <c r="M440" s="24"/>
      <c r="N440" s="1"/>
      <c r="O440" s="1"/>
      <c r="P440" s="1"/>
      <c r="Q440" s="1"/>
      <c r="R440" s="1"/>
      <c r="S440" s="1"/>
      <c r="T440" s="1"/>
      <c r="U440" s="1"/>
      <c r="V440" s="1"/>
      <c r="W440" s="1"/>
      <c r="X440" s="1"/>
      <c r="Y440" s="1"/>
      <c r="Z440" s="1"/>
      <c r="AA440" s="1"/>
      <c r="AB440" s="1"/>
    </row>
    <row r="441" ht="12.75" customHeight="1">
      <c r="A441" s="1"/>
      <c r="B441" s="146"/>
      <c r="C441" s="150"/>
      <c r="D441" s="151"/>
      <c r="E441" s="24"/>
      <c r="F441" s="24"/>
      <c r="G441" s="24"/>
      <c r="H441" s="24"/>
      <c r="I441" s="24"/>
      <c r="J441" s="24"/>
      <c r="K441" s="24"/>
      <c r="L441" s="24"/>
      <c r="M441" s="24"/>
      <c r="N441" s="1"/>
      <c r="O441" s="1"/>
      <c r="P441" s="1"/>
      <c r="Q441" s="1"/>
      <c r="R441" s="1"/>
      <c r="S441" s="1"/>
      <c r="T441" s="1"/>
      <c r="U441" s="1"/>
      <c r="V441" s="1"/>
      <c r="W441" s="1"/>
      <c r="X441" s="1"/>
      <c r="Y441" s="1"/>
      <c r="Z441" s="1"/>
      <c r="AA441" s="1"/>
      <c r="AB441" s="1"/>
    </row>
    <row r="442" ht="12.75" customHeight="1">
      <c r="A442" s="1"/>
      <c r="B442" s="146"/>
      <c r="C442" s="150"/>
      <c r="D442" s="151"/>
      <c r="E442" s="24"/>
      <c r="F442" s="24"/>
      <c r="G442" s="24"/>
      <c r="H442" s="24"/>
      <c r="I442" s="24"/>
      <c r="J442" s="24"/>
      <c r="K442" s="24"/>
      <c r="L442" s="24"/>
      <c r="M442" s="24"/>
      <c r="N442" s="1"/>
      <c r="O442" s="1"/>
      <c r="P442" s="1"/>
      <c r="Q442" s="1"/>
      <c r="R442" s="1"/>
      <c r="S442" s="1"/>
      <c r="T442" s="1"/>
      <c r="U442" s="1"/>
      <c r="V442" s="1"/>
      <c r="W442" s="1"/>
      <c r="X442" s="1"/>
      <c r="Y442" s="1"/>
      <c r="Z442" s="1"/>
      <c r="AA442" s="1"/>
      <c r="AB442" s="1"/>
    </row>
    <row r="443" ht="12.75" customHeight="1">
      <c r="A443" s="1"/>
      <c r="B443" s="146"/>
      <c r="C443" s="150"/>
      <c r="D443" s="151"/>
      <c r="E443" s="24"/>
      <c r="F443" s="24"/>
      <c r="G443" s="24"/>
      <c r="H443" s="24"/>
      <c r="I443" s="24"/>
      <c r="J443" s="24"/>
      <c r="K443" s="24"/>
      <c r="L443" s="24"/>
      <c r="M443" s="24"/>
      <c r="N443" s="1"/>
      <c r="O443" s="1"/>
      <c r="P443" s="1"/>
      <c r="Q443" s="1"/>
      <c r="R443" s="1"/>
      <c r="S443" s="1"/>
      <c r="T443" s="1"/>
      <c r="U443" s="1"/>
      <c r="V443" s="1"/>
      <c r="W443" s="1"/>
      <c r="X443" s="1"/>
      <c r="Y443" s="1"/>
      <c r="Z443" s="1"/>
      <c r="AA443" s="1"/>
      <c r="AB443" s="1"/>
    </row>
    <row r="444" ht="12.75" customHeight="1">
      <c r="A444" s="1"/>
      <c r="B444" s="146"/>
      <c r="C444" s="150"/>
      <c r="D444" s="151"/>
      <c r="E444" s="24"/>
      <c r="F444" s="24"/>
      <c r="G444" s="24"/>
      <c r="H444" s="24"/>
      <c r="I444" s="24"/>
      <c r="J444" s="24"/>
      <c r="K444" s="24"/>
      <c r="L444" s="24"/>
      <c r="M444" s="24"/>
      <c r="N444" s="1"/>
      <c r="O444" s="1"/>
      <c r="P444" s="1"/>
      <c r="Q444" s="1"/>
      <c r="R444" s="1"/>
      <c r="S444" s="1"/>
      <c r="T444" s="1"/>
      <c r="U444" s="1"/>
      <c r="V444" s="1"/>
      <c r="W444" s="1"/>
      <c r="X444" s="1"/>
      <c r="Y444" s="1"/>
      <c r="Z444" s="1"/>
      <c r="AA444" s="1"/>
      <c r="AB444" s="1"/>
    </row>
    <row r="445" ht="12.75" customHeight="1">
      <c r="A445" s="1"/>
      <c r="B445" s="146"/>
      <c r="C445" s="150"/>
      <c r="D445" s="151"/>
      <c r="E445" s="24"/>
      <c r="F445" s="24"/>
      <c r="G445" s="24"/>
      <c r="H445" s="24"/>
      <c r="I445" s="24"/>
      <c r="J445" s="24"/>
      <c r="K445" s="24"/>
      <c r="L445" s="24"/>
      <c r="M445" s="24"/>
      <c r="N445" s="1"/>
      <c r="O445" s="1"/>
      <c r="P445" s="1"/>
      <c r="Q445" s="1"/>
      <c r="R445" s="1"/>
      <c r="S445" s="1"/>
      <c r="T445" s="1"/>
      <c r="U445" s="1"/>
      <c r="V445" s="1"/>
      <c r="W445" s="1"/>
      <c r="X445" s="1"/>
      <c r="Y445" s="1"/>
      <c r="Z445" s="1"/>
      <c r="AA445" s="1"/>
      <c r="AB445" s="1"/>
    </row>
    <row r="446" ht="12.75" customHeight="1">
      <c r="A446" s="1"/>
      <c r="B446" s="146"/>
      <c r="C446" s="150"/>
      <c r="D446" s="151"/>
      <c r="E446" s="24"/>
      <c r="F446" s="24"/>
      <c r="G446" s="24"/>
      <c r="H446" s="24"/>
      <c r="I446" s="24"/>
      <c r="J446" s="24"/>
      <c r="K446" s="24"/>
      <c r="L446" s="24"/>
      <c r="M446" s="24"/>
      <c r="N446" s="1"/>
      <c r="O446" s="1"/>
      <c r="P446" s="1"/>
      <c r="Q446" s="1"/>
      <c r="R446" s="1"/>
      <c r="S446" s="1"/>
      <c r="T446" s="1"/>
      <c r="U446" s="1"/>
      <c r="V446" s="1"/>
      <c r="W446" s="1"/>
      <c r="X446" s="1"/>
      <c r="Y446" s="1"/>
      <c r="Z446" s="1"/>
      <c r="AA446" s="1"/>
      <c r="AB446" s="1"/>
    </row>
    <row r="447" ht="12.75" customHeight="1">
      <c r="A447" s="1"/>
      <c r="B447" s="146"/>
      <c r="C447" s="150"/>
      <c r="D447" s="151"/>
      <c r="E447" s="24"/>
      <c r="F447" s="24"/>
      <c r="G447" s="24"/>
      <c r="H447" s="24"/>
      <c r="I447" s="24"/>
      <c r="J447" s="24"/>
      <c r="K447" s="24"/>
      <c r="L447" s="24"/>
      <c r="M447" s="24"/>
      <c r="N447" s="1"/>
      <c r="O447" s="1"/>
      <c r="P447" s="1"/>
      <c r="Q447" s="1"/>
      <c r="R447" s="1"/>
      <c r="S447" s="1"/>
      <c r="T447" s="1"/>
      <c r="U447" s="1"/>
      <c r="V447" s="1"/>
      <c r="W447" s="1"/>
      <c r="X447" s="1"/>
      <c r="Y447" s="1"/>
      <c r="Z447" s="1"/>
      <c r="AA447" s="1"/>
      <c r="AB447" s="1"/>
    </row>
    <row r="448" ht="12.75" customHeight="1">
      <c r="A448" s="1"/>
      <c r="B448" s="146"/>
      <c r="C448" s="150"/>
      <c r="D448" s="151"/>
      <c r="E448" s="24"/>
      <c r="F448" s="24"/>
      <c r="G448" s="24"/>
      <c r="H448" s="24"/>
      <c r="I448" s="24"/>
      <c r="J448" s="24"/>
      <c r="K448" s="24"/>
      <c r="L448" s="24"/>
      <c r="M448" s="24"/>
      <c r="N448" s="1"/>
      <c r="O448" s="1"/>
      <c r="P448" s="1"/>
      <c r="Q448" s="1"/>
      <c r="R448" s="1"/>
      <c r="S448" s="1"/>
      <c r="T448" s="1"/>
      <c r="U448" s="1"/>
      <c r="V448" s="1"/>
      <c r="W448" s="1"/>
      <c r="X448" s="1"/>
      <c r="Y448" s="1"/>
      <c r="Z448" s="1"/>
      <c r="AA448" s="1"/>
      <c r="AB448" s="1"/>
    </row>
    <row r="449" ht="12.75" customHeight="1">
      <c r="A449" s="1"/>
      <c r="B449" s="146"/>
      <c r="C449" s="150"/>
      <c r="D449" s="151"/>
      <c r="E449" s="24"/>
      <c r="F449" s="24"/>
      <c r="G449" s="24"/>
      <c r="H449" s="24"/>
      <c r="I449" s="24"/>
      <c r="J449" s="24"/>
      <c r="K449" s="24"/>
      <c r="L449" s="24"/>
      <c r="M449" s="24"/>
      <c r="N449" s="1"/>
      <c r="O449" s="1"/>
      <c r="P449" s="1"/>
      <c r="Q449" s="1"/>
      <c r="R449" s="1"/>
      <c r="S449" s="1"/>
      <c r="T449" s="1"/>
      <c r="U449" s="1"/>
      <c r="V449" s="1"/>
      <c r="W449" s="1"/>
      <c r="X449" s="1"/>
      <c r="Y449" s="1"/>
      <c r="Z449" s="1"/>
      <c r="AA449" s="1"/>
      <c r="AB449" s="1"/>
    </row>
    <row r="450" ht="12.75" customHeight="1">
      <c r="A450" s="1"/>
      <c r="B450" s="146"/>
      <c r="C450" s="150"/>
      <c r="D450" s="151"/>
      <c r="E450" s="24"/>
      <c r="F450" s="24"/>
      <c r="G450" s="24"/>
      <c r="H450" s="24"/>
      <c r="I450" s="24"/>
      <c r="J450" s="24"/>
      <c r="K450" s="24"/>
      <c r="L450" s="24"/>
      <c r="M450" s="24"/>
      <c r="N450" s="1"/>
      <c r="O450" s="1"/>
      <c r="P450" s="1"/>
      <c r="Q450" s="1"/>
      <c r="R450" s="1"/>
      <c r="S450" s="1"/>
      <c r="T450" s="1"/>
      <c r="U450" s="1"/>
      <c r="V450" s="1"/>
      <c r="W450" s="1"/>
      <c r="X450" s="1"/>
      <c r="Y450" s="1"/>
      <c r="Z450" s="1"/>
      <c r="AA450" s="1"/>
      <c r="AB450" s="1"/>
    </row>
    <row r="451" ht="12.75" customHeight="1">
      <c r="A451" s="1"/>
      <c r="B451" s="146"/>
      <c r="C451" s="150"/>
      <c r="D451" s="151"/>
      <c r="E451" s="24"/>
      <c r="F451" s="24"/>
      <c r="G451" s="24"/>
      <c r="H451" s="24"/>
      <c r="I451" s="24"/>
      <c r="J451" s="24"/>
      <c r="K451" s="24"/>
      <c r="L451" s="24"/>
      <c r="M451" s="24"/>
      <c r="N451" s="1"/>
      <c r="O451" s="1"/>
      <c r="P451" s="1"/>
      <c r="Q451" s="1"/>
      <c r="R451" s="1"/>
      <c r="S451" s="1"/>
      <c r="T451" s="1"/>
      <c r="U451" s="1"/>
      <c r="V451" s="1"/>
      <c r="W451" s="1"/>
      <c r="X451" s="1"/>
      <c r="Y451" s="1"/>
      <c r="Z451" s="1"/>
      <c r="AA451" s="1"/>
      <c r="AB451" s="1"/>
    </row>
    <row r="452" ht="12.75" customHeight="1">
      <c r="A452" s="1"/>
      <c r="B452" s="146"/>
      <c r="C452" s="150"/>
      <c r="D452" s="151"/>
      <c r="E452" s="24"/>
      <c r="F452" s="24"/>
      <c r="G452" s="24"/>
      <c r="H452" s="24"/>
      <c r="I452" s="24"/>
      <c r="J452" s="24"/>
      <c r="K452" s="24"/>
      <c r="L452" s="24"/>
      <c r="M452" s="24"/>
      <c r="N452" s="1"/>
      <c r="O452" s="1"/>
      <c r="P452" s="1"/>
      <c r="Q452" s="1"/>
      <c r="R452" s="1"/>
      <c r="S452" s="1"/>
      <c r="T452" s="1"/>
      <c r="U452" s="1"/>
      <c r="V452" s="1"/>
      <c r="W452" s="1"/>
      <c r="X452" s="1"/>
      <c r="Y452" s="1"/>
      <c r="Z452" s="1"/>
      <c r="AA452" s="1"/>
      <c r="AB452" s="1"/>
    </row>
    <row r="453" ht="12.75" customHeight="1">
      <c r="A453" s="1"/>
      <c r="B453" s="146"/>
      <c r="C453" s="150"/>
      <c r="D453" s="151"/>
      <c r="E453" s="24"/>
      <c r="F453" s="24"/>
      <c r="G453" s="24"/>
      <c r="H453" s="24"/>
      <c r="I453" s="24"/>
      <c r="J453" s="24"/>
      <c r="K453" s="24"/>
      <c r="L453" s="24"/>
      <c r="M453" s="24"/>
      <c r="N453" s="1"/>
      <c r="O453" s="1"/>
      <c r="P453" s="1"/>
      <c r="Q453" s="1"/>
      <c r="R453" s="1"/>
      <c r="S453" s="1"/>
      <c r="T453" s="1"/>
      <c r="U453" s="1"/>
      <c r="V453" s="1"/>
      <c r="W453" s="1"/>
      <c r="X453" s="1"/>
      <c r="Y453" s="1"/>
      <c r="Z453" s="1"/>
      <c r="AA453" s="1"/>
      <c r="AB453" s="1"/>
    </row>
    <row r="454" ht="12.75" customHeight="1">
      <c r="A454" s="1"/>
      <c r="B454" s="146"/>
      <c r="C454" s="150"/>
      <c r="D454" s="151"/>
      <c r="E454" s="24"/>
      <c r="F454" s="24"/>
      <c r="G454" s="24"/>
      <c r="H454" s="24"/>
      <c r="I454" s="24"/>
      <c r="J454" s="24"/>
      <c r="K454" s="24"/>
      <c r="L454" s="24"/>
      <c r="M454" s="24"/>
      <c r="N454" s="1"/>
      <c r="O454" s="1"/>
      <c r="P454" s="1"/>
      <c r="Q454" s="1"/>
      <c r="R454" s="1"/>
      <c r="S454" s="1"/>
      <c r="T454" s="1"/>
      <c r="U454" s="1"/>
      <c r="V454" s="1"/>
      <c r="W454" s="1"/>
      <c r="X454" s="1"/>
      <c r="Y454" s="1"/>
      <c r="Z454" s="1"/>
      <c r="AA454" s="1"/>
      <c r="AB454" s="1"/>
    </row>
    <row r="455" ht="12.75" customHeight="1">
      <c r="A455" s="1"/>
      <c r="B455" s="146"/>
      <c r="C455" s="150"/>
      <c r="D455" s="151"/>
      <c r="E455" s="24"/>
      <c r="F455" s="24"/>
      <c r="G455" s="24"/>
      <c r="H455" s="24"/>
      <c r="I455" s="24"/>
      <c r="J455" s="24"/>
      <c r="K455" s="24"/>
      <c r="L455" s="24"/>
      <c r="M455" s="24"/>
      <c r="N455" s="1"/>
      <c r="O455" s="1"/>
      <c r="P455" s="1"/>
      <c r="Q455" s="1"/>
      <c r="R455" s="1"/>
      <c r="S455" s="1"/>
      <c r="T455" s="1"/>
      <c r="U455" s="1"/>
      <c r="V455" s="1"/>
      <c r="W455" s="1"/>
      <c r="X455" s="1"/>
      <c r="Y455" s="1"/>
      <c r="Z455" s="1"/>
      <c r="AA455" s="1"/>
      <c r="AB455" s="1"/>
    </row>
    <row r="456" ht="12.75" customHeight="1">
      <c r="A456" s="1"/>
      <c r="B456" s="146"/>
      <c r="C456" s="150"/>
      <c r="D456" s="151"/>
      <c r="E456" s="24"/>
      <c r="F456" s="24"/>
      <c r="G456" s="24"/>
      <c r="H456" s="24"/>
      <c r="I456" s="24"/>
      <c r="J456" s="24"/>
      <c r="K456" s="24"/>
      <c r="L456" s="24"/>
      <c r="M456" s="24"/>
      <c r="N456" s="1"/>
      <c r="O456" s="1"/>
      <c r="P456" s="1"/>
      <c r="Q456" s="1"/>
      <c r="R456" s="1"/>
      <c r="S456" s="1"/>
      <c r="T456" s="1"/>
      <c r="U456" s="1"/>
      <c r="V456" s="1"/>
      <c r="W456" s="1"/>
      <c r="X456" s="1"/>
      <c r="Y456" s="1"/>
      <c r="Z456" s="1"/>
      <c r="AA456" s="1"/>
      <c r="AB456" s="1"/>
    </row>
    <row r="457" ht="12.75" customHeight="1">
      <c r="A457" s="1"/>
      <c r="B457" s="146"/>
      <c r="C457" s="150"/>
      <c r="D457" s="151"/>
      <c r="E457" s="24"/>
      <c r="F457" s="24"/>
      <c r="G457" s="24"/>
      <c r="H457" s="24"/>
      <c r="I457" s="24"/>
      <c r="J457" s="24"/>
      <c r="K457" s="24"/>
      <c r="L457" s="24"/>
      <c r="M457" s="24"/>
      <c r="N457" s="1"/>
      <c r="O457" s="1"/>
      <c r="P457" s="1"/>
      <c r="Q457" s="1"/>
      <c r="R457" s="1"/>
      <c r="S457" s="1"/>
      <c r="T457" s="1"/>
      <c r="U457" s="1"/>
      <c r="V457" s="1"/>
      <c r="W457" s="1"/>
      <c r="X457" s="1"/>
      <c r="Y457" s="1"/>
      <c r="Z457" s="1"/>
      <c r="AA457" s="1"/>
      <c r="AB457" s="1"/>
    </row>
    <row r="458" ht="12.75" customHeight="1">
      <c r="A458" s="1"/>
      <c r="B458" s="146"/>
      <c r="C458" s="150"/>
      <c r="D458" s="151"/>
      <c r="E458" s="24"/>
      <c r="F458" s="24"/>
      <c r="G458" s="24"/>
      <c r="H458" s="24"/>
      <c r="I458" s="24"/>
      <c r="J458" s="24"/>
      <c r="K458" s="24"/>
      <c r="L458" s="24"/>
      <c r="M458" s="24"/>
      <c r="N458" s="1"/>
      <c r="O458" s="1"/>
      <c r="P458" s="1"/>
      <c r="Q458" s="1"/>
      <c r="R458" s="1"/>
      <c r="S458" s="1"/>
      <c r="T458" s="1"/>
      <c r="U458" s="1"/>
      <c r="V458" s="1"/>
      <c r="W458" s="1"/>
      <c r="X458" s="1"/>
      <c r="Y458" s="1"/>
      <c r="Z458" s="1"/>
      <c r="AA458" s="1"/>
      <c r="AB458" s="1"/>
    </row>
    <row r="459" ht="12.75" customHeight="1">
      <c r="A459" s="1"/>
      <c r="B459" s="146"/>
      <c r="C459" s="150"/>
      <c r="D459" s="151"/>
      <c r="E459" s="24"/>
      <c r="F459" s="24"/>
      <c r="G459" s="24"/>
      <c r="H459" s="24"/>
      <c r="I459" s="24"/>
      <c r="J459" s="24"/>
      <c r="K459" s="24"/>
      <c r="L459" s="24"/>
      <c r="M459" s="24"/>
      <c r="N459" s="1"/>
      <c r="O459" s="1"/>
      <c r="P459" s="1"/>
      <c r="Q459" s="1"/>
      <c r="R459" s="1"/>
      <c r="S459" s="1"/>
      <c r="T459" s="1"/>
      <c r="U459" s="1"/>
      <c r="V459" s="1"/>
      <c r="W459" s="1"/>
      <c r="X459" s="1"/>
      <c r="Y459" s="1"/>
      <c r="Z459" s="1"/>
      <c r="AA459" s="1"/>
      <c r="AB459" s="1"/>
    </row>
    <row r="460" ht="12.75" customHeight="1">
      <c r="A460" s="1"/>
      <c r="B460" s="146"/>
      <c r="C460" s="150"/>
      <c r="D460" s="151"/>
      <c r="E460" s="24"/>
      <c r="F460" s="24"/>
      <c r="G460" s="24"/>
      <c r="H460" s="24"/>
      <c r="I460" s="24"/>
      <c r="J460" s="24"/>
      <c r="K460" s="24"/>
      <c r="L460" s="24"/>
      <c r="M460" s="24"/>
      <c r="N460" s="1"/>
      <c r="O460" s="1"/>
      <c r="P460" s="1"/>
      <c r="Q460" s="1"/>
      <c r="R460" s="1"/>
      <c r="S460" s="1"/>
      <c r="T460" s="1"/>
      <c r="U460" s="1"/>
      <c r="V460" s="1"/>
      <c r="W460" s="1"/>
      <c r="X460" s="1"/>
      <c r="Y460" s="1"/>
      <c r="Z460" s="1"/>
      <c r="AA460" s="1"/>
      <c r="AB460" s="1"/>
    </row>
    <row r="461" ht="12.75" customHeight="1">
      <c r="A461" s="1"/>
      <c r="B461" s="146"/>
      <c r="C461" s="150"/>
      <c r="D461" s="151"/>
      <c r="E461" s="24"/>
      <c r="F461" s="24"/>
      <c r="G461" s="24"/>
      <c r="H461" s="24"/>
      <c r="I461" s="24"/>
      <c r="J461" s="24"/>
      <c r="K461" s="24"/>
      <c r="L461" s="24"/>
      <c r="M461" s="24"/>
      <c r="N461" s="1"/>
      <c r="O461" s="1"/>
      <c r="P461" s="1"/>
      <c r="Q461" s="1"/>
      <c r="R461" s="1"/>
      <c r="S461" s="1"/>
      <c r="T461" s="1"/>
      <c r="U461" s="1"/>
      <c r="V461" s="1"/>
      <c r="W461" s="1"/>
      <c r="X461" s="1"/>
      <c r="Y461" s="1"/>
      <c r="Z461" s="1"/>
      <c r="AA461" s="1"/>
      <c r="AB461" s="1"/>
    </row>
    <row r="462" ht="12.75" customHeight="1">
      <c r="A462" s="1"/>
      <c r="B462" s="146"/>
      <c r="C462" s="150"/>
      <c r="D462" s="151"/>
      <c r="E462" s="24"/>
      <c r="F462" s="24"/>
      <c r="G462" s="24"/>
      <c r="H462" s="24"/>
      <c r="I462" s="24"/>
      <c r="J462" s="24"/>
      <c r="K462" s="24"/>
      <c r="L462" s="24"/>
      <c r="M462" s="24"/>
      <c r="N462" s="1"/>
      <c r="O462" s="1"/>
      <c r="P462" s="1"/>
      <c r="Q462" s="1"/>
      <c r="R462" s="1"/>
      <c r="S462" s="1"/>
      <c r="T462" s="1"/>
      <c r="U462" s="1"/>
      <c r="V462" s="1"/>
      <c r="W462" s="1"/>
      <c r="X462" s="1"/>
      <c r="Y462" s="1"/>
      <c r="Z462" s="1"/>
      <c r="AA462" s="1"/>
      <c r="AB462" s="1"/>
    </row>
    <row r="463" ht="12.75" customHeight="1">
      <c r="A463" s="1"/>
      <c r="B463" s="146"/>
      <c r="C463" s="150"/>
      <c r="D463" s="151"/>
      <c r="E463" s="24"/>
      <c r="F463" s="24"/>
      <c r="G463" s="24"/>
      <c r="H463" s="24"/>
      <c r="I463" s="24"/>
      <c r="J463" s="24"/>
      <c r="K463" s="24"/>
      <c r="L463" s="24"/>
      <c r="M463" s="24"/>
      <c r="N463" s="1"/>
      <c r="O463" s="1"/>
      <c r="P463" s="1"/>
      <c r="Q463" s="1"/>
      <c r="R463" s="1"/>
      <c r="S463" s="1"/>
      <c r="T463" s="1"/>
      <c r="U463" s="1"/>
      <c r="V463" s="1"/>
      <c r="W463" s="1"/>
      <c r="X463" s="1"/>
      <c r="Y463" s="1"/>
      <c r="Z463" s="1"/>
      <c r="AA463" s="1"/>
      <c r="AB463" s="1"/>
    </row>
    <row r="464" ht="12.75" customHeight="1">
      <c r="A464" s="1"/>
      <c r="B464" s="146"/>
      <c r="C464" s="150"/>
      <c r="D464" s="151"/>
      <c r="E464" s="24"/>
      <c r="F464" s="24"/>
      <c r="G464" s="24"/>
      <c r="H464" s="24"/>
      <c r="I464" s="24"/>
      <c r="J464" s="24"/>
      <c r="K464" s="24"/>
      <c r="L464" s="24"/>
      <c r="M464" s="24"/>
      <c r="N464" s="1"/>
      <c r="O464" s="1"/>
      <c r="P464" s="1"/>
      <c r="Q464" s="1"/>
      <c r="R464" s="1"/>
      <c r="S464" s="1"/>
      <c r="T464" s="1"/>
      <c r="U464" s="1"/>
      <c r="V464" s="1"/>
      <c r="W464" s="1"/>
      <c r="X464" s="1"/>
      <c r="Y464" s="1"/>
      <c r="Z464" s="1"/>
      <c r="AA464" s="1"/>
      <c r="AB464" s="1"/>
    </row>
    <row r="465" ht="12.75" customHeight="1">
      <c r="A465" s="1"/>
      <c r="B465" s="146"/>
      <c r="C465" s="150"/>
      <c r="D465" s="151"/>
      <c r="E465" s="24"/>
      <c r="F465" s="24"/>
      <c r="G465" s="24"/>
      <c r="H465" s="24"/>
      <c r="I465" s="24"/>
      <c r="J465" s="24"/>
      <c r="K465" s="24"/>
      <c r="L465" s="24"/>
      <c r="M465" s="24"/>
      <c r="N465" s="1"/>
      <c r="O465" s="1"/>
      <c r="P465" s="1"/>
      <c r="Q465" s="1"/>
      <c r="R465" s="1"/>
      <c r="S465" s="1"/>
      <c r="T465" s="1"/>
      <c r="U465" s="1"/>
      <c r="V465" s="1"/>
      <c r="W465" s="1"/>
      <c r="X465" s="1"/>
      <c r="Y465" s="1"/>
      <c r="Z465" s="1"/>
      <c r="AA465" s="1"/>
      <c r="AB465" s="1"/>
    </row>
    <row r="466" ht="12.75" customHeight="1">
      <c r="A466" s="1"/>
      <c r="B466" s="146"/>
      <c r="C466" s="150"/>
      <c r="D466" s="151"/>
      <c r="E466" s="24"/>
      <c r="F466" s="24"/>
      <c r="G466" s="24"/>
      <c r="H466" s="24"/>
      <c r="I466" s="24"/>
      <c r="J466" s="24"/>
      <c r="K466" s="24"/>
      <c r="L466" s="24"/>
      <c r="M466" s="24"/>
      <c r="N466" s="1"/>
      <c r="O466" s="1"/>
      <c r="P466" s="1"/>
      <c r="Q466" s="1"/>
      <c r="R466" s="1"/>
      <c r="S466" s="1"/>
      <c r="T466" s="1"/>
      <c r="U466" s="1"/>
      <c r="V466" s="1"/>
      <c r="W466" s="1"/>
      <c r="X466" s="1"/>
      <c r="Y466" s="1"/>
      <c r="Z466" s="1"/>
      <c r="AA466" s="1"/>
      <c r="AB466" s="1"/>
    </row>
    <row r="467" ht="12.75" customHeight="1">
      <c r="A467" s="1"/>
      <c r="B467" s="146"/>
      <c r="C467" s="150"/>
      <c r="D467" s="151"/>
      <c r="E467" s="24"/>
      <c r="F467" s="24"/>
      <c r="G467" s="24"/>
      <c r="H467" s="24"/>
      <c r="I467" s="24"/>
      <c r="J467" s="24"/>
      <c r="K467" s="24"/>
      <c r="L467" s="24"/>
      <c r="M467" s="24"/>
      <c r="N467" s="1"/>
      <c r="O467" s="1"/>
      <c r="P467" s="1"/>
      <c r="Q467" s="1"/>
      <c r="R467" s="1"/>
      <c r="S467" s="1"/>
      <c r="T467" s="1"/>
      <c r="U467" s="1"/>
      <c r="V467" s="1"/>
      <c r="W467" s="1"/>
      <c r="X467" s="1"/>
      <c r="Y467" s="1"/>
      <c r="Z467" s="1"/>
      <c r="AA467" s="1"/>
      <c r="AB467" s="1"/>
    </row>
    <row r="468" ht="12.75" customHeight="1">
      <c r="A468" s="1"/>
      <c r="B468" s="146"/>
      <c r="C468" s="150"/>
      <c r="D468" s="151"/>
      <c r="E468" s="24"/>
      <c r="F468" s="24"/>
      <c r="G468" s="24"/>
      <c r="H468" s="24"/>
      <c r="I468" s="24"/>
      <c r="J468" s="24"/>
      <c r="K468" s="24"/>
      <c r="L468" s="24"/>
      <c r="M468" s="24"/>
      <c r="N468" s="1"/>
      <c r="O468" s="1"/>
      <c r="P468" s="1"/>
      <c r="Q468" s="1"/>
      <c r="R468" s="1"/>
      <c r="S468" s="1"/>
      <c r="T468" s="1"/>
      <c r="U468" s="1"/>
      <c r="V468" s="1"/>
      <c r="W468" s="1"/>
      <c r="X468" s="1"/>
      <c r="Y468" s="1"/>
      <c r="Z468" s="1"/>
      <c r="AA468" s="1"/>
      <c r="AB468" s="1"/>
    </row>
    <row r="469" ht="12.75" customHeight="1">
      <c r="A469" s="1"/>
      <c r="B469" s="146"/>
      <c r="C469" s="150"/>
      <c r="D469" s="151"/>
      <c r="E469" s="24"/>
      <c r="F469" s="24"/>
      <c r="G469" s="24"/>
      <c r="H469" s="24"/>
      <c r="I469" s="24"/>
      <c r="J469" s="24"/>
      <c r="K469" s="24"/>
      <c r="L469" s="24"/>
      <c r="M469" s="24"/>
      <c r="N469" s="1"/>
      <c r="O469" s="1"/>
      <c r="P469" s="1"/>
      <c r="Q469" s="1"/>
      <c r="R469" s="1"/>
      <c r="S469" s="1"/>
      <c r="T469" s="1"/>
      <c r="U469" s="1"/>
      <c r="V469" s="1"/>
      <c r="W469" s="1"/>
      <c r="X469" s="1"/>
      <c r="Y469" s="1"/>
      <c r="Z469" s="1"/>
      <c r="AA469" s="1"/>
      <c r="AB469" s="1"/>
    </row>
    <row r="470" ht="12.75" customHeight="1">
      <c r="A470" s="1"/>
      <c r="B470" s="146"/>
      <c r="C470" s="150"/>
      <c r="D470" s="151"/>
      <c r="E470" s="24"/>
      <c r="F470" s="24"/>
      <c r="G470" s="24"/>
      <c r="H470" s="24"/>
      <c r="I470" s="24"/>
      <c r="J470" s="24"/>
      <c r="K470" s="24"/>
      <c r="L470" s="24"/>
      <c r="M470" s="24"/>
      <c r="N470" s="1"/>
      <c r="O470" s="1"/>
      <c r="P470" s="1"/>
      <c r="Q470" s="1"/>
      <c r="R470" s="1"/>
      <c r="S470" s="1"/>
      <c r="T470" s="1"/>
      <c r="U470" s="1"/>
      <c r="V470" s="1"/>
      <c r="W470" s="1"/>
      <c r="X470" s="1"/>
      <c r="Y470" s="1"/>
      <c r="Z470" s="1"/>
      <c r="AA470" s="1"/>
      <c r="AB470" s="1"/>
    </row>
    <row r="471" ht="12.75" customHeight="1">
      <c r="A471" s="1"/>
      <c r="B471" s="146"/>
      <c r="C471" s="150"/>
      <c r="D471" s="151"/>
      <c r="E471" s="24"/>
      <c r="F471" s="24"/>
      <c r="G471" s="24"/>
      <c r="H471" s="24"/>
      <c r="I471" s="24"/>
      <c r="J471" s="24"/>
      <c r="K471" s="24"/>
      <c r="L471" s="24"/>
      <c r="M471" s="24"/>
      <c r="N471" s="1"/>
      <c r="O471" s="1"/>
      <c r="P471" s="1"/>
      <c r="Q471" s="1"/>
      <c r="R471" s="1"/>
      <c r="S471" s="1"/>
      <c r="T471" s="1"/>
      <c r="U471" s="1"/>
      <c r="V471" s="1"/>
      <c r="W471" s="1"/>
      <c r="X471" s="1"/>
      <c r="Y471" s="1"/>
      <c r="Z471" s="1"/>
      <c r="AA471" s="1"/>
      <c r="AB471" s="1"/>
    </row>
    <row r="472" ht="12.75" customHeight="1">
      <c r="A472" s="1"/>
      <c r="B472" s="146"/>
      <c r="C472" s="150"/>
      <c r="D472" s="151"/>
      <c r="E472" s="24"/>
      <c r="F472" s="24"/>
      <c r="G472" s="24"/>
      <c r="H472" s="24"/>
      <c r="I472" s="24"/>
      <c r="J472" s="24"/>
      <c r="K472" s="24"/>
      <c r="L472" s="24"/>
      <c r="M472" s="24"/>
      <c r="N472" s="1"/>
      <c r="O472" s="1"/>
      <c r="P472" s="1"/>
      <c r="Q472" s="1"/>
      <c r="R472" s="1"/>
      <c r="S472" s="1"/>
      <c r="T472" s="1"/>
      <c r="U472" s="1"/>
      <c r="V472" s="1"/>
      <c r="W472" s="1"/>
      <c r="X472" s="1"/>
      <c r="Y472" s="1"/>
      <c r="Z472" s="1"/>
      <c r="AA472" s="1"/>
      <c r="AB472" s="1"/>
    </row>
    <row r="473" ht="12.75" customHeight="1">
      <c r="A473" s="1"/>
      <c r="B473" s="146"/>
      <c r="C473" s="150"/>
      <c r="D473" s="151"/>
      <c r="E473" s="24"/>
      <c r="F473" s="24"/>
      <c r="G473" s="24"/>
      <c r="H473" s="24"/>
      <c r="I473" s="24"/>
      <c r="J473" s="24"/>
      <c r="K473" s="24"/>
      <c r="L473" s="24"/>
      <c r="M473" s="24"/>
      <c r="N473" s="1"/>
      <c r="O473" s="1"/>
      <c r="P473" s="1"/>
      <c r="Q473" s="1"/>
      <c r="R473" s="1"/>
      <c r="S473" s="1"/>
      <c r="T473" s="1"/>
      <c r="U473" s="1"/>
      <c r="V473" s="1"/>
      <c r="W473" s="1"/>
      <c r="X473" s="1"/>
      <c r="Y473" s="1"/>
      <c r="Z473" s="1"/>
      <c r="AA473" s="1"/>
      <c r="AB473" s="1"/>
    </row>
    <row r="474" ht="12.75" customHeight="1">
      <c r="A474" s="1"/>
      <c r="B474" s="146"/>
      <c r="C474" s="150"/>
      <c r="D474" s="151"/>
      <c r="E474" s="24"/>
      <c r="F474" s="24"/>
      <c r="G474" s="24"/>
      <c r="H474" s="24"/>
      <c r="I474" s="24"/>
      <c r="J474" s="24"/>
      <c r="K474" s="24"/>
      <c r="L474" s="24"/>
      <c r="M474" s="24"/>
      <c r="N474" s="1"/>
      <c r="O474" s="1"/>
      <c r="P474" s="1"/>
      <c r="Q474" s="1"/>
      <c r="R474" s="1"/>
      <c r="S474" s="1"/>
      <c r="T474" s="1"/>
      <c r="U474" s="1"/>
      <c r="V474" s="1"/>
      <c r="W474" s="1"/>
      <c r="X474" s="1"/>
      <c r="Y474" s="1"/>
      <c r="Z474" s="1"/>
      <c r="AA474" s="1"/>
      <c r="AB474" s="1"/>
    </row>
    <row r="475" ht="12.75" customHeight="1">
      <c r="A475" s="1"/>
      <c r="B475" s="146"/>
      <c r="C475" s="150"/>
      <c r="D475" s="151"/>
      <c r="E475" s="24"/>
      <c r="F475" s="24"/>
      <c r="G475" s="24"/>
      <c r="H475" s="24"/>
      <c r="I475" s="24"/>
      <c r="J475" s="24"/>
      <c r="K475" s="24"/>
      <c r="L475" s="24"/>
      <c r="M475" s="24"/>
      <c r="N475" s="1"/>
      <c r="O475" s="1"/>
      <c r="P475" s="1"/>
      <c r="Q475" s="1"/>
      <c r="R475" s="1"/>
      <c r="S475" s="1"/>
      <c r="T475" s="1"/>
      <c r="U475" s="1"/>
      <c r="V475" s="1"/>
      <c r="W475" s="1"/>
      <c r="X475" s="1"/>
      <c r="Y475" s="1"/>
      <c r="Z475" s="1"/>
      <c r="AA475" s="1"/>
      <c r="AB475" s="1"/>
    </row>
    <row r="476" ht="12.75" customHeight="1">
      <c r="A476" s="1"/>
      <c r="B476" s="146"/>
      <c r="C476" s="150"/>
      <c r="D476" s="151"/>
      <c r="E476" s="24"/>
      <c r="F476" s="24"/>
      <c r="G476" s="24"/>
      <c r="H476" s="24"/>
      <c r="I476" s="24"/>
      <c r="J476" s="24"/>
      <c r="K476" s="24"/>
      <c r="L476" s="24"/>
      <c r="M476" s="24"/>
      <c r="N476" s="1"/>
      <c r="O476" s="1"/>
      <c r="P476" s="1"/>
      <c r="Q476" s="1"/>
      <c r="R476" s="1"/>
      <c r="S476" s="1"/>
      <c r="T476" s="1"/>
      <c r="U476" s="1"/>
      <c r="V476" s="1"/>
      <c r="W476" s="1"/>
      <c r="X476" s="1"/>
      <c r="Y476" s="1"/>
      <c r="Z476" s="1"/>
      <c r="AA476" s="1"/>
      <c r="AB476" s="1"/>
    </row>
    <row r="477" ht="12.75" customHeight="1">
      <c r="A477" s="1"/>
      <c r="B477" s="146"/>
      <c r="C477" s="150"/>
      <c r="D477" s="151"/>
      <c r="E477" s="24"/>
      <c r="F477" s="24"/>
      <c r="G477" s="24"/>
      <c r="H477" s="24"/>
      <c r="I477" s="24"/>
      <c r="J477" s="24"/>
      <c r="K477" s="24"/>
      <c r="L477" s="24"/>
      <c r="M477" s="24"/>
      <c r="N477" s="1"/>
      <c r="O477" s="1"/>
      <c r="P477" s="1"/>
      <c r="Q477" s="1"/>
      <c r="R477" s="1"/>
      <c r="S477" s="1"/>
      <c r="T477" s="1"/>
      <c r="U477" s="1"/>
      <c r="V477" s="1"/>
      <c r="W477" s="1"/>
      <c r="X477" s="1"/>
      <c r="Y477" s="1"/>
      <c r="Z477" s="1"/>
      <c r="AA477" s="1"/>
      <c r="AB477" s="1"/>
    </row>
    <row r="478" ht="12.75" customHeight="1">
      <c r="A478" s="1"/>
      <c r="B478" s="146"/>
      <c r="C478" s="150"/>
      <c r="D478" s="151"/>
      <c r="E478" s="24"/>
      <c r="F478" s="24"/>
      <c r="G478" s="24"/>
      <c r="H478" s="24"/>
      <c r="I478" s="24"/>
      <c r="J478" s="24"/>
      <c r="K478" s="24"/>
      <c r="L478" s="24"/>
      <c r="M478" s="24"/>
      <c r="N478" s="1"/>
      <c r="O478" s="1"/>
      <c r="P478" s="1"/>
      <c r="Q478" s="1"/>
      <c r="R478" s="1"/>
      <c r="S478" s="1"/>
      <c r="T478" s="1"/>
      <c r="U478" s="1"/>
      <c r="V478" s="1"/>
      <c r="W478" s="1"/>
      <c r="X478" s="1"/>
      <c r="Y478" s="1"/>
      <c r="Z478" s="1"/>
      <c r="AA478" s="1"/>
      <c r="AB478" s="1"/>
    </row>
    <row r="479" ht="12.75" customHeight="1">
      <c r="A479" s="1"/>
      <c r="B479" s="146"/>
      <c r="C479" s="150"/>
      <c r="D479" s="151"/>
      <c r="E479" s="24"/>
      <c r="F479" s="24"/>
      <c r="G479" s="24"/>
      <c r="H479" s="24"/>
      <c r="I479" s="24"/>
      <c r="J479" s="24"/>
      <c r="K479" s="24"/>
      <c r="L479" s="24"/>
      <c r="M479" s="24"/>
      <c r="N479" s="1"/>
      <c r="O479" s="1"/>
      <c r="P479" s="1"/>
      <c r="Q479" s="1"/>
      <c r="R479" s="1"/>
      <c r="S479" s="1"/>
      <c r="T479" s="1"/>
      <c r="U479" s="1"/>
      <c r="V479" s="1"/>
      <c r="W479" s="1"/>
      <c r="X479" s="1"/>
      <c r="Y479" s="1"/>
      <c r="Z479" s="1"/>
      <c r="AA479" s="1"/>
      <c r="AB479" s="1"/>
    </row>
    <row r="480" ht="12.75" customHeight="1">
      <c r="A480" s="1"/>
      <c r="B480" s="146"/>
      <c r="C480" s="150"/>
      <c r="D480" s="151"/>
      <c r="E480" s="24"/>
      <c r="F480" s="24"/>
      <c r="G480" s="24"/>
      <c r="H480" s="24"/>
      <c r="I480" s="24"/>
      <c r="J480" s="24"/>
      <c r="K480" s="24"/>
      <c r="L480" s="24"/>
      <c r="M480" s="24"/>
      <c r="N480" s="1"/>
      <c r="O480" s="1"/>
      <c r="P480" s="1"/>
      <c r="Q480" s="1"/>
      <c r="R480" s="1"/>
      <c r="S480" s="1"/>
      <c r="T480" s="1"/>
      <c r="U480" s="1"/>
      <c r="V480" s="1"/>
      <c r="W480" s="1"/>
      <c r="X480" s="1"/>
      <c r="Y480" s="1"/>
      <c r="Z480" s="1"/>
      <c r="AA480" s="1"/>
      <c r="AB480" s="1"/>
    </row>
    <row r="481" ht="12.75" customHeight="1">
      <c r="A481" s="1"/>
      <c r="B481" s="146"/>
      <c r="C481" s="150"/>
      <c r="D481" s="151"/>
      <c r="E481" s="24"/>
      <c r="F481" s="24"/>
      <c r="G481" s="24"/>
      <c r="H481" s="24"/>
      <c r="I481" s="24"/>
      <c r="J481" s="24"/>
      <c r="K481" s="24"/>
      <c r="L481" s="24"/>
      <c r="M481" s="24"/>
      <c r="N481" s="1"/>
      <c r="O481" s="1"/>
      <c r="P481" s="1"/>
      <c r="Q481" s="1"/>
      <c r="R481" s="1"/>
      <c r="S481" s="1"/>
      <c r="T481" s="1"/>
      <c r="U481" s="1"/>
      <c r="V481" s="1"/>
      <c r="W481" s="1"/>
      <c r="X481" s="1"/>
      <c r="Y481" s="1"/>
      <c r="Z481" s="1"/>
      <c r="AA481" s="1"/>
      <c r="AB481" s="1"/>
    </row>
    <row r="482" ht="12.75" customHeight="1">
      <c r="A482" s="1"/>
      <c r="B482" s="146"/>
      <c r="C482" s="150"/>
      <c r="D482" s="151"/>
      <c r="E482" s="24"/>
      <c r="F482" s="24"/>
      <c r="G482" s="24"/>
      <c r="H482" s="24"/>
      <c r="I482" s="24"/>
      <c r="J482" s="24"/>
      <c r="K482" s="24"/>
      <c r="L482" s="24"/>
      <c r="M482" s="24"/>
      <c r="N482" s="1"/>
      <c r="O482" s="1"/>
      <c r="P482" s="1"/>
      <c r="Q482" s="1"/>
      <c r="R482" s="1"/>
      <c r="S482" s="1"/>
      <c r="T482" s="1"/>
      <c r="U482" s="1"/>
      <c r="V482" s="1"/>
      <c r="W482" s="1"/>
      <c r="X482" s="1"/>
      <c r="Y482" s="1"/>
      <c r="Z482" s="1"/>
      <c r="AA482" s="1"/>
      <c r="AB482" s="1"/>
    </row>
    <row r="483" ht="12.75" customHeight="1">
      <c r="A483" s="1"/>
      <c r="B483" s="146"/>
      <c r="C483" s="150"/>
      <c r="D483" s="151"/>
      <c r="E483" s="24"/>
      <c r="F483" s="24"/>
      <c r="G483" s="24"/>
      <c r="H483" s="24"/>
      <c r="I483" s="24"/>
      <c r="J483" s="24"/>
      <c r="K483" s="24"/>
      <c r="L483" s="24"/>
      <c r="M483" s="24"/>
      <c r="N483" s="1"/>
      <c r="O483" s="1"/>
      <c r="P483" s="1"/>
      <c r="Q483" s="1"/>
      <c r="R483" s="1"/>
      <c r="S483" s="1"/>
      <c r="T483" s="1"/>
      <c r="U483" s="1"/>
      <c r="V483" s="1"/>
      <c r="W483" s="1"/>
      <c r="X483" s="1"/>
      <c r="Y483" s="1"/>
      <c r="Z483" s="1"/>
      <c r="AA483" s="1"/>
      <c r="AB483" s="1"/>
    </row>
    <row r="484" ht="12.75" customHeight="1">
      <c r="A484" s="1"/>
      <c r="B484" s="146"/>
      <c r="C484" s="150"/>
      <c r="D484" s="151"/>
      <c r="E484" s="24"/>
      <c r="F484" s="24"/>
      <c r="G484" s="24"/>
      <c r="H484" s="24"/>
      <c r="I484" s="24"/>
      <c r="J484" s="24"/>
      <c r="K484" s="24"/>
      <c r="L484" s="24"/>
      <c r="M484" s="24"/>
      <c r="N484" s="1"/>
      <c r="O484" s="1"/>
      <c r="P484" s="1"/>
      <c r="Q484" s="1"/>
      <c r="R484" s="1"/>
      <c r="S484" s="1"/>
      <c r="T484" s="1"/>
      <c r="U484" s="1"/>
      <c r="V484" s="1"/>
      <c r="W484" s="1"/>
      <c r="X484" s="1"/>
      <c r="Y484" s="1"/>
      <c r="Z484" s="1"/>
      <c r="AA484" s="1"/>
      <c r="AB484" s="1"/>
    </row>
    <row r="485" ht="12.75" customHeight="1">
      <c r="A485" s="1"/>
      <c r="B485" s="146"/>
      <c r="C485" s="150"/>
      <c r="D485" s="151"/>
      <c r="E485" s="24"/>
      <c r="F485" s="24"/>
      <c r="G485" s="24"/>
      <c r="H485" s="24"/>
      <c r="I485" s="24"/>
      <c r="J485" s="24"/>
      <c r="K485" s="24"/>
      <c r="L485" s="24"/>
      <c r="M485" s="24"/>
      <c r="N485" s="1"/>
      <c r="O485" s="1"/>
      <c r="P485" s="1"/>
      <c r="Q485" s="1"/>
      <c r="R485" s="1"/>
      <c r="S485" s="1"/>
      <c r="T485" s="1"/>
      <c r="U485" s="1"/>
      <c r="V485" s="1"/>
      <c r="W485" s="1"/>
      <c r="X485" s="1"/>
      <c r="Y485" s="1"/>
      <c r="Z485" s="1"/>
      <c r="AA485" s="1"/>
      <c r="AB485" s="1"/>
    </row>
    <row r="486" ht="12.75" customHeight="1">
      <c r="A486" s="1"/>
      <c r="B486" s="146"/>
      <c r="C486" s="150"/>
      <c r="D486" s="151"/>
      <c r="E486" s="24"/>
      <c r="F486" s="24"/>
      <c r="G486" s="24"/>
      <c r="H486" s="24"/>
      <c r="I486" s="24"/>
      <c r="J486" s="24"/>
      <c r="K486" s="24"/>
      <c r="L486" s="24"/>
      <c r="M486" s="24"/>
      <c r="N486" s="1"/>
      <c r="O486" s="1"/>
      <c r="P486" s="1"/>
      <c r="Q486" s="1"/>
      <c r="R486" s="1"/>
      <c r="S486" s="1"/>
      <c r="T486" s="1"/>
      <c r="U486" s="1"/>
      <c r="V486" s="1"/>
      <c r="W486" s="1"/>
      <c r="X486" s="1"/>
      <c r="Y486" s="1"/>
      <c r="Z486" s="1"/>
      <c r="AA486" s="1"/>
      <c r="AB486" s="1"/>
    </row>
    <row r="487" ht="12.75" customHeight="1">
      <c r="A487" s="1"/>
      <c r="B487" s="146"/>
      <c r="C487" s="150"/>
      <c r="D487" s="151"/>
      <c r="E487" s="24"/>
      <c r="F487" s="24"/>
      <c r="G487" s="24"/>
      <c r="H487" s="24"/>
      <c r="I487" s="24"/>
      <c r="J487" s="24"/>
      <c r="K487" s="24"/>
      <c r="L487" s="24"/>
      <c r="M487" s="24"/>
      <c r="N487" s="1"/>
      <c r="O487" s="1"/>
      <c r="P487" s="1"/>
      <c r="Q487" s="1"/>
      <c r="R487" s="1"/>
      <c r="S487" s="1"/>
      <c r="T487" s="1"/>
      <c r="U487" s="1"/>
      <c r="V487" s="1"/>
      <c r="W487" s="1"/>
      <c r="X487" s="1"/>
      <c r="Y487" s="1"/>
      <c r="Z487" s="1"/>
      <c r="AA487" s="1"/>
      <c r="AB487" s="1"/>
    </row>
    <row r="488" ht="12.75" customHeight="1">
      <c r="A488" s="1"/>
      <c r="B488" s="146"/>
      <c r="C488" s="150"/>
      <c r="D488" s="151"/>
      <c r="E488" s="24"/>
      <c r="F488" s="24"/>
      <c r="G488" s="24"/>
      <c r="H488" s="24"/>
      <c r="I488" s="24"/>
      <c r="J488" s="24"/>
      <c r="K488" s="24"/>
      <c r="L488" s="24"/>
      <c r="M488" s="24"/>
      <c r="N488" s="1"/>
      <c r="O488" s="1"/>
      <c r="P488" s="1"/>
      <c r="Q488" s="1"/>
      <c r="R488" s="1"/>
      <c r="S488" s="1"/>
      <c r="T488" s="1"/>
      <c r="U488" s="1"/>
      <c r="V488" s="1"/>
      <c r="W488" s="1"/>
      <c r="X488" s="1"/>
      <c r="Y488" s="1"/>
      <c r="Z488" s="1"/>
      <c r="AA488" s="1"/>
      <c r="AB488" s="1"/>
    </row>
    <row r="489" ht="12.75" customHeight="1">
      <c r="A489" s="1"/>
      <c r="B489" s="146"/>
      <c r="C489" s="150"/>
      <c r="D489" s="151"/>
      <c r="E489" s="24"/>
      <c r="F489" s="24"/>
      <c r="G489" s="24"/>
      <c r="H489" s="24"/>
      <c r="I489" s="24"/>
      <c r="J489" s="24"/>
      <c r="K489" s="24"/>
      <c r="L489" s="24"/>
      <c r="M489" s="24"/>
      <c r="N489" s="1"/>
      <c r="O489" s="1"/>
      <c r="P489" s="1"/>
      <c r="Q489" s="1"/>
      <c r="R489" s="1"/>
      <c r="S489" s="1"/>
      <c r="T489" s="1"/>
      <c r="U489" s="1"/>
      <c r="V489" s="1"/>
      <c r="W489" s="1"/>
      <c r="X489" s="1"/>
      <c r="Y489" s="1"/>
      <c r="Z489" s="1"/>
      <c r="AA489" s="1"/>
      <c r="AB489" s="1"/>
    </row>
    <row r="490" ht="12.75" customHeight="1">
      <c r="A490" s="1"/>
      <c r="B490" s="146"/>
      <c r="C490" s="150"/>
      <c r="D490" s="151"/>
      <c r="E490" s="24"/>
      <c r="F490" s="24"/>
      <c r="G490" s="24"/>
      <c r="H490" s="24"/>
      <c r="I490" s="24"/>
      <c r="J490" s="24"/>
      <c r="K490" s="24"/>
      <c r="L490" s="24"/>
      <c r="M490" s="24"/>
      <c r="N490" s="1"/>
      <c r="O490" s="1"/>
      <c r="P490" s="1"/>
      <c r="Q490" s="1"/>
      <c r="R490" s="1"/>
      <c r="S490" s="1"/>
      <c r="T490" s="1"/>
      <c r="U490" s="1"/>
      <c r="V490" s="1"/>
      <c r="W490" s="1"/>
      <c r="X490" s="1"/>
      <c r="Y490" s="1"/>
      <c r="Z490" s="1"/>
      <c r="AA490" s="1"/>
      <c r="AB490" s="1"/>
    </row>
    <row r="491" ht="12.75" customHeight="1">
      <c r="A491" s="1"/>
      <c r="B491" s="146"/>
      <c r="C491" s="150"/>
      <c r="D491" s="151"/>
      <c r="E491" s="24"/>
      <c r="F491" s="24"/>
      <c r="G491" s="24"/>
      <c r="H491" s="24"/>
      <c r="I491" s="24"/>
      <c r="J491" s="24"/>
      <c r="K491" s="24"/>
      <c r="L491" s="24"/>
      <c r="M491" s="24"/>
      <c r="N491" s="1"/>
      <c r="O491" s="1"/>
      <c r="P491" s="1"/>
      <c r="Q491" s="1"/>
      <c r="R491" s="1"/>
      <c r="S491" s="1"/>
      <c r="T491" s="1"/>
      <c r="U491" s="1"/>
      <c r="V491" s="1"/>
      <c r="W491" s="1"/>
      <c r="X491" s="1"/>
      <c r="Y491" s="1"/>
      <c r="Z491" s="1"/>
      <c r="AA491" s="1"/>
      <c r="AB491" s="1"/>
    </row>
    <row r="492" ht="12.75" customHeight="1">
      <c r="A492" s="1"/>
      <c r="B492" s="146"/>
      <c r="C492" s="150"/>
      <c r="D492" s="151"/>
      <c r="E492" s="24"/>
      <c r="F492" s="24"/>
      <c r="G492" s="24"/>
      <c r="H492" s="24"/>
      <c r="I492" s="24"/>
      <c r="J492" s="24"/>
      <c r="K492" s="24"/>
      <c r="L492" s="24"/>
      <c r="M492" s="24"/>
      <c r="N492" s="1"/>
      <c r="O492" s="1"/>
      <c r="P492" s="1"/>
      <c r="Q492" s="1"/>
      <c r="R492" s="1"/>
      <c r="S492" s="1"/>
      <c r="T492" s="1"/>
      <c r="U492" s="1"/>
      <c r="V492" s="1"/>
      <c r="W492" s="1"/>
      <c r="X492" s="1"/>
      <c r="Y492" s="1"/>
      <c r="Z492" s="1"/>
      <c r="AA492" s="1"/>
      <c r="AB492" s="1"/>
    </row>
    <row r="493" ht="12.75" customHeight="1">
      <c r="A493" s="1"/>
      <c r="B493" s="146"/>
      <c r="C493" s="150"/>
      <c r="D493" s="151"/>
      <c r="E493" s="24"/>
      <c r="F493" s="24"/>
      <c r="G493" s="24"/>
      <c r="H493" s="24"/>
      <c r="I493" s="24"/>
      <c r="J493" s="24"/>
      <c r="K493" s="24"/>
      <c r="L493" s="24"/>
      <c r="M493" s="24"/>
      <c r="N493" s="1"/>
      <c r="O493" s="1"/>
      <c r="P493" s="1"/>
      <c r="Q493" s="1"/>
      <c r="R493" s="1"/>
      <c r="S493" s="1"/>
      <c r="T493" s="1"/>
      <c r="U493" s="1"/>
      <c r="V493" s="1"/>
      <c r="W493" s="1"/>
      <c r="X493" s="1"/>
      <c r="Y493" s="1"/>
      <c r="Z493" s="1"/>
      <c r="AA493" s="1"/>
      <c r="AB493" s="1"/>
    </row>
    <row r="494" ht="12.75" customHeight="1">
      <c r="A494" s="1"/>
      <c r="B494" s="146"/>
      <c r="C494" s="150"/>
      <c r="D494" s="151"/>
      <c r="E494" s="24"/>
      <c r="F494" s="24"/>
      <c r="G494" s="24"/>
      <c r="H494" s="24"/>
      <c r="I494" s="24"/>
      <c r="J494" s="24"/>
      <c r="K494" s="24"/>
      <c r="L494" s="24"/>
      <c r="M494" s="24"/>
      <c r="N494" s="1"/>
      <c r="O494" s="1"/>
      <c r="P494" s="1"/>
      <c r="Q494" s="1"/>
      <c r="R494" s="1"/>
      <c r="S494" s="1"/>
      <c r="T494" s="1"/>
      <c r="U494" s="1"/>
      <c r="V494" s="1"/>
      <c r="W494" s="1"/>
      <c r="X494" s="1"/>
      <c r="Y494" s="1"/>
      <c r="Z494" s="1"/>
      <c r="AA494" s="1"/>
      <c r="AB494" s="1"/>
    </row>
    <row r="495" ht="12.75" customHeight="1">
      <c r="A495" s="1"/>
      <c r="B495" s="146"/>
      <c r="C495" s="150"/>
      <c r="D495" s="151"/>
      <c r="E495" s="24"/>
      <c r="F495" s="24"/>
      <c r="G495" s="24"/>
      <c r="H495" s="24"/>
      <c r="I495" s="24"/>
      <c r="J495" s="24"/>
      <c r="K495" s="24"/>
      <c r="L495" s="24"/>
      <c r="M495" s="24"/>
      <c r="N495" s="1"/>
      <c r="O495" s="1"/>
      <c r="P495" s="1"/>
      <c r="Q495" s="1"/>
      <c r="R495" s="1"/>
      <c r="S495" s="1"/>
      <c r="T495" s="1"/>
      <c r="U495" s="1"/>
      <c r="V495" s="1"/>
      <c r="W495" s="1"/>
      <c r="X495" s="1"/>
      <c r="Y495" s="1"/>
      <c r="Z495" s="1"/>
      <c r="AA495" s="1"/>
      <c r="AB495" s="1"/>
    </row>
    <row r="496" ht="12.75" customHeight="1">
      <c r="A496" s="1"/>
      <c r="B496" s="146"/>
      <c r="C496" s="150"/>
      <c r="D496" s="151"/>
      <c r="E496" s="24"/>
      <c r="F496" s="24"/>
      <c r="G496" s="24"/>
      <c r="H496" s="24"/>
      <c r="I496" s="24"/>
      <c r="J496" s="24"/>
      <c r="K496" s="24"/>
      <c r="L496" s="24"/>
      <c r="M496" s="24"/>
      <c r="N496" s="1"/>
      <c r="O496" s="1"/>
      <c r="P496" s="1"/>
      <c r="Q496" s="1"/>
      <c r="R496" s="1"/>
      <c r="S496" s="1"/>
      <c r="T496" s="1"/>
      <c r="U496" s="1"/>
      <c r="V496" s="1"/>
      <c r="W496" s="1"/>
      <c r="X496" s="1"/>
      <c r="Y496" s="1"/>
      <c r="Z496" s="1"/>
      <c r="AA496" s="1"/>
      <c r="AB496" s="1"/>
    </row>
    <row r="497" ht="12.75" customHeight="1">
      <c r="A497" s="1"/>
      <c r="B497" s="146"/>
      <c r="C497" s="150"/>
      <c r="D497" s="151"/>
      <c r="E497" s="24"/>
      <c r="F497" s="24"/>
      <c r="G497" s="24"/>
      <c r="H497" s="24"/>
      <c r="I497" s="24"/>
      <c r="J497" s="24"/>
      <c r="K497" s="24"/>
      <c r="L497" s="24"/>
      <c r="M497" s="24"/>
      <c r="N497" s="1"/>
      <c r="O497" s="1"/>
      <c r="P497" s="1"/>
      <c r="Q497" s="1"/>
      <c r="R497" s="1"/>
      <c r="S497" s="1"/>
      <c r="T497" s="1"/>
      <c r="U497" s="1"/>
      <c r="V497" s="1"/>
      <c r="W497" s="1"/>
      <c r="X497" s="1"/>
      <c r="Y497" s="1"/>
      <c r="Z497" s="1"/>
      <c r="AA497" s="1"/>
      <c r="AB497" s="1"/>
    </row>
    <row r="498" ht="12.75" customHeight="1">
      <c r="A498" s="1"/>
      <c r="B498" s="146"/>
      <c r="C498" s="150"/>
      <c r="D498" s="151"/>
      <c r="E498" s="24"/>
      <c r="F498" s="24"/>
      <c r="G498" s="24"/>
      <c r="H498" s="24"/>
      <c r="I498" s="24"/>
      <c r="J498" s="24"/>
      <c r="K498" s="24"/>
      <c r="L498" s="24"/>
      <c r="M498" s="24"/>
      <c r="N498" s="1"/>
      <c r="O498" s="1"/>
      <c r="P498" s="1"/>
      <c r="Q498" s="1"/>
      <c r="R498" s="1"/>
      <c r="S498" s="1"/>
      <c r="T498" s="1"/>
      <c r="U498" s="1"/>
      <c r="V498" s="1"/>
      <c r="W498" s="1"/>
      <c r="X498" s="1"/>
      <c r="Y498" s="1"/>
      <c r="Z498" s="1"/>
      <c r="AA498" s="1"/>
      <c r="AB498" s="1"/>
    </row>
    <row r="499" ht="12.75" customHeight="1">
      <c r="A499" s="1"/>
      <c r="B499" s="146"/>
      <c r="C499" s="150"/>
      <c r="D499" s="151"/>
      <c r="E499" s="24"/>
      <c r="F499" s="24"/>
      <c r="G499" s="24"/>
      <c r="H499" s="24"/>
      <c r="I499" s="24"/>
      <c r="J499" s="24"/>
      <c r="K499" s="24"/>
      <c r="L499" s="24"/>
      <c r="M499" s="24"/>
      <c r="N499" s="1"/>
      <c r="O499" s="1"/>
      <c r="P499" s="1"/>
      <c r="Q499" s="1"/>
      <c r="R499" s="1"/>
      <c r="S499" s="1"/>
      <c r="T499" s="1"/>
      <c r="U499" s="1"/>
      <c r="V499" s="1"/>
      <c r="W499" s="1"/>
      <c r="X499" s="1"/>
      <c r="Y499" s="1"/>
      <c r="Z499" s="1"/>
      <c r="AA499" s="1"/>
      <c r="AB499" s="1"/>
    </row>
    <row r="500" ht="12.75" customHeight="1">
      <c r="A500" s="1"/>
      <c r="B500" s="146"/>
      <c r="C500" s="150"/>
      <c r="D500" s="151"/>
      <c r="E500" s="24"/>
      <c r="F500" s="24"/>
      <c r="G500" s="24"/>
      <c r="H500" s="24"/>
      <c r="I500" s="24"/>
      <c r="J500" s="24"/>
      <c r="K500" s="24"/>
      <c r="L500" s="24"/>
      <c r="M500" s="24"/>
      <c r="N500" s="1"/>
      <c r="O500" s="1"/>
      <c r="P500" s="1"/>
      <c r="Q500" s="1"/>
      <c r="R500" s="1"/>
      <c r="S500" s="1"/>
      <c r="T500" s="1"/>
      <c r="U500" s="1"/>
      <c r="V500" s="1"/>
      <c r="W500" s="1"/>
      <c r="X500" s="1"/>
      <c r="Y500" s="1"/>
      <c r="Z500" s="1"/>
      <c r="AA500" s="1"/>
      <c r="AB500" s="1"/>
    </row>
    <row r="501" ht="12.75" customHeight="1">
      <c r="A501" s="1"/>
      <c r="B501" s="146"/>
      <c r="C501" s="150"/>
      <c r="D501" s="151"/>
      <c r="E501" s="24"/>
      <c r="F501" s="24"/>
      <c r="G501" s="24"/>
      <c r="H501" s="24"/>
      <c r="I501" s="24"/>
      <c r="J501" s="24"/>
      <c r="K501" s="24"/>
      <c r="L501" s="24"/>
      <c r="M501" s="24"/>
      <c r="N501" s="1"/>
      <c r="O501" s="1"/>
      <c r="P501" s="1"/>
      <c r="Q501" s="1"/>
      <c r="R501" s="1"/>
      <c r="S501" s="1"/>
      <c r="T501" s="1"/>
      <c r="U501" s="1"/>
      <c r="V501" s="1"/>
      <c r="W501" s="1"/>
      <c r="X501" s="1"/>
      <c r="Y501" s="1"/>
      <c r="Z501" s="1"/>
      <c r="AA501" s="1"/>
      <c r="AB501" s="1"/>
    </row>
    <row r="502" ht="12.75" customHeight="1">
      <c r="A502" s="1"/>
      <c r="B502" s="146"/>
      <c r="C502" s="150"/>
      <c r="D502" s="151"/>
      <c r="E502" s="24"/>
      <c r="F502" s="24"/>
      <c r="G502" s="24"/>
      <c r="H502" s="24"/>
      <c r="I502" s="24"/>
      <c r="J502" s="24"/>
      <c r="K502" s="24"/>
      <c r="L502" s="24"/>
      <c r="M502" s="24"/>
      <c r="N502" s="1"/>
      <c r="O502" s="1"/>
      <c r="P502" s="1"/>
      <c r="Q502" s="1"/>
      <c r="R502" s="1"/>
      <c r="S502" s="1"/>
      <c r="T502" s="1"/>
      <c r="U502" s="1"/>
      <c r="V502" s="1"/>
      <c r="W502" s="1"/>
      <c r="X502" s="1"/>
      <c r="Y502" s="1"/>
      <c r="Z502" s="1"/>
      <c r="AA502" s="1"/>
      <c r="AB502" s="1"/>
    </row>
    <row r="503" ht="12.75" customHeight="1">
      <c r="A503" s="1"/>
      <c r="B503" s="146"/>
      <c r="C503" s="150"/>
      <c r="D503" s="151"/>
      <c r="E503" s="24"/>
      <c r="F503" s="24"/>
      <c r="G503" s="24"/>
      <c r="H503" s="24"/>
      <c r="I503" s="24"/>
      <c r="J503" s="24"/>
      <c r="K503" s="24"/>
      <c r="L503" s="24"/>
      <c r="M503" s="24"/>
      <c r="N503" s="1"/>
      <c r="O503" s="1"/>
      <c r="P503" s="1"/>
      <c r="Q503" s="1"/>
      <c r="R503" s="1"/>
      <c r="S503" s="1"/>
      <c r="T503" s="1"/>
      <c r="U503" s="1"/>
      <c r="V503" s="1"/>
      <c r="W503" s="1"/>
      <c r="X503" s="1"/>
      <c r="Y503" s="1"/>
      <c r="Z503" s="1"/>
      <c r="AA503" s="1"/>
      <c r="AB503" s="1"/>
    </row>
    <row r="504" ht="12.75" customHeight="1">
      <c r="A504" s="1"/>
      <c r="B504" s="146"/>
      <c r="C504" s="150"/>
      <c r="D504" s="151"/>
      <c r="E504" s="24"/>
      <c r="F504" s="24"/>
      <c r="G504" s="24"/>
      <c r="H504" s="24"/>
      <c r="I504" s="24"/>
      <c r="J504" s="24"/>
      <c r="K504" s="24"/>
      <c r="L504" s="24"/>
      <c r="M504" s="24"/>
      <c r="N504" s="1"/>
      <c r="O504" s="1"/>
      <c r="P504" s="1"/>
      <c r="Q504" s="1"/>
      <c r="R504" s="1"/>
      <c r="S504" s="1"/>
      <c r="T504" s="1"/>
      <c r="U504" s="1"/>
      <c r="V504" s="1"/>
      <c r="W504" s="1"/>
      <c r="X504" s="1"/>
      <c r="Y504" s="1"/>
      <c r="Z504" s="1"/>
      <c r="AA504" s="1"/>
      <c r="AB504" s="1"/>
    </row>
    <row r="505" ht="12.75" customHeight="1">
      <c r="A505" s="1"/>
      <c r="B505" s="146"/>
      <c r="C505" s="150"/>
      <c r="D505" s="151"/>
      <c r="E505" s="24"/>
      <c r="F505" s="24"/>
      <c r="G505" s="24"/>
      <c r="H505" s="24"/>
      <c r="I505" s="24"/>
      <c r="J505" s="24"/>
      <c r="K505" s="24"/>
      <c r="L505" s="24"/>
      <c r="M505" s="24"/>
      <c r="N505" s="1"/>
      <c r="O505" s="1"/>
      <c r="P505" s="1"/>
      <c r="Q505" s="1"/>
      <c r="R505" s="1"/>
      <c r="S505" s="1"/>
      <c r="T505" s="1"/>
      <c r="U505" s="1"/>
      <c r="V505" s="1"/>
      <c r="W505" s="1"/>
      <c r="X505" s="1"/>
      <c r="Y505" s="1"/>
      <c r="Z505" s="1"/>
      <c r="AA505" s="1"/>
      <c r="AB505" s="1"/>
    </row>
    <row r="506" ht="12.75" customHeight="1">
      <c r="A506" s="1"/>
      <c r="B506" s="146"/>
      <c r="C506" s="150"/>
      <c r="D506" s="151"/>
      <c r="E506" s="24"/>
      <c r="F506" s="24"/>
      <c r="G506" s="24"/>
      <c r="H506" s="24"/>
      <c r="I506" s="24"/>
      <c r="J506" s="24"/>
      <c r="K506" s="24"/>
      <c r="L506" s="24"/>
      <c r="M506" s="24"/>
      <c r="N506" s="1"/>
      <c r="O506" s="1"/>
      <c r="P506" s="1"/>
      <c r="Q506" s="1"/>
      <c r="R506" s="1"/>
      <c r="S506" s="1"/>
      <c r="T506" s="1"/>
      <c r="U506" s="1"/>
      <c r="V506" s="1"/>
      <c r="W506" s="1"/>
      <c r="X506" s="1"/>
      <c r="Y506" s="1"/>
      <c r="Z506" s="1"/>
      <c r="AA506" s="1"/>
      <c r="AB506" s="1"/>
    </row>
    <row r="507" ht="12.75" customHeight="1">
      <c r="A507" s="1"/>
      <c r="B507" s="146"/>
      <c r="C507" s="150"/>
      <c r="D507" s="151"/>
      <c r="E507" s="24"/>
      <c r="F507" s="24"/>
      <c r="G507" s="24"/>
      <c r="H507" s="24"/>
      <c r="I507" s="24"/>
      <c r="J507" s="24"/>
      <c r="K507" s="24"/>
      <c r="L507" s="24"/>
      <c r="M507" s="24"/>
      <c r="N507" s="1"/>
      <c r="O507" s="1"/>
      <c r="P507" s="1"/>
      <c r="Q507" s="1"/>
      <c r="R507" s="1"/>
      <c r="S507" s="1"/>
      <c r="T507" s="1"/>
      <c r="U507" s="1"/>
      <c r="V507" s="1"/>
      <c r="W507" s="1"/>
      <c r="X507" s="1"/>
      <c r="Y507" s="1"/>
      <c r="Z507" s="1"/>
      <c r="AA507" s="1"/>
      <c r="AB507" s="1"/>
    </row>
    <row r="508" ht="12.75" customHeight="1">
      <c r="A508" s="1"/>
      <c r="B508" s="146"/>
      <c r="C508" s="150"/>
      <c r="D508" s="151"/>
      <c r="E508" s="24"/>
      <c r="F508" s="24"/>
      <c r="G508" s="24"/>
      <c r="H508" s="24"/>
      <c r="I508" s="24"/>
      <c r="J508" s="24"/>
      <c r="K508" s="24"/>
      <c r="L508" s="24"/>
      <c r="M508" s="24"/>
      <c r="N508" s="1"/>
      <c r="O508" s="1"/>
      <c r="P508" s="1"/>
      <c r="Q508" s="1"/>
      <c r="R508" s="1"/>
      <c r="S508" s="1"/>
      <c r="T508" s="1"/>
      <c r="U508" s="1"/>
      <c r="V508" s="1"/>
      <c r="W508" s="1"/>
      <c r="X508" s="1"/>
      <c r="Y508" s="1"/>
      <c r="Z508" s="1"/>
      <c r="AA508" s="1"/>
      <c r="AB508" s="1"/>
    </row>
    <row r="509" ht="12.75" customHeight="1">
      <c r="A509" s="1"/>
      <c r="B509" s="146"/>
      <c r="C509" s="150"/>
      <c r="D509" s="151"/>
      <c r="E509" s="24"/>
      <c r="F509" s="24"/>
      <c r="G509" s="24"/>
      <c r="H509" s="24"/>
      <c r="I509" s="24"/>
      <c r="J509" s="24"/>
      <c r="K509" s="24"/>
      <c r="L509" s="24"/>
      <c r="M509" s="24"/>
      <c r="N509" s="1"/>
      <c r="O509" s="1"/>
      <c r="P509" s="1"/>
      <c r="Q509" s="1"/>
      <c r="R509" s="1"/>
      <c r="S509" s="1"/>
      <c r="T509" s="1"/>
      <c r="U509" s="1"/>
      <c r="V509" s="1"/>
      <c r="W509" s="1"/>
      <c r="X509" s="1"/>
      <c r="Y509" s="1"/>
      <c r="Z509" s="1"/>
      <c r="AA509" s="1"/>
      <c r="AB509" s="1"/>
    </row>
    <row r="510" ht="12.75" customHeight="1">
      <c r="A510" s="1"/>
      <c r="B510" s="146"/>
      <c r="C510" s="150"/>
      <c r="D510" s="151"/>
      <c r="E510" s="24"/>
      <c r="F510" s="24"/>
      <c r="G510" s="24"/>
      <c r="H510" s="24"/>
      <c r="I510" s="24"/>
      <c r="J510" s="24"/>
      <c r="K510" s="24"/>
      <c r="L510" s="24"/>
      <c r="M510" s="24"/>
      <c r="N510" s="1"/>
      <c r="O510" s="1"/>
      <c r="P510" s="1"/>
      <c r="Q510" s="1"/>
      <c r="R510" s="1"/>
      <c r="S510" s="1"/>
      <c r="T510" s="1"/>
      <c r="U510" s="1"/>
      <c r="V510" s="1"/>
      <c r="W510" s="1"/>
      <c r="X510" s="1"/>
      <c r="Y510" s="1"/>
      <c r="Z510" s="1"/>
      <c r="AA510" s="1"/>
      <c r="AB510" s="1"/>
    </row>
    <row r="511" ht="12.75" customHeight="1">
      <c r="A511" s="1"/>
      <c r="B511" s="146"/>
      <c r="C511" s="150"/>
      <c r="D511" s="151"/>
      <c r="E511" s="24"/>
      <c r="F511" s="24"/>
      <c r="G511" s="24"/>
      <c r="H511" s="24"/>
      <c r="I511" s="24"/>
      <c r="J511" s="24"/>
      <c r="K511" s="24"/>
      <c r="L511" s="24"/>
      <c r="M511" s="24"/>
      <c r="N511" s="1"/>
      <c r="O511" s="1"/>
      <c r="P511" s="1"/>
      <c r="Q511" s="1"/>
      <c r="R511" s="1"/>
      <c r="S511" s="1"/>
      <c r="T511" s="1"/>
      <c r="U511" s="1"/>
      <c r="V511" s="1"/>
      <c r="W511" s="1"/>
      <c r="X511" s="1"/>
      <c r="Y511" s="1"/>
      <c r="Z511" s="1"/>
      <c r="AA511" s="1"/>
      <c r="AB511" s="1"/>
    </row>
    <row r="512" ht="12.75" customHeight="1">
      <c r="A512" s="1"/>
      <c r="B512" s="146"/>
      <c r="C512" s="150"/>
      <c r="D512" s="151"/>
      <c r="E512" s="24"/>
      <c r="F512" s="24"/>
      <c r="G512" s="24"/>
      <c r="H512" s="24"/>
      <c r="I512" s="24"/>
      <c r="J512" s="24"/>
      <c r="K512" s="24"/>
      <c r="L512" s="24"/>
      <c r="M512" s="24"/>
      <c r="N512" s="1"/>
      <c r="O512" s="1"/>
      <c r="P512" s="1"/>
      <c r="Q512" s="1"/>
      <c r="R512" s="1"/>
      <c r="S512" s="1"/>
      <c r="T512" s="1"/>
      <c r="U512" s="1"/>
      <c r="V512" s="1"/>
      <c r="W512" s="1"/>
      <c r="X512" s="1"/>
      <c r="Y512" s="1"/>
      <c r="Z512" s="1"/>
      <c r="AA512" s="1"/>
      <c r="AB512" s="1"/>
    </row>
    <row r="513" ht="12.75" customHeight="1">
      <c r="A513" s="1"/>
      <c r="B513" s="146"/>
      <c r="C513" s="150"/>
      <c r="D513" s="151"/>
      <c r="E513" s="24"/>
      <c r="F513" s="24"/>
      <c r="G513" s="24"/>
      <c r="H513" s="24"/>
      <c r="I513" s="24"/>
      <c r="J513" s="24"/>
      <c r="K513" s="24"/>
      <c r="L513" s="24"/>
      <c r="M513" s="24"/>
      <c r="N513" s="1"/>
      <c r="O513" s="1"/>
      <c r="P513" s="1"/>
      <c r="Q513" s="1"/>
      <c r="R513" s="1"/>
      <c r="S513" s="1"/>
      <c r="T513" s="1"/>
      <c r="U513" s="1"/>
      <c r="V513" s="1"/>
      <c r="W513" s="1"/>
      <c r="X513" s="1"/>
      <c r="Y513" s="1"/>
      <c r="Z513" s="1"/>
      <c r="AA513" s="1"/>
      <c r="AB513" s="1"/>
    </row>
    <row r="514" ht="12.75" customHeight="1">
      <c r="A514" s="1"/>
      <c r="B514" s="146"/>
      <c r="C514" s="150"/>
      <c r="D514" s="151"/>
      <c r="E514" s="24"/>
      <c r="F514" s="24"/>
      <c r="G514" s="24"/>
      <c r="H514" s="24"/>
      <c r="I514" s="24"/>
      <c r="J514" s="24"/>
      <c r="K514" s="24"/>
      <c r="L514" s="24"/>
      <c r="M514" s="24"/>
      <c r="N514" s="1"/>
      <c r="O514" s="1"/>
      <c r="P514" s="1"/>
      <c r="Q514" s="1"/>
      <c r="R514" s="1"/>
      <c r="S514" s="1"/>
      <c r="T514" s="1"/>
      <c r="U514" s="1"/>
      <c r="V514" s="1"/>
      <c r="W514" s="1"/>
      <c r="X514" s="1"/>
      <c r="Y514" s="1"/>
      <c r="Z514" s="1"/>
      <c r="AA514" s="1"/>
      <c r="AB514" s="1"/>
    </row>
    <row r="515" ht="12.75" customHeight="1">
      <c r="A515" s="1"/>
      <c r="B515" s="146"/>
      <c r="C515" s="150"/>
      <c r="D515" s="151"/>
      <c r="E515" s="24"/>
      <c r="F515" s="24"/>
      <c r="G515" s="24"/>
      <c r="H515" s="24"/>
      <c r="I515" s="24"/>
      <c r="J515" s="24"/>
      <c r="K515" s="24"/>
      <c r="L515" s="24"/>
      <c r="M515" s="24"/>
      <c r="N515" s="1"/>
      <c r="O515" s="1"/>
      <c r="P515" s="1"/>
      <c r="Q515" s="1"/>
      <c r="R515" s="1"/>
      <c r="S515" s="1"/>
      <c r="T515" s="1"/>
      <c r="U515" s="1"/>
      <c r="V515" s="1"/>
      <c r="W515" s="1"/>
      <c r="X515" s="1"/>
      <c r="Y515" s="1"/>
      <c r="Z515" s="1"/>
      <c r="AA515" s="1"/>
      <c r="AB515" s="1"/>
    </row>
    <row r="516" ht="12.75" customHeight="1">
      <c r="A516" s="1"/>
      <c r="B516" s="146"/>
      <c r="C516" s="150"/>
      <c r="D516" s="151"/>
      <c r="E516" s="24"/>
      <c r="F516" s="24"/>
      <c r="G516" s="24"/>
      <c r="H516" s="24"/>
      <c r="I516" s="24"/>
      <c r="J516" s="24"/>
      <c r="K516" s="24"/>
      <c r="L516" s="24"/>
      <c r="M516" s="24"/>
      <c r="N516" s="1"/>
      <c r="O516" s="1"/>
      <c r="P516" s="1"/>
      <c r="Q516" s="1"/>
      <c r="R516" s="1"/>
      <c r="S516" s="1"/>
      <c r="T516" s="1"/>
      <c r="U516" s="1"/>
      <c r="V516" s="1"/>
      <c r="W516" s="1"/>
      <c r="X516" s="1"/>
      <c r="Y516" s="1"/>
      <c r="Z516" s="1"/>
      <c r="AA516" s="1"/>
      <c r="AB516" s="1"/>
    </row>
    <row r="517" ht="12.75" customHeight="1">
      <c r="A517" s="1"/>
      <c r="B517" s="146"/>
      <c r="C517" s="150"/>
      <c r="D517" s="151"/>
      <c r="E517" s="24"/>
      <c r="F517" s="24"/>
      <c r="G517" s="24"/>
      <c r="H517" s="24"/>
      <c r="I517" s="24"/>
      <c r="J517" s="24"/>
      <c r="K517" s="24"/>
      <c r="L517" s="24"/>
      <c r="M517" s="24"/>
      <c r="N517" s="1"/>
      <c r="O517" s="1"/>
      <c r="P517" s="1"/>
      <c r="Q517" s="1"/>
      <c r="R517" s="1"/>
      <c r="S517" s="1"/>
      <c r="T517" s="1"/>
      <c r="U517" s="1"/>
      <c r="V517" s="1"/>
      <c r="W517" s="1"/>
      <c r="X517" s="1"/>
      <c r="Y517" s="1"/>
      <c r="Z517" s="1"/>
      <c r="AA517" s="1"/>
      <c r="AB517" s="1"/>
    </row>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B5:G5"/>
    <mergeCell ref="B6:C6"/>
    <mergeCell ref="AC7:AG20"/>
    <mergeCell ref="B22:C22"/>
    <mergeCell ref="AC23:AG35"/>
    <mergeCell ref="B37:C37"/>
    <mergeCell ref="B50:C50"/>
    <mergeCell ref="B59:G59"/>
    <mergeCell ref="B60:C60"/>
    <mergeCell ref="B75:C75"/>
    <mergeCell ref="B93:C93"/>
    <mergeCell ref="B108:C108"/>
    <mergeCell ref="B123:G123"/>
    <mergeCell ref="B124:C124"/>
    <mergeCell ref="AC38:AG48"/>
    <mergeCell ref="AC51:AG57"/>
    <mergeCell ref="AC61:AG73"/>
    <mergeCell ref="AC76:AG91"/>
    <mergeCell ref="AC94:AG106"/>
    <mergeCell ref="AC109:AG121"/>
    <mergeCell ref="AC125:AG137"/>
    <mergeCell ref="B245:C245"/>
    <mergeCell ref="B254:G254"/>
    <mergeCell ref="B255:C255"/>
    <mergeCell ref="B270:C270"/>
    <mergeCell ref="B286:C286"/>
    <mergeCell ref="B300:C300"/>
    <mergeCell ref="B139:C139"/>
    <mergeCell ref="B160:C160"/>
    <mergeCell ref="B177:C177"/>
    <mergeCell ref="B188:G188"/>
    <mergeCell ref="B189:C189"/>
    <mergeCell ref="B207:C207"/>
    <mergeCell ref="B225:C225"/>
    <mergeCell ref="AC256:AG268"/>
    <mergeCell ref="AC271:AG284"/>
    <mergeCell ref="AC287:AG298"/>
    <mergeCell ref="AC301:AG313"/>
    <mergeCell ref="AC140:AG158"/>
    <mergeCell ref="AC161:AG175"/>
    <mergeCell ref="AC178:AG186"/>
    <mergeCell ref="AC190:AG205"/>
    <mergeCell ref="AC208:AG223"/>
    <mergeCell ref="AC226:AG243"/>
    <mergeCell ref="AC246:AG25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5.71"/>
    <col customWidth="1" min="2" max="2" width="2.14"/>
    <col customWidth="1" min="3" max="3" width="26.71"/>
    <col customWidth="1" hidden="1" min="4" max="4" width="11.29"/>
    <col customWidth="1" min="5" max="5" width="10.71"/>
    <col customWidth="1" min="6" max="6" width="9.14"/>
    <col customWidth="1" min="7" max="7" width="7.14"/>
    <col customWidth="1" hidden="1" min="8" max="8" width="5.86"/>
    <col customWidth="1" hidden="1" min="9" max="9" width="5.57"/>
    <col customWidth="1" hidden="1" min="10" max="10" width="5.71"/>
    <col customWidth="1" hidden="1" min="11" max="11" width="0.71"/>
    <col customWidth="1" hidden="1" min="12" max="12" width="5.57"/>
    <col customWidth="1" hidden="1" min="13" max="13" width="5.43"/>
    <col customWidth="1" hidden="1" min="14" max="15" width="5.57"/>
    <col customWidth="1" hidden="1" min="16" max="16" width="5.86"/>
    <col customWidth="1" hidden="1" min="17" max="17" width="6.0"/>
    <col customWidth="1" hidden="1" min="18" max="18" width="5.57"/>
    <col customWidth="1" hidden="1" min="19" max="20" width="5.86"/>
    <col customWidth="1" hidden="1" min="21" max="21" width="6.0"/>
    <col customWidth="1" hidden="1" min="22" max="22" width="6.29"/>
    <col customWidth="1" hidden="1" min="23" max="23" width="6.0"/>
    <col customWidth="1" hidden="1" min="24" max="28" width="6.57"/>
    <col customWidth="1" min="29" max="32" width="8.71"/>
  </cols>
  <sheetData>
    <row r="1" ht="12.75" customHeight="1">
      <c r="A1" s="1"/>
      <c r="B1" s="146"/>
      <c r="C1" s="147"/>
      <c r="D1" s="250"/>
      <c r="E1" s="250"/>
      <c r="F1" s="250"/>
      <c r="G1" s="250"/>
      <c r="H1" s="49"/>
      <c r="I1" s="49"/>
      <c r="J1" s="49"/>
      <c r="K1" s="49"/>
      <c r="L1" s="49"/>
      <c r="M1" s="49"/>
      <c r="N1" s="1"/>
      <c r="O1" s="1"/>
      <c r="P1" s="1"/>
      <c r="Q1" s="1"/>
      <c r="R1" s="1"/>
      <c r="S1" s="1"/>
      <c r="T1" s="1"/>
      <c r="U1" s="1"/>
      <c r="V1" s="1"/>
      <c r="W1" s="1"/>
      <c r="X1" s="1"/>
      <c r="Y1" s="1"/>
      <c r="Z1" s="1"/>
      <c r="AA1" s="1"/>
      <c r="AB1" s="1"/>
    </row>
    <row r="2" ht="19.5" customHeight="1">
      <c r="A2" s="1"/>
      <c r="B2" s="158" t="s">
        <v>134</v>
      </c>
      <c r="C2" s="159"/>
      <c r="D2" s="160"/>
      <c r="E2" s="161"/>
      <c r="F2" s="161"/>
      <c r="G2" s="161"/>
      <c r="H2" s="161"/>
      <c r="I2" s="161"/>
      <c r="J2" s="162"/>
      <c r="K2" s="162"/>
      <c r="L2" s="162"/>
      <c r="M2" s="162"/>
      <c r="N2" s="163"/>
      <c r="O2" s="163"/>
      <c r="P2" s="163"/>
      <c r="Q2" s="163"/>
      <c r="R2" s="163"/>
      <c r="S2" s="163"/>
      <c r="T2" s="163"/>
      <c r="U2" s="163"/>
      <c r="V2" s="163"/>
      <c r="W2" s="163"/>
      <c r="X2" s="163"/>
      <c r="Y2" s="163"/>
      <c r="Z2" s="163"/>
      <c r="AA2" s="163"/>
      <c r="AB2" s="163"/>
      <c r="AC2" s="163"/>
      <c r="AD2" s="163"/>
      <c r="AE2" s="163"/>
      <c r="AF2" s="163"/>
    </row>
    <row r="3" ht="3.0"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ht="12.75" customHeight="1">
      <c r="A4" s="1"/>
      <c r="B4" s="204"/>
      <c r="C4" s="204"/>
      <c r="D4" s="204"/>
      <c r="E4" s="251"/>
      <c r="F4" s="204"/>
      <c r="G4" s="204"/>
      <c r="H4" s="49"/>
      <c r="I4" s="49"/>
      <c r="J4" s="49"/>
      <c r="K4" s="49"/>
      <c r="L4" s="49"/>
      <c r="M4" s="49"/>
      <c r="N4" s="1"/>
      <c r="O4" s="1"/>
      <c r="P4" s="1"/>
      <c r="Q4" s="1"/>
      <c r="R4" s="1"/>
      <c r="S4" s="1"/>
      <c r="T4" s="1"/>
      <c r="U4" s="1"/>
      <c r="V4" s="1"/>
      <c r="W4" s="1"/>
      <c r="X4" s="1"/>
      <c r="Y4" s="1"/>
      <c r="Z4" s="1"/>
      <c r="AA4" s="1"/>
      <c r="AB4" s="1"/>
    </row>
    <row r="5" ht="18.75" customHeight="1">
      <c r="A5" s="1"/>
      <c r="B5" s="66" t="s">
        <v>29</v>
      </c>
      <c r="H5" s="68"/>
      <c r="I5" s="68"/>
      <c r="J5" s="68"/>
      <c r="K5" s="68"/>
      <c r="L5" s="68"/>
      <c r="M5" s="68"/>
      <c r="N5" s="67" t="s">
        <v>30</v>
      </c>
      <c r="O5" s="67"/>
      <c r="P5" s="67"/>
      <c r="Q5" s="67"/>
      <c r="R5" s="67"/>
      <c r="S5" s="67" t="s">
        <v>31</v>
      </c>
      <c r="T5" s="67"/>
      <c r="U5" s="67"/>
      <c r="V5" s="67"/>
      <c r="W5" s="67"/>
      <c r="X5" s="67" t="s">
        <v>32</v>
      </c>
      <c r="Y5" s="67"/>
      <c r="Z5" s="67"/>
      <c r="AA5" s="67"/>
      <c r="AB5" s="67"/>
      <c r="AC5" s="67"/>
      <c r="AD5" s="67"/>
      <c r="AE5" s="67"/>
      <c r="AF5" s="67"/>
    </row>
    <row r="6" ht="36.0" customHeight="1">
      <c r="A6" s="1"/>
      <c r="B6" s="68" t="s">
        <v>33</v>
      </c>
      <c r="D6" s="137" t="s">
        <v>34</v>
      </c>
      <c r="E6" s="252" t="s">
        <v>35</v>
      </c>
      <c r="F6" s="68" t="s">
        <v>36</v>
      </c>
      <c r="G6" s="138" t="s">
        <v>37</v>
      </c>
      <c r="H6" s="68"/>
      <c r="I6" s="68"/>
      <c r="J6" s="68"/>
      <c r="K6" s="68"/>
      <c r="L6" s="68"/>
      <c r="M6" s="68"/>
      <c r="N6" s="67" t="s">
        <v>38</v>
      </c>
      <c r="O6" s="67" t="s">
        <v>39</v>
      </c>
      <c r="P6" s="67" t="s">
        <v>40</v>
      </c>
      <c r="Q6" s="67" t="s">
        <v>41</v>
      </c>
      <c r="R6" s="67" t="s">
        <v>42</v>
      </c>
      <c r="S6" s="67" t="s">
        <v>38</v>
      </c>
      <c r="T6" s="67" t="s">
        <v>39</v>
      </c>
      <c r="U6" s="67" t="s">
        <v>40</v>
      </c>
      <c r="V6" s="67" t="s">
        <v>41</v>
      </c>
      <c r="W6" s="67" t="s">
        <v>42</v>
      </c>
      <c r="X6" s="67" t="s">
        <v>38</v>
      </c>
      <c r="Y6" s="67" t="s">
        <v>39</v>
      </c>
      <c r="Z6" s="67" t="s">
        <v>40</v>
      </c>
      <c r="AA6" s="67" t="s">
        <v>41</v>
      </c>
      <c r="AB6" s="67" t="s">
        <v>42</v>
      </c>
      <c r="AC6" s="67" t="s">
        <v>43</v>
      </c>
      <c r="AD6" s="67"/>
      <c r="AE6" s="67"/>
      <c r="AF6" s="67"/>
    </row>
    <row r="7" ht="12.75" customHeight="1">
      <c r="A7" s="1"/>
      <c r="B7" s="123">
        <v>1.0</v>
      </c>
      <c r="C7" s="124" t="s">
        <v>45</v>
      </c>
      <c r="D7" s="125">
        <v>0.55</v>
      </c>
      <c r="E7" s="126">
        <v>5.0</v>
      </c>
      <c r="F7" s="126">
        <v>1.0</v>
      </c>
      <c r="G7" s="128">
        <f>'Start Here'!$F$22*D7</f>
        <v>55</v>
      </c>
      <c r="H7" s="68"/>
      <c r="I7" s="68"/>
      <c r="J7" s="68">
        <f t="shared" ref="J7:J10" si="1">E7*F7</f>
        <v>5</v>
      </c>
      <c r="K7" s="252">
        <f t="shared" ref="K7:K10" si="2">J7*G7</f>
        <v>275</v>
      </c>
      <c r="L7" s="68"/>
      <c r="M7" s="68"/>
      <c r="N7" s="67"/>
      <c r="O7" s="67"/>
      <c r="P7" s="67"/>
      <c r="Q7" s="67"/>
      <c r="R7" s="67"/>
      <c r="S7" s="93">
        <f t="shared" ref="S7:S10" si="3">IF(ISNUMBER(SEARCH("bench",$C7)),IF($D7&gt;=0.5,IF($D7&lt;0.6,$E7*$F7," ")," ")," ")</f>
        <v>5</v>
      </c>
      <c r="T7" s="93" t="str">
        <f t="shared" ref="T7:T10" si="4">IF(ISNUMBER(SEARCH("bench",$C7)),IF($D7&gt;=0.6,IF($D7&lt;0.7,$E7*$F7," ")," ")," ")</f>
        <v> </v>
      </c>
      <c r="U7" s="93" t="str">
        <f t="shared" ref="U7:U10" si="5">IF(ISNUMBER(SEARCH("bench",$C7)),IF($D7&gt;=0.7,IF($D7&lt;0.8,$E7*$F7," ")," ")," ")</f>
        <v> </v>
      </c>
      <c r="V7" s="93" t="str">
        <f t="shared" ref="V7:V10" si="6">IF(ISNUMBER(SEARCH("bench",$C7)),IF($D7&gt;=0.8,IF($D7&lt;0.9,$E7*$F7," ")," ")," ")</f>
        <v> </v>
      </c>
      <c r="W7" s="93" t="str">
        <f t="shared" ref="W7:W10" si="7">IF(ISNUMBER(SEARCH("bench",$C7)),IF($D7&gt;=0.9,$E7*$F7," ")," ")</f>
        <v> </v>
      </c>
      <c r="X7" s="67"/>
      <c r="Y7" s="67"/>
      <c r="Z7" s="67"/>
      <c r="AA7" s="67"/>
      <c r="AB7" s="67"/>
      <c r="AC7" s="76"/>
      <c r="AD7" s="77"/>
      <c r="AE7" s="77"/>
      <c r="AF7" s="78"/>
    </row>
    <row r="8" ht="12.75" customHeight="1">
      <c r="A8" s="1"/>
      <c r="B8" s="87"/>
      <c r="C8" s="94" t="s">
        <v>45</v>
      </c>
      <c r="D8" s="89">
        <v>0.65</v>
      </c>
      <c r="E8" s="90">
        <v>4.0</v>
      </c>
      <c r="F8" s="90">
        <v>1.0</v>
      </c>
      <c r="G8" s="92">
        <f>'Start Here'!$F$22*D8</f>
        <v>65</v>
      </c>
      <c r="H8" s="68"/>
      <c r="I8" s="68"/>
      <c r="J8" s="68">
        <f t="shared" si="1"/>
        <v>4</v>
      </c>
      <c r="K8" s="252">
        <f t="shared" si="2"/>
        <v>260</v>
      </c>
      <c r="L8" s="68"/>
      <c r="M8" s="68"/>
      <c r="N8" s="67"/>
      <c r="O8" s="67"/>
      <c r="P8" s="67"/>
      <c r="Q8" s="67"/>
      <c r="R8" s="67"/>
      <c r="S8" s="93" t="str">
        <f t="shared" si="3"/>
        <v> </v>
      </c>
      <c r="T8" s="93">
        <f t="shared" si="4"/>
        <v>4</v>
      </c>
      <c r="U8" s="93" t="str">
        <f t="shared" si="5"/>
        <v> </v>
      </c>
      <c r="V8" s="93" t="str">
        <f t="shared" si="6"/>
        <v> </v>
      </c>
      <c r="W8" s="93" t="str">
        <f t="shared" si="7"/>
        <v> </v>
      </c>
      <c r="X8" s="67"/>
      <c r="Y8" s="67"/>
      <c r="Z8" s="67"/>
      <c r="AA8" s="67"/>
      <c r="AB8" s="67"/>
      <c r="AC8" s="85"/>
      <c r="AF8" s="86"/>
    </row>
    <row r="9" ht="12.75" customHeight="1">
      <c r="A9" s="1"/>
      <c r="B9" s="87"/>
      <c r="C9" s="94" t="s">
        <v>45</v>
      </c>
      <c r="D9" s="89">
        <v>0.75</v>
      </c>
      <c r="E9" s="90">
        <v>3.0</v>
      </c>
      <c r="F9" s="90">
        <v>1.0</v>
      </c>
      <c r="G9" s="92">
        <f>'Start Here'!$F$22*D9</f>
        <v>75</v>
      </c>
      <c r="H9" s="68"/>
      <c r="I9" s="68"/>
      <c r="J9" s="68">
        <f t="shared" si="1"/>
        <v>3</v>
      </c>
      <c r="K9" s="252">
        <f t="shared" si="2"/>
        <v>225</v>
      </c>
      <c r="L9" s="68"/>
      <c r="M9" s="68"/>
      <c r="N9" s="67"/>
      <c r="O9" s="67"/>
      <c r="P9" s="67"/>
      <c r="Q9" s="67"/>
      <c r="R9" s="67"/>
      <c r="S9" s="93" t="str">
        <f t="shared" si="3"/>
        <v> </v>
      </c>
      <c r="T9" s="93" t="str">
        <f t="shared" si="4"/>
        <v> </v>
      </c>
      <c r="U9" s="93">
        <f t="shared" si="5"/>
        <v>3</v>
      </c>
      <c r="V9" s="93" t="str">
        <f t="shared" si="6"/>
        <v> </v>
      </c>
      <c r="W9" s="93" t="str">
        <f t="shared" si="7"/>
        <v> </v>
      </c>
      <c r="X9" s="67"/>
      <c r="Y9" s="67"/>
      <c r="Z9" s="67"/>
      <c r="AA9" s="67"/>
      <c r="AB9" s="67"/>
      <c r="AC9" s="85"/>
      <c r="AF9" s="86"/>
    </row>
    <row r="10" ht="12.75" customHeight="1">
      <c r="A10" s="1"/>
      <c r="B10" s="87"/>
      <c r="C10" s="94" t="s">
        <v>45</v>
      </c>
      <c r="D10" s="89">
        <v>0.85</v>
      </c>
      <c r="E10" s="90">
        <v>2.0</v>
      </c>
      <c r="F10" s="90">
        <v>3.0</v>
      </c>
      <c r="G10" s="92">
        <f>'Start Here'!$F$22*D10</f>
        <v>85</v>
      </c>
      <c r="H10" s="68"/>
      <c r="I10" s="68"/>
      <c r="J10" s="68">
        <f t="shared" si="1"/>
        <v>6</v>
      </c>
      <c r="K10" s="252">
        <f t="shared" si="2"/>
        <v>510</v>
      </c>
      <c r="L10" s="68"/>
      <c r="M10" s="68"/>
      <c r="N10" s="67"/>
      <c r="O10" s="67"/>
      <c r="P10" s="67"/>
      <c r="Q10" s="67"/>
      <c r="R10" s="67"/>
      <c r="S10" s="93" t="str">
        <f t="shared" si="3"/>
        <v> </v>
      </c>
      <c r="T10" s="93" t="str">
        <f t="shared" si="4"/>
        <v> </v>
      </c>
      <c r="U10" s="93" t="str">
        <f t="shared" si="5"/>
        <v> </v>
      </c>
      <c r="V10" s="93">
        <f t="shared" si="6"/>
        <v>6</v>
      </c>
      <c r="W10" s="93" t="str">
        <f t="shared" si="7"/>
        <v> </v>
      </c>
      <c r="X10" s="67"/>
      <c r="Y10" s="67"/>
      <c r="Z10" s="67"/>
      <c r="AA10" s="67"/>
      <c r="AB10" s="67"/>
      <c r="AC10" s="85"/>
      <c r="AF10" s="86"/>
    </row>
    <row r="11" ht="12.75" customHeight="1">
      <c r="A11" s="1"/>
      <c r="B11" s="79">
        <v>2.0</v>
      </c>
      <c r="C11" s="95" t="s">
        <v>46</v>
      </c>
      <c r="D11" s="81">
        <v>0.5</v>
      </c>
      <c r="E11" s="82">
        <v>5.0</v>
      </c>
      <c r="F11" s="82">
        <v>1.0</v>
      </c>
      <c r="G11" s="84">
        <f>'Start Here'!$F$21*D11</f>
        <v>50</v>
      </c>
      <c r="H11" s="68">
        <f t="shared" ref="H11:H14" si="8">E11*F11</f>
        <v>5</v>
      </c>
      <c r="I11" s="252">
        <f t="shared" ref="I11:I14" si="9">H11*G11</f>
        <v>250</v>
      </c>
      <c r="J11" s="68"/>
      <c r="K11" s="68"/>
      <c r="L11" s="68"/>
      <c r="M11" s="68"/>
      <c r="N11" s="75">
        <f t="shared" ref="N11:N14" si="10">IF(ISNUMBER(SEARCH("squat",$C11)),IF($D11&gt;=0.5,IF($D11&lt;0.6,$E11*$F11," ")," ")," ")</f>
        <v>5</v>
      </c>
      <c r="O11" s="75" t="str">
        <f t="shared" ref="O11:O14" si="11">IF(ISNUMBER(SEARCH("squat",$C11)),IF($D11&gt;=0.6,IF($D11&lt;0.7,$E11*$F11," ")," ")," ")</f>
        <v> </v>
      </c>
      <c r="P11" s="75" t="str">
        <f t="shared" ref="P11:P14" si="12">IF(ISNUMBER(SEARCH("squat",$C11)),IF($D11&gt;=0.7,IF($D11&lt;0.8,$E11*$F11," ")," ")," ")</f>
        <v> </v>
      </c>
      <c r="Q11" s="75" t="str">
        <f t="shared" ref="Q11:Q14" si="13">IF(ISNUMBER(SEARCH("squat",$C11)),IF($D11&gt;=0.8,IF($D11&lt;0.9,$E11*$F11," ")," ")," ")</f>
        <v> </v>
      </c>
      <c r="R11" s="75" t="str">
        <f t="shared" ref="R11:R14" si="14">IF(ISNUMBER(SEARCH("squat",$C11)),IF($D11&gt;=0.9,$E11*$F11," ")," ")</f>
        <v> </v>
      </c>
      <c r="S11" s="67"/>
      <c r="T11" s="67"/>
      <c r="U11" s="67"/>
      <c r="V11" s="67"/>
      <c r="W11" s="67"/>
      <c r="X11" s="67"/>
      <c r="Y11" s="67"/>
      <c r="Z11" s="67"/>
      <c r="AA11" s="67"/>
      <c r="AB11" s="67"/>
      <c r="AC11" s="85"/>
      <c r="AF11" s="86"/>
    </row>
    <row r="12" ht="12.75" customHeight="1">
      <c r="A12" s="1"/>
      <c r="B12" s="79"/>
      <c r="C12" s="80" t="s">
        <v>46</v>
      </c>
      <c r="D12" s="81">
        <v>0.6</v>
      </c>
      <c r="E12" s="82">
        <v>4.0</v>
      </c>
      <c r="F12" s="82">
        <v>1.0</v>
      </c>
      <c r="G12" s="84">
        <f>'Start Here'!$F$21*D12</f>
        <v>60</v>
      </c>
      <c r="H12" s="68">
        <f t="shared" si="8"/>
        <v>4</v>
      </c>
      <c r="I12" s="252">
        <f t="shared" si="9"/>
        <v>240</v>
      </c>
      <c r="J12" s="68"/>
      <c r="K12" s="68"/>
      <c r="L12" s="68"/>
      <c r="M12" s="68"/>
      <c r="N12" s="75" t="str">
        <f t="shared" si="10"/>
        <v> </v>
      </c>
      <c r="O12" s="75">
        <f t="shared" si="11"/>
        <v>4</v>
      </c>
      <c r="P12" s="75" t="str">
        <f t="shared" si="12"/>
        <v> </v>
      </c>
      <c r="Q12" s="75" t="str">
        <f t="shared" si="13"/>
        <v> </v>
      </c>
      <c r="R12" s="75" t="str">
        <f t="shared" si="14"/>
        <v> </v>
      </c>
      <c r="S12" s="67"/>
      <c r="T12" s="67"/>
      <c r="U12" s="67"/>
      <c r="V12" s="67"/>
      <c r="W12" s="67"/>
      <c r="X12" s="67"/>
      <c r="Y12" s="67"/>
      <c r="Z12" s="67"/>
      <c r="AA12" s="67"/>
      <c r="AB12" s="67"/>
      <c r="AC12" s="85"/>
      <c r="AF12" s="86"/>
    </row>
    <row r="13" ht="12.75" customHeight="1">
      <c r="A13" s="1"/>
      <c r="B13" s="79"/>
      <c r="C13" s="80" t="s">
        <v>46</v>
      </c>
      <c r="D13" s="81">
        <v>0.7</v>
      </c>
      <c r="E13" s="82">
        <v>3.0</v>
      </c>
      <c r="F13" s="82">
        <v>1.0</v>
      </c>
      <c r="G13" s="84">
        <f>'Start Here'!$F$21*D13</f>
        <v>70</v>
      </c>
      <c r="H13" s="68">
        <f t="shared" si="8"/>
        <v>3</v>
      </c>
      <c r="I13" s="252">
        <f t="shared" si="9"/>
        <v>210</v>
      </c>
      <c r="J13" s="68"/>
      <c r="K13" s="68"/>
      <c r="L13" s="68"/>
      <c r="M13" s="68"/>
      <c r="N13" s="75" t="str">
        <f t="shared" si="10"/>
        <v> </v>
      </c>
      <c r="O13" s="75" t="str">
        <f t="shared" si="11"/>
        <v> </v>
      </c>
      <c r="P13" s="75">
        <f t="shared" si="12"/>
        <v>3</v>
      </c>
      <c r="Q13" s="75" t="str">
        <f t="shared" si="13"/>
        <v> </v>
      </c>
      <c r="R13" s="75" t="str">
        <f t="shared" si="14"/>
        <v> </v>
      </c>
      <c r="S13" s="67"/>
      <c r="T13" s="67"/>
      <c r="U13" s="67"/>
      <c r="V13" s="67"/>
      <c r="W13" s="67"/>
      <c r="X13" s="67"/>
      <c r="Y13" s="67"/>
      <c r="Z13" s="67"/>
      <c r="AA13" s="67"/>
      <c r="AB13" s="67"/>
      <c r="AC13" s="85"/>
      <c r="AF13" s="86"/>
    </row>
    <row r="14" ht="12.75" customHeight="1">
      <c r="A14" s="1"/>
      <c r="B14" s="79"/>
      <c r="C14" s="80" t="s">
        <v>46</v>
      </c>
      <c r="D14" s="81">
        <v>0.8</v>
      </c>
      <c r="E14" s="82">
        <v>3.0</v>
      </c>
      <c r="F14" s="82">
        <v>4.0</v>
      </c>
      <c r="G14" s="84">
        <f>'Start Here'!$F$21*D14</f>
        <v>80</v>
      </c>
      <c r="H14" s="68">
        <f t="shared" si="8"/>
        <v>12</v>
      </c>
      <c r="I14" s="252">
        <f t="shared" si="9"/>
        <v>960</v>
      </c>
      <c r="J14" s="68"/>
      <c r="K14" s="68"/>
      <c r="L14" s="68"/>
      <c r="M14" s="68"/>
      <c r="N14" s="75" t="str">
        <f t="shared" si="10"/>
        <v> </v>
      </c>
      <c r="O14" s="75" t="str">
        <f t="shared" si="11"/>
        <v> </v>
      </c>
      <c r="P14" s="75" t="str">
        <f t="shared" si="12"/>
        <v> </v>
      </c>
      <c r="Q14" s="75">
        <f t="shared" si="13"/>
        <v>12</v>
      </c>
      <c r="R14" s="75" t="str">
        <f t="shared" si="14"/>
        <v> </v>
      </c>
      <c r="S14" s="67"/>
      <c r="T14" s="67"/>
      <c r="U14" s="67"/>
      <c r="V14" s="67"/>
      <c r="W14" s="67"/>
      <c r="X14" s="67"/>
      <c r="Y14" s="67"/>
      <c r="Z14" s="67"/>
      <c r="AA14" s="67"/>
      <c r="AB14" s="67"/>
      <c r="AC14" s="85"/>
      <c r="AF14" s="86"/>
    </row>
    <row r="15" ht="12.75" customHeight="1">
      <c r="A15" s="1"/>
      <c r="B15" s="87">
        <v>3.0</v>
      </c>
      <c r="C15" s="88" t="s">
        <v>45</v>
      </c>
      <c r="D15" s="89">
        <v>0.5</v>
      </c>
      <c r="E15" s="90">
        <v>5.0</v>
      </c>
      <c r="F15" s="90">
        <v>1.0</v>
      </c>
      <c r="G15" s="92">
        <f>'Start Here'!$F$22*D15</f>
        <v>50</v>
      </c>
      <c r="H15" s="68"/>
      <c r="I15" s="68"/>
      <c r="J15" s="68">
        <f t="shared" ref="J15:J18" si="15">E15*F15</f>
        <v>5</v>
      </c>
      <c r="K15" s="252">
        <f t="shared" ref="K15:K18" si="16">J15*G15</f>
        <v>250</v>
      </c>
      <c r="L15" s="68"/>
      <c r="M15" s="68"/>
      <c r="N15" s="67"/>
      <c r="O15" s="67"/>
      <c r="P15" s="67"/>
      <c r="Q15" s="67"/>
      <c r="R15" s="67"/>
      <c r="S15" s="93">
        <f t="shared" ref="S15:S18" si="17">IF(ISNUMBER(SEARCH("bench",$C15)),IF($D15&gt;=0.5,IF($D15&lt;0.6,$E15*$F15," ")," ")," ")</f>
        <v>5</v>
      </c>
      <c r="T15" s="93" t="str">
        <f t="shared" ref="T15:T18" si="18">IF(ISNUMBER(SEARCH("bench",$C15)),IF($D15&gt;=0.6,IF($D15&lt;0.7,$E15*$F15," ")," ")," ")</f>
        <v> </v>
      </c>
      <c r="U15" s="93" t="str">
        <f t="shared" ref="U15:U18" si="19">IF(ISNUMBER(SEARCH("bench",$C15)),IF($D15&gt;=0.7,IF($D15&lt;0.8,$E15*$F15," ")," ")," ")</f>
        <v> </v>
      </c>
      <c r="V15" s="93" t="str">
        <f t="shared" ref="V15:V18" si="20">IF(ISNUMBER(SEARCH("bench",$C15)),IF($D15&gt;=0.8,IF($D15&lt;0.9,$E15*$F15," ")," ")," ")</f>
        <v> </v>
      </c>
      <c r="W15" s="93" t="str">
        <f t="shared" ref="W15:W18" si="21">IF(ISNUMBER(SEARCH("bench",$C15)),IF($D15&gt;=0.9,$E15*$F15," ")," ")</f>
        <v> </v>
      </c>
      <c r="X15" s="67"/>
      <c r="Y15" s="67"/>
      <c r="Z15" s="67"/>
      <c r="AA15" s="67"/>
      <c r="AB15" s="67"/>
      <c r="AC15" s="85"/>
      <c r="AF15" s="86"/>
    </row>
    <row r="16" ht="12.75" customHeight="1">
      <c r="A16" s="1"/>
      <c r="B16" s="87"/>
      <c r="C16" s="94" t="s">
        <v>45</v>
      </c>
      <c r="D16" s="89">
        <v>0.6</v>
      </c>
      <c r="E16" s="90">
        <v>4.0</v>
      </c>
      <c r="F16" s="90">
        <v>1.0</v>
      </c>
      <c r="G16" s="92">
        <f>'Start Here'!$F$22*D16</f>
        <v>60</v>
      </c>
      <c r="H16" s="68"/>
      <c r="I16" s="68"/>
      <c r="J16" s="68">
        <f t="shared" si="15"/>
        <v>4</v>
      </c>
      <c r="K16" s="252">
        <f t="shared" si="16"/>
        <v>240</v>
      </c>
      <c r="L16" s="68"/>
      <c r="M16" s="68"/>
      <c r="N16" s="67"/>
      <c r="O16" s="67"/>
      <c r="P16" s="67"/>
      <c r="Q16" s="67"/>
      <c r="R16" s="67"/>
      <c r="S16" s="93" t="str">
        <f t="shared" si="17"/>
        <v> </v>
      </c>
      <c r="T16" s="93">
        <f t="shared" si="18"/>
        <v>4</v>
      </c>
      <c r="U16" s="93" t="str">
        <f t="shared" si="19"/>
        <v> </v>
      </c>
      <c r="V16" s="93" t="str">
        <f t="shared" si="20"/>
        <v> </v>
      </c>
      <c r="W16" s="93" t="str">
        <f t="shared" si="21"/>
        <v> </v>
      </c>
      <c r="X16" s="67"/>
      <c r="Y16" s="67"/>
      <c r="Z16" s="67"/>
      <c r="AA16" s="67"/>
      <c r="AB16" s="67"/>
      <c r="AC16" s="85"/>
      <c r="AF16" s="86"/>
    </row>
    <row r="17" ht="12.75" customHeight="1">
      <c r="A17" s="1"/>
      <c r="B17" s="87"/>
      <c r="C17" s="94" t="s">
        <v>45</v>
      </c>
      <c r="D17" s="89">
        <v>0.7</v>
      </c>
      <c r="E17" s="90">
        <v>3.0</v>
      </c>
      <c r="F17" s="90">
        <v>1.0</v>
      </c>
      <c r="G17" s="92">
        <f>'Start Here'!$F$22*D17</f>
        <v>70</v>
      </c>
      <c r="H17" s="68"/>
      <c r="I17" s="68"/>
      <c r="J17" s="68">
        <f t="shared" si="15"/>
        <v>3</v>
      </c>
      <c r="K17" s="252">
        <f t="shared" si="16"/>
        <v>210</v>
      </c>
      <c r="L17" s="68"/>
      <c r="M17" s="68"/>
      <c r="N17" s="67"/>
      <c r="O17" s="67"/>
      <c r="P17" s="67"/>
      <c r="Q17" s="67"/>
      <c r="R17" s="67"/>
      <c r="S17" s="93" t="str">
        <f t="shared" si="17"/>
        <v> </v>
      </c>
      <c r="T17" s="93" t="str">
        <f t="shared" si="18"/>
        <v> </v>
      </c>
      <c r="U17" s="93">
        <f t="shared" si="19"/>
        <v>3</v>
      </c>
      <c r="V17" s="93" t="str">
        <f t="shared" si="20"/>
        <v> </v>
      </c>
      <c r="W17" s="93" t="str">
        <f t="shared" si="21"/>
        <v> </v>
      </c>
      <c r="X17" s="67"/>
      <c r="Y17" s="67"/>
      <c r="Z17" s="67"/>
      <c r="AA17" s="67"/>
      <c r="AB17" s="67"/>
      <c r="AC17" s="85"/>
      <c r="AF17" s="86"/>
    </row>
    <row r="18" ht="12.75" customHeight="1">
      <c r="A18" s="1"/>
      <c r="B18" s="87"/>
      <c r="C18" s="94" t="s">
        <v>45</v>
      </c>
      <c r="D18" s="89">
        <v>0.8</v>
      </c>
      <c r="E18" s="90">
        <v>2.0</v>
      </c>
      <c r="F18" s="90">
        <v>4.0</v>
      </c>
      <c r="G18" s="92">
        <f>'Start Here'!$F$22*D18</f>
        <v>80</v>
      </c>
      <c r="H18" s="68"/>
      <c r="I18" s="68"/>
      <c r="J18" s="68">
        <f t="shared" si="15"/>
        <v>8</v>
      </c>
      <c r="K18" s="252">
        <f t="shared" si="16"/>
        <v>640</v>
      </c>
      <c r="L18" s="68"/>
      <c r="M18" s="68"/>
      <c r="N18" s="67"/>
      <c r="O18" s="67"/>
      <c r="P18" s="67"/>
      <c r="Q18" s="67"/>
      <c r="R18" s="67"/>
      <c r="S18" s="93" t="str">
        <f t="shared" si="17"/>
        <v> </v>
      </c>
      <c r="T18" s="93" t="str">
        <f t="shared" si="18"/>
        <v> </v>
      </c>
      <c r="U18" s="93" t="str">
        <f t="shared" si="19"/>
        <v> </v>
      </c>
      <c r="V18" s="93">
        <f t="shared" si="20"/>
        <v>8</v>
      </c>
      <c r="W18" s="93" t="str">
        <f t="shared" si="21"/>
        <v> </v>
      </c>
      <c r="X18" s="67"/>
      <c r="Y18" s="67"/>
      <c r="Z18" s="67"/>
      <c r="AA18" s="67"/>
      <c r="AB18" s="67"/>
      <c r="AC18" s="85"/>
      <c r="AF18" s="86"/>
    </row>
    <row r="19" ht="12.75" customHeight="1">
      <c r="A19" s="1"/>
      <c r="B19" s="96">
        <v>4.0</v>
      </c>
      <c r="C19" s="167" t="s">
        <v>92</v>
      </c>
      <c r="D19" s="168"/>
      <c r="E19" s="98">
        <v>8.0</v>
      </c>
      <c r="F19" s="98">
        <v>4.0</v>
      </c>
      <c r="G19" s="170"/>
      <c r="H19" s="68"/>
      <c r="I19" s="68"/>
      <c r="J19" s="68"/>
      <c r="K19" s="68"/>
      <c r="L19" s="68"/>
      <c r="M19" s="68"/>
      <c r="N19" s="67"/>
      <c r="O19" s="67"/>
      <c r="P19" s="67"/>
      <c r="Q19" s="67"/>
      <c r="R19" s="67"/>
      <c r="S19" s="67"/>
      <c r="T19" s="67"/>
      <c r="U19" s="67"/>
      <c r="V19" s="67"/>
      <c r="W19" s="67"/>
      <c r="X19" s="67"/>
      <c r="Y19" s="67"/>
      <c r="Z19" s="67"/>
      <c r="AA19" s="67"/>
      <c r="AB19" s="67"/>
      <c r="AC19" s="85"/>
      <c r="AF19" s="86"/>
    </row>
    <row r="20" ht="12.75" customHeight="1">
      <c r="A20" s="1"/>
      <c r="B20" s="175">
        <v>5.0</v>
      </c>
      <c r="C20" s="176" t="s">
        <v>57</v>
      </c>
      <c r="D20" s="177"/>
      <c r="E20" s="178">
        <v>8.0</v>
      </c>
      <c r="F20" s="178">
        <v>4.0</v>
      </c>
      <c r="G20" s="180"/>
      <c r="H20" s="68"/>
      <c r="I20" s="68"/>
      <c r="J20" s="68"/>
      <c r="K20" s="68"/>
      <c r="L20" s="68"/>
      <c r="M20" s="68"/>
      <c r="N20" s="67"/>
      <c r="O20" s="67"/>
      <c r="P20" s="67"/>
      <c r="Q20" s="67"/>
      <c r="R20" s="67"/>
      <c r="S20" s="67"/>
      <c r="T20" s="67"/>
      <c r="U20" s="67"/>
      <c r="V20" s="67"/>
      <c r="W20" s="67"/>
      <c r="X20" s="67"/>
      <c r="Y20" s="67"/>
      <c r="Z20" s="67"/>
      <c r="AA20" s="67"/>
      <c r="AB20" s="67"/>
      <c r="AC20" s="104"/>
      <c r="AD20" s="105"/>
      <c r="AE20" s="105"/>
      <c r="AF20" s="106"/>
    </row>
    <row r="21" ht="34.5" customHeight="1">
      <c r="A21" s="1"/>
      <c r="B21" s="67"/>
      <c r="C21" s="136"/>
      <c r="D21" s="137"/>
      <c r="E21" s="252"/>
      <c r="F21" s="68"/>
      <c r="G21" s="138"/>
      <c r="H21" s="68"/>
      <c r="I21" s="68"/>
      <c r="J21" s="68"/>
      <c r="K21" s="68"/>
      <c r="L21" s="68"/>
      <c r="M21" s="68"/>
      <c r="N21" s="67"/>
      <c r="O21" s="67"/>
      <c r="P21" s="67"/>
      <c r="Q21" s="67"/>
      <c r="R21" s="67"/>
      <c r="S21" s="67"/>
      <c r="T21" s="67"/>
      <c r="U21" s="67"/>
      <c r="V21" s="67"/>
      <c r="W21" s="67"/>
      <c r="X21" s="67"/>
      <c r="Y21" s="67"/>
      <c r="Z21" s="67"/>
      <c r="AA21" s="67"/>
      <c r="AB21" s="67"/>
      <c r="AC21" s="67"/>
      <c r="AD21" s="67"/>
      <c r="AE21" s="67"/>
      <c r="AF21" s="67"/>
    </row>
    <row r="22" ht="12.75" customHeight="1">
      <c r="A22" s="1"/>
      <c r="B22" s="68" t="s">
        <v>49</v>
      </c>
      <c r="D22" s="137" t="s">
        <v>34</v>
      </c>
      <c r="E22" s="252" t="s">
        <v>35</v>
      </c>
      <c r="F22" s="68" t="s">
        <v>36</v>
      </c>
      <c r="G22" s="138" t="s">
        <v>37</v>
      </c>
      <c r="H22" s="68"/>
      <c r="I22" s="68"/>
      <c r="J22" s="68"/>
      <c r="K22" s="68"/>
      <c r="L22" s="68"/>
      <c r="M22" s="68"/>
      <c r="N22" s="67"/>
      <c r="O22" s="67"/>
      <c r="P22" s="67"/>
      <c r="Q22" s="67"/>
      <c r="R22" s="67"/>
      <c r="S22" s="67"/>
      <c r="T22" s="67"/>
      <c r="U22" s="67"/>
      <c r="V22" s="67"/>
      <c r="W22" s="67"/>
      <c r="X22" s="67"/>
      <c r="Y22" s="67"/>
      <c r="Z22" s="67"/>
      <c r="AA22" s="67"/>
      <c r="AB22" s="67"/>
      <c r="AC22" s="67" t="s">
        <v>43</v>
      </c>
      <c r="AD22" s="67"/>
      <c r="AE22" s="67"/>
      <c r="AF22" s="67"/>
    </row>
    <row r="23" ht="12.75" customHeight="1">
      <c r="A23" s="1"/>
      <c r="B23" s="107">
        <v>1.0</v>
      </c>
      <c r="C23" s="108" t="s">
        <v>105</v>
      </c>
      <c r="D23" s="109">
        <v>0.5</v>
      </c>
      <c r="E23" s="110">
        <v>3.0</v>
      </c>
      <c r="F23" s="110">
        <v>1.0</v>
      </c>
      <c r="G23" s="112">
        <f>'Start Here'!$F$23*D23</f>
        <v>50</v>
      </c>
      <c r="H23" s="68"/>
      <c r="I23" s="68"/>
      <c r="J23" s="68"/>
      <c r="K23" s="68"/>
      <c r="L23" s="68">
        <f t="shared" ref="L23:L25" si="22">E23*F23</f>
        <v>3</v>
      </c>
      <c r="M23" s="68">
        <f t="shared" ref="M23:M25" si="23">L23*G23</f>
        <v>150</v>
      </c>
      <c r="N23" s="67"/>
      <c r="O23" s="67"/>
      <c r="P23" s="67"/>
      <c r="Q23" s="67"/>
      <c r="R23" s="67"/>
      <c r="S23" s="67"/>
      <c r="T23" s="67"/>
      <c r="U23" s="67"/>
      <c r="V23" s="67"/>
      <c r="W23" s="67"/>
      <c r="X23" s="114">
        <f t="shared" ref="X23:X25" si="24">IF(ISNUMBER(SEARCH("deadlift",$C23)),IF($D23&gt;=0.5,IF($D23&lt;0.6,$E23*$F23," ")," ")," ")</f>
        <v>3</v>
      </c>
      <c r="Y23" s="114" t="str">
        <f t="shared" ref="Y23:Y25" si="25">IF(ISNUMBER(SEARCH("deadlift",$C23)),IF($D23&gt;=0.6,IF($D23&lt;0.7,$E23*$F23," ")," ")," ")</f>
        <v> </v>
      </c>
      <c r="Z23" s="114" t="str">
        <f t="shared" ref="Z23:Z25" si="26">IF(ISNUMBER(SEARCH("deadlift",$C23)),IF($D23&gt;=0.7,IF($D23&lt;0.8,$E23*$F23," ")," ")," ")</f>
        <v> </v>
      </c>
      <c r="AA23" s="114" t="str">
        <f t="shared" ref="AA23:AA25" si="27">IF(ISNUMBER(SEARCH("deadlift",$C23)),IF($D23&gt;=0.8,IF($D23&lt;0.9,$E23*$F23," ")," ")," ")</f>
        <v> </v>
      </c>
      <c r="AB23" s="114" t="str">
        <f t="shared" ref="AB23:AB25" si="28">IF(ISNUMBER(SEARCH("deadlift",$C23)),IF($D23&gt;=0.9,$E23*$F23," ")," ")</f>
        <v> </v>
      </c>
      <c r="AC23" s="76"/>
      <c r="AD23" s="77"/>
      <c r="AE23" s="77"/>
      <c r="AF23" s="78"/>
    </row>
    <row r="24" ht="12.75" customHeight="1">
      <c r="A24" s="1"/>
      <c r="B24" s="115"/>
      <c r="C24" s="122" t="s">
        <v>105</v>
      </c>
      <c r="D24" s="117">
        <v>0.6</v>
      </c>
      <c r="E24" s="118">
        <v>3.0</v>
      </c>
      <c r="F24" s="118">
        <v>1.0</v>
      </c>
      <c r="G24" s="120">
        <f>'Start Here'!$F$23*D24</f>
        <v>60</v>
      </c>
      <c r="H24" s="68"/>
      <c r="I24" s="68"/>
      <c r="J24" s="68"/>
      <c r="K24" s="68"/>
      <c r="L24" s="68">
        <f t="shared" si="22"/>
        <v>3</v>
      </c>
      <c r="M24" s="68">
        <f t="shared" si="23"/>
        <v>180</v>
      </c>
      <c r="N24" s="67"/>
      <c r="O24" s="67"/>
      <c r="P24" s="67"/>
      <c r="Q24" s="67"/>
      <c r="R24" s="67"/>
      <c r="S24" s="67"/>
      <c r="T24" s="67"/>
      <c r="U24" s="67"/>
      <c r="V24" s="67"/>
      <c r="W24" s="67"/>
      <c r="X24" s="114" t="str">
        <f t="shared" si="24"/>
        <v> </v>
      </c>
      <c r="Y24" s="114">
        <f t="shared" si="25"/>
        <v>3</v>
      </c>
      <c r="Z24" s="114" t="str">
        <f t="shared" si="26"/>
        <v> </v>
      </c>
      <c r="AA24" s="114" t="str">
        <f t="shared" si="27"/>
        <v> </v>
      </c>
      <c r="AB24" s="114" t="str">
        <f t="shared" si="28"/>
        <v> </v>
      </c>
      <c r="AC24" s="85"/>
      <c r="AF24" s="86"/>
    </row>
    <row r="25" ht="12.75" customHeight="1">
      <c r="A25" s="1"/>
      <c r="B25" s="115"/>
      <c r="C25" s="122" t="s">
        <v>105</v>
      </c>
      <c r="D25" s="117">
        <v>0.7</v>
      </c>
      <c r="E25" s="118">
        <v>2.0</v>
      </c>
      <c r="F25" s="118">
        <v>2.0</v>
      </c>
      <c r="G25" s="120">
        <f>'Start Here'!$F$23*D25</f>
        <v>70</v>
      </c>
      <c r="H25" s="68"/>
      <c r="I25" s="68"/>
      <c r="J25" s="68"/>
      <c r="K25" s="68"/>
      <c r="L25" s="68">
        <f t="shared" si="22"/>
        <v>4</v>
      </c>
      <c r="M25" s="68">
        <f t="shared" si="23"/>
        <v>280</v>
      </c>
      <c r="N25" s="67"/>
      <c r="O25" s="67"/>
      <c r="P25" s="67"/>
      <c r="Q25" s="67"/>
      <c r="R25" s="67"/>
      <c r="S25" s="67"/>
      <c r="T25" s="67"/>
      <c r="U25" s="67"/>
      <c r="V25" s="67"/>
      <c r="W25" s="67"/>
      <c r="X25" s="114" t="str">
        <f t="shared" si="24"/>
        <v> </v>
      </c>
      <c r="Y25" s="114" t="str">
        <f t="shared" si="25"/>
        <v> </v>
      </c>
      <c r="Z25" s="114">
        <f t="shared" si="26"/>
        <v>4</v>
      </c>
      <c r="AA25" s="114" t="str">
        <f t="shared" si="27"/>
        <v> </v>
      </c>
      <c r="AB25" s="114" t="str">
        <f t="shared" si="28"/>
        <v> </v>
      </c>
      <c r="AC25" s="85"/>
      <c r="AF25" s="86"/>
    </row>
    <row r="26" ht="12.75" customHeight="1">
      <c r="A26" s="1"/>
      <c r="B26" s="87">
        <v>2.0</v>
      </c>
      <c r="C26" s="88" t="s">
        <v>45</v>
      </c>
      <c r="D26" s="89">
        <v>0.5</v>
      </c>
      <c r="E26" s="90">
        <v>5.0</v>
      </c>
      <c r="F26" s="90">
        <v>1.0</v>
      </c>
      <c r="G26" s="92">
        <f>'Start Here'!$F$22*D26</f>
        <v>50</v>
      </c>
      <c r="H26" s="68"/>
      <c r="I26" s="68"/>
      <c r="J26" s="68">
        <f t="shared" ref="J26:J29" si="29">E26*F26</f>
        <v>5</v>
      </c>
      <c r="K26" s="252">
        <f t="shared" ref="K26:K29" si="30">J26*G26</f>
        <v>250</v>
      </c>
      <c r="L26" s="68"/>
      <c r="M26" s="68"/>
      <c r="N26" s="67"/>
      <c r="O26" s="67"/>
      <c r="P26" s="67"/>
      <c r="Q26" s="67"/>
      <c r="R26" s="67"/>
      <c r="S26" s="93">
        <f t="shared" ref="S26:S29" si="31">IF(ISNUMBER(SEARCH("bench",$C26)),IF($D26&gt;=0.5,IF($D26&lt;0.6,$E26*$F26," ")," ")," ")</f>
        <v>5</v>
      </c>
      <c r="T26" s="93" t="str">
        <f t="shared" ref="T26:T29" si="32">IF(ISNUMBER(SEARCH("bench",$C26)),IF($D26&gt;=0.6,IF($D26&lt;0.7,$E26*$F26," ")," ")," ")</f>
        <v> </v>
      </c>
      <c r="U26" s="93" t="str">
        <f t="shared" ref="U26:U29" si="33">IF(ISNUMBER(SEARCH("bench",$C26)),IF($D26&gt;=0.7,IF($D26&lt;0.8,$E26*$F26," ")," ")," ")</f>
        <v> </v>
      </c>
      <c r="V26" s="93" t="str">
        <f t="shared" ref="V26:V29" si="34">IF(ISNUMBER(SEARCH("bench",$C26)),IF($D26&gt;=0.8,IF($D26&lt;0.9,$E26*$F26," ")," ")," ")</f>
        <v> </v>
      </c>
      <c r="W26" s="93" t="str">
        <f t="shared" ref="W26:W29" si="35">IF(ISNUMBER(SEARCH("bench",$C26)),IF($D26&gt;=0.9,$E26*$F26," ")," ")</f>
        <v> </v>
      </c>
      <c r="X26" s="67"/>
      <c r="Y26" s="67"/>
      <c r="Z26" s="67"/>
      <c r="AA26" s="67"/>
      <c r="AB26" s="67"/>
      <c r="AC26" s="85"/>
      <c r="AF26" s="86"/>
    </row>
    <row r="27" ht="12.75" customHeight="1">
      <c r="A27" s="1"/>
      <c r="B27" s="87"/>
      <c r="C27" s="94" t="s">
        <v>45</v>
      </c>
      <c r="D27" s="89">
        <v>0.6</v>
      </c>
      <c r="E27" s="90">
        <v>4.0</v>
      </c>
      <c r="F27" s="90">
        <v>1.0</v>
      </c>
      <c r="G27" s="92">
        <f>'Start Here'!$F$22*D27</f>
        <v>60</v>
      </c>
      <c r="H27" s="68"/>
      <c r="I27" s="68"/>
      <c r="J27" s="68">
        <f t="shared" si="29"/>
        <v>4</v>
      </c>
      <c r="K27" s="252">
        <f t="shared" si="30"/>
        <v>240</v>
      </c>
      <c r="L27" s="68"/>
      <c r="M27" s="68"/>
      <c r="N27" s="67"/>
      <c r="O27" s="67"/>
      <c r="P27" s="67"/>
      <c r="Q27" s="67"/>
      <c r="R27" s="67"/>
      <c r="S27" s="93" t="str">
        <f t="shared" si="31"/>
        <v> </v>
      </c>
      <c r="T27" s="93">
        <f t="shared" si="32"/>
        <v>4</v>
      </c>
      <c r="U27" s="93" t="str">
        <f t="shared" si="33"/>
        <v> </v>
      </c>
      <c r="V27" s="93" t="str">
        <f t="shared" si="34"/>
        <v> </v>
      </c>
      <c r="W27" s="93" t="str">
        <f t="shared" si="35"/>
        <v> </v>
      </c>
      <c r="X27" s="67"/>
      <c r="Y27" s="67"/>
      <c r="Z27" s="67"/>
      <c r="AA27" s="67"/>
      <c r="AB27" s="67"/>
      <c r="AC27" s="85"/>
      <c r="AF27" s="86"/>
    </row>
    <row r="28" ht="12.75" customHeight="1">
      <c r="A28" s="1"/>
      <c r="B28" s="87"/>
      <c r="C28" s="94" t="s">
        <v>45</v>
      </c>
      <c r="D28" s="89">
        <v>0.7</v>
      </c>
      <c r="E28" s="90">
        <v>3.0</v>
      </c>
      <c r="F28" s="90">
        <v>1.0</v>
      </c>
      <c r="G28" s="92">
        <f>'Start Here'!$F$22*D28</f>
        <v>70</v>
      </c>
      <c r="H28" s="68"/>
      <c r="I28" s="68"/>
      <c r="J28" s="68">
        <f t="shared" si="29"/>
        <v>3</v>
      </c>
      <c r="K28" s="252">
        <f t="shared" si="30"/>
        <v>210</v>
      </c>
      <c r="L28" s="68"/>
      <c r="M28" s="68"/>
      <c r="N28" s="67"/>
      <c r="O28" s="67"/>
      <c r="P28" s="67"/>
      <c r="Q28" s="67"/>
      <c r="R28" s="67"/>
      <c r="S28" s="93" t="str">
        <f t="shared" si="31"/>
        <v> </v>
      </c>
      <c r="T28" s="93" t="str">
        <f t="shared" si="32"/>
        <v> </v>
      </c>
      <c r="U28" s="93">
        <f t="shared" si="33"/>
        <v>3</v>
      </c>
      <c r="V28" s="93" t="str">
        <f t="shared" si="34"/>
        <v> </v>
      </c>
      <c r="W28" s="93" t="str">
        <f t="shared" si="35"/>
        <v> </v>
      </c>
      <c r="X28" s="67"/>
      <c r="Y28" s="67"/>
      <c r="Z28" s="67"/>
      <c r="AA28" s="67"/>
      <c r="AB28" s="67"/>
      <c r="AC28" s="85"/>
      <c r="AF28" s="86"/>
    </row>
    <row r="29" ht="12.75" customHeight="1">
      <c r="A29" s="1"/>
      <c r="B29" s="87"/>
      <c r="C29" s="94" t="s">
        <v>45</v>
      </c>
      <c r="D29" s="89">
        <v>0.8</v>
      </c>
      <c r="E29" s="90">
        <v>3.0</v>
      </c>
      <c r="F29" s="90">
        <v>4.0</v>
      </c>
      <c r="G29" s="92">
        <f>'Start Here'!$F$22*D29</f>
        <v>80</v>
      </c>
      <c r="H29" s="68"/>
      <c r="I29" s="68"/>
      <c r="J29" s="68">
        <f t="shared" si="29"/>
        <v>12</v>
      </c>
      <c r="K29" s="252">
        <f t="shared" si="30"/>
        <v>960</v>
      </c>
      <c r="L29" s="68"/>
      <c r="M29" s="68"/>
      <c r="N29" s="67"/>
      <c r="O29" s="67"/>
      <c r="P29" s="67"/>
      <c r="Q29" s="67"/>
      <c r="R29" s="67"/>
      <c r="S29" s="93" t="str">
        <f t="shared" si="31"/>
        <v> </v>
      </c>
      <c r="T29" s="93" t="str">
        <f t="shared" si="32"/>
        <v> </v>
      </c>
      <c r="U29" s="93" t="str">
        <f t="shared" si="33"/>
        <v> </v>
      </c>
      <c r="V29" s="93">
        <f t="shared" si="34"/>
        <v>12</v>
      </c>
      <c r="W29" s="93" t="str">
        <f t="shared" si="35"/>
        <v> </v>
      </c>
      <c r="X29" s="67"/>
      <c r="Y29" s="67"/>
      <c r="Z29" s="67"/>
      <c r="AA29" s="67"/>
      <c r="AB29" s="67"/>
      <c r="AC29" s="85"/>
      <c r="AF29" s="86"/>
    </row>
    <row r="30" ht="12.75" customHeight="1">
      <c r="A30" s="1"/>
      <c r="B30" s="115">
        <v>3.0</v>
      </c>
      <c r="C30" s="121" t="s">
        <v>135</v>
      </c>
      <c r="D30" s="117">
        <v>0.6</v>
      </c>
      <c r="E30" s="118">
        <v>3.0</v>
      </c>
      <c r="F30" s="118">
        <v>1.0</v>
      </c>
      <c r="G30" s="120">
        <f>'Start Here'!$F$23*D30</f>
        <v>60</v>
      </c>
      <c r="H30" s="68"/>
      <c r="I30" s="68"/>
      <c r="J30" s="68"/>
      <c r="K30" s="68"/>
      <c r="L30" s="68">
        <f t="shared" ref="L30:L33" si="36">E30*F30</f>
        <v>3</v>
      </c>
      <c r="M30" s="68">
        <f t="shared" ref="M30:M33" si="37">L30*G30</f>
        <v>180</v>
      </c>
      <c r="N30" s="67"/>
      <c r="O30" s="67"/>
      <c r="P30" s="67"/>
      <c r="Q30" s="67"/>
      <c r="R30" s="67"/>
      <c r="S30" s="67"/>
      <c r="T30" s="67"/>
      <c r="U30" s="67"/>
      <c r="V30" s="67"/>
      <c r="W30" s="67"/>
      <c r="X30" s="114" t="str">
        <f t="shared" ref="X30:X33" si="38">IF(ISNUMBER(SEARCH("deadlift",$C30)),IF($D30&gt;=0.5,IF($D30&lt;0.6,$E30*$F30," ")," ")," ")</f>
        <v> </v>
      </c>
      <c r="Y30" s="114">
        <f t="shared" ref="Y30:Y33" si="39">IF(ISNUMBER(SEARCH("deadlift",$C30)),IF($D30&gt;=0.6,IF($D30&lt;0.7,$E30*$F30," ")," ")," ")</f>
        <v>3</v>
      </c>
      <c r="Z30" s="114" t="str">
        <f t="shared" ref="Z30:Z33" si="40">IF(ISNUMBER(SEARCH("deadlift",$C30)),IF($D30&gt;=0.7,IF($D30&lt;0.8,$E30*$F30," ")," ")," ")</f>
        <v> </v>
      </c>
      <c r="AA30" s="114" t="str">
        <f t="shared" ref="AA30:AA33" si="41">IF(ISNUMBER(SEARCH("deadlift",$C30)),IF($D30&gt;=0.8,IF($D30&lt;0.9,$E30*$F30," ")," ")," ")</f>
        <v> </v>
      </c>
      <c r="AB30" s="114" t="str">
        <f t="shared" ref="AB30:AB33" si="42">IF(ISNUMBER(SEARCH("deadlift",$C30)),IF($D30&gt;=0.9,$E30*$F30," ")," ")</f>
        <v> </v>
      </c>
      <c r="AC30" s="85"/>
      <c r="AF30" s="86"/>
    </row>
    <row r="31" ht="12.75" customHeight="1">
      <c r="A31" s="1"/>
      <c r="B31" s="115"/>
      <c r="C31" s="122" t="s">
        <v>135</v>
      </c>
      <c r="D31" s="117">
        <v>0.7</v>
      </c>
      <c r="E31" s="118">
        <v>3.0</v>
      </c>
      <c r="F31" s="118">
        <v>1.0</v>
      </c>
      <c r="G31" s="120">
        <f>'Start Here'!$F$23*D31</f>
        <v>70</v>
      </c>
      <c r="H31" s="68"/>
      <c r="I31" s="68"/>
      <c r="J31" s="68"/>
      <c r="K31" s="68"/>
      <c r="L31" s="68">
        <f t="shared" si="36"/>
        <v>3</v>
      </c>
      <c r="M31" s="68">
        <f t="shared" si="37"/>
        <v>210</v>
      </c>
      <c r="N31" s="67"/>
      <c r="O31" s="67"/>
      <c r="P31" s="67"/>
      <c r="Q31" s="67"/>
      <c r="R31" s="67"/>
      <c r="S31" s="67"/>
      <c r="T31" s="67"/>
      <c r="U31" s="67"/>
      <c r="V31" s="67"/>
      <c r="W31" s="67"/>
      <c r="X31" s="114" t="str">
        <f t="shared" si="38"/>
        <v> </v>
      </c>
      <c r="Y31" s="114" t="str">
        <f t="shared" si="39"/>
        <v> </v>
      </c>
      <c r="Z31" s="114">
        <f t="shared" si="40"/>
        <v>3</v>
      </c>
      <c r="AA31" s="114" t="str">
        <f t="shared" si="41"/>
        <v> </v>
      </c>
      <c r="AB31" s="114" t="str">
        <f t="shared" si="42"/>
        <v> </v>
      </c>
      <c r="AC31" s="85"/>
      <c r="AF31" s="86"/>
    </row>
    <row r="32" ht="12.75" customHeight="1">
      <c r="A32" s="1"/>
      <c r="B32" s="115"/>
      <c r="C32" s="122" t="s">
        <v>135</v>
      </c>
      <c r="D32" s="117">
        <v>0.8</v>
      </c>
      <c r="E32" s="118">
        <v>2.0</v>
      </c>
      <c r="F32" s="118">
        <v>2.0</v>
      </c>
      <c r="G32" s="120">
        <f>'Start Here'!$F$23*D32</f>
        <v>80</v>
      </c>
      <c r="H32" s="68"/>
      <c r="I32" s="68"/>
      <c r="J32" s="68"/>
      <c r="K32" s="68"/>
      <c r="L32" s="68">
        <f t="shared" si="36"/>
        <v>4</v>
      </c>
      <c r="M32" s="68">
        <f t="shared" si="37"/>
        <v>320</v>
      </c>
      <c r="N32" s="67"/>
      <c r="O32" s="67"/>
      <c r="P32" s="67"/>
      <c r="Q32" s="67"/>
      <c r="R32" s="67"/>
      <c r="S32" s="67"/>
      <c r="T32" s="67"/>
      <c r="U32" s="67"/>
      <c r="V32" s="67"/>
      <c r="W32" s="67"/>
      <c r="X32" s="114" t="str">
        <f t="shared" si="38"/>
        <v> </v>
      </c>
      <c r="Y32" s="114" t="str">
        <f t="shared" si="39"/>
        <v> </v>
      </c>
      <c r="Z32" s="114" t="str">
        <f t="shared" si="40"/>
        <v> </v>
      </c>
      <c r="AA32" s="114">
        <f t="shared" si="41"/>
        <v>4</v>
      </c>
      <c r="AB32" s="114" t="str">
        <f t="shared" si="42"/>
        <v> </v>
      </c>
      <c r="AC32" s="85"/>
      <c r="AF32" s="86"/>
    </row>
    <row r="33" ht="12.75" customHeight="1">
      <c r="A33" s="1"/>
      <c r="B33" s="115"/>
      <c r="C33" s="122" t="s">
        <v>135</v>
      </c>
      <c r="D33" s="117">
        <v>0.9</v>
      </c>
      <c r="E33" s="118">
        <v>1.0</v>
      </c>
      <c r="F33" s="118">
        <v>3.0</v>
      </c>
      <c r="G33" s="120">
        <f>'Start Here'!$F$23*D33</f>
        <v>90</v>
      </c>
      <c r="H33" s="68"/>
      <c r="I33" s="68"/>
      <c r="J33" s="68"/>
      <c r="K33" s="68"/>
      <c r="L33" s="68">
        <f t="shared" si="36"/>
        <v>3</v>
      </c>
      <c r="M33" s="68">
        <f t="shared" si="37"/>
        <v>270</v>
      </c>
      <c r="N33" s="67"/>
      <c r="O33" s="67"/>
      <c r="P33" s="67"/>
      <c r="Q33" s="67"/>
      <c r="R33" s="67"/>
      <c r="S33" s="67"/>
      <c r="T33" s="67"/>
      <c r="U33" s="67"/>
      <c r="V33" s="67"/>
      <c r="W33" s="67"/>
      <c r="X33" s="114" t="str">
        <f t="shared" si="38"/>
        <v> </v>
      </c>
      <c r="Y33" s="114" t="str">
        <f t="shared" si="39"/>
        <v> </v>
      </c>
      <c r="Z33" s="114" t="str">
        <f t="shared" si="40"/>
        <v> </v>
      </c>
      <c r="AA33" s="114" t="str">
        <f t="shared" si="41"/>
        <v> </v>
      </c>
      <c r="AB33" s="114">
        <f t="shared" si="42"/>
        <v>3</v>
      </c>
      <c r="AC33" s="85"/>
      <c r="AF33" s="86"/>
    </row>
    <row r="34" ht="12.75" customHeight="1">
      <c r="A34" s="1"/>
      <c r="B34" s="96">
        <v>4.0</v>
      </c>
      <c r="C34" s="167" t="s">
        <v>95</v>
      </c>
      <c r="D34" s="168"/>
      <c r="E34" s="98">
        <v>6.0</v>
      </c>
      <c r="F34" s="98">
        <v>4.0</v>
      </c>
      <c r="G34" s="170"/>
      <c r="H34" s="68"/>
      <c r="I34" s="68"/>
      <c r="J34" s="68"/>
      <c r="K34" s="68"/>
      <c r="L34" s="68"/>
      <c r="M34" s="68"/>
      <c r="N34" s="67"/>
      <c r="O34" s="67"/>
      <c r="P34" s="67"/>
      <c r="Q34" s="67"/>
      <c r="R34" s="67"/>
      <c r="S34" s="67"/>
      <c r="T34" s="67"/>
      <c r="U34" s="67"/>
      <c r="V34" s="67"/>
      <c r="W34" s="67"/>
      <c r="X34" s="67"/>
      <c r="Y34" s="67"/>
      <c r="Z34" s="67"/>
      <c r="AA34" s="67"/>
      <c r="AB34" s="67"/>
      <c r="AC34" s="85"/>
      <c r="AF34" s="86"/>
    </row>
    <row r="35" ht="12.75" customHeight="1">
      <c r="A35" s="1"/>
      <c r="B35" s="100">
        <v>5.0</v>
      </c>
      <c r="C35" s="171" t="s">
        <v>48</v>
      </c>
      <c r="D35" s="172"/>
      <c r="E35" s="102">
        <v>8.0</v>
      </c>
      <c r="F35" s="102">
        <v>4.0</v>
      </c>
      <c r="G35" s="174"/>
      <c r="H35" s="68"/>
      <c r="I35" s="68"/>
      <c r="J35" s="68"/>
      <c r="K35" s="68"/>
      <c r="L35" s="68"/>
      <c r="M35" s="68"/>
      <c r="N35" s="67"/>
      <c r="O35" s="67"/>
      <c r="P35" s="67"/>
      <c r="Q35" s="67"/>
      <c r="R35" s="67"/>
      <c r="S35" s="67"/>
      <c r="T35" s="67"/>
      <c r="U35" s="67"/>
      <c r="V35" s="67"/>
      <c r="W35" s="67"/>
      <c r="X35" s="67"/>
      <c r="Y35" s="67"/>
      <c r="Z35" s="67"/>
      <c r="AA35" s="67"/>
      <c r="AB35" s="67"/>
      <c r="AC35" s="104"/>
      <c r="AD35" s="105"/>
      <c r="AE35" s="105"/>
      <c r="AF35" s="106"/>
    </row>
    <row r="36" ht="34.5" customHeight="1">
      <c r="A36" s="1"/>
      <c r="B36" s="67"/>
      <c r="C36" s="136"/>
      <c r="D36" s="137"/>
      <c r="E36" s="252"/>
      <c r="F36" s="68"/>
      <c r="G36" s="138"/>
      <c r="H36" s="68"/>
      <c r="I36" s="68"/>
      <c r="J36" s="68"/>
      <c r="K36" s="68"/>
      <c r="L36" s="68"/>
      <c r="M36" s="68"/>
      <c r="N36" s="67"/>
      <c r="O36" s="67"/>
      <c r="P36" s="67"/>
      <c r="Q36" s="67"/>
      <c r="R36" s="67"/>
      <c r="S36" s="67"/>
      <c r="T36" s="67"/>
      <c r="U36" s="67"/>
      <c r="V36" s="67"/>
      <c r="W36" s="67"/>
      <c r="X36" s="67"/>
      <c r="Y36" s="67"/>
      <c r="Z36" s="67"/>
      <c r="AA36" s="67"/>
      <c r="AB36" s="67"/>
      <c r="AC36" s="67"/>
      <c r="AD36" s="67"/>
      <c r="AE36" s="67"/>
      <c r="AF36" s="67"/>
    </row>
    <row r="37" ht="12.75" customHeight="1">
      <c r="A37" s="1"/>
      <c r="B37" s="68" t="s">
        <v>54</v>
      </c>
      <c r="D37" s="137" t="s">
        <v>34</v>
      </c>
      <c r="E37" s="252" t="s">
        <v>35</v>
      </c>
      <c r="F37" s="68" t="s">
        <v>36</v>
      </c>
      <c r="G37" s="138" t="s">
        <v>37</v>
      </c>
      <c r="H37" s="68"/>
      <c r="I37" s="68"/>
      <c r="J37" s="68"/>
      <c r="K37" s="68"/>
      <c r="L37" s="68"/>
      <c r="M37" s="68"/>
      <c r="N37" s="67"/>
      <c r="O37" s="67"/>
      <c r="P37" s="67"/>
      <c r="Q37" s="67"/>
      <c r="R37" s="67"/>
      <c r="S37" s="67"/>
      <c r="T37" s="67"/>
      <c r="U37" s="67"/>
      <c r="V37" s="67"/>
      <c r="W37" s="67"/>
      <c r="X37" s="67"/>
      <c r="Y37" s="67"/>
      <c r="Z37" s="67"/>
      <c r="AA37" s="67"/>
      <c r="AB37" s="67"/>
      <c r="AC37" s="67" t="s">
        <v>43</v>
      </c>
      <c r="AD37" s="67"/>
      <c r="AE37" s="67"/>
      <c r="AF37" s="67"/>
    </row>
    <row r="38" ht="12.75" customHeight="1">
      <c r="A38" s="1"/>
      <c r="B38" s="69">
        <v>1.0</v>
      </c>
      <c r="C38" s="70" t="s">
        <v>46</v>
      </c>
      <c r="D38" s="71">
        <v>0.5</v>
      </c>
      <c r="E38" s="145">
        <v>3.0</v>
      </c>
      <c r="F38" s="145">
        <v>1.0</v>
      </c>
      <c r="G38" s="73">
        <f>'Start Here'!$F$21*D38</f>
        <v>50</v>
      </c>
      <c r="H38" s="68">
        <f t="shared" ref="H38:H42" si="43">E38*F38</f>
        <v>3</v>
      </c>
      <c r="I38" s="252">
        <f t="shared" ref="I38:I42" si="44">H38*G38</f>
        <v>150</v>
      </c>
      <c r="J38" s="68"/>
      <c r="K38" s="68"/>
      <c r="L38" s="68"/>
      <c r="M38" s="68"/>
      <c r="N38" s="75">
        <f t="shared" ref="N38:N42" si="45">IF(ISNUMBER(SEARCH("squat",$C38)),IF($D38&gt;=0.5,IF($D38&lt;0.6,$E38*$F38," ")," ")," ")</f>
        <v>3</v>
      </c>
      <c r="O38" s="75" t="str">
        <f t="shared" ref="O38:O42" si="46">IF(ISNUMBER(SEARCH("squat",$C38)),IF($D38&gt;=0.6,IF($D38&lt;0.7,$E38*$F38," ")," ")," ")</f>
        <v> </v>
      </c>
      <c r="P38" s="75" t="str">
        <f t="shared" ref="P38:P42" si="47">IF(ISNUMBER(SEARCH("squat",$C38)),IF($D38&gt;=0.7,IF($D38&lt;0.8,$E38*$F38," ")," ")," ")</f>
        <v> </v>
      </c>
      <c r="Q38" s="75" t="str">
        <f t="shared" ref="Q38:Q42" si="48">IF(ISNUMBER(SEARCH("squat",$C38)),IF($D38&gt;=0.8,IF($D38&lt;0.9,$E38*$F38," ")," ")," ")</f>
        <v> </v>
      </c>
      <c r="R38" s="75" t="str">
        <f t="shared" ref="R38:R42" si="49">IF(ISNUMBER(SEARCH("squat",$C38)),IF($D38&gt;=0.9,$E38*$F38," ")," ")</f>
        <v> </v>
      </c>
      <c r="S38" s="67"/>
      <c r="T38" s="67"/>
      <c r="U38" s="67"/>
      <c r="V38" s="67"/>
      <c r="W38" s="67"/>
      <c r="X38" s="67"/>
      <c r="Y38" s="67"/>
      <c r="Z38" s="67"/>
      <c r="AA38" s="67"/>
      <c r="AB38" s="67"/>
      <c r="AC38" s="76"/>
      <c r="AD38" s="77"/>
      <c r="AE38" s="77"/>
      <c r="AF38" s="78"/>
    </row>
    <row r="39" ht="12.75" customHeight="1">
      <c r="A39" s="1"/>
      <c r="B39" s="79"/>
      <c r="C39" s="80" t="s">
        <v>46</v>
      </c>
      <c r="D39" s="81">
        <v>0.6</v>
      </c>
      <c r="E39" s="82">
        <v>3.0</v>
      </c>
      <c r="F39" s="82">
        <v>1.0</v>
      </c>
      <c r="G39" s="84">
        <f>'Start Here'!$F$21*D39</f>
        <v>60</v>
      </c>
      <c r="H39" s="68">
        <f t="shared" si="43"/>
        <v>3</v>
      </c>
      <c r="I39" s="252">
        <f t="shared" si="44"/>
        <v>180</v>
      </c>
      <c r="J39" s="68"/>
      <c r="K39" s="68"/>
      <c r="L39" s="68"/>
      <c r="M39" s="68"/>
      <c r="N39" s="75" t="str">
        <f t="shared" si="45"/>
        <v> </v>
      </c>
      <c r="O39" s="75">
        <f t="shared" si="46"/>
        <v>3</v>
      </c>
      <c r="P39" s="75" t="str">
        <f t="shared" si="47"/>
        <v> </v>
      </c>
      <c r="Q39" s="75" t="str">
        <f t="shared" si="48"/>
        <v> </v>
      </c>
      <c r="R39" s="75" t="str">
        <f t="shared" si="49"/>
        <v> </v>
      </c>
      <c r="S39" s="67"/>
      <c r="T39" s="67"/>
      <c r="U39" s="67"/>
      <c r="V39" s="67"/>
      <c r="W39" s="67"/>
      <c r="X39" s="67"/>
      <c r="Y39" s="67"/>
      <c r="Z39" s="67"/>
      <c r="AA39" s="67"/>
      <c r="AB39" s="67"/>
      <c r="AC39" s="85"/>
      <c r="AF39" s="86"/>
    </row>
    <row r="40" ht="12.75" customHeight="1">
      <c r="A40" s="1"/>
      <c r="B40" s="79"/>
      <c r="C40" s="80" t="s">
        <v>46</v>
      </c>
      <c r="D40" s="81">
        <v>0.7</v>
      </c>
      <c r="E40" s="82">
        <v>3.0</v>
      </c>
      <c r="F40" s="82">
        <v>1.0</v>
      </c>
      <c r="G40" s="84">
        <f>'Start Here'!$F$21*D40</f>
        <v>70</v>
      </c>
      <c r="H40" s="68">
        <f t="shared" si="43"/>
        <v>3</v>
      </c>
      <c r="I40" s="252">
        <f t="shared" si="44"/>
        <v>210</v>
      </c>
      <c r="J40" s="68"/>
      <c r="K40" s="68"/>
      <c r="L40" s="68"/>
      <c r="M40" s="68"/>
      <c r="N40" s="75" t="str">
        <f t="shared" si="45"/>
        <v> </v>
      </c>
      <c r="O40" s="75" t="str">
        <f t="shared" si="46"/>
        <v> </v>
      </c>
      <c r="P40" s="75">
        <f t="shared" si="47"/>
        <v>3</v>
      </c>
      <c r="Q40" s="75" t="str">
        <f t="shared" si="48"/>
        <v> </v>
      </c>
      <c r="R40" s="75" t="str">
        <f t="shared" si="49"/>
        <v> </v>
      </c>
      <c r="S40" s="67"/>
      <c r="T40" s="67"/>
      <c r="U40" s="67"/>
      <c r="V40" s="67"/>
      <c r="W40" s="67"/>
      <c r="X40" s="67"/>
      <c r="Y40" s="67"/>
      <c r="Z40" s="67"/>
      <c r="AA40" s="67"/>
      <c r="AB40" s="67"/>
      <c r="AC40" s="85"/>
      <c r="AF40" s="86"/>
    </row>
    <row r="41" ht="12.75" customHeight="1">
      <c r="A41" s="1"/>
      <c r="B41" s="79"/>
      <c r="C41" s="80" t="s">
        <v>46</v>
      </c>
      <c r="D41" s="81">
        <v>0.8</v>
      </c>
      <c r="E41" s="82">
        <v>2.0</v>
      </c>
      <c r="F41" s="82">
        <v>2.0</v>
      </c>
      <c r="G41" s="84">
        <f>'Start Here'!$F$21*D41</f>
        <v>80</v>
      </c>
      <c r="H41" s="68">
        <f t="shared" si="43"/>
        <v>4</v>
      </c>
      <c r="I41" s="252">
        <f t="shared" si="44"/>
        <v>320</v>
      </c>
      <c r="J41" s="68"/>
      <c r="K41" s="68"/>
      <c r="L41" s="68"/>
      <c r="M41" s="68"/>
      <c r="N41" s="75" t="str">
        <f t="shared" si="45"/>
        <v> </v>
      </c>
      <c r="O41" s="75" t="str">
        <f t="shared" si="46"/>
        <v> </v>
      </c>
      <c r="P41" s="75" t="str">
        <f t="shared" si="47"/>
        <v> </v>
      </c>
      <c r="Q41" s="75">
        <f t="shared" si="48"/>
        <v>4</v>
      </c>
      <c r="R41" s="75" t="str">
        <f t="shared" si="49"/>
        <v> </v>
      </c>
      <c r="S41" s="67"/>
      <c r="T41" s="67"/>
      <c r="U41" s="67"/>
      <c r="V41" s="67"/>
      <c r="W41" s="67"/>
      <c r="X41" s="67"/>
      <c r="Y41" s="67"/>
      <c r="Z41" s="67"/>
      <c r="AA41" s="67"/>
      <c r="AB41" s="67"/>
      <c r="AC41" s="85"/>
      <c r="AF41" s="86"/>
    </row>
    <row r="42" ht="12.75" customHeight="1">
      <c r="A42" s="1"/>
      <c r="B42" s="79"/>
      <c r="C42" s="80" t="s">
        <v>46</v>
      </c>
      <c r="D42" s="81">
        <v>0.85</v>
      </c>
      <c r="E42" s="82">
        <v>1.0</v>
      </c>
      <c r="F42" s="82">
        <v>3.0</v>
      </c>
      <c r="G42" s="84">
        <f>'Start Here'!$F$21*D42</f>
        <v>85</v>
      </c>
      <c r="H42" s="68">
        <f t="shared" si="43"/>
        <v>3</v>
      </c>
      <c r="I42" s="252">
        <f t="shared" si="44"/>
        <v>255</v>
      </c>
      <c r="J42" s="68"/>
      <c r="K42" s="68"/>
      <c r="L42" s="68"/>
      <c r="M42" s="68"/>
      <c r="N42" s="75" t="str">
        <f t="shared" si="45"/>
        <v> </v>
      </c>
      <c r="O42" s="75" t="str">
        <f t="shared" si="46"/>
        <v> </v>
      </c>
      <c r="P42" s="75" t="str">
        <f t="shared" si="47"/>
        <v> </v>
      </c>
      <c r="Q42" s="75">
        <f t="shared" si="48"/>
        <v>3</v>
      </c>
      <c r="R42" s="75" t="str">
        <f t="shared" si="49"/>
        <v> </v>
      </c>
      <c r="S42" s="67"/>
      <c r="T42" s="67"/>
      <c r="U42" s="67"/>
      <c r="V42" s="67"/>
      <c r="W42" s="67"/>
      <c r="X42" s="67"/>
      <c r="Y42" s="67"/>
      <c r="Z42" s="67"/>
      <c r="AA42" s="67"/>
      <c r="AB42" s="67"/>
      <c r="AC42" s="85"/>
      <c r="AF42" s="86"/>
    </row>
    <row r="43" ht="12.75" customHeight="1">
      <c r="A43" s="1"/>
      <c r="B43" s="87">
        <v>2.0</v>
      </c>
      <c r="C43" s="88" t="s">
        <v>45</v>
      </c>
      <c r="D43" s="89">
        <v>0.5</v>
      </c>
      <c r="E43" s="90">
        <v>3.0</v>
      </c>
      <c r="F43" s="90">
        <v>1.0</v>
      </c>
      <c r="G43" s="92">
        <f>'Start Here'!$F$22*D43</f>
        <v>50</v>
      </c>
      <c r="H43" s="68"/>
      <c r="I43" s="68"/>
      <c r="J43" s="68">
        <f t="shared" ref="J43:J48" si="50">E43*F43</f>
        <v>3</v>
      </c>
      <c r="K43" s="252">
        <f t="shared" ref="K43:K48" si="51">J43*G43</f>
        <v>150</v>
      </c>
      <c r="L43" s="68"/>
      <c r="M43" s="68"/>
      <c r="N43" s="67"/>
      <c r="O43" s="67"/>
      <c r="P43" s="67"/>
      <c r="Q43" s="67"/>
      <c r="R43" s="67"/>
      <c r="S43" s="93">
        <f t="shared" ref="S43:S48" si="52">IF(ISNUMBER(SEARCH("bench",$C43)),IF($D43&gt;=0.5,IF($D43&lt;0.6,$E43*$F43," ")," ")," ")</f>
        <v>3</v>
      </c>
      <c r="T43" s="93" t="str">
        <f t="shared" ref="T43:T48" si="53">IF(ISNUMBER(SEARCH("bench",$C43)),IF($D43&gt;=0.6,IF($D43&lt;0.7,$E43*$F43," ")," ")," ")</f>
        <v> </v>
      </c>
      <c r="U43" s="93" t="str">
        <f t="shared" ref="U43:U48" si="54">IF(ISNUMBER(SEARCH("bench",$C43)),IF($D43&gt;=0.7,IF($D43&lt;0.8,$E43*$F43," ")," ")," ")</f>
        <v> </v>
      </c>
      <c r="V43" s="93" t="str">
        <f t="shared" ref="V43:V48" si="55">IF(ISNUMBER(SEARCH("bench",$C43)),IF($D43&gt;=0.8,IF($D43&lt;0.9,$E43*$F43," ")," ")," ")</f>
        <v> </v>
      </c>
      <c r="W43" s="93" t="str">
        <f t="shared" ref="W43:W48" si="56">IF(ISNUMBER(SEARCH("bench",$C43)),IF($D43&gt;=0.9,$E43*$F43," ")," ")</f>
        <v> </v>
      </c>
      <c r="X43" s="67"/>
      <c r="Y43" s="67"/>
      <c r="Z43" s="67"/>
      <c r="AA43" s="67"/>
      <c r="AB43" s="67"/>
      <c r="AC43" s="85"/>
      <c r="AF43" s="86"/>
    </row>
    <row r="44" ht="12.75" customHeight="1">
      <c r="A44" s="1"/>
      <c r="B44" s="87"/>
      <c r="C44" s="94" t="s">
        <v>45</v>
      </c>
      <c r="D44" s="89">
        <v>0.6</v>
      </c>
      <c r="E44" s="90">
        <v>3.0</v>
      </c>
      <c r="F44" s="90">
        <v>1.0</v>
      </c>
      <c r="G44" s="92">
        <f>'Start Here'!$F$22*D44</f>
        <v>60</v>
      </c>
      <c r="H44" s="68"/>
      <c r="I44" s="68"/>
      <c r="J44" s="68">
        <f t="shared" si="50"/>
        <v>3</v>
      </c>
      <c r="K44" s="252">
        <f t="shared" si="51"/>
        <v>180</v>
      </c>
      <c r="L44" s="68"/>
      <c r="M44" s="68"/>
      <c r="N44" s="67"/>
      <c r="O44" s="67"/>
      <c r="P44" s="67"/>
      <c r="Q44" s="67"/>
      <c r="R44" s="67"/>
      <c r="S44" s="93" t="str">
        <f t="shared" si="52"/>
        <v> </v>
      </c>
      <c r="T44" s="93">
        <f t="shared" si="53"/>
        <v>3</v>
      </c>
      <c r="U44" s="93" t="str">
        <f t="shared" si="54"/>
        <v> </v>
      </c>
      <c r="V44" s="93" t="str">
        <f t="shared" si="55"/>
        <v> </v>
      </c>
      <c r="W44" s="93" t="str">
        <f t="shared" si="56"/>
        <v> </v>
      </c>
      <c r="X44" s="67"/>
      <c r="Y44" s="67"/>
      <c r="Z44" s="67"/>
      <c r="AA44" s="67"/>
      <c r="AB44" s="67"/>
      <c r="AC44" s="85"/>
      <c r="AF44" s="86"/>
    </row>
    <row r="45" ht="12.75" customHeight="1">
      <c r="A45" s="1"/>
      <c r="B45" s="87"/>
      <c r="C45" s="94" t="s">
        <v>45</v>
      </c>
      <c r="D45" s="89">
        <v>0.7</v>
      </c>
      <c r="E45" s="90">
        <v>3.0</v>
      </c>
      <c r="F45" s="90">
        <v>1.0</v>
      </c>
      <c r="G45" s="92">
        <f>'Start Here'!$F$22*D45</f>
        <v>70</v>
      </c>
      <c r="H45" s="68"/>
      <c r="I45" s="68"/>
      <c r="J45" s="68">
        <f t="shared" si="50"/>
        <v>3</v>
      </c>
      <c r="K45" s="252">
        <f t="shared" si="51"/>
        <v>210</v>
      </c>
      <c r="L45" s="68"/>
      <c r="M45" s="68"/>
      <c r="N45" s="67"/>
      <c r="O45" s="67"/>
      <c r="P45" s="67"/>
      <c r="Q45" s="67"/>
      <c r="R45" s="67"/>
      <c r="S45" s="93" t="str">
        <f t="shared" si="52"/>
        <v> </v>
      </c>
      <c r="T45" s="93" t="str">
        <f t="shared" si="53"/>
        <v> </v>
      </c>
      <c r="U45" s="93">
        <f t="shared" si="54"/>
        <v>3</v>
      </c>
      <c r="V45" s="93" t="str">
        <f t="shared" si="55"/>
        <v> </v>
      </c>
      <c r="W45" s="93" t="str">
        <f t="shared" si="56"/>
        <v> </v>
      </c>
      <c r="X45" s="67"/>
      <c r="Y45" s="67"/>
      <c r="Z45" s="67"/>
      <c r="AA45" s="67"/>
      <c r="AB45" s="67"/>
      <c r="AC45" s="85"/>
      <c r="AF45" s="86"/>
    </row>
    <row r="46" ht="12.75" customHeight="1">
      <c r="A46" s="1"/>
      <c r="B46" s="87"/>
      <c r="C46" s="94" t="s">
        <v>45</v>
      </c>
      <c r="D46" s="89">
        <v>0.8</v>
      </c>
      <c r="E46" s="90">
        <v>2.0</v>
      </c>
      <c r="F46" s="90">
        <v>2.0</v>
      </c>
      <c r="G46" s="92">
        <f>'Start Here'!$F$22*D46</f>
        <v>80</v>
      </c>
      <c r="H46" s="68"/>
      <c r="I46" s="68"/>
      <c r="J46" s="68">
        <f t="shared" si="50"/>
        <v>4</v>
      </c>
      <c r="K46" s="252">
        <f t="shared" si="51"/>
        <v>320</v>
      </c>
      <c r="L46" s="68"/>
      <c r="M46" s="68"/>
      <c r="N46" s="67"/>
      <c r="O46" s="67"/>
      <c r="P46" s="67"/>
      <c r="Q46" s="67"/>
      <c r="R46" s="67"/>
      <c r="S46" s="93" t="str">
        <f t="shared" si="52"/>
        <v> </v>
      </c>
      <c r="T46" s="93" t="str">
        <f t="shared" si="53"/>
        <v> </v>
      </c>
      <c r="U46" s="93" t="str">
        <f t="shared" si="54"/>
        <v> </v>
      </c>
      <c r="V46" s="93">
        <f t="shared" si="55"/>
        <v>4</v>
      </c>
      <c r="W46" s="93" t="str">
        <f t="shared" si="56"/>
        <v> </v>
      </c>
      <c r="X46" s="67"/>
      <c r="Y46" s="67"/>
      <c r="Z46" s="67"/>
      <c r="AA46" s="67"/>
      <c r="AB46" s="67"/>
      <c r="AC46" s="85"/>
      <c r="AF46" s="86"/>
    </row>
    <row r="47" ht="12.75" customHeight="1">
      <c r="A47" s="1"/>
      <c r="B47" s="87"/>
      <c r="C47" s="94" t="s">
        <v>45</v>
      </c>
      <c r="D47" s="89">
        <v>0.85</v>
      </c>
      <c r="E47" s="90">
        <v>2.0</v>
      </c>
      <c r="F47" s="90">
        <v>3.0</v>
      </c>
      <c r="G47" s="92">
        <f>'Start Here'!$F$22*D47</f>
        <v>85</v>
      </c>
      <c r="H47" s="68"/>
      <c r="I47" s="68"/>
      <c r="J47" s="68">
        <f t="shared" si="50"/>
        <v>6</v>
      </c>
      <c r="K47" s="252">
        <f t="shared" si="51"/>
        <v>510</v>
      </c>
      <c r="L47" s="68"/>
      <c r="M47" s="68"/>
      <c r="N47" s="67"/>
      <c r="O47" s="67"/>
      <c r="P47" s="67"/>
      <c r="Q47" s="67"/>
      <c r="R47" s="67"/>
      <c r="S47" s="93" t="str">
        <f t="shared" si="52"/>
        <v> </v>
      </c>
      <c r="T47" s="93" t="str">
        <f t="shared" si="53"/>
        <v> </v>
      </c>
      <c r="U47" s="93" t="str">
        <f t="shared" si="54"/>
        <v> </v>
      </c>
      <c r="V47" s="93">
        <f t="shared" si="55"/>
        <v>6</v>
      </c>
      <c r="W47" s="93" t="str">
        <f t="shared" si="56"/>
        <v> </v>
      </c>
      <c r="X47" s="67"/>
      <c r="Y47" s="67"/>
      <c r="Z47" s="67"/>
      <c r="AA47" s="67"/>
      <c r="AB47" s="67"/>
      <c r="AC47" s="85"/>
      <c r="AF47" s="86"/>
    </row>
    <row r="48" ht="12.75" customHeight="1">
      <c r="A48" s="1"/>
      <c r="B48" s="87"/>
      <c r="C48" s="94" t="s">
        <v>45</v>
      </c>
      <c r="D48" s="89">
        <v>0.8</v>
      </c>
      <c r="E48" s="90">
        <v>2.0</v>
      </c>
      <c r="F48" s="90">
        <v>2.0</v>
      </c>
      <c r="G48" s="92">
        <f>'Start Here'!$F$22*D48</f>
        <v>80</v>
      </c>
      <c r="H48" s="68"/>
      <c r="I48" s="68"/>
      <c r="J48" s="68">
        <f t="shared" si="50"/>
        <v>4</v>
      </c>
      <c r="K48" s="252">
        <f t="shared" si="51"/>
        <v>320</v>
      </c>
      <c r="L48" s="68"/>
      <c r="M48" s="68"/>
      <c r="N48" s="67"/>
      <c r="O48" s="67"/>
      <c r="P48" s="67"/>
      <c r="Q48" s="67"/>
      <c r="R48" s="67"/>
      <c r="S48" s="93" t="str">
        <f t="shared" si="52"/>
        <v> </v>
      </c>
      <c r="T48" s="93" t="str">
        <f t="shared" si="53"/>
        <v> </v>
      </c>
      <c r="U48" s="93" t="str">
        <f t="shared" si="54"/>
        <v> </v>
      </c>
      <c r="V48" s="93">
        <f t="shared" si="55"/>
        <v>4</v>
      </c>
      <c r="W48" s="93" t="str">
        <f t="shared" si="56"/>
        <v> </v>
      </c>
      <c r="X48" s="67"/>
      <c r="Y48" s="67"/>
      <c r="Z48" s="67"/>
      <c r="AA48" s="67"/>
      <c r="AB48" s="67"/>
      <c r="AC48" s="85"/>
      <c r="AF48" s="86"/>
    </row>
    <row r="49" ht="12.75" customHeight="1">
      <c r="A49" s="1"/>
      <c r="B49" s="96">
        <v>3.0</v>
      </c>
      <c r="C49" s="167" t="s">
        <v>92</v>
      </c>
      <c r="D49" s="168"/>
      <c r="E49" s="253" t="s">
        <v>136</v>
      </c>
      <c r="F49" s="98">
        <v>4.0</v>
      </c>
      <c r="G49" s="170"/>
      <c r="H49" s="68"/>
      <c r="I49" s="68"/>
      <c r="J49" s="68"/>
      <c r="K49" s="68"/>
      <c r="L49" s="68"/>
      <c r="M49" s="68"/>
      <c r="N49" s="67"/>
      <c r="O49" s="67"/>
      <c r="P49" s="67"/>
      <c r="Q49" s="67"/>
      <c r="R49" s="67"/>
      <c r="S49" s="67"/>
      <c r="T49" s="67"/>
      <c r="U49" s="67"/>
      <c r="V49" s="67"/>
      <c r="W49" s="67"/>
      <c r="X49" s="67"/>
      <c r="Y49" s="67"/>
      <c r="Z49" s="67"/>
      <c r="AA49" s="67"/>
      <c r="AB49" s="67"/>
      <c r="AC49" s="85"/>
      <c r="AF49" s="86"/>
    </row>
    <row r="50" ht="12.75" customHeight="1">
      <c r="A50" s="1"/>
      <c r="B50" s="135">
        <v>4.0</v>
      </c>
      <c r="C50" s="136" t="s">
        <v>83</v>
      </c>
      <c r="D50" s="137"/>
      <c r="E50" s="68">
        <v>6.0</v>
      </c>
      <c r="F50" s="68">
        <v>4.0</v>
      </c>
      <c r="G50" s="139"/>
      <c r="H50" s="68"/>
      <c r="I50" s="68"/>
      <c r="J50" s="68"/>
      <c r="K50" s="68"/>
      <c r="L50" s="68"/>
      <c r="M50" s="68"/>
      <c r="N50" s="67"/>
      <c r="O50" s="67"/>
      <c r="P50" s="67"/>
      <c r="Q50" s="67"/>
      <c r="R50" s="67"/>
      <c r="S50" s="67"/>
      <c r="T50" s="67"/>
      <c r="U50" s="67"/>
      <c r="V50" s="67"/>
      <c r="W50" s="67"/>
      <c r="X50" s="67"/>
      <c r="Y50" s="67"/>
      <c r="Z50" s="67"/>
      <c r="AA50" s="67"/>
      <c r="AB50" s="67"/>
      <c r="AC50" s="85"/>
      <c r="AF50" s="86"/>
    </row>
    <row r="51" ht="12.75" customHeight="1">
      <c r="A51" s="1"/>
      <c r="B51" s="100">
        <v>5.0</v>
      </c>
      <c r="C51" s="171" t="s">
        <v>78</v>
      </c>
      <c r="D51" s="172"/>
      <c r="E51" s="102">
        <v>5.0</v>
      </c>
      <c r="F51" s="102">
        <v>4.0</v>
      </c>
      <c r="G51" s="174"/>
      <c r="H51" s="68"/>
      <c r="I51" s="68"/>
      <c r="J51" s="68"/>
      <c r="K51" s="68"/>
      <c r="L51" s="68"/>
      <c r="M51" s="68"/>
      <c r="N51" s="67"/>
      <c r="O51" s="67"/>
      <c r="P51" s="67"/>
      <c r="Q51" s="67"/>
      <c r="R51" s="67"/>
      <c r="S51" s="67"/>
      <c r="T51" s="67"/>
      <c r="U51" s="67"/>
      <c r="V51" s="67"/>
      <c r="W51" s="67"/>
      <c r="X51" s="67"/>
      <c r="Y51" s="67"/>
      <c r="Z51" s="67"/>
      <c r="AA51" s="67"/>
      <c r="AB51" s="67"/>
      <c r="AC51" s="104"/>
      <c r="AD51" s="105"/>
      <c r="AE51" s="105"/>
      <c r="AF51" s="106"/>
    </row>
    <row r="52" ht="12.75" customHeight="1">
      <c r="A52" s="1"/>
      <c r="B52" s="67"/>
      <c r="C52" s="136"/>
      <c r="D52" s="137"/>
      <c r="E52" s="252"/>
      <c r="F52" s="68"/>
      <c r="G52" s="138"/>
      <c r="H52" s="68"/>
      <c r="I52" s="68"/>
      <c r="J52" s="68"/>
      <c r="K52" s="68"/>
      <c r="L52" s="68"/>
      <c r="M52" s="68"/>
      <c r="N52" s="67"/>
      <c r="O52" s="67"/>
      <c r="P52" s="67"/>
      <c r="Q52" s="67"/>
      <c r="R52" s="67"/>
      <c r="S52" s="67"/>
      <c r="T52" s="67"/>
      <c r="U52" s="67"/>
      <c r="V52" s="67"/>
      <c r="W52" s="67"/>
      <c r="X52" s="67"/>
      <c r="Y52" s="67"/>
      <c r="Z52" s="67"/>
      <c r="AA52" s="67"/>
      <c r="AB52" s="67"/>
      <c r="AC52" s="67"/>
      <c r="AD52" s="67"/>
      <c r="AE52" s="67"/>
      <c r="AF52" s="67"/>
    </row>
    <row r="53" ht="34.5" customHeight="1">
      <c r="A53" s="1"/>
      <c r="B53" s="68" t="s">
        <v>58</v>
      </c>
      <c r="D53" s="137" t="s">
        <v>34</v>
      </c>
      <c r="E53" s="252" t="s">
        <v>35</v>
      </c>
      <c r="F53" s="68" t="s">
        <v>36</v>
      </c>
      <c r="G53" s="138" t="s">
        <v>37</v>
      </c>
      <c r="H53" s="68"/>
      <c r="I53" s="68"/>
      <c r="J53" s="68"/>
      <c r="K53" s="68"/>
      <c r="L53" s="68"/>
      <c r="M53" s="68"/>
      <c r="N53" s="67"/>
      <c r="O53" s="67"/>
      <c r="P53" s="67"/>
      <c r="Q53" s="67"/>
      <c r="R53" s="67"/>
      <c r="S53" s="67"/>
      <c r="T53" s="67"/>
      <c r="U53" s="67"/>
      <c r="V53" s="67"/>
      <c r="W53" s="67"/>
      <c r="X53" s="67"/>
      <c r="Y53" s="67"/>
      <c r="Z53" s="67"/>
      <c r="AA53" s="67"/>
      <c r="AB53" s="67"/>
      <c r="AC53" s="67" t="s">
        <v>43</v>
      </c>
      <c r="AD53" s="67"/>
      <c r="AE53" s="67"/>
      <c r="AF53" s="67"/>
    </row>
    <row r="54" ht="12.75" customHeight="1">
      <c r="A54" s="1"/>
      <c r="B54" s="232">
        <v>1.0</v>
      </c>
      <c r="C54" s="233" t="s">
        <v>137</v>
      </c>
      <c r="D54" s="234"/>
      <c r="E54" s="235">
        <v>3.0</v>
      </c>
      <c r="F54" s="235">
        <v>5.0</v>
      </c>
      <c r="G54" s="237"/>
      <c r="H54" s="68"/>
      <c r="I54" s="68"/>
      <c r="J54" s="68"/>
      <c r="K54" s="68"/>
      <c r="L54" s="68"/>
      <c r="M54" s="68"/>
      <c r="N54" s="67"/>
      <c r="O54" s="67"/>
      <c r="P54" s="67"/>
      <c r="Q54" s="67"/>
      <c r="R54" s="67"/>
      <c r="S54" s="67"/>
      <c r="T54" s="67"/>
      <c r="U54" s="67"/>
      <c r="V54" s="67"/>
      <c r="W54" s="67"/>
      <c r="X54" s="67"/>
      <c r="Y54" s="67"/>
      <c r="Z54" s="67"/>
      <c r="AA54" s="67"/>
      <c r="AB54" s="67"/>
      <c r="AC54" s="76"/>
      <c r="AD54" s="77"/>
      <c r="AE54" s="77"/>
      <c r="AF54" s="78"/>
    </row>
    <row r="55" ht="12.75" customHeight="1">
      <c r="A55" s="1"/>
      <c r="B55" s="115">
        <v>2.0</v>
      </c>
      <c r="C55" s="121" t="s">
        <v>117</v>
      </c>
      <c r="D55" s="117">
        <v>0.55</v>
      </c>
      <c r="E55" s="118">
        <v>3.0</v>
      </c>
      <c r="F55" s="118">
        <v>1.0</v>
      </c>
      <c r="G55" s="120">
        <f>'Start Here'!$F$23*D55</f>
        <v>55</v>
      </c>
      <c r="H55" s="68"/>
      <c r="I55" s="68"/>
      <c r="J55" s="68"/>
      <c r="K55" s="68"/>
      <c r="L55" s="68">
        <f t="shared" ref="L55:L58" si="57">E55*F55</f>
        <v>3</v>
      </c>
      <c r="M55" s="68">
        <f t="shared" ref="M55:M58" si="58">L55*G55</f>
        <v>165</v>
      </c>
      <c r="N55" s="67"/>
      <c r="O55" s="67"/>
      <c r="P55" s="67"/>
      <c r="Q55" s="67"/>
      <c r="R55" s="67"/>
      <c r="S55" s="67"/>
      <c r="T55" s="67"/>
      <c r="U55" s="67"/>
      <c r="V55" s="67"/>
      <c r="W55" s="67"/>
      <c r="X55" s="114">
        <f t="shared" ref="X55:X58" si="59">IF(ISNUMBER(SEARCH("deadlift",$C55)),IF($D55&gt;=0.5,IF($D55&lt;0.6,$E55*$F55," ")," ")," ")</f>
        <v>3</v>
      </c>
      <c r="Y55" s="114" t="str">
        <f t="shared" ref="Y55:Y58" si="60">IF(ISNUMBER(SEARCH("deadlift",$C55)),IF($D55&gt;=0.6,IF($D55&lt;0.7,$E55*$F55," ")," ")," ")</f>
        <v> </v>
      </c>
      <c r="Z55" s="114" t="str">
        <f t="shared" ref="Z55:Z58" si="61">IF(ISNUMBER(SEARCH("deadlift",$C55)),IF($D55&gt;=0.7,IF($D55&lt;0.8,$E55*$F55," ")," ")," ")</f>
        <v> </v>
      </c>
      <c r="AA55" s="114" t="str">
        <f t="shared" ref="AA55:AA58" si="62">IF(ISNUMBER(SEARCH("deadlift",$C55)),IF($D55&gt;=0.8,IF($D55&lt;0.9,$E55*$F55," ")," ")," ")</f>
        <v> </v>
      </c>
      <c r="AB55" s="114" t="str">
        <f t="shared" ref="AB55:AB58" si="63">IF(ISNUMBER(SEARCH("deadlift",$C55)),IF($D55&gt;=0.9,$E55*$F55," ")," ")</f>
        <v> </v>
      </c>
      <c r="AC55" s="85"/>
      <c r="AF55" s="86"/>
    </row>
    <row r="56" ht="12.75" customHeight="1">
      <c r="A56" s="1"/>
      <c r="B56" s="115"/>
      <c r="C56" s="122" t="s">
        <v>117</v>
      </c>
      <c r="D56" s="117">
        <v>0.65</v>
      </c>
      <c r="E56" s="118">
        <v>3.0</v>
      </c>
      <c r="F56" s="118">
        <v>1.0</v>
      </c>
      <c r="G56" s="120">
        <f>'Start Here'!$F$23*D56</f>
        <v>65</v>
      </c>
      <c r="H56" s="68"/>
      <c r="I56" s="68"/>
      <c r="J56" s="68"/>
      <c r="K56" s="68"/>
      <c r="L56" s="68">
        <f t="shared" si="57"/>
        <v>3</v>
      </c>
      <c r="M56" s="68">
        <f t="shared" si="58"/>
        <v>195</v>
      </c>
      <c r="N56" s="67"/>
      <c r="O56" s="67"/>
      <c r="P56" s="67"/>
      <c r="Q56" s="67"/>
      <c r="R56" s="67"/>
      <c r="S56" s="67"/>
      <c r="T56" s="67"/>
      <c r="U56" s="67"/>
      <c r="V56" s="67"/>
      <c r="W56" s="67"/>
      <c r="X56" s="114" t="str">
        <f t="shared" si="59"/>
        <v> </v>
      </c>
      <c r="Y56" s="114">
        <f t="shared" si="60"/>
        <v>3</v>
      </c>
      <c r="Z56" s="114" t="str">
        <f t="shared" si="61"/>
        <v> </v>
      </c>
      <c r="AA56" s="114" t="str">
        <f t="shared" si="62"/>
        <v> </v>
      </c>
      <c r="AB56" s="114" t="str">
        <f t="shared" si="63"/>
        <v> </v>
      </c>
      <c r="AC56" s="85"/>
      <c r="AF56" s="86"/>
    </row>
    <row r="57" ht="12.75" customHeight="1">
      <c r="A57" s="1"/>
      <c r="B57" s="115"/>
      <c r="C57" s="122" t="s">
        <v>117</v>
      </c>
      <c r="D57" s="117">
        <v>0.75</v>
      </c>
      <c r="E57" s="118">
        <v>3.0</v>
      </c>
      <c r="F57" s="118">
        <v>1.0</v>
      </c>
      <c r="G57" s="120">
        <f>'Start Here'!$F$23*D57</f>
        <v>75</v>
      </c>
      <c r="H57" s="68"/>
      <c r="I57" s="68"/>
      <c r="J57" s="68"/>
      <c r="K57" s="68"/>
      <c r="L57" s="68">
        <f t="shared" si="57"/>
        <v>3</v>
      </c>
      <c r="M57" s="68">
        <f t="shared" si="58"/>
        <v>225</v>
      </c>
      <c r="N57" s="67"/>
      <c r="O57" s="67"/>
      <c r="P57" s="67"/>
      <c r="Q57" s="67"/>
      <c r="R57" s="67"/>
      <c r="S57" s="67"/>
      <c r="T57" s="67"/>
      <c r="U57" s="67"/>
      <c r="V57" s="67"/>
      <c r="W57" s="67"/>
      <c r="X57" s="114" t="str">
        <f t="shared" si="59"/>
        <v> </v>
      </c>
      <c r="Y57" s="114" t="str">
        <f t="shared" si="60"/>
        <v> </v>
      </c>
      <c r="Z57" s="114">
        <f t="shared" si="61"/>
        <v>3</v>
      </c>
      <c r="AA57" s="114" t="str">
        <f t="shared" si="62"/>
        <v> </v>
      </c>
      <c r="AB57" s="114" t="str">
        <f t="shared" si="63"/>
        <v> </v>
      </c>
      <c r="AC57" s="85"/>
      <c r="AF57" s="86"/>
    </row>
    <row r="58" ht="12.75" customHeight="1">
      <c r="A58" s="1"/>
      <c r="B58" s="115"/>
      <c r="C58" s="122" t="s">
        <v>117</v>
      </c>
      <c r="D58" s="117">
        <v>0.85</v>
      </c>
      <c r="E58" s="118">
        <v>2.0</v>
      </c>
      <c r="F58" s="118">
        <v>3.0</v>
      </c>
      <c r="G58" s="120">
        <f>'Start Here'!$F$23*D58</f>
        <v>85</v>
      </c>
      <c r="H58" s="68"/>
      <c r="I58" s="68"/>
      <c r="J58" s="68"/>
      <c r="K58" s="68"/>
      <c r="L58" s="68">
        <f t="shared" si="57"/>
        <v>6</v>
      </c>
      <c r="M58" s="68">
        <f t="shared" si="58"/>
        <v>510</v>
      </c>
      <c r="N58" s="67"/>
      <c r="O58" s="67"/>
      <c r="P58" s="67"/>
      <c r="Q58" s="67"/>
      <c r="R58" s="67"/>
      <c r="S58" s="67"/>
      <c r="T58" s="67"/>
      <c r="U58" s="67"/>
      <c r="V58" s="67"/>
      <c r="W58" s="67"/>
      <c r="X58" s="114" t="str">
        <f t="shared" si="59"/>
        <v> </v>
      </c>
      <c r="Y58" s="114" t="str">
        <f t="shared" si="60"/>
        <v> </v>
      </c>
      <c r="Z58" s="114" t="str">
        <f t="shared" si="61"/>
        <v> </v>
      </c>
      <c r="AA58" s="114">
        <f t="shared" si="62"/>
        <v>6</v>
      </c>
      <c r="AB58" s="114" t="str">
        <f t="shared" si="63"/>
        <v> </v>
      </c>
      <c r="AC58" s="85"/>
      <c r="AF58" s="86"/>
    </row>
    <row r="59" ht="12.75" customHeight="1">
      <c r="A59" s="1"/>
      <c r="B59" s="96">
        <v>3.0</v>
      </c>
      <c r="C59" s="167" t="s">
        <v>69</v>
      </c>
      <c r="D59" s="168"/>
      <c r="E59" s="98">
        <v>6.0</v>
      </c>
      <c r="F59" s="98">
        <v>4.0</v>
      </c>
      <c r="G59" s="170"/>
      <c r="H59" s="68"/>
      <c r="I59" s="68"/>
      <c r="J59" s="68"/>
      <c r="K59" s="68"/>
      <c r="L59" s="68"/>
      <c r="M59" s="68"/>
      <c r="N59" s="67"/>
      <c r="O59" s="67"/>
      <c r="P59" s="67"/>
      <c r="Q59" s="67"/>
      <c r="R59" s="67"/>
      <c r="S59" s="67"/>
      <c r="T59" s="67"/>
      <c r="U59" s="67"/>
      <c r="V59" s="67"/>
      <c r="W59" s="67"/>
      <c r="X59" s="67"/>
      <c r="Y59" s="67"/>
      <c r="Z59" s="67"/>
      <c r="AA59" s="67"/>
      <c r="AB59" s="67"/>
      <c r="AC59" s="85"/>
      <c r="AF59" s="86"/>
    </row>
    <row r="60" ht="12.75" customHeight="1">
      <c r="A60" s="1"/>
      <c r="B60" s="135">
        <v>4.0</v>
      </c>
      <c r="C60" s="136" t="s">
        <v>95</v>
      </c>
      <c r="D60" s="137"/>
      <c r="E60" s="68">
        <v>6.0</v>
      </c>
      <c r="F60" s="68">
        <v>4.0</v>
      </c>
      <c r="G60" s="139"/>
      <c r="H60" s="68"/>
      <c r="I60" s="68"/>
      <c r="J60" s="68"/>
      <c r="K60" s="68"/>
      <c r="L60" s="68"/>
      <c r="M60" s="68"/>
      <c r="N60" s="67"/>
      <c r="O60" s="67"/>
      <c r="P60" s="67"/>
      <c r="Q60" s="67"/>
      <c r="R60" s="67"/>
      <c r="S60" s="67"/>
      <c r="T60" s="67"/>
      <c r="U60" s="67"/>
      <c r="V60" s="67"/>
      <c r="W60" s="67"/>
      <c r="X60" s="67"/>
      <c r="Y60" s="67"/>
      <c r="Z60" s="67"/>
      <c r="AA60" s="67"/>
      <c r="AB60" s="67"/>
      <c r="AC60" s="85"/>
      <c r="AF60" s="86"/>
    </row>
    <row r="61" ht="12.75" customHeight="1">
      <c r="A61" s="1"/>
      <c r="B61" s="175">
        <v>5.0</v>
      </c>
      <c r="C61" s="176" t="s">
        <v>112</v>
      </c>
      <c r="D61" s="177"/>
      <c r="E61" s="178">
        <v>8.0</v>
      </c>
      <c r="F61" s="178">
        <v>4.0</v>
      </c>
      <c r="G61" s="180"/>
      <c r="H61" s="68"/>
      <c r="I61" s="68"/>
      <c r="J61" s="68"/>
      <c r="K61" s="68"/>
      <c r="L61" s="68"/>
      <c r="M61" s="68"/>
      <c r="N61" s="67"/>
      <c r="O61" s="67"/>
      <c r="P61" s="67"/>
      <c r="Q61" s="67"/>
      <c r="R61" s="67"/>
      <c r="S61" s="67"/>
      <c r="T61" s="67"/>
      <c r="U61" s="67"/>
      <c r="V61" s="67"/>
      <c r="W61" s="67"/>
      <c r="X61" s="67"/>
      <c r="Y61" s="67"/>
      <c r="Z61" s="67"/>
      <c r="AA61" s="67"/>
      <c r="AB61" s="67"/>
      <c r="AC61" s="104"/>
      <c r="AD61" s="105"/>
      <c r="AE61" s="105"/>
      <c r="AF61" s="106"/>
    </row>
    <row r="62" ht="12.75" customHeight="1">
      <c r="A62" s="181"/>
      <c r="B62" s="142"/>
      <c r="C62" s="182"/>
      <c r="D62" s="183"/>
      <c r="E62" s="254"/>
      <c r="F62" s="143"/>
      <c r="G62" s="184"/>
      <c r="H62" s="143">
        <f t="shared" ref="H62:AB62" si="64">SUM(H7:H61)</f>
        <v>40</v>
      </c>
      <c r="I62" s="143">
        <f t="shared" si="64"/>
        <v>2775</v>
      </c>
      <c r="J62" s="143">
        <f t="shared" si="64"/>
        <v>85</v>
      </c>
      <c r="K62" s="254">
        <f t="shared" si="64"/>
        <v>5960</v>
      </c>
      <c r="L62" s="143">
        <f t="shared" si="64"/>
        <v>38</v>
      </c>
      <c r="M62" s="143">
        <f t="shared" si="64"/>
        <v>2685</v>
      </c>
      <c r="N62" s="143">
        <f t="shared" si="64"/>
        <v>8</v>
      </c>
      <c r="O62" s="143">
        <f t="shared" si="64"/>
        <v>7</v>
      </c>
      <c r="P62" s="143">
        <f t="shared" si="64"/>
        <v>6</v>
      </c>
      <c r="Q62" s="143">
        <f t="shared" si="64"/>
        <v>19</v>
      </c>
      <c r="R62" s="143">
        <f t="shared" si="64"/>
        <v>0</v>
      </c>
      <c r="S62" s="184">
        <f t="shared" si="64"/>
        <v>18</v>
      </c>
      <c r="T62" s="184">
        <f t="shared" si="64"/>
        <v>15</v>
      </c>
      <c r="U62" s="184">
        <f t="shared" si="64"/>
        <v>12</v>
      </c>
      <c r="V62" s="184">
        <f t="shared" si="64"/>
        <v>40</v>
      </c>
      <c r="W62" s="184">
        <f t="shared" si="64"/>
        <v>0</v>
      </c>
      <c r="X62" s="143">
        <f t="shared" si="64"/>
        <v>6</v>
      </c>
      <c r="Y62" s="143">
        <f t="shared" si="64"/>
        <v>9</v>
      </c>
      <c r="Z62" s="143">
        <f t="shared" si="64"/>
        <v>10</v>
      </c>
      <c r="AA62" s="143">
        <f t="shared" si="64"/>
        <v>10</v>
      </c>
      <c r="AB62" s="143">
        <f t="shared" si="64"/>
        <v>3</v>
      </c>
      <c r="AC62" s="142"/>
      <c r="AD62" s="142"/>
      <c r="AE62" s="142"/>
      <c r="AF62" s="142"/>
    </row>
    <row r="63" ht="45.75" customHeight="1">
      <c r="A63" s="1"/>
      <c r="B63" s="66" t="s">
        <v>65</v>
      </c>
      <c r="H63" s="68"/>
      <c r="I63" s="68"/>
      <c r="J63" s="68"/>
      <c r="K63" s="68"/>
      <c r="L63" s="68"/>
      <c r="M63" s="68"/>
      <c r="N63" s="67"/>
      <c r="O63" s="67"/>
      <c r="P63" s="67"/>
      <c r="Q63" s="67"/>
      <c r="R63" s="67"/>
      <c r="S63" s="67"/>
      <c r="T63" s="67"/>
      <c r="U63" s="67"/>
      <c r="V63" s="67"/>
      <c r="W63" s="67"/>
      <c r="X63" s="67"/>
      <c r="Y63" s="67"/>
      <c r="Z63" s="67"/>
      <c r="AA63" s="67"/>
      <c r="AB63" s="67"/>
      <c r="AC63" s="67"/>
      <c r="AD63" s="67"/>
      <c r="AE63" s="67"/>
      <c r="AF63" s="67"/>
    </row>
    <row r="64" ht="36.75" customHeight="1">
      <c r="A64" s="1"/>
      <c r="B64" s="68" t="s">
        <v>33</v>
      </c>
      <c r="D64" s="137" t="s">
        <v>34</v>
      </c>
      <c r="E64" s="252" t="s">
        <v>35</v>
      </c>
      <c r="F64" s="68" t="s">
        <v>36</v>
      </c>
      <c r="G64" s="138" t="s">
        <v>37</v>
      </c>
      <c r="H64" s="68"/>
      <c r="I64" s="68"/>
      <c r="J64" s="68"/>
      <c r="K64" s="68"/>
      <c r="L64" s="68"/>
      <c r="M64" s="68"/>
      <c r="N64" s="67"/>
      <c r="O64" s="67"/>
      <c r="P64" s="67"/>
      <c r="Q64" s="67"/>
      <c r="R64" s="67"/>
      <c r="S64" s="67"/>
      <c r="T64" s="67"/>
      <c r="U64" s="67"/>
      <c r="V64" s="67"/>
      <c r="W64" s="67"/>
      <c r="X64" s="67"/>
      <c r="Y64" s="67"/>
      <c r="Z64" s="67"/>
      <c r="AA64" s="67"/>
      <c r="AB64" s="67"/>
      <c r="AC64" s="67" t="s">
        <v>43</v>
      </c>
      <c r="AD64" s="67"/>
      <c r="AE64" s="67"/>
      <c r="AF64" s="67"/>
    </row>
    <row r="65" ht="12.75" customHeight="1">
      <c r="A65" s="1"/>
      <c r="B65" s="69">
        <v>1.0</v>
      </c>
      <c r="C65" s="70" t="s">
        <v>46</v>
      </c>
      <c r="D65" s="71">
        <v>0.5</v>
      </c>
      <c r="E65" s="145">
        <v>3.0</v>
      </c>
      <c r="F65" s="145">
        <v>1.0</v>
      </c>
      <c r="G65" s="73">
        <f>'Start Here'!$F$21*D65</f>
        <v>50</v>
      </c>
      <c r="H65" s="68">
        <f t="shared" ref="H65:H68" si="65">E65*F65</f>
        <v>3</v>
      </c>
      <c r="I65" s="252">
        <f t="shared" ref="I65:I68" si="66">H65*G65</f>
        <v>150</v>
      </c>
      <c r="J65" s="68"/>
      <c r="K65" s="68"/>
      <c r="L65" s="68"/>
      <c r="M65" s="68"/>
      <c r="N65" s="75">
        <f t="shared" ref="N65:N68" si="67">IF(ISNUMBER(SEARCH("squat",$C65)),IF($D65&gt;=0.5,IF($D65&lt;0.6,$E65*$F65," ")," ")," ")</f>
        <v>3</v>
      </c>
      <c r="O65" s="75" t="str">
        <f t="shared" ref="O65:O68" si="68">IF(ISNUMBER(SEARCH("squat",$C65)),IF($D65&gt;=0.6,IF($D65&lt;0.7,$E65*$F65," ")," ")," ")</f>
        <v> </v>
      </c>
      <c r="P65" s="75" t="str">
        <f t="shared" ref="P65:P68" si="69">IF(ISNUMBER(SEARCH("squat",$C65)),IF($D65&gt;=0.7,IF($D65&lt;0.8,$E65*$F65," ")," ")," ")</f>
        <v> </v>
      </c>
      <c r="Q65" s="75" t="str">
        <f t="shared" ref="Q65:Q68" si="70">IF(ISNUMBER(SEARCH("squat",$C65)),IF($D65&gt;=0.8,IF($D65&lt;0.9,$E65*$F65," ")," ")," ")</f>
        <v> </v>
      </c>
      <c r="R65" s="75" t="str">
        <f t="shared" ref="R65:R68" si="71">IF(ISNUMBER(SEARCH("squat",$C65)),IF($D65&gt;=0.9,$E65*$F65," ")," ")</f>
        <v> </v>
      </c>
      <c r="S65" s="67"/>
      <c r="T65" s="67"/>
      <c r="U65" s="67"/>
      <c r="V65" s="67"/>
      <c r="W65" s="67"/>
      <c r="X65" s="67"/>
      <c r="Y65" s="67"/>
      <c r="Z65" s="67"/>
      <c r="AA65" s="67"/>
      <c r="AB65" s="67"/>
      <c r="AC65" s="76"/>
      <c r="AD65" s="77"/>
      <c r="AE65" s="77"/>
      <c r="AF65" s="78"/>
    </row>
    <row r="66" ht="12.75" customHeight="1">
      <c r="A66" s="1"/>
      <c r="B66" s="79"/>
      <c r="C66" s="80" t="s">
        <v>46</v>
      </c>
      <c r="D66" s="81">
        <v>0.6</v>
      </c>
      <c r="E66" s="82">
        <v>3.0</v>
      </c>
      <c r="F66" s="82">
        <v>1.0</v>
      </c>
      <c r="G66" s="84">
        <f>'Start Here'!$F$21*D66</f>
        <v>60</v>
      </c>
      <c r="H66" s="68">
        <f t="shared" si="65"/>
        <v>3</v>
      </c>
      <c r="I66" s="252">
        <f t="shared" si="66"/>
        <v>180</v>
      </c>
      <c r="J66" s="68"/>
      <c r="K66" s="68"/>
      <c r="L66" s="68"/>
      <c r="M66" s="68"/>
      <c r="N66" s="75" t="str">
        <f t="shared" si="67"/>
        <v> </v>
      </c>
      <c r="O66" s="75">
        <f t="shared" si="68"/>
        <v>3</v>
      </c>
      <c r="P66" s="75" t="str">
        <f t="shared" si="69"/>
        <v> </v>
      </c>
      <c r="Q66" s="75" t="str">
        <f t="shared" si="70"/>
        <v> </v>
      </c>
      <c r="R66" s="75" t="str">
        <f t="shared" si="71"/>
        <v> </v>
      </c>
      <c r="S66" s="67"/>
      <c r="T66" s="67"/>
      <c r="U66" s="67"/>
      <c r="V66" s="67"/>
      <c r="W66" s="67"/>
      <c r="X66" s="67"/>
      <c r="Y66" s="67"/>
      <c r="Z66" s="67"/>
      <c r="AA66" s="67"/>
      <c r="AB66" s="67"/>
      <c r="AC66" s="85"/>
      <c r="AF66" s="86"/>
    </row>
    <row r="67" ht="12.75" customHeight="1">
      <c r="A67" s="1"/>
      <c r="B67" s="79"/>
      <c r="C67" s="80" t="s">
        <v>46</v>
      </c>
      <c r="D67" s="81">
        <v>0.7</v>
      </c>
      <c r="E67" s="82">
        <v>3.0</v>
      </c>
      <c r="F67" s="82">
        <v>1.0</v>
      </c>
      <c r="G67" s="84">
        <f>'Start Here'!$F$21*D67</f>
        <v>70</v>
      </c>
      <c r="H67" s="68">
        <f t="shared" si="65"/>
        <v>3</v>
      </c>
      <c r="I67" s="252">
        <f t="shared" si="66"/>
        <v>210</v>
      </c>
      <c r="J67" s="68"/>
      <c r="K67" s="68"/>
      <c r="L67" s="68"/>
      <c r="M67" s="68"/>
      <c r="N67" s="75" t="str">
        <f t="shared" si="67"/>
        <v> </v>
      </c>
      <c r="O67" s="75" t="str">
        <f t="shared" si="68"/>
        <v> </v>
      </c>
      <c r="P67" s="75">
        <f t="shared" si="69"/>
        <v>3</v>
      </c>
      <c r="Q67" s="75" t="str">
        <f t="shared" si="70"/>
        <v> </v>
      </c>
      <c r="R67" s="75" t="str">
        <f t="shared" si="71"/>
        <v> </v>
      </c>
      <c r="S67" s="67"/>
      <c r="T67" s="67"/>
      <c r="U67" s="67"/>
      <c r="V67" s="67"/>
      <c r="W67" s="67"/>
      <c r="X67" s="67"/>
      <c r="Y67" s="67"/>
      <c r="Z67" s="67"/>
      <c r="AA67" s="67"/>
      <c r="AB67" s="67"/>
      <c r="AC67" s="85"/>
      <c r="AF67" s="86"/>
    </row>
    <row r="68" ht="12.75" customHeight="1">
      <c r="A68" s="1"/>
      <c r="B68" s="79"/>
      <c r="C68" s="80" t="s">
        <v>46</v>
      </c>
      <c r="D68" s="81">
        <v>0.75</v>
      </c>
      <c r="E68" s="82">
        <v>2.0</v>
      </c>
      <c r="F68" s="82">
        <v>3.0</v>
      </c>
      <c r="G68" s="84">
        <f>'Start Here'!$F$21*D68</f>
        <v>75</v>
      </c>
      <c r="H68" s="68">
        <f t="shared" si="65"/>
        <v>6</v>
      </c>
      <c r="I68" s="252">
        <f t="shared" si="66"/>
        <v>450</v>
      </c>
      <c r="J68" s="68"/>
      <c r="K68" s="68"/>
      <c r="L68" s="68"/>
      <c r="M68" s="68"/>
      <c r="N68" s="75" t="str">
        <f t="shared" si="67"/>
        <v> </v>
      </c>
      <c r="O68" s="75" t="str">
        <f t="shared" si="68"/>
        <v> </v>
      </c>
      <c r="P68" s="75">
        <f t="shared" si="69"/>
        <v>6</v>
      </c>
      <c r="Q68" s="75" t="str">
        <f t="shared" si="70"/>
        <v> </v>
      </c>
      <c r="R68" s="75" t="str">
        <f t="shared" si="71"/>
        <v> </v>
      </c>
      <c r="S68" s="67"/>
      <c r="T68" s="67"/>
      <c r="U68" s="67"/>
      <c r="V68" s="67"/>
      <c r="W68" s="67"/>
      <c r="X68" s="67"/>
      <c r="Y68" s="67"/>
      <c r="Z68" s="67"/>
      <c r="AA68" s="67"/>
      <c r="AB68" s="67"/>
      <c r="AC68" s="85"/>
      <c r="AF68" s="86"/>
    </row>
    <row r="69" ht="12.75" customHeight="1">
      <c r="A69" s="1"/>
      <c r="B69" s="87">
        <v>2.0</v>
      </c>
      <c r="C69" s="88" t="s">
        <v>45</v>
      </c>
      <c r="D69" s="89">
        <v>0.5</v>
      </c>
      <c r="E69" s="90">
        <v>3.0</v>
      </c>
      <c r="F69" s="90">
        <v>1.0</v>
      </c>
      <c r="G69" s="92">
        <f>'Start Here'!$F$22*D69</f>
        <v>50</v>
      </c>
      <c r="H69" s="68"/>
      <c r="I69" s="68"/>
      <c r="J69" s="68">
        <f t="shared" ref="J69:J72" si="72">E69*F69</f>
        <v>3</v>
      </c>
      <c r="K69" s="252">
        <f t="shared" ref="K69:K72" si="73">J69*G69</f>
        <v>150</v>
      </c>
      <c r="L69" s="68"/>
      <c r="M69" s="68"/>
      <c r="N69" s="67"/>
      <c r="O69" s="67"/>
      <c r="P69" s="67"/>
      <c r="Q69" s="67"/>
      <c r="R69" s="67"/>
      <c r="S69" s="93">
        <f t="shared" ref="S69:S72" si="74">IF(ISNUMBER(SEARCH("bench",$C69)),IF($D69&gt;=0.5,IF($D69&lt;0.6,$E69*$F69," ")," ")," ")</f>
        <v>3</v>
      </c>
      <c r="T69" s="93" t="str">
        <f t="shared" ref="T69:T72" si="75">IF(ISNUMBER(SEARCH("bench",$C69)),IF($D69&gt;=0.6,IF($D69&lt;0.7,$E69*$F69," ")," ")," ")</f>
        <v> </v>
      </c>
      <c r="U69" s="93" t="str">
        <f t="shared" ref="U69:U72" si="76">IF(ISNUMBER(SEARCH("bench",$C69)),IF($D69&gt;=0.7,IF($D69&lt;0.8,$E69*$F69," ")," ")," ")</f>
        <v> </v>
      </c>
      <c r="V69" s="93" t="str">
        <f t="shared" ref="V69:V72" si="77">IF(ISNUMBER(SEARCH("bench",$C69)),IF($D69&gt;=0.8,IF($D69&lt;0.9,$E69*$F69," ")," ")," ")</f>
        <v> </v>
      </c>
      <c r="W69" s="93" t="str">
        <f t="shared" ref="W69:W72" si="78">IF(ISNUMBER(SEARCH("bench",$C69)),IF($D69&gt;=0.9,$E69*$F69," ")," ")</f>
        <v> </v>
      </c>
      <c r="X69" s="67"/>
      <c r="Y69" s="67"/>
      <c r="Z69" s="67"/>
      <c r="AA69" s="67"/>
      <c r="AB69" s="67"/>
      <c r="AC69" s="85"/>
      <c r="AF69" s="86"/>
    </row>
    <row r="70" ht="12.75" customHeight="1">
      <c r="A70" s="1"/>
      <c r="B70" s="87"/>
      <c r="C70" s="94" t="s">
        <v>45</v>
      </c>
      <c r="D70" s="89">
        <v>0.6</v>
      </c>
      <c r="E70" s="90">
        <v>3.0</v>
      </c>
      <c r="F70" s="90">
        <v>1.0</v>
      </c>
      <c r="G70" s="92">
        <f>'Start Here'!$F$22*D70</f>
        <v>60</v>
      </c>
      <c r="H70" s="68"/>
      <c r="I70" s="68"/>
      <c r="J70" s="68">
        <f t="shared" si="72"/>
        <v>3</v>
      </c>
      <c r="K70" s="252">
        <f t="shared" si="73"/>
        <v>180</v>
      </c>
      <c r="L70" s="68"/>
      <c r="M70" s="68"/>
      <c r="N70" s="67"/>
      <c r="O70" s="67"/>
      <c r="P70" s="67"/>
      <c r="Q70" s="67"/>
      <c r="R70" s="67"/>
      <c r="S70" s="93" t="str">
        <f t="shared" si="74"/>
        <v> </v>
      </c>
      <c r="T70" s="93">
        <f t="shared" si="75"/>
        <v>3</v>
      </c>
      <c r="U70" s="93" t="str">
        <f t="shared" si="76"/>
        <v> </v>
      </c>
      <c r="V70" s="93" t="str">
        <f t="shared" si="77"/>
        <v> </v>
      </c>
      <c r="W70" s="93" t="str">
        <f t="shared" si="78"/>
        <v> </v>
      </c>
      <c r="X70" s="67"/>
      <c r="Y70" s="67"/>
      <c r="Z70" s="67"/>
      <c r="AA70" s="67"/>
      <c r="AB70" s="67"/>
      <c r="AC70" s="85"/>
      <c r="AF70" s="86"/>
    </row>
    <row r="71" ht="12.75" customHeight="1">
      <c r="A71" s="1"/>
      <c r="B71" s="87"/>
      <c r="C71" s="94" t="s">
        <v>45</v>
      </c>
      <c r="D71" s="89">
        <v>0.7</v>
      </c>
      <c r="E71" s="90">
        <v>3.0</v>
      </c>
      <c r="F71" s="90">
        <v>1.0</v>
      </c>
      <c r="G71" s="92">
        <f>'Start Here'!$F$22*D71</f>
        <v>70</v>
      </c>
      <c r="H71" s="68"/>
      <c r="I71" s="68"/>
      <c r="J71" s="68">
        <f t="shared" si="72"/>
        <v>3</v>
      </c>
      <c r="K71" s="252">
        <f t="shared" si="73"/>
        <v>210</v>
      </c>
      <c r="L71" s="68"/>
      <c r="M71" s="68"/>
      <c r="N71" s="67"/>
      <c r="O71" s="67"/>
      <c r="P71" s="67"/>
      <c r="Q71" s="67"/>
      <c r="R71" s="67"/>
      <c r="S71" s="93" t="str">
        <f t="shared" si="74"/>
        <v> </v>
      </c>
      <c r="T71" s="93" t="str">
        <f t="shared" si="75"/>
        <v> </v>
      </c>
      <c r="U71" s="93">
        <f t="shared" si="76"/>
        <v>3</v>
      </c>
      <c r="V71" s="93" t="str">
        <f t="shared" si="77"/>
        <v> </v>
      </c>
      <c r="W71" s="93" t="str">
        <f t="shared" si="78"/>
        <v> </v>
      </c>
      <c r="X71" s="67"/>
      <c r="Y71" s="67"/>
      <c r="Z71" s="67"/>
      <c r="AA71" s="67"/>
      <c r="AB71" s="67"/>
      <c r="AC71" s="85"/>
      <c r="AF71" s="86"/>
    </row>
    <row r="72" ht="12.75" customHeight="1">
      <c r="A72" s="1"/>
      <c r="B72" s="87"/>
      <c r="C72" s="94" t="s">
        <v>45</v>
      </c>
      <c r="D72" s="89">
        <v>0.75</v>
      </c>
      <c r="E72" s="90">
        <v>2.0</v>
      </c>
      <c r="F72" s="90">
        <v>3.0</v>
      </c>
      <c r="G72" s="92">
        <f>'Start Here'!$F$22*D72</f>
        <v>75</v>
      </c>
      <c r="H72" s="68"/>
      <c r="I72" s="68"/>
      <c r="J72" s="68">
        <f t="shared" si="72"/>
        <v>6</v>
      </c>
      <c r="K72" s="252">
        <f t="shared" si="73"/>
        <v>450</v>
      </c>
      <c r="L72" s="68"/>
      <c r="M72" s="68"/>
      <c r="N72" s="67"/>
      <c r="O72" s="67"/>
      <c r="P72" s="67"/>
      <c r="Q72" s="67"/>
      <c r="R72" s="67"/>
      <c r="S72" s="93" t="str">
        <f t="shared" si="74"/>
        <v> </v>
      </c>
      <c r="T72" s="93" t="str">
        <f t="shared" si="75"/>
        <v> </v>
      </c>
      <c r="U72" s="93">
        <f t="shared" si="76"/>
        <v>6</v>
      </c>
      <c r="V72" s="93" t="str">
        <f t="shared" si="77"/>
        <v> </v>
      </c>
      <c r="W72" s="93" t="str">
        <f t="shared" si="78"/>
        <v> </v>
      </c>
      <c r="X72" s="67"/>
      <c r="Y72" s="67"/>
      <c r="Z72" s="67"/>
      <c r="AA72" s="67"/>
      <c r="AB72" s="67"/>
      <c r="AC72" s="85"/>
      <c r="AF72" s="86"/>
    </row>
    <row r="73" ht="12.75" customHeight="1">
      <c r="A73" s="1"/>
      <c r="B73" s="96">
        <v>3.0</v>
      </c>
      <c r="C73" s="167" t="s">
        <v>92</v>
      </c>
      <c r="D73" s="168"/>
      <c r="E73" s="98">
        <v>6.0</v>
      </c>
      <c r="F73" s="98">
        <v>4.0</v>
      </c>
      <c r="G73" s="170"/>
      <c r="H73" s="68"/>
      <c r="I73" s="68"/>
      <c r="J73" s="68"/>
      <c r="K73" s="68"/>
      <c r="L73" s="68"/>
      <c r="M73" s="68"/>
      <c r="N73" s="67"/>
      <c r="O73" s="67"/>
      <c r="P73" s="67"/>
      <c r="Q73" s="67"/>
      <c r="R73" s="67"/>
      <c r="S73" s="67"/>
      <c r="T73" s="67"/>
      <c r="U73" s="67"/>
      <c r="V73" s="67"/>
      <c r="W73" s="67"/>
      <c r="X73" s="67"/>
      <c r="Y73" s="67"/>
      <c r="Z73" s="67"/>
      <c r="AA73" s="67"/>
      <c r="AB73" s="67"/>
      <c r="AC73" s="85"/>
      <c r="AF73" s="86"/>
    </row>
    <row r="74" ht="12.75" customHeight="1">
      <c r="A74" s="1"/>
      <c r="B74" s="175">
        <v>4.0</v>
      </c>
      <c r="C74" s="176" t="s">
        <v>57</v>
      </c>
      <c r="D74" s="177"/>
      <c r="E74" s="178">
        <v>8.0</v>
      </c>
      <c r="F74" s="178">
        <v>3.0</v>
      </c>
      <c r="G74" s="180"/>
      <c r="H74" s="68"/>
      <c r="I74" s="252"/>
      <c r="J74" s="68"/>
      <c r="K74" s="68"/>
      <c r="L74" s="68"/>
      <c r="M74" s="68"/>
      <c r="N74" s="67"/>
      <c r="O74" s="67"/>
      <c r="P74" s="67"/>
      <c r="Q74" s="67"/>
      <c r="R74" s="67"/>
      <c r="S74" s="67"/>
      <c r="T74" s="67"/>
      <c r="U74" s="67"/>
      <c r="V74" s="67"/>
      <c r="W74" s="67"/>
      <c r="X74" s="67"/>
      <c r="Y74" s="67"/>
      <c r="Z74" s="67"/>
      <c r="AA74" s="67"/>
      <c r="AB74" s="67"/>
      <c r="AC74" s="104"/>
      <c r="AD74" s="105"/>
      <c r="AE74" s="105"/>
      <c r="AF74" s="106"/>
    </row>
    <row r="75" ht="12.75" customHeight="1">
      <c r="A75" s="1"/>
      <c r="B75" s="67"/>
      <c r="C75" s="136"/>
      <c r="D75" s="137"/>
      <c r="E75" s="252"/>
      <c r="F75" s="68"/>
      <c r="G75" s="138"/>
      <c r="H75" s="68"/>
      <c r="I75" s="68"/>
      <c r="J75" s="68"/>
      <c r="K75" s="68"/>
      <c r="L75" s="68"/>
      <c r="M75" s="68"/>
      <c r="N75" s="67"/>
      <c r="O75" s="67"/>
      <c r="P75" s="67"/>
      <c r="Q75" s="67"/>
      <c r="R75" s="67"/>
      <c r="S75" s="67"/>
      <c r="T75" s="67"/>
      <c r="U75" s="67"/>
      <c r="V75" s="67"/>
      <c r="W75" s="67"/>
      <c r="X75" s="67"/>
      <c r="Y75" s="67"/>
      <c r="Z75" s="67"/>
      <c r="AA75" s="67"/>
      <c r="AB75" s="67"/>
      <c r="AC75" s="67"/>
      <c r="AD75" s="67"/>
      <c r="AE75" s="67"/>
      <c r="AF75" s="67"/>
    </row>
    <row r="76" ht="36.75" customHeight="1">
      <c r="A76" s="1"/>
      <c r="B76" s="68" t="s">
        <v>49</v>
      </c>
      <c r="D76" s="137" t="s">
        <v>34</v>
      </c>
      <c r="E76" s="252" t="s">
        <v>35</v>
      </c>
      <c r="F76" s="68" t="s">
        <v>36</v>
      </c>
      <c r="G76" s="138" t="s">
        <v>37</v>
      </c>
      <c r="H76" s="68"/>
      <c r="I76" s="68"/>
      <c r="J76" s="68"/>
      <c r="K76" s="68"/>
      <c r="L76" s="68"/>
      <c r="M76" s="68"/>
      <c r="N76" s="67"/>
      <c r="O76" s="67"/>
      <c r="P76" s="67"/>
      <c r="Q76" s="67"/>
      <c r="R76" s="67"/>
      <c r="S76" s="67"/>
      <c r="T76" s="67"/>
      <c r="U76" s="67"/>
      <c r="V76" s="67"/>
      <c r="W76" s="67"/>
      <c r="X76" s="67"/>
      <c r="Y76" s="67"/>
      <c r="Z76" s="67"/>
      <c r="AA76" s="67"/>
      <c r="AB76" s="67"/>
      <c r="AC76" s="67" t="s">
        <v>43</v>
      </c>
      <c r="AD76" s="67"/>
      <c r="AE76" s="67"/>
      <c r="AF76" s="67"/>
    </row>
    <row r="77" ht="12.75" customHeight="1">
      <c r="A77" s="1"/>
      <c r="B77" s="123">
        <v>1.0</v>
      </c>
      <c r="C77" s="124" t="s">
        <v>45</v>
      </c>
      <c r="D77" s="125">
        <v>0.5</v>
      </c>
      <c r="E77" s="126">
        <v>3.0</v>
      </c>
      <c r="F77" s="126">
        <v>1.0</v>
      </c>
      <c r="G77" s="128">
        <f>'Start Here'!$F$22*D77</f>
        <v>50</v>
      </c>
      <c r="H77" s="68"/>
      <c r="I77" s="68"/>
      <c r="J77" s="68">
        <f t="shared" ref="J77:J82" si="79">E77*F77</f>
        <v>3</v>
      </c>
      <c r="K77" s="252">
        <f t="shared" ref="K77:K82" si="80">J77*G77</f>
        <v>150</v>
      </c>
      <c r="L77" s="68"/>
      <c r="M77" s="68"/>
      <c r="N77" s="67"/>
      <c r="O77" s="67"/>
      <c r="P77" s="67"/>
      <c r="Q77" s="67"/>
      <c r="R77" s="67"/>
      <c r="S77" s="93">
        <f t="shared" ref="S77:S83" si="81">IF(ISNUMBER(SEARCH("bench",$C77)),IF($D77&gt;=0.5,IF($D77&lt;0.6,$E77*$F77," ")," ")," ")</f>
        <v>3</v>
      </c>
      <c r="T77" s="93" t="str">
        <f t="shared" ref="T77:T83" si="82">IF(ISNUMBER(SEARCH("bench",$C77)),IF($D77&gt;=0.6,IF($D77&lt;0.7,$E77*$F77," ")," ")," ")</f>
        <v> </v>
      </c>
      <c r="U77" s="93" t="str">
        <f t="shared" ref="U77:U83" si="83">IF(ISNUMBER(SEARCH("bench",$C77)),IF($D77&gt;=0.7,IF($D77&lt;0.8,$E77*$F77," ")," ")," ")</f>
        <v> </v>
      </c>
      <c r="V77" s="93" t="str">
        <f t="shared" ref="V77:V83" si="84">IF(ISNUMBER(SEARCH("bench",$C77)),IF($D77&gt;=0.8,IF($D77&lt;0.9,$E77*$F77," ")," ")," ")</f>
        <v> </v>
      </c>
      <c r="W77" s="93" t="str">
        <f t="shared" ref="W77:W82" si="85">IF(ISNUMBER(SEARCH("bench",$C77)),IF($D77&gt;=0.9,$E77*$F77," ")," ")</f>
        <v> </v>
      </c>
      <c r="X77" s="67"/>
      <c r="Y77" s="67"/>
      <c r="Z77" s="67"/>
      <c r="AA77" s="67"/>
      <c r="AB77" s="67"/>
      <c r="AC77" s="76"/>
      <c r="AD77" s="77"/>
      <c r="AE77" s="77"/>
      <c r="AF77" s="78"/>
    </row>
    <row r="78" ht="12.75" customHeight="1">
      <c r="A78" s="1"/>
      <c r="B78" s="87"/>
      <c r="C78" s="94" t="s">
        <v>45</v>
      </c>
      <c r="D78" s="89">
        <v>0.6</v>
      </c>
      <c r="E78" s="90">
        <v>3.0</v>
      </c>
      <c r="F78" s="90">
        <v>1.0</v>
      </c>
      <c r="G78" s="92">
        <f>'Start Here'!$F$22*D78</f>
        <v>60</v>
      </c>
      <c r="H78" s="68"/>
      <c r="I78" s="68"/>
      <c r="J78" s="68">
        <f t="shared" si="79"/>
        <v>3</v>
      </c>
      <c r="K78" s="252">
        <f t="shared" si="80"/>
        <v>180</v>
      </c>
      <c r="L78" s="68"/>
      <c r="M78" s="68"/>
      <c r="N78" s="67"/>
      <c r="O78" s="67"/>
      <c r="P78" s="67"/>
      <c r="Q78" s="67"/>
      <c r="R78" s="67"/>
      <c r="S78" s="93" t="str">
        <f t="shared" si="81"/>
        <v> </v>
      </c>
      <c r="T78" s="93">
        <f t="shared" si="82"/>
        <v>3</v>
      </c>
      <c r="U78" s="93" t="str">
        <f t="shared" si="83"/>
        <v> </v>
      </c>
      <c r="V78" s="93" t="str">
        <f t="shared" si="84"/>
        <v> </v>
      </c>
      <c r="W78" s="93" t="str">
        <f t="shared" si="85"/>
        <v> </v>
      </c>
      <c r="X78" s="67"/>
      <c r="Y78" s="67"/>
      <c r="Z78" s="67"/>
      <c r="AA78" s="67"/>
      <c r="AB78" s="67"/>
      <c r="AC78" s="85"/>
      <c r="AF78" s="86"/>
    </row>
    <row r="79" ht="12.75" customHeight="1">
      <c r="A79" s="1"/>
      <c r="B79" s="87"/>
      <c r="C79" s="94" t="s">
        <v>45</v>
      </c>
      <c r="D79" s="89">
        <v>0.7</v>
      </c>
      <c r="E79" s="90">
        <v>3.0</v>
      </c>
      <c r="F79" s="90">
        <v>1.0</v>
      </c>
      <c r="G79" s="92">
        <f>'Start Here'!$F$22*D79</f>
        <v>70</v>
      </c>
      <c r="H79" s="68"/>
      <c r="I79" s="68"/>
      <c r="J79" s="68">
        <f t="shared" si="79"/>
        <v>3</v>
      </c>
      <c r="K79" s="252">
        <f t="shared" si="80"/>
        <v>210</v>
      </c>
      <c r="L79" s="68"/>
      <c r="M79" s="68"/>
      <c r="N79" s="67"/>
      <c r="O79" s="67"/>
      <c r="P79" s="67"/>
      <c r="Q79" s="67"/>
      <c r="R79" s="67"/>
      <c r="S79" s="93" t="str">
        <f t="shared" si="81"/>
        <v> </v>
      </c>
      <c r="T79" s="93" t="str">
        <f t="shared" si="82"/>
        <v> </v>
      </c>
      <c r="U79" s="93">
        <f t="shared" si="83"/>
        <v>3</v>
      </c>
      <c r="V79" s="93" t="str">
        <f t="shared" si="84"/>
        <v> </v>
      </c>
      <c r="W79" s="93" t="str">
        <f t="shared" si="85"/>
        <v> </v>
      </c>
      <c r="X79" s="67"/>
      <c r="Y79" s="67"/>
      <c r="Z79" s="67"/>
      <c r="AA79" s="67"/>
      <c r="AB79" s="67"/>
      <c r="AC79" s="85"/>
      <c r="AF79" s="86"/>
    </row>
    <row r="80" ht="12.75" customHeight="1">
      <c r="A80" s="1"/>
      <c r="B80" s="87"/>
      <c r="C80" s="94" t="s">
        <v>45</v>
      </c>
      <c r="D80" s="89">
        <v>0.8</v>
      </c>
      <c r="E80" s="90">
        <v>2.0</v>
      </c>
      <c r="F80" s="90">
        <v>1.0</v>
      </c>
      <c r="G80" s="92">
        <f>'Start Here'!$F$22*D80</f>
        <v>80</v>
      </c>
      <c r="H80" s="68"/>
      <c r="I80" s="68"/>
      <c r="J80" s="68">
        <f t="shared" si="79"/>
        <v>2</v>
      </c>
      <c r="K80" s="252">
        <f t="shared" si="80"/>
        <v>160</v>
      </c>
      <c r="L80" s="68"/>
      <c r="M80" s="68"/>
      <c r="N80" s="67"/>
      <c r="O80" s="67"/>
      <c r="P80" s="67"/>
      <c r="Q80" s="67"/>
      <c r="R80" s="67"/>
      <c r="S80" s="93" t="str">
        <f t="shared" si="81"/>
        <v> </v>
      </c>
      <c r="T80" s="93" t="str">
        <f t="shared" si="82"/>
        <v> </v>
      </c>
      <c r="U80" s="93" t="str">
        <f t="shared" si="83"/>
        <v> </v>
      </c>
      <c r="V80" s="93">
        <f t="shared" si="84"/>
        <v>2</v>
      </c>
      <c r="W80" s="93" t="str">
        <f t="shared" si="85"/>
        <v> </v>
      </c>
      <c r="X80" s="67"/>
      <c r="Y80" s="67"/>
      <c r="Z80" s="67"/>
      <c r="AA80" s="67"/>
      <c r="AB80" s="67"/>
      <c r="AC80" s="85"/>
      <c r="AF80" s="86"/>
    </row>
    <row r="81" ht="12.75" customHeight="1">
      <c r="A81" s="1"/>
      <c r="B81" s="87"/>
      <c r="C81" s="94" t="s">
        <v>45</v>
      </c>
      <c r="D81" s="89">
        <v>0.9</v>
      </c>
      <c r="E81" s="90">
        <v>1.0</v>
      </c>
      <c r="F81" s="90">
        <v>1.0</v>
      </c>
      <c r="G81" s="92">
        <f>'Start Here'!$F$22*D81</f>
        <v>90</v>
      </c>
      <c r="H81" s="68"/>
      <c r="I81" s="68"/>
      <c r="J81" s="68">
        <f t="shared" si="79"/>
        <v>1</v>
      </c>
      <c r="K81" s="252">
        <f t="shared" si="80"/>
        <v>90</v>
      </c>
      <c r="L81" s="68"/>
      <c r="M81" s="68"/>
      <c r="N81" s="67"/>
      <c r="O81" s="67"/>
      <c r="P81" s="67"/>
      <c r="Q81" s="67"/>
      <c r="R81" s="67"/>
      <c r="S81" s="93" t="str">
        <f t="shared" si="81"/>
        <v> </v>
      </c>
      <c r="T81" s="93" t="str">
        <f t="shared" si="82"/>
        <v> </v>
      </c>
      <c r="U81" s="93" t="str">
        <f t="shared" si="83"/>
        <v> </v>
      </c>
      <c r="V81" s="93" t="str">
        <f t="shared" si="84"/>
        <v> </v>
      </c>
      <c r="W81" s="93">
        <f t="shared" si="85"/>
        <v>1</v>
      </c>
      <c r="X81" s="67"/>
      <c r="Y81" s="67"/>
      <c r="Z81" s="67"/>
      <c r="AA81" s="67"/>
      <c r="AB81" s="67"/>
      <c r="AC81" s="85"/>
      <c r="AF81" s="86"/>
    </row>
    <row r="82" ht="12.75" customHeight="1">
      <c r="A82" s="1"/>
      <c r="B82" s="87"/>
      <c r="C82" s="94" t="s">
        <v>45</v>
      </c>
      <c r="D82" s="89">
        <v>0.95</v>
      </c>
      <c r="E82" s="90">
        <v>1.0</v>
      </c>
      <c r="F82" s="90">
        <v>1.0</v>
      </c>
      <c r="G82" s="92">
        <f>'Start Here'!$F$22*D82</f>
        <v>95</v>
      </c>
      <c r="H82" s="68"/>
      <c r="I82" s="68"/>
      <c r="J82" s="68">
        <f t="shared" si="79"/>
        <v>1</v>
      </c>
      <c r="K82" s="252">
        <f t="shared" si="80"/>
        <v>95</v>
      </c>
      <c r="L82" s="68"/>
      <c r="M82" s="68"/>
      <c r="N82" s="67"/>
      <c r="O82" s="67"/>
      <c r="P82" s="67"/>
      <c r="Q82" s="67"/>
      <c r="R82" s="67"/>
      <c r="S82" s="93" t="str">
        <f t="shared" si="81"/>
        <v> </v>
      </c>
      <c r="T82" s="93" t="str">
        <f t="shared" si="82"/>
        <v> </v>
      </c>
      <c r="U82" s="93" t="str">
        <f t="shared" si="83"/>
        <v> </v>
      </c>
      <c r="V82" s="93" t="str">
        <f t="shared" si="84"/>
        <v> </v>
      </c>
      <c r="W82" s="93">
        <f t="shared" si="85"/>
        <v>1</v>
      </c>
      <c r="X82" s="67"/>
      <c r="Y82" s="67"/>
      <c r="Z82" s="67"/>
      <c r="AA82" s="67"/>
      <c r="AB82" s="67"/>
      <c r="AC82" s="85"/>
      <c r="AF82" s="86"/>
    </row>
    <row r="83" ht="12.75" customHeight="1">
      <c r="A83" s="1"/>
      <c r="B83" s="87"/>
      <c r="C83" s="94" t="s">
        <v>45</v>
      </c>
      <c r="D83" s="89">
        <v>1.0</v>
      </c>
      <c r="E83" s="90">
        <v>1.0</v>
      </c>
      <c r="F83" s="255" t="s">
        <v>138</v>
      </c>
      <c r="G83" s="92">
        <f>'Start Here'!$F$22*D83</f>
        <v>100</v>
      </c>
      <c r="H83" s="68"/>
      <c r="I83" s="68"/>
      <c r="J83" s="68">
        <f>2</f>
        <v>2</v>
      </c>
      <c r="K83" s="68">
        <f>2*0.95*'Start Here'!F22</f>
        <v>190</v>
      </c>
      <c r="L83" s="68"/>
      <c r="M83" s="68"/>
      <c r="N83" s="67"/>
      <c r="O83" s="67"/>
      <c r="P83" s="67"/>
      <c r="Q83" s="67"/>
      <c r="R83" s="67"/>
      <c r="S83" s="93" t="str">
        <f t="shared" si="81"/>
        <v> </v>
      </c>
      <c r="T83" s="93" t="str">
        <f t="shared" si="82"/>
        <v> </v>
      </c>
      <c r="U83" s="93" t="str">
        <f t="shared" si="83"/>
        <v> </v>
      </c>
      <c r="V83" s="93" t="str">
        <f t="shared" si="84"/>
        <v> </v>
      </c>
      <c r="W83" s="93">
        <v>2.0</v>
      </c>
      <c r="X83" s="67"/>
      <c r="Y83" s="67"/>
      <c r="Z83" s="67"/>
      <c r="AA83" s="67"/>
      <c r="AB83" s="67"/>
      <c r="AC83" s="85"/>
      <c r="AF83" s="86"/>
    </row>
    <row r="84" ht="12.75" customHeight="1">
      <c r="A84" s="1"/>
      <c r="B84" s="115">
        <v>2.0</v>
      </c>
      <c r="C84" s="121" t="s">
        <v>122</v>
      </c>
      <c r="D84" s="117">
        <v>0.5</v>
      </c>
      <c r="E84" s="118">
        <v>3.0</v>
      </c>
      <c r="F84" s="118">
        <v>1.0</v>
      </c>
      <c r="G84" s="120">
        <f>'Start Here'!$F$23*D84</f>
        <v>50</v>
      </c>
      <c r="H84" s="68"/>
      <c r="I84" s="68"/>
      <c r="J84" s="68"/>
      <c r="K84" s="68"/>
      <c r="L84" s="68">
        <f t="shared" ref="L84:L89" si="86">E84*F84</f>
        <v>3</v>
      </c>
      <c r="M84" s="68">
        <f t="shared" ref="M84:M89" si="87">L84*G84</f>
        <v>150</v>
      </c>
      <c r="N84" s="67"/>
      <c r="O84" s="67"/>
      <c r="P84" s="67"/>
      <c r="Q84" s="67"/>
      <c r="R84" s="67"/>
      <c r="S84" s="67"/>
      <c r="T84" s="67"/>
      <c r="U84" s="67"/>
      <c r="V84" s="67"/>
      <c r="W84" s="67"/>
      <c r="X84" s="114">
        <f t="shared" ref="X84:X90" si="88">IF(ISNUMBER(SEARCH("deadlift",$C84)),IF($D84&gt;=0.5,IF($D84&lt;0.6,$E84*$F84," ")," ")," ")</f>
        <v>3</v>
      </c>
      <c r="Y84" s="114" t="str">
        <f t="shared" ref="Y84:Y90" si="89">IF(ISNUMBER(SEARCH("deadlift",$C84)),IF($D84&gt;=0.6,IF($D84&lt;0.7,$E84*$F84," ")," ")," ")</f>
        <v> </v>
      </c>
      <c r="Z84" s="114" t="str">
        <f t="shared" ref="Z84:Z90" si="90">IF(ISNUMBER(SEARCH("deadlift",$C84)),IF($D84&gt;=0.7,IF($D84&lt;0.8,$E84*$F84," ")," ")," ")</f>
        <v> </v>
      </c>
      <c r="AA84" s="114" t="str">
        <f t="shared" ref="AA84:AA90" si="91">IF(ISNUMBER(SEARCH("deadlift",$C84)),IF($D84&gt;=0.8,IF($D84&lt;0.9,$E84*$F84," ")," ")," ")</f>
        <v> </v>
      </c>
      <c r="AB84" s="114" t="str">
        <f t="shared" ref="AB84:AB89" si="92">IF(ISNUMBER(SEARCH("deadlift",$C84)),IF($D84&gt;=0.9,$E84*$F84," ")," ")</f>
        <v> </v>
      </c>
      <c r="AC84" s="85"/>
      <c r="AF84" s="86"/>
    </row>
    <row r="85" ht="12.75" customHeight="1">
      <c r="A85" s="1"/>
      <c r="B85" s="115"/>
      <c r="C85" s="122" t="s">
        <v>122</v>
      </c>
      <c r="D85" s="117">
        <v>0.6</v>
      </c>
      <c r="E85" s="118">
        <v>3.0</v>
      </c>
      <c r="F85" s="118">
        <v>1.0</v>
      </c>
      <c r="G85" s="120">
        <f>'Start Here'!$F$23*D85</f>
        <v>60</v>
      </c>
      <c r="H85" s="68"/>
      <c r="I85" s="68"/>
      <c r="J85" s="68"/>
      <c r="K85" s="68"/>
      <c r="L85" s="68">
        <f t="shared" si="86"/>
        <v>3</v>
      </c>
      <c r="M85" s="68">
        <f t="shared" si="87"/>
        <v>180</v>
      </c>
      <c r="N85" s="67"/>
      <c r="O85" s="67"/>
      <c r="P85" s="67"/>
      <c r="Q85" s="67"/>
      <c r="R85" s="67"/>
      <c r="S85" s="67"/>
      <c r="T85" s="67"/>
      <c r="U85" s="67"/>
      <c r="V85" s="67"/>
      <c r="W85" s="67"/>
      <c r="X85" s="114" t="str">
        <f t="shared" si="88"/>
        <v> </v>
      </c>
      <c r="Y85" s="114">
        <f t="shared" si="89"/>
        <v>3</v>
      </c>
      <c r="Z85" s="114" t="str">
        <f t="shared" si="90"/>
        <v> </v>
      </c>
      <c r="AA85" s="114" t="str">
        <f t="shared" si="91"/>
        <v> </v>
      </c>
      <c r="AB85" s="114" t="str">
        <f t="shared" si="92"/>
        <v> </v>
      </c>
      <c r="AC85" s="85"/>
      <c r="AF85" s="86"/>
    </row>
    <row r="86" ht="12.75" customHeight="1">
      <c r="A86" s="1"/>
      <c r="B86" s="115"/>
      <c r="C86" s="122" t="s">
        <v>122</v>
      </c>
      <c r="D86" s="117">
        <v>0.7</v>
      </c>
      <c r="E86" s="118">
        <v>2.0</v>
      </c>
      <c r="F86" s="118">
        <v>1.0</v>
      </c>
      <c r="G86" s="120">
        <f>'Start Here'!$F$23*D86</f>
        <v>70</v>
      </c>
      <c r="H86" s="68"/>
      <c r="I86" s="68"/>
      <c r="J86" s="68"/>
      <c r="K86" s="68"/>
      <c r="L86" s="68">
        <f t="shared" si="86"/>
        <v>2</v>
      </c>
      <c r="M86" s="68">
        <f t="shared" si="87"/>
        <v>140</v>
      </c>
      <c r="N86" s="67"/>
      <c r="O86" s="67"/>
      <c r="P86" s="67"/>
      <c r="Q86" s="67"/>
      <c r="R86" s="67"/>
      <c r="S86" s="67"/>
      <c r="T86" s="67"/>
      <c r="U86" s="67"/>
      <c r="V86" s="67"/>
      <c r="W86" s="67"/>
      <c r="X86" s="114" t="str">
        <f t="shared" si="88"/>
        <v> </v>
      </c>
      <c r="Y86" s="114" t="str">
        <f t="shared" si="89"/>
        <v> </v>
      </c>
      <c r="Z86" s="114">
        <f t="shared" si="90"/>
        <v>2</v>
      </c>
      <c r="AA86" s="114" t="str">
        <f t="shared" si="91"/>
        <v> </v>
      </c>
      <c r="AB86" s="114" t="str">
        <f t="shared" si="92"/>
        <v> </v>
      </c>
      <c r="AC86" s="85"/>
      <c r="AF86" s="86"/>
    </row>
    <row r="87" ht="12.75" customHeight="1">
      <c r="A87" s="1"/>
      <c r="B87" s="115"/>
      <c r="C87" s="122" t="s">
        <v>122</v>
      </c>
      <c r="D87" s="117">
        <v>0.8</v>
      </c>
      <c r="E87" s="118">
        <v>2.0</v>
      </c>
      <c r="F87" s="118">
        <v>1.0</v>
      </c>
      <c r="G87" s="120">
        <f>'Start Here'!$F$23*D87</f>
        <v>80</v>
      </c>
      <c r="H87" s="68"/>
      <c r="I87" s="68"/>
      <c r="J87" s="68"/>
      <c r="K87" s="68"/>
      <c r="L87" s="68">
        <f t="shared" si="86"/>
        <v>2</v>
      </c>
      <c r="M87" s="68">
        <f t="shared" si="87"/>
        <v>160</v>
      </c>
      <c r="N87" s="67"/>
      <c r="O87" s="67"/>
      <c r="P87" s="67"/>
      <c r="Q87" s="67"/>
      <c r="R87" s="67"/>
      <c r="S87" s="67"/>
      <c r="T87" s="67"/>
      <c r="U87" s="67"/>
      <c r="V87" s="67"/>
      <c r="W87" s="67"/>
      <c r="X87" s="114" t="str">
        <f t="shared" si="88"/>
        <v> </v>
      </c>
      <c r="Y87" s="114" t="str">
        <f t="shared" si="89"/>
        <v> </v>
      </c>
      <c r="Z87" s="114" t="str">
        <f t="shared" si="90"/>
        <v> </v>
      </c>
      <c r="AA87" s="114">
        <f t="shared" si="91"/>
        <v>2</v>
      </c>
      <c r="AB87" s="114" t="str">
        <f t="shared" si="92"/>
        <v> </v>
      </c>
      <c r="AC87" s="85"/>
      <c r="AF87" s="86"/>
    </row>
    <row r="88" ht="12.75" customHeight="1">
      <c r="A88" s="1"/>
      <c r="B88" s="115"/>
      <c r="C88" s="122" t="s">
        <v>122</v>
      </c>
      <c r="D88" s="117">
        <v>0.9</v>
      </c>
      <c r="E88" s="118">
        <v>1.0</v>
      </c>
      <c r="F88" s="118">
        <v>1.0</v>
      </c>
      <c r="G88" s="120">
        <f>'Start Here'!$F$23*D88</f>
        <v>90</v>
      </c>
      <c r="H88" s="68"/>
      <c r="I88" s="68"/>
      <c r="J88" s="68"/>
      <c r="K88" s="68"/>
      <c r="L88" s="68">
        <f t="shared" si="86"/>
        <v>1</v>
      </c>
      <c r="M88" s="68">
        <f t="shared" si="87"/>
        <v>90</v>
      </c>
      <c r="N88" s="67"/>
      <c r="O88" s="67"/>
      <c r="P88" s="67"/>
      <c r="Q88" s="67"/>
      <c r="R88" s="67"/>
      <c r="S88" s="67"/>
      <c r="T88" s="67"/>
      <c r="U88" s="67"/>
      <c r="V88" s="67"/>
      <c r="W88" s="67"/>
      <c r="X88" s="114" t="str">
        <f t="shared" si="88"/>
        <v> </v>
      </c>
      <c r="Y88" s="114" t="str">
        <f t="shared" si="89"/>
        <v> </v>
      </c>
      <c r="Z88" s="114" t="str">
        <f t="shared" si="90"/>
        <v> </v>
      </c>
      <c r="AA88" s="114" t="str">
        <f t="shared" si="91"/>
        <v> </v>
      </c>
      <c r="AB88" s="114">
        <f t="shared" si="92"/>
        <v>1</v>
      </c>
      <c r="AC88" s="85"/>
      <c r="AF88" s="86"/>
    </row>
    <row r="89" ht="12.75" customHeight="1">
      <c r="A89" s="1"/>
      <c r="B89" s="115"/>
      <c r="C89" s="122" t="s">
        <v>122</v>
      </c>
      <c r="D89" s="117">
        <v>0.95</v>
      </c>
      <c r="E89" s="118">
        <v>1.0</v>
      </c>
      <c r="F89" s="118">
        <v>1.0</v>
      </c>
      <c r="G89" s="120">
        <f>'Start Here'!$F$23*D89</f>
        <v>95</v>
      </c>
      <c r="H89" s="68"/>
      <c r="I89" s="68"/>
      <c r="J89" s="68"/>
      <c r="K89" s="68"/>
      <c r="L89" s="68">
        <f t="shared" si="86"/>
        <v>1</v>
      </c>
      <c r="M89" s="68">
        <f t="shared" si="87"/>
        <v>95</v>
      </c>
      <c r="N89" s="67"/>
      <c r="O89" s="67"/>
      <c r="P89" s="67"/>
      <c r="Q89" s="67"/>
      <c r="R89" s="67"/>
      <c r="S89" s="67"/>
      <c r="T89" s="67"/>
      <c r="U89" s="67"/>
      <c r="V89" s="67"/>
      <c r="W89" s="67"/>
      <c r="X89" s="114" t="str">
        <f t="shared" si="88"/>
        <v> </v>
      </c>
      <c r="Y89" s="114" t="str">
        <f t="shared" si="89"/>
        <v> </v>
      </c>
      <c r="Z89" s="114" t="str">
        <f t="shared" si="90"/>
        <v> </v>
      </c>
      <c r="AA89" s="114" t="str">
        <f t="shared" si="91"/>
        <v> </v>
      </c>
      <c r="AB89" s="114">
        <f t="shared" si="92"/>
        <v>1</v>
      </c>
      <c r="AC89" s="85"/>
      <c r="AF89" s="86"/>
    </row>
    <row r="90" ht="12.75" customHeight="1">
      <c r="A90" s="1"/>
      <c r="B90" s="115"/>
      <c r="C90" s="122" t="s">
        <v>122</v>
      </c>
      <c r="D90" s="117">
        <v>1.0</v>
      </c>
      <c r="E90" s="118">
        <v>1.0</v>
      </c>
      <c r="F90" s="256" t="s">
        <v>138</v>
      </c>
      <c r="G90" s="120">
        <f>'Start Here'!$F$23*D90</f>
        <v>100</v>
      </c>
      <c r="H90" s="68"/>
      <c r="I90" s="68"/>
      <c r="J90" s="68"/>
      <c r="K90" s="68"/>
      <c r="L90" s="68">
        <f>2</f>
        <v>2</v>
      </c>
      <c r="M90" s="68">
        <f>2*0.95*'Start Here'!F23</f>
        <v>190</v>
      </c>
      <c r="N90" s="67"/>
      <c r="O90" s="67"/>
      <c r="P90" s="67"/>
      <c r="Q90" s="67"/>
      <c r="R90" s="67"/>
      <c r="S90" s="67"/>
      <c r="T90" s="67"/>
      <c r="U90" s="67"/>
      <c r="V90" s="67"/>
      <c r="W90" s="67"/>
      <c r="X90" s="114" t="str">
        <f t="shared" si="88"/>
        <v> </v>
      </c>
      <c r="Y90" s="114" t="str">
        <f t="shared" si="89"/>
        <v> </v>
      </c>
      <c r="Z90" s="114" t="str">
        <f t="shared" si="90"/>
        <v> </v>
      </c>
      <c r="AA90" s="114" t="str">
        <f t="shared" si="91"/>
        <v> </v>
      </c>
      <c r="AB90" s="114">
        <v>2.0</v>
      </c>
      <c r="AC90" s="85"/>
      <c r="AF90" s="86"/>
    </row>
    <row r="91" ht="12.75" customHeight="1">
      <c r="A91" s="1"/>
      <c r="B91" s="96">
        <v>3.0</v>
      </c>
      <c r="C91" s="167" t="s">
        <v>83</v>
      </c>
      <c r="D91" s="168"/>
      <c r="E91" s="98">
        <v>6.0</v>
      </c>
      <c r="F91" s="98">
        <v>4.0</v>
      </c>
      <c r="G91" s="170"/>
      <c r="H91" s="68"/>
      <c r="I91" s="68"/>
      <c r="J91" s="68"/>
      <c r="K91" s="68"/>
      <c r="L91" s="68"/>
      <c r="M91" s="68"/>
      <c r="N91" s="67"/>
      <c r="O91" s="67"/>
      <c r="P91" s="67"/>
      <c r="Q91" s="67"/>
      <c r="R91" s="67"/>
      <c r="S91" s="67"/>
      <c r="T91" s="67"/>
      <c r="U91" s="67"/>
      <c r="V91" s="67"/>
      <c r="W91" s="67"/>
      <c r="X91" s="67"/>
      <c r="Y91" s="67"/>
      <c r="Z91" s="67"/>
      <c r="AA91" s="67"/>
      <c r="AB91" s="67"/>
      <c r="AC91" s="85"/>
      <c r="AF91" s="86"/>
    </row>
    <row r="92" ht="12.75" customHeight="1">
      <c r="A92" s="1"/>
      <c r="B92" s="175">
        <v>4.0</v>
      </c>
      <c r="C92" s="176" t="s">
        <v>48</v>
      </c>
      <c r="D92" s="177"/>
      <c r="E92" s="178">
        <v>8.0</v>
      </c>
      <c r="F92" s="178">
        <v>3.0</v>
      </c>
      <c r="G92" s="180"/>
      <c r="H92" s="68"/>
      <c r="I92" s="252"/>
      <c r="J92" s="68"/>
      <c r="K92" s="68"/>
      <c r="L92" s="68"/>
      <c r="M92" s="68"/>
      <c r="N92" s="67"/>
      <c r="O92" s="67"/>
      <c r="P92" s="67"/>
      <c r="Q92" s="67"/>
      <c r="R92" s="67"/>
      <c r="S92" s="67"/>
      <c r="T92" s="67"/>
      <c r="U92" s="67"/>
      <c r="V92" s="67"/>
      <c r="W92" s="67"/>
      <c r="X92" s="67"/>
      <c r="Y92" s="67"/>
      <c r="Z92" s="67"/>
      <c r="AA92" s="67"/>
      <c r="AB92" s="67"/>
      <c r="AC92" s="104"/>
      <c r="AD92" s="105"/>
      <c r="AE92" s="105"/>
      <c r="AF92" s="106"/>
    </row>
    <row r="93" ht="12.75" customHeight="1">
      <c r="A93" s="1"/>
      <c r="B93" s="67"/>
      <c r="C93" s="136"/>
      <c r="D93" s="137"/>
      <c r="E93" s="252"/>
      <c r="F93" s="68"/>
      <c r="G93" s="138"/>
      <c r="H93" s="68"/>
      <c r="I93" s="68"/>
      <c r="J93" s="68"/>
      <c r="K93" s="68"/>
      <c r="L93" s="68"/>
      <c r="M93" s="68"/>
      <c r="N93" s="67"/>
      <c r="O93" s="67"/>
      <c r="P93" s="67"/>
      <c r="Q93" s="67"/>
      <c r="R93" s="67"/>
      <c r="S93" s="67"/>
      <c r="T93" s="67"/>
      <c r="U93" s="67"/>
      <c r="V93" s="67"/>
      <c r="W93" s="67"/>
      <c r="X93" s="67"/>
      <c r="Y93" s="67"/>
      <c r="Z93" s="67"/>
      <c r="AA93" s="67"/>
      <c r="AB93" s="67"/>
      <c r="AC93" s="67"/>
      <c r="AD93" s="67"/>
      <c r="AE93" s="67"/>
      <c r="AF93" s="67"/>
    </row>
    <row r="94" ht="36.75" customHeight="1">
      <c r="A94" s="1"/>
      <c r="B94" s="68" t="s">
        <v>54</v>
      </c>
      <c r="D94" s="137" t="s">
        <v>34</v>
      </c>
      <c r="E94" s="252" t="s">
        <v>35</v>
      </c>
      <c r="F94" s="68" t="s">
        <v>36</v>
      </c>
      <c r="G94" s="138" t="s">
        <v>37</v>
      </c>
      <c r="H94" s="68"/>
      <c r="I94" s="68"/>
      <c r="J94" s="68"/>
      <c r="K94" s="68"/>
      <c r="L94" s="68"/>
      <c r="M94" s="68"/>
      <c r="N94" s="67"/>
      <c r="O94" s="67"/>
      <c r="P94" s="67"/>
      <c r="Q94" s="67"/>
      <c r="R94" s="67"/>
      <c r="S94" s="67"/>
      <c r="T94" s="67"/>
      <c r="U94" s="67"/>
      <c r="V94" s="67"/>
      <c r="W94" s="67"/>
      <c r="X94" s="67"/>
      <c r="Y94" s="67"/>
      <c r="Z94" s="67"/>
      <c r="AA94" s="67"/>
      <c r="AB94" s="67"/>
      <c r="AC94" s="67" t="s">
        <v>43</v>
      </c>
      <c r="AD94" s="67"/>
      <c r="AE94" s="67"/>
      <c r="AF94" s="67"/>
    </row>
    <row r="95" ht="12.75" customHeight="1">
      <c r="A95" s="1"/>
      <c r="B95" s="69">
        <v>1.0</v>
      </c>
      <c r="C95" s="70" t="s">
        <v>46</v>
      </c>
      <c r="D95" s="71">
        <v>0.5</v>
      </c>
      <c r="E95" s="145">
        <v>3.0</v>
      </c>
      <c r="F95" s="145">
        <v>1.0</v>
      </c>
      <c r="G95" s="73">
        <f>'Start Here'!$F$21*D95</f>
        <v>50</v>
      </c>
      <c r="H95" s="68">
        <f t="shared" ref="H95:H100" si="93">E95*F95</f>
        <v>3</v>
      </c>
      <c r="I95" s="252">
        <f t="shared" ref="I95:I100" si="94">H95*G95</f>
        <v>150</v>
      </c>
      <c r="J95" s="68"/>
      <c r="K95" s="68"/>
      <c r="L95" s="68"/>
      <c r="M95" s="68"/>
      <c r="N95" s="75">
        <f t="shared" ref="N95:N101" si="95">IF(ISNUMBER(SEARCH("squat",$C95)),IF($D95&gt;=0.5,IF($D95&lt;0.6,$E95*$F95," ")," ")," ")</f>
        <v>3</v>
      </c>
      <c r="O95" s="75" t="str">
        <f t="shared" ref="O95:O101" si="96">IF(ISNUMBER(SEARCH("squat",$C95)),IF($D95&gt;=0.6,IF($D95&lt;0.7,$E95*$F95," ")," ")," ")</f>
        <v> </v>
      </c>
      <c r="P95" s="75" t="str">
        <f t="shared" ref="P95:P101" si="97">IF(ISNUMBER(SEARCH("squat",$C95)),IF($D95&gt;=0.7,IF($D95&lt;0.8,$E95*$F95," ")," ")," ")</f>
        <v> </v>
      </c>
      <c r="Q95" s="75" t="str">
        <f t="shared" ref="Q95:Q101" si="98">IF(ISNUMBER(SEARCH("squat",$C95)),IF($D95&gt;=0.8,IF($D95&lt;0.9,$E95*$F95," ")," ")," ")</f>
        <v> </v>
      </c>
      <c r="R95" s="75" t="str">
        <f t="shared" ref="R95:R100" si="99">IF(ISNUMBER(SEARCH("squat",$C95)),IF($D95&gt;=0.9,$E95*$F95," ")," ")</f>
        <v> </v>
      </c>
      <c r="S95" s="67"/>
      <c r="T95" s="67"/>
      <c r="U95" s="67"/>
      <c r="V95" s="67"/>
      <c r="W95" s="67"/>
      <c r="X95" s="67"/>
      <c r="Y95" s="67"/>
      <c r="Z95" s="67"/>
      <c r="AA95" s="67"/>
      <c r="AB95" s="67"/>
      <c r="AC95" s="76"/>
      <c r="AD95" s="77"/>
      <c r="AE95" s="77"/>
      <c r="AF95" s="78"/>
    </row>
    <row r="96" ht="12.75" customHeight="1">
      <c r="A96" s="1"/>
      <c r="B96" s="79"/>
      <c r="C96" s="80" t="s">
        <v>46</v>
      </c>
      <c r="D96" s="81">
        <v>0.6</v>
      </c>
      <c r="E96" s="82">
        <v>3.0</v>
      </c>
      <c r="F96" s="82">
        <v>1.0</v>
      </c>
      <c r="G96" s="84">
        <f>'Start Here'!$F$21*D96</f>
        <v>60</v>
      </c>
      <c r="H96" s="68">
        <f t="shared" si="93"/>
        <v>3</v>
      </c>
      <c r="I96" s="252">
        <f t="shared" si="94"/>
        <v>180</v>
      </c>
      <c r="J96" s="68"/>
      <c r="K96" s="68"/>
      <c r="L96" s="68"/>
      <c r="M96" s="68"/>
      <c r="N96" s="75" t="str">
        <f t="shared" si="95"/>
        <v> </v>
      </c>
      <c r="O96" s="75">
        <f t="shared" si="96"/>
        <v>3</v>
      </c>
      <c r="P96" s="75" t="str">
        <f t="shared" si="97"/>
        <v> </v>
      </c>
      <c r="Q96" s="75" t="str">
        <f t="shared" si="98"/>
        <v> </v>
      </c>
      <c r="R96" s="75" t="str">
        <f t="shared" si="99"/>
        <v> </v>
      </c>
      <c r="S96" s="67"/>
      <c r="T96" s="67"/>
      <c r="U96" s="67"/>
      <c r="V96" s="67"/>
      <c r="W96" s="67"/>
      <c r="X96" s="67"/>
      <c r="Y96" s="67"/>
      <c r="Z96" s="67"/>
      <c r="AA96" s="67"/>
      <c r="AB96" s="67"/>
      <c r="AC96" s="85"/>
      <c r="AF96" s="86"/>
    </row>
    <row r="97" ht="12.75" customHeight="1">
      <c r="A97" s="1"/>
      <c r="B97" s="79"/>
      <c r="C97" s="80" t="s">
        <v>46</v>
      </c>
      <c r="D97" s="81">
        <v>0.7</v>
      </c>
      <c r="E97" s="82">
        <v>3.0</v>
      </c>
      <c r="F97" s="82">
        <v>1.0</v>
      </c>
      <c r="G97" s="84">
        <f>'Start Here'!$F$21*D97</f>
        <v>70</v>
      </c>
      <c r="H97" s="68">
        <f t="shared" si="93"/>
        <v>3</v>
      </c>
      <c r="I97" s="252">
        <f t="shared" si="94"/>
        <v>210</v>
      </c>
      <c r="J97" s="68"/>
      <c r="K97" s="68"/>
      <c r="L97" s="68"/>
      <c r="M97" s="68"/>
      <c r="N97" s="75" t="str">
        <f t="shared" si="95"/>
        <v> </v>
      </c>
      <c r="O97" s="75" t="str">
        <f t="shared" si="96"/>
        <v> </v>
      </c>
      <c r="P97" s="75">
        <f t="shared" si="97"/>
        <v>3</v>
      </c>
      <c r="Q97" s="75" t="str">
        <f t="shared" si="98"/>
        <v> </v>
      </c>
      <c r="R97" s="75" t="str">
        <f t="shared" si="99"/>
        <v> </v>
      </c>
      <c r="S97" s="67"/>
      <c r="T97" s="67"/>
      <c r="U97" s="67"/>
      <c r="V97" s="67"/>
      <c r="W97" s="67"/>
      <c r="X97" s="67"/>
      <c r="Y97" s="67"/>
      <c r="Z97" s="67"/>
      <c r="AA97" s="67"/>
      <c r="AB97" s="67"/>
      <c r="AC97" s="85"/>
      <c r="AF97" s="86"/>
    </row>
    <row r="98" ht="12.75" customHeight="1">
      <c r="A98" s="1"/>
      <c r="B98" s="79"/>
      <c r="C98" s="80" t="s">
        <v>46</v>
      </c>
      <c r="D98" s="81">
        <v>0.8</v>
      </c>
      <c r="E98" s="82">
        <v>2.0</v>
      </c>
      <c r="F98" s="82">
        <v>1.0</v>
      </c>
      <c r="G98" s="84">
        <f>'Start Here'!$F$21*D98</f>
        <v>80</v>
      </c>
      <c r="H98" s="68">
        <f t="shared" si="93"/>
        <v>2</v>
      </c>
      <c r="I98" s="252">
        <f t="shared" si="94"/>
        <v>160</v>
      </c>
      <c r="J98" s="68"/>
      <c r="K98" s="68"/>
      <c r="L98" s="68"/>
      <c r="M98" s="68"/>
      <c r="N98" s="75" t="str">
        <f t="shared" si="95"/>
        <v> </v>
      </c>
      <c r="O98" s="75" t="str">
        <f t="shared" si="96"/>
        <v> </v>
      </c>
      <c r="P98" s="75" t="str">
        <f t="shared" si="97"/>
        <v> </v>
      </c>
      <c r="Q98" s="75">
        <f t="shared" si="98"/>
        <v>2</v>
      </c>
      <c r="R98" s="75" t="str">
        <f t="shared" si="99"/>
        <v> </v>
      </c>
      <c r="S98" s="67"/>
      <c r="T98" s="67"/>
      <c r="U98" s="67"/>
      <c r="V98" s="67"/>
      <c r="W98" s="67"/>
      <c r="X98" s="67"/>
      <c r="Y98" s="67"/>
      <c r="Z98" s="67"/>
      <c r="AA98" s="67"/>
      <c r="AB98" s="67"/>
      <c r="AC98" s="85"/>
      <c r="AF98" s="86"/>
    </row>
    <row r="99" ht="12.75" customHeight="1">
      <c r="A99" s="1"/>
      <c r="B99" s="79"/>
      <c r="C99" s="80" t="s">
        <v>46</v>
      </c>
      <c r="D99" s="81">
        <v>0.9</v>
      </c>
      <c r="E99" s="82">
        <v>1.0</v>
      </c>
      <c r="F99" s="82">
        <v>1.0</v>
      </c>
      <c r="G99" s="84">
        <f>'Start Here'!$F$21*D99</f>
        <v>90</v>
      </c>
      <c r="H99" s="68">
        <f t="shared" si="93"/>
        <v>1</v>
      </c>
      <c r="I99" s="252">
        <f t="shared" si="94"/>
        <v>90</v>
      </c>
      <c r="J99" s="68"/>
      <c r="K99" s="68"/>
      <c r="L99" s="68"/>
      <c r="M99" s="68"/>
      <c r="N99" s="75" t="str">
        <f t="shared" si="95"/>
        <v> </v>
      </c>
      <c r="O99" s="75" t="str">
        <f t="shared" si="96"/>
        <v> </v>
      </c>
      <c r="P99" s="75" t="str">
        <f t="shared" si="97"/>
        <v> </v>
      </c>
      <c r="Q99" s="75" t="str">
        <f t="shared" si="98"/>
        <v> </v>
      </c>
      <c r="R99" s="75">
        <f t="shared" si="99"/>
        <v>1</v>
      </c>
      <c r="S99" s="67"/>
      <c r="T99" s="67"/>
      <c r="U99" s="67"/>
      <c r="V99" s="67"/>
      <c r="W99" s="67"/>
      <c r="X99" s="67"/>
      <c r="Y99" s="67"/>
      <c r="Z99" s="67"/>
      <c r="AA99" s="67"/>
      <c r="AB99" s="67"/>
      <c r="AC99" s="85"/>
      <c r="AF99" s="86"/>
    </row>
    <row r="100" ht="12.75" customHeight="1">
      <c r="A100" s="1"/>
      <c r="B100" s="79"/>
      <c r="C100" s="80" t="s">
        <v>46</v>
      </c>
      <c r="D100" s="81">
        <v>0.95</v>
      </c>
      <c r="E100" s="82">
        <v>1.0</v>
      </c>
      <c r="F100" s="82">
        <v>1.0</v>
      </c>
      <c r="G100" s="84">
        <f>'Start Here'!$F$21*D100</f>
        <v>95</v>
      </c>
      <c r="H100" s="68">
        <f t="shared" si="93"/>
        <v>1</v>
      </c>
      <c r="I100" s="252">
        <f t="shared" si="94"/>
        <v>95</v>
      </c>
      <c r="J100" s="68"/>
      <c r="K100" s="68"/>
      <c r="L100" s="68"/>
      <c r="M100" s="68"/>
      <c r="N100" s="75" t="str">
        <f t="shared" si="95"/>
        <v> </v>
      </c>
      <c r="O100" s="75" t="str">
        <f t="shared" si="96"/>
        <v> </v>
      </c>
      <c r="P100" s="75" t="str">
        <f t="shared" si="97"/>
        <v> </v>
      </c>
      <c r="Q100" s="75" t="str">
        <f t="shared" si="98"/>
        <v> </v>
      </c>
      <c r="R100" s="75">
        <f t="shared" si="99"/>
        <v>1</v>
      </c>
      <c r="S100" s="67"/>
      <c r="T100" s="67"/>
      <c r="U100" s="67"/>
      <c r="V100" s="67"/>
      <c r="W100" s="67"/>
      <c r="X100" s="67"/>
      <c r="Y100" s="67"/>
      <c r="Z100" s="67"/>
      <c r="AA100" s="67"/>
      <c r="AB100" s="67"/>
      <c r="AC100" s="85"/>
      <c r="AF100" s="86"/>
    </row>
    <row r="101" ht="12.75" customHeight="1">
      <c r="A101" s="1"/>
      <c r="B101" s="79"/>
      <c r="C101" s="80" t="s">
        <v>46</v>
      </c>
      <c r="D101" s="81">
        <v>1.0</v>
      </c>
      <c r="E101" s="82">
        <v>1.0</v>
      </c>
      <c r="F101" s="245" t="s">
        <v>138</v>
      </c>
      <c r="G101" s="84">
        <f>'Start Here'!$F$21*D101</f>
        <v>100</v>
      </c>
      <c r="H101" s="68">
        <f>2</f>
        <v>2</v>
      </c>
      <c r="I101" s="68">
        <f>'Start Here'!F21*2*0.95</f>
        <v>190</v>
      </c>
      <c r="J101" s="68"/>
      <c r="K101" s="68"/>
      <c r="L101" s="68"/>
      <c r="M101" s="68"/>
      <c r="N101" s="75" t="str">
        <f t="shared" si="95"/>
        <v> </v>
      </c>
      <c r="O101" s="75" t="str">
        <f t="shared" si="96"/>
        <v> </v>
      </c>
      <c r="P101" s="75" t="str">
        <f t="shared" si="97"/>
        <v> </v>
      </c>
      <c r="Q101" s="75" t="str">
        <f t="shared" si="98"/>
        <v> </v>
      </c>
      <c r="R101" s="75">
        <v>2.0</v>
      </c>
      <c r="S101" s="67"/>
      <c r="T101" s="67"/>
      <c r="U101" s="67"/>
      <c r="V101" s="67"/>
      <c r="W101" s="67"/>
      <c r="X101" s="67"/>
      <c r="Y101" s="67"/>
      <c r="Z101" s="67"/>
      <c r="AA101" s="67"/>
      <c r="AB101" s="67"/>
      <c r="AC101" s="85"/>
      <c r="AF101" s="86"/>
    </row>
    <row r="102" ht="12.75" customHeight="1">
      <c r="A102" s="1"/>
      <c r="B102" s="87">
        <v>2.0</v>
      </c>
      <c r="C102" s="88" t="s">
        <v>45</v>
      </c>
      <c r="D102" s="89">
        <v>0.5</v>
      </c>
      <c r="E102" s="90">
        <v>3.0</v>
      </c>
      <c r="F102" s="90">
        <v>1.0</v>
      </c>
      <c r="G102" s="92">
        <f>'Start Here'!$F$22*D102</f>
        <v>50</v>
      </c>
      <c r="H102" s="68"/>
      <c r="I102" s="68"/>
      <c r="J102" s="68">
        <f t="shared" ref="J102:J105" si="100">E102*F102</f>
        <v>3</v>
      </c>
      <c r="K102" s="252">
        <f t="shared" ref="K102:K105" si="101">J102*G102</f>
        <v>150</v>
      </c>
      <c r="L102" s="68"/>
      <c r="M102" s="68"/>
      <c r="N102" s="67"/>
      <c r="O102" s="67"/>
      <c r="P102" s="67"/>
      <c r="Q102" s="67"/>
      <c r="R102" s="67"/>
      <c r="S102" s="93">
        <f t="shared" ref="S102:S105" si="102">IF(ISNUMBER(SEARCH("bench",$C102)),IF($D102&gt;=0.5,IF($D102&lt;0.6,$E102*$F102," ")," ")," ")</f>
        <v>3</v>
      </c>
      <c r="T102" s="93" t="str">
        <f t="shared" ref="T102:T105" si="103">IF(ISNUMBER(SEARCH("bench",$C102)),IF($D102&gt;=0.6,IF($D102&lt;0.7,$E102*$F102," ")," ")," ")</f>
        <v> </v>
      </c>
      <c r="U102" s="93" t="str">
        <f t="shared" ref="U102:U105" si="104">IF(ISNUMBER(SEARCH("bench",$C102)),IF($D102&gt;=0.7,IF($D102&lt;0.8,$E102*$F102," ")," ")," ")</f>
        <v> </v>
      </c>
      <c r="V102" s="93" t="str">
        <f t="shared" ref="V102:V105" si="105">IF(ISNUMBER(SEARCH("bench",$C102)),IF($D102&gt;=0.8,IF($D102&lt;0.9,$E102*$F102," ")," ")," ")</f>
        <v> </v>
      </c>
      <c r="W102" s="93" t="str">
        <f t="shared" ref="W102:W105" si="106">IF(ISNUMBER(SEARCH("bench",$C102)),IF($D102&gt;=0.9,$E102*$F102," ")," ")</f>
        <v> </v>
      </c>
      <c r="X102" s="67"/>
      <c r="Y102" s="67"/>
      <c r="Z102" s="67"/>
      <c r="AA102" s="67"/>
      <c r="AB102" s="67"/>
      <c r="AC102" s="85"/>
      <c r="AF102" s="86"/>
    </row>
    <row r="103" ht="12.75" customHeight="1">
      <c r="A103" s="1"/>
      <c r="B103" s="87"/>
      <c r="C103" s="94" t="s">
        <v>45</v>
      </c>
      <c r="D103" s="89">
        <v>0.6</v>
      </c>
      <c r="E103" s="90">
        <v>3.0</v>
      </c>
      <c r="F103" s="90">
        <v>1.0</v>
      </c>
      <c r="G103" s="92">
        <f>'Start Here'!$F$22*D103</f>
        <v>60</v>
      </c>
      <c r="H103" s="68"/>
      <c r="I103" s="68"/>
      <c r="J103" s="68">
        <f t="shared" si="100"/>
        <v>3</v>
      </c>
      <c r="K103" s="252">
        <f t="shared" si="101"/>
        <v>180</v>
      </c>
      <c r="L103" s="68"/>
      <c r="M103" s="68"/>
      <c r="N103" s="67"/>
      <c r="O103" s="67"/>
      <c r="P103" s="67"/>
      <c r="Q103" s="67"/>
      <c r="R103" s="67"/>
      <c r="S103" s="93" t="str">
        <f t="shared" si="102"/>
        <v> </v>
      </c>
      <c r="T103" s="93">
        <f t="shared" si="103"/>
        <v>3</v>
      </c>
      <c r="U103" s="93" t="str">
        <f t="shared" si="104"/>
        <v> </v>
      </c>
      <c r="V103" s="93" t="str">
        <f t="shared" si="105"/>
        <v> </v>
      </c>
      <c r="W103" s="93" t="str">
        <f t="shared" si="106"/>
        <v> </v>
      </c>
      <c r="X103" s="67"/>
      <c r="Y103" s="67"/>
      <c r="Z103" s="67"/>
      <c r="AA103" s="67"/>
      <c r="AB103" s="67"/>
      <c r="AC103" s="85"/>
      <c r="AF103" s="86"/>
    </row>
    <row r="104" ht="12.75" customHeight="1">
      <c r="A104" s="1"/>
      <c r="B104" s="87"/>
      <c r="C104" s="94" t="s">
        <v>45</v>
      </c>
      <c r="D104" s="89">
        <v>0.7</v>
      </c>
      <c r="E104" s="90">
        <v>3.0</v>
      </c>
      <c r="F104" s="90">
        <v>1.0</v>
      </c>
      <c r="G104" s="92">
        <f>'Start Here'!$F$22*D104</f>
        <v>70</v>
      </c>
      <c r="H104" s="68"/>
      <c r="I104" s="68"/>
      <c r="J104" s="68">
        <f t="shared" si="100"/>
        <v>3</v>
      </c>
      <c r="K104" s="252">
        <f t="shared" si="101"/>
        <v>210</v>
      </c>
      <c r="L104" s="68"/>
      <c r="M104" s="68"/>
      <c r="N104" s="67"/>
      <c r="O104" s="67"/>
      <c r="P104" s="67"/>
      <c r="Q104" s="67"/>
      <c r="R104" s="67"/>
      <c r="S104" s="93" t="str">
        <f t="shared" si="102"/>
        <v> </v>
      </c>
      <c r="T104" s="93" t="str">
        <f t="shared" si="103"/>
        <v> </v>
      </c>
      <c r="U104" s="93">
        <f t="shared" si="104"/>
        <v>3</v>
      </c>
      <c r="V104" s="93" t="str">
        <f t="shared" si="105"/>
        <v> </v>
      </c>
      <c r="W104" s="93" t="str">
        <f t="shared" si="106"/>
        <v> </v>
      </c>
      <c r="X104" s="67"/>
      <c r="Y104" s="67"/>
      <c r="Z104" s="67"/>
      <c r="AA104" s="67"/>
      <c r="AB104" s="67"/>
      <c r="AC104" s="85"/>
      <c r="AF104" s="86"/>
    </row>
    <row r="105" ht="12.75" customHeight="1">
      <c r="A105" s="1"/>
      <c r="B105" s="87"/>
      <c r="C105" s="94" t="s">
        <v>45</v>
      </c>
      <c r="D105" s="89">
        <v>0.75</v>
      </c>
      <c r="E105" s="90">
        <v>2.0</v>
      </c>
      <c r="F105" s="90">
        <v>4.0</v>
      </c>
      <c r="G105" s="92">
        <f>'Start Here'!$F$22*D105</f>
        <v>75</v>
      </c>
      <c r="H105" s="68"/>
      <c r="I105" s="68"/>
      <c r="J105" s="68">
        <f t="shared" si="100"/>
        <v>8</v>
      </c>
      <c r="K105" s="252">
        <f t="shared" si="101"/>
        <v>600</v>
      </c>
      <c r="L105" s="68"/>
      <c r="M105" s="68"/>
      <c r="N105" s="67"/>
      <c r="O105" s="67"/>
      <c r="P105" s="67"/>
      <c r="Q105" s="67"/>
      <c r="R105" s="67"/>
      <c r="S105" s="93" t="str">
        <f t="shared" si="102"/>
        <v> </v>
      </c>
      <c r="T105" s="93" t="str">
        <f t="shared" si="103"/>
        <v> </v>
      </c>
      <c r="U105" s="93">
        <f t="shared" si="104"/>
        <v>8</v>
      </c>
      <c r="V105" s="93" t="str">
        <f t="shared" si="105"/>
        <v> </v>
      </c>
      <c r="W105" s="93" t="str">
        <f t="shared" si="106"/>
        <v> </v>
      </c>
      <c r="X105" s="67"/>
      <c r="Y105" s="67"/>
      <c r="Z105" s="67"/>
      <c r="AA105" s="67"/>
      <c r="AB105" s="67"/>
      <c r="AC105" s="85"/>
      <c r="AF105" s="86"/>
    </row>
    <row r="106" ht="12.75" customHeight="1">
      <c r="A106" s="1"/>
      <c r="B106" s="96">
        <v>3.0</v>
      </c>
      <c r="C106" s="167" t="s">
        <v>92</v>
      </c>
      <c r="D106" s="168"/>
      <c r="E106" s="253" t="s">
        <v>136</v>
      </c>
      <c r="F106" s="98">
        <v>4.0</v>
      </c>
      <c r="G106" s="170"/>
      <c r="H106" s="68"/>
      <c r="I106" s="68"/>
      <c r="J106" s="68"/>
      <c r="K106" s="68"/>
      <c r="L106" s="68"/>
      <c r="M106" s="68"/>
      <c r="N106" s="67"/>
      <c r="O106" s="67"/>
      <c r="P106" s="67"/>
      <c r="Q106" s="67"/>
      <c r="R106" s="67"/>
      <c r="S106" s="67"/>
      <c r="T106" s="67"/>
      <c r="U106" s="67"/>
      <c r="V106" s="67"/>
      <c r="W106" s="67"/>
      <c r="X106" s="67"/>
      <c r="Y106" s="67"/>
      <c r="Z106" s="67"/>
      <c r="AA106" s="67"/>
      <c r="AB106" s="67"/>
      <c r="AC106" s="85"/>
      <c r="AF106" s="86"/>
    </row>
    <row r="107" ht="12.75" customHeight="1">
      <c r="A107" s="1"/>
      <c r="B107" s="175">
        <v>4.0</v>
      </c>
      <c r="C107" s="176" t="s">
        <v>78</v>
      </c>
      <c r="D107" s="177"/>
      <c r="E107" s="178">
        <v>4.0</v>
      </c>
      <c r="F107" s="178">
        <v>4.0</v>
      </c>
      <c r="G107" s="180"/>
      <c r="H107" s="68"/>
      <c r="I107" s="68"/>
      <c r="J107" s="68"/>
      <c r="K107" s="68"/>
      <c r="L107" s="68"/>
      <c r="M107" s="68"/>
      <c r="N107" s="67"/>
      <c r="O107" s="67"/>
      <c r="P107" s="67"/>
      <c r="Q107" s="67"/>
      <c r="R107" s="67"/>
      <c r="S107" s="67"/>
      <c r="T107" s="67"/>
      <c r="U107" s="67"/>
      <c r="V107" s="67"/>
      <c r="W107" s="67"/>
      <c r="X107" s="67"/>
      <c r="Y107" s="67"/>
      <c r="Z107" s="67"/>
      <c r="AA107" s="67"/>
      <c r="AB107" s="67"/>
      <c r="AC107" s="104"/>
      <c r="AD107" s="105"/>
      <c r="AE107" s="105"/>
      <c r="AF107" s="106"/>
    </row>
    <row r="108" ht="12.75" customHeight="1">
      <c r="A108" s="1"/>
      <c r="B108" s="67"/>
      <c r="C108" s="136"/>
      <c r="D108" s="137"/>
      <c r="E108" s="252"/>
      <c r="F108" s="68"/>
      <c r="G108" s="138"/>
      <c r="H108" s="68"/>
      <c r="I108" s="68"/>
      <c r="J108" s="68"/>
      <c r="K108" s="68"/>
      <c r="L108" s="68"/>
      <c r="M108" s="68"/>
      <c r="N108" s="67"/>
      <c r="O108" s="67"/>
      <c r="P108" s="67"/>
      <c r="Q108" s="67"/>
      <c r="R108" s="67"/>
      <c r="S108" s="67"/>
      <c r="T108" s="67"/>
      <c r="U108" s="67"/>
      <c r="V108" s="67"/>
      <c r="W108" s="67"/>
      <c r="X108" s="67"/>
      <c r="Y108" s="67"/>
      <c r="Z108" s="67"/>
      <c r="AA108" s="67"/>
      <c r="AB108" s="67"/>
      <c r="AC108" s="67"/>
      <c r="AD108" s="67"/>
      <c r="AE108" s="67"/>
      <c r="AF108" s="67"/>
    </row>
    <row r="109" ht="36.0" customHeight="1">
      <c r="A109" s="1"/>
      <c r="B109" s="68" t="s">
        <v>58</v>
      </c>
      <c r="D109" s="137" t="s">
        <v>34</v>
      </c>
      <c r="E109" s="252" t="s">
        <v>35</v>
      </c>
      <c r="F109" s="68" t="s">
        <v>36</v>
      </c>
      <c r="G109" s="138" t="s">
        <v>37</v>
      </c>
      <c r="H109" s="68"/>
      <c r="I109" s="68"/>
      <c r="J109" s="68"/>
      <c r="K109" s="68"/>
      <c r="L109" s="68"/>
      <c r="M109" s="68"/>
      <c r="N109" s="67"/>
      <c r="O109" s="67"/>
      <c r="P109" s="67"/>
      <c r="Q109" s="67"/>
      <c r="R109" s="67"/>
      <c r="S109" s="67"/>
      <c r="T109" s="67"/>
      <c r="U109" s="67"/>
      <c r="V109" s="67"/>
      <c r="W109" s="67"/>
      <c r="X109" s="67"/>
      <c r="Y109" s="67"/>
      <c r="Z109" s="67"/>
      <c r="AA109" s="67"/>
      <c r="AB109" s="67"/>
      <c r="AC109" s="67" t="s">
        <v>43</v>
      </c>
      <c r="AD109" s="67"/>
      <c r="AE109" s="67"/>
      <c r="AF109" s="67"/>
    </row>
    <row r="110" ht="12.75" customHeight="1">
      <c r="A110" s="1"/>
      <c r="B110" s="232">
        <v>1.0</v>
      </c>
      <c r="C110" s="233" t="s">
        <v>139</v>
      </c>
      <c r="D110" s="234"/>
      <c r="E110" s="235">
        <v>5.0</v>
      </c>
      <c r="F110" s="235">
        <v>5.0</v>
      </c>
      <c r="G110" s="237"/>
      <c r="H110" s="68"/>
      <c r="I110" s="68"/>
      <c r="J110" s="68"/>
      <c r="K110" s="68"/>
      <c r="L110" s="68"/>
      <c r="M110" s="68"/>
      <c r="N110" s="67"/>
      <c r="O110" s="67"/>
      <c r="P110" s="67"/>
      <c r="Q110" s="67"/>
      <c r="R110" s="67"/>
      <c r="S110" s="67"/>
      <c r="T110" s="67"/>
      <c r="U110" s="67"/>
      <c r="V110" s="67"/>
      <c r="W110" s="67"/>
      <c r="X110" s="67"/>
      <c r="Y110" s="67"/>
      <c r="Z110" s="67"/>
      <c r="AA110" s="67"/>
      <c r="AB110" s="67"/>
      <c r="AC110" s="76"/>
      <c r="AD110" s="77"/>
      <c r="AE110" s="77"/>
      <c r="AF110" s="78"/>
    </row>
    <row r="111" ht="12.75" customHeight="1">
      <c r="A111" s="1"/>
      <c r="B111" s="115">
        <v>2.0</v>
      </c>
      <c r="C111" s="121" t="s">
        <v>113</v>
      </c>
      <c r="D111" s="117">
        <v>0.5</v>
      </c>
      <c r="E111" s="118">
        <v>3.0</v>
      </c>
      <c r="F111" s="118">
        <v>1.0</v>
      </c>
      <c r="G111" s="120">
        <f>'Start Here'!$F$23*D111</f>
        <v>50</v>
      </c>
      <c r="H111" s="68"/>
      <c r="I111" s="68"/>
      <c r="J111" s="68"/>
      <c r="K111" s="68"/>
      <c r="L111" s="68">
        <f t="shared" ref="L111:L114" si="107">E111*F111</f>
        <v>3</v>
      </c>
      <c r="M111" s="68">
        <f t="shared" ref="M111:M114" si="108">L111*G111</f>
        <v>150</v>
      </c>
      <c r="N111" s="67"/>
      <c r="O111" s="67"/>
      <c r="P111" s="67"/>
      <c r="Q111" s="67"/>
      <c r="R111" s="67"/>
      <c r="S111" s="67"/>
      <c r="T111" s="67"/>
      <c r="U111" s="67"/>
      <c r="V111" s="67"/>
      <c r="W111" s="67"/>
      <c r="X111" s="114">
        <f t="shared" ref="X111:X114" si="109">IF(ISNUMBER(SEARCH("deadlift",$C111)),IF($D111&gt;=0.5,IF($D111&lt;0.6,$E111*$F111," ")," ")," ")</f>
        <v>3</v>
      </c>
      <c r="Y111" s="114" t="str">
        <f t="shared" ref="Y111:Y114" si="110">IF(ISNUMBER(SEARCH("deadlift",$C111)),IF($D111&gt;=0.6,IF($D111&lt;0.7,$E111*$F111," ")," ")," ")</f>
        <v> </v>
      </c>
      <c r="Z111" s="114" t="str">
        <f t="shared" ref="Z111:Z114" si="111">IF(ISNUMBER(SEARCH("deadlift",$C111)),IF($D111&gt;=0.7,IF($D111&lt;0.8,$E111*$F111," ")," ")," ")</f>
        <v> </v>
      </c>
      <c r="AA111" s="114" t="str">
        <f t="shared" ref="AA111:AA114" si="112">IF(ISNUMBER(SEARCH("deadlift",$C111)),IF($D111&gt;=0.8,IF($D111&lt;0.9,$E111*$F111," ")," ")," ")</f>
        <v> </v>
      </c>
      <c r="AB111" s="114" t="str">
        <f t="shared" ref="AB111:AB114" si="113">IF(ISNUMBER(SEARCH("deadlift",$C111)),IF($D111&gt;=0.9,$E111*$F111," ")," ")</f>
        <v> </v>
      </c>
      <c r="AC111" s="85"/>
      <c r="AF111" s="86"/>
    </row>
    <row r="112" ht="12.75" customHeight="1">
      <c r="A112" s="1"/>
      <c r="B112" s="115"/>
      <c r="C112" s="122" t="s">
        <v>113</v>
      </c>
      <c r="D112" s="117">
        <v>0.6</v>
      </c>
      <c r="E112" s="118">
        <v>3.0</v>
      </c>
      <c r="F112" s="118">
        <v>1.0</v>
      </c>
      <c r="G112" s="120">
        <f>'Start Here'!$F$23*D112</f>
        <v>60</v>
      </c>
      <c r="H112" s="68"/>
      <c r="I112" s="68"/>
      <c r="J112" s="68"/>
      <c r="K112" s="68"/>
      <c r="L112" s="68">
        <f t="shared" si="107"/>
        <v>3</v>
      </c>
      <c r="M112" s="68">
        <f t="shared" si="108"/>
        <v>180</v>
      </c>
      <c r="N112" s="67"/>
      <c r="O112" s="67"/>
      <c r="P112" s="67"/>
      <c r="Q112" s="67"/>
      <c r="R112" s="67"/>
      <c r="S112" s="67"/>
      <c r="T112" s="67"/>
      <c r="U112" s="67"/>
      <c r="V112" s="67"/>
      <c r="W112" s="67"/>
      <c r="X112" s="114" t="str">
        <f t="shared" si="109"/>
        <v> </v>
      </c>
      <c r="Y112" s="114">
        <f t="shared" si="110"/>
        <v>3</v>
      </c>
      <c r="Z112" s="114" t="str">
        <f t="shared" si="111"/>
        <v> </v>
      </c>
      <c r="AA112" s="114" t="str">
        <f t="shared" si="112"/>
        <v> </v>
      </c>
      <c r="AB112" s="114" t="str">
        <f t="shared" si="113"/>
        <v> </v>
      </c>
      <c r="AC112" s="85"/>
      <c r="AF112" s="86"/>
    </row>
    <row r="113" ht="12.75" customHeight="1">
      <c r="A113" s="1"/>
      <c r="B113" s="115"/>
      <c r="C113" s="122" t="s">
        <v>113</v>
      </c>
      <c r="D113" s="117">
        <v>0.7</v>
      </c>
      <c r="E113" s="118">
        <v>3.0</v>
      </c>
      <c r="F113" s="118">
        <v>1.0</v>
      </c>
      <c r="G113" s="120">
        <f>'Start Here'!$F$23*D113</f>
        <v>70</v>
      </c>
      <c r="H113" s="68"/>
      <c r="I113" s="68"/>
      <c r="J113" s="68"/>
      <c r="K113" s="68"/>
      <c r="L113" s="68">
        <f t="shared" si="107"/>
        <v>3</v>
      </c>
      <c r="M113" s="68">
        <f t="shared" si="108"/>
        <v>210</v>
      </c>
      <c r="N113" s="67"/>
      <c r="O113" s="67"/>
      <c r="P113" s="67"/>
      <c r="Q113" s="67"/>
      <c r="R113" s="67"/>
      <c r="S113" s="67"/>
      <c r="T113" s="67"/>
      <c r="U113" s="67"/>
      <c r="V113" s="67"/>
      <c r="W113" s="67"/>
      <c r="X113" s="114" t="str">
        <f t="shared" si="109"/>
        <v> </v>
      </c>
      <c r="Y113" s="114" t="str">
        <f t="shared" si="110"/>
        <v> </v>
      </c>
      <c r="Z113" s="114">
        <f t="shared" si="111"/>
        <v>3</v>
      </c>
      <c r="AA113" s="114" t="str">
        <f t="shared" si="112"/>
        <v> </v>
      </c>
      <c r="AB113" s="114" t="str">
        <f t="shared" si="113"/>
        <v> </v>
      </c>
      <c r="AC113" s="85"/>
      <c r="AF113" s="86"/>
    </row>
    <row r="114" ht="12.75" customHeight="1">
      <c r="A114" s="1"/>
      <c r="B114" s="115"/>
      <c r="C114" s="122" t="s">
        <v>113</v>
      </c>
      <c r="D114" s="117">
        <v>0.75</v>
      </c>
      <c r="E114" s="118">
        <v>2.0</v>
      </c>
      <c r="F114" s="118">
        <v>3.0</v>
      </c>
      <c r="G114" s="120">
        <f>'Start Here'!$F$23*D114</f>
        <v>75</v>
      </c>
      <c r="H114" s="68"/>
      <c r="I114" s="68"/>
      <c r="J114" s="68"/>
      <c r="K114" s="68"/>
      <c r="L114" s="68">
        <f t="shared" si="107"/>
        <v>6</v>
      </c>
      <c r="M114" s="68">
        <f t="shared" si="108"/>
        <v>450</v>
      </c>
      <c r="N114" s="67"/>
      <c r="O114" s="67"/>
      <c r="P114" s="67"/>
      <c r="Q114" s="67"/>
      <c r="R114" s="67"/>
      <c r="S114" s="67"/>
      <c r="T114" s="67"/>
      <c r="U114" s="67"/>
      <c r="V114" s="67"/>
      <c r="W114" s="67"/>
      <c r="X114" s="114" t="str">
        <f t="shared" si="109"/>
        <v> </v>
      </c>
      <c r="Y114" s="114" t="str">
        <f t="shared" si="110"/>
        <v> </v>
      </c>
      <c r="Z114" s="114">
        <f t="shared" si="111"/>
        <v>6</v>
      </c>
      <c r="AA114" s="114" t="str">
        <f t="shared" si="112"/>
        <v> </v>
      </c>
      <c r="AB114" s="114" t="str">
        <f t="shared" si="113"/>
        <v> </v>
      </c>
      <c r="AC114" s="85"/>
      <c r="AF114" s="86"/>
    </row>
    <row r="115" ht="12.75" customHeight="1">
      <c r="A115" s="1"/>
      <c r="B115" s="96">
        <v>3.0</v>
      </c>
      <c r="C115" s="167" t="s">
        <v>95</v>
      </c>
      <c r="D115" s="168"/>
      <c r="E115" s="98">
        <v>6.0</v>
      </c>
      <c r="F115" s="98">
        <v>4.0</v>
      </c>
      <c r="G115" s="170"/>
      <c r="H115" s="68"/>
      <c r="I115" s="68"/>
      <c r="J115" s="68"/>
      <c r="K115" s="68"/>
      <c r="L115" s="68"/>
      <c r="M115" s="68"/>
      <c r="N115" s="67"/>
      <c r="O115" s="67"/>
      <c r="P115" s="67"/>
      <c r="Q115" s="67"/>
      <c r="R115" s="67"/>
      <c r="S115" s="67"/>
      <c r="T115" s="67"/>
      <c r="U115" s="67"/>
      <c r="V115" s="67"/>
      <c r="W115" s="67"/>
      <c r="X115" s="67"/>
      <c r="Y115" s="67"/>
      <c r="Z115" s="67"/>
      <c r="AA115" s="67"/>
      <c r="AB115" s="67"/>
      <c r="AC115" s="85"/>
      <c r="AF115" s="86"/>
    </row>
    <row r="116" ht="12.75" customHeight="1">
      <c r="A116" s="1"/>
      <c r="B116" s="100">
        <v>4.0</v>
      </c>
      <c r="C116" s="171" t="s">
        <v>96</v>
      </c>
      <c r="D116" s="172"/>
      <c r="E116" s="102">
        <v>4.0</v>
      </c>
      <c r="F116" s="102">
        <v>4.0</v>
      </c>
      <c r="G116" s="174"/>
      <c r="H116" s="68"/>
      <c r="I116" s="68"/>
      <c r="J116" s="68"/>
      <c r="K116" s="68"/>
      <c r="L116" s="68"/>
      <c r="M116" s="68"/>
      <c r="N116" s="67"/>
      <c r="O116" s="67"/>
      <c r="P116" s="67"/>
      <c r="Q116" s="67"/>
      <c r="R116" s="67"/>
      <c r="S116" s="67"/>
      <c r="T116" s="67"/>
      <c r="U116" s="67"/>
      <c r="V116" s="67"/>
      <c r="W116" s="67"/>
      <c r="X116" s="67"/>
      <c r="Y116" s="67"/>
      <c r="Z116" s="67"/>
      <c r="AA116" s="67"/>
      <c r="AB116" s="67"/>
      <c r="AC116" s="104"/>
      <c r="AD116" s="105"/>
      <c r="AE116" s="105"/>
      <c r="AF116" s="106"/>
    </row>
    <row r="117" ht="12.75" customHeight="1">
      <c r="A117" s="181"/>
      <c r="B117" s="142"/>
      <c r="C117" s="182"/>
      <c r="D117" s="183"/>
      <c r="E117" s="254"/>
      <c r="F117" s="143"/>
      <c r="G117" s="184"/>
      <c r="H117" s="143">
        <f t="shared" ref="H117:AB117" si="114">SUM(H65:H116)</f>
        <v>30</v>
      </c>
      <c r="I117" s="254">
        <f t="shared" si="114"/>
        <v>2065</v>
      </c>
      <c r="J117" s="143">
        <f t="shared" si="114"/>
        <v>47</v>
      </c>
      <c r="K117" s="254">
        <f t="shared" si="114"/>
        <v>3205</v>
      </c>
      <c r="L117" s="143">
        <f t="shared" si="114"/>
        <v>29</v>
      </c>
      <c r="M117" s="143">
        <f t="shared" si="114"/>
        <v>1995</v>
      </c>
      <c r="N117" s="144">
        <f t="shared" si="114"/>
        <v>6</v>
      </c>
      <c r="O117" s="144">
        <f t="shared" si="114"/>
        <v>6</v>
      </c>
      <c r="P117" s="144">
        <f t="shared" si="114"/>
        <v>12</v>
      </c>
      <c r="Q117" s="144">
        <f t="shared" si="114"/>
        <v>2</v>
      </c>
      <c r="R117" s="144">
        <f t="shared" si="114"/>
        <v>4</v>
      </c>
      <c r="S117" s="142">
        <f t="shared" si="114"/>
        <v>9</v>
      </c>
      <c r="T117" s="142">
        <f t="shared" si="114"/>
        <v>9</v>
      </c>
      <c r="U117" s="142">
        <f t="shared" si="114"/>
        <v>23</v>
      </c>
      <c r="V117" s="142">
        <f t="shared" si="114"/>
        <v>2</v>
      </c>
      <c r="W117" s="142">
        <f t="shared" si="114"/>
        <v>4</v>
      </c>
      <c r="X117" s="142">
        <f t="shared" si="114"/>
        <v>6</v>
      </c>
      <c r="Y117" s="142">
        <f t="shared" si="114"/>
        <v>6</v>
      </c>
      <c r="Z117" s="142">
        <f t="shared" si="114"/>
        <v>11</v>
      </c>
      <c r="AA117" s="142">
        <f t="shared" si="114"/>
        <v>2</v>
      </c>
      <c r="AB117" s="142">
        <f t="shared" si="114"/>
        <v>4</v>
      </c>
      <c r="AC117" s="142"/>
      <c r="AD117" s="142"/>
      <c r="AE117" s="142"/>
      <c r="AF117" s="142"/>
    </row>
    <row r="118" ht="43.5" customHeight="1">
      <c r="A118" s="1"/>
      <c r="B118" s="66" t="s">
        <v>77</v>
      </c>
      <c r="H118" s="68"/>
      <c r="I118" s="68"/>
      <c r="J118" s="68"/>
      <c r="K118" s="68"/>
      <c r="L118" s="68"/>
      <c r="M118" s="68"/>
      <c r="N118" s="67"/>
      <c r="O118" s="67"/>
      <c r="P118" s="67"/>
      <c r="Q118" s="67"/>
      <c r="R118" s="67"/>
      <c r="S118" s="67"/>
      <c r="T118" s="67"/>
      <c r="U118" s="67"/>
      <c r="V118" s="67"/>
      <c r="W118" s="67"/>
      <c r="X118" s="67"/>
      <c r="Y118" s="67"/>
      <c r="Z118" s="67"/>
      <c r="AA118" s="67"/>
      <c r="AB118" s="67"/>
      <c r="AC118" s="67"/>
      <c r="AD118" s="67"/>
      <c r="AE118" s="67"/>
      <c r="AF118" s="67"/>
    </row>
    <row r="119" ht="36.75" customHeight="1">
      <c r="A119" s="1"/>
      <c r="B119" s="68" t="s">
        <v>33</v>
      </c>
      <c r="D119" s="137" t="s">
        <v>34</v>
      </c>
      <c r="E119" s="252" t="s">
        <v>35</v>
      </c>
      <c r="F119" s="68" t="s">
        <v>36</v>
      </c>
      <c r="G119" s="138" t="s">
        <v>37</v>
      </c>
      <c r="H119" s="68"/>
      <c r="I119" s="68"/>
      <c r="J119" s="68"/>
      <c r="K119" s="68"/>
      <c r="L119" s="68"/>
      <c r="M119" s="68"/>
      <c r="N119" s="67"/>
      <c r="O119" s="67"/>
      <c r="P119" s="67"/>
      <c r="Q119" s="67"/>
      <c r="R119" s="67"/>
      <c r="S119" s="67"/>
      <c r="T119" s="67"/>
      <c r="U119" s="67"/>
      <c r="V119" s="67"/>
      <c r="W119" s="67"/>
      <c r="X119" s="67"/>
      <c r="Y119" s="67"/>
      <c r="Z119" s="67"/>
      <c r="AA119" s="67"/>
      <c r="AB119" s="67"/>
      <c r="AC119" s="67" t="s">
        <v>43</v>
      </c>
      <c r="AD119" s="67"/>
      <c r="AE119" s="67"/>
      <c r="AF119" s="67"/>
    </row>
    <row r="120" ht="12.75" customHeight="1">
      <c r="A120" s="1"/>
      <c r="B120" s="69">
        <v>1.0</v>
      </c>
      <c r="C120" s="70" t="s">
        <v>46</v>
      </c>
      <c r="D120" s="71">
        <v>0.55</v>
      </c>
      <c r="E120" s="145">
        <v>3.0</v>
      </c>
      <c r="F120" s="145">
        <v>1.0</v>
      </c>
      <c r="G120" s="73">
        <f>'Start Here'!$F$21*D120</f>
        <v>55</v>
      </c>
      <c r="H120" s="68">
        <f t="shared" ref="H120:H123" si="115">E120*F120</f>
        <v>3</v>
      </c>
      <c r="I120" s="252">
        <f t="shared" ref="I120:I123" si="116">H120*G120</f>
        <v>165</v>
      </c>
      <c r="J120" s="68"/>
      <c r="K120" s="68"/>
      <c r="L120" s="68"/>
      <c r="M120" s="68"/>
      <c r="N120" s="75">
        <f t="shared" ref="N120:N123" si="117">IF(ISNUMBER(SEARCH("squat",$C120)),IF($D120&gt;=0.5,IF($D120&lt;0.6,$E120*$F120," ")," ")," ")</f>
        <v>3</v>
      </c>
      <c r="O120" s="75" t="str">
        <f t="shared" ref="O120:O123" si="118">IF(ISNUMBER(SEARCH("squat",$C120)),IF($D120&gt;=0.6,IF($D120&lt;0.7,$E120*$F120," ")," ")," ")</f>
        <v> </v>
      </c>
      <c r="P120" s="75" t="str">
        <f t="shared" ref="P120:P123" si="119">IF(ISNUMBER(SEARCH("squat",$C120)),IF($D120&gt;=0.7,IF($D120&lt;0.8,$E120*$F120," ")," ")," ")</f>
        <v> </v>
      </c>
      <c r="Q120" s="75" t="str">
        <f t="shared" ref="Q120:Q123" si="120">IF(ISNUMBER(SEARCH("squat",$C120)),IF($D120&gt;=0.8,IF($D120&lt;0.9,$E120*$F120," ")," ")," ")</f>
        <v> </v>
      </c>
      <c r="R120" s="75" t="str">
        <f t="shared" ref="R120:R123" si="121">IF(ISNUMBER(SEARCH("squat",$C120)),IF($D120&gt;=0.9,$E120*$F120," ")," ")</f>
        <v> </v>
      </c>
      <c r="S120" s="67"/>
      <c r="T120" s="67"/>
      <c r="U120" s="67"/>
      <c r="V120" s="67"/>
      <c r="W120" s="67"/>
      <c r="X120" s="67"/>
      <c r="Y120" s="67"/>
      <c r="Z120" s="67"/>
      <c r="AA120" s="67"/>
      <c r="AB120" s="67"/>
      <c r="AC120" s="76"/>
      <c r="AD120" s="77"/>
      <c r="AE120" s="77"/>
      <c r="AF120" s="78"/>
    </row>
    <row r="121" ht="12.75" customHeight="1">
      <c r="A121" s="1"/>
      <c r="B121" s="79"/>
      <c r="C121" s="80" t="s">
        <v>46</v>
      </c>
      <c r="D121" s="81">
        <v>0.65</v>
      </c>
      <c r="E121" s="82">
        <v>3.0</v>
      </c>
      <c r="F121" s="82">
        <v>1.0</v>
      </c>
      <c r="G121" s="84">
        <f>'Start Here'!$F$21*D121</f>
        <v>65</v>
      </c>
      <c r="H121" s="68">
        <f t="shared" si="115"/>
        <v>3</v>
      </c>
      <c r="I121" s="252">
        <f t="shared" si="116"/>
        <v>195</v>
      </c>
      <c r="J121" s="68"/>
      <c r="K121" s="68"/>
      <c r="L121" s="68"/>
      <c r="M121" s="68"/>
      <c r="N121" s="75" t="str">
        <f t="shared" si="117"/>
        <v> </v>
      </c>
      <c r="O121" s="75">
        <f t="shared" si="118"/>
        <v>3</v>
      </c>
      <c r="P121" s="75" t="str">
        <f t="shared" si="119"/>
        <v> </v>
      </c>
      <c r="Q121" s="75" t="str">
        <f t="shared" si="120"/>
        <v> </v>
      </c>
      <c r="R121" s="75" t="str">
        <f t="shared" si="121"/>
        <v> </v>
      </c>
      <c r="S121" s="67"/>
      <c r="T121" s="67"/>
      <c r="U121" s="67"/>
      <c r="V121" s="67"/>
      <c r="W121" s="67"/>
      <c r="X121" s="67"/>
      <c r="Y121" s="67"/>
      <c r="Z121" s="67"/>
      <c r="AA121" s="67"/>
      <c r="AB121" s="67"/>
      <c r="AC121" s="85"/>
      <c r="AF121" s="86"/>
    </row>
    <row r="122" ht="12.75" customHeight="1">
      <c r="A122" s="1"/>
      <c r="B122" s="79"/>
      <c r="C122" s="80" t="s">
        <v>46</v>
      </c>
      <c r="D122" s="81">
        <v>0.75</v>
      </c>
      <c r="E122" s="82">
        <v>2.0</v>
      </c>
      <c r="F122" s="82">
        <v>2.0</v>
      </c>
      <c r="G122" s="84">
        <f>'Start Here'!$F$21*D122</f>
        <v>75</v>
      </c>
      <c r="H122" s="68">
        <f t="shared" si="115"/>
        <v>4</v>
      </c>
      <c r="I122" s="252">
        <f t="shared" si="116"/>
        <v>300</v>
      </c>
      <c r="J122" s="68"/>
      <c r="K122" s="68"/>
      <c r="L122" s="68"/>
      <c r="M122" s="68"/>
      <c r="N122" s="75" t="str">
        <f t="shared" si="117"/>
        <v> </v>
      </c>
      <c r="O122" s="75" t="str">
        <f t="shared" si="118"/>
        <v> </v>
      </c>
      <c r="P122" s="75">
        <f t="shared" si="119"/>
        <v>4</v>
      </c>
      <c r="Q122" s="75" t="str">
        <f t="shared" si="120"/>
        <v> </v>
      </c>
      <c r="R122" s="75" t="str">
        <f t="shared" si="121"/>
        <v> </v>
      </c>
      <c r="S122" s="67"/>
      <c r="T122" s="67"/>
      <c r="U122" s="67"/>
      <c r="V122" s="67"/>
      <c r="W122" s="67"/>
      <c r="X122" s="67"/>
      <c r="Y122" s="67"/>
      <c r="Z122" s="67"/>
      <c r="AA122" s="67"/>
      <c r="AB122" s="67"/>
      <c r="AC122" s="85"/>
      <c r="AF122" s="86"/>
    </row>
    <row r="123" ht="12.75" customHeight="1">
      <c r="A123" s="1"/>
      <c r="B123" s="79"/>
      <c r="C123" s="80" t="s">
        <v>46</v>
      </c>
      <c r="D123" s="81">
        <v>0.85</v>
      </c>
      <c r="E123" s="82">
        <v>1.0</v>
      </c>
      <c r="F123" s="82">
        <v>4.0</v>
      </c>
      <c r="G123" s="84">
        <f>'Start Here'!$F$21*D123</f>
        <v>85</v>
      </c>
      <c r="H123" s="68">
        <f t="shared" si="115"/>
        <v>4</v>
      </c>
      <c r="I123" s="252">
        <f t="shared" si="116"/>
        <v>340</v>
      </c>
      <c r="J123" s="68"/>
      <c r="K123" s="68"/>
      <c r="L123" s="68"/>
      <c r="M123" s="68"/>
      <c r="N123" s="75" t="str">
        <f t="shared" si="117"/>
        <v> </v>
      </c>
      <c r="O123" s="75" t="str">
        <f t="shared" si="118"/>
        <v> </v>
      </c>
      <c r="P123" s="75" t="str">
        <f t="shared" si="119"/>
        <v> </v>
      </c>
      <c r="Q123" s="75">
        <f t="shared" si="120"/>
        <v>4</v>
      </c>
      <c r="R123" s="75" t="str">
        <f t="shared" si="121"/>
        <v> </v>
      </c>
      <c r="S123" s="67"/>
      <c r="T123" s="67"/>
      <c r="U123" s="67"/>
      <c r="V123" s="67"/>
      <c r="W123" s="67"/>
      <c r="X123" s="67"/>
      <c r="Y123" s="67"/>
      <c r="Z123" s="67"/>
      <c r="AA123" s="67"/>
      <c r="AB123" s="67"/>
      <c r="AC123" s="85"/>
      <c r="AF123" s="86"/>
    </row>
    <row r="124" ht="12.75" customHeight="1">
      <c r="A124" s="1"/>
      <c r="B124" s="87">
        <v>2.0</v>
      </c>
      <c r="C124" s="88" t="s">
        <v>45</v>
      </c>
      <c r="D124" s="89">
        <v>0.5</v>
      </c>
      <c r="E124" s="90">
        <v>3.0</v>
      </c>
      <c r="F124" s="90">
        <v>1.0</v>
      </c>
      <c r="G124" s="92">
        <f>'Start Here'!$F$22*D124</f>
        <v>50</v>
      </c>
      <c r="H124" s="68"/>
      <c r="I124" s="68"/>
      <c r="J124" s="68">
        <f t="shared" ref="J124:J127" si="122">E124*F124</f>
        <v>3</v>
      </c>
      <c r="K124" s="252">
        <f t="shared" ref="K124:K127" si="123">J124*G124</f>
        <v>150</v>
      </c>
      <c r="L124" s="68"/>
      <c r="M124" s="68"/>
      <c r="N124" s="67"/>
      <c r="O124" s="67"/>
      <c r="P124" s="67"/>
      <c r="Q124" s="67"/>
      <c r="R124" s="67"/>
      <c r="S124" s="93">
        <f t="shared" ref="S124:S127" si="124">IF(ISNUMBER(SEARCH("bench",$C124)),IF($D124&gt;=0.5,IF($D124&lt;0.6,$E124*$F124," ")," ")," ")</f>
        <v>3</v>
      </c>
      <c r="T124" s="93" t="str">
        <f t="shared" ref="T124:T127" si="125">IF(ISNUMBER(SEARCH("bench",$C124)),IF($D124&gt;=0.6,IF($D124&lt;0.7,$E124*$F124," ")," ")," ")</f>
        <v> </v>
      </c>
      <c r="U124" s="93" t="str">
        <f t="shared" ref="U124:U127" si="126">IF(ISNUMBER(SEARCH("bench",$C124)),IF($D124&gt;=0.7,IF($D124&lt;0.8,$E124*$F124," ")," ")," ")</f>
        <v> </v>
      </c>
      <c r="V124" s="93" t="str">
        <f t="shared" ref="V124:V127" si="127">IF(ISNUMBER(SEARCH("bench",$C124)),IF($D124&gt;=0.8,IF($D124&lt;0.9,$E124*$F124," ")," ")," ")</f>
        <v> </v>
      </c>
      <c r="W124" s="93" t="str">
        <f t="shared" ref="W124:W127" si="128">IF(ISNUMBER(SEARCH("bench",$C124)),IF($D124&gt;=0.9,$E124*$F124," ")," ")</f>
        <v> </v>
      </c>
      <c r="X124" s="67"/>
      <c r="Y124" s="67"/>
      <c r="Z124" s="67"/>
      <c r="AA124" s="67"/>
      <c r="AB124" s="67"/>
      <c r="AC124" s="85"/>
      <c r="AF124" s="86"/>
    </row>
    <row r="125" ht="12.75" customHeight="1">
      <c r="A125" s="1"/>
      <c r="B125" s="87"/>
      <c r="C125" s="94" t="s">
        <v>45</v>
      </c>
      <c r="D125" s="89">
        <v>0.6</v>
      </c>
      <c r="E125" s="90">
        <v>3.0</v>
      </c>
      <c r="F125" s="90">
        <v>1.0</v>
      </c>
      <c r="G125" s="92">
        <f>'Start Here'!$F$22*D125</f>
        <v>60</v>
      </c>
      <c r="H125" s="68"/>
      <c r="I125" s="68"/>
      <c r="J125" s="68">
        <f t="shared" si="122"/>
        <v>3</v>
      </c>
      <c r="K125" s="252">
        <f t="shared" si="123"/>
        <v>180</v>
      </c>
      <c r="L125" s="68"/>
      <c r="M125" s="68"/>
      <c r="N125" s="67"/>
      <c r="O125" s="67"/>
      <c r="P125" s="67"/>
      <c r="Q125" s="67"/>
      <c r="R125" s="67"/>
      <c r="S125" s="93" t="str">
        <f t="shared" si="124"/>
        <v> </v>
      </c>
      <c r="T125" s="93">
        <f t="shared" si="125"/>
        <v>3</v>
      </c>
      <c r="U125" s="93" t="str">
        <f t="shared" si="126"/>
        <v> </v>
      </c>
      <c r="V125" s="93" t="str">
        <f t="shared" si="127"/>
        <v> </v>
      </c>
      <c r="W125" s="93" t="str">
        <f t="shared" si="128"/>
        <v> </v>
      </c>
      <c r="X125" s="67"/>
      <c r="Y125" s="67"/>
      <c r="Z125" s="67"/>
      <c r="AA125" s="67"/>
      <c r="AB125" s="67"/>
      <c r="AC125" s="85"/>
      <c r="AF125" s="86"/>
    </row>
    <row r="126" ht="12.75" customHeight="1">
      <c r="A126" s="1"/>
      <c r="B126" s="87"/>
      <c r="C126" s="94" t="s">
        <v>45</v>
      </c>
      <c r="D126" s="89">
        <v>0.7</v>
      </c>
      <c r="E126" s="90">
        <v>3.0</v>
      </c>
      <c r="F126" s="90">
        <v>1.0</v>
      </c>
      <c r="G126" s="92">
        <f>'Start Here'!$F$22*D126</f>
        <v>70</v>
      </c>
      <c r="H126" s="68"/>
      <c r="I126" s="68"/>
      <c r="J126" s="68">
        <f t="shared" si="122"/>
        <v>3</v>
      </c>
      <c r="K126" s="252">
        <f t="shared" si="123"/>
        <v>210</v>
      </c>
      <c r="L126" s="68"/>
      <c r="M126" s="68"/>
      <c r="N126" s="67"/>
      <c r="O126" s="67"/>
      <c r="P126" s="67"/>
      <c r="Q126" s="67"/>
      <c r="R126" s="67"/>
      <c r="S126" s="93" t="str">
        <f t="shared" si="124"/>
        <v> </v>
      </c>
      <c r="T126" s="93" t="str">
        <f t="shared" si="125"/>
        <v> </v>
      </c>
      <c r="U126" s="93">
        <f t="shared" si="126"/>
        <v>3</v>
      </c>
      <c r="V126" s="93" t="str">
        <f t="shared" si="127"/>
        <v> </v>
      </c>
      <c r="W126" s="93" t="str">
        <f t="shared" si="128"/>
        <v> </v>
      </c>
      <c r="X126" s="67"/>
      <c r="Y126" s="67"/>
      <c r="Z126" s="67"/>
      <c r="AA126" s="67"/>
      <c r="AB126" s="67"/>
      <c r="AC126" s="85"/>
      <c r="AF126" s="86"/>
    </row>
    <row r="127" ht="12.75" customHeight="1">
      <c r="A127" s="1"/>
      <c r="B127" s="87"/>
      <c r="C127" s="94" t="s">
        <v>45</v>
      </c>
      <c r="D127" s="89">
        <v>0.8</v>
      </c>
      <c r="E127" s="90">
        <v>3.0</v>
      </c>
      <c r="F127" s="90">
        <v>4.0</v>
      </c>
      <c r="G127" s="92">
        <f>'Start Here'!$F$22*D127</f>
        <v>80</v>
      </c>
      <c r="H127" s="68"/>
      <c r="I127" s="68"/>
      <c r="J127" s="68">
        <f t="shared" si="122"/>
        <v>12</v>
      </c>
      <c r="K127" s="252">
        <f t="shared" si="123"/>
        <v>960</v>
      </c>
      <c r="L127" s="68"/>
      <c r="M127" s="68"/>
      <c r="N127" s="67"/>
      <c r="O127" s="67"/>
      <c r="P127" s="67"/>
      <c r="Q127" s="67"/>
      <c r="R127" s="67"/>
      <c r="S127" s="93" t="str">
        <f t="shared" si="124"/>
        <v> </v>
      </c>
      <c r="T127" s="93" t="str">
        <f t="shared" si="125"/>
        <v> </v>
      </c>
      <c r="U127" s="93" t="str">
        <f t="shared" si="126"/>
        <v> </v>
      </c>
      <c r="V127" s="93">
        <f t="shared" si="127"/>
        <v>12</v>
      </c>
      <c r="W127" s="93" t="str">
        <f t="shared" si="128"/>
        <v> </v>
      </c>
      <c r="X127" s="67"/>
      <c r="Y127" s="67"/>
      <c r="Z127" s="67"/>
      <c r="AA127" s="67"/>
      <c r="AB127" s="67"/>
      <c r="AC127" s="85"/>
      <c r="AF127" s="86"/>
    </row>
    <row r="128" ht="12.75" customHeight="1">
      <c r="A128" s="1"/>
      <c r="B128" s="96">
        <v>3.0</v>
      </c>
      <c r="C128" s="167" t="s">
        <v>92</v>
      </c>
      <c r="D128" s="168"/>
      <c r="E128" s="98">
        <v>6.0</v>
      </c>
      <c r="F128" s="98">
        <v>4.0</v>
      </c>
      <c r="G128" s="170"/>
      <c r="H128" s="68"/>
      <c r="I128" s="68"/>
      <c r="J128" s="68"/>
      <c r="K128" s="68"/>
      <c r="L128" s="68"/>
      <c r="M128" s="68"/>
      <c r="N128" s="67"/>
      <c r="O128" s="67"/>
      <c r="P128" s="67"/>
      <c r="Q128" s="67"/>
      <c r="R128" s="67"/>
      <c r="S128" s="67"/>
      <c r="T128" s="67"/>
      <c r="U128" s="67"/>
      <c r="V128" s="67"/>
      <c r="W128" s="67"/>
      <c r="X128" s="67"/>
      <c r="Y128" s="67"/>
      <c r="Z128" s="67"/>
      <c r="AA128" s="67"/>
      <c r="AB128" s="67"/>
      <c r="AC128" s="85"/>
      <c r="AF128" s="86"/>
    </row>
    <row r="129" ht="12.75" customHeight="1">
      <c r="A129" s="1"/>
      <c r="B129" s="175">
        <v>4.0</v>
      </c>
      <c r="C129" s="171" t="s">
        <v>57</v>
      </c>
      <c r="D129" s="177"/>
      <c r="E129" s="178">
        <v>8.0</v>
      </c>
      <c r="F129" s="178">
        <v>4.0</v>
      </c>
      <c r="G129" s="180"/>
      <c r="H129" s="68"/>
      <c r="I129" s="68"/>
      <c r="J129" s="68"/>
      <c r="K129" s="68"/>
      <c r="L129" s="68"/>
      <c r="M129" s="68"/>
      <c r="N129" s="67"/>
      <c r="O129" s="67"/>
      <c r="P129" s="67"/>
      <c r="Q129" s="67"/>
      <c r="R129" s="67"/>
      <c r="S129" s="67"/>
      <c r="T129" s="67"/>
      <c r="U129" s="67"/>
      <c r="V129" s="67"/>
      <c r="W129" s="67"/>
      <c r="X129" s="67"/>
      <c r="Y129" s="67"/>
      <c r="Z129" s="67"/>
      <c r="AA129" s="67"/>
      <c r="AB129" s="67"/>
      <c r="AC129" s="104"/>
      <c r="AD129" s="105"/>
      <c r="AE129" s="105"/>
      <c r="AF129" s="106"/>
    </row>
    <row r="130" ht="12.75" customHeight="1">
      <c r="A130" s="1"/>
      <c r="B130" s="67"/>
      <c r="C130" s="136"/>
      <c r="D130" s="137"/>
      <c r="E130" s="252"/>
      <c r="F130" s="68"/>
      <c r="G130" s="138"/>
      <c r="H130" s="68"/>
      <c r="I130" s="68"/>
      <c r="J130" s="68"/>
      <c r="K130" s="68"/>
      <c r="L130" s="68"/>
      <c r="M130" s="68"/>
      <c r="N130" s="67"/>
      <c r="O130" s="67"/>
      <c r="P130" s="67"/>
      <c r="Q130" s="67"/>
      <c r="R130" s="67"/>
      <c r="S130" s="67"/>
      <c r="T130" s="67"/>
      <c r="U130" s="67"/>
      <c r="V130" s="67"/>
      <c r="W130" s="67"/>
      <c r="X130" s="67"/>
      <c r="Y130" s="67"/>
      <c r="Z130" s="67"/>
      <c r="AA130" s="67"/>
      <c r="AB130" s="67"/>
      <c r="AC130" s="67"/>
      <c r="AD130" s="67"/>
      <c r="AE130" s="67"/>
      <c r="AF130" s="67"/>
    </row>
    <row r="131" ht="40.5" customHeight="1">
      <c r="A131" s="1"/>
      <c r="B131" s="68" t="s">
        <v>49</v>
      </c>
      <c r="D131" s="137" t="s">
        <v>34</v>
      </c>
      <c r="E131" s="252" t="s">
        <v>35</v>
      </c>
      <c r="F131" s="68" t="s">
        <v>36</v>
      </c>
      <c r="G131" s="138" t="s">
        <v>37</v>
      </c>
      <c r="H131" s="68"/>
      <c r="I131" s="68"/>
      <c r="J131" s="68"/>
      <c r="K131" s="68"/>
      <c r="L131" s="68"/>
      <c r="M131" s="68"/>
      <c r="N131" s="67"/>
      <c r="O131" s="67"/>
      <c r="P131" s="67"/>
      <c r="Q131" s="67"/>
      <c r="R131" s="67"/>
      <c r="S131" s="67"/>
      <c r="T131" s="67"/>
      <c r="U131" s="67"/>
      <c r="V131" s="67"/>
      <c r="W131" s="67"/>
      <c r="X131" s="67"/>
      <c r="Y131" s="67"/>
      <c r="Z131" s="67"/>
      <c r="AA131" s="67"/>
      <c r="AB131" s="67"/>
      <c r="AC131" s="67" t="s">
        <v>43</v>
      </c>
      <c r="AD131" s="67"/>
      <c r="AE131" s="67"/>
      <c r="AF131" s="67"/>
    </row>
    <row r="132" ht="12.75" customHeight="1">
      <c r="A132" s="1"/>
      <c r="B132" s="107">
        <v>1.0</v>
      </c>
      <c r="C132" s="108" t="s">
        <v>113</v>
      </c>
      <c r="D132" s="109">
        <v>0.5</v>
      </c>
      <c r="E132" s="110">
        <v>3.0</v>
      </c>
      <c r="F132" s="110">
        <v>1.0</v>
      </c>
      <c r="G132" s="112">
        <f>'Start Here'!$F$23*D132</f>
        <v>50</v>
      </c>
      <c r="H132" s="68"/>
      <c r="I132" s="68"/>
      <c r="J132" s="68"/>
      <c r="K132" s="68"/>
      <c r="L132" s="68">
        <f t="shared" ref="L132:L135" si="129">E132*F132</f>
        <v>3</v>
      </c>
      <c r="M132" s="68">
        <f t="shared" ref="M132:M135" si="130">L132*G132</f>
        <v>150</v>
      </c>
      <c r="N132" s="67"/>
      <c r="O132" s="67"/>
      <c r="P132" s="67"/>
      <c r="Q132" s="67"/>
      <c r="R132" s="67"/>
      <c r="S132" s="67"/>
      <c r="T132" s="67"/>
      <c r="U132" s="67"/>
      <c r="V132" s="67"/>
      <c r="W132" s="67"/>
      <c r="X132" s="114">
        <f t="shared" ref="X132:X135" si="131">IF(ISNUMBER(SEARCH("deadlift",$C132)),IF($D132&gt;=0.5,IF($D132&lt;0.6,$E132*$F132," ")," ")," ")</f>
        <v>3</v>
      </c>
      <c r="Y132" s="114" t="str">
        <f t="shared" ref="Y132:Y135" si="132">IF(ISNUMBER(SEARCH("deadlift",$C132)),IF($D132&gt;=0.6,IF($D132&lt;0.7,$E132*$F132," ")," ")," ")</f>
        <v> </v>
      </c>
      <c r="Z132" s="114" t="str">
        <f t="shared" ref="Z132:Z135" si="133">IF(ISNUMBER(SEARCH("deadlift",$C132)),IF($D132&gt;=0.7,IF($D132&lt;0.8,$E132*$F132," ")," ")," ")</f>
        <v> </v>
      </c>
      <c r="AA132" s="114" t="str">
        <f t="shared" ref="AA132:AA135" si="134">IF(ISNUMBER(SEARCH("deadlift",$C132)),IF($D132&gt;=0.8,IF($D132&lt;0.9,$E132*$F132," ")," ")," ")</f>
        <v> </v>
      </c>
      <c r="AB132" s="114" t="str">
        <f t="shared" ref="AB132:AB135" si="135">IF(ISNUMBER(SEARCH("deadlift",$C132)),IF($D132&gt;=0.9,$E132*$F132," ")," ")</f>
        <v> </v>
      </c>
      <c r="AC132" s="76"/>
      <c r="AD132" s="77"/>
      <c r="AE132" s="77"/>
      <c r="AF132" s="78"/>
    </row>
    <row r="133" ht="12.75" customHeight="1">
      <c r="A133" s="1"/>
      <c r="B133" s="115"/>
      <c r="C133" s="122" t="s">
        <v>113</v>
      </c>
      <c r="D133" s="117">
        <v>0.6</v>
      </c>
      <c r="E133" s="118">
        <v>3.0</v>
      </c>
      <c r="F133" s="118">
        <v>1.0</v>
      </c>
      <c r="G133" s="120">
        <f>'Start Here'!$F$23*D133</f>
        <v>60</v>
      </c>
      <c r="H133" s="68"/>
      <c r="I133" s="68"/>
      <c r="J133" s="68"/>
      <c r="K133" s="68"/>
      <c r="L133" s="68">
        <f t="shared" si="129"/>
        <v>3</v>
      </c>
      <c r="M133" s="68">
        <f t="shared" si="130"/>
        <v>180</v>
      </c>
      <c r="N133" s="67"/>
      <c r="O133" s="67"/>
      <c r="P133" s="67"/>
      <c r="Q133" s="67"/>
      <c r="R133" s="67"/>
      <c r="S133" s="67"/>
      <c r="T133" s="67"/>
      <c r="U133" s="67"/>
      <c r="V133" s="67"/>
      <c r="W133" s="67"/>
      <c r="X133" s="114" t="str">
        <f t="shared" si="131"/>
        <v> </v>
      </c>
      <c r="Y133" s="114">
        <f t="shared" si="132"/>
        <v>3</v>
      </c>
      <c r="Z133" s="114" t="str">
        <f t="shared" si="133"/>
        <v> </v>
      </c>
      <c r="AA133" s="114" t="str">
        <f t="shared" si="134"/>
        <v> </v>
      </c>
      <c r="AB133" s="114" t="str">
        <f t="shared" si="135"/>
        <v> </v>
      </c>
      <c r="AC133" s="85"/>
      <c r="AF133" s="86"/>
    </row>
    <row r="134" ht="12.75" customHeight="1">
      <c r="A134" s="1"/>
      <c r="B134" s="115"/>
      <c r="C134" s="122" t="s">
        <v>113</v>
      </c>
      <c r="D134" s="117">
        <v>0.7</v>
      </c>
      <c r="E134" s="118">
        <v>3.0</v>
      </c>
      <c r="F134" s="118">
        <v>1.0</v>
      </c>
      <c r="G134" s="120">
        <f>'Start Here'!$F$23*D134</f>
        <v>70</v>
      </c>
      <c r="H134" s="68"/>
      <c r="I134" s="68"/>
      <c r="J134" s="68"/>
      <c r="K134" s="68"/>
      <c r="L134" s="68">
        <f t="shared" si="129"/>
        <v>3</v>
      </c>
      <c r="M134" s="68">
        <f t="shared" si="130"/>
        <v>210</v>
      </c>
      <c r="N134" s="67"/>
      <c r="O134" s="67"/>
      <c r="P134" s="67"/>
      <c r="Q134" s="67"/>
      <c r="R134" s="67"/>
      <c r="S134" s="67"/>
      <c r="T134" s="67"/>
      <c r="U134" s="67"/>
      <c r="V134" s="67"/>
      <c r="W134" s="67"/>
      <c r="X134" s="114" t="str">
        <f t="shared" si="131"/>
        <v> </v>
      </c>
      <c r="Y134" s="114" t="str">
        <f t="shared" si="132"/>
        <v> </v>
      </c>
      <c r="Z134" s="114">
        <f t="shared" si="133"/>
        <v>3</v>
      </c>
      <c r="AA134" s="114" t="str">
        <f t="shared" si="134"/>
        <v> </v>
      </c>
      <c r="AB134" s="114" t="str">
        <f t="shared" si="135"/>
        <v> </v>
      </c>
      <c r="AC134" s="85"/>
      <c r="AF134" s="86"/>
    </row>
    <row r="135" ht="12.75" customHeight="1">
      <c r="A135" s="1"/>
      <c r="B135" s="115"/>
      <c r="C135" s="122" t="s">
        <v>113</v>
      </c>
      <c r="D135" s="117">
        <v>0.75</v>
      </c>
      <c r="E135" s="118">
        <v>2.0</v>
      </c>
      <c r="F135" s="118">
        <v>3.0</v>
      </c>
      <c r="G135" s="120">
        <f>'Start Here'!$F$23*D135</f>
        <v>75</v>
      </c>
      <c r="H135" s="68"/>
      <c r="I135" s="68"/>
      <c r="J135" s="68"/>
      <c r="K135" s="68"/>
      <c r="L135" s="68">
        <f t="shared" si="129"/>
        <v>6</v>
      </c>
      <c r="M135" s="68">
        <f t="shared" si="130"/>
        <v>450</v>
      </c>
      <c r="N135" s="67"/>
      <c r="O135" s="67"/>
      <c r="P135" s="67"/>
      <c r="Q135" s="67"/>
      <c r="R135" s="67"/>
      <c r="S135" s="67"/>
      <c r="T135" s="67"/>
      <c r="U135" s="67"/>
      <c r="V135" s="67"/>
      <c r="W135" s="67"/>
      <c r="X135" s="114" t="str">
        <f t="shared" si="131"/>
        <v> </v>
      </c>
      <c r="Y135" s="114" t="str">
        <f t="shared" si="132"/>
        <v> </v>
      </c>
      <c r="Z135" s="114">
        <f t="shared" si="133"/>
        <v>6</v>
      </c>
      <c r="AA135" s="114" t="str">
        <f t="shared" si="134"/>
        <v> </v>
      </c>
      <c r="AB135" s="114" t="str">
        <f t="shared" si="135"/>
        <v> </v>
      </c>
      <c r="AC135" s="85"/>
      <c r="AF135" s="86"/>
    </row>
    <row r="136" ht="12.75" customHeight="1">
      <c r="A136" s="1"/>
      <c r="B136" s="87">
        <v>2.0</v>
      </c>
      <c r="C136" s="88" t="s">
        <v>45</v>
      </c>
      <c r="D136" s="89">
        <v>0.5</v>
      </c>
      <c r="E136" s="90">
        <v>3.0</v>
      </c>
      <c r="F136" s="90">
        <v>1.0</v>
      </c>
      <c r="G136" s="92">
        <f>'Start Here'!$F$22*D136</f>
        <v>50</v>
      </c>
      <c r="H136" s="68"/>
      <c r="I136" s="68"/>
      <c r="J136" s="68">
        <f t="shared" ref="J136:J140" si="136">E136*F136</f>
        <v>3</v>
      </c>
      <c r="K136" s="252">
        <f t="shared" ref="K136:K140" si="137">J136*G136</f>
        <v>150</v>
      </c>
      <c r="L136" s="68"/>
      <c r="M136" s="68"/>
      <c r="N136" s="67"/>
      <c r="O136" s="67"/>
      <c r="P136" s="67"/>
      <c r="Q136" s="67"/>
      <c r="R136" s="67"/>
      <c r="S136" s="93">
        <f t="shared" ref="S136:S140" si="138">IF(ISNUMBER(SEARCH("bench",$C136)),IF($D136&gt;=0.5,IF($D136&lt;0.6,$E136*$F136," ")," ")," ")</f>
        <v>3</v>
      </c>
      <c r="T136" s="93" t="str">
        <f t="shared" ref="T136:T140" si="139">IF(ISNUMBER(SEARCH("bench",$C136)),IF($D136&gt;=0.6,IF($D136&lt;0.7,$E136*$F136," ")," ")," ")</f>
        <v> </v>
      </c>
      <c r="U136" s="93" t="str">
        <f t="shared" ref="U136:U140" si="140">IF(ISNUMBER(SEARCH("bench",$C136)),IF($D136&gt;=0.7,IF($D136&lt;0.8,$E136*$F136," ")," ")," ")</f>
        <v> </v>
      </c>
      <c r="V136" s="93" t="str">
        <f t="shared" ref="V136:V140" si="141">IF(ISNUMBER(SEARCH("bench",$C136)),IF($D136&gt;=0.8,IF($D136&lt;0.9,$E136*$F136," ")," ")," ")</f>
        <v> </v>
      </c>
      <c r="W136" s="93" t="str">
        <f t="shared" ref="W136:W140" si="142">IF(ISNUMBER(SEARCH("bench",$C136)),IF($D136&gt;=0.9,$E136*$F136," ")," ")</f>
        <v> </v>
      </c>
      <c r="X136" s="67"/>
      <c r="Y136" s="67"/>
      <c r="Z136" s="67"/>
      <c r="AA136" s="67"/>
      <c r="AB136" s="67"/>
      <c r="AC136" s="85"/>
      <c r="AF136" s="86"/>
    </row>
    <row r="137" ht="12.75" customHeight="1">
      <c r="A137" s="1"/>
      <c r="B137" s="87"/>
      <c r="C137" s="94" t="s">
        <v>45</v>
      </c>
      <c r="D137" s="89">
        <v>0.6</v>
      </c>
      <c r="E137" s="90">
        <v>3.0</v>
      </c>
      <c r="F137" s="90">
        <v>1.0</v>
      </c>
      <c r="G137" s="92">
        <f>'Start Here'!$F$22*D137</f>
        <v>60</v>
      </c>
      <c r="H137" s="68"/>
      <c r="I137" s="68"/>
      <c r="J137" s="68">
        <f t="shared" si="136"/>
        <v>3</v>
      </c>
      <c r="K137" s="252">
        <f t="shared" si="137"/>
        <v>180</v>
      </c>
      <c r="L137" s="68"/>
      <c r="M137" s="68"/>
      <c r="N137" s="67"/>
      <c r="O137" s="67"/>
      <c r="P137" s="67"/>
      <c r="Q137" s="67"/>
      <c r="R137" s="67"/>
      <c r="S137" s="93" t="str">
        <f t="shared" si="138"/>
        <v> </v>
      </c>
      <c r="T137" s="93">
        <f t="shared" si="139"/>
        <v>3</v>
      </c>
      <c r="U137" s="93" t="str">
        <f t="shared" si="140"/>
        <v> </v>
      </c>
      <c r="V137" s="93" t="str">
        <f t="shared" si="141"/>
        <v> </v>
      </c>
      <c r="W137" s="93" t="str">
        <f t="shared" si="142"/>
        <v> </v>
      </c>
      <c r="X137" s="67"/>
      <c r="Y137" s="67"/>
      <c r="Z137" s="67"/>
      <c r="AA137" s="67"/>
      <c r="AB137" s="67"/>
      <c r="AC137" s="85"/>
      <c r="AF137" s="86"/>
    </row>
    <row r="138" ht="12.75" customHeight="1">
      <c r="A138" s="1"/>
      <c r="B138" s="87"/>
      <c r="C138" s="94" t="s">
        <v>45</v>
      </c>
      <c r="D138" s="89">
        <v>0.7</v>
      </c>
      <c r="E138" s="90">
        <v>3.0</v>
      </c>
      <c r="F138" s="90">
        <v>1.0</v>
      </c>
      <c r="G138" s="92">
        <f>'Start Here'!$F$22*D138</f>
        <v>70</v>
      </c>
      <c r="H138" s="68"/>
      <c r="I138" s="68"/>
      <c r="J138" s="68">
        <f t="shared" si="136"/>
        <v>3</v>
      </c>
      <c r="K138" s="252">
        <f t="shared" si="137"/>
        <v>210</v>
      </c>
      <c r="L138" s="68"/>
      <c r="M138" s="68"/>
      <c r="N138" s="67"/>
      <c r="O138" s="67"/>
      <c r="P138" s="67"/>
      <c r="Q138" s="67"/>
      <c r="R138" s="67"/>
      <c r="S138" s="93" t="str">
        <f t="shared" si="138"/>
        <v> </v>
      </c>
      <c r="T138" s="93" t="str">
        <f t="shared" si="139"/>
        <v> </v>
      </c>
      <c r="U138" s="93">
        <f t="shared" si="140"/>
        <v>3</v>
      </c>
      <c r="V138" s="93" t="str">
        <f t="shared" si="141"/>
        <v> </v>
      </c>
      <c r="W138" s="93" t="str">
        <f t="shared" si="142"/>
        <v> </v>
      </c>
      <c r="X138" s="67"/>
      <c r="Y138" s="67"/>
      <c r="Z138" s="67"/>
      <c r="AA138" s="67"/>
      <c r="AB138" s="67"/>
      <c r="AC138" s="85"/>
      <c r="AF138" s="86"/>
    </row>
    <row r="139" ht="12.75" customHeight="1">
      <c r="A139" s="1"/>
      <c r="B139" s="87"/>
      <c r="C139" s="94" t="s">
        <v>45</v>
      </c>
      <c r="D139" s="89">
        <v>0.8</v>
      </c>
      <c r="E139" s="90">
        <v>2.0</v>
      </c>
      <c r="F139" s="90">
        <v>2.0</v>
      </c>
      <c r="G139" s="92">
        <f>'Start Here'!$F$22*D139</f>
        <v>80</v>
      </c>
      <c r="H139" s="68"/>
      <c r="I139" s="68"/>
      <c r="J139" s="68">
        <f t="shared" si="136"/>
        <v>4</v>
      </c>
      <c r="K139" s="252">
        <f t="shared" si="137"/>
        <v>320</v>
      </c>
      <c r="L139" s="68"/>
      <c r="M139" s="68"/>
      <c r="N139" s="67"/>
      <c r="O139" s="67"/>
      <c r="P139" s="67"/>
      <c r="Q139" s="67"/>
      <c r="R139" s="67"/>
      <c r="S139" s="93" t="str">
        <f t="shared" si="138"/>
        <v> </v>
      </c>
      <c r="T139" s="93" t="str">
        <f t="shared" si="139"/>
        <v> </v>
      </c>
      <c r="U139" s="93" t="str">
        <f t="shared" si="140"/>
        <v> </v>
      </c>
      <c r="V139" s="93">
        <f t="shared" si="141"/>
        <v>4</v>
      </c>
      <c r="W139" s="93" t="str">
        <f t="shared" si="142"/>
        <v> </v>
      </c>
      <c r="X139" s="67"/>
      <c r="Y139" s="67"/>
      <c r="Z139" s="67"/>
      <c r="AA139" s="67"/>
      <c r="AB139" s="67"/>
      <c r="AC139" s="85"/>
      <c r="AF139" s="86"/>
    </row>
    <row r="140" ht="12.75" customHeight="1">
      <c r="A140" s="1"/>
      <c r="B140" s="87"/>
      <c r="C140" s="94" t="s">
        <v>45</v>
      </c>
      <c r="D140" s="89">
        <v>0.85</v>
      </c>
      <c r="E140" s="90">
        <v>1.0</v>
      </c>
      <c r="F140" s="90">
        <v>3.0</v>
      </c>
      <c r="G140" s="92">
        <f>'Start Here'!$F$22*D140</f>
        <v>85</v>
      </c>
      <c r="H140" s="68"/>
      <c r="I140" s="68"/>
      <c r="J140" s="68">
        <f t="shared" si="136"/>
        <v>3</v>
      </c>
      <c r="K140" s="252">
        <f t="shared" si="137"/>
        <v>255</v>
      </c>
      <c r="L140" s="68"/>
      <c r="M140" s="68"/>
      <c r="N140" s="67"/>
      <c r="O140" s="67"/>
      <c r="P140" s="67"/>
      <c r="Q140" s="67"/>
      <c r="R140" s="67"/>
      <c r="S140" s="93" t="str">
        <f t="shared" si="138"/>
        <v> </v>
      </c>
      <c r="T140" s="93" t="str">
        <f t="shared" si="139"/>
        <v> </v>
      </c>
      <c r="U140" s="93" t="str">
        <f t="shared" si="140"/>
        <v> </v>
      </c>
      <c r="V140" s="93">
        <f t="shared" si="141"/>
        <v>3</v>
      </c>
      <c r="W140" s="93" t="str">
        <f t="shared" si="142"/>
        <v> </v>
      </c>
      <c r="X140" s="67"/>
      <c r="Y140" s="67"/>
      <c r="Z140" s="67"/>
      <c r="AA140" s="67"/>
      <c r="AB140" s="67"/>
      <c r="AC140" s="85"/>
      <c r="AF140" s="86"/>
    </row>
    <row r="141" ht="12.75" customHeight="1">
      <c r="A141" s="1"/>
      <c r="B141" s="115">
        <v>3.0</v>
      </c>
      <c r="C141" s="121" t="s">
        <v>122</v>
      </c>
      <c r="D141" s="117">
        <v>0.5</v>
      </c>
      <c r="E141" s="118">
        <v>3.0</v>
      </c>
      <c r="F141" s="118">
        <v>1.0</v>
      </c>
      <c r="G141" s="120">
        <f>'Start Here'!$F$23*D141</f>
        <v>50</v>
      </c>
      <c r="H141" s="68"/>
      <c r="I141" s="68"/>
      <c r="J141" s="68"/>
      <c r="K141" s="68"/>
      <c r="L141" s="68">
        <f t="shared" ref="L141:L144" si="143">E141*F141</f>
        <v>3</v>
      </c>
      <c r="M141" s="68">
        <f t="shared" ref="M141:M144" si="144">L141*G141</f>
        <v>150</v>
      </c>
      <c r="N141" s="67"/>
      <c r="O141" s="67"/>
      <c r="P141" s="67"/>
      <c r="Q141" s="67"/>
      <c r="R141" s="67"/>
      <c r="S141" s="67"/>
      <c r="T141" s="67"/>
      <c r="U141" s="67"/>
      <c r="V141" s="67"/>
      <c r="W141" s="67"/>
      <c r="X141" s="114">
        <f t="shared" ref="X141:X144" si="145">IF(ISNUMBER(SEARCH("deadlift",$C141)),IF($D141&gt;=0.5,IF($D141&lt;0.6,$E141*$F141," ")," ")," ")</f>
        <v>3</v>
      </c>
      <c r="Y141" s="114" t="str">
        <f t="shared" ref="Y141:Y144" si="146">IF(ISNUMBER(SEARCH("deadlift",$C141)),IF($D141&gt;=0.6,IF($D141&lt;0.7,$E141*$F141," ")," ")," ")</f>
        <v> </v>
      </c>
      <c r="Z141" s="114" t="str">
        <f t="shared" ref="Z141:Z144" si="147">IF(ISNUMBER(SEARCH("deadlift",$C141)),IF($D141&gt;=0.7,IF($D141&lt;0.8,$E141*$F141," ")," ")," ")</f>
        <v> </v>
      </c>
      <c r="AA141" s="114" t="str">
        <f t="shared" ref="AA141:AA144" si="148">IF(ISNUMBER(SEARCH("deadlift",$C141)),IF($D141&gt;=0.8,IF($D141&lt;0.9,$E141*$F141," ")," ")," ")</f>
        <v> </v>
      </c>
      <c r="AB141" s="114" t="str">
        <f t="shared" ref="AB141:AB144" si="149">IF(ISNUMBER(SEARCH("deadlift",$C141)),IF($D141&gt;=0.9,$E141*$F141," ")," ")</f>
        <v> </v>
      </c>
      <c r="AC141" s="85"/>
      <c r="AF141" s="86"/>
    </row>
    <row r="142" ht="12.75" customHeight="1">
      <c r="A142" s="1"/>
      <c r="B142" s="115"/>
      <c r="C142" s="122" t="s">
        <v>122</v>
      </c>
      <c r="D142" s="117">
        <v>0.6</v>
      </c>
      <c r="E142" s="118">
        <v>3.0</v>
      </c>
      <c r="F142" s="118">
        <v>1.0</v>
      </c>
      <c r="G142" s="120">
        <f>'Start Here'!$F$23*D142</f>
        <v>60</v>
      </c>
      <c r="H142" s="68"/>
      <c r="I142" s="68"/>
      <c r="J142" s="68"/>
      <c r="K142" s="68"/>
      <c r="L142" s="68">
        <f t="shared" si="143"/>
        <v>3</v>
      </c>
      <c r="M142" s="68">
        <f t="shared" si="144"/>
        <v>180</v>
      </c>
      <c r="N142" s="67"/>
      <c r="O142" s="67"/>
      <c r="P142" s="67"/>
      <c r="Q142" s="67"/>
      <c r="R142" s="67"/>
      <c r="S142" s="67"/>
      <c r="T142" s="67"/>
      <c r="U142" s="67"/>
      <c r="V142" s="67"/>
      <c r="W142" s="67"/>
      <c r="X142" s="114" t="str">
        <f t="shared" si="145"/>
        <v> </v>
      </c>
      <c r="Y142" s="114">
        <f t="shared" si="146"/>
        <v>3</v>
      </c>
      <c r="Z142" s="114" t="str">
        <f t="shared" si="147"/>
        <v> </v>
      </c>
      <c r="AA142" s="114" t="str">
        <f t="shared" si="148"/>
        <v> </v>
      </c>
      <c r="AB142" s="114" t="str">
        <f t="shared" si="149"/>
        <v> </v>
      </c>
      <c r="AC142" s="85"/>
      <c r="AF142" s="86"/>
    </row>
    <row r="143" ht="12.75" customHeight="1">
      <c r="A143" s="1"/>
      <c r="B143" s="115"/>
      <c r="C143" s="122" t="s">
        <v>122</v>
      </c>
      <c r="D143" s="117">
        <v>0.7</v>
      </c>
      <c r="E143" s="118">
        <v>3.0</v>
      </c>
      <c r="F143" s="118">
        <v>1.0</v>
      </c>
      <c r="G143" s="120">
        <f>'Start Here'!$F$23*D143</f>
        <v>70</v>
      </c>
      <c r="H143" s="68"/>
      <c r="I143" s="68"/>
      <c r="J143" s="68"/>
      <c r="K143" s="68"/>
      <c r="L143" s="68">
        <f t="shared" si="143"/>
        <v>3</v>
      </c>
      <c r="M143" s="68">
        <f t="shared" si="144"/>
        <v>210</v>
      </c>
      <c r="N143" s="67"/>
      <c r="O143" s="67"/>
      <c r="P143" s="67"/>
      <c r="Q143" s="67"/>
      <c r="R143" s="67"/>
      <c r="S143" s="67"/>
      <c r="T143" s="67"/>
      <c r="U143" s="67"/>
      <c r="V143" s="67"/>
      <c r="W143" s="67"/>
      <c r="X143" s="114" t="str">
        <f t="shared" si="145"/>
        <v> </v>
      </c>
      <c r="Y143" s="114" t="str">
        <f t="shared" si="146"/>
        <v> </v>
      </c>
      <c r="Z143" s="114">
        <f t="shared" si="147"/>
        <v>3</v>
      </c>
      <c r="AA143" s="114" t="str">
        <f t="shared" si="148"/>
        <v> </v>
      </c>
      <c r="AB143" s="114" t="str">
        <f t="shared" si="149"/>
        <v> </v>
      </c>
      <c r="AC143" s="85"/>
      <c r="AF143" s="86"/>
    </row>
    <row r="144" ht="12.75" customHeight="1">
      <c r="A144" s="1"/>
      <c r="B144" s="115"/>
      <c r="C144" s="122" t="s">
        <v>122</v>
      </c>
      <c r="D144" s="117">
        <v>0.8</v>
      </c>
      <c r="E144" s="118">
        <v>2.0</v>
      </c>
      <c r="F144" s="118">
        <v>4.0</v>
      </c>
      <c r="G144" s="120">
        <f>'Start Here'!$F$23*D144</f>
        <v>80</v>
      </c>
      <c r="H144" s="68"/>
      <c r="I144" s="68"/>
      <c r="J144" s="68"/>
      <c r="K144" s="68"/>
      <c r="L144" s="68">
        <f t="shared" si="143"/>
        <v>8</v>
      </c>
      <c r="M144" s="68">
        <f t="shared" si="144"/>
        <v>640</v>
      </c>
      <c r="N144" s="67"/>
      <c r="O144" s="67"/>
      <c r="P144" s="67"/>
      <c r="Q144" s="67"/>
      <c r="R144" s="67"/>
      <c r="S144" s="67"/>
      <c r="T144" s="67"/>
      <c r="U144" s="67"/>
      <c r="V144" s="67"/>
      <c r="W144" s="67"/>
      <c r="X144" s="114" t="str">
        <f t="shared" si="145"/>
        <v> </v>
      </c>
      <c r="Y144" s="114" t="str">
        <f t="shared" si="146"/>
        <v> </v>
      </c>
      <c r="Z144" s="114" t="str">
        <f t="shared" si="147"/>
        <v> </v>
      </c>
      <c r="AA144" s="114">
        <f t="shared" si="148"/>
        <v>8</v>
      </c>
      <c r="AB144" s="114" t="str">
        <f t="shared" si="149"/>
        <v> </v>
      </c>
      <c r="AC144" s="85"/>
      <c r="AF144" s="86"/>
    </row>
    <row r="145" ht="12.75" customHeight="1">
      <c r="A145" s="1"/>
      <c r="B145" s="96">
        <v>4.0</v>
      </c>
      <c r="C145" s="167" t="s">
        <v>95</v>
      </c>
      <c r="D145" s="168"/>
      <c r="E145" s="98">
        <v>6.0</v>
      </c>
      <c r="F145" s="98">
        <v>4.0</v>
      </c>
      <c r="G145" s="170"/>
      <c r="H145" s="68"/>
      <c r="I145" s="68"/>
      <c r="J145" s="68"/>
      <c r="K145" s="68"/>
      <c r="L145" s="68"/>
      <c r="M145" s="68"/>
      <c r="N145" s="67"/>
      <c r="O145" s="67"/>
      <c r="P145" s="67"/>
      <c r="Q145" s="67"/>
      <c r="R145" s="67"/>
      <c r="S145" s="67"/>
      <c r="T145" s="67"/>
      <c r="U145" s="67"/>
      <c r="V145" s="67"/>
      <c r="W145" s="67"/>
      <c r="X145" s="67"/>
      <c r="Y145" s="67"/>
      <c r="Z145" s="67"/>
      <c r="AA145" s="67"/>
      <c r="AB145" s="67"/>
      <c r="AC145" s="85"/>
      <c r="AF145" s="86"/>
    </row>
    <row r="146" ht="12.75" customHeight="1">
      <c r="A146" s="1"/>
      <c r="B146" s="100">
        <v>5.0</v>
      </c>
      <c r="C146" s="171" t="s">
        <v>48</v>
      </c>
      <c r="D146" s="172"/>
      <c r="E146" s="102">
        <v>8.0</v>
      </c>
      <c r="F146" s="102">
        <v>3.0</v>
      </c>
      <c r="G146" s="174"/>
      <c r="H146" s="68"/>
      <c r="I146" s="68"/>
      <c r="J146" s="68"/>
      <c r="K146" s="68"/>
      <c r="L146" s="68"/>
      <c r="M146" s="68"/>
      <c r="N146" s="67"/>
      <c r="O146" s="67"/>
      <c r="P146" s="67"/>
      <c r="Q146" s="67"/>
      <c r="R146" s="67"/>
      <c r="S146" s="67"/>
      <c r="T146" s="67"/>
      <c r="U146" s="67"/>
      <c r="V146" s="67"/>
      <c r="W146" s="67"/>
      <c r="X146" s="67"/>
      <c r="Y146" s="67"/>
      <c r="Z146" s="67"/>
      <c r="AA146" s="67"/>
      <c r="AB146" s="67"/>
      <c r="AC146" s="104"/>
      <c r="AD146" s="105"/>
      <c r="AE146" s="105"/>
      <c r="AF146" s="106"/>
    </row>
    <row r="147" ht="12.75" customHeight="1">
      <c r="A147" s="1"/>
      <c r="B147" s="67"/>
      <c r="C147" s="136"/>
      <c r="D147" s="137"/>
      <c r="E147" s="252"/>
      <c r="F147" s="68"/>
      <c r="G147" s="138"/>
      <c r="H147" s="68"/>
      <c r="I147" s="68"/>
      <c r="J147" s="68"/>
      <c r="K147" s="68"/>
      <c r="L147" s="68"/>
      <c r="M147" s="68"/>
      <c r="N147" s="67"/>
      <c r="O147" s="67"/>
      <c r="P147" s="67"/>
      <c r="Q147" s="67"/>
      <c r="R147" s="67"/>
      <c r="S147" s="67"/>
      <c r="T147" s="67"/>
      <c r="U147" s="67"/>
      <c r="V147" s="67"/>
      <c r="W147" s="67"/>
      <c r="X147" s="67"/>
      <c r="Y147" s="67"/>
      <c r="Z147" s="67"/>
      <c r="AA147" s="67"/>
      <c r="AB147" s="67"/>
      <c r="AC147" s="67"/>
      <c r="AD147" s="67"/>
      <c r="AE147" s="67"/>
      <c r="AF147" s="67"/>
    </row>
    <row r="148" ht="37.5" customHeight="1">
      <c r="A148" s="1"/>
      <c r="B148" s="68" t="s">
        <v>54</v>
      </c>
      <c r="D148" s="137" t="s">
        <v>34</v>
      </c>
      <c r="E148" s="252" t="s">
        <v>35</v>
      </c>
      <c r="F148" s="68" t="s">
        <v>36</v>
      </c>
      <c r="G148" s="138" t="s">
        <v>37</v>
      </c>
      <c r="H148" s="68"/>
      <c r="I148" s="68"/>
      <c r="J148" s="68"/>
      <c r="K148" s="68"/>
      <c r="L148" s="68"/>
      <c r="M148" s="68"/>
      <c r="N148" s="67"/>
      <c r="O148" s="67"/>
      <c r="P148" s="67"/>
      <c r="Q148" s="67"/>
      <c r="R148" s="67"/>
      <c r="S148" s="67"/>
      <c r="T148" s="67"/>
      <c r="U148" s="67"/>
      <c r="V148" s="67"/>
      <c r="W148" s="67"/>
      <c r="X148" s="67"/>
      <c r="Y148" s="67"/>
      <c r="Z148" s="67"/>
      <c r="AA148" s="67"/>
      <c r="AB148" s="67"/>
      <c r="AC148" s="67" t="s">
        <v>43</v>
      </c>
      <c r="AD148" s="67"/>
      <c r="AE148" s="67"/>
      <c r="AF148" s="67"/>
    </row>
    <row r="149" ht="12.75" customHeight="1">
      <c r="A149" s="1"/>
      <c r="B149" s="69">
        <v>1.0</v>
      </c>
      <c r="C149" s="70" t="s">
        <v>46</v>
      </c>
      <c r="D149" s="71">
        <v>0.5</v>
      </c>
      <c r="E149" s="145">
        <v>3.0</v>
      </c>
      <c r="F149" s="145">
        <v>1.0</v>
      </c>
      <c r="G149" s="73">
        <f>'Start Here'!$F$21*D149</f>
        <v>50</v>
      </c>
      <c r="H149" s="68">
        <f t="shared" ref="H149:H152" si="150">E149*F149</f>
        <v>3</v>
      </c>
      <c r="I149" s="252">
        <f t="shared" ref="I149:I152" si="151">H149*G149</f>
        <v>150</v>
      </c>
      <c r="J149" s="68"/>
      <c r="K149" s="68"/>
      <c r="L149" s="68"/>
      <c r="M149" s="68"/>
      <c r="N149" s="75">
        <f t="shared" ref="N149:N152" si="152">IF(ISNUMBER(SEARCH("squat",$C149)),IF($D149&gt;=0.5,IF($D149&lt;0.6,$E149*$F149," ")," ")," ")</f>
        <v>3</v>
      </c>
      <c r="O149" s="75" t="str">
        <f t="shared" ref="O149:O152" si="153">IF(ISNUMBER(SEARCH("squat",$C149)),IF($D149&gt;=0.6,IF($D149&lt;0.7,$E149*$F149," ")," ")," ")</f>
        <v> </v>
      </c>
      <c r="P149" s="75" t="str">
        <f t="shared" ref="P149:P152" si="154">IF(ISNUMBER(SEARCH("squat",$C149)),IF($D149&gt;=0.7,IF($D149&lt;0.8,$E149*$F149," ")," ")," ")</f>
        <v> </v>
      </c>
      <c r="Q149" s="75" t="str">
        <f t="shared" ref="Q149:Q152" si="155">IF(ISNUMBER(SEARCH("squat",$C149)),IF($D149&gt;=0.8,IF($D149&lt;0.9,$E149*$F149," ")," ")," ")</f>
        <v> </v>
      </c>
      <c r="R149" s="75" t="str">
        <f t="shared" ref="R149:R152" si="156">IF(ISNUMBER(SEARCH("squat",$C149)),IF($D149&gt;=0.9,$E149*$F149," ")," ")</f>
        <v> </v>
      </c>
      <c r="S149" s="67"/>
      <c r="T149" s="67"/>
      <c r="U149" s="67"/>
      <c r="V149" s="67"/>
      <c r="W149" s="67"/>
      <c r="X149" s="67"/>
      <c r="Y149" s="67"/>
      <c r="Z149" s="67"/>
      <c r="AA149" s="67"/>
      <c r="AB149" s="67"/>
      <c r="AC149" s="76"/>
      <c r="AD149" s="77"/>
      <c r="AE149" s="77"/>
      <c r="AF149" s="78"/>
    </row>
    <row r="150" ht="12.75" customHeight="1">
      <c r="A150" s="1"/>
      <c r="B150" s="79"/>
      <c r="C150" s="80" t="s">
        <v>46</v>
      </c>
      <c r="D150" s="81">
        <v>0.6</v>
      </c>
      <c r="E150" s="82">
        <v>3.0</v>
      </c>
      <c r="F150" s="82">
        <v>1.0</v>
      </c>
      <c r="G150" s="84">
        <f>'Start Here'!$F$21*D150</f>
        <v>60</v>
      </c>
      <c r="H150" s="68">
        <f t="shared" si="150"/>
        <v>3</v>
      </c>
      <c r="I150" s="252">
        <f t="shared" si="151"/>
        <v>180</v>
      </c>
      <c r="J150" s="68"/>
      <c r="K150" s="68"/>
      <c r="L150" s="68"/>
      <c r="M150" s="68"/>
      <c r="N150" s="75" t="str">
        <f t="shared" si="152"/>
        <v> </v>
      </c>
      <c r="O150" s="75">
        <f t="shared" si="153"/>
        <v>3</v>
      </c>
      <c r="P150" s="75" t="str">
        <f t="shared" si="154"/>
        <v> </v>
      </c>
      <c r="Q150" s="75" t="str">
        <f t="shared" si="155"/>
        <v> </v>
      </c>
      <c r="R150" s="75" t="str">
        <f t="shared" si="156"/>
        <v> </v>
      </c>
      <c r="S150" s="67"/>
      <c r="T150" s="67"/>
      <c r="U150" s="67"/>
      <c r="V150" s="67"/>
      <c r="W150" s="67"/>
      <c r="X150" s="67"/>
      <c r="Y150" s="67"/>
      <c r="Z150" s="67"/>
      <c r="AA150" s="67"/>
      <c r="AB150" s="67"/>
      <c r="AC150" s="85"/>
      <c r="AF150" s="86"/>
    </row>
    <row r="151" ht="12.75" customHeight="1">
      <c r="A151" s="1"/>
      <c r="B151" s="79"/>
      <c r="C151" s="80" t="s">
        <v>46</v>
      </c>
      <c r="D151" s="81">
        <v>0.7</v>
      </c>
      <c r="E151" s="82">
        <v>3.0</v>
      </c>
      <c r="F151" s="82">
        <v>1.0</v>
      </c>
      <c r="G151" s="84">
        <f>'Start Here'!$F$21*D151</f>
        <v>70</v>
      </c>
      <c r="H151" s="68">
        <f t="shared" si="150"/>
        <v>3</v>
      </c>
      <c r="I151" s="252">
        <f t="shared" si="151"/>
        <v>210</v>
      </c>
      <c r="J151" s="68"/>
      <c r="K151" s="68"/>
      <c r="L151" s="68"/>
      <c r="M151" s="68"/>
      <c r="N151" s="75" t="str">
        <f t="shared" si="152"/>
        <v> </v>
      </c>
      <c r="O151" s="75" t="str">
        <f t="shared" si="153"/>
        <v> </v>
      </c>
      <c r="P151" s="75">
        <f t="shared" si="154"/>
        <v>3</v>
      </c>
      <c r="Q151" s="75" t="str">
        <f t="shared" si="155"/>
        <v> </v>
      </c>
      <c r="R151" s="75" t="str">
        <f t="shared" si="156"/>
        <v> </v>
      </c>
      <c r="S151" s="67"/>
      <c r="T151" s="67"/>
      <c r="U151" s="67"/>
      <c r="V151" s="67"/>
      <c r="W151" s="67"/>
      <c r="X151" s="67"/>
      <c r="Y151" s="67"/>
      <c r="Z151" s="67"/>
      <c r="AA151" s="67"/>
      <c r="AB151" s="67"/>
      <c r="AC151" s="85"/>
      <c r="AF151" s="86"/>
    </row>
    <row r="152" ht="12.75" customHeight="1">
      <c r="A152" s="1"/>
      <c r="B152" s="79"/>
      <c r="C152" s="80" t="s">
        <v>46</v>
      </c>
      <c r="D152" s="81">
        <v>0.8</v>
      </c>
      <c r="E152" s="82">
        <v>2.0</v>
      </c>
      <c r="F152" s="82">
        <v>4.0</v>
      </c>
      <c r="G152" s="84">
        <f>'Start Here'!$F$21*D152</f>
        <v>80</v>
      </c>
      <c r="H152" s="68">
        <f t="shared" si="150"/>
        <v>8</v>
      </c>
      <c r="I152" s="252">
        <f t="shared" si="151"/>
        <v>640</v>
      </c>
      <c r="J152" s="68"/>
      <c r="K152" s="68"/>
      <c r="L152" s="68"/>
      <c r="M152" s="68"/>
      <c r="N152" s="75" t="str">
        <f t="shared" si="152"/>
        <v> </v>
      </c>
      <c r="O152" s="75" t="str">
        <f t="shared" si="153"/>
        <v> </v>
      </c>
      <c r="P152" s="75" t="str">
        <f t="shared" si="154"/>
        <v> </v>
      </c>
      <c r="Q152" s="75">
        <f t="shared" si="155"/>
        <v>8</v>
      </c>
      <c r="R152" s="75" t="str">
        <f t="shared" si="156"/>
        <v> </v>
      </c>
      <c r="S152" s="67"/>
      <c r="T152" s="67"/>
      <c r="U152" s="67"/>
      <c r="V152" s="67"/>
      <c r="W152" s="67"/>
      <c r="X152" s="67"/>
      <c r="Y152" s="67"/>
      <c r="Z152" s="67"/>
      <c r="AA152" s="67"/>
      <c r="AB152" s="67"/>
      <c r="AC152" s="85"/>
      <c r="AF152" s="86"/>
    </row>
    <row r="153" ht="12.75" customHeight="1">
      <c r="A153" s="1"/>
      <c r="B153" s="87">
        <v>2.0</v>
      </c>
      <c r="C153" s="88" t="s">
        <v>45</v>
      </c>
      <c r="D153" s="89">
        <v>0.5</v>
      </c>
      <c r="E153" s="90">
        <v>3.0</v>
      </c>
      <c r="F153" s="90">
        <v>1.0</v>
      </c>
      <c r="G153" s="92">
        <f>'Start Here'!$F$22*D153</f>
        <v>50</v>
      </c>
      <c r="H153" s="68"/>
      <c r="I153" s="68"/>
      <c r="J153" s="68">
        <f t="shared" ref="J153:J156" si="157">E153*F153</f>
        <v>3</v>
      </c>
      <c r="K153" s="252">
        <f t="shared" ref="K153:K156" si="158">J153*G153</f>
        <v>150</v>
      </c>
      <c r="L153" s="68"/>
      <c r="M153" s="68"/>
      <c r="N153" s="67"/>
      <c r="O153" s="67"/>
      <c r="P153" s="67"/>
      <c r="Q153" s="67"/>
      <c r="R153" s="67"/>
      <c r="S153" s="93">
        <f t="shared" ref="S153:S156" si="159">IF(ISNUMBER(SEARCH("bench",$C153)),IF($D153&gt;=0.5,IF($D153&lt;0.6,$E153*$F153," ")," ")," ")</f>
        <v>3</v>
      </c>
      <c r="T153" s="93" t="str">
        <f t="shared" ref="T153:T156" si="160">IF(ISNUMBER(SEARCH("bench",$C153)),IF($D153&gt;=0.6,IF($D153&lt;0.7,$E153*$F153," ")," ")," ")</f>
        <v> </v>
      </c>
      <c r="U153" s="93" t="str">
        <f t="shared" ref="U153:U156" si="161">IF(ISNUMBER(SEARCH("bench",$C153)),IF($D153&gt;=0.7,IF($D153&lt;0.8,$E153*$F153," ")," ")," ")</f>
        <v> </v>
      </c>
      <c r="V153" s="93" t="str">
        <f t="shared" ref="V153:V156" si="162">IF(ISNUMBER(SEARCH("bench",$C153)),IF($D153&gt;=0.8,IF($D153&lt;0.9,$E153*$F153," ")," ")," ")</f>
        <v> </v>
      </c>
      <c r="W153" s="93" t="str">
        <f t="shared" ref="W153:W156" si="163">IF(ISNUMBER(SEARCH("bench",$C153)),IF($D153&gt;=0.9,$E153*$F153," ")," ")</f>
        <v> </v>
      </c>
      <c r="X153" s="67"/>
      <c r="Y153" s="67"/>
      <c r="Z153" s="67"/>
      <c r="AA153" s="67"/>
      <c r="AB153" s="67"/>
      <c r="AC153" s="85"/>
      <c r="AF153" s="86"/>
    </row>
    <row r="154" ht="12.75" customHeight="1">
      <c r="A154" s="1"/>
      <c r="B154" s="87"/>
      <c r="C154" s="94" t="s">
        <v>45</v>
      </c>
      <c r="D154" s="89">
        <v>0.6</v>
      </c>
      <c r="E154" s="90">
        <v>3.0</v>
      </c>
      <c r="F154" s="90">
        <v>1.0</v>
      </c>
      <c r="G154" s="92">
        <f>'Start Here'!$F$22*D154</f>
        <v>60</v>
      </c>
      <c r="H154" s="68"/>
      <c r="I154" s="68"/>
      <c r="J154" s="68">
        <f t="shared" si="157"/>
        <v>3</v>
      </c>
      <c r="K154" s="252">
        <f t="shared" si="158"/>
        <v>180</v>
      </c>
      <c r="L154" s="68"/>
      <c r="M154" s="68"/>
      <c r="N154" s="67"/>
      <c r="O154" s="67"/>
      <c r="P154" s="67"/>
      <c r="Q154" s="67"/>
      <c r="R154" s="67"/>
      <c r="S154" s="93" t="str">
        <f t="shared" si="159"/>
        <v> </v>
      </c>
      <c r="T154" s="93">
        <f t="shared" si="160"/>
        <v>3</v>
      </c>
      <c r="U154" s="93" t="str">
        <f t="shared" si="161"/>
        <v> </v>
      </c>
      <c r="V154" s="93" t="str">
        <f t="shared" si="162"/>
        <v> </v>
      </c>
      <c r="W154" s="93" t="str">
        <f t="shared" si="163"/>
        <v> </v>
      </c>
      <c r="X154" s="67"/>
      <c r="Y154" s="67"/>
      <c r="Z154" s="67"/>
      <c r="AA154" s="67"/>
      <c r="AB154" s="67"/>
      <c r="AC154" s="85"/>
      <c r="AF154" s="86"/>
    </row>
    <row r="155" ht="12.75" customHeight="1">
      <c r="A155" s="1"/>
      <c r="B155" s="87"/>
      <c r="C155" s="94" t="s">
        <v>45</v>
      </c>
      <c r="D155" s="89">
        <v>0.7</v>
      </c>
      <c r="E155" s="90">
        <v>3.0</v>
      </c>
      <c r="F155" s="90">
        <v>1.0</v>
      </c>
      <c r="G155" s="92">
        <f>'Start Here'!$F$22*D155</f>
        <v>70</v>
      </c>
      <c r="H155" s="68"/>
      <c r="I155" s="68"/>
      <c r="J155" s="68">
        <f t="shared" si="157"/>
        <v>3</v>
      </c>
      <c r="K155" s="252">
        <f t="shared" si="158"/>
        <v>210</v>
      </c>
      <c r="L155" s="68"/>
      <c r="M155" s="68"/>
      <c r="N155" s="67"/>
      <c r="O155" s="67"/>
      <c r="P155" s="67"/>
      <c r="Q155" s="67"/>
      <c r="R155" s="67"/>
      <c r="S155" s="93" t="str">
        <f t="shared" si="159"/>
        <v> </v>
      </c>
      <c r="T155" s="93" t="str">
        <f t="shared" si="160"/>
        <v> </v>
      </c>
      <c r="U155" s="93">
        <f t="shared" si="161"/>
        <v>3</v>
      </c>
      <c r="V155" s="93" t="str">
        <f t="shared" si="162"/>
        <v> </v>
      </c>
      <c r="W155" s="93" t="str">
        <f t="shared" si="163"/>
        <v> </v>
      </c>
      <c r="X155" s="67"/>
      <c r="Y155" s="67"/>
      <c r="Z155" s="67"/>
      <c r="AA155" s="67"/>
      <c r="AB155" s="67"/>
      <c r="AC155" s="85"/>
      <c r="AF155" s="86"/>
    </row>
    <row r="156" ht="12.75" customHeight="1">
      <c r="A156" s="1"/>
      <c r="B156" s="87"/>
      <c r="C156" s="94" t="s">
        <v>45</v>
      </c>
      <c r="D156" s="89">
        <v>0.8</v>
      </c>
      <c r="E156" s="90">
        <v>2.0</v>
      </c>
      <c r="F156" s="90">
        <v>5.0</v>
      </c>
      <c r="G156" s="92">
        <f>'Start Here'!$F$22*D156</f>
        <v>80</v>
      </c>
      <c r="H156" s="68"/>
      <c r="I156" s="68"/>
      <c r="J156" s="68">
        <f t="shared" si="157"/>
        <v>10</v>
      </c>
      <c r="K156" s="252">
        <f t="shared" si="158"/>
        <v>800</v>
      </c>
      <c r="L156" s="68"/>
      <c r="M156" s="68"/>
      <c r="N156" s="67"/>
      <c r="O156" s="67"/>
      <c r="P156" s="67"/>
      <c r="Q156" s="67"/>
      <c r="R156" s="67"/>
      <c r="S156" s="93" t="str">
        <f t="shared" si="159"/>
        <v> </v>
      </c>
      <c r="T156" s="93" t="str">
        <f t="shared" si="160"/>
        <v> </v>
      </c>
      <c r="U156" s="93" t="str">
        <f t="shared" si="161"/>
        <v> </v>
      </c>
      <c r="V156" s="93">
        <f t="shared" si="162"/>
        <v>10</v>
      </c>
      <c r="W156" s="93" t="str">
        <f t="shared" si="163"/>
        <v> </v>
      </c>
      <c r="X156" s="67"/>
      <c r="Y156" s="67"/>
      <c r="Z156" s="67"/>
      <c r="AA156" s="67"/>
      <c r="AB156" s="67"/>
      <c r="AC156" s="85"/>
      <c r="AF156" s="86"/>
    </row>
    <row r="157" ht="12.75" customHeight="1">
      <c r="A157" s="1"/>
      <c r="B157" s="96">
        <v>3.0</v>
      </c>
      <c r="C157" s="167" t="s">
        <v>69</v>
      </c>
      <c r="D157" s="168"/>
      <c r="E157" s="98">
        <v>6.0</v>
      </c>
      <c r="F157" s="98">
        <v>4.0</v>
      </c>
      <c r="G157" s="170"/>
      <c r="H157" s="68"/>
      <c r="I157" s="68"/>
      <c r="J157" s="68"/>
      <c r="K157" s="68"/>
      <c r="L157" s="68"/>
      <c r="M157" s="68"/>
      <c r="N157" s="67"/>
      <c r="O157" s="67"/>
      <c r="P157" s="67"/>
      <c r="Q157" s="67"/>
      <c r="R157" s="67"/>
      <c r="S157" s="67"/>
      <c r="T157" s="67"/>
      <c r="U157" s="67"/>
      <c r="V157" s="67"/>
      <c r="W157" s="67"/>
      <c r="X157" s="67"/>
      <c r="Y157" s="67"/>
      <c r="Z157" s="67"/>
      <c r="AA157" s="67"/>
      <c r="AB157" s="67"/>
      <c r="AC157" s="85"/>
      <c r="AF157" s="86"/>
    </row>
    <row r="158" ht="12.75" customHeight="1">
      <c r="A158" s="1"/>
      <c r="B158" s="135">
        <v>4.0</v>
      </c>
      <c r="C158" s="136" t="s">
        <v>83</v>
      </c>
      <c r="D158" s="137"/>
      <c r="E158" s="68">
        <v>6.0</v>
      </c>
      <c r="F158" s="68">
        <v>4.0</v>
      </c>
      <c r="G158" s="139"/>
      <c r="H158" s="68"/>
      <c r="I158" s="68"/>
      <c r="J158" s="68"/>
      <c r="K158" s="68"/>
      <c r="L158" s="68"/>
      <c r="M158" s="68"/>
      <c r="N158" s="67"/>
      <c r="O158" s="67"/>
      <c r="P158" s="67"/>
      <c r="Q158" s="67"/>
      <c r="R158" s="67"/>
      <c r="S158" s="67"/>
      <c r="T158" s="67"/>
      <c r="U158" s="67"/>
      <c r="V158" s="67"/>
      <c r="W158" s="67"/>
      <c r="X158" s="67"/>
      <c r="Y158" s="67"/>
      <c r="Z158" s="67"/>
      <c r="AA158" s="67"/>
      <c r="AB158" s="67"/>
      <c r="AC158" s="85"/>
      <c r="AF158" s="86"/>
    </row>
    <row r="159" ht="12.75" customHeight="1">
      <c r="A159" s="1"/>
      <c r="B159" s="100">
        <v>5.0</v>
      </c>
      <c r="C159" s="171" t="s">
        <v>78</v>
      </c>
      <c r="D159" s="172"/>
      <c r="E159" s="102">
        <v>4.0</v>
      </c>
      <c r="F159" s="102">
        <v>4.0</v>
      </c>
      <c r="G159" s="174"/>
      <c r="H159" s="68"/>
      <c r="I159" s="68"/>
      <c r="J159" s="68"/>
      <c r="K159" s="68"/>
      <c r="L159" s="68"/>
      <c r="M159" s="68"/>
      <c r="N159" s="67"/>
      <c r="O159" s="67"/>
      <c r="P159" s="67"/>
      <c r="Q159" s="67"/>
      <c r="R159" s="67"/>
      <c r="S159" s="67"/>
      <c r="T159" s="67"/>
      <c r="U159" s="67"/>
      <c r="V159" s="67"/>
      <c r="W159" s="67"/>
      <c r="X159" s="67"/>
      <c r="Y159" s="67"/>
      <c r="Z159" s="67"/>
      <c r="AA159" s="67"/>
      <c r="AB159" s="67"/>
      <c r="AC159" s="104"/>
      <c r="AD159" s="105"/>
      <c r="AE159" s="105"/>
      <c r="AF159" s="106"/>
    </row>
    <row r="160" ht="12.75" customHeight="1">
      <c r="A160" s="1"/>
      <c r="B160" s="67"/>
      <c r="C160" s="136"/>
      <c r="D160" s="137"/>
      <c r="E160" s="252"/>
      <c r="F160" s="68"/>
      <c r="G160" s="138"/>
      <c r="H160" s="68"/>
      <c r="I160" s="68"/>
      <c r="J160" s="68"/>
      <c r="K160" s="68"/>
      <c r="L160" s="68"/>
      <c r="M160" s="68"/>
      <c r="N160" s="67"/>
      <c r="O160" s="67"/>
      <c r="P160" s="67"/>
      <c r="Q160" s="67"/>
      <c r="R160" s="67"/>
      <c r="S160" s="67"/>
      <c r="T160" s="67"/>
      <c r="U160" s="67"/>
      <c r="V160" s="67"/>
      <c r="W160" s="67"/>
      <c r="X160" s="67"/>
      <c r="Y160" s="67"/>
      <c r="Z160" s="67"/>
      <c r="AA160" s="67"/>
      <c r="AB160" s="67"/>
      <c r="AC160" s="67"/>
      <c r="AD160" s="67"/>
      <c r="AE160" s="67"/>
      <c r="AF160" s="67"/>
    </row>
    <row r="161" ht="37.5" customHeight="1">
      <c r="A161" s="1"/>
      <c r="B161" s="68" t="s">
        <v>58</v>
      </c>
      <c r="D161" s="137" t="s">
        <v>34</v>
      </c>
      <c r="E161" s="252" t="s">
        <v>35</v>
      </c>
      <c r="F161" s="68" t="s">
        <v>36</v>
      </c>
      <c r="G161" s="138" t="s">
        <v>37</v>
      </c>
      <c r="H161" s="68"/>
      <c r="I161" s="68"/>
      <c r="J161" s="68"/>
      <c r="K161" s="68"/>
      <c r="L161" s="68"/>
      <c r="M161" s="68"/>
      <c r="N161" s="67"/>
      <c r="O161" s="67"/>
      <c r="P161" s="67"/>
      <c r="Q161" s="67"/>
      <c r="R161" s="67"/>
      <c r="S161" s="67"/>
      <c r="T161" s="67"/>
      <c r="U161" s="67"/>
      <c r="V161" s="67"/>
      <c r="W161" s="67"/>
      <c r="X161" s="67"/>
      <c r="Y161" s="67"/>
      <c r="Z161" s="67"/>
      <c r="AA161" s="67"/>
      <c r="AB161" s="67"/>
      <c r="AC161" s="67" t="s">
        <v>43</v>
      </c>
      <c r="AD161" s="67"/>
      <c r="AE161" s="67"/>
      <c r="AF161" s="67"/>
    </row>
    <row r="162" ht="12.75" customHeight="1">
      <c r="A162" s="1"/>
      <c r="B162" s="232">
        <v>1.0</v>
      </c>
      <c r="C162" s="233" t="s">
        <v>98</v>
      </c>
      <c r="D162" s="234"/>
      <c r="E162" s="235">
        <v>3.0</v>
      </c>
      <c r="F162" s="235">
        <v>5.0</v>
      </c>
      <c r="G162" s="237"/>
      <c r="H162" s="68"/>
      <c r="I162" s="68"/>
      <c r="J162" s="68"/>
      <c r="K162" s="68"/>
      <c r="L162" s="68"/>
      <c r="M162" s="68"/>
      <c r="N162" s="67"/>
      <c r="O162" s="67"/>
      <c r="P162" s="67"/>
      <c r="Q162" s="67"/>
      <c r="R162" s="67"/>
      <c r="S162" s="67"/>
      <c r="T162" s="67"/>
      <c r="U162" s="67"/>
      <c r="V162" s="67"/>
      <c r="W162" s="67"/>
      <c r="X162" s="67"/>
      <c r="Y162" s="67"/>
      <c r="Z162" s="67"/>
      <c r="AA162" s="67"/>
      <c r="AB162" s="67"/>
      <c r="AC162" s="76"/>
      <c r="AD162" s="77"/>
      <c r="AE162" s="77"/>
      <c r="AF162" s="78"/>
    </row>
    <row r="163" ht="12.75" customHeight="1">
      <c r="A163" s="1"/>
      <c r="B163" s="115">
        <v>2.0</v>
      </c>
      <c r="C163" s="121" t="s">
        <v>117</v>
      </c>
      <c r="D163" s="117">
        <v>0.55</v>
      </c>
      <c r="E163" s="118">
        <v>3.0</v>
      </c>
      <c r="F163" s="118">
        <v>1.0</v>
      </c>
      <c r="G163" s="120">
        <f>'Start Here'!$F$23*D163</f>
        <v>55</v>
      </c>
      <c r="H163" s="68"/>
      <c r="I163" s="68"/>
      <c r="J163" s="68"/>
      <c r="K163" s="68"/>
      <c r="L163" s="68">
        <f t="shared" ref="L163:L166" si="164">E163*F163</f>
        <v>3</v>
      </c>
      <c r="M163" s="68">
        <f t="shared" ref="M163:M166" si="165">L163*G163</f>
        <v>165</v>
      </c>
      <c r="N163" s="67"/>
      <c r="O163" s="67"/>
      <c r="P163" s="67"/>
      <c r="Q163" s="67"/>
      <c r="R163" s="67"/>
      <c r="S163" s="67"/>
      <c r="T163" s="67"/>
      <c r="U163" s="67"/>
      <c r="V163" s="67"/>
      <c r="W163" s="67"/>
      <c r="X163" s="114">
        <f t="shared" ref="X163:X166" si="166">IF(ISNUMBER(SEARCH("deadlift",$C163)),IF($D163&gt;=0.5,IF($D163&lt;0.6,$E163*$F163," ")," ")," ")</f>
        <v>3</v>
      </c>
      <c r="Y163" s="114" t="str">
        <f t="shared" ref="Y163:Y166" si="167">IF(ISNUMBER(SEARCH("deadlift",$C163)),IF($D163&gt;=0.6,IF($D163&lt;0.7,$E163*$F163," ")," ")," ")</f>
        <v> </v>
      </c>
      <c r="Z163" s="114" t="str">
        <f t="shared" ref="Z163:Z166" si="168">IF(ISNUMBER(SEARCH("deadlift",$C163)),IF($D163&gt;=0.7,IF($D163&lt;0.8,$E163*$F163," ")," ")," ")</f>
        <v> </v>
      </c>
      <c r="AA163" s="114" t="str">
        <f t="shared" ref="AA163:AA166" si="169">IF(ISNUMBER(SEARCH("deadlift",$C163)),IF($D163&gt;=0.8,IF($D163&lt;0.9,$E163*$F163," ")," ")," ")</f>
        <v> </v>
      </c>
      <c r="AB163" s="114" t="str">
        <f t="shared" ref="AB163:AB166" si="170">IF(ISNUMBER(SEARCH("deadlift",$C163)),IF($D163&gt;=0.9,$E163*$F163," ")," ")</f>
        <v> </v>
      </c>
      <c r="AC163" s="85"/>
      <c r="AF163" s="86"/>
    </row>
    <row r="164" ht="12.75" customHeight="1">
      <c r="A164" s="1"/>
      <c r="B164" s="115"/>
      <c r="C164" s="122" t="s">
        <v>117</v>
      </c>
      <c r="D164" s="117">
        <v>0.65</v>
      </c>
      <c r="E164" s="118">
        <v>3.0</v>
      </c>
      <c r="F164" s="118">
        <v>1.0</v>
      </c>
      <c r="G164" s="120">
        <f>'Start Here'!$F$23*D164</f>
        <v>65</v>
      </c>
      <c r="H164" s="68"/>
      <c r="I164" s="68"/>
      <c r="J164" s="68"/>
      <c r="K164" s="68"/>
      <c r="L164" s="68">
        <f t="shared" si="164"/>
        <v>3</v>
      </c>
      <c r="M164" s="68">
        <f t="shared" si="165"/>
        <v>195</v>
      </c>
      <c r="N164" s="67"/>
      <c r="O164" s="67"/>
      <c r="P164" s="67"/>
      <c r="Q164" s="67"/>
      <c r="R164" s="67"/>
      <c r="S164" s="67"/>
      <c r="T164" s="67"/>
      <c r="U164" s="67"/>
      <c r="V164" s="67"/>
      <c r="W164" s="67"/>
      <c r="X164" s="114" t="str">
        <f t="shared" si="166"/>
        <v> </v>
      </c>
      <c r="Y164" s="114">
        <f t="shared" si="167"/>
        <v>3</v>
      </c>
      <c r="Z164" s="114" t="str">
        <f t="shared" si="168"/>
        <v> </v>
      </c>
      <c r="AA164" s="114" t="str">
        <f t="shared" si="169"/>
        <v> </v>
      </c>
      <c r="AB164" s="114" t="str">
        <f t="shared" si="170"/>
        <v> </v>
      </c>
      <c r="AC164" s="85"/>
      <c r="AF164" s="86"/>
    </row>
    <row r="165" ht="12.75" customHeight="1">
      <c r="A165" s="1"/>
      <c r="B165" s="115"/>
      <c r="C165" s="122" t="s">
        <v>117</v>
      </c>
      <c r="D165" s="117">
        <v>0.75</v>
      </c>
      <c r="E165" s="118">
        <v>3.0</v>
      </c>
      <c r="F165" s="118">
        <v>1.0</v>
      </c>
      <c r="G165" s="120">
        <f>'Start Here'!$F$23*D165</f>
        <v>75</v>
      </c>
      <c r="H165" s="68"/>
      <c r="I165" s="68"/>
      <c r="J165" s="68"/>
      <c r="K165" s="68"/>
      <c r="L165" s="68">
        <f t="shared" si="164"/>
        <v>3</v>
      </c>
      <c r="M165" s="68">
        <f t="shared" si="165"/>
        <v>225</v>
      </c>
      <c r="N165" s="67"/>
      <c r="O165" s="67"/>
      <c r="P165" s="67"/>
      <c r="Q165" s="67"/>
      <c r="R165" s="67"/>
      <c r="S165" s="67"/>
      <c r="T165" s="67"/>
      <c r="U165" s="67"/>
      <c r="V165" s="67"/>
      <c r="W165" s="67"/>
      <c r="X165" s="114" t="str">
        <f t="shared" si="166"/>
        <v> </v>
      </c>
      <c r="Y165" s="114" t="str">
        <f t="shared" si="167"/>
        <v> </v>
      </c>
      <c r="Z165" s="114">
        <f t="shared" si="168"/>
        <v>3</v>
      </c>
      <c r="AA165" s="114" t="str">
        <f t="shared" si="169"/>
        <v> </v>
      </c>
      <c r="AB165" s="114" t="str">
        <f t="shared" si="170"/>
        <v> </v>
      </c>
      <c r="AC165" s="85"/>
      <c r="AF165" s="86"/>
    </row>
    <row r="166" ht="12.75" customHeight="1">
      <c r="A166" s="1"/>
      <c r="B166" s="115"/>
      <c r="C166" s="122" t="s">
        <v>117</v>
      </c>
      <c r="D166" s="117">
        <v>0.85</v>
      </c>
      <c r="E166" s="118">
        <v>2.0</v>
      </c>
      <c r="F166" s="118">
        <v>3.0</v>
      </c>
      <c r="G166" s="120">
        <f>'Start Here'!$F$23*D166</f>
        <v>85</v>
      </c>
      <c r="H166" s="68"/>
      <c r="I166" s="68"/>
      <c r="J166" s="68"/>
      <c r="K166" s="68"/>
      <c r="L166" s="68">
        <f t="shared" si="164"/>
        <v>6</v>
      </c>
      <c r="M166" s="68">
        <f t="shared" si="165"/>
        <v>510</v>
      </c>
      <c r="N166" s="67"/>
      <c r="O166" s="67"/>
      <c r="P166" s="67"/>
      <c r="Q166" s="67"/>
      <c r="R166" s="67"/>
      <c r="S166" s="67"/>
      <c r="T166" s="67"/>
      <c r="U166" s="67"/>
      <c r="V166" s="67"/>
      <c r="W166" s="67"/>
      <c r="X166" s="114" t="str">
        <f t="shared" si="166"/>
        <v> </v>
      </c>
      <c r="Y166" s="114" t="str">
        <f t="shared" si="167"/>
        <v> </v>
      </c>
      <c r="Z166" s="114" t="str">
        <f t="shared" si="168"/>
        <v> </v>
      </c>
      <c r="AA166" s="114">
        <f t="shared" si="169"/>
        <v>6</v>
      </c>
      <c r="AB166" s="114" t="str">
        <f t="shared" si="170"/>
        <v> </v>
      </c>
      <c r="AC166" s="85"/>
      <c r="AF166" s="86"/>
    </row>
    <row r="167" ht="12.75" customHeight="1">
      <c r="A167" s="1"/>
      <c r="B167" s="96">
        <v>3.0</v>
      </c>
      <c r="C167" s="167" t="s">
        <v>95</v>
      </c>
      <c r="D167" s="168"/>
      <c r="E167" s="98">
        <v>6.0</v>
      </c>
      <c r="F167" s="98">
        <v>4.0</v>
      </c>
      <c r="G167" s="170"/>
      <c r="H167" s="68"/>
      <c r="I167" s="68"/>
      <c r="J167" s="68"/>
      <c r="K167" s="68"/>
      <c r="L167" s="68"/>
      <c r="M167" s="68"/>
      <c r="N167" s="67"/>
      <c r="O167" s="67"/>
      <c r="P167" s="67"/>
      <c r="Q167" s="67"/>
      <c r="R167" s="67"/>
      <c r="S167" s="67"/>
      <c r="T167" s="67"/>
      <c r="U167" s="67"/>
      <c r="V167" s="67"/>
      <c r="W167" s="67"/>
      <c r="X167" s="67"/>
      <c r="Y167" s="67"/>
      <c r="Z167" s="67"/>
      <c r="AA167" s="67"/>
      <c r="AB167" s="67"/>
      <c r="AC167" s="85"/>
      <c r="AF167" s="86"/>
    </row>
    <row r="168" ht="12.75" customHeight="1">
      <c r="A168" s="1"/>
      <c r="B168" s="100">
        <v>4.0</v>
      </c>
      <c r="C168" s="171" t="s">
        <v>112</v>
      </c>
      <c r="D168" s="172"/>
      <c r="E168" s="102">
        <v>8.0</v>
      </c>
      <c r="F168" s="102">
        <v>4.0</v>
      </c>
      <c r="G168" s="174"/>
      <c r="H168" s="68"/>
      <c r="I168" s="68"/>
      <c r="J168" s="68"/>
      <c r="K168" s="68"/>
      <c r="L168" s="68"/>
      <c r="M168" s="68"/>
      <c r="N168" s="67"/>
      <c r="O168" s="67"/>
      <c r="P168" s="67"/>
      <c r="Q168" s="67"/>
      <c r="R168" s="67"/>
      <c r="S168" s="67"/>
      <c r="T168" s="67"/>
      <c r="U168" s="67"/>
      <c r="V168" s="67"/>
      <c r="W168" s="67"/>
      <c r="X168" s="67"/>
      <c r="Y168" s="67"/>
      <c r="Z168" s="67"/>
      <c r="AA168" s="67"/>
      <c r="AB168" s="67"/>
      <c r="AC168" s="104"/>
      <c r="AD168" s="105"/>
      <c r="AE168" s="105"/>
      <c r="AF168" s="106"/>
    </row>
    <row r="169" ht="12.75" customHeight="1">
      <c r="A169" s="181"/>
      <c r="B169" s="142"/>
      <c r="C169" s="182"/>
      <c r="D169" s="183"/>
      <c r="E169" s="254"/>
      <c r="F169" s="143"/>
      <c r="G169" s="184"/>
      <c r="H169" s="143">
        <f t="shared" ref="H169:AB169" si="171">SUM(H120:H168)</f>
        <v>31</v>
      </c>
      <c r="I169" s="254">
        <f t="shared" si="171"/>
        <v>2180</v>
      </c>
      <c r="J169" s="143">
        <f t="shared" si="171"/>
        <v>56</v>
      </c>
      <c r="K169" s="143">
        <f t="shared" si="171"/>
        <v>3955</v>
      </c>
      <c r="L169" s="143">
        <f t="shared" si="171"/>
        <v>47</v>
      </c>
      <c r="M169" s="143">
        <f t="shared" si="171"/>
        <v>3265</v>
      </c>
      <c r="N169" s="184">
        <f t="shared" si="171"/>
        <v>6</v>
      </c>
      <c r="O169" s="184">
        <f t="shared" si="171"/>
        <v>6</v>
      </c>
      <c r="P169" s="184">
        <f t="shared" si="171"/>
        <v>7</v>
      </c>
      <c r="Q169" s="184">
        <f t="shared" si="171"/>
        <v>12</v>
      </c>
      <c r="R169" s="184">
        <f t="shared" si="171"/>
        <v>0</v>
      </c>
      <c r="S169" s="142">
        <f t="shared" si="171"/>
        <v>9</v>
      </c>
      <c r="T169" s="142">
        <f t="shared" si="171"/>
        <v>9</v>
      </c>
      <c r="U169" s="142">
        <f t="shared" si="171"/>
        <v>9</v>
      </c>
      <c r="V169" s="142">
        <f t="shared" si="171"/>
        <v>29</v>
      </c>
      <c r="W169" s="142">
        <f t="shared" si="171"/>
        <v>0</v>
      </c>
      <c r="X169" s="142">
        <f t="shared" si="171"/>
        <v>9</v>
      </c>
      <c r="Y169" s="142">
        <f t="shared" si="171"/>
        <v>9</v>
      </c>
      <c r="Z169" s="142">
        <f t="shared" si="171"/>
        <v>15</v>
      </c>
      <c r="AA169" s="142">
        <f t="shared" si="171"/>
        <v>14</v>
      </c>
      <c r="AB169" s="142">
        <f t="shared" si="171"/>
        <v>0</v>
      </c>
      <c r="AC169" s="142"/>
      <c r="AD169" s="142"/>
      <c r="AE169" s="142"/>
      <c r="AF169" s="142"/>
    </row>
    <row r="170" ht="36.75" customHeight="1">
      <c r="A170" s="1"/>
      <c r="B170" s="66" t="s">
        <v>84</v>
      </c>
      <c r="H170" s="68"/>
      <c r="I170" s="68"/>
      <c r="J170" s="68"/>
      <c r="K170" s="68"/>
      <c r="L170" s="68"/>
      <c r="M170" s="68"/>
      <c r="N170" s="67"/>
      <c r="O170" s="67"/>
      <c r="P170" s="67"/>
      <c r="Q170" s="67"/>
      <c r="R170" s="67"/>
      <c r="S170" s="67"/>
      <c r="T170" s="67"/>
      <c r="U170" s="67"/>
      <c r="V170" s="67"/>
      <c r="W170" s="67"/>
      <c r="X170" s="67"/>
      <c r="Y170" s="67"/>
      <c r="Z170" s="67"/>
      <c r="AA170" s="67"/>
      <c r="AB170" s="67"/>
      <c r="AC170" s="67"/>
      <c r="AD170" s="67"/>
      <c r="AE170" s="67"/>
      <c r="AF170" s="67"/>
    </row>
    <row r="171" ht="36.75" customHeight="1">
      <c r="A171" s="1"/>
      <c r="B171" s="68" t="s">
        <v>33</v>
      </c>
      <c r="D171" s="137" t="s">
        <v>34</v>
      </c>
      <c r="E171" s="252" t="s">
        <v>35</v>
      </c>
      <c r="F171" s="68" t="s">
        <v>36</v>
      </c>
      <c r="G171" s="138" t="s">
        <v>37</v>
      </c>
      <c r="H171" s="68"/>
      <c r="I171" s="68"/>
      <c r="J171" s="68"/>
      <c r="K171" s="68"/>
      <c r="L171" s="68"/>
      <c r="M171" s="68"/>
      <c r="N171" s="67"/>
      <c r="O171" s="67"/>
      <c r="P171" s="67"/>
      <c r="Q171" s="67"/>
      <c r="R171" s="67"/>
      <c r="S171" s="67"/>
      <c r="T171" s="67"/>
      <c r="U171" s="67"/>
      <c r="V171" s="67"/>
      <c r="W171" s="67"/>
      <c r="X171" s="67"/>
      <c r="Y171" s="67"/>
      <c r="Z171" s="67"/>
      <c r="AA171" s="67"/>
      <c r="AB171" s="67"/>
      <c r="AC171" s="67" t="s">
        <v>43</v>
      </c>
      <c r="AD171" s="67"/>
      <c r="AE171" s="67"/>
      <c r="AF171" s="67"/>
    </row>
    <row r="172" ht="12.75" customHeight="1">
      <c r="A172" s="1"/>
      <c r="B172" s="69">
        <v>1.0</v>
      </c>
      <c r="C172" s="70" t="s">
        <v>46</v>
      </c>
      <c r="D172" s="71">
        <v>0.5</v>
      </c>
      <c r="E172" s="145">
        <v>3.0</v>
      </c>
      <c r="F172" s="145">
        <v>1.0</v>
      </c>
      <c r="G172" s="73">
        <f>'Start Here'!$F$21*D172</f>
        <v>50</v>
      </c>
      <c r="H172" s="68">
        <f t="shared" ref="H172:H175" si="172">E172*F172</f>
        <v>3</v>
      </c>
      <c r="I172" s="252">
        <f t="shared" ref="I172:I175" si="173">H172*G172</f>
        <v>150</v>
      </c>
      <c r="J172" s="68"/>
      <c r="K172" s="68"/>
      <c r="L172" s="68"/>
      <c r="M172" s="68"/>
      <c r="N172" s="75">
        <f t="shared" ref="N172:N175" si="174">IF(ISNUMBER(SEARCH("squat",$C172)),IF($D172&gt;=0.5,IF($D172&lt;0.6,$E172*$F172," ")," ")," ")</f>
        <v>3</v>
      </c>
      <c r="O172" s="75" t="str">
        <f t="shared" ref="O172:O175" si="175">IF(ISNUMBER(SEARCH("squat",$C172)),IF($D172&gt;=0.6,IF($D172&lt;0.7,$E172*$F172," ")," ")," ")</f>
        <v> </v>
      </c>
      <c r="P172" s="75" t="str">
        <f t="shared" ref="P172:P175" si="176">IF(ISNUMBER(SEARCH("squat",$C172)),IF($D172&gt;=0.7,IF($D172&lt;0.8,$E172*$F172," ")," ")," ")</f>
        <v> </v>
      </c>
      <c r="Q172" s="75" t="str">
        <f t="shared" ref="Q172:Q175" si="177">IF(ISNUMBER(SEARCH("squat",$C172)),IF($D172&gt;=0.8,IF($D172&lt;0.9,$E172*$F172," ")," ")," ")</f>
        <v> </v>
      </c>
      <c r="R172" s="75" t="str">
        <f t="shared" ref="R172:R175" si="178">IF(ISNUMBER(SEARCH("squat",$C172)),IF($D172&gt;=0.9,$E172*$F172," ")," ")</f>
        <v> </v>
      </c>
      <c r="S172" s="67"/>
      <c r="T172" s="67"/>
      <c r="U172" s="67"/>
      <c r="V172" s="67"/>
      <c r="W172" s="67"/>
      <c r="X172" s="67"/>
      <c r="Y172" s="67"/>
      <c r="Z172" s="67"/>
      <c r="AA172" s="67"/>
      <c r="AB172" s="67"/>
      <c r="AC172" s="76"/>
      <c r="AD172" s="77"/>
      <c r="AE172" s="77"/>
      <c r="AF172" s="78"/>
    </row>
    <row r="173" ht="12.75" customHeight="1">
      <c r="A173" s="1"/>
      <c r="B173" s="79"/>
      <c r="C173" s="80" t="s">
        <v>46</v>
      </c>
      <c r="D173" s="81">
        <v>0.6</v>
      </c>
      <c r="E173" s="82">
        <v>3.0</v>
      </c>
      <c r="F173" s="82">
        <v>1.0</v>
      </c>
      <c r="G173" s="84">
        <f>'Start Here'!$F$21*D173</f>
        <v>60</v>
      </c>
      <c r="H173" s="68">
        <f t="shared" si="172"/>
        <v>3</v>
      </c>
      <c r="I173" s="252">
        <f t="shared" si="173"/>
        <v>180</v>
      </c>
      <c r="J173" s="68"/>
      <c r="K173" s="68"/>
      <c r="L173" s="68"/>
      <c r="M173" s="68"/>
      <c r="N173" s="75" t="str">
        <f t="shared" si="174"/>
        <v> </v>
      </c>
      <c r="O173" s="75">
        <f t="shared" si="175"/>
        <v>3</v>
      </c>
      <c r="P173" s="75" t="str">
        <f t="shared" si="176"/>
        <v> </v>
      </c>
      <c r="Q173" s="75" t="str">
        <f t="shared" si="177"/>
        <v> </v>
      </c>
      <c r="R173" s="75" t="str">
        <f t="shared" si="178"/>
        <v> </v>
      </c>
      <c r="S173" s="67"/>
      <c r="T173" s="67"/>
      <c r="U173" s="67"/>
      <c r="V173" s="67"/>
      <c r="W173" s="67"/>
      <c r="X173" s="67"/>
      <c r="Y173" s="67"/>
      <c r="Z173" s="67"/>
      <c r="AA173" s="67"/>
      <c r="AB173" s="67"/>
      <c r="AC173" s="85"/>
      <c r="AF173" s="86"/>
    </row>
    <row r="174" ht="12.75" customHeight="1">
      <c r="A174" s="1"/>
      <c r="B174" s="79"/>
      <c r="C174" s="80" t="s">
        <v>46</v>
      </c>
      <c r="D174" s="81">
        <v>0.7</v>
      </c>
      <c r="E174" s="82">
        <v>3.0</v>
      </c>
      <c r="F174" s="82">
        <v>1.0</v>
      </c>
      <c r="G174" s="84">
        <f>'Start Here'!$F$21*D174</f>
        <v>70</v>
      </c>
      <c r="H174" s="68">
        <f t="shared" si="172"/>
        <v>3</v>
      </c>
      <c r="I174" s="252">
        <f t="shared" si="173"/>
        <v>210</v>
      </c>
      <c r="J174" s="68"/>
      <c r="K174" s="68"/>
      <c r="L174" s="68"/>
      <c r="M174" s="68"/>
      <c r="N174" s="75" t="str">
        <f t="shared" si="174"/>
        <v> </v>
      </c>
      <c r="O174" s="75" t="str">
        <f t="shared" si="175"/>
        <v> </v>
      </c>
      <c r="P174" s="75">
        <f t="shared" si="176"/>
        <v>3</v>
      </c>
      <c r="Q174" s="75" t="str">
        <f t="shared" si="177"/>
        <v> </v>
      </c>
      <c r="R174" s="75" t="str">
        <f t="shared" si="178"/>
        <v> </v>
      </c>
      <c r="S174" s="67"/>
      <c r="T174" s="67"/>
      <c r="U174" s="67"/>
      <c r="V174" s="67"/>
      <c r="W174" s="67"/>
      <c r="X174" s="67"/>
      <c r="Y174" s="67"/>
      <c r="Z174" s="67"/>
      <c r="AA174" s="67"/>
      <c r="AB174" s="67"/>
      <c r="AC174" s="85"/>
      <c r="AF174" s="86"/>
    </row>
    <row r="175" ht="12.75" customHeight="1">
      <c r="A175" s="1"/>
      <c r="B175" s="79"/>
      <c r="C175" s="80" t="s">
        <v>46</v>
      </c>
      <c r="D175" s="81">
        <v>0.8</v>
      </c>
      <c r="E175" s="82">
        <v>2.0</v>
      </c>
      <c r="F175" s="82">
        <v>4.0</v>
      </c>
      <c r="G175" s="84">
        <f>'Start Here'!$F$21*D175</f>
        <v>80</v>
      </c>
      <c r="H175" s="68">
        <f t="shared" si="172"/>
        <v>8</v>
      </c>
      <c r="I175" s="252">
        <f t="shared" si="173"/>
        <v>640</v>
      </c>
      <c r="J175" s="68"/>
      <c r="K175" s="68"/>
      <c r="L175" s="68"/>
      <c r="M175" s="68"/>
      <c r="N175" s="75" t="str">
        <f t="shared" si="174"/>
        <v> </v>
      </c>
      <c r="O175" s="75" t="str">
        <f t="shared" si="175"/>
        <v> </v>
      </c>
      <c r="P175" s="75" t="str">
        <f t="shared" si="176"/>
        <v> </v>
      </c>
      <c r="Q175" s="75">
        <f t="shared" si="177"/>
        <v>8</v>
      </c>
      <c r="R175" s="75" t="str">
        <f t="shared" si="178"/>
        <v> </v>
      </c>
      <c r="S175" s="67"/>
      <c r="T175" s="67"/>
      <c r="U175" s="67"/>
      <c r="V175" s="67"/>
      <c r="W175" s="67"/>
      <c r="X175" s="67"/>
      <c r="Y175" s="67"/>
      <c r="Z175" s="67"/>
      <c r="AA175" s="67"/>
      <c r="AB175" s="67"/>
      <c r="AC175" s="85"/>
      <c r="AF175" s="86"/>
    </row>
    <row r="176" ht="12.75" customHeight="1">
      <c r="A176" s="1"/>
      <c r="B176" s="87">
        <v>2.0</v>
      </c>
      <c r="C176" s="88" t="s">
        <v>45</v>
      </c>
      <c r="D176" s="89">
        <v>0.5</v>
      </c>
      <c r="E176" s="90">
        <v>3.0</v>
      </c>
      <c r="F176" s="90">
        <v>1.0</v>
      </c>
      <c r="G176" s="92">
        <f>'Start Here'!$F$22*D176</f>
        <v>50</v>
      </c>
      <c r="H176" s="68"/>
      <c r="I176" s="68"/>
      <c r="J176" s="68">
        <f t="shared" ref="J176:J180" si="179">E176*F176</f>
        <v>3</v>
      </c>
      <c r="K176" s="252">
        <f t="shared" ref="K176:K180" si="180">J176*G176</f>
        <v>150</v>
      </c>
      <c r="L176" s="68"/>
      <c r="M176" s="68"/>
      <c r="N176" s="67"/>
      <c r="O176" s="67"/>
      <c r="P176" s="67"/>
      <c r="Q176" s="67"/>
      <c r="R176" s="67"/>
      <c r="S176" s="93">
        <f t="shared" ref="S176:S180" si="181">IF(ISNUMBER(SEARCH("bench",$C176)),IF($D176&gt;=0.5,IF($D176&lt;0.6,$E176*$F176," ")," ")," ")</f>
        <v>3</v>
      </c>
      <c r="T176" s="93" t="str">
        <f t="shared" ref="T176:T180" si="182">IF(ISNUMBER(SEARCH("bench",$C176)),IF($D176&gt;=0.6,IF($D176&lt;0.7,$E176*$F176," ")," ")," ")</f>
        <v> </v>
      </c>
      <c r="U176" s="93" t="str">
        <f t="shared" ref="U176:U180" si="183">IF(ISNUMBER(SEARCH("bench",$C176)),IF($D176&gt;=0.7,IF($D176&lt;0.8,$E176*$F176," ")," ")," ")</f>
        <v> </v>
      </c>
      <c r="V176" s="93" t="str">
        <f t="shared" ref="V176:V180" si="184">IF(ISNUMBER(SEARCH("bench",$C176)),IF($D176&gt;=0.8,IF($D176&lt;0.9,$E176*$F176," ")," ")," ")</f>
        <v> </v>
      </c>
      <c r="W176" s="93" t="str">
        <f t="shared" ref="W176:W180" si="185">IF(ISNUMBER(SEARCH("bench",$C176)),IF($D176&gt;=0.9,$E176*$F176," ")," ")</f>
        <v> </v>
      </c>
      <c r="X176" s="67"/>
      <c r="Y176" s="67"/>
      <c r="Z176" s="67"/>
      <c r="AA176" s="67"/>
      <c r="AB176" s="67"/>
      <c r="AC176" s="85"/>
      <c r="AF176" s="86"/>
    </row>
    <row r="177" ht="12.75" customHeight="1">
      <c r="A177" s="1"/>
      <c r="B177" s="87"/>
      <c r="C177" s="94" t="s">
        <v>45</v>
      </c>
      <c r="D177" s="89">
        <v>0.6</v>
      </c>
      <c r="E177" s="90">
        <v>3.0</v>
      </c>
      <c r="F177" s="90">
        <v>1.0</v>
      </c>
      <c r="G177" s="92">
        <f>'Start Here'!$F$22*D177</f>
        <v>60</v>
      </c>
      <c r="H177" s="68"/>
      <c r="I177" s="68"/>
      <c r="J177" s="68">
        <f t="shared" si="179"/>
        <v>3</v>
      </c>
      <c r="K177" s="252">
        <f t="shared" si="180"/>
        <v>180</v>
      </c>
      <c r="L177" s="68"/>
      <c r="M177" s="68"/>
      <c r="N177" s="67"/>
      <c r="O177" s="67"/>
      <c r="P177" s="67"/>
      <c r="Q177" s="67"/>
      <c r="R177" s="67"/>
      <c r="S177" s="93" t="str">
        <f t="shared" si="181"/>
        <v> </v>
      </c>
      <c r="T177" s="93">
        <f t="shared" si="182"/>
        <v>3</v>
      </c>
      <c r="U177" s="93" t="str">
        <f t="shared" si="183"/>
        <v> </v>
      </c>
      <c r="V177" s="93" t="str">
        <f t="shared" si="184"/>
        <v> </v>
      </c>
      <c r="W177" s="93" t="str">
        <f t="shared" si="185"/>
        <v> </v>
      </c>
      <c r="X177" s="67"/>
      <c r="Y177" s="67"/>
      <c r="Z177" s="67"/>
      <c r="AA177" s="67"/>
      <c r="AB177" s="67"/>
      <c r="AC177" s="85"/>
      <c r="AF177" s="86"/>
    </row>
    <row r="178" ht="12.75" customHeight="1">
      <c r="A178" s="1"/>
      <c r="B178" s="87"/>
      <c r="C178" s="94" t="s">
        <v>45</v>
      </c>
      <c r="D178" s="89">
        <v>0.7</v>
      </c>
      <c r="E178" s="90">
        <v>3.0</v>
      </c>
      <c r="F178" s="90">
        <v>1.0</v>
      </c>
      <c r="G178" s="92">
        <f>'Start Here'!$F$22*D178</f>
        <v>70</v>
      </c>
      <c r="H178" s="68"/>
      <c r="I178" s="68"/>
      <c r="J178" s="68">
        <f t="shared" si="179"/>
        <v>3</v>
      </c>
      <c r="K178" s="252">
        <f t="shared" si="180"/>
        <v>210</v>
      </c>
      <c r="L178" s="68"/>
      <c r="M178" s="68"/>
      <c r="N178" s="67"/>
      <c r="O178" s="67"/>
      <c r="P178" s="67"/>
      <c r="Q178" s="67"/>
      <c r="R178" s="67"/>
      <c r="S178" s="93" t="str">
        <f t="shared" si="181"/>
        <v> </v>
      </c>
      <c r="T178" s="93" t="str">
        <f t="shared" si="182"/>
        <v> </v>
      </c>
      <c r="U178" s="93">
        <f t="shared" si="183"/>
        <v>3</v>
      </c>
      <c r="V178" s="93" t="str">
        <f t="shared" si="184"/>
        <v> </v>
      </c>
      <c r="W178" s="93" t="str">
        <f t="shared" si="185"/>
        <v> </v>
      </c>
      <c r="X178" s="67"/>
      <c r="Y178" s="67"/>
      <c r="Z178" s="67"/>
      <c r="AA178" s="67"/>
      <c r="AB178" s="67"/>
      <c r="AC178" s="85"/>
      <c r="AF178" s="86"/>
    </row>
    <row r="179" ht="12.75" customHeight="1">
      <c r="A179" s="1"/>
      <c r="B179" s="87"/>
      <c r="C179" s="94" t="s">
        <v>45</v>
      </c>
      <c r="D179" s="89">
        <v>0.8</v>
      </c>
      <c r="E179" s="90">
        <v>2.0</v>
      </c>
      <c r="F179" s="90">
        <v>2.0</v>
      </c>
      <c r="G179" s="92">
        <f>'Start Here'!$F$22*D179</f>
        <v>80</v>
      </c>
      <c r="H179" s="68"/>
      <c r="I179" s="68"/>
      <c r="J179" s="68">
        <f t="shared" si="179"/>
        <v>4</v>
      </c>
      <c r="K179" s="252">
        <f t="shared" si="180"/>
        <v>320</v>
      </c>
      <c r="L179" s="68"/>
      <c r="M179" s="68"/>
      <c r="N179" s="67"/>
      <c r="O179" s="67"/>
      <c r="P179" s="67"/>
      <c r="Q179" s="67"/>
      <c r="R179" s="67"/>
      <c r="S179" s="93" t="str">
        <f t="shared" si="181"/>
        <v> </v>
      </c>
      <c r="T179" s="93" t="str">
        <f t="shared" si="182"/>
        <v> </v>
      </c>
      <c r="U179" s="93" t="str">
        <f t="shared" si="183"/>
        <v> </v>
      </c>
      <c r="V179" s="93">
        <f t="shared" si="184"/>
        <v>4</v>
      </c>
      <c r="W179" s="93" t="str">
        <f t="shared" si="185"/>
        <v> </v>
      </c>
      <c r="X179" s="67"/>
      <c r="Y179" s="67"/>
      <c r="Z179" s="67"/>
      <c r="AA179" s="67"/>
      <c r="AB179" s="67"/>
      <c r="AC179" s="85"/>
      <c r="AF179" s="86"/>
    </row>
    <row r="180" ht="12.75" customHeight="1">
      <c r="A180" s="1"/>
      <c r="B180" s="87"/>
      <c r="C180" s="94" t="s">
        <v>45</v>
      </c>
      <c r="D180" s="89">
        <v>0.85</v>
      </c>
      <c r="E180" s="90">
        <v>1.0</v>
      </c>
      <c r="F180" s="90">
        <v>3.0</v>
      </c>
      <c r="G180" s="92">
        <f>'Start Here'!$F$22*D180</f>
        <v>85</v>
      </c>
      <c r="H180" s="68"/>
      <c r="I180" s="68"/>
      <c r="J180" s="68">
        <f t="shared" si="179"/>
        <v>3</v>
      </c>
      <c r="K180" s="252">
        <f t="shared" si="180"/>
        <v>255</v>
      </c>
      <c r="L180" s="68"/>
      <c r="M180" s="68"/>
      <c r="N180" s="67"/>
      <c r="O180" s="67"/>
      <c r="P180" s="67"/>
      <c r="Q180" s="67"/>
      <c r="R180" s="67"/>
      <c r="S180" s="93" t="str">
        <f t="shared" si="181"/>
        <v> </v>
      </c>
      <c r="T180" s="93" t="str">
        <f t="shared" si="182"/>
        <v> </v>
      </c>
      <c r="U180" s="93" t="str">
        <f t="shared" si="183"/>
        <v> </v>
      </c>
      <c r="V180" s="93">
        <f t="shared" si="184"/>
        <v>3</v>
      </c>
      <c r="W180" s="93" t="str">
        <f t="shared" si="185"/>
        <v> </v>
      </c>
      <c r="X180" s="67"/>
      <c r="Y180" s="67"/>
      <c r="Z180" s="67"/>
      <c r="AA180" s="67"/>
      <c r="AB180" s="67"/>
      <c r="AC180" s="85"/>
      <c r="AF180" s="86"/>
    </row>
    <row r="181" ht="12.75" customHeight="1">
      <c r="A181" s="1"/>
      <c r="B181" s="96">
        <v>3.0</v>
      </c>
      <c r="C181" s="167" t="s">
        <v>92</v>
      </c>
      <c r="D181" s="168"/>
      <c r="E181" s="98">
        <v>6.0</v>
      </c>
      <c r="F181" s="98">
        <v>4.0</v>
      </c>
      <c r="G181" s="170"/>
      <c r="H181" s="68"/>
      <c r="I181" s="68"/>
      <c r="J181" s="68"/>
      <c r="K181" s="68"/>
      <c r="L181" s="68"/>
      <c r="M181" s="68"/>
      <c r="N181" s="67"/>
      <c r="O181" s="67"/>
      <c r="P181" s="67"/>
      <c r="Q181" s="67"/>
      <c r="R181" s="67"/>
      <c r="S181" s="67"/>
      <c r="T181" s="67"/>
      <c r="U181" s="67"/>
      <c r="V181" s="67"/>
      <c r="W181" s="67"/>
      <c r="X181" s="67"/>
      <c r="Y181" s="67"/>
      <c r="Z181" s="67"/>
      <c r="AA181" s="67"/>
      <c r="AB181" s="67"/>
      <c r="AC181" s="85"/>
      <c r="AF181" s="86"/>
    </row>
    <row r="182" ht="12.75" customHeight="1">
      <c r="A182" s="1"/>
      <c r="B182" s="175">
        <v>4.0</v>
      </c>
      <c r="C182" s="171" t="s">
        <v>78</v>
      </c>
      <c r="D182" s="177"/>
      <c r="E182" s="178">
        <v>4.0</v>
      </c>
      <c r="F182" s="178">
        <v>4.0</v>
      </c>
      <c r="G182" s="180"/>
      <c r="H182" s="68"/>
      <c r="I182" s="68"/>
      <c r="J182" s="68"/>
      <c r="K182" s="68"/>
      <c r="L182" s="68"/>
      <c r="M182" s="68"/>
      <c r="N182" s="67"/>
      <c r="O182" s="67"/>
      <c r="P182" s="67"/>
      <c r="Q182" s="67"/>
      <c r="R182" s="67"/>
      <c r="S182" s="67"/>
      <c r="T182" s="67"/>
      <c r="U182" s="67"/>
      <c r="V182" s="67"/>
      <c r="W182" s="67"/>
      <c r="X182" s="67"/>
      <c r="Y182" s="67"/>
      <c r="Z182" s="67"/>
      <c r="AA182" s="67"/>
      <c r="AB182" s="67"/>
      <c r="AC182" s="104"/>
      <c r="AD182" s="105"/>
      <c r="AE182" s="105"/>
      <c r="AF182" s="106"/>
    </row>
    <row r="183" ht="12.75" customHeight="1">
      <c r="A183" s="1"/>
      <c r="B183" s="67"/>
      <c r="C183" s="136"/>
      <c r="D183" s="137"/>
      <c r="E183" s="252"/>
      <c r="F183" s="68"/>
      <c r="G183" s="138"/>
      <c r="H183" s="68"/>
      <c r="I183" s="68"/>
      <c r="J183" s="68"/>
      <c r="K183" s="68"/>
      <c r="L183" s="68"/>
      <c r="M183" s="68"/>
      <c r="N183" s="67"/>
      <c r="O183" s="67"/>
      <c r="P183" s="67"/>
      <c r="Q183" s="67"/>
      <c r="R183" s="67"/>
      <c r="S183" s="67"/>
      <c r="T183" s="67"/>
      <c r="U183" s="67"/>
      <c r="V183" s="67"/>
      <c r="W183" s="67"/>
      <c r="X183" s="67"/>
      <c r="Y183" s="67"/>
      <c r="Z183" s="67"/>
      <c r="AA183" s="67"/>
      <c r="AB183" s="67"/>
      <c r="AC183" s="67"/>
      <c r="AD183" s="67"/>
      <c r="AE183" s="67"/>
      <c r="AF183" s="67"/>
    </row>
    <row r="184" ht="36.75" customHeight="1">
      <c r="A184" s="1"/>
      <c r="B184" s="68" t="s">
        <v>49</v>
      </c>
      <c r="D184" s="137" t="s">
        <v>34</v>
      </c>
      <c r="E184" s="252" t="s">
        <v>35</v>
      </c>
      <c r="F184" s="68" t="s">
        <v>36</v>
      </c>
      <c r="G184" s="138" t="s">
        <v>37</v>
      </c>
      <c r="H184" s="68"/>
      <c r="I184" s="68"/>
      <c r="J184" s="68"/>
      <c r="K184" s="68"/>
      <c r="L184" s="68"/>
      <c r="M184" s="68"/>
      <c r="N184" s="67"/>
      <c r="O184" s="67"/>
      <c r="P184" s="67"/>
      <c r="Q184" s="67"/>
      <c r="R184" s="67"/>
      <c r="S184" s="67"/>
      <c r="T184" s="67"/>
      <c r="U184" s="67"/>
      <c r="V184" s="67"/>
      <c r="W184" s="67"/>
      <c r="X184" s="67"/>
      <c r="Y184" s="67"/>
      <c r="Z184" s="67"/>
      <c r="AA184" s="67"/>
      <c r="AB184" s="67"/>
      <c r="AC184" s="67" t="s">
        <v>43</v>
      </c>
      <c r="AD184" s="67"/>
      <c r="AE184" s="67"/>
      <c r="AF184" s="67"/>
    </row>
    <row r="185" ht="12.75" customHeight="1">
      <c r="A185" s="1"/>
      <c r="B185" s="123">
        <v>1.0</v>
      </c>
      <c r="C185" s="124" t="s">
        <v>45</v>
      </c>
      <c r="D185" s="125">
        <v>0.5</v>
      </c>
      <c r="E185" s="126">
        <v>3.0</v>
      </c>
      <c r="F185" s="126">
        <v>1.0</v>
      </c>
      <c r="G185" s="128">
        <f>'Start Here'!$F$22*D185</f>
        <v>50</v>
      </c>
      <c r="H185" s="68"/>
      <c r="I185" s="68"/>
      <c r="J185" s="68">
        <f t="shared" ref="J185:J188" si="186">E185*F185</f>
        <v>3</v>
      </c>
      <c r="K185" s="252">
        <f t="shared" ref="K185:K188" si="187">J185*G185</f>
        <v>150</v>
      </c>
      <c r="L185" s="68"/>
      <c r="M185" s="68"/>
      <c r="N185" s="67"/>
      <c r="O185" s="67"/>
      <c r="P185" s="67"/>
      <c r="Q185" s="67"/>
      <c r="R185" s="67"/>
      <c r="S185" s="93">
        <f t="shared" ref="S185:S188" si="188">IF(ISNUMBER(SEARCH("bench",$C185)),IF($D185&gt;=0.5,IF($D185&lt;0.6,$E185*$F185," ")," ")," ")</f>
        <v>3</v>
      </c>
      <c r="T185" s="93" t="str">
        <f t="shared" ref="T185:T188" si="189">IF(ISNUMBER(SEARCH("bench",$C185)),IF($D185&gt;=0.6,IF($D185&lt;0.7,$E185*$F185," ")," ")," ")</f>
        <v> </v>
      </c>
      <c r="U185" s="93" t="str">
        <f t="shared" ref="U185:U188" si="190">IF(ISNUMBER(SEARCH("bench",$C185)),IF($D185&gt;=0.7,IF($D185&lt;0.8,$E185*$F185," ")," ")," ")</f>
        <v> </v>
      </c>
      <c r="V185" s="93" t="str">
        <f t="shared" ref="V185:V188" si="191">IF(ISNUMBER(SEARCH("bench",$C185)),IF($D185&gt;=0.8,IF($D185&lt;0.9,$E185*$F185," ")," ")," ")</f>
        <v> </v>
      </c>
      <c r="W185" s="93" t="str">
        <f t="shared" ref="W185:W188" si="192">IF(ISNUMBER(SEARCH("bench",$C185)),IF($D185&gt;=0.9,$E185*$F185," ")," ")</f>
        <v> </v>
      </c>
      <c r="X185" s="67"/>
      <c r="Y185" s="67"/>
      <c r="Z185" s="67"/>
      <c r="AA185" s="67"/>
      <c r="AB185" s="67"/>
      <c r="AC185" s="76"/>
      <c r="AD185" s="77"/>
      <c r="AE185" s="77"/>
      <c r="AF185" s="78"/>
    </row>
    <row r="186" ht="12.75" customHeight="1">
      <c r="A186" s="1"/>
      <c r="B186" s="87"/>
      <c r="C186" s="94" t="s">
        <v>45</v>
      </c>
      <c r="D186" s="89">
        <v>0.6</v>
      </c>
      <c r="E186" s="90">
        <v>3.0</v>
      </c>
      <c r="F186" s="90">
        <v>1.0</v>
      </c>
      <c r="G186" s="92">
        <f>'Start Here'!$F$22*D186</f>
        <v>60</v>
      </c>
      <c r="H186" s="68"/>
      <c r="I186" s="68"/>
      <c r="J186" s="68">
        <f t="shared" si="186"/>
        <v>3</v>
      </c>
      <c r="K186" s="252">
        <f t="shared" si="187"/>
        <v>180</v>
      </c>
      <c r="L186" s="68"/>
      <c r="M186" s="68"/>
      <c r="N186" s="67"/>
      <c r="O186" s="67"/>
      <c r="P186" s="67"/>
      <c r="Q186" s="67"/>
      <c r="R186" s="67"/>
      <c r="S186" s="93" t="str">
        <f t="shared" si="188"/>
        <v> </v>
      </c>
      <c r="T186" s="93">
        <f t="shared" si="189"/>
        <v>3</v>
      </c>
      <c r="U186" s="93" t="str">
        <f t="shared" si="190"/>
        <v> </v>
      </c>
      <c r="V186" s="93" t="str">
        <f t="shared" si="191"/>
        <v> </v>
      </c>
      <c r="W186" s="93" t="str">
        <f t="shared" si="192"/>
        <v> </v>
      </c>
      <c r="X186" s="67"/>
      <c r="Y186" s="67"/>
      <c r="Z186" s="67"/>
      <c r="AA186" s="67"/>
      <c r="AB186" s="67"/>
      <c r="AC186" s="85"/>
      <c r="AF186" s="86"/>
    </row>
    <row r="187" ht="12.75" customHeight="1">
      <c r="A187" s="1"/>
      <c r="B187" s="87"/>
      <c r="C187" s="94" t="s">
        <v>45</v>
      </c>
      <c r="D187" s="89">
        <v>0.7</v>
      </c>
      <c r="E187" s="90">
        <v>3.0</v>
      </c>
      <c r="F187" s="90">
        <v>1.0</v>
      </c>
      <c r="G187" s="92">
        <f>'Start Here'!$F$22*D187</f>
        <v>70</v>
      </c>
      <c r="H187" s="68"/>
      <c r="I187" s="68"/>
      <c r="J187" s="68">
        <f t="shared" si="186"/>
        <v>3</v>
      </c>
      <c r="K187" s="252">
        <f t="shared" si="187"/>
        <v>210</v>
      </c>
      <c r="L187" s="68"/>
      <c r="M187" s="68"/>
      <c r="N187" s="67"/>
      <c r="O187" s="67"/>
      <c r="P187" s="67"/>
      <c r="Q187" s="67"/>
      <c r="R187" s="67"/>
      <c r="S187" s="93" t="str">
        <f t="shared" si="188"/>
        <v> </v>
      </c>
      <c r="T187" s="93" t="str">
        <f t="shared" si="189"/>
        <v> </v>
      </c>
      <c r="U187" s="93">
        <f t="shared" si="190"/>
        <v>3</v>
      </c>
      <c r="V187" s="93" t="str">
        <f t="shared" si="191"/>
        <v> </v>
      </c>
      <c r="W187" s="93" t="str">
        <f t="shared" si="192"/>
        <v> </v>
      </c>
      <c r="X187" s="67"/>
      <c r="Y187" s="67"/>
      <c r="Z187" s="67"/>
      <c r="AA187" s="67"/>
      <c r="AB187" s="67"/>
      <c r="AC187" s="85"/>
      <c r="AF187" s="86"/>
    </row>
    <row r="188" ht="12.75" customHeight="1">
      <c r="A188" s="1"/>
      <c r="B188" s="87"/>
      <c r="C188" s="94" t="s">
        <v>45</v>
      </c>
      <c r="D188" s="89">
        <v>0.8</v>
      </c>
      <c r="E188" s="90">
        <v>2.0</v>
      </c>
      <c r="F188" s="90">
        <v>2.0</v>
      </c>
      <c r="G188" s="92">
        <f>'Start Here'!$F$22*D188</f>
        <v>80</v>
      </c>
      <c r="H188" s="68"/>
      <c r="I188" s="68"/>
      <c r="J188" s="68">
        <f t="shared" si="186"/>
        <v>4</v>
      </c>
      <c r="K188" s="252">
        <f t="shared" si="187"/>
        <v>320</v>
      </c>
      <c r="L188" s="68"/>
      <c r="M188" s="68"/>
      <c r="N188" s="67"/>
      <c r="O188" s="67"/>
      <c r="P188" s="67"/>
      <c r="Q188" s="67"/>
      <c r="R188" s="67"/>
      <c r="S188" s="93" t="str">
        <f t="shared" si="188"/>
        <v> </v>
      </c>
      <c r="T188" s="93" t="str">
        <f t="shared" si="189"/>
        <v> </v>
      </c>
      <c r="U188" s="93" t="str">
        <f t="shared" si="190"/>
        <v> </v>
      </c>
      <c r="V188" s="93">
        <f t="shared" si="191"/>
        <v>4</v>
      </c>
      <c r="W188" s="93" t="str">
        <f t="shared" si="192"/>
        <v> </v>
      </c>
      <c r="X188" s="67"/>
      <c r="Y188" s="67"/>
      <c r="Z188" s="67"/>
      <c r="AA188" s="67"/>
      <c r="AB188" s="67"/>
      <c r="AC188" s="85"/>
      <c r="AF188" s="86"/>
    </row>
    <row r="189" ht="12.75" customHeight="1">
      <c r="A189" s="1"/>
      <c r="B189" s="115">
        <v>2.0</v>
      </c>
      <c r="C189" s="121" t="s">
        <v>122</v>
      </c>
      <c r="D189" s="117">
        <v>0.5</v>
      </c>
      <c r="E189" s="118">
        <v>2.0</v>
      </c>
      <c r="F189" s="118">
        <v>1.0</v>
      </c>
      <c r="G189" s="120">
        <f>'Start Here'!$F$23*D189</f>
        <v>50</v>
      </c>
      <c r="H189" s="68"/>
      <c r="I189" s="68"/>
      <c r="J189" s="68"/>
      <c r="K189" s="68"/>
      <c r="L189" s="68">
        <f t="shared" ref="L189:L191" si="193">E189*F189</f>
        <v>2</v>
      </c>
      <c r="M189" s="68">
        <f t="shared" ref="M189:M191" si="194">L189*G189</f>
        <v>100</v>
      </c>
      <c r="N189" s="67"/>
      <c r="O189" s="67"/>
      <c r="P189" s="67"/>
      <c r="Q189" s="67"/>
      <c r="R189" s="67"/>
      <c r="S189" s="67"/>
      <c r="T189" s="67"/>
      <c r="U189" s="67"/>
      <c r="V189" s="67"/>
      <c r="W189" s="67"/>
      <c r="X189" s="114">
        <f t="shared" ref="X189:X191" si="195">IF(ISNUMBER(SEARCH("deadlift",$C189)),IF($D189&gt;=0.5,IF($D189&lt;0.6,$E189*$F189," ")," ")," ")</f>
        <v>2</v>
      </c>
      <c r="Y189" s="114" t="str">
        <f t="shared" ref="Y189:Y191" si="196">IF(ISNUMBER(SEARCH("deadlift",$C189)),IF($D189&gt;=0.6,IF($D189&lt;0.7,$E189*$F189," ")," ")," ")</f>
        <v> </v>
      </c>
      <c r="Z189" s="114" t="str">
        <f t="shared" ref="Z189:Z191" si="197">IF(ISNUMBER(SEARCH("deadlift",$C189)),IF($D189&gt;=0.7,IF($D189&lt;0.8,$E189*$F189," ")," ")," ")</f>
        <v> </v>
      </c>
      <c r="AA189" s="114" t="str">
        <f t="shared" ref="AA189:AA191" si="198">IF(ISNUMBER(SEARCH("deadlift",$C189)),IF($D189&gt;=0.8,IF($D189&lt;0.9,$E189*$F189," ")," ")," ")</f>
        <v> </v>
      </c>
      <c r="AB189" s="114" t="str">
        <f t="shared" ref="AB189:AB191" si="199">IF(ISNUMBER(SEARCH("deadlift",$C189)),IF($D189&gt;=0.9,$E189*$F189," ")," ")</f>
        <v> </v>
      </c>
      <c r="AC189" s="85"/>
      <c r="AF189" s="86"/>
    </row>
    <row r="190" ht="12.75" customHeight="1">
      <c r="A190" s="1"/>
      <c r="B190" s="115"/>
      <c r="C190" s="122" t="s">
        <v>122</v>
      </c>
      <c r="D190" s="117">
        <v>0.6</v>
      </c>
      <c r="E190" s="118">
        <v>2.0</v>
      </c>
      <c r="F190" s="118">
        <v>1.0</v>
      </c>
      <c r="G190" s="120">
        <f>'Start Here'!$F$23*D190</f>
        <v>60</v>
      </c>
      <c r="H190" s="68"/>
      <c r="I190" s="68"/>
      <c r="J190" s="68"/>
      <c r="K190" s="68"/>
      <c r="L190" s="68">
        <f t="shared" si="193"/>
        <v>2</v>
      </c>
      <c r="M190" s="68">
        <f t="shared" si="194"/>
        <v>120</v>
      </c>
      <c r="N190" s="67"/>
      <c r="O190" s="67"/>
      <c r="P190" s="67"/>
      <c r="Q190" s="67"/>
      <c r="R190" s="67"/>
      <c r="S190" s="67"/>
      <c r="T190" s="67"/>
      <c r="U190" s="67"/>
      <c r="V190" s="67"/>
      <c r="W190" s="67"/>
      <c r="X190" s="114" t="str">
        <f t="shared" si="195"/>
        <v> </v>
      </c>
      <c r="Y190" s="114">
        <f t="shared" si="196"/>
        <v>2</v>
      </c>
      <c r="Z190" s="114" t="str">
        <f t="shared" si="197"/>
        <v> </v>
      </c>
      <c r="AA190" s="114" t="str">
        <f t="shared" si="198"/>
        <v> </v>
      </c>
      <c r="AB190" s="114" t="str">
        <f t="shared" si="199"/>
        <v> </v>
      </c>
      <c r="AC190" s="85"/>
      <c r="AF190" s="86"/>
    </row>
    <row r="191" ht="12.75" customHeight="1">
      <c r="A191" s="1"/>
      <c r="B191" s="115"/>
      <c r="C191" s="122" t="s">
        <v>122</v>
      </c>
      <c r="D191" s="117">
        <v>0.7</v>
      </c>
      <c r="E191" s="118">
        <v>2.0</v>
      </c>
      <c r="F191" s="118">
        <v>3.0</v>
      </c>
      <c r="G191" s="120">
        <f>'Start Here'!$F$23*D191</f>
        <v>70</v>
      </c>
      <c r="H191" s="68"/>
      <c r="I191" s="68"/>
      <c r="J191" s="68"/>
      <c r="K191" s="68"/>
      <c r="L191" s="68">
        <f t="shared" si="193"/>
        <v>6</v>
      </c>
      <c r="M191" s="68">
        <f t="shared" si="194"/>
        <v>420</v>
      </c>
      <c r="N191" s="67"/>
      <c r="O191" s="67"/>
      <c r="P191" s="67"/>
      <c r="Q191" s="67"/>
      <c r="R191" s="67"/>
      <c r="S191" s="67"/>
      <c r="T191" s="67"/>
      <c r="U191" s="67"/>
      <c r="V191" s="67"/>
      <c r="W191" s="67"/>
      <c r="X191" s="114" t="str">
        <f t="shared" si="195"/>
        <v> </v>
      </c>
      <c r="Y191" s="114" t="str">
        <f t="shared" si="196"/>
        <v> </v>
      </c>
      <c r="Z191" s="114">
        <f t="shared" si="197"/>
        <v>6</v>
      </c>
      <c r="AA191" s="114" t="str">
        <f t="shared" si="198"/>
        <v> </v>
      </c>
      <c r="AB191" s="114" t="str">
        <f t="shared" si="199"/>
        <v> </v>
      </c>
      <c r="AC191" s="85"/>
      <c r="AF191" s="86"/>
    </row>
    <row r="192" ht="12.75" customHeight="1">
      <c r="A192" s="1"/>
      <c r="B192" s="96">
        <v>3.0</v>
      </c>
      <c r="C192" s="167" t="s">
        <v>95</v>
      </c>
      <c r="D192" s="168"/>
      <c r="E192" s="98">
        <v>6.0</v>
      </c>
      <c r="F192" s="98">
        <v>3.0</v>
      </c>
      <c r="G192" s="170"/>
      <c r="H192" s="68"/>
      <c r="I192" s="68"/>
      <c r="J192" s="68"/>
      <c r="K192" s="68"/>
      <c r="L192" s="68"/>
      <c r="M192" s="68"/>
      <c r="N192" s="67"/>
      <c r="O192" s="67"/>
      <c r="P192" s="67"/>
      <c r="Q192" s="67"/>
      <c r="R192" s="67"/>
      <c r="S192" s="67"/>
      <c r="T192" s="67"/>
      <c r="U192" s="67"/>
      <c r="V192" s="67"/>
      <c r="W192" s="67"/>
      <c r="X192" s="67"/>
      <c r="Y192" s="67"/>
      <c r="Z192" s="67"/>
      <c r="AA192" s="67"/>
      <c r="AB192" s="67"/>
      <c r="AC192" s="85"/>
      <c r="AF192" s="86"/>
    </row>
    <row r="193" ht="12.75" customHeight="1">
      <c r="A193" s="1"/>
      <c r="B193" s="100">
        <v>4.0</v>
      </c>
      <c r="C193" s="171" t="s">
        <v>48</v>
      </c>
      <c r="D193" s="172"/>
      <c r="E193" s="102">
        <v>8.0</v>
      </c>
      <c r="F193" s="102">
        <v>3.0</v>
      </c>
      <c r="G193" s="174"/>
      <c r="H193" s="68"/>
      <c r="I193" s="68"/>
      <c r="J193" s="68"/>
      <c r="K193" s="68"/>
      <c r="L193" s="68"/>
      <c r="M193" s="68"/>
      <c r="N193" s="67"/>
      <c r="O193" s="67"/>
      <c r="P193" s="67"/>
      <c r="Q193" s="67"/>
      <c r="R193" s="67"/>
      <c r="S193" s="67"/>
      <c r="T193" s="67"/>
      <c r="U193" s="67"/>
      <c r="V193" s="67"/>
      <c r="W193" s="67"/>
      <c r="X193" s="67"/>
      <c r="Y193" s="67"/>
      <c r="Z193" s="67"/>
      <c r="AA193" s="67"/>
      <c r="AB193" s="67"/>
      <c r="AC193" s="104"/>
      <c r="AD193" s="105"/>
      <c r="AE193" s="105"/>
      <c r="AF193" s="106"/>
    </row>
    <row r="194" ht="12.75" customHeight="1">
      <c r="A194" s="1"/>
      <c r="B194" s="67"/>
      <c r="C194" s="136"/>
      <c r="D194" s="137"/>
      <c r="E194" s="252"/>
      <c r="F194" s="68"/>
      <c r="G194" s="138"/>
      <c r="H194" s="68"/>
      <c r="I194" s="68"/>
      <c r="J194" s="68"/>
      <c r="K194" s="68"/>
      <c r="L194" s="68"/>
      <c r="M194" s="68"/>
      <c r="N194" s="67"/>
      <c r="O194" s="67"/>
      <c r="P194" s="67"/>
      <c r="Q194" s="67"/>
      <c r="R194" s="67"/>
      <c r="S194" s="67"/>
      <c r="T194" s="67"/>
      <c r="U194" s="67"/>
      <c r="V194" s="67"/>
      <c r="W194" s="67"/>
      <c r="X194" s="67"/>
      <c r="Y194" s="67"/>
      <c r="Z194" s="67"/>
      <c r="AA194" s="67"/>
      <c r="AB194" s="67"/>
      <c r="AC194" s="67"/>
      <c r="AD194" s="67"/>
      <c r="AE194" s="67"/>
      <c r="AF194" s="67"/>
    </row>
    <row r="195" ht="36.75" customHeight="1">
      <c r="A195" s="1"/>
      <c r="B195" s="68" t="s">
        <v>54</v>
      </c>
      <c r="D195" s="137" t="s">
        <v>34</v>
      </c>
      <c r="E195" s="252" t="s">
        <v>35</v>
      </c>
      <c r="F195" s="68" t="s">
        <v>36</v>
      </c>
      <c r="G195" s="138" t="s">
        <v>37</v>
      </c>
      <c r="H195" s="68"/>
      <c r="I195" s="68"/>
      <c r="J195" s="68"/>
      <c r="K195" s="68"/>
      <c r="L195" s="68"/>
      <c r="M195" s="68"/>
      <c r="N195" s="67"/>
      <c r="O195" s="67"/>
      <c r="P195" s="67"/>
      <c r="Q195" s="67"/>
      <c r="R195" s="67"/>
      <c r="S195" s="67"/>
      <c r="T195" s="67"/>
      <c r="U195" s="67"/>
      <c r="V195" s="67"/>
      <c r="W195" s="67"/>
      <c r="X195" s="67"/>
      <c r="Y195" s="67"/>
      <c r="Z195" s="67"/>
      <c r="AA195" s="67"/>
      <c r="AB195" s="67"/>
      <c r="AC195" s="67" t="s">
        <v>43</v>
      </c>
      <c r="AD195" s="67"/>
      <c r="AE195" s="67"/>
      <c r="AF195" s="67"/>
    </row>
    <row r="196" ht="12.75" customHeight="1">
      <c r="A196" s="1"/>
      <c r="B196" s="69">
        <v>1.0</v>
      </c>
      <c r="C196" s="70" t="s">
        <v>46</v>
      </c>
      <c r="D196" s="71">
        <v>0.5</v>
      </c>
      <c r="E196" s="145">
        <v>3.0</v>
      </c>
      <c r="F196" s="145">
        <v>1.0</v>
      </c>
      <c r="G196" s="73">
        <f>'Start Here'!$F$21*D196</f>
        <v>50</v>
      </c>
      <c r="H196" s="68">
        <f t="shared" ref="H196:H199" si="200">E196*F196</f>
        <v>3</v>
      </c>
      <c r="I196" s="252">
        <f t="shared" ref="I196:I199" si="201">H196*G196</f>
        <v>150</v>
      </c>
      <c r="J196" s="68"/>
      <c r="K196" s="68"/>
      <c r="L196" s="68"/>
      <c r="M196" s="68"/>
      <c r="N196" s="75">
        <f t="shared" ref="N196:N199" si="202">IF(ISNUMBER(SEARCH("squat",$C196)),IF($D196&gt;=0.5,IF($D196&lt;0.6,$E196*$F196," ")," ")," ")</f>
        <v>3</v>
      </c>
      <c r="O196" s="75" t="str">
        <f t="shared" ref="O196:O199" si="203">IF(ISNUMBER(SEARCH("squat",$C196)),IF($D196&gt;=0.6,IF($D196&lt;0.7,$E196*$F196," ")," ")," ")</f>
        <v> </v>
      </c>
      <c r="P196" s="75" t="str">
        <f t="shared" ref="P196:P199" si="204">IF(ISNUMBER(SEARCH("squat",$C196)),IF($D196&gt;=0.7,IF($D196&lt;0.8,$E196*$F196," ")," ")," ")</f>
        <v> </v>
      </c>
      <c r="Q196" s="75" t="str">
        <f t="shared" ref="Q196:Q199" si="205">IF(ISNUMBER(SEARCH("squat",$C196)),IF($D196&gt;=0.8,IF($D196&lt;0.9,$E196*$F196," ")," ")," ")</f>
        <v> </v>
      </c>
      <c r="R196" s="75" t="str">
        <f t="shared" ref="R196:R199" si="206">IF(ISNUMBER(SEARCH("squat",$C196)),IF($D196&gt;=0.9,$E196*$F196," ")," ")</f>
        <v> </v>
      </c>
      <c r="S196" s="67"/>
      <c r="T196" s="67"/>
      <c r="U196" s="67"/>
      <c r="V196" s="67"/>
      <c r="W196" s="67"/>
      <c r="X196" s="67"/>
      <c r="Y196" s="67"/>
      <c r="Z196" s="67"/>
      <c r="AA196" s="67"/>
      <c r="AB196" s="67"/>
      <c r="AC196" s="76"/>
      <c r="AD196" s="77"/>
      <c r="AE196" s="77"/>
      <c r="AF196" s="78"/>
    </row>
    <row r="197" ht="12.75" customHeight="1">
      <c r="A197" s="1"/>
      <c r="B197" s="79"/>
      <c r="C197" s="80" t="s">
        <v>46</v>
      </c>
      <c r="D197" s="81">
        <v>0.6</v>
      </c>
      <c r="E197" s="82">
        <v>3.0</v>
      </c>
      <c r="F197" s="82">
        <v>1.0</v>
      </c>
      <c r="G197" s="84">
        <f>'Start Here'!$F$21*D197</f>
        <v>60</v>
      </c>
      <c r="H197" s="68">
        <f t="shared" si="200"/>
        <v>3</v>
      </c>
      <c r="I197" s="252">
        <f t="shared" si="201"/>
        <v>180</v>
      </c>
      <c r="J197" s="68"/>
      <c r="K197" s="68"/>
      <c r="L197" s="68"/>
      <c r="M197" s="68"/>
      <c r="N197" s="75" t="str">
        <f t="shared" si="202"/>
        <v> </v>
      </c>
      <c r="O197" s="75">
        <f t="shared" si="203"/>
        <v>3</v>
      </c>
      <c r="P197" s="75" t="str">
        <f t="shared" si="204"/>
        <v> </v>
      </c>
      <c r="Q197" s="75" t="str">
        <f t="shared" si="205"/>
        <v> </v>
      </c>
      <c r="R197" s="75" t="str">
        <f t="shared" si="206"/>
        <v> </v>
      </c>
      <c r="S197" s="67"/>
      <c r="T197" s="67"/>
      <c r="U197" s="67"/>
      <c r="V197" s="67"/>
      <c r="W197" s="67"/>
      <c r="X197" s="67"/>
      <c r="Y197" s="67"/>
      <c r="Z197" s="67"/>
      <c r="AA197" s="67"/>
      <c r="AB197" s="67"/>
      <c r="AC197" s="85"/>
      <c r="AF197" s="86"/>
    </row>
    <row r="198" ht="12.75" customHeight="1">
      <c r="A198" s="1"/>
      <c r="B198" s="79"/>
      <c r="C198" s="80" t="s">
        <v>46</v>
      </c>
      <c r="D198" s="81">
        <v>0.7</v>
      </c>
      <c r="E198" s="82">
        <v>2.0</v>
      </c>
      <c r="F198" s="82">
        <v>2.0</v>
      </c>
      <c r="G198" s="84">
        <f>'Start Here'!$F$21*D198</f>
        <v>70</v>
      </c>
      <c r="H198" s="68">
        <f t="shared" si="200"/>
        <v>4</v>
      </c>
      <c r="I198" s="252">
        <f t="shared" si="201"/>
        <v>280</v>
      </c>
      <c r="J198" s="68"/>
      <c r="K198" s="68"/>
      <c r="L198" s="68"/>
      <c r="M198" s="68"/>
      <c r="N198" s="75" t="str">
        <f t="shared" si="202"/>
        <v> </v>
      </c>
      <c r="O198" s="75" t="str">
        <f t="shared" si="203"/>
        <v> </v>
      </c>
      <c r="P198" s="75">
        <f t="shared" si="204"/>
        <v>4</v>
      </c>
      <c r="Q198" s="75" t="str">
        <f t="shared" si="205"/>
        <v> </v>
      </c>
      <c r="R198" s="75" t="str">
        <f t="shared" si="206"/>
        <v> </v>
      </c>
      <c r="S198" s="67"/>
      <c r="T198" s="67"/>
      <c r="U198" s="67"/>
      <c r="V198" s="67"/>
      <c r="W198" s="67"/>
      <c r="X198" s="67"/>
      <c r="Y198" s="67"/>
      <c r="Z198" s="67"/>
      <c r="AA198" s="67"/>
      <c r="AB198" s="67"/>
      <c r="AC198" s="85"/>
      <c r="AF198" s="86"/>
    </row>
    <row r="199" ht="12.75" customHeight="1">
      <c r="A199" s="1"/>
      <c r="B199" s="79"/>
      <c r="C199" s="80" t="s">
        <v>46</v>
      </c>
      <c r="D199" s="81">
        <v>0.75</v>
      </c>
      <c r="E199" s="82">
        <v>1.0</v>
      </c>
      <c r="F199" s="82">
        <v>3.0</v>
      </c>
      <c r="G199" s="84">
        <f>'Start Here'!$F$21*D199</f>
        <v>75</v>
      </c>
      <c r="H199" s="68">
        <f t="shared" si="200"/>
        <v>3</v>
      </c>
      <c r="I199" s="252">
        <f t="shared" si="201"/>
        <v>225</v>
      </c>
      <c r="J199" s="68"/>
      <c r="K199" s="68"/>
      <c r="L199" s="68"/>
      <c r="M199" s="68"/>
      <c r="N199" s="75" t="str">
        <f t="shared" si="202"/>
        <v> </v>
      </c>
      <c r="O199" s="75" t="str">
        <f t="shared" si="203"/>
        <v> </v>
      </c>
      <c r="P199" s="75">
        <f t="shared" si="204"/>
        <v>3</v>
      </c>
      <c r="Q199" s="75" t="str">
        <f t="shared" si="205"/>
        <v> </v>
      </c>
      <c r="R199" s="75" t="str">
        <f t="shared" si="206"/>
        <v> </v>
      </c>
      <c r="S199" s="67"/>
      <c r="T199" s="67"/>
      <c r="U199" s="67"/>
      <c r="V199" s="67"/>
      <c r="W199" s="67"/>
      <c r="X199" s="67"/>
      <c r="Y199" s="67"/>
      <c r="Z199" s="67"/>
      <c r="AA199" s="67"/>
      <c r="AB199" s="67"/>
      <c r="AC199" s="85"/>
      <c r="AF199" s="86"/>
    </row>
    <row r="200" ht="12.75" customHeight="1">
      <c r="A200" s="1"/>
      <c r="B200" s="87">
        <v>2.0</v>
      </c>
      <c r="C200" s="88" t="s">
        <v>45</v>
      </c>
      <c r="D200" s="89">
        <v>0.5</v>
      </c>
      <c r="E200" s="90">
        <v>3.0</v>
      </c>
      <c r="F200" s="90">
        <v>1.0</v>
      </c>
      <c r="G200" s="92">
        <f>'Start Here'!$F$22*D200</f>
        <v>50</v>
      </c>
      <c r="H200" s="68"/>
      <c r="I200" s="68"/>
      <c r="J200" s="68">
        <f t="shared" ref="J200:J203" si="207">E200*F200</f>
        <v>3</v>
      </c>
      <c r="K200" s="252">
        <f t="shared" ref="K200:K203" si="208">J200*G200</f>
        <v>150</v>
      </c>
      <c r="L200" s="68"/>
      <c r="M200" s="68"/>
      <c r="N200" s="67"/>
      <c r="O200" s="67"/>
      <c r="P200" s="67"/>
      <c r="Q200" s="67"/>
      <c r="R200" s="67"/>
      <c r="S200" s="93">
        <f t="shared" ref="S200:S203" si="209">IF(ISNUMBER(SEARCH("bench",$C200)),IF($D200&gt;=0.5,IF($D200&lt;0.6,$E200*$F200," ")," ")," ")</f>
        <v>3</v>
      </c>
      <c r="T200" s="93" t="str">
        <f t="shared" ref="T200:T203" si="210">IF(ISNUMBER(SEARCH("bench",$C200)),IF($D200&gt;=0.6,IF($D200&lt;0.7,$E200*$F200," ")," ")," ")</f>
        <v> </v>
      </c>
      <c r="U200" s="93" t="str">
        <f t="shared" ref="U200:U203" si="211">IF(ISNUMBER(SEARCH("bench",$C200)),IF($D200&gt;=0.7,IF($D200&lt;0.8,$E200*$F200," ")," ")," ")</f>
        <v> </v>
      </c>
      <c r="V200" s="93" t="str">
        <f t="shared" ref="V200:V203" si="212">IF(ISNUMBER(SEARCH("bench",$C200)),IF($D200&gt;=0.8,IF($D200&lt;0.9,$E200*$F200," ")," ")," ")</f>
        <v> </v>
      </c>
      <c r="W200" s="93" t="str">
        <f t="shared" ref="W200:W203" si="213">IF(ISNUMBER(SEARCH("bench",$C200)),IF($D200&gt;=0.9,$E200*$F200," ")," ")</f>
        <v> </v>
      </c>
      <c r="X200" s="67"/>
      <c r="Y200" s="67"/>
      <c r="Z200" s="67"/>
      <c r="AA200" s="67"/>
      <c r="AB200" s="67"/>
      <c r="AC200" s="85"/>
      <c r="AF200" s="86"/>
    </row>
    <row r="201" ht="12.75" customHeight="1">
      <c r="A201" s="1"/>
      <c r="B201" s="87"/>
      <c r="C201" s="94" t="s">
        <v>45</v>
      </c>
      <c r="D201" s="89">
        <v>0.6</v>
      </c>
      <c r="E201" s="90">
        <v>3.0</v>
      </c>
      <c r="F201" s="90">
        <v>1.0</v>
      </c>
      <c r="G201" s="92">
        <f>'Start Here'!$F$22*D201</f>
        <v>60</v>
      </c>
      <c r="H201" s="68"/>
      <c r="I201" s="68"/>
      <c r="J201" s="68">
        <f t="shared" si="207"/>
        <v>3</v>
      </c>
      <c r="K201" s="252">
        <f t="shared" si="208"/>
        <v>180</v>
      </c>
      <c r="L201" s="68"/>
      <c r="M201" s="68"/>
      <c r="N201" s="67"/>
      <c r="O201" s="67"/>
      <c r="P201" s="67"/>
      <c r="Q201" s="67"/>
      <c r="R201" s="67"/>
      <c r="S201" s="93" t="str">
        <f t="shared" si="209"/>
        <v> </v>
      </c>
      <c r="T201" s="93">
        <f t="shared" si="210"/>
        <v>3</v>
      </c>
      <c r="U201" s="93" t="str">
        <f t="shared" si="211"/>
        <v> </v>
      </c>
      <c r="V201" s="93" t="str">
        <f t="shared" si="212"/>
        <v> </v>
      </c>
      <c r="W201" s="93" t="str">
        <f t="shared" si="213"/>
        <v> </v>
      </c>
      <c r="X201" s="67"/>
      <c r="Y201" s="67"/>
      <c r="Z201" s="67"/>
      <c r="AA201" s="67"/>
      <c r="AB201" s="67"/>
      <c r="AC201" s="85"/>
      <c r="AF201" s="86"/>
    </row>
    <row r="202" ht="12.75" customHeight="1">
      <c r="A202" s="1"/>
      <c r="B202" s="87"/>
      <c r="C202" s="94" t="s">
        <v>45</v>
      </c>
      <c r="D202" s="89">
        <v>0.7</v>
      </c>
      <c r="E202" s="90">
        <v>3.0</v>
      </c>
      <c r="F202" s="90">
        <v>1.0</v>
      </c>
      <c r="G202" s="92">
        <f>'Start Here'!$F$22*D202</f>
        <v>70</v>
      </c>
      <c r="H202" s="68"/>
      <c r="I202" s="68"/>
      <c r="J202" s="68">
        <f t="shared" si="207"/>
        <v>3</v>
      </c>
      <c r="K202" s="252">
        <f t="shared" si="208"/>
        <v>210</v>
      </c>
      <c r="L202" s="68"/>
      <c r="M202" s="68"/>
      <c r="N202" s="67"/>
      <c r="O202" s="67"/>
      <c r="P202" s="67"/>
      <c r="Q202" s="67"/>
      <c r="R202" s="67"/>
      <c r="S202" s="93" t="str">
        <f t="shared" si="209"/>
        <v> </v>
      </c>
      <c r="T202" s="93" t="str">
        <f t="shared" si="210"/>
        <v> </v>
      </c>
      <c r="U202" s="93">
        <f t="shared" si="211"/>
        <v>3</v>
      </c>
      <c r="V202" s="93" t="str">
        <f t="shared" si="212"/>
        <v> </v>
      </c>
      <c r="W202" s="93" t="str">
        <f t="shared" si="213"/>
        <v> </v>
      </c>
      <c r="X202" s="67"/>
      <c r="Y202" s="67"/>
      <c r="Z202" s="67"/>
      <c r="AA202" s="67"/>
      <c r="AB202" s="67"/>
      <c r="AC202" s="85"/>
      <c r="AF202" s="86"/>
    </row>
    <row r="203" ht="12.75" customHeight="1">
      <c r="A203" s="1"/>
      <c r="B203" s="87"/>
      <c r="C203" s="94" t="s">
        <v>45</v>
      </c>
      <c r="D203" s="89">
        <v>0.75</v>
      </c>
      <c r="E203" s="90">
        <v>2.0</v>
      </c>
      <c r="F203" s="90">
        <v>3.0</v>
      </c>
      <c r="G203" s="92">
        <f>'Start Here'!$F$22*D203</f>
        <v>75</v>
      </c>
      <c r="H203" s="68"/>
      <c r="I203" s="68"/>
      <c r="J203" s="68">
        <f t="shared" si="207"/>
        <v>6</v>
      </c>
      <c r="K203" s="252">
        <f t="shared" si="208"/>
        <v>450</v>
      </c>
      <c r="L203" s="68"/>
      <c r="M203" s="68"/>
      <c r="N203" s="67"/>
      <c r="O203" s="67"/>
      <c r="P203" s="67"/>
      <c r="Q203" s="67"/>
      <c r="R203" s="67"/>
      <c r="S203" s="93" t="str">
        <f t="shared" si="209"/>
        <v> </v>
      </c>
      <c r="T203" s="93" t="str">
        <f t="shared" si="210"/>
        <v> </v>
      </c>
      <c r="U203" s="93">
        <f t="shared" si="211"/>
        <v>6</v>
      </c>
      <c r="V203" s="93" t="str">
        <f t="shared" si="212"/>
        <v> </v>
      </c>
      <c r="W203" s="93" t="str">
        <f t="shared" si="213"/>
        <v> </v>
      </c>
      <c r="X203" s="67"/>
      <c r="Y203" s="67"/>
      <c r="Z203" s="67"/>
      <c r="AA203" s="67"/>
      <c r="AB203" s="67"/>
      <c r="AC203" s="85"/>
      <c r="AF203" s="86"/>
    </row>
    <row r="204" ht="12.75" customHeight="1">
      <c r="A204" s="1"/>
      <c r="B204" s="232">
        <v>3.0</v>
      </c>
      <c r="C204" s="233" t="s">
        <v>57</v>
      </c>
      <c r="D204" s="234"/>
      <c r="E204" s="235">
        <v>6.0</v>
      </c>
      <c r="F204" s="235">
        <v>3.0</v>
      </c>
      <c r="G204" s="237"/>
      <c r="H204" s="68"/>
      <c r="I204" s="68"/>
      <c r="J204" s="68"/>
      <c r="K204" s="68"/>
      <c r="L204" s="68"/>
      <c r="M204" s="68"/>
      <c r="N204" s="67"/>
      <c r="O204" s="67"/>
      <c r="P204" s="67"/>
      <c r="Q204" s="67"/>
      <c r="R204" s="67"/>
      <c r="S204" s="67"/>
      <c r="T204" s="67"/>
      <c r="U204" s="67"/>
      <c r="V204" s="67"/>
      <c r="W204" s="67"/>
      <c r="X204" s="67"/>
      <c r="Y204" s="67"/>
      <c r="Z204" s="67"/>
      <c r="AA204" s="67"/>
      <c r="AB204" s="67"/>
      <c r="AC204" s="104"/>
      <c r="AD204" s="105"/>
      <c r="AE204" s="105"/>
      <c r="AF204" s="106"/>
    </row>
    <row r="205" ht="12.75" customHeight="1">
      <c r="A205" s="1"/>
      <c r="B205" s="67"/>
      <c r="C205" s="136"/>
      <c r="D205" s="137"/>
      <c r="E205" s="252"/>
      <c r="F205" s="68"/>
      <c r="G205" s="138"/>
      <c r="H205" s="68"/>
      <c r="I205" s="68"/>
      <c r="J205" s="68"/>
      <c r="K205" s="68"/>
      <c r="L205" s="68"/>
      <c r="M205" s="68"/>
      <c r="N205" s="67"/>
      <c r="O205" s="67"/>
      <c r="P205" s="67"/>
      <c r="Q205" s="67"/>
      <c r="R205" s="67"/>
      <c r="S205" s="67"/>
      <c r="T205" s="67"/>
      <c r="U205" s="67"/>
      <c r="V205" s="67"/>
      <c r="W205" s="67"/>
      <c r="X205" s="67"/>
      <c r="Y205" s="67"/>
      <c r="Z205" s="67"/>
      <c r="AA205" s="67"/>
      <c r="AB205" s="67"/>
      <c r="AC205" s="67"/>
      <c r="AD205" s="67"/>
      <c r="AE205" s="67"/>
      <c r="AF205" s="67"/>
    </row>
    <row r="206" ht="36.75" customHeight="1">
      <c r="A206" s="1"/>
      <c r="B206" s="68" t="s">
        <v>58</v>
      </c>
      <c r="D206" s="67"/>
      <c r="E206" s="67"/>
      <c r="F206" s="67"/>
      <c r="G206" s="67"/>
      <c r="H206" s="68"/>
      <c r="I206" s="68"/>
      <c r="J206" s="68"/>
      <c r="K206" s="68"/>
      <c r="L206" s="68"/>
      <c r="M206" s="68"/>
      <c r="N206" s="67"/>
      <c r="O206" s="67"/>
      <c r="P206" s="67"/>
      <c r="Q206" s="67"/>
      <c r="R206" s="67"/>
      <c r="S206" s="67"/>
      <c r="T206" s="67"/>
      <c r="U206" s="67"/>
      <c r="V206" s="67"/>
      <c r="W206" s="67"/>
      <c r="X206" s="67"/>
      <c r="Y206" s="67"/>
      <c r="Z206" s="67"/>
      <c r="AA206" s="67"/>
      <c r="AB206" s="67"/>
      <c r="AC206" s="67"/>
      <c r="AD206" s="67"/>
      <c r="AE206" s="67"/>
      <c r="AF206" s="67"/>
    </row>
    <row r="207" ht="33.75" customHeight="1">
      <c r="A207" s="1"/>
      <c r="B207" s="257" t="s">
        <v>140</v>
      </c>
      <c r="C207" s="258"/>
      <c r="D207" s="258"/>
      <c r="E207" s="258"/>
      <c r="F207" s="258"/>
      <c r="G207" s="258"/>
      <c r="H207" s="68"/>
      <c r="I207" s="68"/>
      <c r="J207" s="68"/>
      <c r="K207" s="68"/>
      <c r="L207" s="68"/>
      <c r="M207" s="68"/>
      <c r="N207" s="67"/>
      <c r="O207" s="67"/>
      <c r="P207" s="67"/>
      <c r="Q207" s="67"/>
      <c r="R207" s="67"/>
      <c r="S207" s="67"/>
      <c r="T207" s="67"/>
      <c r="U207" s="67"/>
      <c r="V207" s="67"/>
      <c r="W207" s="67"/>
      <c r="X207" s="67"/>
      <c r="Y207" s="67"/>
      <c r="Z207" s="67"/>
      <c r="AA207" s="67"/>
      <c r="AB207" s="67"/>
      <c r="AC207" s="67"/>
      <c r="AD207" s="67"/>
      <c r="AE207" s="67"/>
      <c r="AF207" s="67"/>
    </row>
    <row r="208" ht="12.75" customHeight="1">
      <c r="A208" s="181"/>
      <c r="B208" s="142"/>
      <c r="C208" s="182"/>
      <c r="D208" s="183"/>
      <c r="E208" s="254"/>
      <c r="F208" s="143"/>
      <c r="G208" s="184"/>
      <c r="H208" s="143">
        <f t="shared" ref="H208:AB208" si="214">SUM(H172:H207)</f>
        <v>30</v>
      </c>
      <c r="I208" s="254">
        <f t="shared" si="214"/>
        <v>2015</v>
      </c>
      <c r="J208" s="143">
        <f t="shared" si="214"/>
        <v>44</v>
      </c>
      <c r="K208" s="254">
        <f t="shared" si="214"/>
        <v>2965</v>
      </c>
      <c r="L208" s="143">
        <f t="shared" si="214"/>
        <v>10</v>
      </c>
      <c r="M208" s="143">
        <f t="shared" si="214"/>
        <v>640</v>
      </c>
      <c r="N208" s="144">
        <f t="shared" si="214"/>
        <v>6</v>
      </c>
      <c r="O208" s="144">
        <f t="shared" si="214"/>
        <v>6</v>
      </c>
      <c r="P208" s="144">
        <f t="shared" si="214"/>
        <v>10</v>
      </c>
      <c r="Q208" s="144">
        <f t="shared" si="214"/>
        <v>8</v>
      </c>
      <c r="R208" s="144">
        <f t="shared" si="214"/>
        <v>0</v>
      </c>
      <c r="S208" s="142">
        <f t="shared" si="214"/>
        <v>9</v>
      </c>
      <c r="T208" s="142">
        <f t="shared" si="214"/>
        <v>9</v>
      </c>
      <c r="U208" s="142">
        <f t="shared" si="214"/>
        <v>15</v>
      </c>
      <c r="V208" s="142">
        <f t="shared" si="214"/>
        <v>11</v>
      </c>
      <c r="W208" s="142">
        <f t="shared" si="214"/>
        <v>0</v>
      </c>
      <c r="X208" s="142">
        <f t="shared" si="214"/>
        <v>2</v>
      </c>
      <c r="Y208" s="142">
        <f t="shared" si="214"/>
        <v>2</v>
      </c>
      <c r="Z208" s="142">
        <f t="shared" si="214"/>
        <v>6</v>
      </c>
      <c r="AA208" s="142">
        <f t="shared" si="214"/>
        <v>0</v>
      </c>
      <c r="AB208" s="142">
        <f t="shared" si="214"/>
        <v>0</v>
      </c>
      <c r="AC208" s="142"/>
      <c r="AD208" s="142"/>
      <c r="AE208" s="142"/>
      <c r="AF208" s="142"/>
    </row>
    <row r="209" ht="37.5" customHeight="1">
      <c r="A209" s="1"/>
      <c r="B209" s="66" t="s">
        <v>116</v>
      </c>
      <c r="H209" s="68"/>
      <c r="I209" s="68"/>
      <c r="J209" s="68"/>
      <c r="K209" s="68"/>
      <c r="L209" s="68"/>
      <c r="M209" s="68"/>
      <c r="N209" s="67"/>
      <c r="O209" s="67"/>
      <c r="P209" s="67"/>
      <c r="Q209" s="67"/>
      <c r="R209" s="67"/>
      <c r="S209" s="67"/>
      <c r="T209" s="67"/>
      <c r="U209" s="67"/>
      <c r="V209" s="67"/>
      <c r="W209" s="67"/>
      <c r="X209" s="67"/>
      <c r="Y209" s="67"/>
      <c r="Z209" s="67"/>
      <c r="AA209" s="67"/>
      <c r="AB209" s="67"/>
      <c r="AC209" s="67"/>
      <c r="AD209" s="67"/>
      <c r="AE209" s="67"/>
      <c r="AF209" s="67"/>
    </row>
    <row r="210" ht="36.75" customHeight="1">
      <c r="A210" s="1"/>
      <c r="B210" s="68" t="s">
        <v>33</v>
      </c>
      <c r="D210" s="137" t="s">
        <v>34</v>
      </c>
      <c r="E210" s="252" t="s">
        <v>35</v>
      </c>
      <c r="F210" s="68" t="s">
        <v>36</v>
      </c>
      <c r="G210" s="138" t="s">
        <v>37</v>
      </c>
      <c r="H210" s="68"/>
      <c r="I210" s="68"/>
      <c r="J210" s="68"/>
      <c r="K210" s="68"/>
      <c r="L210" s="68"/>
      <c r="M210" s="68"/>
      <c r="N210" s="67"/>
      <c r="O210" s="67"/>
      <c r="P210" s="67"/>
      <c r="Q210" s="67"/>
      <c r="R210" s="67"/>
      <c r="S210" s="67"/>
      <c r="T210" s="67"/>
      <c r="U210" s="67"/>
      <c r="V210" s="67"/>
      <c r="W210" s="67"/>
      <c r="X210" s="67"/>
      <c r="Y210" s="67"/>
      <c r="Z210" s="67"/>
      <c r="AA210" s="67"/>
      <c r="AB210" s="67"/>
      <c r="AC210" s="67" t="s">
        <v>43</v>
      </c>
      <c r="AD210" s="67"/>
      <c r="AE210" s="67"/>
      <c r="AF210" s="67"/>
    </row>
    <row r="211" ht="12.75" customHeight="1">
      <c r="A211" s="1"/>
      <c r="B211" s="123">
        <v>1.0</v>
      </c>
      <c r="C211" s="124" t="s">
        <v>45</v>
      </c>
      <c r="D211" s="125">
        <v>0.5</v>
      </c>
      <c r="E211" s="126">
        <v>3.0</v>
      </c>
      <c r="F211" s="126">
        <v>1.0</v>
      </c>
      <c r="G211" s="128">
        <f>'Start Here'!$F$22*D211</f>
        <v>50</v>
      </c>
      <c r="H211" s="68"/>
      <c r="I211" s="68"/>
      <c r="J211" s="68">
        <f t="shared" ref="J211:J214" si="215">E211*F211</f>
        <v>3</v>
      </c>
      <c r="K211" s="252">
        <f t="shared" ref="K211:K214" si="216">J211*G211</f>
        <v>150</v>
      </c>
      <c r="L211" s="68"/>
      <c r="M211" s="68"/>
      <c r="N211" s="67"/>
      <c r="O211" s="67"/>
      <c r="P211" s="67"/>
      <c r="Q211" s="67"/>
      <c r="R211" s="67"/>
      <c r="S211" s="93">
        <f t="shared" ref="S211:S214" si="217">IF(ISNUMBER(SEARCH("bench",$C211)),IF($D211&gt;=0.5,IF($D211&lt;0.6,$E211*$F211," ")," ")," ")</f>
        <v>3</v>
      </c>
      <c r="T211" s="93" t="str">
        <f t="shared" ref="T211:T214" si="218">IF(ISNUMBER(SEARCH("bench",$C211)),IF($D211&gt;=0.6,IF($D211&lt;0.7,$E211*$F211," ")," ")," ")</f>
        <v> </v>
      </c>
      <c r="U211" s="93" t="str">
        <f t="shared" ref="U211:U214" si="219">IF(ISNUMBER(SEARCH("bench",$C211)),IF($D211&gt;=0.7,IF($D211&lt;0.8,$E211*$F211," ")," ")," ")</f>
        <v> </v>
      </c>
      <c r="V211" s="93" t="str">
        <f t="shared" ref="V211:V214" si="220">IF(ISNUMBER(SEARCH("bench",$C211)),IF($D211&gt;=0.8,IF($D211&lt;0.9,$E211*$F211," ")," ")," ")</f>
        <v> </v>
      </c>
      <c r="W211" s="93" t="str">
        <f t="shared" ref="W211:W214" si="221">IF(ISNUMBER(SEARCH("bench",$C211)),IF($D211&gt;=0.9,$E211*$F211," ")," ")</f>
        <v> </v>
      </c>
      <c r="X211" s="67"/>
      <c r="Y211" s="67"/>
      <c r="Z211" s="67"/>
      <c r="AA211" s="67"/>
      <c r="AB211" s="67"/>
      <c r="AC211" s="76"/>
      <c r="AD211" s="77"/>
      <c r="AE211" s="77"/>
      <c r="AF211" s="78"/>
    </row>
    <row r="212" ht="12.75" customHeight="1">
      <c r="A212" s="1"/>
      <c r="B212" s="87"/>
      <c r="C212" s="94" t="s">
        <v>45</v>
      </c>
      <c r="D212" s="89">
        <v>0.6</v>
      </c>
      <c r="E212" s="90">
        <v>3.0</v>
      </c>
      <c r="F212" s="90">
        <v>1.0</v>
      </c>
      <c r="G212" s="92">
        <f>'Start Here'!$F$22*D212</f>
        <v>60</v>
      </c>
      <c r="H212" s="68"/>
      <c r="I212" s="68"/>
      <c r="J212" s="68">
        <f t="shared" si="215"/>
        <v>3</v>
      </c>
      <c r="K212" s="252">
        <f t="shared" si="216"/>
        <v>180</v>
      </c>
      <c r="L212" s="68"/>
      <c r="M212" s="68"/>
      <c r="N212" s="67"/>
      <c r="O212" s="67"/>
      <c r="P212" s="67"/>
      <c r="Q212" s="67"/>
      <c r="R212" s="67"/>
      <c r="S212" s="93" t="str">
        <f t="shared" si="217"/>
        <v> </v>
      </c>
      <c r="T212" s="93">
        <f t="shared" si="218"/>
        <v>3</v>
      </c>
      <c r="U212" s="93" t="str">
        <f t="shared" si="219"/>
        <v> </v>
      </c>
      <c r="V212" s="93" t="str">
        <f t="shared" si="220"/>
        <v> </v>
      </c>
      <c r="W212" s="93" t="str">
        <f t="shared" si="221"/>
        <v> </v>
      </c>
      <c r="X212" s="67"/>
      <c r="Y212" s="67"/>
      <c r="Z212" s="67"/>
      <c r="AA212" s="67"/>
      <c r="AB212" s="67"/>
      <c r="AC212" s="85"/>
      <c r="AF212" s="86"/>
    </row>
    <row r="213" ht="12.75" customHeight="1">
      <c r="A213" s="1"/>
      <c r="B213" s="87"/>
      <c r="C213" s="94" t="s">
        <v>45</v>
      </c>
      <c r="D213" s="89">
        <v>0.7</v>
      </c>
      <c r="E213" s="90">
        <v>2.0</v>
      </c>
      <c r="F213" s="90">
        <v>2.0</v>
      </c>
      <c r="G213" s="92">
        <f>'Start Here'!$F$22*D213</f>
        <v>70</v>
      </c>
      <c r="H213" s="68"/>
      <c r="I213" s="68"/>
      <c r="J213" s="68">
        <f t="shared" si="215"/>
        <v>4</v>
      </c>
      <c r="K213" s="252">
        <f t="shared" si="216"/>
        <v>280</v>
      </c>
      <c r="L213" s="68"/>
      <c r="M213" s="68"/>
      <c r="N213" s="67"/>
      <c r="O213" s="67"/>
      <c r="P213" s="67"/>
      <c r="Q213" s="67"/>
      <c r="R213" s="67"/>
      <c r="S213" s="93" t="str">
        <f t="shared" si="217"/>
        <v> </v>
      </c>
      <c r="T213" s="93" t="str">
        <f t="shared" si="218"/>
        <v> </v>
      </c>
      <c r="U213" s="93">
        <f t="shared" si="219"/>
        <v>4</v>
      </c>
      <c r="V213" s="93" t="str">
        <f t="shared" si="220"/>
        <v> </v>
      </c>
      <c r="W213" s="93" t="str">
        <f t="shared" si="221"/>
        <v> </v>
      </c>
      <c r="X213" s="67"/>
      <c r="Y213" s="67"/>
      <c r="Z213" s="67"/>
      <c r="AA213" s="67"/>
      <c r="AB213" s="67"/>
      <c r="AC213" s="85"/>
      <c r="AF213" s="86"/>
    </row>
    <row r="214" ht="12.75" customHeight="1">
      <c r="A214" s="1"/>
      <c r="B214" s="87"/>
      <c r="C214" s="94" t="s">
        <v>45</v>
      </c>
      <c r="D214" s="89">
        <v>0.75</v>
      </c>
      <c r="E214" s="90">
        <v>1.0</v>
      </c>
      <c r="F214" s="90">
        <v>3.0</v>
      </c>
      <c r="G214" s="92">
        <f>'Start Here'!$F$22*D214</f>
        <v>75</v>
      </c>
      <c r="H214" s="68"/>
      <c r="I214" s="68"/>
      <c r="J214" s="68">
        <f t="shared" si="215"/>
        <v>3</v>
      </c>
      <c r="K214" s="252">
        <f t="shared" si="216"/>
        <v>225</v>
      </c>
      <c r="L214" s="68"/>
      <c r="M214" s="68"/>
      <c r="N214" s="67"/>
      <c r="O214" s="67"/>
      <c r="P214" s="67"/>
      <c r="Q214" s="67"/>
      <c r="R214" s="67"/>
      <c r="S214" s="93" t="str">
        <f t="shared" si="217"/>
        <v> </v>
      </c>
      <c r="T214" s="93" t="str">
        <f t="shared" si="218"/>
        <v> </v>
      </c>
      <c r="U214" s="93">
        <f t="shared" si="219"/>
        <v>3</v>
      </c>
      <c r="V214" s="93" t="str">
        <f t="shared" si="220"/>
        <v> </v>
      </c>
      <c r="W214" s="93" t="str">
        <f t="shared" si="221"/>
        <v> </v>
      </c>
      <c r="X214" s="67"/>
      <c r="Y214" s="67"/>
      <c r="Z214" s="67"/>
      <c r="AA214" s="67"/>
      <c r="AB214" s="67"/>
      <c r="AC214" s="85"/>
      <c r="AF214" s="86"/>
    </row>
    <row r="215" ht="12.75" customHeight="1">
      <c r="A215" s="1"/>
      <c r="B215" s="115">
        <v>2.0</v>
      </c>
      <c r="C215" s="121" t="s">
        <v>122</v>
      </c>
      <c r="D215" s="117">
        <v>0.5</v>
      </c>
      <c r="E215" s="118">
        <v>3.0</v>
      </c>
      <c r="F215" s="118">
        <v>1.0</v>
      </c>
      <c r="G215" s="120">
        <f>'Start Here'!$F$23*D215</f>
        <v>50</v>
      </c>
      <c r="H215" s="68"/>
      <c r="I215" s="68"/>
      <c r="J215" s="68"/>
      <c r="K215" s="68"/>
      <c r="L215" s="68">
        <f t="shared" ref="L215:L217" si="222">E215*F215</f>
        <v>3</v>
      </c>
      <c r="M215" s="68">
        <f t="shared" ref="M215:M217" si="223">L215*G215</f>
        <v>150</v>
      </c>
      <c r="N215" s="67"/>
      <c r="O215" s="67"/>
      <c r="P215" s="67"/>
      <c r="Q215" s="67"/>
      <c r="R215" s="67"/>
      <c r="S215" s="67"/>
      <c r="T215" s="67"/>
      <c r="U215" s="67"/>
      <c r="V215" s="67"/>
      <c r="W215" s="67"/>
      <c r="X215" s="114">
        <f t="shared" ref="X215:X217" si="224">IF(ISNUMBER(SEARCH("deadlift",$C215)),IF($D215&gt;=0.5,IF($D215&lt;0.6,$E215*$F215," ")," ")," ")</f>
        <v>3</v>
      </c>
      <c r="Y215" s="114" t="str">
        <f t="shared" ref="Y215:Y217" si="225">IF(ISNUMBER(SEARCH("deadlift",$C215)),IF($D215&gt;=0.6,IF($D215&lt;0.7,$E215*$F215," ")," ")," ")</f>
        <v> </v>
      </c>
      <c r="Z215" s="114" t="str">
        <f t="shared" ref="Z215:Z217" si="226">IF(ISNUMBER(SEARCH("deadlift",$C215)),IF($D215&gt;=0.7,IF($D215&lt;0.8,$E215*$F215," ")," ")," ")</f>
        <v> </v>
      </c>
      <c r="AA215" s="114" t="str">
        <f t="shared" ref="AA215:AA217" si="227">IF(ISNUMBER(SEARCH("deadlift",$C215)),IF($D215&gt;=0.8,IF($D215&lt;0.9,$E215*$F215," ")," ")," ")</f>
        <v> </v>
      </c>
      <c r="AB215" s="114" t="str">
        <f t="shared" ref="AB215:AB217" si="228">IF(ISNUMBER(SEARCH("deadlift",$C215)),IF($D215&gt;=0.9,$E215*$F215," ")," ")</f>
        <v> </v>
      </c>
      <c r="AC215" s="85"/>
      <c r="AF215" s="86"/>
    </row>
    <row r="216" ht="12.75" customHeight="1">
      <c r="A216" s="1"/>
      <c r="B216" s="115"/>
      <c r="C216" s="122" t="s">
        <v>122</v>
      </c>
      <c r="D216" s="117">
        <v>0.6</v>
      </c>
      <c r="E216" s="118">
        <v>3.0</v>
      </c>
      <c r="F216" s="118">
        <v>1.0</v>
      </c>
      <c r="G216" s="120">
        <f>'Start Here'!$F$23*D216</f>
        <v>60</v>
      </c>
      <c r="H216" s="68"/>
      <c r="I216" s="68"/>
      <c r="J216" s="68"/>
      <c r="K216" s="68"/>
      <c r="L216" s="68">
        <f t="shared" si="222"/>
        <v>3</v>
      </c>
      <c r="M216" s="68">
        <f t="shared" si="223"/>
        <v>180</v>
      </c>
      <c r="N216" s="67"/>
      <c r="O216" s="67"/>
      <c r="P216" s="67"/>
      <c r="Q216" s="67"/>
      <c r="R216" s="67"/>
      <c r="S216" s="67"/>
      <c r="T216" s="67"/>
      <c r="U216" s="67"/>
      <c r="V216" s="67"/>
      <c r="W216" s="67"/>
      <c r="X216" s="114" t="str">
        <f t="shared" si="224"/>
        <v> </v>
      </c>
      <c r="Y216" s="114">
        <f t="shared" si="225"/>
        <v>3</v>
      </c>
      <c r="Z216" s="114" t="str">
        <f t="shared" si="226"/>
        <v> </v>
      </c>
      <c r="AA216" s="114" t="str">
        <f t="shared" si="227"/>
        <v> </v>
      </c>
      <c r="AB216" s="114" t="str">
        <f t="shared" si="228"/>
        <v> </v>
      </c>
      <c r="AC216" s="85"/>
      <c r="AF216" s="86"/>
    </row>
    <row r="217" ht="12.75" customHeight="1">
      <c r="A217" s="1"/>
      <c r="B217" s="115"/>
      <c r="C217" s="122" t="s">
        <v>122</v>
      </c>
      <c r="D217" s="117">
        <v>0.7</v>
      </c>
      <c r="E217" s="118">
        <v>2.0</v>
      </c>
      <c r="F217" s="118">
        <v>3.0</v>
      </c>
      <c r="G217" s="120">
        <f>'Start Here'!$F$23*D217</f>
        <v>70</v>
      </c>
      <c r="H217" s="68"/>
      <c r="I217" s="68"/>
      <c r="J217" s="68"/>
      <c r="K217" s="68"/>
      <c r="L217" s="68">
        <f t="shared" si="222"/>
        <v>6</v>
      </c>
      <c r="M217" s="68">
        <f t="shared" si="223"/>
        <v>420</v>
      </c>
      <c r="N217" s="67"/>
      <c r="O217" s="67"/>
      <c r="P217" s="67"/>
      <c r="Q217" s="67"/>
      <c r="R217" s="67"/>
      <c r="S217" s="67"/>
      <c r="T217" s="67"/>
      <c r="U217" s="67"/>
      <c r="V217" s="67"/>
      <c r="W217" s="67"/>
      <c r="X217" s="114" t="str">
        <f t="shared" si="224"/>
        <v> </v>
      </c>
      <c r="Y217" s="114" t="str">
        <f t="shared" si="225"/>
        <v> </v>
      </c>
      <c r="Z217" s="114">
        <f t="shared" si="226"/>
        <v>6</v>
      </c>
      <c r="AA217" s="114" t="str">
        <f t="shared" si="227"/>
        <v> </v>
      </c>
      <c r="AB217" s="114" t="str">
        <f t="shared" si="228"/>
        <v> </v>
      </c>
      <c r="AC217" s="85"/>
      <c r="AF217" s="86"/>
    </row>
    <row r="218" ht="12.75" customHeight="1">
      <c r="A218" s="1"/>
      <c r="B218" s="232">
        <v>3.0</v>
      </c>
      <c r="C218" s="233" t="s">
        <v>48</v>
      </c>
      <c r="D218" s="234"/>
      <c r="E218" s="235">
        <v>8.0</v>
      </c>
      <c r="F218" s="235">
        <v>3.0</v>
      </c>
      <c r="G218" s="237"/>
      <c r="H218" s="68"/>
      <c r="I218" s="68"/>
      <c r="J218" s="68"/>
      <c r="K218" s="68"/>
      <c r="L218" s="68"/>
      <c r="M218" s="68"/>
      <c r="N218" s="67"/>
      <c r="O218" s="67"/>
      <c r="P218" s="67"/>
      <c r="Q218" s="67"/>
      <c r="R218" s="67"/>
      <c r="S218" s="67"/>
      <c r="T218" s="67"/>
      <c r="U218" s="67"/>
      <c r="V218" s="67"/>
      <c r="W218" s="67"/>
      <c r="X218" s="67"/>
      <c r="Y218" s="67"/>
      <c r="Z218" s="67"/>
      <c r="AA218" s="67"/>
      <c r="AB218" s="67"/>
      <c r="AC218" s="104"/>
      <c r="AD218" s="105"/>
      <c r="AE218" s="105"/>
      <c r="AF218" s="106"/>
    </row>
    <row r="219" ht="12.75" customHeight="1">
      <c r="A219" s="1"/>
      <c r="B219" s="67"/>
      <c r="C219" s="136"/>
      <c r="D219" s="137"/>
      <c r="E219" s="252"/>
      <c r="F219" s="68"/>
      <c r="G219" s="138"/>
      <c r="H219" s="68"/>
      <c r="I219" s="68"/>
      <c r="J219" s="68"/>
      <c r="K219" s="68"/>
      <c r="L219" s="68"/>
      <c r="M219" s="68"/>
      <c r="N219" s="67"/>
      <c r="O219" s="67"/>
      <c r="P219" s="67"/>
      <c r="Q219" s="67"/>
      <c r="R219" s="67"/>
      <c r="S219" s="67"/>
      <c r="T219" s="67"/>
      <c r="U219" s="67"/>
      <c r="V219" s="67"/>
      <c r="W219" s="67"/>
      <c r="X219" s="67"/>
      <c r="Y219" s="67"/>
      <c r="Z219" s="67"/>
      <c r="AA219" s="67"/>
      <c r="AB219" s="67"/>
      <c r="AC219" s="67"/>
      <c r="AD219" s="67"/>
      <c r="AE219" s="67"/>
      <c r="AF219" s="67"/>
    </row>
    <row r="220" ht="37.5" customHeight="1">
      <c r="A220" s="1"/>
      <c r="B220" s="68" t="s">
        <v>49</v>
      </c>
      <c r="D220" s="137" t="s">
        <v>34</v>
      </c>
      <c r="E220" s="252" t="s">
        <v>35</v>
      </c>
      <c r="F220" s="68" t="s">
        <v>36</v>
      </c>
      <c r="G220" s="138" t="s">
        <v>37</v>
      </c>
      <c r="H220" s="68"/>
      <c r="I220" s="68"/>
      <c r="J220" s="68"/>
      <c r="K220" s="68"/>
      <c r="L220" s="68"/>
      <c r="M220" s="68"/>
      <c r="N220" s="67"/>
      <c r="O220" s="67"/>
      <c r="P220" s="67"/>
      <c r="Q220" s="67"/>
      <c r="R220" s="67"/>
      <c r="S220" s="67"/>
      <c r="T220" s="67"/>
      <c r="U220" s="67"/>
      <c r="V220" s="67"/>
      <c r="W220" s="67"/>
      <c r="X220" s="67"/>
      <c r="Y220" s="67"/>
      <c r="Z220" s="67"/>
      <c r="AA220" s="67"/>
      <c r="AB220" s="67"/>
      <c r="AC220" s="67" t="s">
        <v>43</v>
      </c>
      <c r="AD220" s="67"/>
      <c r="AE220" s="67"/>
      <c r="AF220" s="67"/>
    </row>
    <row r="221" ht="12.75" customHeight="1">
      <c r="A221" s="1"/>
      <c r="B221" s="69">
        <v>1.0</v>
      </c>
      <c r="C221" s="70" t="s">
        <v>46</v>
      </c>
      <c r="D221" s="71">
        <v>0.5</v>
      </c>
      <c r="E221" s="145">
        <v>3.0</v>
      </c>
      <c r="F221" s="145">
        <v>1.0</v>
      </c>
      <c r="G221" s="73">
        <f>'Start Here'!$F$21*D221</f>
        <v>50</v>
      </c>
      <c r="H221" s="68">
        <f t="shared" ref="H221:H223" si="229">E221*F221</f>
        <v>3</v>
      </c>
      <c r="I221" s="252">
        <f t="shared" ref="I221:I223" si="230">H221*G221</f>
        <v>150</v>
      </c>
      <c r="J221" s="68"/>
      <c r="K221" s="68"/>
      <c r="L221" s="68"/>
      <c r="M221" s="68"/>
      <c r="N221" s="75">
        <f t="shared" ref="N221:N223" si="231">IF(ISNUMBER(SEARCH("squat",$C221)),IF($D221&gt;=0.5,IF($D221&lt;0.6,$E221*$F221," ")," ")," ")</f>
        <v>3</v>
      </c>
      <c r="O221" s="75" t="str">
        <f t="shared" ref="O221:O223" si="232">IF(ISNUMBER(SEARCH("squat",$C221)),IF($D221&gt;=0.6,IF($D221&lt;0.7,$E221*$F221," ")," ")," ")</f>
        <v> </v>
      </c>
      <c r="P221" s="75" t="str">
        <f t="shared" ref="P221:P223" si="233">IF(ISNUMBER(SEARCH("squat",$C221)),IF($D221&gt;=0.7,IF($D221&lt;0.8,$E221*$F221," ")," ")," ")</f>
        <v> </v>
      </c>
      <c r="Q221" s="75" t="str">
        <f t="shared" ref="Q221:Q223" si="234">IF(ISNUMBER(SEARCH("squat",$C221)),IF($D221&gt;=0.8,IF($D221&lt;0.9,$E221*$F221," ")," ")," ")</f>
        <v> </v>
      </c>
      <c r="R221" s="75" t="str">
        <f t="shared" ref="R221:R223" si="235">IF(ISNUMBER(SEARCH("squat",$C221)),IF($D221&gt;=0.9,$E221*$F221," ")," ")</f>
        <v> </v>
      </c>
      <c r="S221" s="67"/>
      <c r="T221" s="67"/>
      <c r="U221" s="67"/>
      <c r="V221" s="67"/>
      <c r="W221" s="67"/>
      <c r="X221" s="67"/>
      <c r="Y221" s="67"/>
      <c r="Z221" s="67"/>
      <c r="AA221" s="67"/>
      <c r="AB221" s="67"/>
      <c r="AC221" s="76"/>
      <c r="AD221" s="77"/>
      <c r="AE221" s="77"/>
      <c r="AF221" s="78"/>
    </row>
    <row r="222" ht="12.75" customHeight="1">
      <c r="A222" s="1"/>
      <c r="B222" s="79"/>
      <c r="C222" s="80" t="s">
        <v>46</v>
      </c>
      <c r="D222" s="81">
        <v>0.6</v>
      </c>
      <c r="E222" s="82">
        <v>2.0</v>
      </c>
      <c r="F222" s="82">
        <v>1.0</v>
      </c>
      <c r="G222" s="84">
        <f>'Start Here'!$F$21*D222</f>
        <v>60</v>
      </c>
      <c r="H222" s="68">
        <f t="shared" si="229"/>
        <v>2</v>
      </c>
      <c r="I222" s="252">
        <f t="shared" si="230"/>
        <v>120</v>
      </c>
      <c r="J222" s="68"/>
      <c r="K222" s="68"/>
      <c r="L222" s="68"/>
      <c r="M222" s="68"/>
      <c r="N222" s="75" t="str">
        <f t="shared" si="231"/>
        <v> </v>
      </c>
      <c r="O222" s="75">
        <f t="shared" si="232"/>
        <v>2</v>
      </c>
      <c r="P222" s="75" t="str">
        <f t="shared" si="233"/>
        <v> </v>
      </c>
      <c r="Q222" s="75" t="str">
        <f t="shared" si="234"/>
        <v> </v>
      </c>
      <c r="R222" s="75" t="str">
        <f t="shared" si="235"/>
        <v> </v>
      </c>
      <c r="S222" s="67"/>
      <c r="T222" s="67"/>
      <c r="U222" s="67"/>
      <c r="V222" s="67"/>
      <c r="W222" s="67"/>
      <c r="X222" s="67"/>
      <c r="Y222" s="67"/>
      <c r="Z222" s="67"/>
      <c r="AA222" s="67"/>
      <c r="AB222" s="67"/>
      <c r="AC222" s="85"/>
      <c r="AF222" s="86"/>
    </row>
    <row r="223" ht="12.75" customHeight="1">
      <c r="A223" s="1"/>
      <c r="B223" s="79"/>
      <c r="C223" s="80" t="s">
        <v>46</v>
      </c>
      <c r="D223" s="81">
        <v>0.7</v>
      </c>
      <c r="E223" s="82">
        <v>1.0</v>
      </c>
      <c r="F223" s="82">
        <v>3.0</v>
      </c>
      <c r="G223" s="84">
        <f>'Start Here'!$F$21*D223</f>
        <v>70</v>
      </c>
      <c r="H223" s="68">
        <f t="shared" si="229"/>
        <v>3</v>
      </c>
      <c r="I223" s="252">
        <f t="shared" si="230"/>
        <v>210</v>
      </c>
      <c r="J223" s="68"/>
      <c r="K223" s="68"/>
      <c r="L223" s="68"/>
      <c r="M223" s="68"/>
      <c r="N223" s="75" t="str">
        <f t="shared" si="231"/>
        <v> </v>
      </c>
      <c r="O223" s="75" t="str">
        <f t="shared" si="232"/>
        <v> </v>
      </c>
      <c r="P223" s="75">
        <f t="shared" si="233"/>
        <v>3</v>
      </c>
      <c r="Q223" s="75" t="str">
        <f t="shared" si="234"/>
        <v> </v>
      </c>
      <c r="R223" s="75" t="str">
        <f t="shared" si="235"/>
        <v> </v>
      </c>
      <c r="S223" s="67"/>
      <c r="T223" s="67"/>
      <c r="U223" s="67"/>
      <c r="V223" s="67"/>
      <c r="W223" s="67"/>
      <c r="X223" s="67"/>
      <c r="Y223" s="67"/>
      <c r="Z223" s="67"/>
      <c r="AA223" s="67"/>
      <c r="AB223" s="67"/>
      <c r="AC223" s="85"/>
      <c r="AF223" s="86"/>
    </row>
    <row r="224" ht="12.75" customHeight="1">
      <c r="A224" s="1"/>
      <c r="B224" s="87">
        <v>2.0</v>
      </c>
      <c r="C224" s="88" t="s">
        <v>45</v>
      </c>
      <c r="D224" s="89">
        <v>0.5</v>
      </c>
      <c r="E224" s="90">
        <v>3.0</v>
      </c>
      <c r="F224" s="90">
        <v>1.0</v>
      </c>
      <c r="G224" s="92">
        <f>'Start Here'!$F$22*D224</f>
        <v>50</v>
      </c>
      <c r="H224" s="68"/>
      <c r="I224" s="68"/>
      <c r="J224" s="68">
        <f t="shared" ref="J224:J226" si="236">E224*F224</f>
        <v>3</v>
      </c>
      <c r="K224" s="252">
        <f t="shared" ref="K224:K226" si="237">J224*G224</f>
        <v>150</v>
      </c>
      <c r="L224" s="68"/>
      <c r="M224" s="68"/>
      <c r="N224" s="67"/>
      <c r="O224" s="67"/>
      <c r="P224" s="67"/>
      <c r="Q224" s="67"/>
      <c r="R224" s="67"/>
      <c r="S224" s="93">
        <f t="shared" ref="S224:S226" si="238">IF(ISNUMBER(SEARCH("bench",$C224)),IF($D224&gt;=0.5,IF($D224&lt;0.6,$E224*$F224," ")," ")," ")</f>
        <v>3</v>
      </c>
      <c r="T224" s="93" t="str">
        <f t="shared" ref="T224:T226" si="239">IF(ISNUMBER(SEARCH("bench",$C224)),IF($D224&gt;=0.6,IF($D224&lt;0.7,$E224*$F224," ")," ")," ")</f>
        <v> </v>
      </c>
      <c r="U224" s="93" t="str">
        <f t="shared" ref="U224:U226" si="240">IF(ISNUMBER(SEARCH("bench",$C224)),IF($D224&gt;=0.7,IF($D224&lt;0.8,$E224*$F224," ")," ")," ")</f>
        <v> </v>
      </c>
      <c r="V224" s="93" t="str">
        <f t="shared" ref="V224:V226" si="241">IF(ISNUMBER(SEARCH("bench",$C224)),IF($D224&gt;=0.8,IF($D224&lt;0.9,$E224*$F224," ")," ")," ")</f>
        <v> </v>
      </c>
      <c r="W224" s="93" t="str">
        <f t="shared" ref="W224:W226" si="242">IF(ISNUMBER(SEARCH("bench",$C224)),IF($D224&gt;=0.9,$E224*$F224," ")," ")</f>
        <v> </v>
      </c>
      <c r="X224" s="67"/>
      <c r="Y224" s="67"/>
      <c r="Z224" s="67"/>
      <c r="AA224" s="67"/>
      <c r="AB224" s="67"/>
      <c r="AC224" s="85"/>
      <c r="AF224" s="86"/>
    </row>
    <row r="225" ht="12.75" customHeight="1">
      <c r="A225" s="1"/>
      <c r="B225" s="87"/>
      <c r="C225" s="94" t="s">
        <v>45</v>
      </c>
      <c r="D225" s="89">
        <v>0.6</v>
      </c>
      <c r="E225" s="90">
        <v>3.0</v>
      </c>
      <c r="F225" s="90">
        <v>1.0</v>
      </c>
      <c r="G225" s="92">
        <f>'Start Here'!$F$22*D225</f>
        <v>60</v>
      </c>
      <c r="H225" s="68"/>
      <c r="I225" s="68"/>
      <c r="J225" s="68">
        <f t="shared" si="236"/>
        <v>3</v>
      </c>
      <c r="K225" s="252">
        <f t="shared" si="237"/>
        <v>180</v>
      </c>
      <c r="L225" s="68"/>
      <c r="M225" s="68"/>
      <c r="N225" s="67"/>
      <c r="O225" s="67"/>
      <c r="P225" s="67"/>
      <c r="Q225" s="67"/>
      <c r="R225" s="67"/>
      <c r="S225" s="93" t="str">
        <f t="shared" si="238"/>
        <v> </v>
      </c>
      <c r="T225" s="93">
        <f t="shared" si="239"/>
        <v>3</v>
      </c>
      <c r="U225" s="93" t="str">
        <f t="shared" si="240"/>
        <v> </v>
      </c>
      <c r="V225" s="93" t="str">
        <f t="shared" si="241"/>
        <v> </v>
      </c>
      <c r="W225" s="93" t="str">
        <f t="shared" si="242"/>
        <v> </v>
      </c>
      <c r="X225" s="67"/>
      <c r="Y225" s="67"/>
      <c r="Z225" s="67"/>
      <c r="AA225" s="67"/>
      <c r="AB225" s="67"/>
      <c r="AC225" s="85"/>
      <c r="AF225" s="86"/>
    </row>
    <row r="226" ht="12.75" customHeight="1">
      <c r="A226" s="1"/>
      <c r="B226" s="129"/>
      <c r="C226" s="130" t="s">
        <v>45</v>
      </c>
      <c r="D226" s="131">
        <v>0.7</v>
      </c>
      <c r="E226" s="132">
        <v>2.0</v>
      </c>
      <c r="F226" s="132">
        <v>3.0</v>
      </c>
      <c r="G226" s="134">
        <f>'Start Here'!$F$22*D226</f>
        <v>70</v>
      </c>
      <c r="H226" s="68"/>
      <c r="I226" s="68"/>
      <c r="J226" s="68">
        <f t="shared" si="236"/>
        <v>6</v>
      </c>
      <c r="K226" s="252">
        <f t="shared" si="237"/>
        <v>420</v>
      </c>
      <c r="L226" s="68"/>
      <c r="M226" s="68"/>
      <c r="N226" s="67"/>
      <c r="O226" s="67"/>
      <c r="P226" s="67"/>
      <c r="Q226" s="67"/>
      <c r="R226" s="67"/>
      <c r="S226" s="93" t="str">
        <f t="shared" si="238"/>
        <v> </v>
      </c>
      <c r="T226" s="93" t="str">
        <f t="shared" si="239"/>
        <v> </v>
      </c>
      <c r="U226" s="93">
        <f t="shared" si="240"/>
        <v>6</v>
      </c>
      <c r="V226" s="93" t="str">
        <f t="shared" si="241"/>
        <v> </v>
      </c>
      <c r="W226" s="93" t="str">
        <f t="shared" si="242"/>
        <v> </v>
      </c>
      <c r="X226" s="67"/>
      <c r="Y226" s="67"/>
      <c r="Z226" s="67"/>
      <c r="AA226" s="67"/>
      <c r="AB226" s="67"/>
      <c r="AC226" s="104"/>
      <c r="AD226" s="105"/>
      <c r="AE226" s="105"/>
      <c r="AF226" s="106"/>
    </row>
    <row r="227" ht="12.75" customHeight="1">
      <c r="A227" s="1"/>
      <c r="B227" s="67"/>
      <c r="C227" s="136"/>
      <c r="D227" s="137"/>
      <c r="E227" s="252"/>
      <c r="F227" s="68"/>
      <c r="G227" s="138"/>
      <c r="H227" s="68"/>
      <c r="I227" s="68"/>
      <c r="J227" s="68"/>
      <c r="K227" s="68"/>
      <c r="L227" s="68"/>
      <c r="M227" s="68"/>
      <c r="N227" s="67"/>
      <c r="O227" s="67"/>
      <c r="P227" s="67"/>
      <c r="Q227" s="67"/>
      <c r="R227" s="67"/>
      <c r="S227" s="67"/>
      <c r="T227" s="67"/>
      <c r="U227" s="67"/>
      <c r="V227" s="67"/>
      <c r="W227" s="67"/>
      <c r="X227" s="67"/>
      <c r="Y227" s="67"/>
      <c r="Z227" s="67"/>
      <c r="AA227" s="67"/>
      <c r="AB227" s="67"/>
      <c r="AC227" s="67"/>
      <c r="AD227" s="67"/>
      <c r="AE227" s="67"/>
      <c r="AF227" s="67"/>
    </row>
    <row r="228" ht="36.75" customHeight="1">
      <c r="A228" s="1"/>
      <c r="B228" s="67"/>
      <c r="C228" s="136"/>
      <c r="D228" s="137"/>
      <c r="E228" s="252"/>
      <c r="F228" s="68"/>
      <c r="G228" s="138"/>
      <c r="H228" s="68"/>
      <c r="I228" s="68"/>
      <c r="J228" s="68"/>
      <c r="K228" s="68"/>
      <c r="L228" s="68"/>
      <c r="M228" s="68"/>
      <c r="N228" s="67"/>
      <c r="O228" s="67"/>
      <c r="P228" s="67"/>
      <c r="Q228" s="67"/>
      <c r="R228" s="67"/>
      <c r="S228" s="67"/>
      <c r="T228" s="67"/>
      <c r="U228" s="67"/>
      <c r="V228" s="67"/>
      <c r="W228" s="67"/>
      <c r="X228" s="67"/>
      <c r="Y228" s="67"/>
      <c r="Z228" s="67"/>
      <c r="AA228" s="67"/>
      <c r="AB228" s="67"/>
      <c r="AC228" s="67"/>
      <c r="AD228" s="67"/>
      <c r="AE228" s="67"/>
      <c r="AF228" s="67"/>
    </row>
    <row r="229" ht="12.75" customHeight="1">
      <c r="A229" s="1"/>
      <c r="B229" s="68" t="s">
        <v>141</v>
      </c>
      <c r="H229" s="68"/>
      <c r="I229" s="68"/>
      <c r="J229" s="68"/>
      <c r="K229" s="68"/>
      <c r="L229" s="68"/>
      <c r="M229" s="68"/>
      <c r="N229" s="67"/>
      <c r="O229" s="67"/>
      <c r="P229" s="67"/>
      <c r="Q229" s="67"/>
      <c r="R229" s="67"/>
      <c r="S229" s="67"/>
      <c r="T229" s="67"/>
      <c r="U229" s="67"/>
      <c r="V229" s="67"/>
      <c r="W229" s="67"/>
      <c r="X229" s="67"/>
      <c r="Y229" s="67"/>
      <c r="Z229" s="67"/>
      <c r="AA229" s="67"/>
      <c r="AB229" s="67"/>
      <c r="AC229" s="67"/>
      <c r="AD229" s="67"/>
      <c r="AE229" s="67"/>
      <c r="AF229" s="67"/>
    </row>
    <row r="230" ht="12.75" customHeight="1">
      <c r="A230" s="181"/>
      <c r="B230" s="181"/>
      <c r="C230" s="199"/>
      <c r="D230" s="200"/>
      <c r="E230" s="259"/>
      <c r="F230" s="260"/>
      <c r="G230" s="201"/>
      <c r="H230" s="260">
        <f t="shared" ref="H230:AB230" si="243">SUM(H211:H229)</f>
        <v>8</v>
      </c>
      <c r="I230" s="260">
        <f t="shared" si="243"/>
        <v>480</v>
      </c>
      <c r="J230" s="260">
        <f t="shared" si="243"/>
        <v>25</v>
      </c>
      <c r="K230" s="259">
        <f t="shared" si="243"/>
        <v>1585</v>
      </c>
      <c r="L230" s="260">
        <f t="shared" si="243"/>
        <v>12</v>
      </c>
      <c r="M230" s="260">
        <f t="shared" si="243"/>
        <v>750</v>
      </c>
      <c r="N230" s="260">
        <f t="shared" si="243"/>
        <v>3</v>
      </c>
      <c r="O230" s="260">
        <f t="shared" si="243"/>
        <v>2</v>
      </c>
      <c r="P230" s="260">
        <f t="shared" si="243"/>
        <v>3</v>
      </c>
      <c r="Q230" s="260">
        <f t="shared" si="243"/>
        <v>0</v>
      </c>
      <c r="R230" s="260">
        <f t="shared" si="243"/>
        <v>0</v>
      </c>
      <c r="S230" s="201">
        <f t="shared" si="243"/>
        <v>6</v>
      </c>
      <c r="T230" s="201">
        <f t="shared" si="243"/>
        <v>6</v>
      </c>
      <c r="U230" s="201">
        <f t="shared" si="243"/>
        <v>13</v>
      </c>
      <c r="V230" s="201">
        <f t="shared" si="243"/>
        <v>0</v>
      </c>
      <c r="W230" s="201">
        <f t="shared" si="243"/>
        <v>0</v>
      </c>
      <c r="X230" s="260">
        <f t="shared" si="243"/>
        <v>3</v>
      </c>
      <c r="Y230" s="260">
        <f t="shared" si="243"/>
        <v>3</v>
      </c>
      <c r="Z230" s="260">
        <f t="shared" si="243"/>
        <v>6</v>
      </c>
      <c r="AA230" s="260">
        <f t="shared" si="243"/>
        <v>0</v>
      </c>
      <c r="AB230" s="260">
        <f t="shared" si="243"/>
        <v>0</v>
      </c>
      <c r="AC230" s="181"/>
      <c r="AD230" s="181"/>
      <c r="AE230" s="181"/>
      <c r="AF230" s="181"/>
    </row>
    <row r="231" ht="12.75" customHeight="1">
      <c r="A231" s="1"/>
      <c r="B231" s="146"/>
      <c r="C231" s="150"/>
      <c r="D231" s="151"/>
      <c r="E231" s="261"/>
      <c r="F231" s="49"/>
      <c r="G231" s="24"/>
      <c r="H231" s="49"/>
      <c r="I231" s="49"/>
      <c r="J231" s="49"/>
      <c r="K231" s="49"/>
      <c r="L231" s="49"/>
      <c r="M231" s="49"/>
      <c r="N231" s="1"/>
      <c r="O231" s="1"/>
      <c r="P231" s="1"/>
      <c r="Q231" s="1"/>
      <c r="R231" s="1"/>
      <c r="S231" s="1"/>
      <c r="T231" s="1"/>
      <c r="U231" s="1"/>
      <c r="V231" s="1"/>
      <c r="W231" s="1"/>
      <c r="X231" s="1"/>
      <c r="Y231" s="1"/>
      <c r="Z231" s="1"/>
      <c r="AA231" s="1"/>
      <c r="AB231" s="1"/>
    </row>
    <row r="232" ht="12.75" customHeight="1">
      <c r="A232" s="1"/>
      <c r="B232" s="146"/>
      <c r="C232" s="150"/>
      <c r="D232" s="151"/>
      <c r="E232" s="261"/>
      <c r="F232" s="49"/>
      <c r="G232" s="24"/>
      <c r="H232" s="147">
        <f t="shared" ref="H232:AB232" si="244">SUM(H230,H208,H169,H117,H62)</f>
        <v>139</v>
      </c>
      <c r="I232" s="262">
        <f t="shared" si="244"/>
        <v>9515</v>
      </c>
      <c r="J232" s="147">
        <f t="shared" si="244"/>
        <v>257</v>
      </c>
      <c r="K232" s="262">
        <f t="shared" si="244"/>
        <v>17670</v>
      </c>
      <c r="L232" s="147">
        <f t="shared" si="244"/>
        <v>136</v>
      </c>
      <c r="M232" s="147">
        <f t="shared" si="244"/>
        <v>9335</v>
      </c>
      <c r="N232" s="147">
        <f t="shared" si="244"/>
        <v>29</v>
      </c>
      <c r="O232" s="147">
        <f t="shared" si="244"/>
        <v>27</v>
      </c>
      <c r="P232" s="147">
        <f t="shared" si="244"/>
        <v>38</v>
      </c>
      <c r="Q232" s="147">
        <f t="shared" si="244"/>
        <v>41</v>
      </c>
      <c r="R232" s="147">
        <f t="shared" si="244"/>
        <v>4</v>
      </c>
      <c r="S232" s="203">
        <f t="shared" si="244"/>
        <v>51</v>
      </c>
      <c r="T232" s="203">
        <f t="shared" si="244"/>
        <v>48</v>
      </c>
      <c r="U232" s="203">
        <f t="shared" si="244"/>
        <v>72</v>
      </c>
      <c r="V232" s="203">
        <f t="shared" si="244"/>
        <v>82</v>
      </c>
      <c r="W232" s="203">
        <f t="shared" si="244"/>
        <v>4</v>
      </c>
      <c r="X232" s="147">
        <f t="shared" si="244"/>
        <v>26</v>
      </c>
      <c r="Y232" s="147">
        <f t="shared" si="244"/>
        <v>29</v>
      </c>
      <c r="Z232" s="147">
        <f t="shared" si="244"/>
        <v>48</v>
      </c>
      <c r="AA232" s="147">
        <f t="shared" si="244"/>
        <v>26</v>
      </c>
      <c r="AB232" s="147">
        <f t="shared" si="244"/>
        <v>7</v>
      </c>
    </row>
    <row r="233" ht="12.75" customHeight="1">
      <c r="A233" s="1"/>
      <c r="B233" s="146"/>
      <c r="C233" s="150"/>
      <c r="D233" s="151"/>
      <c r="E233" s="261"/>
      <c r="F233" s="49"/>
      <c r="G233" s="24"/>
      <c r="H233" s="49"/>
      <c r="I233" s="49"/>
      <c r="J233" s="49"/>
      <c r="K233" s="49"/>
      <c r="L233" s="49"/>
      <c r="M233" s="49"/>
      <c r="N233" s="1"/>
      <c r="O233" s="1"/>
      <c r="P233" s="1"/>
      <c r="Q233" s="1"/>
      <c r="R233" s="1"/>
      <c r="S233" s="1"/>
      <c r="T233" s="1"/>
      <c r="U233" s="1"/>
      <c r="V233" s="1"/>
      <c r="W233" s="1"/>
      <c r="X233" s="1"/>
      <c r="Y233" s="1"/>
      <c r="Z233" s="1"/>
      <c r="AA233" s="1"/>
      <c r="AB233" s="1"/>
    </row>
    <row r="234" ht="12.75" customHeight="1">
      <c r="A234" s="1"/>
      <c r="B234" s="146"/>
      <c r="C234" s="150"/>
      <c r="D234" s="151"/>
      <c r="E234" s="261"/>
      <c r="F234" s="49"/>
      <c r="G234" s="24"/>
      <c r="H234" s="49"/>
      <c r="I234" s="49"/>
      <c r="J234" s="49"/>
      <c r="K234" s="49"/>
      <c r="L234" s="49"/>
      <c r="M234" s="49"/>
      <c r="N234" s="1"/>
      <c r="O234" s="1"/>
      <c r="P234" s="1"/>
      <c r="Q234" s="1"/>
      <c r="R234" s="1"/>
      <c r="S234" s="1"/>
      <c r="T234" s="1"/>
      <c r="U234" s="1"/>
      <c r="V234" s="1"/>
      <c r="W234" s="1"/>
      <c r="X234" s="1"/>
      <c r="Y234" s="1"/>
      <c r="Z234" s="1"/>
      <c r="AA234" s="1"/>
      <c r="AB234" s="1"/>
    </row>
    <row r="235" ht="12.75" customHeight="1">
      <c r="A235" s="1"/>
      <c r="B235" s="146"/>
      <c r="C235" s="150"/>
      <c r="D235" s="151"/>
      <c r="E235" s="261"/>
      <c r="F235" s="49"/>
      <c r="G235" s="24"/>
      <c r="H235" s="49"/>
      <c r="I235" s="49"/>
      <c r="J235" s="49"/>
      <c r="K235" s="49"/>
      <c r="L235" s="49"/>
      <c r="M235" s="49"/>
      <c r="N235" s="1"/>
      <c r="O235" s="1"/>
      <c r="P235" s="1"/>
      <c r="Q235" s="1"/>
      <c r="R235" s="1"/>
      <c r="S235" s="1"/>
      <c r="T235" s="1"/>
      <c r="U235" s="1"/>
      <c r="V235" s="1"/>
      <c r="W235" s="1"/>
      <c r="X235" s="1"/>
      <c r="Y235" s="1"/>
      <c r="Z235" s="1"/>
      <c r="AA235" s="1"/>
      <c r="AB235" s="1"/>
    </row>
    <row r="236" ht="12.75" customHeight="1">
      <c r="A236" s="1"/>
      <c r="B236" s="146"/>
      <c r="C236" s="150"/>
      <c r="D236" s="151"/>
      <c r="E236" s="261"/>
      <c r="F236" s="49"/>
      <c r="G236" s="24"/>
      <c r="H236" s="49"/>
      <c r="I236" s="49"/>
      <c r="J236" s="49"/>
      <c r="K236" s="49"/>
      <c r="L236" s="49"/>
      <c r="M236" s="49"/>
      <c r="N236" s="1"/>
      <c r="O236" s="1"/>
      <c r="P236" s="1"/>
      <c r="Q236" s="1"/>
      <c r="R236" s="1"/>
      <c r="S236" s="1"/>
      <c r="T236" s="1"/>
      <c r="U236" s="1"/>
      <c r="V236" s="1"/>
      <c r="W236" s="1"/>
      <c r="X236" s="1"/>
      <c r="Y236" s="1"/>
      <c r="Z236" s="1"/>
      <c r="AA236" s="1"/>
      <c r="AB236" s="1"/>
    </row>
    <row r="237" ht="12.75" customHeight="1">
      <c r="A237" s="1"/>
      <c r="B237" s="146"/>
      <c r="C237" s="150"/>
      <c r="D237" s="151"/>
      <c r="E237" s="261"/>
      <c r="F237" s="49"/>
      <c r="G237" s="24"/>
      <c r="H237" s="49"/>
      <c r="I237" s="49"/>
      <c r="J237" s="49"/>
      <c r="K237" s="49"/>
      <c r="L237" s="49"/>
      <c r="M237" s="49"/>
      <c r="N237" s="1"/>
      <c r="O237" s="1"/>
      <c r="P237" s="1"/>
      <c r="Q237" s="1"/>
      <c r="R237" s="1"/>
      <c r="S237" s="1"/>
      <c r="T237" s="1"/>
      <c r="U237" s="1"/>
      <c r="V237" s="1"/>
      <c r="W237" s="1"/>
      <c r="X237" s="1"/>
      <c r="Y237" s="1"/>
      <c r="Z237" s="1"/>
      <c r="AA237" s="1"/>
      <c r="AB237" s="1"/>
    </row>
    <row r="238" ht="12.75" customHeight="1">
      <c r="A238" s="1"/>
      <c r="B238" s="146"/>
      <c r="C238" s="150"/>
      <c r="D238" s="151"/>
      <c r="E238" s="261"/>
      <c r="F238" s="49"/>
      <c r="G238" s="24"/>
      <c r="H238" s="49"/>
      <c r="I238" s="49"/>
      <c r="J238" s="49"/>
      <c r="K238" s="49"/>
      <c r="L238" s="49"/>
      <c r="M238" s="49"/>
      <c r="N238" s="1"/>
      <c r="O238" s="1"/>
      <c r="P238" s="1"/>
      <c r="Q238" s="1"/>
      <c r="R238" s="1"/>
      <c r="S238" s="1"/>
      <c r="T238" s="1"/>
      <c r="U238" s="1"/>
      <c r="V238" s="1"/>
      <c r="W238" s="1"/>
      <c r="X238" s="1"/>
      <c r="Y238" s="1"/>
      <c r="Z238" s="1"/>
      <c r="AA238" s="1"/>
      <c r="AB238" s="1"/>
    </row>
    <row r="239" ht="12.75" customHeight="1">
      <c r="A239" s="1"/>
      <c r="B239" s="146"/>
      <c r="C239" s="150"/>
      <c r="D239" s="151"/>
      <c r="E239" s="261"/>
      <c r="F239" s="49"/>
      <c r="G239" s="24"/>
      <c r="H239" s="49"/>
      <c r="I239" s="49"/>
      <c r="J239" s="49"/>
      <c r="K239" s="49"/>
      <c r="L239" s="49"/>
      <c r="M239" s="49"/>
      <c r="N239" s="1"/>
      <c r="O239" s="1"/>
      <c r="P239" s="1"/>
      <c r="Q239" s="1"/>
      <c r="R239" s="1"/>
      <c r="S239" s="1"/>
      <c r="T239" s="1"/>
      <c r="U239" s="1"/>
      <c r="V239" s="1"/>
      <c r="W239" s="1"/>
      <c r="X239" s="1"/>
      <c r="Y239" s="1"/>
      <c r="Z239" s="1"/>
      <c r="AA239" s="1"/>
      <c r="AB239" s="1"/>
    </row>
    <row r="240" ht="12.75" customHeight="1">
      <c r="A240" s="1"/>
      <c r="B240" s="146"/>
      <c r="C240" s="150"/>
      <c r="D240" s="151"/>
      <c r="E240" s="261"/>
      <c r="F240" s="49"/>
      <c r="G240" s="24"/>
      <c r="H240" s="49"/>
      <c r="I240" s="49"/>
      <c r="J240" s="49"/>
      <c r="K240" s="49"/>
      <c r="L240" s="49"/>
      <c r="M240" s="49"/>
      <c r="N240" s="1"/>
      <c r="O240" s="1"/>
      <c r="P240" s="1"/>
      <c r="Q240" s="1"/>
      <c r="R240" s="1"/>
      <c r="S240" s="1"/>
      <c r="T240" s="1"/>
      <c r="U240" s="1"/>
      <c r="V240" s="1"/>
      <c r="W240" s="1"/>
      <c r="X240" s="1"/>
      <c r="Y240" s="1"/>
      <c r="Z240" s="1"/>
      <c r="AA240" s="1"/>
      <c r="AB240" s="1"/>
    </row>
    <row r="241" ht="12.75" customHeight="1">
      <c r="A241" s="1"/>
      <c r="B241" s="146"/>
      <c r="C241" s="150"/>
      <c r="D241" s="151"/>
      <c r="E241" s="261"/>
      <c r="F241" s="49"/>
      <c r="G241" s="24"/>
      <c r="H241" s="49"/>
      <c r="I241" s="49"/>
      <c r="J241" s="49"/>
      <c r="K241" s="49"/>
      <c r="L241" s="49"/>
      <c r="M241" s="49"/>
      <c r="N241" s="1"/>
      <c r="O241" s="1"/>
      <c r="P241" s="1"/>
      <c r="Q241" s="1"/>
      <c r="R241" s="1"/>
      <c r="S241" s="1"/>
      <c r="T241" s="1"/>
      <c r="U241" s="1"/>
      <c r="V241" s="1"/>
      <c r="W241" s="1"/>
      <c r="X241" s="1"/>
      <c r="Y241" s="1"/>
      <c r="Z241" s="1"/>
      <c r="AA241" s="1"/>
      <c r="AB241" s="1"/>
    </row>
    <row r="242" ht="12.75" customHeight="1">
      <c r="A242" s="1"/>
      <c r="B242" s="146"/>
      <c r="C242" s="150"/>
      <c r="D242" s="151"/>
      <c r="E242" s="261"/>
      <c r="F242" s="49"/>
      <c r="G242" s="24"/>
      <c r="H242" s="49"/>
      <c r="I242" s="49"/>
      <c r="J242" s="49"/>
      <c r="K242" s="49"/>
      <c r="L242" s="49"/>
      <c r="M242" s="49"/>
      <c r="N242" s="1"/>
      <c r="O242" s="1"/>
      <c r="P242" s="1"/>
      <c r="Q242" s="1"/>
      <c r="R242" s="1"/>
      <c r="S242" s="1"/>
      <c r="T242" s="1"/>
      <c r="U242" s="1"/>
      <c r="V242" s="1"/>
      <c r="W242" s="1"/>
      <c r="X242" s="1"/>
      <c r="Y242" s="1"/>
      <c r="Z242" s="1"/>
      <c r="AA242" s="1"/>
      <c r="AB242" s="1"/>
    </row>
    <row r="243" ht="12.75" customHeight="1">
      <c r="A243" s="1"/>
      <c r="B243" s="146"/>
      <c r="C243" s="150"/>
      <c r="D243" s="151"/>
      <c r="E243" s="261"/>
      <c r="F243" s="49"/>
      <c r="G243" s="24"/>
      <c r="H243" s="49"/>
      <c r="I243" s="49"/>
      <c r="J243" s="49"/>
      <c r="K243" s="49"/>
      <c r="L243" s="49"/>
      <c r="M243" s="49"/>
      <c r="N243" s="1"/>
      <c r="O243" s="1"/>
      <c r="P243" s="1"/>
      <c r="Q243" s="1"/>
      <c r="R243" s="1"/>
      <c r="S243" s="1"/>
      <c r="T243" s="1"/>
      <c r="U243" s="1"/>
      <c r="V243" s="1"/>
      <c r="W243" s="1"/>
      <c r="X243" s="1"/>
      <c r="Y243" s="1"/>
      <c r="Z243" s="1"/>
      <c r="AA243" s="1"/>
      <c r="AB243" s="1"/>
    </row>
    <row r="244" ht="12.75" customHeight="1">
      <c r="A244" s="1"/>
      <c r="B244" s="146"/>
      <c r="C244" s="150"/>
      <c r="D244" s="151"/>
      <c r="E244" s="261"/>
      <c r="F244" s="49"/>
      <c r="G244" s="24"/>
      <c r="H244" s="49"/>
      <c r="I244" s="49"/>
      <c r="J244" s="49"/>
      <c r="K244" s="49"/>
      <c r="L244" s="49"/>
      <c r="M244" s="49"/>
      <c r="N244" s="1"/>
      <c r="O244" s="1"/>
      <c r="P244" s="1"/>
      <c r="Q244" s="1"/>
      <c r="R244" s="1"/>
      <c r="S244" s="1"/>
      <c r="T244" s="1"/>
      <c r="U244" s="1"/>
      <c r="V244" s="1"/>
      <c r="W244" s="1"/>
      <c r="X244" s="1"/>
      <c r="Y244" s="1"/>
      <c r="Z244" s="1"/>
      <c r="AA244" s="1"/>
      <c r="AB244" s="1"/>
    </row>
    <row r="245" ht="12.75" customHeight="1">
      <c r="A245" s="1"/>
      <c r="B245" s="146"/>
      <c r="C245" s="150"/>
      <c r="D245" s="151"/>
      <c r="E245" s="261"/>
      <c r="F245" s="49"/>
      <c r="G245" s="24"/>
      <c r="H245" s="49"/>
      <c r="I245" s="49"/>
      <c r="J245" s="49"/>
      <c r="K245" s="49"/>
      <c r="L245" s="49"/>
      <c r="M245" s="49"/>
      <c r="N245" s="1"/>
      <c r="O245" s="1"/>
      <c r="P245" s="1"/>
      <c r="Q245" s="1"/>
      <c r="R245" s="1"/>
      <c r="S245" s="1"/>
      <c r="T245" s="1"/>
      <c r="U245" s="1"/>
      <c r="V245" s="1"/>
      <c r="W245" s="1"/>
      <c r="X245" s="1"/>
      <c r="Y245" s="1"/>
      <c r="Z245" s="1"/>
      <c r="AA245" s="1"/>
      <c r="AB245" s="1"/>
    </row>
    <row r="246" ht="12.75" customHeight="1">
      <c r="A246" s="1"/>
      <c r="B246" s="146"/>
      <c r="C246" s="150"/>
      <c r="D246" s="151"/>
      <c r="E246" s="261"/>
      <c r="F246" s="49"/>
      <c r="G246" s="24"/>
      <c r="H246" s="49"/>
      <c r="I246" s="49"/>
      <c r="J246" s="49"/>
      <c r="K246" s="49"/>
      <c r="L246" s="49"/>
      <c r="M246" s="49"/>
      <c r="N246" s="1"/>
      <c r="O246" s="1"/>
      <c r="P246" s="1"/>
      <c r="Q246" s="1"/>
      <c r="R246" s="1"/>
      <c r="S246" s="1"/>
      <c r="T246" s="1"/>
      <c r="U246" s="1"/>
      <c r="V246" s="1"/>
      <c r="W246" s="1"/>
      <c r="X246" s="1"/>
      <c r="Y246" s="1"/>
      <c r="Z246" s="1"/>
      <c r="AA246" s="1"/>
      <c r="AB246" s="1"/>
    </row>
    <row r="247" ht="12.75" customHeight="1">
      <c r="A247" s="1"/>
      <c r="B247" s="146"/>
      <c r="C247" s="150"/>
      <c r="D247" s="151"/>
      <c r="E247" s="261"/>
      <c r="F247" s="49"/>
      <c r="G247" s="24"/>
      <c r="H247" s="49"/>
      <c r="I247" s="49"/>
      <c r="J247" s="49"/>
      <c r="K247" s="49"/>
      <c r="L247" s="49"/>
      <c r="M247" s="49"/>
      <c r="N247" s="1"/>
      <c r="O247" s="1"/>
      <c r="P247" s="1"/>
      <c r="Q247" s="1"/>
      <c r="R247" s="1"/>
      <c r="S247" s="1"/>
      <c r="T247" s="1"/>
      <c r="U247" s="1"/>
      <c r="V247" s="1"/>
      <c r="W247" s="1"/>
      <c r="X247" s="1"/>
      <c r="Y247" s="1"/>
      <c r="Z247" s="1"/>
      <c r="AA247" s="1"/>
      <c r="AB247" s="1"/>
    </row>
    <row r="248" ht="12.75" customHeight="1">
      <c r="A248" s="1"/>
      <c r="B248" s="146"/>
      <c r="C248" s="150"/>
      <c r="D248" s="151"/>
      <c r="E248" s="261"/>
      <c r="F248" s="49"/>
      <c r="G248" s="24"/>
      <c r="H248" s="49"/>
      <c r="I248" s="49"/>
      <c r="J248" s="49"/>
      <c r="K248" s="49"/>
      <c r="L248" s="49"/>
      <c r="M248" s="49"/>
      <c r="N248" s="1"/>
      <c r="O248" s="1"/>
      <c r="P248" s="1"/>
      <c r="Q248" s="1"/>
      <c r="R248" s="1"/>
      <c r="S248" s="1"/>
      <c r="T248" s="1"/>
      <c r="U248" s="1"/>
      <c r="V248" s="1"/>
      <c r="W248" s="1"/>
      <c r="X248" s="1"/>
      <c r="Y248" s="1"/>
      <c r="Z248" s="1"/>
      <c r="AA248" s="1"/>
      <c r="AB248" s="1"/>
    </row>
    <row r="249" ht="12.75" customHeight="1">
      <c r="A249" s="1"/>
      <c r="B249" s="146"/>
      <c r="C249" s="150"/>
      <c r="D249" s="151"/>
      <c r="E249" s="261"/>
      <c r="F249" s="49"/>
      <c r="G249" s="24"/>
      <c r="H249" s="49"/>
      <c r="I249" s="49"/>
      <c r="J249" s="49"/>
      <c r="K249" s="49"/>
      <c r="L249" s="49"/>
      <c r="M249" s="49"/>
      <c r="N249" s="1"/>
      <c r="O249" s="1"/>
      <c r="P249" s="1"/>
      <c r="Q249" s="1"/>
      <c r="R249" s="1"/>
      <c r="S249" s="1"/>
      <c r="T249" s="1"/>
      <c r="U249" s="1"/>
      <c r="V249" s="1"/>
      <c r="W249" s="1"/>
      <c r="X249" s="1"/>
      <c r="Y249" s="1"/>
      <c r="Z249" s="1"/>
      <c r="AA249" s="1"/>
      <c r="AB249" s="1"/>
    </row>
    <row r="250" ht="12.75" customHeight="1">
      <c r="A250" s="1"/>
      <c r="B250" s="146"/>
      <c r="C250" s="150"/>
      <c r="D250" s="151"/>
      <c r="E250" s="261"/>
      <c r="F250" s="49"/>
      <c r="G250" s="24"/>
      <c r="H250" s="49"/>
      <c r="I250" s="49"/>
      <c r="J250" s="49"/>
      <c r="K250" s="49"/>
      <c r="L250" s="49"/>
      <c r="M250" s="49"/>
      <c r="N250" s="1"/>
      <c r="O250" s="1"/>
      <c r="P250" s="1"/>
      <c r="Q250" s="1"/>
      <c r="R250" s="1"/>
      <c r="S250" s="1"/>
      <c r="T250" s="1"/>
      <c r="U250" s="1"/>
      <c r="V250" s="1"/>
      <c r="W250" s="1"/>
      <c r="X250" s="1"/>
      <c r="Y250" s="1"/>
      <c r="Z250" s="1"/>
      <c r="AA250" s="1"/>
      <c r="AB250" s="1"/>
    </row>
    <row r="251" ht="12.75" customHeight="1">
      <c r="A251" s="1"/>
      <c r="B251" s="146"/>
      <c r="C251" s="150"/>
      <c r="D251" s="151"/>
      <c r="E251" s="261"/>
      <c r="F251" s="49"/>
      <c r="G251" s="24"/>
      <c r="H251" s="49"/>
      <c r="I251" s="49"/>
      <c r="J251" s="49"/>
      <c r="K251" s="49"/>
      <c r="L251" s="49"/>
      <c r="M251" s="49"/>
      <c r="N251" s="1"/>
      <c r="O251" s="1"/>
      <c r="P251" s="1"/>
      <c r="Q251" s="1"/>
      <c r="R251" s="1"/>
      <c r="S251" s="1"/>
      <c r="T251" s="1"/>
      <c r="U251" s="1"/>
      <c r="V251" s="1"/>
      <c r="W251" s="1"/>
      <c r="X251" s="1"/>
      <c r="Y251" s="1"/>
      <c r="Z251" s="1"/>
      <c r="AA251" s="1"/>
      <c r="AB251" s="1"/>
    </row>
    <row r="252" ht="12.75" customHeight="1">
      <c r="A252" s="1"/>
      <c r="B252" s="146"/>
      <c r="C252" s="150"/>
      <c r="D252" s="151"/>
      <c r="E252" s="261"/>
      <c r="F252" s="49"/>
      <c r="G252" s="24"/>
      <c r="H252" s="49"/>
      <c r="I252" s="49"/>
      <c r="J252" s="49"/>
      <c r="K252" s="49"/>
      <c r="L252" s="49"/>
      <c r="M252" s="49"/>
      <c r="N252" s="1"/>
      <c r="O252" s="1"/>
      <c r="P252" s="1"/>
      <c r="Q252" s="1"/>
      <c r="R252" s="1"/>
      <c r="S252" s="1"/>
      <c r="T252" s="1"/>
      <c r="U252" s="1"/>
      <c r="V252" s="1"/>
      <c r="W252" s="1"/>
      <c r="X252" s="1"/>
      <c r="Y252" s="1"/>
      <c r="Z252" s="1"/>
      <c r="AA252" s="1"/>
      <c r="AB252" s="1"/>
    </row>
    <row r="253" ht="12.75" customHeight="1">
      <c r="A253" s="1"/>
      <c r="B253" s="146"/>
      <c r="C253" s="150"/>
      <c r="D253" s="151"/>
      <c r="E253" s="261"/>
      <c r="F253" s="49"/>
      <c r="G253" s="24"/>
      <c r="H253" s="49"/>
      <c r="I253" s="49"/>
      <c r="J253" s="49"/>
      <c r="K253" s="49"/>
      <c r="L253" s="49"/>
      <c r="M253" s="49"/>
      <c r="N253" s="1"/>
      <c r="O253" s="1"/>
      <c r="P253" s="1"/>
      <c r="Q253" s="1"/>
      <c r="R253" s="1"/>
      <c r="S253" s="1"/>
      <c r="T253" s="1"/>
      <c r="U253" s="1"/>
      <c r="V253" s="1"/>
      <c r="W253" s="1"/>
      <c r="X253" s="1"/>
      <c r="Y253" s="1"/>
      <c r="Z253" s="1"/>
      <c r="AA253" s="1"/>
      <c r="AB253" s="1"/>
    </row>
    <row r="254" ht="12.75" customHeight="1">
      <c r="A254" s="1"/>
      <c r="B254" s="146"/>
      <c r="C254" s="150"/>
      <c r="D254" s="151"/>
      <c r="E254" s="261"/>
      <c r="F254" s="49"/>
      <c r="G254" s="24"/>
      <c r="H254" s="49"/>
      <c r="I254" s="49"/>
      <c r="J254" s="49"/>
      <c r="K254" s="49"/>
      <c r="L254" s="49"/>
      <c r="M254" s="49"/>
      <c r="N254" s="1"/>
      <c r="O254" s="1"/>
      <c r="P254" s="1"/>
      <c r="Q254" s="1"/>
      <c r="R254" s="1"/>
      <c r="S254" s="1"/>
      <c r="T254" s="1"/>
      <c r="U254" s="1"/>
      <c r="V254" s="1"/>
      <c r="W254" s="1"/>
      <c r="X254" s="1"/>
      <c r="Y254" s="1"/>
      <c r="Z254" s="1"/>
      <c r="AA254" s="1"/>
      <c r="AB254" s="1"/>
    </row>
    <row r="255" ht="12.75" customHeight="1">
      <c r="A255" s="1"/>
      <c r="B255" s="146"/>
      <c r="C255" s="150"/>
      <c r="D255" s="151"/>
      <c r="E255" s="261"/>
      <c r="F255" s="49"/>
      <c r="G255" s="24"/>
      <c r="H255" s="49"/>
      <c r="I255" s="49"/>
      <c r="J255" s="49"/>
      <c r="K255" s="49"/>
      <c r="L255" s="49"/>
      <c r="M255" s="49"/>
      <c r="N255" s="1"/>
      <c r="O255" s="1"/>
      <c r="P255" s="1"/>
      <c r="Q255" s="1"/>
      <c r="R255" s="1"/>
      <c r="S255" s="1"/>
      <c r="T255" s="1"/>
      <c r="U255" s="1"/>
      <c r="V255" s="1"/>
      <c r="W255" s="1"/>
      <c r="X255" s="1"/>
      <c r="Y255" s="1"/>
      <c r="Z255" s="1"/>
      <c r="AA255" s="1"/>
      <c r="AB255" s="1"/>
    </row>
    <row r="256" ht="12.75" customHeight="1">
      <c r="A256" s="1"/>
      <c r="B256" s="146"/>
      <c r="C256" s="150"/>
      <c r="D256" s="151"/>
      <c r="E256" s="261"/>
      <c r="F256" s="49"/>
      <c r="G256" s="24"/>
      <c r="H256" s="49"/>
      <c r="I256" s="49"/>
      <c r="J256" s="49"/>
      <c r="K256" s="49"/>
      <c r="L256" s="49"/>
      <c r="M256" s="49"/>
      <c r="N256" s="1"/>
      <c r="O256" s="1"/>
      <c r="P256" s="1"/>
      <c r="Q256" s="1"/>
      <c r="R256" s="1"/>
      <c r="S256" s="1"/>
      <c r="T256" s="1"/>
      <c r="U256" s="1"/>
      <c r="V256" s="1"/>
      <c r="W256" s="1"/>
      <c r="X256" s="1"/>
      <c r="Y256" s="1"/>
      <c r="Z256" s="1"/>
      <c r="AA256" s="1"/>
      <c r="AB256" s="1"/>
    </row>
    <row r="257" ht="12.75" customHeight="1">
      <c r="A257" s="1"/>
      <c r="B257" s="146"/>
      <c r="C257" s="150"/>
      <c r="D257" s="151"/>
      <c r="E257" s="261"/>
      <c r="F257" s="49"/>
      <c r="G257" s="24"/>
      <c r="H257" s="49"/>
      <c r="I257" s="49"/>
      <c r="J257" s="49"/>
      <c r="K257" s="49"/>
      <c r="L257" s="49"/>
      <c r="M257" s="49"/>
      <c r="N257" s="1"/>
      <c r="O257" s="1"/>
      <c r="P257" s="1"/>
      <c r="Q257" s="1"/>
      <c r="R257" s="1"/>
      <c r="S257" s="1"/>
      <c r="T257" s="1"/>
      <c r="U257" s="1"/>
      <c r="V257" s="1"/>
      <c r="W257" s="1"/>
      <c r="X257" s="1"/>
      <c r="Y257" s="1"/>
      <c r="Z257" s="1"/>
      <c r="AA257" s="1"/>
      <c r="AB257" s="1"/>
    </row>
    <row r="258" ht="12.75" customHeight="1">
      <c r="A258" s="1"/>
      <c r="B258" s="146"/>
      <c r="C258" s="150"/>
      <c r="D258" s="151"/>
      <c r="E258" s="261"/>
      <c r="F258" s="49"/>
      <c r="G258" s="24"/>
      <c r="H258" s="49"/>
      <c r="I258" s="49"/>
      <c r="J258" s="49"/>
      <c r="K258" s="49"/>
      <c r="L258" s="49"/>
      <c r="M258" s="49"/>
      <c r="N258" s="1"/>
      <c r="O258" s="1"/>
      <c r="P258" s="1"/>
      <c r="Q258" s="1"/>
      <c r="R258" s="1"/>
      <c r="S258" s="1"/>
      <c r="T258" s="1"/>
      <c r="U258" s="1"/>
      <c r="V258" s="1"/>
      <c r="W258" s="1"/>
      <c r="X258" s="1"/>
      <c r="Y258" s="1"/>
      <c r="Z258" s="1"/>
      <c r="AA258" s="1"/>
      <c r="AB258" s="1"/>
    </row>
    <row r="259" ht="12.75" customHeight="1">
      <c r="A259" s="1"/>
      <c r="B259" s="146"/>
      <c r="C259" s="150"/>
      <c r="D259" s="151"/>
      <c r="E259" s="261"/>
      <c r="F259" s="49"/>
      <c r="G259" s="24"/>
      <c r="H259" s="49"/>
      <c r="I259" s="49"/>
      <c r="J259" s="49"/>
      <c r="K259" s="49"/>
      <c r="L259" s="49"/>
      <c r="M259" s="49"/>
      <c r="N259" s="1"/>
      <c r="O259" s="1"/>
      <c r="P259" s="1"/>
      <c r="Q259" s="1"/>
      <c r="R259" s="1"/>
      <c r="S259" s="1"/>
      <c r="T259" s="1"/>
      <c r="U259" s="1"/>
      <c r="V259" s="1"/>
      <c r="W259" s="1"/>
      <c r="X259" s="1"/>
      <c r="Y259" s="1"/>
      <c r="Z259" s="1"/>
      <c r="AA259" s="1"/>
      <c r="AB259" s="1"/>
    </row>
    <row r="260" ht="12.75" customHeight="1">
      <c r="A260" s="1"/>
      <c r="B260" s="146"/>
      <c r="C260" s="150"/>
      <c r="D260" s="151"/>
      <c r="E260" s="261"/>
      <c r="F260" s="49"/>
      <c r="G260" s="24"/>
      <c r="H260" s="49"/>
      <c r="I260" s="49"/>
      <c r="J260" s="49"/>
      <c r="K260" s="49"/>
      <c r="L260" s="49"/>
      <c r="M260" s="49"/>
      <c r="N260" s="1"/>
      <c r="O260" s="1"/>
      <c r="P260" s="1"/>
      <c r="Q260" s="1"/>
      <c r="R260" s="1"/>
      <c r="S260" s="1"/>
      <c r="T260" s="1"/>
      <c r="U260" s="1"/>
      <c r="V260" s="1"/>
      <c r="W260" s="1"/>
      <c r="X260" s="1"/>
      <c r="Y260" s="1"/>
      <c r="Z260" s="1"/>
      <c r="AA260" s="1"/>
      <c r="AB260" s="1"/>
    </row>
    <row r="261" ht="12.75" customHeight="1">
      <c r="A261" s="1"/>
      <c r="B261" s="146"/>
      <c r="C261" s="150"/>
      <c r="D261" s="151"/>
      <c r="E261" s="261"/>
      <c r="F261" s="49"/>
      <c r="G261" s="24"/>
      <c r="H261" s="49"/>
      <c r="I261" s="49"/>
      <c r="J261" s="49"/>
      <c r="K261" s="49"/>
      <c r="L261" s="49"/>
      <c r="M261" s="49"/>
      <c r="N261" s="1"/>
      <c r="O261" s="1"/>
      <c r="P261" s="1"/>
      <c r="Q261" s="1"/>
      <c r="R261" s="1"/>
      <c r="S261" s="1"/>
      <c r="T261" s="1"/>
      <c r="U261" s="1"/>
      <c r="V261" s="1"/>
      <c r="W261" s="1"/>
      <c r="X261" s="1"/>
      <c r="Y261" s="1"/>
      <c r="Z261" s="1"/>
      <c r="AA261" s="1"/>
      <c r="AB261" s="1"/>
    </row>
    <row r="262" ht="12.75" customHeight="1">
      <c r="A262" s="1"/>
      <c r="B262" s="146"/>
      <c r="C262" s="150"/>
      <c r="D262" s="151"/>
      <c r="E262" s="261"/>
      <c r="F262" s="49"/>
      <c r="G262" s="24"/>
      <c r="H262" s="49"/>
      <c r="I262" s="49"/>
      <c r="J262" s="49"/>
      <c r="K262" s="49"/>
      <c r="L262" s="49"/>
      <c r="M262" s="49"/>
      <c r="N262" s="1"/>
      <c r="O262" s="1"/>
      <c r="P262" s="1"/>
      <c r="Q262" s="1"/>
      <c r="R262" s="1"/>
      <c r="S262" s="1"/>
      <c r="T262" s="1"/>
      <c r="U262" s="1"/>
      <c r="V262" s="1"/>
      <c r="W262" s="1"/>
      <c r="X262" s="1"/>
      <c r="Y262" s="1"/>
      <c r="Z262" s="1"/>
      <c r="AA262" s="1"/>
      <c r="AB262" s="1"/>
    </row>
    <row r="263" ht="12.75" customHeight="1">
      <c r="A263" s="1"/>
      <c r="B263" s="146"/>
      <c r="C263" s="150"/>
      <c r="D263" s="151"/>
      <c r="E263" s="261"/>
      <c r="F263" s="49"/>
      <c r="G263" s="24"/>
      <c r="H263" s="49"/>
      <c r="I263" s="49"/>
      <c r="J263" s="49"/>
      <c r="K263" s="49"/>
      <c r="L263" s="49"/>
      <c r="M263" s="49"/>
      <c r="N263" s="1"/>
      <c r="O263" s="1"/>
      <c r="P263" s="1"/>
      <c r="Q263" s="1"/>
      <c r="R263" s="1"/>
      <c r="S263" s="1"/>
      <c r="T263" s="1"/>
      <c r="U263" s="1"/>
      <c r="V263" s="1"/>
      <c r="W263" s="1"/>
      <c r="X263" s="1"/>
      <c r="Y263" s="1"/>
      <c r="Z263" s="1"/>
      <c r="AA263" s="1"/>
      <c r="AB263" s="1"/>
    </row>
    <row r="264" ht="12.75" customHeight="1">
      <c r="A264" s="1"/>
      <c r="B264" s="146"/>
      <c r="C264" s="150"/>
      <c r="D264" s="151"/>
      <c r="E264" s="261"/>
      <c r="F264" s="49"/>
      <c r="G264" s="24"/>
      <c r="H264" s="49"/>
      <c r="I264" s="49"/>
      <c r="J264" s="49"/>
      <c r="K264" s="49"/>
      <c r="L264" s="49"/>
      <c r="M264" s="49"/>
      <c r="N264" s="1"/>
      <c r="O264" s="1"/>
      <c r="P264" s="1"/>
      <c r="Q264" s="1"/>
      <c r="R264" s="1"/>
      <c r="S264" s="1"/>
      <c r="T264" s="1"/>
      <c r="U264" s="1"/>
      <c r="V264" s="1"/>
      <c r="W264" s="1"/>
      <c r="X264" s="1"/>
      <c r="Y264" s="1"/>
      <c r="Z264" s="1"/>
      <c r="AA264" s="1"/>
      <c r="AB264" s="1"/>
    </row>
    <row r="265" ht="12.75" customHeight="1">
      <c r="A265" s="1"/>
      <c r="B265" s="146"/>
      <c r="C265" s="150"/>
      <c r="D265" s="151"/>
      <c r="E265" s="261"/>
      <c r="F265" s="49"/>
      <c r="G265" s="24"/>
      <c r="H265" s="49"/>
      <c r="I265" s="49"/>
      <c r="J265" s="49"/>
      <c r="K265" s="49"/>
      <c r="L265" s="49"/>
      <c r="M265" s="49"/>
      <c r="N265" s="1"/>
      <c r="O265" s="1"/>
      <c r="P265" s="1"/>
      <c r="Q265" s="1"/>
      <c r="R265" s="1"/>
      <c r="S265" s="1"/>
      <c r="T265" s="1"/>
      <c r="U265" s="1"/>
      <c r="V265" s="1"/>
      <c r="W265" s="1"/>
      <c r="X265" s="1"/>
      <c r="Y265" s="1"/>
      <c r="Z265" s="1"/>
      <c r="AA265" s="1"/>
      <c r="AB265" s="1"/>
    </row>
    <row r="266" ht="12.75" customHeight="1">
      <c r="A266" s="1"/>
      <c r="B266" s="146"/>
      <c r="C266" s="150"/>
      <c r="D266" s="151"/>
      <c r="E266" s="261"/>
      <c r="F266" s="49"/>
      <c r="G266" s="24"/>
      <c r="H266" s="49"/>
      <c r="I266" s="49"/>
      <c r="J266" s="49"/>
      <c r="K266" s="49"/>
      <c r="L266" s="49"/>
      <c r="M266" s="49"/>
      <c r="N266" s="1"/>
      <c r="O266" s="1"/>
      <c r="P266" s="1"/>
      <c r="Q266" s="1"/>
      <c r="R266" s="1"/>
      <c r="S266" s="1"/>
      <c r="T266" s="1"/>
      <c r="U266" s="1"/>
      <c r="V266" s="1"/>
      <c r="W266" s="1"/>
      <c r="X266" s="1"/>
      <c r="Y266" s="1"/>
      <c r="Z266" s="1"/>
      <c r="AA266" s="1"/>
      <c r="AB266" s="1"/>
    </row>
    <row r="267" ht="12.75" customHeight="1">
      <c r="A267" s="1"/>
      <c r="B267" s="146"/>
      <c r="C267" s="150"/>
      <c r="D267" s="151"/>
      <c r="E267" s="261"/>
      <c r="F267" s="49"/>
      <c r="G267" s="24"/>
      <c r="H267" s="49"/>
      <c r="I267" s="49"/>
      <c r="J267" s="49"/>
      <c r="K267" s="49"/>
      <c r="L267" s="49"/>
      <c r="M267" s="49"/>
      <c r="N267" s="1"/>
      <c r="O267" s="1"/>
      <c r="P267" s="1"/>
      <c r="Q267" s="1"/>
      <c r="R267" s="1"/>
      <c r="S267" s="1"/>
      <c r="T267" s="1"/>
      <c r="U267" s="1"/>
      <c r="V267" s="1"/>
      <c r="W267" s="1"/>
      <c r="X267" s="1"/>
      <c r="Y267" s="1"/>
      <c r="Z267" s="1"/>
      <c r="AA267" s="1"/>
      <c r="AB267" s="1"/>
    </row>
    <row r="268" ht="12.75" customHeight="1">
      <c r="A268" s="1"/>
      <c r="B268" s="146"/>
      <c r="C268" s="150"/>
      <c r="D268" s="151"/>
      <c r="E268" s="261"/>
      <c r="F268" s="49"/>
      <c r="G268" s="24"/>
      <c r="H268" s="49"/>
      <c r="I268" s="49"/>
      <c r="J268" s="49"/>
      <c r="K268" s="49"/>
      <c r="L268" s="49"/>
      <c r="M268" s="49"/>
      <c r="N268" s="1"/>
      <c r="O268" s="1"/>
      <c r="P268" s="1"/>
      <c r="Q268" s="1"/>
      <c r="R268" s="1"/>
      <c r="S268" s="1"/>
      <c r="T268" s="1"/>
      <c r="U268" s="1"/>
      <c r="V268" s="1"/>
      <c r="W268" s="1"/>
      <c r="X268" s="1"/>
      <c r="Y268" s="1"/>
      <c r="Z268" s="1"/>
      <c r="AA268" s="1"/>
      <c r="AB268" s="1"/>
    </row>
    <row r="269" ht="12.75" customHeight="1">
      <c r="A269" s="1"/>
      <c r="B269" s="146"/>
      <c r="C269" s="150"/>
      <c r="D269" s="151"/>
      <c r="E269" s="261"/>
      <c r="F269" s="49"/>
      <c r="G269" s="24"/>
      <c r="H269" s="49"/>
      <c r="I269" s="49"/>
      <c r="J269" s="49"/>
      <c r="K269" s="49"/>
      <c r="L269" s="49"/>
      <c r="M269" s="49"/>
      <c r="N269" s="1"/>
      <c r="O269" s="1"/>
      <c r="P269" s="1"/>
      <c r="Q269" s="1"/>
      <c r="R269" s="1"/>
      <c r="S269" s="1"/>
      <c r="T269" s="1"/>
      <c r="U269" s="1"/>
      <c r="V269" s="1"/>
      <c r="W269" s="1"/>
      <c r="X269" s="1"/>
      <c r="Y269" s="1"/>
      <c r="Z269" s="1"/>
      <c r="AA269" s="1"/>
      <c r="AB269" s="1"/>
    </row>
    <row r="270" ht="12.75" customHeight="1">
      <c r="A270" s="1"/>
      <c r="B270" s="146"/>
      <c r="C270" s="150"/>
      <c r="D270" s="151"/>
      <c r="E270" s="261"/>
      <c r="F270" s="49"/>
      <c r="G270" s="24"/>
      <c r="H270" s="49"/>
      <c r="I270" s="49"/>
      <c r="J270" s="49"/>
      <c r="K270" s="49"/>
      <c r="L270" s="49"/>
      <c r="M270" s="49"/>
      <c r="N270" s="1"/>
      <c r="O270" s="1"/>
      <c r="P270" s="1"/>
      <c r="Q270" s="1"/>
      <c r="R270" s="1"/>
      <c r="S270" s="1"/>
      <c r="T270" s="1"/>
      <c r="U270" s="1"/>
      <c r="V270" s="1"/>
      <c r="W270" s="1"/>
      <c r="X270" s="1"/>
      <c r="Y270" s="1"/>
      <c r="Z270" s="1"/>
      <c r="AA270" s="1"/>
      <c r="AB270" s="1"/>
    </row>
    <row r="271" ht="12.75" customHeight="1">
      <c r="A271" s="1"/>
      <c r="B271" s="146"/>
      <c r="C271" s="150"/>
      <c r="D271" s="151"/>
      <c r="E271" s="261"/>
      <c r="F271" s="49"/>
      <c r="G271" s="24"/>
      <c r="H271" s="49"/>
      <c r="I271" s="49"/>
      <c r="J271" s="49"/>
      <c r="K271" s="49"/>
      <c r="L271" s="49"/>
      <c r="M271" s="49"/>
      <c r="N271" s="1"/>
      <c r="O271" s="1"/>
      <c r="P271" s="1"/>
      <c r="Q271" s="1"/>
      <c r="R271" s="1"/>
      <c r="S271" s="1"/>
      <c r="T271" s="1"/>
      <c r="U271" s="1"/>
      <c r="V271" s="1"/>
      <c r="W271" s="1"/>
      <c r="X271" s="1"/>
      <c r="Y271" s="1"/>
      <c r="Z271" s="1"/>
      <c r="AA271" s="1"/>
      <c r="AB271" s="1"/>
    </row>
    <row r="272" ht="12.75" customHeight="1">
      <c r="A272" s="1"/>
      <c r="B272" s="146"/>
      <c r="C272" s="150"/>
      <c r="D272" s="151"/>
      <c r="E272" s="261"/>
      <c r="F272" s="49"/>
      <c r="G272" s="24"/>
      <c r="H272" s="49"/>
      <c r="I272" s="49"/>
      <c r="J272" s="49"/>
      <c r="K272" s="49"/>
      <c r="L272" s="49"/>
      <c r="M272" s="49"/>
      <c r="N272" s="1"/>
      <c r="O272" s="1"/>
      <c r="P272" s="1"/>
      <c r="Q272" s="1"/>
      <c r="R272" s="1"/>
      <c r="S272" s="1"/>
      <c r="T272" s="1"/>
      <c r="U272" s="1"/>
      <c r="V272" s="1"/>
      <c r="W272" s="1"/>
      <c r="X272" s="1"/>
      <c r="Y272" s="1"/>
      <c r="Z272" s="1"/>
      <c r="AA272" s="1"/>
      <c r="AB272" s="1"/>
    </row>
    <row r="273" ht="12.75" customHeight="1">
      <c r="A273" s="1"/>
      <c r="B273" s="146"/>
      <c r="C273" s="150"/>
      <c r="D273" s="151"/>
      <c r="E273" s="261"/>
      <c r="F273" s="49"/>
      <c r="G273" s="24"/>
      <c r="H273" s="49"/>
      <c r="I273" s="49"/>
      <c r="J273" s="49"/>
      <c r="K273" s="49"/>
      <c r="L273" s="49"/>
      <c r="M273" s="49"/>
      <c r="N273" s="1"/>
      <c r="O273" s="1"/>
      <c r="P273" s="1"/>
      <c r="Q273" s="1"/>
      <c r="R273" s="1"/>
      <c r="S273" s="1"/>
      <c r="T273" s="1"/>
      <c r="U273" s="1"/>
      <c r="V273" s="1"/>
      <c r="W273" s="1"/>
      <c r="X273" s="1"/>
      <c r="Y273" s="1"/>
      <c r="Z273" s="1"/>
      <c r="AA273" s="1"/>
      <c r="AB273" s="1"/>
    </row>
    <row r="274" ht="12.75" customHeight="1">
      <c r="A274" s="1"/>
      <c r="B274" s="146"/>
      <c r="C274" s="150"/>
      <c r="D274" s="151"/>
      <c r="E274" s="261"/>
      <c r="F274" s="49"/>
      <c r="G274" s="24"/>
      <c r="H274" s="49"/>
      <c r="I274" s="49"/>
      <c r="J274" s="49"/>
      <c r="K274" s="49"/>
      <c r="L274" s="49"/>
      <c r="M274" s="49"/>
      <c r="N274" s="1"/>
      <c r="O274" s="1"/>
      <c r="P274" s="1"/>
      <c r="Q274" s="1"/>
      <c r="R274" s="1"/>
      <c r="S274" s="1"/>
      <c r="T274" s="1"/>
      <c r="U274" s="1"/>
      <c r="V274" s="1"/>
      <c r="W274" s="1"/>
      <c r="X274" s="1"/>
      <c r="Y274" s="1"/>
      <c r="Z274" s="1"/>
      <c r="AA274" s="1"/>
      <c r="AB274" s="1"/>
    </row>
    <row r="275" ht="12.75" customHeight="1">
      <c r="A275" s="1"/>
      <c r="B275" s="146"/>
      <c r="C275" s="150"/>
      <c r="D275" s="151"/>
      <c r="E275" s="261"/>
      <c r="F275" s="49"/>
      <c r="G275" s="24"/>
      <c r="H275" s="49"/>
      <c r="I275" s="49"/>
      <c r="J275" s="49"/>
      <c r="K275" s="49"/>
      <c r="L275" s="49"/>
      <c r="M275" s="49"/>
      <c r="N275" s="1"/>
      <c r="O275" s="1"/>
      <c r="P275" s="1"/>
      <c r="Q275" s="1"/>
      <c r="R275" s="1"/>
      <c r="S275" s="1"/>
      <c r="T275" s="1"/>
      <c r="U275" s="1"/>
      <c r="V275" s="1"/>
      <c r="W275" s="1"/>
      <c r="X275" s="1"/>
      <c r="Y275" s="1"/>
      <c r="Z275" s="1"/>
      <c r="AA275" s="1"/>
      <c r="AB275" s="1"/>
    </row>
    <row r="276" ht="12.75" customHeight="1">
      <c r="A276" s="1"/>
      <c r="B276" s="146"/>
      <c r="C276" s="150"/>
      <c r="D276" s="151"/>
      <c r="E276" s="261"/>
      <c r="F276" s="49"/>
      <c r="G276" s="24"/>
      <c r="H276" s="49"/>
      <c r="I276" s="49"/>
      <c r="J276" s="49"/>
      <c r="K276" s="49"/>
      <c r="L276" s="49"/>
      <c r="M276" s="49"/>
      <c r="N276" s="1"/>
      <c r="O276" s="1"/>
      <c r="P276" s="1"/>
      <c r="Q276" s="1"/>
      <c r="R276" s="1"/>
      <c r="S276" s="1"/>
      <c r="T276" s="1"/>
      <c r="U276" s="1"/>
      <c r="V276" s="1"/>
      <c r="W276" s="1"/>
      <c r="X276" s="1"/>
      <c r="Y276" s="1"/>
      <c r="Z276" s="1"/>
      <c r="AA276" s="1"/>
      <c r="AB276" s="1"/>
    </row>
    <row r="277" ht="12.75" customHeight="1">
      <c r="A277" s="1"/>
      <c r="B277" s="146"/>
      <c r="C277" s="150"/>
      <c r="D277" s="151"/>
      <c r="E277" s="261"/>
      <c r="F277" s="49"/>
      <c r="G277" s="24"/>
      <c r="H277" s="49"/>
      <c r="I277" s="49"/>
      <c r="J277" s="49"/>
      <c r="K277" s="49"/>
      <c r="L277" s="49"/>
      <c r="M277" s="49"/>
      <c r="N277" s="1"/>
      <c r="O277" s="1"/>
      <c r="P277" s="1"/>
      <c r="Q277" s="1"/>
      <c r="R277" s="1"/>
      <c r="S277" s="1"/>
      <c r="T277" s="1"/>
      <c r="U277" s="1"/>
      <c r="V277" s="1"/>
      <c r="W277" s="1"/>
      <c r="X277" s="1"/>
      <c r="Y277" s="1"/>
      <c r="Z277" s="1"/>
      <c r="AA277" s="1"/>
      <c r="AB277" s="1"/>
    </row>
    <row r="278" ht="12.75" customHeight="1">
      <c r="A278" s="1"/>
      <c r="B278" s="146"/>
      <c r="C278" s="150"/>
      <c r="D278" s="151"/>
      <c r="E278" s="261"/>
      <c r="F278" s="49"/>
      <c r="G278" s="24"/>
      <c r="H278" s="49"/>
      <c r="I278" s="49"/>
      <c r="J278" s="49"/>
      <c r="K278" s="49"/>
      <c r="L278" s="49"/>
      <c r="M278" s="49"/>
      <c r="N278" s="1"/>
      <c r="O278" s="1"/>
      <c r="P278" s="1"/>
      <c r="Q278" s="1"/>
      <c r="R278" s="1"/>
      <c r="S278" s="1"/>
      <c r="T278" s="1"/>
      <c r="U278" s="1"/>
      <c r="V278" s="1"/>
      <c r="W278" s="1"/>
      <c r="X278" s="1"/>
      <c r="Y278" s="1"/>
      <c r="Z278" s="1"/>
      <c r="AA278" s="1"/>
      <c r="AB278" s="1"/>
    </row>
    <row r="279" ht="12.75" customHeight="1">
      <c r="A279" s="1"/>
      <c r="B279" s="146"/>
      <c r="C279" s="150"/>
      <c r="D279" s="151"/>
      <c r="E279" s="261"/>
      <c r="F279" s="49"/>
      <c r="G279" s="24"/>
      <c r="H279" s="49"/>
      <c r="I279" s="49"/>
      <c r="J279" s="49"/>
      <c r="K279" s="49"/>
      <c r="L279" s="49"/>
      <c r="M279" s="49"/>
      <c r="N279" s="1"/>
      <c r="O279" s="1"/>
      <c r="P279" s="1"/>
      <c r="Q279" s="1"/>
      <c r="R279" s="1"/>
      <c r="S279" s="1"/>
      <c r="T279" s="1"/>
      <c r="U279" s="1"/>
      <c r="V279" s="1"/>
      <c r="W279" s="1"/>
      <c r="X279" s="1"/>
      <c r="Y279" s="1"/>
      <c r="Z279" s="1"/>
      <c r="AA279" s="1"/>
      <c r="AB279" s="1"/>
    </row>
    <row r="280" ht="12.75" customHeight="1">
      <c r="A280" s="1"/>
      <c r="B280" s="146"/>
      <c r="C280" s="150"/>
      <c r="D280" s="151"/>
      <c r="E280" s="261"/>
      <c r="F280" s="49"/>
      <c r="G280" s="24"/>
      <c r="H280" s="49"/>
      <c r="I280" s="49"/>
      <c r="J280" s="49"/>
      <c r="K280" s="49"/>
      <c r="L280" s="49"/>
      <c r="M280" s="49"/>
      <c r="N280" s="1"/>
      <c r="O280" s="1"/>
      <c r="P280" s="1"/>
      <c r="Q280" s="1"/>
      <c r="R280" s="1"/>
      <c r="S280" s="1"/>
      <c r="T280" s="1"/>
      <c r="U280" s="1"/>
      <c r="V280" s="1"/>
      <c r="W280" s="1"/>
      <c r="X280" s="1"/>
      <c r="Y280" s="1"/>
      <c r="Z280" s="1"/>
      <c r="AA280" s="1"/>
      <c r="AB280" s="1"/>
    </row>
    <row r="281" ht="12.75" customHeight="1">
      <c r="A281" s="1"/>
      <c r="B281" s="146"/>
      <c r="C281" s="150"/>
      <c r="D281" s="151"/>
      <c r="E281" s="261"/>
      <c r="F281" s="49"/>
      <c r="G281" s="24"/>
      <c r="H281" s="49"/>
      <c r="I281" s="49"/>
      <c r="J281" s="49"/>
      <c r="K281" s="49"/>
      <c r="L281" s="49"/>
      <c r="M281" s="49"/>
      <c r="N281" s="1"/>
      <c r="O281" s="1"/>
      <c r="P281" s="1"/>
      <c r="Q281" s="1"/>
      <c r="R281" s="1"/>
      <c r="S281" s="1"/>
      <c r="T281" s="1"/>
      <c r="U281" s="1"/>
      <c r="V281" s="1"/>
      <c r="W281" s="1"/>
      <c r="X281" s="1"/>
      <c r="Y281" s="1"/>
      <c r="Z281" s="1"/>
      <c r="AA281" s="1"/>
      <c r="AB281" s="1"/>
    </row>
    <row r="282" ht="12.75" customHeight="1">
      <c r="A282" s="1"/>
      <c r="B282" s="146"/>
      <c r="C282" s="150"/>
      <c r="D282" s="151"/>
      <c r="E282" s="261"/>
      <c r="F282" s="49"/>
      <c r="G282" s="24"/>
      <c r="H282" s="49"/>
      <c r="I282" s="49"/>
      <c r="J282" s="49"/>
      <c r="K282" s="49"/>
      <c r="L282" s="49"/>
      <c r="M282" s="49"/>
      <c r="N282" s="1"/>
      <c r="O282" s="1"/>
      <c r="P282" s="1"/>
      <c r="Q282" s="1"/>
      <c r="R282" s="1"/>
      <c r="S282" s="1"/>
      <c r="T282" s="1"/>
      <c r="U282" s="1"/>
      <c r="V282" s="1"/>
      <c r="W282" s="1"/>
      <c r="X282" s="1"/>
      <c r="Y282" s="1"/>
      <c r="Z282" s="1"/>
      <c r="AA282" s="1"/>
      <c r="AB282" s="1"/>
    </row>
    <row r="283" ht="12.75" customHeight="1">
      <c r="A283" s="1"/>
      <c r="B283" s="146"/>
      <c r="C283" s="150"/>
      <c r="D283" s="151"/>
      <c r="E283" s="261"/>
      <c r="F283" s="49"/>
      <c r="G283" s="24"/>
      <c r="H283" s="49"/>
      <c r="I283" s="49"/>
      <c r="J283" s="49"/>
      <c r="K283" s="49"/>
      <c r="L283" s="49"/>
      <c r="M283" s="49"/>
      <c r="N283" s="1"/>
      <c r="O283" s="1"/>
      <c r="P283" s="1"/>
      <c r="Q283" s="1"/>
      <c r="R283" s="1"/>
      <c r="S283" s="1"/>
      <c r="T283" s="1"/>
      <c r="U283" s="1"/>
      <c r="V283" s="1"/>
      <c r="W283" s="1"/>
      <c r="X283" s="1"/>
      <c r="Y283" s="1"/>
      <c r="Z283" s="1"/>
      <c r="AA283" s="1"/>
      <c r="AB283" s="1"/>
    </row>
    <row r="284" ht="12.75" customHeight="1">
      <c r="A284" s="1"/>
      <c r="B284" s="146"/>
      <c r="C284" s="150"/>
      <c r="D284" s="151"/>
      <c r="E284" s="261"/>
      <c r="F284" s="49"/>
      <c r="G284" s="24"/>
      <c r="H284" s="49"/>
      <c r="I284" s="49"/>
      <c r="J284" s="49"/>
      <c r="K284" s="49"/>
      <c r="L284" s="49"/>
      <c r="M284" s="49"/>
      <c r="N284" s="1"/>
      <c r="O284" s="1"/>
      <c r="P284" s="1"/>
      <c r="Q284" s="1"/>
      <c r="R284" s="1"/>
      <c r="S284" s="1"/>
      <c r="T284" s="1"/>
      <c r="U284" s="1"/>
      <c r="V284" s="1"/>
      <c r="W284" s="1"/>
      <c r="X284" s="1"/>
      <c r="Y284" s="1"/>
      <c r="Z284" s="1"/>
      <c r="AA284" s="1"/>
      <c r="AB284" s="1"/>
    </row>
    <row r="285" ht="12.75" customHeight="1">
      <c r="A285" s="1"/>
      <c r="B285" s="146"/>
      <c r="C285" s="150"/>
      <c r="D285" s="151"/>
      <c r="E285" s="261"/>
      <c r="F285" s="49"/>
      <c r="G285" s="24"/>
      <c r="H285" s="49"/>
      <c r="I285" s="49"/>
      <c r="J285" s="49"/>
      <c r="K285" s="49"/>
      <c r="L285" s="49"/>
      <c r="M285" s="49"/>
      <c r="N285" s="1"/>
      <c r="O285" s="1"/>
      <c r="P285" s="1"/>
      <c r="Q285" s="1"/>
      <c r="R285" s="1"/>
      <c r="S285" s="1"/>
      <c r="T285" s="1"/>
      <c r="U285" s="1"/>
      <c r="V285" s="1"/>
      <c r="W285" s="1"/>
      <c r="X285" s="1"/>
      <c r="Y285" s="1"/>
      <c r="Z285" s="1"/>
      <c r="AA285" s="1"/>
      <c r="AB285" s="1"/>
    </row>
    <row r="286" ht="12.75" customHeight="1">
      <c r="A286" s="1"/>
      <c r="B286" s="146"/>
      <c r="C286" s="150"/>
      <c r="D286" s="151"/>
      <c r="E286" s="261"/>
      <c r="F286" s="49"/>
      <c r="G286" s="24"/>
      <c r="H286" s="49"/>
      <c r="I286" s="49"/>
      <c r="J286" s="49"/>
      <c r="K286" s="49"/>
      <c r="L286" s="49"/>
      <c r="M286" s="49"/>
      <c r="N286" s="1"/>
      <c r="O286" s="1"/>
      <c r="P286" s="1"/>
      <c r="Q286" s="1"/>
      <c r="R286" s="1"/>
      <c r="S286" s="1"/>
      <c r="T286" s="1"/>
      <c r="U286" s="1"/>
      <c r="V286" s="1"/>
      <c r="W286" s="1"/>
      <c r="X286" s="1"/>
      <c r="Y286" s="1"/>
      <c r="Z286" s="1"/>
      <c r="AA286" s="1"/>
      <c r="AB286" s="1"/>
    </row>
    <row r="287" ht="12.75" customHeight="1">
      <c r="A287" s="1"/>
      <c r="B287" s="146"/>
      <c r="C287" s="150"/>
      <c r="D287" s="151"/>
      <c r="E287" s="261"/>
      <c r="F287" s="49"/>
      <c r="G287" s="24"/>
      <c r="H287" s="49"/>
      <c r="I287" s="49"/>
      <c r="J287" s="49"/>
      <c r="K287" s="49"/>
      <c r="L287" s="49"/>
      <c r="M287" s="49"/>
      <c r="N287" s="1"/>
      <c r="O287" s="1"/>
      <c r="P287" s="1"/>
      <c r="Q287" s="1"/>
      <c r="R287" s="1"/>
      <c r="S287" s="1"/>
      <c r="T287" s="1"/>
      <c r="U287" s="1"/>
      <c r="V287" s="1"/>
      <c r="W287" s="1"/>
      <c r="X287" s="1"/>
      <c r="Y287" s="1"/>
      <c r="Z287" s="1"/>
      <c r="AA287" s="1"/>
      <c r="AB287" s="1"/>
    </row>
    <row r="288" ht="12.75" customHeight="1">
      <c r="A288" s="1"/>
      <c r="B288" s="146"/>
      <c r="C288" s="150"/>
      <c r="D288" s="151"/>
      <c r="E288" s="261"/>
      <c r="F288" s="49"/>
      <c r="G288" s="24"/>
      <c r="H288" s="49"/>
      <c r="I288" s="49"/>
      <c r="J288" s="49"/>
      <c r="K288" s="49"/>
      <c r="L288" s="49"/>
      <c r="M288" s="49"/>
      <c r="N288" s="1"/>
      <c r="O288" s="1"/>
      <c r="P288" s="1"/>
      <c r="Q288" s="1"/>
      <c r="R288" s="1"/>
      <c r="S288" s="1"/>
      <c r="T288" s="1"/>
      <c r="U288" s="1"/>
      <c r="V288" s="1"/>
      <c r="W288" s="1"/>
      <c r="X288" s="1"/>
      <c r="Y288" s="1"/>
      <c r="Z288" s="1"/>
      <c r="AA288" s="1"/>
      <c r="AB288" s="1"/>
    </row>
    <row r="289" ht="12.75" customHeight="1">
      <c r="A289" s="1"/>
      <c r="B289" s="146"/>
      <c r="C289" s="150"/>
      <c r="D289" s="151"/>
      <c r="E289" s="261"/>
      <c r="F289" s="49"/>
      <c r="G289" s="24"/>
      <c r="H289" s="49"/>
      <c r="I289" s="49"/>
      <c r="J289" s="49"/>
      <c r="K289" s="49"/>
      <c r="L289" s="49"/>
      <c r="M289" s="49"/>
      <c r="N289" s="1"/>
      <c r="O289" s="1"/>
      <c r="P289" s="1"/>
      <c r="Q289" s="1"/>
      <c r="R289" s="1"/>
      <c r="S289" s="1"/>
      <c r="T289" s="1"/>
      <c r="U289" s="1"/>
      <c r="V289" s="1"/>
      <c r="W289" s="1"/>
      <c r="X289" s="1"/>
      <c r="Y289" s="1"/>
      <c r="Z289" s="1"/>
      <c r="AA289" s="1"/>
      <c r="AB289" s="1"/>
    </row>
    <row r="290" ht="12.75" customHeight="1">
      <c r="A290" s="1"/>
      <c r="B290" s="146"/>
      <c r="C290" s="150"/>
      <c r="D290" s="151"/>
      <c r="E290" s="261"/>
      <c r="F290" s="49"/>
      <c r="G290" s="24"/>
      <c r="H290" s="49"/>
      <c r="I290" s="49"/>
      <c r="J290" s="49"/>
      <c r="K290" s="49"/>
      <c r="L290" s="49"/>
      <c r="M290" s="49"/>
      <c r="N290" s="1"/>
      <c r="O290" s="1"/>
      <c r="P290" s="1"/>
      <c r="Q290" s="1"/>
      <c r="R290" s="1"/>
      <c r="S290" s="1"/>
      <c r="T290" s="1"/>
      <c r="U290" s="1"/>
      <c r="V290" s="1"/>
      <c r="W290" s="1"/>
      <c r="X290" s="1"/>
      <c r="Y290" s="1"/>
      <c r="Z290" s="1"/>
      <c r="AA290" s="1"/>
      <c r="AB290" s="1"/>
    </row>
    <row r="291" ht="12.75" customHeight="1">
      <c r="A291" s="1"/>
      <c r="B291" s="146"/>
      <c r="C291" s="150"/>
      <c r="D291" s="151"/>
      <c r="E291" s="261"/>
      <c r="F291" s="49"/>
      <c r="G291" s="24"/>
      <c r="H291" s="49"/>
      <c r="I291" s="49"/>
      <c r="J291" s="49"/>
      <c r="K291" s="49"/>
      <c r="L291" s="49"/>
      <c r="M291" s="49"/>
      <c r="N291" s="1"/>
      <c r="O291" s="1"/>
      <c r="P291" s="1"/>
      <c r="Q291" s="1"/>
      <c r="R291" s="1"/>
      <c r="S291" s="1"/>
      <c r="T291" s="1"/>
      <c r="U291" s="1"/>
      <c r="V291" s="1"/>
      <c r="W291" s="1"/>
      <c r="X291" s="1"/>
      <c r="Y291" s="1"/>
      <c r="Z291" s="1"/>
      <c r="AA291" s="1"/>
      <c r="AB291" s="1"/>
    </row>
    <row r="292" ht="12.75" customHeight="1">
      <c r="A292" s="1"/>
      <c r="B292" s="146"/>
      <c r="C292" s="150"/>
      <c r="D292" s="151"/>
      <c r="E292" s="261"/>
      <c r="F292" s="49"/>
      <c r="G292" s="24"/>
      <c r="H292" s="49"/>
      <c r="I292" s="49"/>
      <c r="J292" s="49"/>
      <c r="K292" s="49"/>
      <c r="L292" s="49"/>
      <c r="M292" s="49"/>
      <c r="N292" s="1"/>
      <c r="O292" s="1"/>
      <c r="P292" s="1"/>
      <c r="Q292" s="1"/>
      <c r="R292" s="1"/>
      <c r="S292" s="1"/>
      <c r="T292" s="1"/>
      <c r="U292" s="1"/>
      <c r="V292" s="1"/>
      <c r="W292" s="1"/>
      <c r="X292" s="1"/>
      <c r="Y292" s="1"/>
      <c r="Z292" s="1"/>
      <c r="AA292" s="1"/>
      <c r="AB292" s="1"/>
    </row>
    <row r="293" ht="12.75" customHeight="1">
      <c r="A293" s="1"/>
      <c r="B293" s="146"/>
      <c r="C293" s="150"/>
      <c r="D293" s="151"/>
      <c r="E293" s="261"/>
      <c r="F293" s="49"/>
      <c r="G293" s="24"/>
      <c r="H293" s="49"/>
      <c r="I293" s="49"/>
      <c r="J293" s="49"/>
      <c r="K293" s="49"/>
      <c r="L293" s="49"/>
      <c r="M293" s="49"/>
      <c r="N293" s="1"/>
      <c r="O293" s="1"/>
      <c r="P293" s="1"/>
      <c r="Q293" s="1"/>
      <c r="R293" s="1"/>
      <c r="S293" s="1"/>
      <c r="T293" s="1"/>
      <c r="U293" s="1"/>
      <c r="V293" s="1"/>
      <c r="W293" s="1"/>
      <c r="X293" s="1"/>
      <c r="Y293" s="1"/>
      <c r="Z293" s="1"/>
      <c r="AA293" s="1"/>
      <c r="AB293" s="1"/>
    </row>
    <row r="294" ht="12.75" customHeight="1">
      <c r="A294" s="1"/>
      <c r="B294" s="146"/>
      <c r="C294" s="150"/>
      <c r="D294" s="151"/>
      <c r="E294" s="261"/>
      <c r="F294" s="49"/>
      <c r="G294" s="24"/>
      <c r="H294" s="49"/>
      <c r="I294" s="49"/>
      <c r="J294" s="49"/>
      <c r="K294" s="49"/>
      <c r="L294" s="49"/>
      <c r="M294" s="49"/>
      <c r="N294" s="1"/>
      <c r="O294" s="1"/>
      <c r="P294" s="1"/>
      <c r="Q294" s="1"/>
      <c r="R294" s="1"/>
      <c r="S294" s="1"/>
      <c r="T294" s="1"/>
      <c r="U294" s="1"/>
      <c r="V294" s="1"/>
      <c r="W294" s="1"/>
      <c r="X294" s="1"/>
      <c r="Y294" s="1"/>
      <c r="Z294" s="1"/>
      <c r="AA294" s="1"/>
      <c r="AB294" s="1"/>
    </row>
    <row r="295" ht="12.75" customHeight="1">
      <c r="A295" s="1"/>
      <c r="B295" s="146"/>
      <c r="C295" s="150"/>
      <c r="D295" s="151"/>
      <c r="E295" s="261"/>
      <c r="F295" s="49"/>
      <c r="G295" s="24"/>
      <c r="H295" s="49"/>
      <c r="I295" s="49"/>
      <c r="J295" s="49"/>
      <c r="K295" s="49"/>
      <c r="L295" s="49"/>
      <c r="M295" s="49"/>
      <c r="N295" s="1"/>
      <c r="O295" s="1"/>
      <c r="P295" s="1"/>
      <c r="Q295" s="1"/>
      <c r="R295" s="1"/>
      <c r="S295" s="1"/>
      <c r="T295" s="1"/>
      <c r="U295" s="1"/>
      <c r="V295" s="1"/>
      <c r="W295" s="1"/>
      <c r="X295" s="1"/>
      <c r="Y295" s="1"/>
      <c r="Z295" s="1"/>
      <c r="AA295" s="1"/>
      <c r="AB295" s="1"/>
    </row>
    <row r="296" ht="12.75" customHeight="1">
      <c r="A296" s="1"/>
      <c r="B296" s="146"/>
      <c r="C296" s="150"/>
      <c r="D296" s="151"/>
      <c r="E296" s="261"/>
      <c r="F296" s="49"/>
      <c r="G296" s="24"/>
      <c r="H296" s="49"/>
      <c r="I296" s="49"/>
      <c r="J296" s="49"/>
      <c r="K296" s="49"/>
      <c r="L296" s="49"/>
      <c r="M296" s="49"/>
      <c r="N296" s="1"/>
      <c r="O296" s="1"/>
      <c r="P296" s="1"/>
      <c r="Q296" s="1"/>
      <c r="R296" s="1"/>
      <c r="S296" s="1"/>
      <c r="T296" s="1"/>
      <c r="U296" s="1"/>
      <c r="V296" s="1"/>
      <c r="W296" s="1"/>
      <c r="X296" s="1"/>
      <c r="Y296" s="1"/>
      <c r="Z296" s="1"/>
      <c r="AA296" s="1"/>
      <c r="AB296" s="1"/>
    </row>
    <row r="297" ht="12.75" customHeight="1">
      <c r="A297" s="1"/>
      <c r="B297" s="146"/>
      <c r="C297" s="150"/>
      <c r="D297" s="151"/>
      <c r="E297" s="261"/>
      <c r="F297" s="49"/>
      <c r="G297" s="24"/>
      <c r="H297" s="49"/>
      <c r="I297" s="49"/>
      <c r="J297" s="49"/>
      <c r="K297" s="49"/>
      <c r="L297" s="49"/>
      <c r="M297" s="49"/>
      <c r="N297" s="1"/>
      <c r="O297" s="1"/>
      <c r="P297" s="1"/>
      <c r="Q297" s="1"/>
      <c r="R297" s="1"/>
      <c r="S297" s="1"/>
      <c r="T297" s="1"/>
      <c r="U297" s="1"/>
      <c r="V297" s="1"/>
      <c r="W297" s="1"/>
      <c r="X297" s="1"/>
      <c r="Y297" s="1"/>
      <c r="Z297" s="1"/>
      <c r="AA297" s="1"/>
      <c r="AB297" s="1"/>
    </row>
    <row r="298" ht="12.75" customHeight="1">
      <c r="A298" s="1"/>
      <c r="B298" s="146"/>
      <c r="C298" s="150"/>
      <c r="D298" s="151"/>
      <c r="E298" s="261"/>
      <c r="F298" s="49"/>
      <c r="G298" s="24"/>
      <c r="H298" s="49"/>
      <c r="I298" s="49"/>
      <c r="J298" s="49"/>
      <c r="K298" s="49"/>
      <c r="L298" s="49"/>
      <c r="M298" s="49"/>
      <c r="N298" s="1"/>
      <c r="O298" s="1"/>
      <c r="P298" s="1"/>
      <c r="Q298" s="1"/>
      <c r="R298" s="1"/>
      <c r="S298" s="1"/>
      <c r="T298" s="1"/>
      <c r="U298" s="1"/>
      <c r="V298" s="1"/>
      <c r="W298" s="1"/>
      <c r="X298" s="1"/>
      <c r="Y298" s="1"/>
      <c r="Z298" s="1"/>
      <c r="AA298" s="1"/>
      <c r="AB298" s="1"/>
    </row>
    <row r="299" ht="12.75" customHeight="1">
      <c r="A299" s="1"/>
      <c r="B299" s="146"/>
      <c r="C299" s="150"/>
      <c r="D299" s="151"/>
      <c r="E299" s="261"/>
      <c r="F299" s="49"/>
      <c r="G299" s="24"/>
      <c r="H299" s="49"/>
      <c r="I299" s="49"/>
      <c r="J299" s="49"/>
      <c r="K299" s="49"/>
      <c r="L299" s="49"/>
      <c r="M299" s="49"/>
      <c r="N299" s="1"/>
      <c r="O299" s="1"/>
      <c r="P299" s="1"/>
      <c r="Q299" s="1"/>
      <c r="R299" s="1"/>
      <c r="S299" s="1"/>
      <c r="T299" s="1"/>
      <c r="U299" s="1"/>
      <c r="V299" s="1"/>
      <c r="W299" s="1"/>
      <c r="X299" s="1"/>
      <c r="Y299" s="1"/>
      <c r="Z299" s="1"/>
      <c r="AA299" s="1"/>
      <c r="AB299" s="1"/>
    </row>
    <row r="300" ht="12.75" customHeight="1">
      <c r="A300" s="1"/>
      <c r="B300" s="146"/>
      <c r="C300" s="150"/>
      <c r="D300" s="151"/>
      <c r="E300" s="261"/>
      <c r="F300" s="49"/>
      <c r="G300" s="24"/>
      <c r="H300" s="49"/>
      <c r="I300" s="49"/>
      <c r="J300" s="49"/>
      <c r="K300" s="49"/>
      <c r="L300" s="49"/>
      <c r="M300" s="49"/>
      <c r="N300" s="1"/>
      <c r="O300" s="1"/>
      <c r="P300" s="1"/>
      <c r="Q300" s="1"/>
      <c r="R300" s="1"/>
      <c r="S300" s="1"/>
      <c r="T300" s="1"/>
      <c r="U300" s="1"/>
      <c r="V300" s="1"/>
      <c r="W300" s="1"/>
      <c r="X300" s="1"/>
      <c r="Y300" s="1"/>
      <c r="Z300" s="1"/>
      <c r="AA300" s="1"/>
      <c r="AB300" s="1"/>
    </row>
    <row r="301" ht="12.75" customHeight="1">
      <c r="A301" s="1"/>
      <c r="B301" s="146"/>
      <c r="C301" s="150"/>
      <c r="D301" s="151"/>
      <c r="E301" s="261"/>
      <c r="F301" s="49"/>
      <c r="G301" s="24"/>
      <c r="H301" s="49"/>
      <c r="I301" s="49"/>
      <c r="J301" s="49"/>
      <c r="K301" s="49"/>
      <c r="L301" s="49"/>
      <c r="M301" s="49"/>
      <c r="N301" s="1"/>
      <c r="O301" s="1"/>
      <c r="P301" s="1"/>
      <c r="Q301" s="1"/>
      <c r="R301" s="1"/>
      <c r="S301" s="1"/>
      <c r="T301" s="1"/>
      <c r="U301" s="1"/>
      <c r="V301" s="1"/>
      <c r="W301" s="1"/>
      <c r="X301" s="1"/>
      <c r="Y301" s="1"/>
      <c r="Z301" s="1"/>
      <c r="AA301" s="1"/>
      <c r="AB301" s="1"/>
    </row>
    <row r="302" ht="12.75" customHeight="1">
      <c r="A302" s="1"/>
      <c r="B302" s="146"/>
      <c r="C302" s="150"/>
      <c r="D302" s="151"/>
      <c r="E302" s="261"/>
      <c r="F302" s="49"/>
      <c r="G302" s="24"/>
      <c r="H302" s="49"/>
      <c r="I302" s="49"/>
      <c r="J302" s="49"/>
      <c r="K302" s="49"/>
      <c r="L302" s="49"/>
      <c r="M302" s="49"/>
      <c r="N302" s="1"/>
      <c r="O302" s="1"/>
      <c r="P302" s="1"/>
      <c r="Q302" s="1"/>
      <c r="R302" s="1"/>
      <c r="S302" s="1"/>
      <c r="T302" s="1"/>
      <c r="U302" s="1"/>
      <c r="V302" s="1"/>
      <c r="W302" s="1"/>
      <c r="X302" s="1"/>
      <c r="Y302" s="1"/>
      <c r="Z302" s="1"/>
      <c r="AA302" s="1"/>
      <c r="AB302" s="1"/>
    </row>
    <row r="303" ht="12.75" customHeight="1">
      <c r="A303" s="1"/>
      <c r="B303" s="146"/>
      <c r="C303" s="150"/>
      <c r="D303" s="151"/>
      <c r="E303" s="261"/>
      <c r="F303" s="49"/>
      <c r="G303" s="24"/>
      <c r="H303" s="49"/>
      <c r="I303" s="49"/>
      <c r="J303" s="49"/>
      <c r="K303" s="49"/>
      <c r="L303" s="49"/>
      <c r="M303" s="49"/>
      <c r="N303" s="1"/>
      <c r="O303" s="1"/>
      <c r="P303" s="1"/>
      <c r="Q303" s="1"/>
      <c r="R303" s="1"/>
      <c r="S303" s="1"/>
      <c r="T303" s="1"/>
      <c r="U303" s="1"/>
      <c r="V303" s="1"/>
      <c r="W303" s="1"/>
      <c r="X303" s="1"/>
      <c r="Y303" s="1"/>
      <c r="Z303" s="1"/>
      <c r="AA303" s="1"/>
      <c r="AB303" s="1"/>
    </row>
    <row r="304" ht="12.75" customHeight="1">
      <c r="A304" s="1"/>
      <c r="B304" s="146"/>
      <c r="C304" s="150"/>
      <c r="D304" s="151"/>
      <c r="E304" s="261"/>
      <c r="F304" s="49"/>
      <c r="G304" s="24"/>
      <c r="H304" s="49"/>
      <c r="I304" s="49"/>
      <c r="J304" s="49"/>
      <c r="K304" s="49"/>
      <c r="L304" s="49"/>
      <c r="M304" s="49"/>
      <c r="N304" s="1"/>
      <c r="O304" s="1"/>
      <c r="P304" s="1"/>
      <c r="Q304" s="1"/>
      <c r="R304" s="1"/>
      <c r="S304" s="1"/>
      <c r="T304" s="1"/>
      <c r="U304" s="1"/>
      <c r="V304" s="1"/>
      <c r="W304" s="1"/>
      <c r="X304" s="1"/>
      <c r="Y304" s="1"/>
      <c r="Z304" s="1"/>
      <c r="AA304" s="1"/>
      <c r="AB304" s="1"/>
    </row>
    <row r="305" ht="12.75" customHeight="1">
      <c r="A305" s="1"/>
      <c r="B305" s="146"/>
      <c r="C305" s="150"/>
      <c r="D305" s="151"/>
      <c r="E305" s="261"/>
      <c r="F305" s="49"/>
      <c r="G305" s="24"/>
      <c r="H305" s="49"/>
      <c r="I305" s="49"/>
      <c r="J305" s="49"/>
      <c r="K305" s="49"/>
      <c r="L305" s="49"/>
      <c r="M305" s="49"/>
      <c r="N305" s="1"/>
      <c r="O305" s="1"/>
      <c r="P305" s="1"/>
      <c r="Q305" s="1"/>
      <c r="R305" s="1"/>
      <c r="S305" s="1"/>
      <c r="T305" s="1"/>
      <c r="U305" s="1"/>
      <c r="V305" s="1"/>
      <c r="W305" s="1"/>
      <c r="X305" s="1"/>
      <c r="Y305" s="1"/>
      <c r="Z305" s="1"/>
      <c r="AA305" s="1"/>
      <c r="AB305" s="1"/>
    </row>
    <row r="306" ht="12.75" customHeight="1">
      <c r="A306" s="1"/>
      <c r="B306" s="146"/>
      <c r="C306" s="150"/>
      <c r="D306" s="151"/>
      <c r="E306" s="261"/>
      <c r="F306" s="49"/>
      <c r="G306" s="24"/>
      <c r="H306" s="49"/>
      <c r="I306" s="49"/>
      <c r="J306" s="49"/>
      <c r="K306" s="49"/>
      <c r="L306" s="49"/>
      <c r="M306" s="49"/>
      <c r="N306" s="1"/>
      <c r="O306" s="1"/>
      <c r="P306" s="1"/>
      <c r="Q306" s="1"/>
      <c r="R306" s="1"/>
      <c r="S306" s="1"/>
      <c r="T306" s="1"/>
      <c r="U306" s="1"/>
      <c r="V306" s="1"/>
      <c r="W306" s="1"/>
      <c r="X306" s="1"/>
      <c r="Y306" s="1"/>
      <c r="Z306" s="1"/>
      <c r="AA306" s="1"/>
      <c r="AB306" s="1"/>
    </row>
    <row r="307" ht="12.75" customHeight="1">
      <c r="A307" s="1"/>
      <c r="B307" s="146"/>
      <c r="C307" s="150"/>
      <c r="D307" s="151"/>
      <c r="E307" s="261"/>
      <c r="F307" s="49"/>
      <c r="G307" s="24"/>
      <c r="H307" s="49"/>
      <c r="I307" s="49"/>
      <c r="J307" s="49"/>
      <c r="K307" s="49"/>
      <c r="L307" s="49"/>
      <c r="M307" s="49"/>
      <c r="N307" s="1"/>
      <c r="O307" s="1"/>
      <c r="P307" s="1"/>
      <c r="Q307" s="1"/>
      <c r="R307" s="1"/>
      <c r="S307" s="1"/>
      <c r="T307" s="1"/>
      <c r="U307" s="1"/>
      <c r="V307" s="1"/>
      <c r="W307" s="1"/>
      <c r="X307" s="1"/>
      <c r="Y307" s="1"/>
      <c r="Z307" s="1"/>
      <c r="AA307" s="1"/>
      <c r="AB307" s="1"/>
    </row>
    <row r="308" ht="12.75" customHeight="1">
      <c r="A308" s="1"/>
      <c r="B308" s="146"/>
      <c r="C308" s="150"/>
      <c r="D308" s="151"/>
      <c r="E308" s="261"/>
      <c r="F308" s="49"/>
      <c r="G308" s="24"/>
      <c r="H308" s="49"/>
      <c r="I308" s="49"/>
      <c r="J308" s="49"/>
      <c r="K308" s="49"/>
      <c r="L308" s="49"/>
      <c r="M308" s="49"/>
      <c r="N308" s="1"/>
      <c r="O308" s="1"/>
      <c r="P308" s="1"/>
      <c r="Q308" s="1"/>
      <c r="R308" s="1"/>
      <c r="S308" s="1"/>
      <c r="T308" s="1"/>
      <c r="U308" s="1"/>
      <c r="V308" s="1"/>
      <c r="W308" s="1"/>
      <c r="X308" s="1"/>
      <c r="Y308" s="1"/>
      <c r="Z308" s="1"/>
      <c r="AA308" s="1"/>
      <c r="AB308" s="1"/>
    </row>
    <row r="309" ht="12.75" customHeight="1">
      <c r="A309" s="1"/>
      <c r="B309" s="146"/>
      <c r="C309" s="150"/>
      <c r="D309" s="151"/>
      <c r="E309" s="261"/>
      <c r="F309" s="49"/>
      <c r="G309" s="24"/>
      <c r="H309" s="49"/>
      <c r="I309" s="49"/>
      <c r="J309" s="49"/>
      <c r="K309" s="49"/>
      <c r="L309" s="49"/>
      <c r="M309" s="49"/>
      <c r="N309" s="1"/>
      <c r="O309" s="1"/>
      <c r="P309" s="1"/>
      <c r="Q309" s="1"/>
      <c r="R309" s="1"/>
      <c r="S309" s="1"/>
      <c r="T309" s="1"/>
      <c r="U309" s="1"/>
      <c r="V309" s="1"/>
      <c r="W309" s="1"/>
      <c r="X309" s="1"/>
      <c r="Y309" s="1"/>
      <c r="Z309" s="1"/>
      <c r="AA309" s="1"/>
      <c r="AB309" s="1"/>
    </row>
    <row r="310" ht="12.75" customHeight="1">
      <c r="A310" s="1"/>
      <c r="B310" s="146"/>
      <c r="C310" s="150"/>
      <c r="D310" s="151"/>
      <c r="E310" s="261"/>
      <c r="F310" s="49"/>
      <c r="G310" s="24"/>
      <c r="H310" s="49"/>
      <c r="I310" s="49"/>
      <c r="J310" s="49"/>
      <c r="K310" s="49"/>
      <c r="L310" s="49"/>
      <c r="M310" s="49"/>
      <c r="N310" s="1"/>
      <c r="O310" s="1"/>
      <c r="P310" s="1"/>
      <c r="Q310" s="1"/>
      <c r="R310" s="1"/>
      <c r="S310" s="1"/>
      <c r="T310" s="1"/>
      <c r="U310" s="1"/>
      <c r="V310" s="1"/>
      <c r="W310" s="1"/>
      <c r="X310" s="1"/>
      <c r="Y310" s="1"/>
      <c r="Z310" s="1"/>
      <c r="AA310" s="1"/>
      <c r="AB310" s="1"/>
    </row>
    <row r="311" ht="12.75" customHeight="1">
      <c r="A311" s="1"/>
      <c r="B311" s="146"/>
      <c r="C311" s="150"/>
      <c r="D311" s="151"/>
      <c r="E311" s="261"/>
      <c r="F311" s="49"/>
      <c r="G311" s="24"/>
      <c r="H311" s="49"/>
      <c r="I311" s="49"/>
      <c r="J311" s="49"/>
      <c r="K311" s="49"/>
      <c r="L311" s="49"/>
      <c r="M311" s="49"/>
      <c r="N311" s="1"/>
      <c r="O311" s="1"/>
      <c r="P311" s="1"/>
      <c r="Q311" s="1"/>
      <c r="R311" s="1"/>
      <c r="S311" s="1"/>
      <c r="T311" s="1"/>
      <c r="U311" s="1"/>
      <c r="V311" s="1"/>
      <c r="W311" s="1"/>
      <c r="X311" s="1"/>
      <c r="Y311" s="1"/>
      <c r="Z311" s="1"/>
      <c r="AA311" s="1"/>
      <c r="AB311" s="1"/>
    </row>
    <row r="312" ht="12.75" customHeight="1">
      <c r="A312" s="1"/>
      <c r="B312" s="146"/>
      <c r="C312" s="150"/>
      <c r="D312" s="151"/>
      <c r="E312" s="261"/>
      <c r="F312" s="49"/>
      <c r="G312" s="24"/>
      <c r="H312" s="49"/>
      <c r="I312" s="49"/>
      <c r="J312" s="49"/>
      <c r="K312" s="49"/>
      <c r="L312" s="49"/>
      <c r="M312" s="49"/>
      <c r="N312" s="1"/>
      <c r="O312" s="1"/>
      <c r="P312" s="1"/>
      <c r="Q312" s="1"/>
      <c r="R312" s="1"/>
      <c r="S312" s="1"/>
      <c r="T312" s="1"/>
      <c r="U312" s="1"/>
      <c r="V312" s="1"/>
      <c r="W312" s="1"/>
      <c r="X312" s="1"/>
      <c r="Y312" s="1"/>
      <c r="Z312" s="1"/>
      <c r="AA312" s="1"/>
      <c r="AB312" s="1"/>
    </row>
    <row r="313" ht="12.75" customHeight="1">
      <c r="A313" s="1"/>
      <c r="B313" s="146"/>
      <c r="C313" s="150"/>
      <c r="D313" s="151"/>
      <c r="E313" s="261"/>
      <c r="F313" s="49"/>
      <c r="G313" s="24"/>
      <c r="H313" s="49"/>
      <c r="I313" s="49"/>
      <c r="J313" s="49"/>
      <c r="K313" s="49"/>
      <c r="L313" s="49"/>
      <c r="M313" s="49"/>
      <c r="N313" s="1"/>
      <c r="O313" s="1"/>
      <c r="P313" s="1"/>
      <c r="Q313" s="1"/>
      <c r="R313" s="1"/>
      <c r="S313" s="1"/>
      <c r="T313" s="1"/>
      <c r="U313" s="1"/>
      <c r="V313" s="1"/>
      <c r="W313" s="1"/>
      <c r="X313" s="1"/>
      <c r="Y313" s="1"/>
      <c r="Z313" s="1"/>
      <c r="AA313" s="1"/>
      <c r="AB313" s="1"/>
    </row>
    <row r="314" ht="12.75" customHeight="1">
      <c r="A314" s="1"/>
      <c r="B314" s="146"/>
      <c r="C314" s="150"/>
      <c r="D314" s="151"/>
      <c r="E314" s="261"/>
      <c r="F314" s="49"/>
      <c r="G314" s="24"/>
      <c r="H314" s="49"/>
      <c r="I314" s="49"/>
      <c r="J314" s="49"/>
      <c r="K314" s="49"/>
      <c r="L314" s="49"/>
      <c r="M314" s="49"/>
      <c r="N314" s="1"/>
      <c r="O314" s="1"/>
      <c r="P314" s="1"/>
      <c r="Q314" s="1"/>
      <c r="R314" s="1"/>
      <c r="S314" s="1"/>
      <c r="T314" s="1"/>
      <c r="U314" s="1"/>
      <c r="V314" s="1"/>
      <c r="W314" s="1"/>
      <c r="X314" s="1"/>
      <c r="Y314" s="1"/>
      <c r="Z314" s="1"/>
      <c r="AA314" s="1"/>
      <c r="AB314" s="1"/>
    </row>
    <row r="315" ht="12.75" customHeight="1">
      <c r="A315" s="1"/>
      <c r="B315" s="146"/>
      <c r="C315" s="150"/>
      <c r="D315" s="151"/>
      <c r="E315" s="261"/>
      <c r="F315" s="49"/>
      <c r="G315" s="24"/>
      <c r="H315" s="49"/>
      <c r="I315" s="49"/>
      <c r="J315" s="49"/>
      <c r="K315" s="49"/>
      <c r="L315" s="49"/>
      <c r="M315" s="49"/>
      <c r="N315" s="1"/>
      <c r="O315" s="1"/>
      <c r="P315" s="1"/>
      <c r="Q315" s="1"/>
      <c r="R315" s="1"/>
      <c r="S315" s="1"/>
      <c r="T315" s="1"/>
      <c r="U315" s="1"/>
      <c r="V315" s="1"/>
      <c r="W315" s="1"/>
      <c r="X315" s="1"/>
      <c r="Y315" s="1"/>
      <c r="Z315" s="1"/>
      <c r="AA315" s="1"/>
      <c r="AB315" s="1"/>
    </row>
    <row r="316" ht="12.75" customHeight="1">
      <c r="A316" s="1"/>
      <c r="B316" s="146"/>
      <c r="C316" s="150"/>
      <c r="D316" s="151"/>
      <c r="E316" s="261"/>
      <c r="F316" s="49"/>
      <c r="G316" s="24"/>
      <c r="H316" s="49"/>
      <c r="I316" s="49"/>
      <c r="J316" s="49"/>
      <c r="K316" s="49"/>
      <c r="L316" s="49"/>
      <c r="M316" s="49"/>
      <c r="N316" s="1"/>
      <c r="O316" s="1"/>
      <c r="P316" s="1"/>
      <c r="Q316" s="1"/>
      <c r="R316" s="1"/>
      <c r="S316" s="1"/>
      <c r="T316" s="1"/>
      <c r="U316" s="1"/>
      <c r="V316" s="1"/>
      <c r="W316" s="1"/>
      <c r="X316" s="1"/>
      <c r="Y316" s="1"/>
      <c r="Z316" s="1"/>
      <c r="AA316" s="1"/>
      <c r="AB316" s="1"/>
    </row>
    <row r="317" ht="12.75" customHeight="1">
      <c r="A317" s="1"/>
      <c r="B317" s="146"/>
      <c r="C317" s="150"/>
      <c r="D317" s="151"/>
      <c r="E317" s="261"/>
      <c r="F317" s="49"/>
      <c r="G317" s="24"/>
      <c r="H317" s="49"/>
      <c r="I317" s="49"/>
      <c r="J317" s="49"/>
      <c r="K317" s="49"/>
      <c r="L317" s="49"/>
      <c r="M317" s="49"/>
      <c r="N317" s="1"/>
      <c r="O317" s="1"/>
      <c r="P317" s="1"/>
      <c r="Q317" s="1"/>
      <c r="R317" s="1"/>
      <c r="S317" s="1"/>
      <c r="T317" s="1"/>
      <c r="U317" s="1"/>
      <c r="V317" s="1"/>
      <c r="W317" s="1"/>
      <c r="X317" s="1"/>
      <c r="Y317" s="1"/>
      <c r="Z317" s="1"/>
      <c r="AA317" s="1"/>
      <c r="AB317" s="1"/>
    </row>
    <row r="318" ht="12.75" customHeight="1">
      <c r="A318" s="1"/>
      <c r="B318" s="146"/>
      <c r="C318" s="150"/>
      <c r="D318" s="151"/>
      <c r="E318" s="261"/>
      <c r="F318" s="49"/>
      <c r="G318" s="24"/>
      <c r="H318" s="49"/>
      <c r="I318" s="49"/>
      <c r="J318" s="49"/>
      <c r="K318" s="49"/>
      <c r="L318" s="49"/>
      <c r="M318" s="49"/>
      <c r="N318" s="1"/>
      <c r="O318" s="1"/>
      <c r="P318" s="1"/>
      <c r="Q318" s="1"/>
      <c r="R318" s="1"/>
      <c r="S318" s="1"/>
      <c r="T318" s="1"/>
      <c r="U318" s="1"/>
      <c r="V318" s="1"/>
      <c r="W318" s="1"/>
      <c r="X318" s="1"/>
      <c r="Y318" s="1"/>
      <c r="Z318" s="1"/>
      <c r="AA318" s="1"/>
      <c r="AB318" s="1"/>
    </row>
    <row r="319" ht="12.75" customHeight="1">
      <c r="A319" s="1"/>
      <c r="B319" s="146"/>
      <c r="C319" s="150"/>
      <c r="D319" s="151"/>
      <c r="E319" s="261"/>
      <c r="F319" s="49"/>
      <c r="G319" s="24"/>
      <c r="H319" s="49"/>
      <c r="I319" s="49"/>
      <c r="J319" s="49"/>
      <c r="K319" s="49"/>
      <c r="L319" s="49"/>
      <c r="M319" s="49"/>
      <c r="N319" s="1"/>
      <c r="O319" s="1"/>
      <c r="P319" s="1"/>
      <c r="Q319" s="1"/>
      <c r="R319" s="1"/>
      <c r="S319" s="1"/>
      <c r="T319" s="1"/>
      <c r="U319" s="1"/>
      <c r="V319" s="1"/>
      <c r="W319" s="1"/>
      <c r="X319" s="1"/>
      <c r="Y319" s="1"/>
      <c r="Z319" s="1"/>
      <c r="AA319" s="1"/>
      <c r="AB319" s="1"/>
    </row>
    <row r="320" ht="12.75" customHeight="1">
      <c r="A320" s="1"/>
      <c r="B320" s="146"/>
      <c r="C320" s="150"/>
      <c r="D320" s="151"/>
      <c r="E320" s="261"/>
      <c r="F320" s="49"/>
      <c r="G320" s="24"/>
      <c r="H320" s="49"/>
      <c r="I320" s="49"/>
      <c r="J320" s="49"/>
      <c r="K320" s="49"/>
      <c r="L320" s="49"/>
      <c r="M320" s="49"/>
      <c r="N320" s="1"/>
      <c r="O320" s="1"/>
      <c r="P320" s="1"/>
      <c r="Q320" s="1"/>
      <c r="R320" s="1"/>
      <c r="S320" s="1"/>
      <c r="T320" s="1"/>
      <c r="U320" s="1"/>
      <c r="V320" s="1"/>
      <c r="W320" s="1"/>
      <c r="X320" s="1"/>
      <c r="Y320" s="1"/>
      <c r="Z320" s="1"/>
      <c r="AA320" s="1"/>
      <c r="AB320" s="1"/>
    </row>
    <row r="321" ht="12.75" customHeight="1">
      <c r="A321" s="1"/>
      <c r="B321" s="146"/>
      <c r="C321" s="150"/>
      <c r="D321" s="151"/>
      <c r="E321" s="261"/>
      <c r="F321" s="49"/>
      <c r="G321" s="24"/>
      <c r="H321" s="49"/>
      <c r="I321" s="49"/>
      <c r="J321" s="49"/>
      <c r="K321" s="49"/>
      <c r="L321" s="49"/>
      <c r="M321" s="49"/>
      <c r="N321" s="1"/>
      <c r="O321" s="1"/>
      <c r="P321" s="1"/>
      <c r="Q321" s="1"/>
      <c r="R321" s="1"/>
      <c r="S321" s="1"/>
      <c r="T321" s="1"/>
      <c r="U321" s="1"/>
      <c r="V321" s="1"/>
      <c r="W321" s="1"/>
      <c r="X321" s="1"/>
      <c r="Y321" s="1"/>
      <c r="Z321" s="1"/>
      <c r="AA321" s="1"/>
      <c r="AB321" s="1"/>
    </row>
    <row r="322" ht="12.75" customHeight="1">
      <c r="A322" s="1"/>
      <c r="B322" s="146"/>
      <c r="C322" s="150"/>
      <c r="D322" s="151"/>
      <c r="E322" s="261"/>
      <c r="F322" s="49"/>
      <c r="G322" s="24"/>
      <c r="H322" s="49"/>
      <c r="I322" s="49"/>
      <c r="J322" s="49"/>
      <c r="K322" s="49"/>
      <c r="L322" s="49"/>
      <c r="M322" s="49"/>
      <c r="N322" s="1"/>
      <c r="O322" s="1"/>
      <c r="P322" s="1"/>
      <c r="Q322" s="1"/>
      <c r="R322" s="1"/>
      <c r="S322" s="1"/>
      <c r="T322" s="1"/>
      <c r="U322" s="1"/>
      <c r="V322" s="1"/>
      <c r="W322" s="1"/>
      <c r="X322" s="1"/>
      <c r="Y322" s="1"/>
      <c r="Z322" s="1"/>
      <c r="AA322" s="1"/>
      <c r="AB322" s="1"/>
    </row>
    <row r="323" ht="12.75" customHeight="1">
      <c r="A323" s="1"/>
      <c r="B323" s="146"/>
      <c r="C323" s="150"/>
      <c r="D323" s="151"/>
      <c r="E323" s="261"/>
      <c r="F323" s="49"/>
      <c r="G323" s="24"/>
      <c r="H323" s="49"/>
      <c r="I323" s="49"/>
      <c r="J323" s="49"/>
      <c r="K323" s="49"/>
      <c r="L323" s="49"/>
      <c r="M323" s="49"/>
      <c r="N323" s="1"/>
      <c r="O323" s="1"/>
      <c r="P323" s="1"/>
      <c r="Q323" s="1"/>
      <c r="R323" s="1"/>
      <c r="S323" s="1"/>
      <c r="T323" s="1"/>
      <c r="U323" s="1"/>
      <c r="V323" s="1"/>
      <c r="W323" s="1"/>
      <c r="X323" s="1"/>
      <c r="Y323" s="1"/>
      <c r="Z323" s="1"/>
      <c r="AA323" s="1"/>
      <c r="AB323" s="1"/>
    </row>
    <row r="324" ht="12.75" customHeight="1">
      <c r="A324" s="1"/>
      <c r="B324" s="146"/>
      <c r="C324" s="150"/>
      <c r="D324" s="151"/>
      <c r="E324" s="261"/>
      <c r="F324" s="49"/>
      <c r="G324" s="24"/>
      <c r="H324" s="49"/>
      <c r="I324" s="49"/>
      <c r="J324" s="49"/>
      <c r="K324" s="49"/>
      <c r="L324" s="49"/>
      <c r="M324" s="49"/>
      <c r="N324" s="1"/>
      <c r="O324" s="1"/>
      <c r="P324" s="1"/>
      <c r="Q324" s="1"/>
      <c r="R324" s="1"/>
      <c r="S324" s="1"/>
      <c r="T324" s="1"/>
      <c r="U324" s="1"/>
      <c r="V324" s="1"/>
      <c r="W324" s="1"/>
      <c r="X324" s="1"/>
      <c r="Y324" s="1"/>
      <c r="Z324" s="1"/>
      <c r="AA324" s="1"/>
      <c r="AB324" s="1"/>
    </row>
    <row r="325" ht="12.75" customHeight="1">
      <c r="A325" s="1"/>
      <c r="B325" s="146"/>
      <c r="C325" s="150"/>
      <c r="D325" s="151"/>
      <c r="E325" s="261"/>
      <c r="F325" s="49"/>
      <c r="G325" s="24"/>
      <c r="H325" s="49"/>
      <c r="I325" s="49"/>
      <c r="J325" s="49"/>
      <c r="K325" s="49"/>
      <c r="L325" s="49"/>
      <c r="M325" s="49"/>
      <c r="N325" s="1"/>
      <c r="O325" s="1"/>
      <c r="P325" s="1"/>
      <c r="Q325" s="1"/>
      <c r="R325" s="1"/>
      <c r="S325" s="1"/>
      <c r="T325" s="1"/>
      <c r="U325" s="1"/>
      <c r="V325" s="1"/>
      <c r="W325" s="1"/>
      <c r="X325" s="1"/>
      <c r="Y325" s="1"/>
      <c r="Z325" s="1"/>
      <c r="AA325" s="1"/>
      <c r="AB325" s="1"/>
    </row>
    <row r="326" ht="12.75" customHeight="1">
      <c r="A326" s="1"/>
      <c r="B326" s="146"/>
      <c r="C326" s="150"/>
      <c r="D326" s="151"/>
      <c r="E326" s="261"/>
      <c r="F326" s="49"/>
      <c r="G326" s="24"/>
      <c r="H326" s="49"/>
      <c r="I326" s="49"/>
      <c r="J326" s="49"/>
      <c r="K326" s="49"/>
      <c r="L326" s="49"/>
      <c r="M326" s="49"/>
      <c r="N326" s="1"/>
      <c r="O326" s="1"/>
      <c r="P326" s="1"/>
      <c r="Q326" s="1"/>
      <c r="R326" s="1"/>
      <c r="S326" s="1"/>
      <c r="T326" s="1"/>
      <c r="U326" s="1"/>
      <c r="V326" s="1"/>
      <c r="W326" s="1"/>
      <c r="X326" s="1"/>
      <c r="Y326" s="1"/>
      <c r="Z326" s="1"/>
      <c r="AA326" s="1"/>
      <c r="AB326" s="1"/>
    </row>
    <row r="327" ht="12.75" customHeight="1">
      <c r="A327" s="1"/>
      <c r="B327" s="146"/>
      <c r="C327" s="150"/>
      <c r="D327" s="151"/>
      <c r="E327" s="261"/>
      <c r="F327" s="49"/>
      <c r="G327" s="24"/>
      <c r="H327" s="49"/>
      <c r="I327" s="49"/>
      <c r="J327" s="49"/>
      <c r="K327" s="49"/>
      <c r="L327" s="49"/>
      <c r="M327" s="49"/>
      <c r="N327" s="1"/>
      <c r="O327" s="1"/>
      <c r="P327" s="1"/>
      <c r="Q327" s="1"/>
      <c r="R327" s="1"/>
      <c r="S327" s="1"/>
      <c r="T327" s="1"/>
      <c r="U327" s="1"/>
      <c r="V327" s="1"/>
      <c r="W327" s="1"/>
      <c r="X327" s="1"/>
      <c r="Y327" s="1"/>
      <c r="Z327" s="1"/>
      <c r="AA327" s="1"/>
      <c r="AB327" s="1"/>
    </row>
    <row r="328" ht="12.75" customHeight="1">
      <c r="A328" s="1"/>
      <c r="B328" s="146"/>
      <c r="C328" s="150"/>
      <c r="D328" s="151"/>
      <c r="E328" s="261"/>
      <c r="F328" s="49"/>
      <c r="G328" s="24"/>
      <c r="H328" s="49"/>
      <c r="I328" s="49"/>
      <c r="J328" s="49"/>
      <c r="K328" s="49"/>
      <c r="L328" s="49"/>
      <c r="M328" s="49"/>
      <c r="N328" s="1"/>
      <c r="O328" s="1"/>
      <c r="P328" s="1"/>
      <c r="Q328" s="1"/>
      <c r="R328" s="1"/>
      <c r="S328" s="1"/>
      <c r="T328" s="1"/>
      <c r="U328" s="1"/>
      <c r="V328" s="1"/>
      <c r="W328" s="1"/>
      <c r="X328" s="1"/>
      <c r="Y328" s="1"/>
      <c r="Z328" s="1"/>
      <c r="AA328" s="1"/>
      <c r="AB328" s="1"/>
    </row>
    <row r="329" ht="12.75" customHeight="1">
      <c r="A329" s="1"/>
      <c r="B329" s="146"/>
      <c r="C329" s="150"/>
      <c r="D329" s="151"/>
      <c r="E329" s="261"/>
      <c r="F329" s="49"/>
      <c r="G329" s="24"/>
      <c r="H329" s="49"/>
      <c r="I329" s="49"/>
      <c r="J329" s="49"/>
      <c r="K329" s="49"/>
      <c r="L329" s="49"/>
      <c r="M329" s="49"/>
      <c r="N329" s="1"/>
      <c r="O329" s="1"/>
      <c r="P329" s="1"/>
      <c r="Q329" s="1"/>
      <c r="R329" s="1"/>
      <c r="S329" s="1"/>
      <c r="T329" s="1"/>
      <c r="U329" s="1"/>
      <c r="V329" s="1"/>
      <c r="W329" s="1"/>
      <c r="X329" s="1"/>
      <c r="Y329" s="1"/>
      <c r="Z329" s="1"/>
      <c r="AA329" s="1"/>
      <c r="AB329" s="1"/>
    </row>
    <row r="330" ht="12.75" customHeight="1">
      <c r="A330" s="1"/>
      <c r="B330" s="146"/>
      <c r="C330" s="150"/>
      <c r="D330" s="151"/>
      <c r="E330" s="261"/>
      <c r="F330" s="49"/>
      <c r="G330" s="24"/>
      <c r="H330" s="49"/>
      <c r="I330" s="49"/>
      <c r="J330" s="49"/>
      <c r="K330" s="49"/>
      <c r="L330" s="49"/>
      <c r="M330" s="49"/>
      <c r="N330" s="1"/>
      <c r="O330" s="1"/>
      <c r="P330" s="1"/>
      <c r="Q330" s="1"/>
      <c r="R330" s="1"/>
      <c r="S330" s="1"/>
      <c r="T330" s="1"/>
      <c r="U330" s="1"/>
      <c r="V330" s="1"/>
      <c r="W330" s="1"/>
      <c r="X330" s="1"/>
      <c r="Y330" s="1"/>
      <c r="Z330" s="1"/>
      <c r="AA330" s="1"/>
      <c r="AB330" s="1"/>
    </row>
    <row r="331" ht="12.75" customHeight="1">
      <c r="A331" s="1"/>
      <c r="B331" s="146"/>
      <c r="C331" s="150"/>
      <c r="D331" s="151"/>
      <c r="E331" s="261"/>
      <c r="F331" s="49"/>
      <c r="G331" s="24"/>
      <c r="H331" s="49"/>
      <c r="I331" s="49"/>
      <c r="J331" s="49"/>
      <c r="K331" s="49"/>
      <c r="L331" s="49"/>
      <c r="M331" s="49"/>
      <c r="N331" s="1"/>
      <c r="O331" s="1"/>
      <c r="P331" s="1"/>
      <c r="Q331" s="1"/>
      <c r="R331" s="1"/>
      <c r="S331" s="1"/>
      <c r="T331" s="1"/>
      <c r="U331" s="1"/>
      <c r="V331" s="1"/>
      <c r="W331" s="1"/>
      <c r="X331" s="1"/>
      <c r="Y331" s="1"/>
      <c r="Z331" s="1"/>
      <c r="AA331" s="1"/>
      <c r="AB331" s="1"/>
    </row>
    <row r="332" ht="12.75" customHeight="1">
      <c r="A332" s="1"/>
      <c r="B332" s="146"/>
      <c r="C332" s="150"/>
      <c r="D332" s="151"/>
      <c r="E332" s="261"/>
      <c r="F332" s="49"/>
      <c r="G332" s="24"/>
      <c r="H332" s="49"/>
      <c r="I332" s="49"/>
      <c r="J332" s="49"/>
      <c r="K332" s="49"/>
      <c r="L332" s="49"/>
      <c r="M332" s="49"/>
      <c r="N332" s="1"/>
      <c r="O332" s="1"/>
      <c r="P332" s="1"/>
      <c r="Q332" s="1"/>
      <c r="R332" s="1"/>
      <c r="S332" s="1"/>
      <c r="T332" s="1"/>
      <c r="U332" s="1"/>
      <c r="V332" s="1"/>
      <c r="W332" s="1"/>
      <c r="X332" s="1"/>
      <c r="Y332" s="1"/>
      <c r="Z332" s="1"/>
      <c r="AA332" s="1"/>
      <c r="AB332" s="1"/>
    </row>
    <row r="333" ht="12.75" customHeight="1">
      <c r="A333" s="1"/>
      <c r="B333" s="146"/>
      <c r="C333" s="150"/>
      <c r="D333" s="151"/>
      <c r="E333" s="261"/>
      <c r="F333" s="49"/>
      <c r="G333" s="24"/>
      <c r="H333" s="49"/>
      <c r="I333" s="49"/>
      <c r="J333" s="49"/>
      <c r="K333" s="49"/>
      <c r="L333" s="49"/>
      <c r="M333" s="49"/>
      <c r="N333" s="1"/>
      <c r="O333" s="1"/>
      <c r="P333" s="1"/>
      <c r="Q333" s="1"/>
      <c r="R333" s="1"/>
      <c r="S333" s="1"/>
      <c r="T333" s="1"/>
      <c r="U333" s="1"/>
      <c r="V333" s="1"/>
      <c r="W333" s="1"/>
      <c r="X333" s="1"/>
      <c r="Y333" s="1"/>
      <c r="Z333" s="1"/>
      <c r="AA333" s="1"/>
      <c r="AB333" s="1"/>
    </row>
    <row r="334" ht="12.75" customHeight="1">
      <c r="A334" s="1"/>
      <c r="B334" s="146"/>
      <c r="C334" s="150"/>
      <c r="D334" s="151"/>
      <c r="E334" s="261"/>
      <c r="F334" s="49"/>
      <c r="G334" s="24"/>
      <c r="H334" s="49"/>
      <c r="I334" s="49"/>
      <c r="J334" s="49"/>
      <c r="K334" s="49"/>
      <c r="L334" s="49"/>
      <c r="M334" s="49"/>
      <c r="N334" s="1"/>
      <c r="O334" s="1"/>
      <c r="P334" s="1"/>
      <c r="Q334" s="1"/>
      <c r="R334" s="1"/>
      <c r="S334" s="1"/>
      <c r="T334" s="1"/>
      <c r="U334" s="1"/>
      <c r="V334" s="1"/>
      <c r="W334" s="1"/>
      <c r="X334" s="1"/>
      <c r="Y334" s="1"/>
      <c r="Z334" s="1"/>
      <c r="AA334" s="1"/>
      <c r="AB334" s="1"/>
    </row>
    <row r="335" ht="12.75" customHeight="1">
      <c r="A335" s="1"/>
      <c r="B335" s="146"/>
      <c r="C335" s="150"/>
      <c r="D335" s="151"/>
      <c r="E335" s="261"/>
      <c r="F335" s="49"/>
      <c r="G335" s="24"/>
      <c r="H335" s="49"/>
      <c r="I335" s="49"/>
      <c r="J335" s="49"/>
      <c r="K335" s="49"/>
      <c r="L335" s="49"/>
      <c r="M335" s="49"/>
      <c r="N335" s="1"/>
      <c r="O335" s="1"/>
      <c r="P335" s="1"/>
      <c r="Q335" s="1"/>
      <c r="R335" s="1"/>
      <c r="S335" s="1"/>
      <c r="T335" s="1"/>
      <c r="U335" s="1"/>
      <c r="V335" s="1"/>
      <c r="W335" s="1"/>
      <c r="X335" s="1"/>
      <c r="Y335" s="1"/>
      <c r="Z335" s="1"/>
      <c r="AA335" s="1"/>
      <c r="AB335" s="1"/>
    </row>
    <row r="336" ht="12.75" customHeight="1">
      <c r="A336" s="1"/>
      <c r="B336" s="146"/>
      <c r="C336" s="150"/>
      <c r="D336" s="151"/>
      <c r="E336" s="261"/>
      <c r="F336" s="49"/>
      <c r="G336" s="24"/>
      <c r="H336" s="49"/>
      <c r="I336" s="49"/>
      <c r="J336" s="49"/>
      <c r="K336" s="49"/>
      <c r="L336" s="49"/>
      <c r="M336" s="49"/>
      <c r="N336" s="1"/>
      <c r="O336" s="1"/>
      <c r="P336" s="1"/>
      <c r="Q336" s="1"/>
      <c r="R336" s="1"/>
      <c r="S336" s="1"/>
      <c r="T336" s="1"/>
      <c r="U336" s="1"/>
      <c r="V336" s="1"/>
      <c r="W336" s="1"/>
      <c r="X336" s="1"/>
      <c r="Y336" s="1"/>
      <c r="Z336" s="1"/>
      <c r="AA336" s="1"/>
      <c r="AB336" s="1"/>
    </row>
    <row r="337" ht="12.75" customHeight="1">
      <c r="A337" s="1"/>
      <c r="B337" s="146"/>
      <c r="C337" s="150"/>
      <c r="D337" s="151"/>
      <c r="E337" s="261"/>
      <c r="F337" s="49"/>
      <c r="G337" s="24"/>
      <c r="H337" s="49"/>
      <c r="I337" s="49"/>
      <c r="J337" s="49"/>
      <c r="K337" s="49"/>
      <c r="L337" s="49"/>
      <c r="M337" s="49"/>
      <c r="N337" s="1"/>
      <c r="O337" s="1"/>
      <c r="P337" s="1"/>
      <c r="Q337" s="1"/>
      <c r="R337" s="1"/>
      <c r="S337" s="1"/>
      <c r="T337" s="1"/>
      <c r="U337" s="1"/>
      <c r="V337" s="1"/>
      <c r="W337" s="1"/>
      <c r="X337" s="1"/>
      <c r="Y337" s="1"/>
      <c r="Z337" s="1"/>
      <c r="AA337" s="1"/>
      <c r="AB337" s="1"/>
    </row>
    <row r="338" ht="12.75" customHeight="1">
      <c r="A338" s="1"/>
      <c r="B338" s="146"/>
      <c r="C338" s="150"/>
      <c r="D338" s="151"/>
      <c r="E338" s="261"/>
      <c r="F338" s="49"/>
      <c r="G338" s="24"/>
      <c r="H338" s="49"/>
      <c r="I338" s="49"/>
      <c r="J338" s="49"/>
      <c r="K338" s="49"/>
      <c r="L338" s="49"/>
      <c r="M338" s="49"/>
      <c r="N338" s="1"/>
      <c r="O338" s="1"/>
      <c r="P338" s="1"/>
      <c r="Q338" s="1"/>
      <c r="R338" s="1"/>
      <c r="S338" s="1"/>
      <c r="T338" s="1"/>
      <c r="U338" s="1"/>
      <c r="V338" s="1"/>
      <c r="W338" s="1"/>
      <c r="X338" s="1"/>
      <c r="Y338" s="1"/>
      <c r="Z338" s="1"/>
      <c r="AA338" s="1"/>
      <c r="AB338" s="1"/>
    </row>
    <row r="339" ht="12.75" customHeight="1">
      <c r="A339" s="1"/>
      <c r="B339" s="146"/>
      <c r="C339" s="150"/>
      <c r="D339" s="151"/>
      <c r="E339" s="261"/>
      <c r="F339" s="49"/>
      <c r="G339" s="24"/>
      <c r="H339" s="49"/>
      <c r="I339" s="49"/>
      <c r="J339" s="49"/>
      <c r="K339" s="49"/>
      <c r="L339" s="49"/>
      <c r="M339" s="49"/>
      <c r="N339" s="1"/>
      <c r="O339" s="1"/>
      <c r="P339" s="1"/>
      <c r="Q339" s="1"/>
      <c r="R339" s="1"/>
      <c r="S339" s="1"/>
      <c r="T339" s="1"/>
      <c r="U339" s="1"/>
      <c r="V339" s="1"/>
      <c r="W339" s="1"/>
      <c r="X339" s="1"/>
      <c r="Y339" s="1"/>
      <c r="Z339" s="1"/>
      <c r="AA339" s="1"/>
      <c r="AB339" s="1"/>
    </row>
    <row r="340" ht="12.75" customHeight="1">
      <c r="A340" s="1"/>
      <c r="B340" s="146"/>
      <c r="C340" s="150"/>
      <c r="D340" s="151"/>
      <c r="E340" s="261"/>
      <c r="F340" s="49"/>
      <c r="G340" s="24"/>
      <c r="H340" s="49"/>
      <c r="I340" s="49"/>
      <c r="J340" s="49"/>
      <c r="K340" s="49"/>
      <c r="L340" s="49"/>
      <c r="M340" s="49"/>
      <c r="N340" s="1"/>
      <c r="O340" s="1"/>
      <c r="P340" s="1"/>
      <c r="Q340" s="1"/>
      <c r="R340" s="1"/>
      <c r="S340" s="1"/>
      <c r="T340" s="1"/>
      <c r="U340" s="1"/>
      <c r="V340" s="1"/>
      <c r="W340" s="1"/>
      <c r="X340" s="1"/>
      <c r="Y340" s="1"/>
      <c r="Z340" s="1"/>
      <c r="AA340" s="1"/>
      <c r="AB340" s="1"/>
    </row>
    <row r="341" ht="12.75" customHeight="1">
      <c r="A341" s="1"/>
      <c r="B341" s="146"/>
      <c r="C341" s="150"/>
      <c r="D341" s="151"/>
      <c r="E341" s="261"/>
      <c r="F341" s="49"/>
      <c r="G341" s="24"/>
      <c r="H341" s="49"/>
      <c r="I341" s="49"/>
      <c r="J341" s="49"/>
      <c r="K341" s="49"/>
      <c r="L341" s="49"/>
      <c r="M341" s="49"/>
      <c r="N341" s="1"/>
      <c r="O341" s="1"/>
      <c r="P341" s="1"/>
      <c r="Q341" s="1"/>
      <c r="R341" s="1"/>
      <c r="S341" s="1"/>
      <c r="T341" s="1"/>
      <c r="U341" s="1"/>
      <c r="V341" s="1"/>
      <c r="W341" s="1"/>
      <c r="X341" s="1"/>
      <c r="Y341" s="1"/>
      <c r="Z341" s="1"/>
      <c r="AA341" s="1"/>
      <c r="AB341" s="1"/>
    </row>
    <row r="342" ht="12.75" customHeight="1">
      <c r="A342" s="1"/>
      <c r="B342" s="146"/>
      <c r="C342" s="150"/>
      <c r="D342" s="151"/>
      <c r="E342" s="261"/>
      <c r="F342" s="49"/>
      <c r="G342" s="24"/>
      <c r="H342" s="49"/>
      <c r="I342" s="49"/>
      <c r="J342" s="49"/>
      <c r="K342" s="49"/>
      <c r="L342" s="49"/>
      <c r="M342" s="49"/>
      <c r="N342" s="1"/>
      <c r="O342" s="1"/>
      <c r="P342" s="1"/>
      <c r="Q342" s="1"/>
      <c r="R342" s="1"/>
      <c r="S342" s="1"/>
      <c r="T342" s="1"/>
      <c r="U342" s="1"/>
      <c r="V342" s="1"/>
      <c r="W342" s="1"/>
      <c r="X342" s="1"/>
      <c r="Y342" s="1"/>
      <c r="Z342" s="1"/>
      <c r="AA342" s="1"/>
      <c r="AB342" s="1"/>
    </row>
    <row r="343" ht="12.75" customHeight="1">
      <c r="A343" s="1"/>
      <c r="B343" s="146"/>
      <c r="C343" s="150"/>
      <c r="D343" s="151"/>
      <c r="E343" s="261"/>
      <c r="F343" s="49"/>
      <c r="G343" s="24"/>
      <c r="H343" s="49"/>
      <c r="I343" s="49"/>
      <c r="J343" s="49"/>
      <c r="K343" s="49"/>
      <c r="L343" s="49"/>
      <c r="M343" s="49"/>
      <c r="N343" s="1"/>
      <c r="O343" s="1"/>
      <c r="P343" s="1"/>
      <c r="Q343" s="1"/>
      <c r="R343" s="1"/>
      <c r="S343" s="1"/>
      <c r="T343" s="1"/>
      <c r="U343" s="1"/>
      <c r="V343" s="1"/>
      <c r="W343" s="1"/>
      <c r="X343" s="1"/>
      <c r="Y343" s="1"/>
      <c r="Z343" s="1"/>
      <c r="AA343" s="1"/>
      <c r="AB343" s="1"/>
    </row>
    <row r="344" ht="12.75" customHeight="1">
      <c r="A344" s="1"/>
      <c r="B344" s="146"/>
      <c r="C344" s="150"/>
      <c r="D344" s="151"/>
      <c r="E344" s="261"/>
      <c r="F344" s="49"/>
      <c r="G344" s="24"/>
      <c r="H344" s="49"/>
      <c r="I344" s="49"/>
      <c r="J344" s="49"/>
      <c r="K344" s="49"/>
      <c r="L344" s="49"/>
      <c r="M344" s="49"/>
      <c r="N344" s="1"/>
      <c r="O344" s="1"/>
      <c r="P344" s="1"/>
      <c r="Q344" s="1"/>
      <c r="R344" s="1"/>
      <c r="S344" s="1"/>
      <c r="T344" s="1"/>
      <c r="U344" s="1"/>
      <c r="V344" s="1"/>
      <c r="W344" s="1"/>
      <c r="X344" s="1"/>
      <c r="Y344" s="1"/>
      <c r="Z344" s="1"/>
      <c r="AA344" s="1"/>
      <c r="AB344" s="1"/>
    </row>
    <row r="345" ht="12.75" customHeight="1">
      <c r="A345" s="1"/>
      <c r="B345" s="146"/>
      <c r="C345" s="150"/>
      <c r="D345" s="151"/>
      <c r="E345" s="261"/>
      <c r="F345" s="49"/>
      <c r="G345" s="24"/>
      <c r="H345" s="49"/>
      <c r="I345" s="49"/>
      <c r="J345" s="49"/>
      <c r="K345" s="49"/>
      <c r="L345" s="49"/>
      <c r="M345" s="49"/>
      <c r="N345" s="1"/>
      <c r="O345" s="1"/>
      <c r="P345" s="1"/>
      <c r="Q345" s="1"/>
      <c r="R345" s="1"/>
      <c r="S345" s="1"/>
      <c r="T345" s="1"/>
      <c r="U345" s="1"/>
      <c r="V345" s="1"/>
      <c r="W345" s="1"/>
      <c r="X345" s="1"/>
      <c r="Y345" s="1"/>
      <c r="Z345" s="1"/>
      <c r="AA345" s="1"/>
      <c r="AB345" s="1"/>
    </row>
    <row r="346" ht="12.75" customHeight="1">
      <c r="A346" s="1"/>
      <c r="B346" s="146"/>
      <c r="C346" s="150"/>
      <c r="D346" s="151"/>
      <c r="E346" s="261"/>
      <c r="F346" s="49"/>
      <c r="G346" s="24"/>
      <c r="H346" s="49"/>
      <c r="I346" s="49"/>
      <c r="J346" s="49"/>
      <c r="K346" s="49"/>
      <c r="L346" s="49"/>
      <c r="M346" s="49"/>
      <c r="N346" s="1"/>
      <c r="O346" s="1"/>
      <c r="P346" s="1"/>
      <c r="Q346" s="1"/>
      <c r="R346" s="1"/>
      <c r="S346" s="1"/>
      <c r="T346" s="1"/>
      <c r="U346" s="1"/>
      <c r="V346" s="1"/>
      <c r="W346" s="1"/>
      <c r="X346" s="1"/>
      <c r="Y346" s="1"/>
      <c r="Z346" s="1"/>
      <c r="AA346" s="1"/>
      <c r="AB346" s="1"/>
    </row>
    <row r="347" ht="12.75" customHeight="1">
      <c r="A347" s="1"/>
      <c r="B347" s="146"/>
      <c r="C347" s="150"/>
      <c r="D347" s="151"/>
      <c r="E347" s="261"/>
      <c r="F347" s="49"/>
      <c r="G347" s="24"/>
      <c r="H347" s="49"/>
      <c r="I347" s="49"/>
      <c r="J347" s="49"/>
      <c r="K347" s="49"/>
      <c r="L347" s="49"/>
      <c r="M347" s="49"/>
      <c r="N347" s="1"/>
      <c r="O347" s="1"/>
      <c r="P347" s="1"/>
      <c r="Q347" s="1"/>
      <c r="R347" s="1"/>
      <c r="S347" s="1"/>
      <c r="T347" s="1"/>
      <c r="U347" s="1"/>
      <c r="V347" s="1"/>
      <c r="W347" s="1"/>
      <c r="X347" s="1"/>
      <c r="Y347" s="1"/>
      <c r="Z347" s="1"/>
      <c r="AA347" s="1"/>
      <c r="AB347" s="1"/>
    </row>
    <row r="348" ht="12.75" customHeight="1">
      <c r="A348" s="1"/>
      <c r="B348" s="146"/>
      <c r="C348" s="150"/>
      <c r="D348" s="151"/>
      <c r="E348" s="261"/>
      <c r="F348" s="49"/>
      <c r="G348" s="24"/>
      <c r="H348" s="49"/>
      <c r="I348" s="49"/>
      <c r="J348" s="49"/>
      <c r="K348" s="49"/>
      <c r="L348" s="49"/>
      <c r="M348" s="49"/>
      <c r="N348" s="1"/>
      <c r="O348" s="1"/>
      <c r="P348" s="1"/>
      <c r="Q348" s="1"/>
      <c r="R348" s="1"/>
      <c r="S348" s="1"/>
      <c r="T348" s="1"/>
      <c r="U348" s="1"/>
      <c r="V348" s="1"/>
      <c r="W348" s="1"/>
      <c r="X348" s="1"/>
      <c r="Y348" s="1"/>
      <c r="Z348" s="1"/>
      <c r="AA348" s="1"/>
      <c r="AB348" s="1"/>
    </row>
    <row r="349" ht="12.75" customHeight="1">
      <c r="A349" s="1"/>
      <c r="B349" s="146"/>
      <c r="C349" s="150"/>
      <c r="D349" s="151"/>
      <c r="E349" s="261"/>
      <c r="F349" s="49"/>
      <c r="G349" s="24"/>
      <c r="H349" s="49"/>
      <c r="I349" s="49"/>
      <c r="J349" s="49"/>
      <c r="K349" s="49"/>
      <c r="L349" s="49"/>
      <c r="M349" s="49"/>
      <c r="N349" s="1"/>
      <c r="O349" s="1"/>
      <c r="P349" s="1"/>
      <c r="Q349" s="1"/>
      <c r="R349" s="1"/>
      <c r="S349" s="1"/>
      <c r="T349" s="1"/>
      <c r="U349" s="1"/>
      <c r="V349" s="1"/>
      <c r="W349" s="1"/>
      <c r="X349" s="1"/>
      <c r="Y349" s="1"/>
      <c r="Z349" s="1"/>
      <c r="AA349" s="1"/>
      <c r="AB349" s="1"/>
    </row>
    <row r="350" ht="12.75" customHeight="1">
      <c r="A350" s="1"/>
      <c r="B350" s="146"/>
      <c r="C350" s="150"/>
      <c r="D350" s="151"/>
      <c r="E350" s="261"/>
      <c r="F350" s="49"/>
      <c r="G350" s="24"/>
      <c r="H350" s="49"/>
      <c r="I350" s="49"/>
      <c r="J350" s="49"/>
      <c r="K350" s="49"/>
      <c r="L350" s="49"/>
      <c r="M350" s="49"/>
      <c r="N350" s="1"/>
      <c r="O350" s="1"/>
      <c r="P350" s="1"/>
      <c r="Q350" s="1"/>
      <c r="R350" s="1"/>
      <c r="S350" s="1"/>
      <c r="T350" s="1"/>
      <c r="U350" s="1"/>
      <c r="V350" s="1"/>
      <c r="W350" s="1"/>
      <c r="X350" s="1"/>
      <c r="Y350" s="1"/>
      <c r="Z350" s="1"/>
      <c r="AA350" s="1"/>
      <c r="AB350" s="1"/>
    </row>
    <row r="351" ht="12.75" customHeight="1">
      <c r="A351" s="1"/>
      <c r="B351" s="146"/>
      <c r="C351" s="150"/>
      <c r="D351" s="151"/>
      <c r="E351" s="261"/>
      <c r="F351" s="49"/>
      <c r="G351" s="24"/>
      <c r="H351" s="49"/>
      <c r="I351" s="49"/>
      <c r="J351" s="49"/>
      <c r="K351" s="49"/>
      <c r="L351" s="49"/>
      <c r="M351" s="49"/>
      <c r="N351" s="1"/>
      <c r="O351" s="1"/>
      <c r="P351" s="1"/>
      <c r="Q351" s="1"/>
      <c r="R351" s="1"/>
      <c r="S351" s="1"/>
      <c r="T351" s="1"/>
      <c r="U351" s="1"/>
      <c r="V351" s="1"/>
      <c r="W351" s="1"/>
      <c r="X351" s="1"/>
      <c r="Y351" s="1"/>
      <c r="Z351" s="1"/>
      <c r="AA351" s="1"/>
      <c r="AB351" s="1"/>
    </row>
    <row r="352" ht="12.75" customHeight="1">
      <c r="A352" s="1"/>
      <c r="B352" s="146"/>
      <c r="C352" s="150"/>
      <c r="D352" s="151"/>
      <c r="E352" s="261"/>
      <c r="F352" s="49"/>
      <c r="G352" s="24"/>
      <c r="H352" s="49"/>
      <c r="I352" s="49"/>
      <c r="J352" s="49"/>
      <c r="K352" s="49"/>
      <c r="L352" s="49"/>
      <c r="M352" s="49"/>
      <c r="N352" s="1"/>
      <c r="O352" s="1"/>
      <c r="P352" s="1"/>
      <c r="Q352" s="1"/>
      <c r="R352" s="1"/>
      <c r="S352" s="1"/>
      <c r="T352" s="1"/>
      <c r="U352" s="1"/>
      <c r="V352" s="1"/>
      <c r="W352" s="1"/>
      <c r="X352" s="1"/>
      <c r="Y352" s="1"/>
      <c r="Z352" s="1"/>
      <c r="AA352" s="1"/>
      <c r="AB352" s="1"/>
    </row>
    <row r="353" ht="12.75" customHeight="1">
      <c r="A353" s="1"/>
      <c r="B353" s="146"/>
      <c r="C353" s="150"/>
      <c r="D353" s="151"/>
      <c r="E353" s="261"/>
      <c r="F353" s="49"/>
      <c r="G353" s="24"/>
      <c r="H353" s="49"/>
      <c r="I353" s="49"/>
      <c r="J353" s="49"/>
      <c r="K353" s="49"/>
      <c r="L353" s="49"/>
      <c r="M353" s="49"/>
      <c r="N353" s="1"/>
      <c r="O353" s="1"/>
      <c r="P353" s="1"/>
      <c r="Q353" s="1"/>
      <c r="R353" s="1"/>
      <c r="S353" s="1"/>
      <c r="T353" s="1"/>
      <c r="U353" s="1"/>
      <c r="V353" s="1"/>
      <c r="W353" s="1"/>
      <c r="X353" s="1"/>
      <c r="Y353" s="1"/>
      <c r="Z353" s="1"/>
      <c r="AA353" s="1"/>
      <c r="AB353" s="1"/>
    </row>
    <row r="354" ht="12.75" customHeight="1">
      <c r="A354" s="1"/>
      <c r="B354" s="146"/>
      <c r="C354" s="150"/>
      <c r="D354" s="151"/>
      <c r="E354" s="261"/>
      <c r="F354" s="49"/>
      <c r="G354" s="24"/>
      <c r="H354" s="49"/>
      <c r="I354" s="49"/>
      <c r="J354" s="49"/>
      <c r="K354" s="49"/>
      <c r="L354" s="49"/>
      <c r="M354" s="49"/>
      <c r="N354" s="1"/>
      <c r="O354" s="1"/>
      <c r="P354" s="1"/>
      <c r="Q354" s="1"/>
      <c r="R354" s="1"/>
      <c r="S354" s="1"/>
      <c r="T354" s="1"/>
      <c r="U354" s="1"/>
      <c r="V354" s="1"/>
      <c r="W354" s="1"/>
      <c r="X354" s="1"/>
      <c r="Y354" s="1"/>
      <c r="Z354" s="1"/>
      <c r="AA354" s="1"/>
      <c r="AB354" s="1"/>
    </row>
    <row r="355" ht="12.75" customHeight="1">
      <c r="A355" s="1"/>
      <c r="B355" s="146"/>
      <c r="C355" s="150"/>
      <c r="D355" s="151"/>
      <c r="E355" s="261"/>
      <c r="F355" s="49"/>
      <c r="G355" s="24"/>
      <c r="H355" s="49"/>
      <c r="I355" s="49"/>
      <c r="J355" s="49"/>
      <c r="K355" s="49"/>
      <c r="L355" s="49"/>
      <c r="M355" s="49"/>
      <c r="N355" s="1"/>
      <c r="O355" s="1"/>
      <c r="P355" s="1"/>
      <c r="Q355" s="1"/>
      <c r="R355" s="1"/>
      <c r="S355" s="1"/>
      <c r="T355" s="1"/>
      <c r="U355" s="1"/>
      <c r="V355" s="1"/>
      <c r="W355" s="1"/>
      <c r="X355" s="1"/>
      <c r="Y355" s="1"/>
      <c r="Z355" s="1"/>
      <c r="AA355" s="1"/>
      <c r="AB355" s="1"/>
    </row>
    <row r="356" ht="12.75" customHeight="1">
      <c r="A356" s="1"/>
      <c r="B356" s="146"/>
      <c r="C356" s="150"/>
      <c r="D356" s="151"/>
      <c r="E356" s="261"/>
      <c r="F356" s="49"/>
      <c r="G356" s="24"/>
      <c r="H356" s="49"/>
      <c r="I356" s="49"/>
      <c r="J356" s="49"/>
      <c r="K356" s="49"/>
      <c r="L356" s="49"/>
      <c r="M356" s="49"/>
      <c r="N356" s="1"/>
      <c r="O356" s="1"/>
      <c r="P356" s="1"/>
      <c r="Q356" s="1"/>
      <c r="R356" s="1"/>
      <c r="S356" s="1"/>
      <c r="T356" s="1"/>
      <c r="U356" s="1"/>
      <c r="V356" s="1"/>
      <c r="W356" s="1"/>
      <c r="X356" s="1"/>
      <c r="Y356" s="1"/>
      <c r="Z356" s="1"/>
      <c r="AA356" s="1"/>
      <c r="AB356" s="1"/>
    </row>
    <row r="357" ht="12.75" customHeight="1">
      <c r="A357" s="1"/>
      <c r="B357" s="146"/>
      <c r="C357" s="150"/>
      <c r="D357" s="151"/>
      <c r="E357" s="261"/>
      <c r="F357" s="49"/>
      <c r="G357" s="24"/>
      <c r="H357" s="49"/>
      <c r="I357" s="49"/>
      <c r="J357" s="49"/>
      <c r="K357" s="49"/>
      <c r="L357" s="49"/>
      <c r="M357" s="49"/>
      <c r="N357" s="1"/>
      <c r="O357" s="1"/>
      <c r="P357" s="1"/>
      <c r="Q357" s="1"/>
      <c r="R357" s="1"/>
      <c r="S357" s="1"/>
      <c r="T357" s="1"/>
      <c r="U357" s="1"/>
      <c r="V357" s="1"/>
      <c r="W357" s="1"/>
      <c r="X357" s="1"/>
      <c r="Y357" s="1"/>
      <c r="Z357" s="1"/>
      <c r="AA357" s="1"/>
      <c r="AB357" s="1"/>
    </row>
    <row r="358" ht="12.75" customHeight="1">
      <c r="A358" s="1"/>
      <c r="B358" s="146"/>
      <c r="C358" s="150"/>
      <c r="D358" s="151"/>
      <c r="E358" s="261"/>
      <c r="F358" s="49"/>
      <c r="G358" s="24"/>
      <c r="H358" s="49"/>
      <c r="I358" s="49"/>
      <c r="J358" s="49"/>
      <c r="K358" s="49"/>
      <c r="L358" s="49"/>
      <c r="M358" s="49"/>
      <c r="N358" s="1"/>
      <c r="O358" s="1"/>
      <c r="P358" s="1"/>
      <c r="Q358" s="1"/>
      <c r="R358" s="1"/>
      <c r="S358" s="1"/>
      <c r="T358" s="1"/>
      <c r="U358" s="1"/>
      <c r="V358" s="1"/>
      <c r="W358" s="1"/>
      <c r="X358" s="1"/>
      <c r="Y358" s="1"/>
      <c r="Z358" s="1"/>
      <c r="AA358" s="1"/>
      <c r="AB358" s="1"/>
    </row>
    <row r="359" ht="12.75" customHeight="1">
      <c r="A359" s="1"/>
      <c r="B359" s="146"/>
      <c r="C359" s="150"/>
      <c r="D359" s="151"/>
      <c r="E359" s="261"/>
      <c r="F359" s="49"/>
      <c r="G359" s="24"/>
      <c r="H359" s="49"/>
      <c r="I359" s="49"/>
      <c r="J359" s="49"/>
      <c r="K359" s="49"/>
      <c r="L359" s="49"/>
      <c r="M359" s="49"/>
      <c r="N359" s="1"/>
      <c r="O359" s="1"/>
      <c r="P359" s="1"/>
      <c r="Q359" s="1"/>
      <c r="R359" s="1"/>
      <c r="S359" s="1"/>
      <c r="T359" s="1"/>
      <c r="U359" s="1"/>
      <c r="V359" s="1"/>
      <c r="W359" s="1"/>
      <c r="X359" s="1"/>
      <c r="Y359" s="1"/>
      <c r="Z359" s="1"/>
      <c r="AA359" s="1"/>
      <c r="AB359" s="1"/>
    </row>
    <row r="360" ht="12.75" customHeight="1">
      <c r="A360" s="1"/>
      <c r="B360" s="146"/>
      <c r="C360" s="150"/>
      <c r="D360" s="151"/>
      <c r="E360" s="261"/>
      <c r="F360" s="49"/>
      <c r="G360" s="24"/>
      <c r="H360" s="49"/>
      <c r="I360" s="49"/>
      <c r="J360" s="49"/>
      <c r="K360" s="49"/>
      <c r="L360" s="49"/>
      <c r="M360" s="49"/>
      <c r="N360" s="1"/>
      <c r="O360" s="1"/>
      <c r="P360" s="1"/>
      <c r="Q360" s="1"/>
      <c r="R360" s="1"/>
      <c r="S360" s="1"/>
      <c r="T360" s="1"/>
      <c r="U360" s="1"/>
      <c r="V360" s="1"/>
      <c r="W360" s="1"/>
      <c r="X360" s="1"/>
      <c r="Y360" s="1"/>
      <c r="Z360" s="1"/>
      <c r="AA360" s="1"/>
      <c r="AB360" s="1"/>
    </row>
    <row r="361" ht="12.75" customHeight="1">
      <c r="A361" s="1"/>
      <c r="B361" s="146"/>
      <c r="C361" s="150"/>
      <c r="D361" s="151"/>
      <c r="E361" s="261"/>
      <c r="F361" s="49"/>
      <c r="G361" s="24"/>
      <c r="H361" s="49"/>
      <c r="I361" s="49"/>
      <c r="J361" s="49"/>
      <c r="K361" s="49"/>
      <c r="L361" s="49"/>
      <c r="M361" s="49"/>
      <c r="N361" s="1"/>
      <c r="O361" s="1"/>
      <c r="P361" s="1"/>
      <c r="Q361" s="1"/>
      <c r="R361" s="1"/>
      <c r="S361" s="1"/>
      <c r="T361" s="1"/>
      <c r="U361" s="1"/>
      <c r="V361" s="1"/>
      <c r="W361" s="1"/>
      <c r="X361" s="1"/>
      <c r="Y361" s="1"/>
      <c r="Z361" s="1"/>
      <c r="AA361" s="1"/>
      <c r="AB361" s="1"/>
    </row>
    <row r="362" ht="12.75" customHeight="1">
      <c r="A362" s="1"/>
      <c r="B362" s="146"/>
      <c r="C362" s="150"/>
      <c r="D362" s="151"/>
      <c r="E362" s="261"/>
      <c r="F362" s="49"/>
      <c r="G362" s="24"/>
      <c r="H362" s="49"/>
      <c r="I362" s="49"/>
      <c r="J362" s="49"/>
      <c r="K362" s="49"/>
      <c r="L362" s="49"/>
      <c r="M362" s="49"/>
      <c r="N362" s="1"/>
      <c r="O362" s="1"/>
      <c r="P362" s="1"/>
      <c r="Q362" s="1"/>
      <c r="R362" s="1"/>
      <c r="S362" s="1"/>
      <c r="T362" s="1"/>
      <c r="U362" s="1"/>
      <c r="V362" s="1"/>
      <c r="W362" s="1"/>
      <c r="X362" s="1"/>
      <c r="Y362" s="1"/>
      <c r="Z362" s="1"/>
      <c r="AA362" s="1"/>
      <c r="AB362" s="1"/>
    </row>
    <row r="363" ht="12.75" customHeight="1">
      <c r="A363" s="1"/>
      <c r="B363" s="146"/>
      <c r="C363" s="150"/>
      <c r="D363" s="151"/>
      <c r="E363" s="261"/>
      <c r="F363" s="49"/>
      <c r="G363" s="24"/>
      <c r="H363" s="49"/>
      <c r="I363" s="49"/>
      <c r="J363" s="49"/>
      <c r="K363" s="49"/>
      <c r="L363" s="49"/>
      <c r="M363" s="49"/>
      <c r="N363" s="1"/>
      <c r="O363" s="1"/>
      <c r="P363" s="1"/>
      <c r="Q363" s="1"/>
      <c r="R363" s="1"/>
      <c r="S363" s="1"/>
      <c r="T363" s="1"/>
      <c r="U363" s="1"/>
      <c r="V363" s="1"/>
      <c r="W363" s="1"/>
      <c r="X363" s="1"/>
      <c r="Y363" s="1"/>
      <c r="Z363" s="1"/>
      <c r="AA363" s="1"/>
      <c r="AB363" s="1"/>
    </row>
    <row r="364" ht="12.75" customHeight="1">
      <c r="A364" s="1"/>
      <c r="B364" s="146"/>
      <c r="C364" s="150"/>
      <c r="D364" s="151"/>
      <c r="E364" s="261"/>
      <c r="F364" s="49"/>
      <c r="G364" s="24"/>
      <c r="H364" s="49"/>
      <c r="I364" s="49"/>
      <c r="J364" s="49"/>
      <c r="K364" s="49"/>
      <c r="L364" s="49"/>
      <c r="M364" s="49"/>
      <c r="N364" s="1"/>
      <c r="O364" s="1"/>
      <c r="P364" s="1"/>
      <c r="Q364" s="1"/>
      <c r="R364" s="1"/>
      <c r="S364" s="1"/>
      <c r="T364" s="1"/>
      <c r="U364" s="1"/>
      <c r="V364" s="1"/>
      <c r="W364" s="1"/>
      <c r="X364" s="1"/>
      <c r="Y364" s="1"/>
      <c r="Z364" s="1"/>
      <c r="AA364" s="1"/>
      <c r="AB364" s="1"/>
    </row>
    <row r="365" ht="12.75" customHeight="1">
      <c r="A365" s="1"/>
      <c r="B365" s="146"/>
      <c r="C365" s="150"/>
      <c r="D365" s="151"/>
      <c r="E365" s="261"/>
      <c r="F365" s="49"/>
      <c r="G365" s="24"/>
      <c r="H365" s="49"/>
      <c r="I365" s="49"/>
      <c r="J365" s="49"/>
      <c r="K365" s="49"/>
      <c r="L365" s="49"/>
      <c r="M365" s="49"/>
      <c r="N365" s="1"/>
      <c r="O365" s="1"/>
      <c r="P365" s="1"/>
      <c r="Q365" s="1"/>
      <c r="R365" s="1"/>
      <c r="S365" s="1"/>
      <c r="T365" s="1"/>
      <c r="U365" s="1"/>
      <c r="V365" s="1"/>
      <c r="W365" s="1"/>
      <c r="X365" s="1"/>
      <c r="Y365" s="1"/>
      <c r="Z365" s="1"/>
      <c r="AA365" s="1"/>
      <c r="AB365" s="1"/>
    </row>
    <row r="366" ht="12.75" customHeight="1">
      <c r="A366" s="1"/>
      <c r="B366" s="146"/>
      <c r="C366" s="150"/>
      <c r="D366" s="151"/>
      <c r="E366" s="261"/>
      <c r="F366" s="49"/>
      <c r="G366" s="24"/>
      <c r="H366" s="49"/>
      <c r="I366" s="49"/>
      <c r="J366" s="49"/>
      <c r="K366" s="49"/>
      <c r="L366" s="49"/>
      <c r="M366" s="49"/>
      <c r="N366" s="1"/>
      <c r="O366" s="1"/>
      <c r="P366" s="1"/>
      <c r="Q366" s="1"/>
      <c r="R366" s="1"/>
      <c r="S366" s="1"/>
      <c r="T366" s="1"/>
      <c r="U366" s="1"/>
      <c r="V366" s="1"/>
      <c r="W366" s="1"/>
      <c r="X366" s="1"/>
      <c r="Y366" s="1"/>
      <c r="Z366" s="1"/>
      <c r="AA366" s="1"/>
      <c r="AB366" s="1"/>
    </row>
    <row r="367" ht="12.75" customHeight="1">
      <c r="A367" s="1"/>
      <c r="B367" s="146"/>
      <c r="C367" s="150"/>
      <c r="D367" s="151"/>
      <c r="E367" s="261"/>
      <c r="F367" s="49"/>
      <c r="G367" s="24"/>
      <c r="H367" s="49"/>
      <c r="I367" s="49"/>
      <c r="J367" s="49"/>
      <c r="K367" s="49"/>
      <c r="L367" s="49"/>
      <c r="M367" s="49"/>
      <c r="N367" s="1"/>
      <c r="O367" s="1"/>
      <c r="P367" s="1"/>
      <c r="Q367" s="1"/>
      <c r="R367" s="1"/>
      <c r="S367" s="1"/>
      <c r="T367" s="1"/>
      <c r="U367" s="1"/>
      <c r="V367" s="1"/>
      <c r="W367" s="1"/>
      <c r="X367" s="1"/>
      <c r="Y367" s="1"/>
      <c r="Z367" s="1"/>
      <c r="AA367" s="1"/>
      <c r="AB367" s="1"/>
    </row>
    <row r="368" ht="12.75" customHeight="1">
      <c r="A368" s="1"/>
      <c r="B368" s="146"/>
      <c r="C368" s="150"/>
      <c r="D368" s="151"/>
      <c r="E368" s="261"/>
      <c r="F368" s="49"/>
      <c r="G368" s="24"/>
      <c r="H368" s="49"/>
      <c r="I368" s="49"/>
      <c r="J368" s="49"/>
      <c r="K368" s="49"/>
      <c r="L368" s="49"/>
      <c r="M368" s="49"/>
      <c r="N368" s="1"/>
      <c r="O368" s="1"/>
      <c r="P368" s="1"/>
      <c r="Q368" s="1"/>
      <c r="R368" s="1"/>
      <c r="S368" s="1"/>
      <c r="T368" s="1"/>
      <c r="U368" s="1"/>
      <c r="V368" s="1"/>
      <c r="W368" s="1"/>
      <c r="X368" s="1"/>
      <c r="Y368" s="1"/>
      <c r="Z368" s="1"/>
      <c r="AA368" s="1"/>
      <c r="AB368" s="1"/>
    </row>
    <row r="369" ht="12.75" customHeight="1">
      <c r="A369" s="1"/>
      <c r="B369" s="146"/>
      <c r="C369" s="150"/>
      <c r="D369" s="151"/>
      <c r="E369" s="261"/>
      <c r="F369" s="49"/>
      <c r="G369" s="24"/>
      <c r="H369" s="49"/>
      <c r="I369" s="49"/>
      <c r="J369" s="49"/>
      <c r="K369" s="49"/>
      <c r="L369" s="49"/>
      <c r="M369" s="49"/>
      <c r="N369" s="1"/>
      <c r="O369" s="1"/>
      <c r="P369" s="1"/>
      <c r="Q369" s="1"/>
      <c r="R369" s="1"/>
      <c r="S369" s="1"/>
      <c r="T369" s="1"/>
      <c r="U369" s="1"/>
      <c r="V369" s="1"/>
      <c r="W369" s="1"/>
      <c r="X369" s="1"/>
      <c r="Y369" s="1"/>
      <c r="Z369" s="1"/>
      <c r="AA369" s="1"/>
      <c r="AB369" s="1"/>
    </row>
    <row r="370" ht="12.75" customHeight="1">
      <c r="A370" s="1"/>
      <c r="B370" s="146"/>
      <c r="C370" s="150"/>
      <c r="D370" s="151"/>
      <c r="E370" s="261"/>
      <c r="F370" s="49"/>
      <c r="G370" s="24"/>
      <c r="H370" s="49"/>
      <c r="I370" s="49"/>
      <c r="J370" s="49"/>
      <c r="K370" s="49"/>
      <c r="L370" s="49"/>
      <c r="M370" s="49"/>
      <c r="N370" s="1"/>
      <c r="O370" s="1"/>
      <c r="P370" s="1"/>
      <c r="Q370" s="1"/>
      <c r="R370" s="1"/>
      <c r="S370" s="1"/>
      <c r="T370" s="1"/>
      <c r="U370" s="1"/>
      <c r="V370" s="1"/>
      <c r="W370" s="1"/>
      <c r="X370" s="1"/>
      <c r="Y370" s="1"/>
      <c r="Z370" s="1"/>
      <c r="AA370" s="1"/>
      <c r="AB370" s="1"/>
    </row>
    <row r="371" ht="12.75" customHeight="1">
      <c r="A371" s="1"/>
      <c r="B371" s="146"/>
      <c r="C371" s="150"/>
      <c r="D371" s="151"/>
      <c r="E371" s="261"/>
      <c r="F371" s="49"/>
      <c r="G371" s="24"/>
      <c r="H371" s="49"/>
      <c r="I371" s="49"/>
      <c r="J371" s="49"/>
      <c r="K371" s="49"/>
      <c r="L371" s="49"/>
      <c r="M371" s="49"/>
      <c r="N371" s="1"/>
      <c r="O371" s="1"/>
      <c r="P371" s="1"/>
      <c r="Q371" s="1"/>
      <c r="R371" s="1"/>
      <c r="S371" s="1"/>
      <c r="T371" s="1"/>
      <c r="U371" s="1"/>
      <c r="V371" s="1"/>
      <c r="W371" s="1"/>
      <c r="X371" s="1"/>
      <c r="Y371" s="1"/>
      <c r="Z371" s="1"/>
      <c r="AA371" s="1"/>
      <c r="AB371" s="1"/>
    </row>
    <row r="372" ht="12.75" customHeight="1">
      <c r="A372" s="1"/>
      <c r="B372" s="146"/>
      <c r="C372" s="150"/>
      <c r="D372" s="151"/>
      <c r="E372" s="261"/>
      <c r="F372" s="49"/>
      <c r="G372" s="24"/>
      <c r="H372" s="49"/>
      <c r="I372" s="49"/>
      <c r="J372" s="49"/>
      <c r="K372" s="49"/>
      <c r="L372" s="49"/>
      <c r="M372" s="49"/>
      <c r="N372" s="1"/>
      <c r="O372" s="1"/>
      <c r="P372" s="1"/>
      <c r="Q372" s="1"/>
      <c r="R372" s="1"/>
      <c r="S372" s="1"/>
      <c r="T372" s="1"/>
      <c r="U372" s="1"/>
      <c r="V372" s="1"/>
      <c r="W372" s="1"/>
      <c r="X372" s="1"/>
      <c r="Y372" s="1"/>
      <c r="Z372" s="1"/>
      <c r="AA372" s="1"/>
      <c r="AB372" s="1"/>
    </row>
    <row r="373" ht="12.75" customHeight="1">
      <c r="A373" s="1"/>
      <c r="B373" s="146"/>
      <c r="C373" s="150"/>
      <c r="D373" s="151"/>
      <c r="E373" s="261"/>
      <c r="F373" s="49"/>
      <c r="G373" s="24"/>
      <c r="H373" s="49"/>
      <c r="I373" s="49"/>
      <c r="J373" s="49"/>
      <c r="K373" s="49"/>
      <c r="L373" s="49"/>
      <c r="M373" s="49"/>
      <c r="N373" s="1"/>
      <c r="O373" s="1"/>
      <c r="P373" s="1"/>
      <c r="Q373" s="1"/>
      <c r="R373" s="1"/>
      <c r="S373" s="1"/>
      <c r="T373" s="1"/>
      <c r="U373" s="1"/>
      <c r="V373" s="1"/>
      <c r="W373" s="1"/>
      <c r="X373" s="1"/>
      <c r="Y373" s="1"/>
      <c r="Z373" s="1"/>
      <c r="AA373" s="1"/>
      <c r="AB373" s="1"/>
    </row>
    <row r="374" ht="12.75" customHeight="1">
      <c r="A374" s="1"/>
      <c r="B374" s="146"/>
      <c r="C374" s="150"/>
      <c r="D374" s="151"/>
      <c r="E374" s="261"/>
      <c r="F374" s="49"/>
      <c r="G374" s="24"/>
      <c r="H374" s="49"/>
      <c r="I374" s="49"/>
      <c r="J374" s="49"/>
      <c r="K374" s="49"/>
      <c r="L374" s="49"/>
      <c r="M374" s="49"/>
      <c r="N374" s="1"/>
      <c r="O374" s="1"/>
      <c r="P374" s="1"/>
      <c r="Q374" s="1"/>
      <c r="R374" s="1"/>
      <c r="S374" s="1"/>
      <c r="T374" s="1"/>
      <c r="U374" s="1"/>
      <c r="V374" s="1"/>
      <c r="W374" s="1"/>
      <c r="X374" s="1"/>
      <c r="Y374" s="1"/>
      <c r="Z374" s="1"/>
      <c r="AA374" s="1"/>
      <c r="AB374" s="1"/>
    </row>
    <row r="375" ht="12.75" customHeight="1">
      <c r="A375" s="1"/>
      <c r="B375" s="146"/>
      <c r="C375" s="150"/>
      <c r="D375" s="151"/>
      <c r="E375" s="261"/>
      <c r="F375" s="49"/>
      <c r="G375" s="24"/>
      <c r="H375" s="49"/>
      <c r="I375" s="49"/>
      <c r="J375" s="49"/>
      <c r="K375" s="49"/>
      <c r="L375" s="49"/>
      <c r="M375" s="49"/>
      <c r="N375" s="1"/>
      <c r="O375" s="1"/>
      <c r="P375" s="1"/>
      <c r="Q375" s="1"/>
      <c r="R375" s="1"/>
      <c r="S375" s="1"/>
      <c r="T375" s="1"/>
      <c r="U375" s="1"/>
      <c r="V375" s="1"/>
      <c r="W375" s="1"/>
      <c r="X375" s="1"/>
      <c r="Y375" s="1"/>
      <c r="Z375" s="1"/>
      <c r="AA375" s="1"/>
      <c r="AB375" s="1"/>
    </row>
    <row r="376" ht="12.75" customHeight="1">
      <c r="A376" s="1"/>
      <c r="B376" s="146"/>
      <c r="C376" s="150"/>
      <c r="D376" s="151"/>
      <c r="E376" s="261"/>
      <c r="F376" s="49"/>
      <c r="G376" s="24"/>
      <c r="H376" s="49"/>
      <c r="I376" s="49"/>
      <c r="J376" s="49"/>
      <c r="K376" s="49"/>
      <c r="L376" s="49"/>
      <c r="M376" s="49"/>
      <c r="N376" s="1"/>
      <c r="O376" s="1"/>
      <c r="P376" s="1"/>
      <c r="Q376" s="1"/>
      <c r="R376" s="1"/>
      <c r="S376" s="1"/>
      <c r="T376" s="1"/>
      <c r="U376" s="1"/>
      <c r="V376" s="1"/>
      <c r="W376" s="1"/>
      <c r="X376" s="1"/>
      <c r="Y376" s="1"/>
      <c r="Z376" s="1"/>
      <c r="AA376" s="1"/>
      <c r="AB376" s="1"/>
    </row>
    <row r="377" ht="12.75" customHeight="1">
      <c r="A377" s="1"/>
      <c r="B377" s="146"/>
      <c r="C377" s="150"/>
      <c r="D377" s="151"/>
      <c r="E377" s="261"/>
      <c r="F377" s="49"/>
      <c r="G377" s="24"/>
      <c r="H377" s="49"/>
      <c r="I377" s="49"/>
      <c r="J377" s="49"/>
      <c r="K377" s="49"/>
      <c r="L377" s="49"/>
      <c r="M377" s="49"/>
      <c r="N377" s="1"/>
      <c r="O377" s="1"/>
      <c r="P377" s="1"/>
      <c r="Q377" s="1"/>
      <c r="R377" s="1"/>
      <c r="S377" s="1"/>
      <c r="T377" s="1"/>
      <c r="U377" s="1"/>
      <c r="V377" s="1"/>
      <c r="W377" s="1"/>
      <c r="X377" s="1"/>
      <c r="Y377" s="1"/>
      <c r="Z377" s="1"/>
      <c r="AA377" s="1"/>
      <c r="AB377" s="1"/>
    </row>
    <row r="378" ht="12.75" customHeight="1">
      <c r="A378" s="1"/>
      <c r="B378" s="146"/>
      <c r="C378" s="150"/>
      <c r="D378" s="151"/>
      <c r="E378" s="261"/>
      <c r="F378" s="49"/>
      <c r="G378" s="24"/>
      <c r="H378" s="49"/>
      <c r="I378" s="49"/>
      <c r="J378" s="49"/>
      <c r="K378" s="49"/>
      <c r="L378" s="49"/>
      <c r="M378" s="49"/>
      <c r="N378" s="1"/>
      <c r="O378" s="1"/>
      <c r="P378" s="1"/>
      <c r="Q378" s="1"/>
      <c r="R378" s="1"/>
      <c r="S378" s="1"/>
      <c r="T378" s="1"/>
      <c r="U378" s="1"/>
      <c r="V378" s="1"/>
      <c r="W378" s="1"/>
      <c r="X378" s="1"/>
      <c r="Y378" s="1"/>
      <c r="Z378" s="1"/>
      <c r="AA378" s="1"/>
      <c r="AB378" s="1"/>
    </row>
    <row r="379" ht="12.75" customHeight="1">
      <c r="A379" s="1"/>
      <c r="B379" s="146"/>
      <c r="C379" s="150"/>
      <c r="D379" s="151"/>
      <c r="E379" s="261"/>
      <c r="F379" s="49"/>
      <c r="G379" s="24"/>
      <c r="H379" s="49"/>
      <c r="I379" s="49"/>
      <c r="J379" s="49"/>
      <c r="K379" s="49"/>
      <c r="L379" s="49"/>
      <c r="M379" s="49"/>
      <c r="N379" s="1"/>
      <c r="O379" s="1"/>
      <c r="P379" s="1"/>
      <c r="Q379" s="1"/>
      <c r="R379" s="1"/>
      <c r="S379" s="1"/>
      <c r="T379" s="1"/>
      <c r="U379" s="1"/>
      <c r="V379" s="1"/>
      <c r="W379" s="1"/>
      <c r="X379" s="1"/>
      <c r="Y379" s="1"/>
      <c r="Z379" s="1"/>
      <c r="AA379" s="1"/>
      <c r="AB379" s="1"/>
    </row>
    <row r="380" ht="12.75" customHeight="1">
      <c r="A380" s="1"/>
      <c r="B380" s="146"/>
      <c r="C380" s="150"/>
      <c r="D380" s="151"/>
      <c r="E380" s="261"/>
      <c r="F380" s="49"/>
      <c r="G380" s="24"/>
      <c r="H380" s="49"/>
      <c r="I380" s="49"/>
      <c r="J380" s="49"/>
      <c r="K380" s="49"/>
      <c r="L380" s="49"/>
      <c r="M380" s="49"/>
      <c r="N380" s="1"/>
      <c r="O380" s="1"/>
      <c r="P380" s="1"/>
      <c r="Q380" s="1"/>
      <c r="R380" s="1"/>
      <c r="S380" s="1"/>
      <c r="T380" s="1"/>
      <c r="U380" s="1"/>
      <c r="V380" s="1"/>
      <c r="W380" s="1"/>
      <c r="X380" s="1"/>
      <c r="Y380" s="1"/>
      <c r="Z380" s="1"/>
      <c r="AA380" s="1"/>
      <c r="AB380" s="1"/>
    </row>
    <row r="381" ht="12.75" customHeight="1">
      <c r="A381" s="1"/>
      <c r="B381" s="146"/>
      <c r="C381" s="150"/>
      <c r="D381" s="151"/>
      <c r="E381" s="261"/>
      <c r="F381" s="49"/>
      <c r="G381" s="24"/>
      <c r="H381" s="49"/>
      <c r="I381" s="49"/>
      <c r="J381" s="49"/>
      <c r="K381" s="49"/>
      <c r="L381" s="49"/>
      <c r="M381" s="49"/>
      <c r="N381" s="1"/>
      <c r="O381" s="1"/>
      <c r="P381" s="1"/>
      <c r="Q381" s="1"/>
      <c r="R381" s="1"/>
      <c r="S381" s="1"/>
      <c r="T381" s="1"/>
      <c r="U381" s="1"/>
      <c r="V381" s="1"/>
      <c r="W381" s="1"/>
      <c r="X381" s="1"/>
      <c r="Y381" s="1"/>
      <c r="Z381" s="1"/>
      <c r="AA381" s="1"/>
      <c r="AB381" s="1"/>
    </row>
    <row r="382" ht="12.75" customHeight="1">
      <c r="A382" s="1"/>
      <c r="B382" s="146"/>
      <c r="C382" s="150"/>
      <c r="D382" s="151"/>
      <c r="E382" s="261"/>
      <c r="F382" s="49"/>
      <c r="G382" s="24"/>
      <c r="H382" s="49"/>
      <c r="I382" s="49"/>
      <c r="J382" s="49"/>
      <c r="K382" s="49"/>
      <c r="L382" s="49"/>
      <c r="M382" s="49"/>
      <c r="N382" s="1"/>
      <c r="O382" s="1"/>
      <c r="P382" s="1"/>
      <c r="Q382" s="1"/>
      <c r="R382" s="1"/>
      <c r="S382" s="1"/>
      <c r="T382" s="1"/>
      <c r="U382" s="1"/>
      <c r="V382" s="1"/>
      <c r="W382" s="1"/>
      <c r="X382" s="1"/>
      <c r="Y382" s="1"/>
      <c r="Z382" s="1"/>
      <c r="AA382" s="1"/>
      <c r="AB382" s="1"/>
    </row>
    <row r="383" ht="12.75" customHeight="1">
      <c r="A383" s="1"/>
      <c r="B383" s="146"/>
      <c r="C383" s="150"/>
      <c r="D383" s="151"/>
      <c r="E383" s="261"/>
      <c r="F383" s="49"/>
      <c r="G383" s="24"/>
      <c r="H383" s="49"/>
      <c r="I383" s="49"/>
      <c r="J383" s="49"/>
      <c r="K383" s="49"/>
      <c r="L383" s="49"/>
      <c r="M383" s="49"/>
      <c r="N383" s="1"/>
      <c r="O383" s="1"/>
      <c r="P383" s="1"/>
      <c r="Q383" s="1"/>
      <c r="R383" s="1"/>
      <c r="S383" s="1"/>
      <c r="T383" s="1"/>
      <c r="U383" s="1"/>
      <c r="V383" s="1"/>
      <c r="W383" s="1"/>
      <c r="X383" s="1"/>
      <c r="Y383" s="1"/>
      <c r="Z383" s="1"/>
      <c r="AA383" s="1"/>
      <c r="AB383" s="1"/>
    </row>
    <row r="384" ht="12.75" customHeight="1">
      <c r="A384" s="1"/>
      <c r="B384" s="146"/>
      <c r="C384" s="150"/>
      <c r="D384" s="151"/>
      <c r="E384" s="261"/>
      <c r="F384" s="49"/>
      <c r="G384" s="24"/>
      <c r="H384" s="49"/>
      <c r="I384" s="49"/>
      <c r="J384" s="49"/>
      <c r="K384" s="49"/>
      <c r="L384" s="49"/>
      <c r="M384" s="49"/>
      <c r="N384" s="1"/>
      <c r="O384" s="1"/>
      <c r="P384" s="1"/>
      <c r="Q384" s="1"/>
      <c r="R384" s="1"/>
      <c r="S384" s="1"/>
      <c r="T384" s="1"/>
      <c r="U384" s="1"/>
      <c r="V384" s="1"/>
      <c r="W384" s="1"/>
      <c r="X384" s="1"/>
      <c r="Y384" s="1"/>
      <c r="Z384" s="1"/>
      <c r="AA384" s="1"/>
      <c r="AB384" s="1"/>
    </row>
    <row r="385" ht="12.75" customHeight="1">
      <c r="A385" s="1"/>
      <c r="B385" s="146"/>
      <c r="C385" s="150"/>
      <c r="D385" s="151"/>
      <c r="E385" s="261"/>
      <c r="F385" s="49"/>
      <c r="G385" s="24"/>
      <c r="H385" s="49"/>
      <c r="I385" s="49"/>
      <c r="J385" s="49"/>
      <c r="K385" s="49"/>
      <c r="L385" s="49"/>
      <c r="M385" s="49"/>
      <c r="N385" s="1"/>
      <c r="O385" s="1"/>
      <c r="P385" s="1"/>
      <c r="Q385" s="1"/>
      <c r="R385" s="1"/>
      <c r="S385" s="1"/>
      <c r="T385" s="1"/>
      <c r="U385" s="1"/>
      <c r="V385" s="1"/>
      <c r="W385" s="1"/>
      <c r="X385" s="1"/>
      <c r="Y385" s="1"/>
      <c r="Z385" s="1"/>
      <c r="AA385" s="1"/>
      <c r="AB385" s="1"/>
    </row>
    <row r="386" ht="12.75" customHeight="1">
      <c r="A386" s="1"/>
      <c r="B386" s="146"/>
      <c r="C386" s="150"/>
      <c r="D386" s="151"/>
      <c r="E386" s="261"/>
      <c r="F386" s="49"/>
      <c r="G386" s="24"/>
      <c r="H386" s="49"/>
      <c r="I386" s="49"/>
      <c r="J386" s="49"/>
      <c r="K386" s="49"/>
      <c r="L386" s="49"/>
      <c r="M386" s="49"/>
      <c r="N386" s="1"/>
      <c r="O386" s="1"/>
      <c r="P386" s="1"/>
      <c r="Q386" s="1"/>
      <c r="R386" s="1"/>
      <c r="S386" s="1"/>
      <c r="T386" s="1"/>
      <c r="U386" s="1"/>
      <c r="V386" s="1"/>
      <c r="W386" s="1"/>
      <c r="X386" s="1"/>
      <c r="Y386" s="1"/>
      <c r="Z386" s="1"/>
      <c r="AA386" s="1"/>
      <c r="AB386" s="1"/>
    </row>
    <row r="387" ht="12.75" customHeight="1">
      <c r="A387" s="1"/>
      <c r="B387" s="146"/>
      <c r="C387" s="150"/>
      <c r="D387" s="151"/>
      <c r="E387" s="261"/>
      <c r="F387" s="49"/>
      <c r="G387" s="24"/>
      <c r="H387" s="49"/>
      <c r="I387" s="49"/>
      <c r="J387" s="49"/>
      <c r="K387" s="49"/>
      <c r="L387" s="49"/>
      <c r="M387" s="49"/>
      <c r="N387" s="1"/>
      <c r="O387" s="1"/>
      <c r="P387" s="1"/>
      <c r="Q387" s="1"/>
      <c r="R387" s="1"/>
      <c r="S387" s="1"/>
      <c r="T387" s="1"/>
      <c r="U387" s="1"/>
      <c r="V387" s="1"/>
      <c r="W387" s="1"/>
      <c r="X387" s="1"/>
      <c r="Y387" s="1"/>
      <c r="Z387" s="1"/>
      <c r="AA387" s="1"/>
      <c r="AB387" s="1"/>
    </row>
    <row r="388" ht="12.75" customHeight="1">
      <c r="A388" s="1"/>
      <c r="B388" s="146"/>
      <c r="C388" s="150"/>
      <c r="D388" s="151"/>
      <c r="E388" s="261"/>
      <c r="F388" s="49"/>
      <c r="G388" s="24"/>
      <c r="H388" s="49"/>
      <c r="I388" s="49"/>
      <c r="J388" s="49"/>
      <c r="K388" s="49"/>
      <c r="L388" s="49"/>
      <c r="M388" s="49"/>
      <c r="N388" s="1"/>
      <c r="O388" s="1"/>
      <c r="P388" s="1"/>
      <c r="Q388" s="1"/>
      <c r="R388" s="1"/>
      <c r="S388" s="1"/>
      <c r="T388" s="1"/>
      <c r="U388" s="1"/>
      <c r="V388" s="1"/>
      <c r="W388" s="1"/>
      <c r="X388" s="1"/>
      <c r="Y388" s="1"/>
      <c r="Z388" s="1"/>
      <c r="AA388" s="1"/>
      <c r="AB388" s="1"/>
    </row>
    <row r="389" ht="12.75" customHeight="1">
      <c r="A389" s="1"/>
      <c r="B389" s="146"/>
      <c r="C389" s="150"/>
      <c r="D389" s="151"/>
      <c r="E389" s="261"/>
      <c r="F389" s="49"/>
      <c r="G389" s="24"/>
      <c r="H389" s="49"/>
      <c r="I389" s="49"/>
      <c r="J389" s="49"/>
      <c r="K389" s="49"/>
      <c r="L389" s="49"/>
      <c r="M389" s="49"/>
      <c r="N389" s="1"/>
      <c r="O389" s="1"/>
      <c r="P389" s="1"/>
      <c r="Q389" s="1"/>
      <c r="R389" s="1"/>
      <c r="S389" s="1"/>
      <c r="T389" s="1"/>
      <c r="U389" s="1"/>
      <c r="V389" s="1"/>
      <c r="W389" s="1"/>
      <c r="X389" s="1"/>
      <c r="Y389" s="1"/>
      <c r="Z389" s="1"/>
      <c r="AA389" s="1"/>
      <c r="AB389" s="1"/>
    </row>
    <row r="390" ht="12.75" customHeight="1">
      <c r="A390" s="1"/>
      <c r="B390" s="146"/>
      <c r="C390" s="150"/>
      <c r="D390" s="151"/>
      <c r="E390" s="261"/>
      <c r="F390" s="49"/>
      <c r="G390" s="24"/>
      <c r="H390" s="49"/>
      <c r="I390" s="49"/>
      <c r="J390" s="49"/>
      <c r="K390" s="49"/>
      <c r="L390" s="49"/>
      <c r="M390" s="49"/>
      <c r="N390" s="1"/>
      <c r="O390" s="1"/>
      <c r="P390" s="1"/>
      <c r="Q390" s="1"/>
      <c r="R390" s="1"/>
      <c r="S390" s="1"/>
      <c r="T390" s="1"/>
      <c r="U390" s="1"/>
      <c r="V390" s="1"/>
      <c r="W390" s="1"/>
      <c r="X390" s="1"/>
      <c r="Y390" s="1"/>
      <c r="Z390" s="1"/>
      <c r="AA390" s="1"/>
      <c r="AB390" s="1"/>
    </row>
    <row r="391" ht="12.75" customHeight="1">
      <c r="A391" s="1"/>
      <c r="B391" s="146"/>
      <c r="C391" s="150"/>
      <c r="D391" s="151"/>
      <c r="E391" s="261"/>
      <c r="F391" s="49"/>
      <c r="G391" s="24"/>
      <c r="H391" s="49"/>
      <c r="I391" s="49"/>
      <c r="J391" s="49"/>
      <c r="K391" s="49"/>
      <c r="L391" s="49"/>
      <c r="M391" s="49"/>
      <c r="N391" s="1"/>
      <c r="O391" s="1"/>
      <c r="P391" s="1"/>
      <c r="Q391" s="1"/>
      <c r="R391" s="1"/>
      <c r="S391" s="1"/>
      <c r="T391" s="1"/>
      <c r="U391" s="1"/>
      <c r="V391" s="1"/>
      <c r="W391" s="1"/>
      <c r="X391" s="1"/>
      <c r="Y391" s="1"/>
      <c r="Z391" s="1"/>
      <c r="AA391" s="1"/>
      <c r="AB391" s="1"/>
    </row>
    <row r="392" ht="12.75" customHeight="1">
      <c r="A392" s="1"/>
      <c r="B392" s="146"/>
      <c r="C392" s="150"/>
      <c r="D392" s="151"/>
      <c r="E392" s="261"/>
      <c r="F392" s="49"/>
      <c r="G392" s="24"/>
      <c r="H392" s="49"/>
      <c r="I392" s="49"/>
      <c r="J392" s="49"/>
      <c r="K392" s="49"/>
      <c r="L392" s="49"/>
      <c r="M392" s="49"/>
      <c r="N392" s="1"/>
      <c r="O392" s="1"/>
      <c r="P392" s="1"/>
      <c r="Q392" s="1"/>
      <c r="R392" s="1"/>
      <c r="S392" s="1"/>
      <c r="T392" s="1"/>
      <c r="U392" s="1"/>
      <c r="V392" s="1"/>
      <c r="W392" s="1"/>
      <c r="X392" s="1"/>
      <c r="Y392" s="1"/>
      <c r="Z392" s="1"/>
      <c r="AA392" s="1"/>
      <c r="AB392" s="1"/>
    </row>
    <row r="393" ht="12.75" customHeight="1">
      <c r="A393" s="1"/>
      <c r="B393" s="146"/>
      <c r="C393" s="150"/>
      <c r="D393" s="151"/>
      <c r="E393" s="261"/>
      <c r="F393" s="49"/>
      <c r="G393" s="24"/>
      <c r="H393" s="49"/>
      <c r="I393" s="49"/>
      <c r="J393" s="49"/>
      <c r="K393" s="49"/>
      <c r="L393" s="49"/>
      <c r="M393" s="49"/>
      <c r="N393" s="1"/>
      <c r="O393" s="1"/>
      <c r="P393" s="1"/>
      <c r="Q393" s="1"/>
      <c r="R393" s="1"/>
      <c r="S393" s="1"/>
      <c r="T393" s="1"/>
      <c r="U393" s="1"/>
      <c r="V393" s="1"/>
      <c r="W393" s="1"/>
      <c r="X393" s="1"/>
      <c r="Y393" s="1"/>
      <c r="Z393" s="1"/>
      <c r="AA393" s="1"/>
      <c r="AB393" s="1"/>
    </row>
    <row r="394" ht="12.75" customHeight="1">
      <c r="A394" s="1"/>
      <c r="B394" s="146"/>
      <c r="C394" s="150"/>
      <c r="D394" s="151"/>
      <c r="E394" s="261"/>
      <c r="F394" s="49"/>
      <c r="G394" s="24"/>
      <c r="H394" s="49"/>
      <c r="I394" s="49"/>
      <c r="J394" s="49"/>
      <c r="K394" s="49"/>
      <c r="L394" s="49"/>
      <c r="M394" s="49"/>
      <c r="N394" s="1"/>
      <c r="O394" s="1"/>
      <c r="P394" s="1"/>
      <c r="Q394" s="1"/>
      <c r="R394" s="1"/>
      <c r="S394" s="1"/>
      <c r="T394" s="1"/>
      <c r="U394" s="1"/>
      <c r="V394" s="1"/>
      <c r="W394" s="1"/>
      <c r="X394" s="1"/>
      <c r="Y394" s="1"/>
      <c r="Z394" s="1"/>
      <c r="AA394" s="1"/>
      <c r="AB394" s="1"/>
    </row>
    <row r="395" ht="12.75" customHeight="1">
      <c r="A395" s="1"/>
      <c r="B395" s="146"/>
      <c r="C395" s="150"/>
      <c r="D395" s="151"/>
      <c r="E395" s="261"/>
      <c r="F395" s="49"/>
      <c r="G395" s="24"/>
      <c r="H395" s="49"/>
      <c r="I395" s="49"/>
      <c r="J395" s="49"/>
      <c r="K395" s="49"/>
      <c r="L395" s="49"/>
      <c r="M395" s="49"/>
      <c r="N395" s="1"/>
      <c r="O395" s="1"/>
      <c r="P395" s="1"/>
      <c r="Q395" s="1"/>
      <c r="R395" s="1"/>
      <c r="S395" s="1"/>
      <c r="T395" s="1"/>
      <c r="U395" s="1"/>
      <c r="V395" s="1"/>
      <c r="W395" s="1"/>
      <c r="X395" s="1"/>
      <c r="Y395" s="1"/>
      <c r="Z395" s="1"/>
      <c r="AA395" s="1"/>
      <c r="AB395" s="1"/>
    </row>
    <row r="396" ht="12.75" customHeight="1">
      <c r="A396" s="1"/>
      <c r="B396" s="146"/>
      <c r="C396" s="150"/>
      <c r="D396" s="151"/>
      <c r="E396" s="261"/>
      <c r="F396" s="49"/>
      <c r="G396" s="24"/>
      <c r="H396" s="49"/>
      <c r="I396" s="49"/>
      <c r="J396" s="49"/>
      <c r="K396" s="49"/>
      <c r="L396" s="49"/>
      <c r="M396" s="49"/>
      <c r="N396" s="1"/>
      <c r="O396" s="1"/>
      <c r="P396" s="1"/>
      <c r="Q396" s="1"/>
      <c r="R396" s="1"/>
      <c r="S396" s="1"/>
      <c r="T396" s="1"/>
      <c r="U396" s="1"/>
      <c r="V396" s="1"/>
      <c r="W396" s="1"/>
      <c r="X396" s="1"/>
      <c r="Y396" s="1"/>
      <c r="Z396" s="1"/>
      <c r="AA396" s="1"/>
      <c r="AB396" s="1"/>
    </row>
    <row r="397" ht="12.75" customHeight="1">
      <c r="A397" s="1"/>
      <c r="B397" s="146"/>
      <c r="C397" s="150"/>
      <c r="D397" s="151"/>
      <c r="E397" s="261"/>
      <c r="F397" s="49"/>
      <c r="G397" s="24"/>
      <c r="H397" s="49"/>
      <c r="I397" s="49"/>
      <c r="J397" s="49"/>
      <c r="K397" s="49"/>
      <c r="L397" s="49"/>
      <c r="M397" s="49"/>
      <c r="N397" s="1"/>
      <c r="O397" s="1"/>
      <c r="P397" s="1"/>
      <c r="Q397" s="1"/>
      <c r="R397" s="1"/>
      <c r="S397" s="1"/>
      <c r="T397" s="1"/>
      <c r="U397" s="1"/>
      <c r="V397" s="1"/>
      <c r="W397" s="1"/>
      <c r="X397" s="1"/>
      <c r="Y397" s="1"/>
      <c r="Z397" s="1"/>
      <c r="AA397" s="1"/>
      <c r="AB397" s="1"/>
    </row>
    <row r="398" ht="12.75" customHeight="1">
      <c r="A398" s="1"/>
      <c r="B398" s="146"/>
      <c r="C398" s="150"/>
      <c r="D398" s="151"/>
      <c r="E398" s="261"/>
      <c r="F398" s="49"/>
      <c r="G398" s="24"/>
      <c r="H398" s="49"/>
      <c r="I398" s="49"/>
      <c r="J398" s="49"/>
      <c r="K398" s="49"/>
      <c r="L398" s="49"/>
      <c r="M398" s="49"/>
      <c r="N398" s="1"/>
      <c r="O398" s="1"/>
      <c r="P398" s="1"/>
      <c r="Q398" s="1"/>
      <c r="R398" s="1"/>
      <c r="S398" s="1"/>
      <c r="T398" s="1"/>
      <c r="U398" s="1"/>
      <c r="V398" s="1"/>
      <c r="W398" s="1"/>
      <c r="X398" s="1"/>
      <c r="Y398" s="1"/>
      <c r="Z398" s="1"/>
      <c r="AA398" s="1"/>
      <c r="AB398" s="1"/>
    </row>
    <row r="399" ht="12.75" customHeight="1">
      <c r="A399" s="1"/>
      <c r="B399" s="146"/>
      <c r="C399" s="150"/>
      <c r="D399" s="151"/>
      <c r="E399" s="261"/>
      <c r="F399" s="49"/>
      <c r="G399" s="24"/>
      <c r="H399" s="49"/>
      <c r="I399" s="49"/>
      <c r="J399" s="49"/>
      <c r="K399" s="49"/>
      <c r="L399" s="49"/>
      <c r="M399" s="49"/>
      <c r="N399" s="1"/>
      <c r="O399" s="1"/>
      <c r="P399" s="1"/>
      <c r="Q399" s="1"/>
      <c r="R399" s="1"/>
      <c r="S399" s="1"/>
      <c r="T399" s="1"/>
      <c r="U399" s="1"/>
      <c r="V399" s="1"/>
      <c r="W399" s="1"/>
      <c r="X399" s="1"/>
      <c r="Y399" s="1"/>
      <c r="Z399" s="1"/>
      <c r="AA399" s="1"/>
      <c r="AB399" s="1"/>
    </row>
    <row r="400" ht="12.75" customHeight="1">
      <c r="A400" s="1"/>
      <c r="B400" s="146"/>
      <c r="C400" s="150"/>
      <c r="D400" s="151"/>
      <c r="E400" s="261"/>
      <c r="F400" s="49"/>
      <c r="G400" s="24"/>
      <c r="H400" s="49"/>
      <c r="I400" s="49"/>
      <c r="J400" s="49"/>
      <c r="K400" s="49"/>
      <c r="L400" s="49"/>
      <c r="M400" s="49"/>
      <c r="N400" s="1"/>
      <c r="O400" s="1"/>
      <c r="P400" s="1"/>
      <c r="Q400" s="1"/>
      <c r="R400" s="1"/>
      <c r="S400" s="1"/>
      <c r="T400" s="1"/>
      <c r="U400" s="1"/>
      <c r="V400" s="1"/>
      <c r="W400" s="1"/>
      <c r="X400" s="1"/>
      <c r="Y400" s="1"/>
      <c r="Z400" s="1"/>
      <c r="AA400" s="1"/>
      <c r="AB400" s="1"/>
    </row>
    <row r="401" ht="12.75" customHeight="1">
      <c r="A401" s="1"/>
      <c r="B401" s="146"/>
      <c r="C401" s="150"/>
      <c r="D401" s="151"/>
      <c r="E401" s="261"/>
      <c r="F401" s="49"/>
      <c r="G401" s="24"/>
      <c r="H401" s="49"/>
      <c r="I401" s="49"/>
      <c r="J401" s="49"/>
      <c r="K401" s="49"/>
      <c r="L401" s="49"/>
      <c r="M401" s="49"/>
      <c r="N401" s="1"/>
      <c r="O401" s="1"/>
      <c r="P401" s="1"/>
      <c r="Q401" s="1"/>
      <c r="R401" s="1"/>
      <c r="S401" s="1"/>
      <c r="T401" s="1"/>
      <c r="U401" s="1"/>
      <c r="V401" s="1"/>
      <c r="W401" s="1"/>
      <c r="X401" s="1"/>
      <c r="Y401" s="1"/>
      <c r="Z401" s="1"/>
      <c r="AA401" s="1"/>
      <c r="AB401" s="1"/>
    </row>
    <row r="402" ht="12.75" customHeight="1">
      <c r="A402" s="1"/>
      <c r="B402" s="146"/>
      <c r="C402" s="150"/>
      <c r="D402" s="151"/>
      <c r="E402" s="261"/>
      <c r="F402" s="49"/>
      <c r="G402" s="24"/>
      <c r="H402" s="49"/>
      <c r="I402" s="49"/>
      <c r="J402" s="49"/>
      <c r="K402" s="49"/>
      <c r="L402" s="49"/>
      <c r="M402" s="49"/>
      <c r="N402" s="1"/>
      <c r="O402" s="1"/>
      <c r="P402" s="1"/>
      <c r="Q402" s="1"/>
      <c r="R402" s="1"/>
      <c r="S402" s="1"/>
      <c r="T402" s="1"/>
      <c r="U402" s="1"/>
      <c r="V402" s="1"/>
      <c r="W402" s="1"/>
      <c r="X402" s="1"/>
      <c r="Y402" s="1"/>
      <c r="Z402" s="1"/>
      <c r="AA402" s="1"/>
      <c r="AB402" s="1"/>
    </row>
    <row r="403" ht="12.75" customHeight="1">
      <c r="A403" s="1"/>
      <c r="B403" s="146"/>
      <c r="C403" s="150"/>
      <c r="D403" s="151"/>
      <c r="E403" s="261"/>
      <c r="F403" s="49"/>
      <c r="G403" s="24"/>
      <c r="H403" s="49"/>
      <c r="I403" s="49"/>
      <c r="J403" s="49"/>
      <c r="K403" s="49"/>
      <c r="L403" s="49"/>
      <c r="M403" s="49"/>
      <c r="N403" s="1"/>
      <c r="O403" s="1"/>
      <c r="P403" s="1"/>
      <c r="Q403" s="1"/>
      <c r="R403" s="1"/>
      <c r="S403" s="1"/>
      <c r="T403" s="1"/>
      <c r="U403" s="1"/>
      <c r="V403" s="1"/>
      <c r="W403" s="1"/>
      <c r="X403" s="1"/>
      <c r="Y403" s="1"/>
      <c r="Z403" s="1"/>
      <c r="AA403" s="1"/>
      <c r="AB403" s="1"/>
    </row>
    <row r="404" ht="12.75" customHeight="1">
      <c r="A404" s="1"/>
      <c r="B404" s="146"/>
      <c r="C404" s="150"/>
      <c r="D404" s="151"/>
      <c r="E404" s="261"/>
      <c r="F404" s="49"/>
      <c r="G404" s="24"/>
      <c r="H404" s="49"/>
      <c r="I404" s="49"/>
      <c r="J404" s="49"/>
      <c r="K404" s="49"/>
      <c r="L404" s="49"/>
      <c r="M404" s="49"/>
      <c r="N404" s="1"/>
      <c r="O404" s="1"/>
      <c r="P404" s="1"/>
      <c r="Q404" s="1"/>
      <c r="R404" s="1"/>
      <c r="S404" s="1"/>
      <c r="T404" s="1"/>
      <c r="U404" s="1"/>
      <c r="V404" s="1"/>
      <c r="W404" s="1"/>
      <c r="X404" s="1"/>
      <c r="Y404" s="1"/>
      <c r="Z404" s="1"/>
      <c r="AA404" s="1"/>
      <c r="AB404" s="1"/>
    </row>
    <row r="405" ht="12.75" customHeight="1">
      <c r="A405" s="1"/>
      <c r="B405" s="146"/>
      <c r="C405" s="150"/>
      <c r="D405" s="151"/>
      <c r="E405" s="261"/>
      <c r="F405" s="49"/>
      <c r="G405" s="24"/>
      <c r="H405" s="49"/>
      <c r="I405" s="49"/>
      <c r="J405" s="49"/>
      <c r="K405" s="49"/>
      <c r="L405" s="49"/>
      <c r="M405" s="49"/>
      <c r="N405" s="1"/>
      <c r="O405" s="1"/>
      <c r="P405" s="1"/>
      <c r="Q405" s="1"/>
      <c r="R405" s="1"/>
      <c r="S405" s="1"/>
      <c r="T405" s="1"/>
      <c r="U405" s="1"/>
      <c r="V405" s="1"/>
      <c r="W405" s="1"/>
      <c r="X405" s="1"/>
      <c r="Y405" s="1"/>
      <c r="Z405" s="1"/>
      <c r="AA405" s="1"/>
      <c r="AB405" s="1"/>
    </row>
    <row r="406" ht="12.75" customHeight="1">
      <c r="A406" s="1"/>
      <c r="B406" s="146"/>
      <c r="C406" s="150"/>
      <c r="D406" s="151"/>
      <c r="E406" s="261"/>
      <c r="F406" s="49"/>
      <c r="G406" s="24"/>
      <c r="H406" s="49"/>
      <c r="I406" s="49"/>
      <c r="J406" s="49"/>
      <c r="K406" s="49"/>
      <c r="L406" s="49"/>
      <c r="M406" s="49"/>
      <c r="N406" s="1"/>
      <c r="O406" s="1"/>
      <c r="P406" s="1"/>
      <c r="Q406" s="1"/>
      <c r="R406" s="1"/>
      <c r="S406" s="1"/>
      <c r="T406" s="1"/>
      <c r="U406" s="1"/>
      <c r="V406" s="1"/>
      <c r="W406" s="1"/>
      <c r="X406" s="1"/>
      <c r="Y406" s="1"/>
      <c r="Z406" s="1"/>
      <c r="AA406" s="1"/>
      <c r="AB406" s="1"/>
    </row>
    <row r="407" ht="12.75" customHeight="1">
      <c r="A407" s="1"/>
      <c r="B407" s="146"/>
      <c r="C407" s="150"/>
      <c r="D407" s="151"/>
      <c r="E407" s="261"/>
      <c r="F407" s="49"/>
      <c r="G407" s="24"/>
      <c r="H407" s="49"/>
      <c r="I407" s="49"/>
      <c r="J407" s="49"/>
      <c r="K407" s="49"/>
      <c r="L407" s="49"/>
      <c r="M407" s="49"/>
      <c r="N407" s="1"/>
      <c r="O407" s="1"/>
      <c r="P407" s="1"/>
      <c r="Q407" s="1"/>
      <c r="R407" s="1"/>
      <c r="S407" s="1"/>
      <c r="T407" s="1"/>
      <c r="U407" s="1"/>
      <c r="V407" s="1"/>
      <c r="W407" s="1"/>
      <c r="X407" s="1"/>
      <c r="Y407" s="1"/>
      <c r="Z407" s="1"/>
      <c r="AA407" s="1"/>
      <c r="AB407" s="1"/>
    </row>
    <row r="408" ht="12.75" customHeight="1">
      <c r="A408" s="1"/>
      <c r="B408" s="146"/>
      <c r="C408" s="150"/>
      <c r="D408" s="151"/>
      <c r="E408" s="261"/>
      <c r="F408" s="49"/>
      <c r="G408" s="24"/>
      <c r="H408" s="49"/>
      <c r="I408" s="49"/>
      <c r="J408" s="49"/>
      <c r="K408" s="49"/>
      <c r="L408" s="49"/>
      <c r="M408" s="49"/>
      <c r="N408" s="1"/>
      <c r="O408" s="1"/>
      <c r="P408" s="1"/>
      <c r="Q408" s="1"/>
      <c r="R408" s="1"/>
      <c r="S408" s="1"/>
      <c r="T408" s="1"/>
      <c r="U408" s="1"/>
      <c r="V408" s="1"/>
      <c r="W408" s="1"/>
      <c r="X408" s="1"/>
      <c r="Y408" s="1"/>
      <c r="Z408" s="1"/>
      <c r="AA408" s="1"/>
      <c r="AB408" s="1"/>
    </row>
    <row r="409" ht="12.75" customHeight="1">
      <c r="A409" s="1"/>
      <c r="B409" s="146"/>
      <c r="C409" s="150"/>
      <c r="D409" s="151"/>
      <c r="E409" s="261"/>
      <c r="F409" s="49"/>
      <c r="G409" s="24"/>
      <c r="H409" s="49"/>
      <c r="I409" s="49"/>
      <c r="J409" s="49"/>
      <c r="K409" s="49"/>
      <c r="L409" s="49"/>
      <c r="M409" s="49"/>
      <c r="N409" s="1"/>
      <c r="O409" s="1"/>
      <c r="P409" s="1"/>
      <c r="Q409" s="1"/>
      <c r="R409" s="1"/>
      <c r="S409" s="1"/>
      <c r="T409" s="1"/>
      <c r="U409" s="1"/>
      <c r="V409" s="1"/>
      <c r="W409" s="1"/>
      <c r="X409" s="1"/>
      <c r="Y409" s="1"/>
      <c r="Z409" s="1"/>
      <c r="AA409" s="1"/>
      <c r="AB409" s="1"/>
    </row>
    <row r="410" ht="12.75" customHeight="1">
      <c r="A410" s="1"/>
      <c r="B410" s="146"/>
      <c r="C410" s="150"/>
      <c r="D410" s="151"/>
      <c r="E410" s="261"/>
      <c r="F410" s="49"/>
      <c r="G410" s="24"/>
      <c r="H410" s="49"/>
      <c r="I410" s="49"/>
      <c r="J410" s="49"/>
      <c r="K410" s="49"/>
      <c r="L410" s="49"/>
      <c r="M410" s="49"/>
      <c r="N410" s="1"/>
      <c r="O410" s="1"/>
      <c r="P410" s="1"/>
      <c r="Q410" s="1"/>
      <c r="R410" s="1"/>
      <c r="S410" s="1"/>
      <c r="T410" s="1"/>
      <c r="U410" s="1"/>
      <c r="V410" s="1"/>
      <c r="W410" s="1"/>
      <c r="X410" s="1"/>
      <c r="Y410" s="1"/>
      <c r="Z410" s="1"/>
      <c r="AA410" s="1"/>
      <c r="AB410" s="1"/>
    </row>
    <row r="411" ht="12.75" customHeight="1">
      <c r="A411" s="1"/>
      <c r="B411" s="146"/>
      <c r="C411" s="150"/>
      <c r="D411" s="151"/>
      <c r="E411" s="261"/>
      <c r="F411" s="49"/>
      <c r="G411" s="24"/>
      <c r="H411" s="49"/>
      <c r="I411" s="49"/>
      <c r="J411" s="49"/>
      <c r="K411" s="49"/>
      <c r="L411" s="49"/>
      <c r="M411" s="49"/>
      <c r="N411" s="1"/>
      <c r="O411" s="1"/>
      <c r="P411" s="1"/>
      <c r="Q411" s="1"/>
      <c r="R411" s="1"/>
      <c r="S411" s="1"/>
      <c r="T411" s="1"/>
      <c r="U411" s="1"/>
      <c r="V411" s="1"/>
      <c r="W411" s="1"/>
      <c r="X411" s="1"/>
      <c r="Y411" s="1"/>
      <c r="Z411" s="1"/>
      <c r="AA411" s="1"/>
      <c r="AB411" s="1"/>
    </row>
    <row r="412" ht="12.75" customHeight="1">
      <c r="A412" s="1"/>
      <c r="B412" s="146"/>
      <c r="C412" s="150"/>
      <c r="D412" s="151"/>
      <c r="E412" s="261"/>
      <c r="F412" s="49"/>
      <c r="G412" s="24"/>
      <c r="H412" s="49"/>
      <c r="I412" s="49"/>
      <c r="J412" s="49"/>
      <c r="K412" s="49"/>
      <c r="L412" s="49"/>
      <c r="M412" s="49"/>
      <c r="N412" s="1"/>
      <c r="O412" s="1"/>
      <c r="P412" s="1"/>
      <c r="Q412" s="1"/>
      <c r="R412" s="1"/>
      <c r="S412" s="1"/>
      <c r="T412" s="1"/>
      <c r="U412" s="1"/>
      <c r="V412" s="1"/>
      <c r="W412" s="1"/>
      <c r="X412" s="1"/>
      <c r="Y412" s="1"/>
      <c r="Z412" s="1"/>
      <c r="AA412" s="1"/>
      <c r="AB412" s="1"/>
    </row>
    <row r="413" ht="12.75" customHeight="1">
      <c r="A413" s="1"/>
      <c r="B413" s="146"/>
      <c r="C413" s="150"/>
      <c r="D413" s="151"/>
      <c r="E413" s="261"/>
      <c r="F413" s="49"/>
      <c r="G413" s="24"/>
      <c r="H413" s="49"/>
      <c r="I413" s="49"/>
      <c r="J413" s="49"/>
      <c r="K413" s="49"/>
      <c r="L413" s="49"/>
      <c r="M413" s="49"/>
      <c r="N413" s="1"/>
      <c r="O413" s="1"/>
      <c r="P413" s="1"/>
      <c r="Q413" s="1"/>
      <c r="R413" s="1"/>
      <c r="S413" s="1"/>
      <c r="T413" s="1"/>
      <c r="U413" s="1"/>
      <c r="V413" s="1"/>
      <c r="W413" s="1"/>
      <c r="X413" s="1"/>
      <c r="Y413" s="1"/>
      <c r="Z413" s="1"/>
      <c r="AA413" s="1"/>
      <c r="AB413" s="1"/>
    </row>
    <row r="414" ht="12.75" customHeight="1">
      <c r="A414" s="1"/>
      <c r="B414" s="146"/>
      <c r="C414" s="150"/>
      <c r="D414" s="151"/>
      <c r="E414" s="261"/>
      <c r="F414" s="49"/>
      <c r="G414" s="24"/>
      <c r="H414" s="49"/>
      <c r="I414" s="49"/>
      <c r="J414" s="49"/>
      <c r="K414" s="49"/>
      <c r="L414" s="49"/>
      <c r="M414" s="49"/>
      <c r="N414" s="1"/>
      <c r="O414" s="1"/>
      <c r="P414" s="1"/>
      <c r="Q414" s="1"/>
      <c r="R414" s="1"/>
      <c r="S414" s="1"/>
      <c r="T414" s="1"/>
      <c r="U414" s="1"/>
      <c r="V414" s="1"/>
      <c r="W414" s="1"/>
      <c r="X414" s="1"/>
      <c r="Y414" s="1"/>
      <c r="Z414" s="1"/>
      <c r="AA414" s="1"/>
      <c r="AB414" s="1"/>
    </row>
    <row r="415" ht="12.75" customHeight="1">
      <c r="A415" s="1"/>
      <c r="B415" s="146"/>
      <c r="C415" s="150"/>
      <c r="D415" s="151"/>
      <c r="E415" s="261"/>
      <c r="F415" s="49"/>
      <c r="G415" s="24"/>
      <c r="H415" s="49"/>
      <c r="I415" s="49"/>
      <c r="J415" s="49"/>
      <c r="K415" s="49"/>
      <c r="L415" s="49"/>
      <c r="M415" s="49"/>
      <c r="N415" s="1"/>
      <c r="O415" s="1"/>
      <c r="P415" s="1"/>
      <c r="Q415" s="1"/>
      <c r="R415" s="1"/>
      <c r="S415" s="1"/>
      <c r="T415" s="1"/>
      <c r="U415" s="1"/>
      <c r="V415" s="1"/>
      <c r="W415" s="1"/>
      <c r="X415" s="1"/>
      <c r="Y415" s="1"/>
      <c r="Z415" s="1"/>
      <c r="AA415" s="1"/>
      <c r="AB415" s="1"/>
    </row>
    <row r="416" ht="12.75" customHeight="1">
      <c r="A416" s="1"/>
      <c r="B416" s="146"/>
      <c r="C416" s="150"/>
      <c r="D416" s="151"/>
      <c r="E416" s="261"/>
      <c r="F416" s="49"/>
      <c r="G416" s="24"/>
      <c r="H416" s="49"/>
      <c r="I416" s="49"/>
      <c r="J416" s="49"/>
      <c r="K416" s="49"/>
      <c r="L416" s="49"/>
      <c r="M416" s="49"/>
      <c r="N416" s="1"/>
      <c r="O416" s="1"/>
      <c r="P416" s="1"/>
      <c r="Q416" s="1"/>
      <c r="R416" s="1"/>
      <c r="S416" s="1"/>
      <c r="T416" s="1"/>
      <c r="U416" s="1"/>
      <c r="V416" s="1"/>
      <c r="W416" s="1"/>
      <c r="X416" s="1"/>
      <c r="Y416" s="1"/>
      <c r="Z416" s="1"/>
      <c r="AA416" s="1"/>
      <c r="AB416" s="1"/>
    </row>
    <row r="417" ht="12.75" customHeight="1">
      <c r="A417" s="1"/>
      <c r="B417" s="146"/>
      <c r="C417" s="150"/>
      <c r="D417" s="151"/>
      <c r="E417" s="261"/>
      <c r="F417" s="49"/>
      <c r="G417" s="24"/>
      <c r="H417" s="49"/>
      <c r="I417" s="49"/>
      <c r="J417" s="49"/>
      <c r="K417" s="49"/>
      <c r="L417" s="49"/>
      <c r="M417" s="49"/>
      <c r="N417" s="1"/>
      <c r="O417" s="1"/>
      <c r="P417" s="1"/>
      <c r="Q417" s="1"/>
      <c r="R417" s="1"/>
      <c r="S417" s="1"/>
      <c r="T417" s="1"/>
      <c r="U417" s="1"/>
      <c r="V417" s="1"/>
      <c r="W417" s="1"/>
      <c r="X417" s="1"/>
      <c r="Y417" s="1"/>
      <c r="Z417" s="1"/>
      <c r="AA417" s="1"/>
      <c r="AB417" s="1"/>
    </row>
    <row r="418" ht="12.75" customHeight="1">
      <c r="A418" s="1"/>
      <c r="B418" s="146"/>
      <c r="C418" s="150"/>
      <c r="D418" s="151"/>
      <c r="E418" s="261"/>
      <c r="F418" s="49"/>
      <c r="G418" s="24"/>
      <c r="H418" s="49"/>
      <c r="I418" s="49"/>
      <c r="J418" s="49"/>
      <c r="K418" s="49"/>
      <c r="L418" s="49"/>
      <c r="M418" s="49"/>
      <c r="N418" s="1"/>
      <c r="O418" s="1"/>
      <c r="P418" s="1"/>
      <c r="Q418" s="1"/>
      <c r="R418" s="1"/>
      <c r="S418" s="1"/>
      <c r="T418" s="1"/>
      <c r="U418" s="1"/>
      <c r="V418" s="1"/>
      <c r="W418" s="1"/>
      <c r="X418" s="1"/>
      <c r="Y418" s="1"/>
      <c r="Z418" s="1"/>
      <c r="AA418" s="1"/>
      <c r="AB418" s="1"/>
    </row>
    <row r="419" ht="12.75" customHeight="1">
      <c r="A419" s="1"/>
      <c r="B419" s="146"/>
      <c r="C419" s="150"/>
      <c r="D419" s="151"/>
      <c r="E419" s="261"/>
      <c r="F419" s="49"/>
      <c r="G419" s="24"/>
      <c r="H419" s="49"/>
      <c r="I419" s="49"/>
      <c r="J419" s="49"/>
      <c r="K419" s="49"/>
      <c r="L419" s="49"/>
      <c r="M419" s="49"/>
      <c r="N419" s="1"/>
      <c r="O419" s="1"/>
      <c r="P419" s="1"/>
      <c r="Q419" s="1"/>
      <c r="R419" s="1"/>
      <c r="S419" s="1"/>
      <c r="T419" s="1"/>
      <c r="U419" s="1"/>
      <c r="V419" s="1"/>
      <c r="W419" s="1"/>
      <c r="X419" s="1"/>
      <c r="Y419" s="1"/>
      <c r="Z419" s="1"/>
      <c r="AA419" s="1"/>
      <c r="AB419" s="1"/>
    </row>
    <row r="420" ht="12.75" customHeight="1">
      <c r="A420" s="1"/>
      <c r="B420" s="146"/>
      <c r="C420" s="150"/>
      <c r="D420" s="151"/>
      <c r="E420" s="261"/>
      <c r="F420" s="49"/>
      <c r="G420" s="24"/>
      <c r="H420" s="49"/>
      <c r="I420" s="49"/>
      <c r="J420" s="49"/>
      <c r="K420" s="49"/>
      <c r="L420" s="49"/>
      <c r="M420" s="49"/>
      <c r="N420" s="1"/>
      <c r="O420" s="1"/>
      <c r="P420" s="1"/>
      <c r="Q420" s="1"/>
      <c r="R420" s="1"/>
      <c r="S420" s="1"/>
      <c r="T420" s="1"/>
      <c r="U420" s="1"/>
      <c r="V420" s="1"/>
      <c r="W420" s="1"/>
      <c r="X420" s="1"/>
      <c r="Y420" s="1"/>
      <c r="Z420" s="1"/>
      <c r="AA420" s="1"/>
      <c r="AB420" s="1"/>
    </row>
    <row r="421" ht="12.75" customHeight="1">
      <c r="A421" s="1"/>
      <c r="B421" s="146"/>
      <c r="C421" s="150"/>
      <c r="D421" s="151"/>
      <c r="E421" s="261"/>
      <c r="F421" s="49"/>
      <c r="G421" s="24"/>
      <c r="H421" s="49"/>
      <c r="I421" s="49"/>
      <c r="J421" s="49"/>
      <c r="K421" s="49"/>
      <c r="L421" s="49"/>
      <c r="M421" s="49"/>
      <c r="N421" s="1"/>
      <c r="O421" s="1"/>
      <c r="P421" s="1"/>
      <c r="Q421" s="1"/>
      <c r="R421" s="1"/>
      <c r="S421" s="1"/>
      <c r="T421" s="1"/>
      <c r="U421" s="1"/>
      <c r="V421" s="1"/>
      <c r="W421" s="1"/>
      <c r="X421" s="1"/>
      <c r="Y421" s="1"/>
      <c r="Z421" s="1"/>
      <c r="AA421" s="1"/>
      <c r="AB421" s="1"/>
    </row>
    <row r="422" ht="12.75" customHeight="1">
      <c r="A422" s="1"/>
      <c r="B422" s="146"/>
      <c r="C422" s="150"/>
      <c r="D422" s="151"/>
      <c r="E422" s="261"/>
      <c r="F422" s="49"/>
      <c r="G422" s="24"/>
      <c r="H422" s="49"/>
      <c r="I422" s="49"/>
      <c r="J422" s="49"/>
      <c r="K422" s="49"/>
      <c r="L422" s="49"/>
      <c r="M422" s="49"/>
      <c r="N422" s="1"/>
      <c r="O422" s="1"/>
      <c r="P422" s="1"/>
      <c r="Q422" s="1"/>
      <c r="R422" s="1"/>
      <c r="S422" s="1"/>
      <c r="T422" s="1"/>
      <c r="U422" s="1"/>
      <c r="V422" s="1"/>
      <c r="W422" s="1"/>
      <c r="X422" s="1"/>
      <c r="Y422" s="1"/>
      <c r="Z422" s="1"/>
      <c r="AA422" s="1"/>
      <c r="AB422" s="1"/>
    </row>
    <row r="423" ht="12.75" customHeight="1">
      <c r="A423" s="1"/>
      <c r="B423" s="146"/>
      <c r="C423" s="150"/>
      <c r="D423" s="151"/>
      <c r="E423" s="261"/>
      <c r="F423" s="49"/>
      <c r="G423" s="24"/>
      <c r="H423" s="49"/>
      <c r="I423" s="49"/>
      <c r="J423" s="49"/>
      <c r="K423" s="49"/>
      <c r="L423" s="49"/>
      <c r="M423" s="49"/>
      <c r="N423" s="1"/>
      <c r="O423" s="1"/>
      <c r="P423" s="1"/>
      <c r="Q423" s="1"/>
      <c r="R423" s="1"/>
      <c r="S423" s="1"/>
      <c r="T423" s="1"/>
      <c r="U423" s="1"/>
      <c r="V423" s="1"/>
      <c r="W423" s="1"/>
      <c r="X423" s="1"/>
      <c r="Y423" s="1"/>
      <c r="Z423" s="1"/>
      <c r="AA423" s="1"/>
      <c r="AB423" s="1"/>
    </row>
    <row r="424" ht="12.75" customHeight="1">
      <c r="A424" s="1"/>
      <c r="B424" s="146"/>
      <c r="C424" s="150"/>
      <c r="D424" s="151"/>
      <c r="E424" s="261"/>
      <c r="F424" s="49"/>
      <c r="G424" s="24"/>
      <c r="H424" s="49"/>
      <c r="I424" s="49"/>
      <c r="J424" s="49"/>
      <c r="K424" s="49"/>
      <c r="L424" s="49"/>
      <c r="M424" s="49"/>
      <c r="N424" s="1"/>
      <c r="O424" s="1"/>
      <c r="P424" s="1"/>
      <c r="Q424" s="1"/>
      <c r="R424" s="1"/>
      <c r="S424" s="1"/>
      <c r="T424" s="1"/>
      <c r="U424" s="1"/>
      <c r="V424" s="1"/>
      <c r="W424" s="1"/>
      <c r="X424" s="1"/>
      <c r="Y424" s="1"/>
      <c r="Z424" s="1"/>
      <c r="AA424" s="1"/>
      <c r="AB424" s="1"/>
    </row>
    <row r="425" ht="12.75" customHeight="1">
      <c r="A425" s="1"/>
      <c r="B425" s="146"/>
      <c r="C425" s="150"/>
      <c r="D425" s="151"/>
      <c r="E425" s="261"/>
      <c r="F425" s="49"/>
      <c r="G425" s="24"/>
      <c r="H425" s="49"/>
      <c r="I425" s="49"/>
      <c r="J425" s="49"/>
      <c r="K425" s="49"/>
      <c r="L425" s="49"/>
      <c r="M425" s="49"/>
      <c r="N425" s="1"/>
      <c r="O425" s="1"/>
      <c r="P425" s="1"/>
      <c r="Q425" s="1"/>
      <c r="R425" s="1"/>
      <c r="S425" s="1"/>
      <c r="T425" s="1"/>
      <c r="U425" s="1"/>
      <c r="V425" s="1"/>
      <c r="W425" s="1"/>
      <c r="X425" s="1"/>
      <c r="Y425" s="1"/>
      <c r="Z425" s="1"/>
      <c r="AA425" s="1"/>
      <c r="AB425" s="1"/>
    </row>
    <row r="426" ht="12.75" customHeight="1">
      <c r="A426" s="1"/>
      <c r="B426" s="146"/>
      <c r="C426" s="150"/>
      <c r="D426" s="151"/>
      <c r="E426" s="261"/>
      <c r="F426" s="49"/>
      <c r="G426" s="24"/>
      <c r="H426" s="49"/>
      <c r="I426" s="49"/>
      <c r="J426" s="49"/>
      <c r="K426" s="49"/>
      <c r="L426" s="49"/>
      <c r="M426" s="49"/>
      <c r="N426" s="1"/>
      <c r="O426" s="1"/>
      <c r="P426" s="1"/>
      <c r="Q426" s="1"/>
      <c r="R426" s="1"/>
      <c r="S426" s="1"/>
      <c r="T426" s="1"/>
      <c r="U426" s="1"/>
      <c r="V426" s="1"/>
      <c r="W426" s="1"/>
      <c r="X426" s="1"/>
      <c r="Y426" s="1"/>
      <c r="Z426" s="1"/>
      <c r="AA426" s="1"/>
      <c r="AB426" s="1"/>
    </row>
    <row r="427" ht="12.75" customHeight="1">
      <c r="A427" s="1"/>
      <c r="B427" s="146"/>
      <c r="C427" s="150"/>
      <c r="D427" s="151"/>
      <c r="E427" s="261"/>
      <c r="F427" s="49"/>
      <c r="G427" s="24"/>
      <c r="H427" s="49"/>
      <c r="I427" s="49"/>
      <c r="J427" s="49"/>
      <c r="K427" s="49"/>
      <c r="L427" s="49"/>
      <c r="M427" s="49"/>
      <c r="N427" s="1"/>
      <c r="O427" s="1"/>
      <c r="P427" s="1"/>
      <c r="Q427" s="1"/>
      <c r="R427" s="1"/>
      <c r="S427" s="1"/>
      <c r="T427" s="1"/>
      <c r="U427" s="1"/>
      <c r="V427" s="1"/>
      <c r="W427" s="1"/>
      <c r="X427" s="1"/>
      <c r="Y427" s="1"/>
      <c r="Z427" s="1"/>
      <c r="AA427" s="1"/>
      <c r="AB427" s="1"/>
    </row>
    <row r="428" ht="12.75" customHeight="1">
      <c r="A428" s="1"/>
      <c r="B428" s="146"/>
      <c r="C428" s="150"/>
      <c r="D428" s="151"/>
      <c r="E428" s="261"/>
      <c r="F428" s="49"/>
      <c r="G428" s="24"/>
      <c r="H428" s="49"/>
      <c r="I428" s="49"/>
      <c r="J428" s="49"/>
      <c r="K428" s="49"/>
      <c r="L428" s="49"/>
      <c r="M428" s="49"/>
      <c r="N428" s="1"/>
      <c r="O428" s="1"/>
      <c r="P428" s="1"/>
      <c r="Q428" s="1"/>
      <c r="R428" s="1"/>
      <c r="S428" s="1"/>
      <c r="T428" s="1"/>
      <c r="U428" s="1"/>
      <c r="V428" s="1"/>
      <c r="W428" s="1"/>
      <c r="X428" s="1"/>
      <c r="Y428" s="1"/>
      <c r="Z428" s="1"/>
      <c r="AA428" s="1"/>
      <c r="AB428" s="1"/>
    </row>
    <row r="429" ht="12.75" customHeight="1">
      <c r="A429" s="1"/>
      <c r="B429" s="146"/>
      <c r="C429" s="150"/>
      <c r="D429" s="151"/>
      <c r="E429" s="261"/>
      <c r="F429" s="49"/>
      <c r="G429" s="24"/>
      <c r="H429" s="49"/>
      <c r="I429" s="49"/>
      <c r="J429" s="49"/>
      <c r="K429" s="49"/>
      <c r="L429" s="49"/>
      <c r="M429" s="49"/>
      <c r="N429" s="1"/>
      <c r="O429" s="1"/>
      <c r="P429" s="1"/>
      <c r="Q429" s="1"/>
      <c r="R429" s="1"/>
      <c r="S429" s="1"/>
      <c r="T429" s="1"/>
      <c r="U429" s="1"/>
      <c r="V429" s="1"/>
      <c r="W429" s="1"/>
      <c r="X429" s="1"/>
      <c r="Y429" s="1"/>
      <c r="Z429" s="1"/>
      <c r="AA429" s="1"/>
      <c r="AB429" s="1"/>
    </row>
    <row r="430" ht="12.75" customHeight="1">
      <c r="A430" s="1"/>
      <c r="B430" s="146"/>
      <c r="C430" s="150"/>
      <c r="D430" s="151"/>
      <c r="E430" s="261"/>
      <c r="F430" s="49"/>
      <c r="G430" s="24"/>
      <c r="H430" s="49"/>
      <c r="I430" s="49"/>
      <c r="J430" s="49"/>
      <c r="K430" s="49"/>
      <c r="L430" s="49"/>
      <c r="M430" s="49"/>
      <c r="N430" s="1"/>
      <c r="O430" s="1"/>
      <c r="P430" s="1"/>
      <c r="Q430" s="1"/>
      <c r="R430" s="1"/>
      <c r="S430" s="1"/>
      <c r="T430" s="1"/>
      <c r="U430" s="1"/>
      <c r="V430" s="1"/>
      <c r="W430" s="1"/>
      <c r="X430" s="1"/>
      <c r="Y430" s="1"/>
      <c r="Z430" s="1"/>
      <c r="AA430" s="1"/>
      <c r="AB430" s="1"/>
    </row>
    <row r="431" ht="12.75" customHeight="1">
      <c r="A431" s="1"/>
      <c r="B431" s="146"/>
      <c r="C431" s="150"/>
      <c r="D431" s="151"/>
      <c r="E431" s="261"/>
      <c r="F431" s="49"/>
      <c r="G431" s="24"/>
      <c r="H431" s="49"/>
      <c r="I431" s="49"/>
      <c r="J431" s="49"/>
      <c r="K431" s="49"/>
      <c r="L431" s="49"/>
      <c r="M431" s="49"/>
      <c r="N431" s="1"/>
      <c r="O431" s="1"/>
      <c r="P431" s="1"/>
      <c r="Q431" s="1"/>
      <c r="R431" s="1"/>
      <c r="S431" s="1"/>
      <c r="T431" s="1"/>
      <c r="U431" s="1"/>
      <c r="V431" s="1"/>
      <c r="W431" s="1"/>
      <c r="X431" s="1"/>
      <c r="Y431" s="1"/>
      <c r="Z431" s="1"/>
      <c r="AA431" s="1"/>
      <c r="AB431" s="1"/>
    </row>
    <row r="432" ht="12.75" customHeight="1">
      <c r="A432" s="1"/>
      <c r="B432" s="146"/>
      <c r="C432" s="150"/>
      <c r="D432" s="151"/>
      <c r="E432" s="261"/>
      <c r="F432" s="49"/>
      <c r="G432" s="24"/>
      <c r="H432" s="49"/>
      <c r="I432" s="49"/>
      <c r="J432" s="49"/>
      <c r="K432" s="49"/>
      <c r="L432" s="49"/>
      <c r="M432" s="49"/>
      <c r="N432" s="1"/>
      <c r="O432" s="1"/>
      <c r="P432" s="1"/>
      <c r="Q432" s="1"/>
      <c r="R432" s="1"/>
      <c r="S432" s="1"/>
      <c r="T432" s="1"/>
      <c r="U432" s="1"/>
      <c r="V432" s="1"/>
      <c r="W432" s="1"/>
      <c r="X432" s="1"/>
      <c r="Y432" s="1"/>
      <c r="Z432" s="1"/>
      <c r="AA432" s="1"/>
      <c r="AB432" s="1"/>
    </row>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B5:G5"/>
    <mergeCell ref="B6:C6"/>
    <mergeCell ref="AC7:AF20"/>
    <mergeCell ref="B22:C22"/>
    <mergeCell ref="AC23:AF35"/>
    <mergeCell ref="B37:C37"/>
    <mergeCell ref="B53:C53"/>
    <mergeCell ref="B63:G63"/>
    <mergeCell ref="B64:C64"/>
    <mergeCell ref="B76:C76"/>
    <mergeCell ref="B94:C94"/>
    <mergeCell ref="B109:C109"/>
    <mergeCell ref="B118:G118"/>
    <mergeCell ref="B119:C119"/>
    <mergeCell ref="AC132:AF146"/>
    <mergeCell ref="AC149:AF159"/>
    <mergeCell ref="AC162:AF168"/>
    <mergeCell ref="AC172:AF182"/>
    <mergeCell ref="AC185:AF193"/>
    <mergeCell ref="AC196:AF204"/>
    <mergeCell ref="AC211:AF218"/>
    <mergeCell ref="AC221:AF226"/>
    <mergeCell ref="AC38:AF51"/>
    <mergeCell ref="AC54:AF61"/>
    <mergeCell ref="AC65:AF74"/>
    <mergeCell ref="AC77:AF92"/>
    <mergeCell ref="AC95:AF107"/>
    <mergeCell ref="AC110:AF116"/>
    <mergeCell ref="AC120:AF129"/>
    <mergeCell ref="B206:C206"/>
    <mergeCell ref="B207:G207"/>
    <mergeCell ref="B209:G209"/>
    <mergeCell ref="B210:C210"/>
    <mergeCell ref="B220:C220"/>
    <mergeCell ref="B229:G229"/>
    <mergeCell ref="B131:C131"/>
    <mergeCell ref="B148:C148"/>
    <mergeCell ref="B161:C161"/>
    <mergeCell ref="B170:G170"/>
    <mergeCell ref="B171:C171"/>
    <mergeCell ref="B184:C184"/>
    <mergeCell ref="B195:C19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2" width="8.71"/>
    <col customWidth="1" min="3" max="3" width="8.29"/>
    <col customWidth="1" min="4" max="4" width="10.57"/>
    <col customWidth="1" min="5" max="7" width="9.86"/>
    <col customWidth="1" min="8" max="8" width="10.57"/>
    <col customWidth="1" min="9" max="9" width="7.14"/>
    <col customWidth="1" min="10" max="10" width="5.43"/>
    <col customWidth="1" min="11" max="11" width="7.71"/>
    <col customWidth="1" min="12" max="12" width="4.43"/>
    <col customWidth="1" min="13" max="13" width="3.86"/>
    <col customWidth="1" min="14" max="14" width="9.86"/>
    <col customWidth="1" min="15" max="15" width="15.0"/>
    <col customWidth="1" min="16" max="16" width="7.71"/>
    <col customWidth="1" min="17" max="17" width="7.0"/>
    <col customWidth="1" min="18" max="18" width="5.71"/>
    <col customWidth="1" min="19" max="19" width="1.86"/>
    <col customWidth="1" min="20" max="20" width="2.43"/>
    <col customWidth="1" min="21" max="21" width="3.14"/>
    <col customWidth="1" min="22" max="22" width="2.29"/>
    <col customWidth="1" min="23" max="23" width="4.0"/>
    <col customWidth="1" min="24" max="26" width="8.71"/>
    <col customWidth="1" min="27" max="27" width="2.71"/>
    <col customWidth="1" min="28" max="28" width="8.71"/>
    <col customWidth="1" min="29" max="29" width="17.29"/>
  </cols>
  <sheetData>
    <row r="1" ht="12.75" customHeight="1">
      <c r="C1" s="1"/>
      <c r="D1" s="146"/>
      <c r="E1" s="2"/>
      <c r="F1" s="2"/>
      <c r="G1" s="2"/>
      <c r="H1" s="2"/>
      <c r="I1" s="2"/>
      <c r="J1" s="2"/>
      <c r="K1" s="2"/>
      <c r="L1" s="2"/>
      <c r="M1" s="2"/>
      <c r="N1" s="2"/>
      <c r="O1" s="49"/>
      <c r="P1" s="263"/>
      <c r="Q1" s="263"/>
      <c r="R1" s="263"/>
      <c r="S1" s="1"/>
      <c r="T1" s="1"/>
      <c r="U1" s="1"/>
      <c r="V1" s="1"/>
      <c r="W1" s="1"/>
      <c r="AA1" s="1"/>
    </row>
    <row r="2" ht="12.75" customHeight="1">
      <c r="C2" s="1"/>
      <c r="D2" s="146"/>
      <c r="E2" s="2"/>
      <c r="F2" s="2"/>
      <c r="G2" s="2"/>
      <c r="H2" s="2"/>
      <c r="I2" s="2"/>
      <c r="J2" s="2"/>
      <c r="K2" s="2"/>
      <c r="L2" s="2"/>
      <c r="M2" s="2"/>
      <c r="N2" s="2"/>
      <c r="O2" s="49"/>
      <c r="P2" s="263"/>
      <c r="Q2" s="263"/>
      <c r="R2" s="263"/>
      <c r="S2" s="1"/>
      <c r="T2" s="1"/>
      <c r="U2" s="1"/>
      <c r="V2" s="1"/>
      <c r="W2" s="1"/>
      <c r="AA2" s="1"/>
    </row>
    <row r="3" ht="12.75" customHeight="1">
      <c r="C3" s="1"/>
      <c r="D3" s="146"/>
      <c r="E3" s="2"/>
      <c r="F3" s="2"/>
      <c r="G3" s="2"/>
      <c r="H3" s="2"/>
      <c r="I3" s="2"/>
      <c r="J3" s="2"/>
      <c r="K3" s="2"/>
      <c r="L3" s="2"/>
      <c r="M3" s="2"/>
      <c r="N3" s="2"/>
      <c r="O3" s="49"/>
      <c r="P3" s="263"/>
      <c r="Q3" s="263"/>
      <c r="R3" s="263"/>
      <c r="S3" s="1"/>
      <c r="T3" s="1"/>
      <c r="U3" s="1"/>
      <c r="V3" s="1"/>
      <c r="W3" s="1"/>
      <c r="AA3" s="1"/>
    </row>
    <row r="4" ht="12.75" customHeight="1">
      <c r="C4" s="1"/>
      <c r="D4" s="146"/>
      <c r="E4" s="2"/>
      <c r="F4" s="2"/>
      <c r="G4" s="2"/>
      <c r="H4" s="2"/>
      <c r="I4" s="2"/>
      <c r="J4" s="2"/>
      <c r="K4" s="2"/>
      <c r="L4" s="2"/>
      <c r="M4" s="2"/>
      <c r="N4" s="2"/>
      <c r="O4" s="49"/>
      <c r="P4" s="263"/>
      <c r="Q4" s="263"/>
      <c r="R4" s="263"/>
      <c r="S4" s="1"/>
      <c r="T4" s="1"/>
      <c r="U4" s="1"/>
      <c r="V4" s="1"/>
      <c r="W4" s="1"/>
      <c r="AA4" s="1"/>
    </row>
    <row r="5" ht="12.75" customHeight="1">
      <c r="C5" s="1"/>
      <c r="D5" s="146"/>
      <c r="E5" s="1"/>
      <c r="F5" s="1"/>
      <c r="G5" s="1"/>
      <c r="H5" s="1"/>
      <c r="I5" s="1"/>
      <c r="J5" s="1"/>
      <c r="K5" s="1"/>
      <c r="L5" s="1"/>
      <c r="M5" s="1"/>
      <c r="N5" s="1"/>
      <c r="O5" s="1"/>
      <c r="P5" s="263"/>
      <c r="Q5" s="263"/>
      <c r="R5" s="263"/>
      <c r="S5" s="1"/>
      <c r="T5" s="1"/>
      <c r="U5" s="1"/>
      <c r="V5" s="1"/>
      <c r="W5" s="1"/>
      <c r="AA5" s="1"/>
    </row>
    <row r="6" ht="13.5" customHeight="1">
      <c r="B6" s="102" t="s">
        <v>142</v>
      </c>
      <c r="C6" s="102"/>
      <c r="D6" s="102"/>
      <c r="E6" s="102"/>
      <c r="F6" s="102"/>
      <c r="G6" s="102"/>
      <c r="H6" s="1"/>
      <c r="I6" s="1"/>
      <c r="J6" s="1"/>
      <c r="K6" s="1"/>
      <c r="L6" s="1"/>
      <c r="M6" s="1"/>
      <c r="N6" s="1"/>
      <c r="O6" s="1"/>
      <c r="P6" s="264"/>
      <c r="Q6" s="264"/>
      <c r="R6" s="264"/>
      <c r="S6" s="1"/>
      <c r="T6" s="1"/>
      <c r="U6" s="1"/>
      <c r="V6" s="1"/>
      <c r="W6" s="1"/>
      <c r="AA6" s="1"/>
    </row>
    <row r="7" ht="13.5" customHeight="1">
      <c r="B7" s="265" t="s">
        <v>143</v>
      </c>
      <c r="C7" s="169" t="s">
        <v>46</v>
      </c>
      <c r="D7" s="169" t="s">
        <v>144</v>
      </c>
      <c r="E7" s="169" t="s">
        <v>145</v>
      </c>
      <c r="F7" s="169" t="s">
        <v>146</v>
      </c>
      <c r="G7" s="170" t="s">
        <v>147</v>
      </c>
      <c r="H7" s="2"/>
      <c r="I7" s="2"/>
      <c r="J7" s="2"/>
      <c r="K7" s="2"/>
      <c r="L7" s="2"/>
      <c r="M7" s="2"/>
      <c r="N7" s="2"/>
      <c r="O7" s="49"/>
      <c r="P7" s="263"/>
      <c r="Q7" s="263"/>
      <c r="R7" s="263"/>
      <c r="S7" s="1"/>
      <c r="T7" s="1"/>
      <c r="U7" s="1"/>
      <c r="V7" s="1"/>
      <c r="W7" s="1"/>
      <c r="AA7" s="1"/>
    </row>
    <row r="8" ht="13.5" customHeight="1">
      <c r="B8" s="266">
        <v>1.0</v>
      </c>
      <c r="C8" s="138">
        <f>'Prep Cycle I'!H64</f>
        <v>52</v>
      </c>
      <c r="D8" s="138">
        <f>'Prep Cycle I'!J64</f>
        <v>105</v>
      </c>
      <c r="E8" s="138">
        <f>'Prep Cycle I'!L64</f>
        <v>61</v>
      </c>
      <c r="F8" s="138">
        <f t="shared" ref="F8:F11" si="1">SUM(C8:E8)</f>
        <v>218</v>
      </c>
      <c r="G8" s="139">
        <f t="shared" ref="G8:G12" si="2">O31/F8</f>
        <v>65.27522936</v>
      </c>
      <c r="H8" s="2"/>
      <c r="I8" s="2"/>
      <c r="J8" s="2"/>
      <c r="K8" s="2"/>
      <c r="L8" s="2"/>
      <c r="M8" s="2"/>
      <c r="N8" s="2"/>
      <c r="O8" s="49"/>
      <c r="P8" s="263"/>
      <c r="Q8" s="263"/>
      <c r="R8" s="263"/>
      <c r="S8" s="1"/>
      <c r="T8" s="1"/>
      <c r="U8" s="1"/>
      <c r="V8" s="1"/>
      <c r="W8" s="1"/>
      <c r="AA8" s="1"/>
    </row>
    <row r="9" ht="13.5" customHeight="1">
      <c r="B9" s="266">
        <v>2.0</v>
      </c>
      <c r="C9" s="138">
        <f>'Prep Cycle I'!H117</f>
        <v>49</v>
      </c>
      <c r="D9" s="138">
        <f>'Prep Cycle I'!J117</f>
        <v>78</v>
      </c>
      <c r="E9" s="138">
        <f>'Prep Cycle I'!L117</f>
        <v>32</v>
      </c>
      <c r="F9" s="138">
        <f t="shared" si="1"/>
        <v>159</v>
      </c>
      <c r="G9" s="139">
        <f t="shared" si="2"/>
        <v>64.21383648</v>
      </c>
      <c r="H9" s="2"/>
      <c r="I9" s="2"/>
      <c r="J9" s="2"/>
      <c r="K9" s="2"/>
      <c r="L9" s="2"/>
      <c r="M9" s="2"/>
      <c r="N9" s="2"/>
      <c r="O9" s="49"/>
      <c r="P9" s="263"/>
      <c r="Q9" s="263"/>
      <c r="R9" s="263"/>
      <c r="S9" s="1"/>
      <c r="T9" s="1"/>
      <c r="U9" s="1"/>
      <c r="V9" s="1"/>
      <c r="W9" s="1"/>
      <c r="AA9" s="1"/>
    </row>
    <row r="10" ht="13.5" customHeight="1">
      <c r="B10" s="266">
        <v>3.0</v>
      </c>
      <c r="C10" s="138">
        <f>'Prep Cycle I'!H185</f>
        <v>56</v>
      </c>
      <c r="D10" s="138">
        <f>'Prep Cycle I'!J185</f>
        <v>126</v>
      </c>
      <c r="E10" s="138">
        <f>'Prep Cycle I'!L185</f>
        <v>75</v>
      </c>
      <c r="F10" s="138">
        <f t="shared" si="1"/>
        <v>257</v>
      </c>
      <c r="G10" s="139">
        <f t="shared" si="2"/>
        <v>66.26459144</v>
      </c>
      <c r="H10" s="2"/>
      <c r="I10" s="2"/>
      <c r="J10" s="2"/>
      <c r="K10" s="2"/>
      <c r="L10" s="2"/>
      <c r="M10" s="2"/>
      <c r="N10" s="2"/>
      <c r="O10" s="49"/>
      <c r="P10" s="263"/>
      <c r="Q10" s="263"/>
      <c r="R10" s="263"/>
      <c r="S10" s="1"/>
      <c r="T10" s="1"/>
      <c r="U10" s="1"/>
      <c r="V10" s="1"/>
      <c r="W10" s="1"/>
      <c r="AA10" s="1"/>
    </row>
    <row r="11" ht="13.5" customHeight="1">
      <c r="B11" s="266">
        <v>4.0</v>
      </c>
      <c r="C11" s="138">
        <f>'Prep Cycle I'!H254</f>
        <v>62</v>
      </c>
      <c r="D11" s="138">
        <f>'Prep Cycle I'!J254</f>
        <v>121</v>
      </c>
      <c r="E11" s="138">
        <f>'Prep Cycle I'!L254</f>
        <v>65</v>
      </c>
      <c r="F11" s="138">
        <f t="shared" si="1"/>
        <v>248</v>
      </c>
      <c r="G11" s="139">
        <f t="shared" si="2"/>
        <v>67.43951613</v>
      </c>
      <c r="H11" s="2"/>
      <c r="I11" s="2"/>
      <c r="J11" s="2"/>
      <c r="K11" s="2"/>
      <c r="L11" s="2"/>
      <c r="M11" s="2"/>
      <c r="N11" s="2"/>
      <c r="O11" s="49"/>
      <c r="P11" s="263"/>
      <c r="Q11" s="263"/>
      <c r="R11" s="263"/>
      <c r="S11" s="1"/>
      <c r="T11" s="1"/>
      <c r="U11" s="1"/>
      <c r="V11" s="1"/>
      <c r="W11" s="1"/>
      <c r="AA11" s="1"/>
    </row>
    <row r="12" ht="13.5" customHeight="1">
      <c r="B12" s="267" t="s">
        <v>148</v>
      </c>
      <c r="C12" s="173">
        <f t="shared" ref="C12:F12" si="3">SUM(C8:C11)</f>
        <v>219</v>
      </c>
      <c r="D12" s="173">
        <f t="shared" si="3"/>
        <v>430</v>
      </c>
      <c r="E12" s="173">
        <f t="shared" si="3"/>
        <v>233</v>
      </c>
      <c r="F12" s="173">
        <f t="shared" si="3"/>
        <v>882</v>
      </c>
      <c r="G12" s="174">
        <f t="shared" si="2"/>
        <v>65.98072562</v>
      </c>
      <c r="H12" s="2"/>
      <c r="I12" s="2"/>
      <c r="J12" s="2"/>
      <c r="K12" s="2"/>
      <c r="L12" s="2"/>
      <c r="M12" s="2"/>
      <c r="N12" s="2"/>
      <c r="O12" s="49"/>
      <c r="P12" s="263"/>
      <c r="Q12" s="263"/>
      <c r="R12" s="263"/>
      <c r="S12" s="1"/>
      <c r="T12" s="1"/>
      <c r="U12" s="1"/>
      <c r="V12" s="1"/>
      <c r="W12" s="1"/>
      <c r="AA12" s="1"/>
    </row>
    <row r="13" ht="13.5" customHeight="1">
      <c r="B13" s="68"/>
      <c r="C13" s="138"/>
      <c r="D13" s="138"/>
      <c r="E13" s="138"/>
      <c r="F13" s="138"/>
      <c r="G13" s="138"/>
      <c r="H13" s="2"/>
      <c r="I13" s="2"/>
      <c r="J13" s="2"/>
      <c r="K13" s="2"/>
      <c r="L13" s="2"/>
      <c r="M13" s="2"/>
      <c r="N13" s="2"/>
      <c r="O13" s="49"/>
      <c r="P13" s="263"/>
      <c r="Q13" s="263"/>
      <c r="R13" s="263"/>
      <c r="S13" s="1"/>
      <c r="T13" s="1"/>
      <c r="U13" s="1"/>
      <c r="V13" s="1"/>
      <c r="W13" s="1"/>
      <c r="AA13" s="1"/>
    </row>
    <row r="14" ht="13.5" customHeight="1">
      <c r="B14" s="102" t="s">
        <v>149</v>
      </c>
      <c r="C14" s="102"/>
      <c r="D14" s="102"/>
      <c r="E14" s="102"/>
      <c r="F14" s="102"/>
      <c r="G14" s="102"/>
      <c r="H14" s="2"/>
      <c r="I14" s="2"/>
      <c r="J14" s="2"/>
      <c r="K14" s="2"/>
      <c r="L14" s="2"/>
      <c r="M14" s="2"/>
      <c r="N14" s="2"/>
      <c r="O14" s="49"/>
      <c r="P14" s="263"/>
      <c r="Q14" s="263"/>
      <c r="R14" s="263"/>
      <c r="S14" s="1"/>
      <c r="T14" s="1"/>
      <c r="U14" s="1"/>
      <c r="V14" s="1"/>
      <c r="W14" s="1"/>
      <c r="AA14" s="1"/>
    </row>
    <row r="15" ht="13.5" customHeight="1">
      <c r="B15" s="265" t="s">
        <v>143</v>
      </c>
      <c r="C15" s="169" t="s">
        <v>46</v>
      </c>
      <c r="D15" s="169" t="s">
        <v>144</v>
      </c>
      <c r="E15" s="169" t="s">
        <v>145</v>
      </c>
      <c r="F15" s="169" t="s">
        <v>146</v>
      </c>
      <c r="G15" s="170" t="s">
        <v>147</v>
      </c>
      <c r="H15" s="2"/>
      <c r="I15" s="2"/>
      <c r="J15" s="2"/>
      <c r="K15" s="2"/>
      <c r="L15" s="2"/>
      <c r="M15" s="2"/>
      <c r="N15" s="2"/>
      <c r="O15" s="49"/>
      <c r="P15" s="263"/>
      <c r="Q15" s="263"/>
      <c r="R15" s="263"/>
      <c r="S15" s="1"/>
      <c r="T15" s="1"/>
      <c r="U15" s="1"/>
      <c r="V15" s="1"/>
      <c r="W15" s="1"/>
      <c r="AA15" s="1"/>
    </row>
    <row r="16" ht="13.5" customHeight="1">
      <c r="B16" s="266">
        <v>1.0</v>
      </c>
      <c r="C16" s="138">
        <f>'Prep Cycle II'!H66</f>
        <v>59</v>
      </c>
      <c r="D16" s="138">
        <f>'Prep Cycle II'!J66</f>
        <v>103</v>
      </c>
      <c r="E16" s="138">
        <f>'Prep Cycle II'!L66</f>
        <v>59</v>
      </c>
      <c r="F16" s="138">
        <f t="shared" ref="F16:F21" si="4">SUM(C16:E16)</f>
        <v>221</v>
      </c>
      <c r="G16" s="139">
        <f t="shared" ref="G16:G22" si="5">O39/F16</f>
        <v>70.20361991</v>
      </c>
      <c r="H16" s="2"/>
      <c r="I16" s="2"/>
      <c r="J16" s="2"/>
      <c r="K16" s="2"/>
      <c r="L16" s="2"/>
      <c r="M16" s="2"/>
      <c r="N16" s="2"/>
      <c r="O16" s="49"/>
      <c r="P16" s="263"/>
      <c r="Q16" s="263"/>
      <c r="R16" s="263"/>
      <c r="S16" s="1"/>
      <c r="T16" s="1"/>
      <c r="U16" s="1"/>
      <c r="V16" s="1"/>
      <c r="W16" s="1"/>
      <c r="AA16" s="1"/>
    </row>
    <row r="17" ht="13.5" customHeight="1">
      <c r="B17" s="266">
        <v>2.0</v>
      </c>
      <c r="C17" s="138">
        <f>'Prep Cycle II'!H124</f>
        <v>55</v>
      </c>
      <c r="D17" s="138">
        <f>'Prep Cycle II'!J124</f>
        <v>93</v>
      </c>
      <c r="E17" s="138">
        <f>'Prep Cycle II'!L124</f>
        <v>48</v>
      </c>
      <c r="F17" s="138">
        <f t="shared" si="4"/>
        <v>196</v>
      </c>
      <c r="G17" s="139">
        <f t="shared" si="5"/>
        <v>69.05612245</v>
      </c>
      <c r="H17" s="2"/>
      <c r="I17" s="2"/>
      <c r="J17" s="2"/>
      <c r="K17" s="2"/>
      <c r="L17" s="2"/>
      <c r="M17" s="2"/>
      <c r="N17" s="2"/>
      <c r="O17" s="49"/>
      <c r="P17" s="263"/>
      <c r="Q17" s="263"/>
      <c r="R17" s="263"/>
      <c r="S17" s="1"/>
      <c r="T17" s="1"/>
      <c r="U17" s="1"/>
      <c r="V17" s="1"/>
      <c r="W17" s="1"/>
      <c r="AA17" s="1"/>
    </row>
    <row r="18" ht="13.5" customHeight="1">
      <c r="B18" s="266">
        <v>3.0</v>
      </c>
      <c r="C18" s="138">
        <f>'Prep Cycle II'!H186</f>
        <v>84</v>
      </c>
      <c r="D18" s="138">
        <f>'Prep Cycle II'!J186</f>
        <v>105</v>
      </c>
      <c r="E18" s="138">
        <f>'Prep Cycle II'!L186</f>
        <v>59</v>
      </c>
      <c r="F18" s="138">
        <f t="shared" si="4"/>
        <v>248</v>
      </c>
      <c r="G18" s="139">
        <f t="shared" si="5"/>
        <v>67.47983871</v>
      </c>
      <c r="H18" s="2"/>
      <c r="I18" s="2"/>
      <c r="J18" s="2"/>
      <c r="K18" s="2"/>
      <c r="L18" s="2"/>
      <c r="M18" s="2"/>
      <c r="N18" s="2"/>
      <c r="O18" s="49"/>
      <c r="P18" s="263"/>
      <c r="Q18" s="263"/>
      <c r="R18" s="263"/>
      <c r="S18" s="1"/>
      <c r="T18" s="1"/>
      <c r="U18" s="1"/>
      <c r="V18" s="1"/>
      <c r="W18" s="1"/>
      <c r="AA18" s="1"/>
    </row>
    <row r="19" ht="13.5" customHeight="1">
      <c r="B19" s="266">
        <v>4.0</v>
      </c>
      <c r="C19" s="138">
        <f>'Prep Cycle II'!H247</f>
        <v>42</v>
      </c>
      <c r="D19" s="138">
        <f>'Prep Cycle II'!J247</f>
        <v>84</v>
      </c>
      <c r="E19" s="138">
        <f>'Prep Cycle II'!L247</f>
        <v>63</v>
      </c>
      <c r="F19" s="138">
        <f t="shared" si="4"/>
        <v>189</v>
      </c>
      <c r="G19" s="139">
        <f t="shared" si="5"/>
        <v>70.31746032</v>
      </c>
      <c r="H19" s="2"/>
      <c r="I19" s="2"/>
      <c r="J19" s="2"/>
      <c r="K19" s="2"/>
      <c r="L19" s="2"/>
      <c r="M19" s="2"/>
      <c r="N19" s="2"/>
      <c r="O19" s="49"/>
      <c r="P19" s="263"/>
      <c r="Q19" s="263"/>
      <c r="R19" s="263"/>
      <c r="S19" s="1"/>
      <c r="T19" s="1"/>
      <c r="U19" s="1"/>
      <c r="V19" s="1"/>
      <c r="W19" s="1"/>
      <c r="AA19" s="1"/>
    </row>
    <row r="20" ht="13.5" customHeight="1">
      <c r="B20" s="266">
        <v>5.0</v>
      </c>
      <c r="C20" s="138">
        <f>'Prep Cycle II'!H319</f>
        <v>91</v>
      </c>
      <c r="D20" s="138">
        <f>'Prep Cycle II'!J319</f>
        <v>129</v>
      </c>
      <c r="E20" s="138">
        <f>'Prep Cycle II'!L319</f>
        <v>90</v>
      </c>
      <c r="F20" s="138">
        <f t="shared" si="4"/>
        <v>310</v>
      </c>
      <c r="G20" s="139">
        <f t="shared" si="5"/>
        <v>66.75806452</v>
      </c>
      <c r="H20" s="2"/>
      <c r="I20" s="2"/>
      <c r="J20" s="2"/>
      <c r="K20" s="2"/>
      <c r="L20" s="2"/>
      <c r="M20" s="2"/>
      <c r="N20" s="2"/>
      <c r="O20" s="49"/>
      <c r="P20" s="263"/>
      <c r="Q20" s="263"/>
      <c r="R20" s="263"/>
      <c r="S20" s="1"/>
      <c r="T20" s="1"/>
      <c r="U20" s="1"/>
      <c r="V20" s="1"/>
      <c r="W20" s="1"/>
      <c r="AA20" s="1"/>
    </row>
    <row r="21" ht="13.5" customHeight="1">
      <c r="B21" s="266">
        <v>6.0</v>
      </c>
      <c r="C21" s="138">
        <f>'Prep Cycle II'!H383</f>
        <v>42</v>
      </c>
      <c r="D21" s="138">
        <f>'Prep Cycle II'!J383</f>
        <v>84</v>
      </c>
      <c r="E21" s="138">
        <f>'Prep Cycle II'!L383</f>
        <v>63</v>
      </c>
      <c r="F21" s="138">
        <f t="shared" si="4"/>
        <v>189</v>
      </c>
      <c r="G21" s="139">
        <f t="shared" si="5"/>
        <v>70.31746032</v>
      </c>
      <c r="H21" s="2"/>
      <c r="I21" s="2"/>
      <c r="J21" s="2"/>
      <c r="K21" s="2"/>
      <c r="L21" s="2"/>
      <c r="M21" s="2"/>
      <c r="N21" s="2"/>
      <c r="O21" s="49"/>
      <c r="P21" s="263"/>
      <c r="Q21" s="263"/>
      <c r="R21" s="263"/>
      <c r="S21" s="1"/>
      <c r="T21" s="1"/>
      <c r="U21" s="1"/>
      <c r="V21" s="1"/>
      <c r="W21" s="1"/>
      <c r="AA21" s="1"/>
    </row>
    <row r="22" ht="13.5" customHeight="1">
      <c r="B22" s="267" t="s">
        <v>148</v>
      </c>
      <c r="C22" s="173">
        <f>'Prep Cycle II'!H386</f>
        <v>373</v>
      </c>
      <c r="D22" s="173">
        <f>'Prep Cycle II'!J386</f>
        <v>598</v>
      </c>
      <c r="E22" s="173">
        <f>'Prep Cycle II'!L386</f>
        <v>382</v>
      </c>
      <c r="F22" s="173">
        <f>SUM(F16:F21)</f>
        <v>1353</v>
      </c>
      <c r="G22" s="174">
        <f t="shared" si="5"/>
        <v>68.7804878</v>
      </c>
      <c r="H22" s="2"/>
      <c r="I22" s="2"/>
      <c r="J22" s="2"/>
      <c r="K22" s="2"/>
      <c r="L22" s="2"/>
      <c r="M22" s="2"/>
      <c r="N22" s="2"/>
      <c r="O22" s="49"/>
      <c r="P22" s="263"/>
      <c r="Q22" s="263"/>
      <c r="R22" s="263"/>
      <c r="S22" s="1"/>
      <c r="T22" s="1"/>
      <c r="U22" s="1"/>
      <c r="V22" s="1"/>
      <c r="W22" s="1"/>
      <c r="AA22" s="1"/>
    </row>
    <row r="23" ht="13.5" customHeight="1">
      <c r="B23" s="67"/>
      <c r="C23" s="187"/>
      <c r="D23" s="187"/>
      <c r="E23" s="187"/>
      <c r="F23" s="187"/>
      <c r="G23" s="187"/>
      <c r="H23" s="2"/>
      <c r="I23" s="2"/>
      <c r="J23" s="2"/>
      <c r="K23" s="2"/>
      <c r="L23" s="2"/>
      <c r="M23" s="2"/>
      <c r="N23" s="2"/>
      <c r="O23" s="49"/>
      <c r="P23" s="263"/>
      <c r="Q23" s="263"/>
      <c r="R23" s="263"/>
      <c r="S23" s="1"/>
      <c r="T23" s="1"/>
      <c r="U23" s="1"/>
      <c r="V23" s="1"/>
      <c r="W23" s="1"/>
      <c r="AA23" s="1"/>
    </row>
    <row r="24" ht="13.5" customHeight="1">
      <c r="B24" s="68" t="s">
        <v>150</v>
      </c>
      <c r="C24" s="68"/>
      <c r="D24" s="68"/>
      <c r="E24" s="68"/>
      <c r="F24" s="68"/>
      <c r="G24" s="68"/>
      <c r="H24" s="2"/>
      <c r="I24" s="2"/>
      <c r="J24" s="2"/>
      <c r="K24" s="2"/>
      <c r="L24" s="2"/>
      <c r="M24" s="2"/>
      <c r="N24" s="2"/>
      <c r="O24" s="49"/>
      <c r="P24" s="263"/>
      <c r="Q24" s="263"/>
      <c r="R24" s="263"/>
      <c r="S24" s="1"/>
      <c r="T24" s="1"/>
      <c r="U24" s="1"/>
      <c r="V24" s="1"/>
      <c r="W24" s="1"/>
      <c r="AA24" s="1"/>
    </row>
    <row r="25" ht="13.5" customHeight="1">
      <c r="B25" s="265" t="s">
        <v>143</v>
      </c>
      <c r="C25" s="169" t="s">
        <v>46</v>
      </c>
      <c r="D25" s="169" t="s">
        <v>144</v>
      </c>
      <c r="E25" s="169" t="s">
        <v>145</v>
      </c>
      <c r="F25" s="169" t="s">
        <v>146</v>
      </c>
      <c r="G25" s="170" t="s">
        <v>147</v>
      </c>
      <c r="H25" s="24"/>
      <c r="I25" s="24"/>
      <c r="J25" s="24"/>
      <c r="K25" s="24"/>
      <c r="L25" s="24"/>
      <c r="M25" s="24"/>
      <c r="N25" s="24"/>
      <c r="O25" s="49"/>
      <c r="P25" s="264"/>
      <c r="Q25" s="264"/>
      <c r="R25" s="264"/>
      <c r="S25" s="1"/>
      <c r="T25" s="1"/>
      <c r="U25" s="1"/>
      <c r="V25" s="1"/>
      <c r="W25" s="1"/>
      <c r="AA25" s="1"/>
    </row>
    <row r="26" ht="13.5" customHeight="1">
      <c r="B26" s="266">
        <v>1.0</v>
      </c>
      <c r="C26" s="138">
        <f>'Prep Cycle III'!H58</f>
        <v>55</v>
      </c>
      <c r="D26" s="138">
        <f>'Prep Cycle III'!J58</f>
        <v>62</v>
      </c>
      <c r="E26" s="138">
        <f>'Prep Cycle III'!L58</f>
        <v>35</v>
      </c>
      <c r="F26" s="138">
        <f t="shared" ref="F26:F30" si="6">SUM(C26:E26)</f>
        <v>152</v>
      </c>
      <c r="G26" s="139">
        <f t="shared" ref="G26:G31" si="7">O49/F26</f>
        <v>69.14473684</v>
      </c>
      <c r="H26" s="2"/>
      <c r="I26" s="2"/>
      <c r="J26" s="2"/>
      <c r="K26" s="2"/>
      <c r="L26" s="2"/>
      <c r="M26" s="2"/>
      <c r="N26" s="2"/>
      <c r="O26" s="49"/>
      <c r="P26" s="263"/>
      <c r="Q26" s="263"/>
      <c r="R26" s="263"/>
      <c r="S26" s="1"/>
      <c r="T26" s="1"/>
      <c r="U26" s="1"/>
      <c r="V26" s="1"/>
      <c r="W26" s="1"/>
      <c r="X26" s="146"/>
      <c r="Y26" s="264"/>
      <c r="Z26" s="264"/>
      <c r="AA26" s="264"/>
      <c r="AB26" s="264"/>
    </row>
    <row r="27" ht="13.5" customHeight="1">
      <c r="B27" s="266">
        <v>2.0</v>
      </c>
      <c r="C27" s="138">
        <f>'Prep Cycle III'!H122</f>
        <v>69</v>
      </c>
      <c r="D27" s="138">
        <f>'Prep Cycle III'!J122</f>
        <v>94</v>
      </c>
      <c r="E27" s="138">
        <f>'Prep Cycle III'!L122</f>
        <v>64</v>
      </c>
      <c r="F27" s="138">
        <f t="shared" si="6"/>
        <v>227</v>
      </c>
      <c r="G27" s="139">
        <f t="shared" si="7"/>
        <v>68.23788546</v>
      </c>
      <c r="H27" s="2"/>
      <c r="I27" s="2"/>
      <c r="J27" s="2"/>
      <c r="K27" s="2"/>
      <c r="L27" s="2"/>
      <c r="M27" s="2"/>
      <c r="N27" s="2"/>
      <c r="O27" s="49"/>
      <c r="P27" s="268"/>
      <c r="Q27" s="263"/>
      <c r="R27" s="263"/>
      <c r="S27" s="1"/>
      <c r="T27" s="1"/>
      <c r="U27" s="1"/>
      <c r="V27" s="1"/>
      <c r="W27" s="1"/>
      <c r="AA27" s="1"/>
    </row>
    <row r="28" ht="13.5" customHeight="1">
      <c r="B28" s="266">
        <v>3.0</v>
      </c>
      <c r="C28" s="138">
        <f>'Prep Cycle III'!H187</f>
        <v>67</v>
      </c>
      <c r="D28" s="138">
        <f>'Prep Cycle III'!J187</f>
        <v>140</v>
      </c>
      <c r="E28" s="138">
        <f>'Prep Cycle III'!L187</f>
        <v>65</v>
      </c>
      <c r="F28" s="138">
        <f t="shared" si="6"/>
        <v>272</v>
      </c>
      <c r="G28" s="139">
        <f t="shared" si="7"/>
        <v>66.98529412</v>
      </c>
      <c r="H28" s="2"/>
      <c r="I28" s="2"/>
      <c r="J28" s="269"/>
      <c r="K28" s="2"/>
      <c r="L28" s="2"/>
      <c r="M28" s="2"/>
      <c r="N28" s="2"/>
      <c r="O28" s="49"/>
      <c r="P28" s="263"/>
      <c r="Q28" s="263"/>
      <c r="R28" s="263"/>
      <c r="S28" s="1"/>
      <c r="T28" s="1"/>
      <c r="U28" s="1"/>
      <c r="V28" s="1"/>
      <c r="W28" s="1"/>
      <c r="AA28" s="1"/>
    </row>
    <row r="29" ht="27.0" customHeight="1">
      <c r="B29" s="266">
        <v>4.0</v>
      </c>
      <c r="C29" s="138">
        <f>'Prep Cycle III'!H253</f>
        <v>71</v>
      </c>
      <c r="D29" s="138">
        <f>'Prep Cycle III'!J253</f>
        <v>128</v>
      </c>
      <c r="E29" s="138">
        <f>'Prep Cycle III'!L253</f>
        <v>54</v>
      </c>
      <c r="F29" s="138">
        <f t="shared" si="6"/>
        <v>253</v>
      </c>
      <c r="G29" s="139">
        <f t="shared" si="7"/>
        <v>70.49407115</v>
      </c>
      <c r="H29" s="68"/>
      <c r="I29" s="68"/>
      <c r="J29" s="68"/>
      <c r="K29" s="68"/>
      <c r="L29" s="68"/>
      <c r="M29" s="2"/>
      <c r="N29" s="2"/>
      <c r="O29" s="49"/>
      <c r="P29" s="263"/>
      <c r="Q29" s="263"/>
      <c r="R29" s="263"/>
      <c r="S29" s="1"/>
      <c r="T29" s="1"/>
      <c r="U29" s="1"/>
      <c r="V29" s="1"/>
      <c r="W29" s="1"/>
      <c r="AA29" s="1"/>
    </row>
    <row r="30" ht="13.5" customHeight="1">
      <c r="B30" s="266">
        <v>5.0</v>
      </c>
      <c r="C30" s="138">
        <f>'Prep Cycle III'!H314</f>
        <v>58</v>
      </c>
      <c r="D30" s="138">
        <f>'Prep Cycle III'!J314</f>
        <v>134</v>
      </c>
      <c r="E30" s="138">
        <f>'Prep Cycle III'!L314</f>
        <v>72</v>
      </c>
      <c r="F30" s="138">
        <f t="shared" si="6"/>
        <v>264</v>
      </c>
      <c r="G30" s="139">
        <f t="shared" si="7"/>
        <v>68.20075758</v>
      </c>
      <c r="H30" s="2"/>
      <c r="I30" s="2"/>
      <c r="J30" s="2"/>
      <c r="K30" s="2"/>
      <c r="L30" s="270" t="s">
        <v>46</v>
      </c>
      <c r="M30" s="270" t="s">
        <v>144</v>
      </c>
      <c r="N30" s="270" t="s">
        <v>145</v>
      </c>
      <c r="O30" s="270" t="s">
        <v>151</v>
      </c>
      <c r="P30" s="271" t="s">
        <v>46</v>
      </c>
      <c r="Q30" s="271" t="s">
        <v>144</v>
      </c>
      <c r="R30" s="271" t="s">
        <v>145</v>
      </c>
      <c r="S30" s="1"/>
      <c r="T30" s="1"/>
      <c r="U30" s="1"/>
      <c r="V30" s="1"/>
      <c r="W30" s="1"/>
      <c r="AA30" s="1"/>
    </row>
    <row r="31" ht="13.5" customHeight="1">
      <c r="B31" s="267" t="s">
        <v>148</v>
      </c>
      <c r="C31" s="173">
        <f t="shared" ref="C31:F31" si="8">SUM(C26:C30)</f>
        <v>320</v>
      </c>
      <c r="D31" s="173">
        <f t="shared" si="8"/>
        <v>558</v>
      </c>
      <c r="E31" s="173">
        <f t="shared" si="8"/>
        <v>290</v>
      </c>
      <c r="F31" s="173">
        <f t="shared" si="8"/>
        <v>1168</v>
      </c>
      <c r="G31" s="174">
        <f t="shared" si="7"/>
        <v>68.54452055</v>
      </c>
      <c r="H31" s="2"/>
      <c r="I31" s="2"/>
      <c r="J31" s="2"/>
      <c r="K31" s="2"/>
      <c r="L31" s="270">
        <f>'Prep Cycle I'!I64</f>
        <v>3010</v>
      </c>
      <c r="M31" s="270">
        <f>'Prep Cycle I'!K64</f>
        <v>7140</v>
      </c>
      <c r="N31" s="270">
        <f>'Prep Cycle I'!M64</f>
        <v>4080</v>
      </c>
      <c r="O31" s="270">
        <f t="shared" ref="O31:O34" si="9">SUM(L31:N31)</f>
        <v>14230</v>
      </c>
      <c r="P31" s="272">
        <f>L31/C8/'Start Here'!F21</f>
        <v>0.5788461538</v>
      </c>
      <c r="Q31" s="272">
        <f>M31/D8/'Start Here'!F22</f>
        <v>0.68</v>
      </c>
      <c r="R31" s="272">
        <f>N31/E8/'Start Here'!F23</f>
        <v>0.668852459</v>
      </c>
      <c r="S31" s="1"/>
      <c r="T31" s="1"/>
      <c r="U31" s="1"/>
      <c r="V31" s="1"/>
      <c r="W31" s="1"/>
      <c r="AA31" s="1"/>
    </row>
    <row r="32" ht="13.5" customHeight="1">
      <c r="B32" s="67"/>
      <c r="C32" s="187"/>
      <c r="D32" s="187"/>
      <c r="E32" s="187"/>
      <c r="F32" s="187"/>
      <c r="G32" s="187"/>
      <c r="H32" s="2"/>
      <c r="I32" s="2"/>
      <c r="J32" s="2"/>
      <c r="K32" s="2"/>
      <c r="L32" s="270">
        <f>'Prep Cycle I'!I117</f>
        <v>2805</v>
      </c>
      <c r="M32" s="270">
        <f>'Prep Cycle I'!K117</f>
        <v>5280</v>
      </c>
      <c r="N32" s="270">
        <f>'Prep Cycle I'!M117</f>
        <v>2125</v>
      </c>
      <c r="O32" s="270">
        <f t="shared" si="9"/>
        <v>10210</v>
      </c>
      <c r="P32" s="272">
        <f>L32/C9/'Start Here'!F21</f>
        <v>0.5724489796</v>
      </c>
      <c r="Q32" s="272">
        <f>M32/D9/'Start Here'!F22</f>
        <v>0.6769230769</v>
      </c>
      <c r="R32" s="272">
        <f>N32/E9/'Start Here'!F23</f>
        <v>0.6640625</v>
      </c>
      <c r="S32" s="1"/>
      <c r="T32" s="1"/>
      <c r="U32" s="1"/>
      <c r="V32" s="1"/>
      <c r="W32" s="1"/>
      <c r="AA32" s="1"/>
    </row>
    <row r="33" ht="13.5" customHeight="1">
      <c r="B33" s="68" t="s">
        <v>152</v>
      </c>
      <c r="C33" s="68"/>
      <c r="D33" s="68"/>
      <c r="E33" s="68"/>
      <c r="F33" s="68"/>
      <c r="G33" s="68"/>
      <c r="H33" s="2"/>
      <c r="I33" s="2"/>
      <c r="J33" s="2"/>
      <c r="K33" s="2"/>
      <c r="L33" s="270">
        <f>'Prep Cycle I'!I185</f>
        <v>3495</v>
      </c>
      <c r="M33" s="270">
        <f>'Prep Cycle I'!K185</f>
        <v>8315</v>
      </c>
      <c r="N33" s="270">
        <f>'Prep Cycle I'!M185</f>
        <v>5220</v>
      </c>
      <c r="O33" s="270">
        <f t="shared" si="9"/>
        <v>17030</v>
      </c>
      <c r="P33" s="272">
        <f>L33/C10/'Start Here'!F21</f>
        <v>0.6241071429</v>
      </c>
      <c r="Q33" s="272">
        <f>M33/D10/'Start Here'!F22</f>
        <v>0.6599206349</v>
      </c>
      <c r="R33" s="272">
        <f>N33/E10/'Start Here'!F23</f>
        <v>0.696</v>
      </c>
      <c r="S33" s="1"/>
      <c r="T33" s="1"/>
      <c r="U33" s="1"/>
      <c r="V33" s="1"/>
      <c r="W33" s="1"/>
      <c r="AA33" s="1"/>
    </row>
    <row r="34" ht="13.5" customHeight="1">
      <c r="B34" s="265" t="s">
        <v>143</v>
      </c>
      <c r="C34" s="169" t="s">
        <v>46</v>
      </c>
      <c r="D34" s="169" t="s">
        <v>144</v>
      </c>
      <c r="E34" s="169" t="s">
        <v>145</v>
      </c>
      <c r="F34" s="169" t="s">
        <v>146</v>
      </c>
      <c r="G34" s="170" t="s">
        <v>147</v>
      </c>
      <c r="H34" s="2"/>
      <c r="I34" s="2"/>
      <c r="J34" s="2"/>
      <c r="K34" s="2"/>
      <c r="L34" s="270">
        <f>'Prep Cycle I'!I254</f>
        <v>3890</v>
      </c>
      <c r="M34" s="270">
        <f>'Prep Cycle I'!K254</f>
        <v>8305</v>
      </c>
      <c r="N34" s="270">
        <f>'Prep Cycle I'!M254</f>
        <v>4530</v>
      </c>
      <c r="O34" s="270">
        <f t="shared" si="9"/>
        <v>16725</v>
      </c>
      <c r="P34" s="272">
        <f>L34/C11/'Start Here'!F21</f>
        <v>0.6274193548</v>
      </c>
      <c r="Q34" s="272">
        <f>M34/D11/'Start Here'!F22</f>
        <v>0.6863636364</v>
      </c>
      <c r="R34" s="272">
        <f>N34/E11/'Start Here'!F23</f>
        <v>0.6969230769</v>
      </c>
      <c r="S34" s="1"/>
      <c r="T34" s="1"/>
      <c r="U34" s="1"/>
      <c r="V34" s="1"/>
      <c r="W34" s="1"/>
      <c r="AA34" s="1"/>
    </row>
    <row r="35" ht="13.5" customHeight="1">
      <c r="B35" s="266">
        <v>1.0</v>
      </c>
      <c r="C35" s="138">
        <f>'Comp Cycle'!H62</f>
        <v>40</v>
      </c>
      <c r="D35" s="138">
        <f>'Comp Cycle'!J62</f>
        <v>85</v>
      </c>
      <c r="E35" s="138">
        <f>'Comp Cycle'!L62</f>
        <v>38</v>
      </c>
      <c r="F35" s="138">
        <f t="shared" ref="F35:F39" si="11">SUM(C35:E35)</f>
        <v>163</v>
      </c>
      <c r="G35" s="139">
        <f t="shared" ref="G35:G40" si="12">O58/F35</f>
        <v>70.06134969</v>
      </c>
      <c r="H35" s="2"/>
      <c r="I35" s="2"/>
      <c r="J35" s="2"/>
      <c r="K35" s="2"/>
      <c r="L35" s="270">
        <f t="shared" ref="L35:O35" si="10">SUM(L31:L34)</f>
        <v>13200</v>
      </c>
      <c r="M35" s="270">
        <f t="shared" si="10"/>
        <v>29040</v>
      </c>
      <c r="N35" s="270">
        <f t="shared" si="10"/>
        <v>15955</v>
      </c>
      <c r="O35" s="270">
        <f t="shared" si="10"/>
        <v>58195</v>
      </c>
      <c r="P35" s="272">
        <f>L35/C12/'Start Here'!F21</f>
        <v>0.602739726</v>
      </c>
      <c r="Q35" s="272">
        <f>M35/D12/'Start Here'!F22</f>
        <v>0.6753488372</v>
      </c>
      <c r="R35" s="272">
        <f>N35/E12/'Start Here'!F23</f>
        <v>0.6847639485</v>
      </c>
      <c r="S35" s="1"/>
      <c r="T35" s="1"/>
      <c r="U35" s="1"/>
      <c r="V35" s="1"/>
      <c r="W35" s="1"/>
      <c r="AA35" s="1"/>
    </row>
    <row r="36" ht="13.5" customHeight="1">
      <c r="B36" s="266">
        <v>2.0</v>
      </c>
      <c r="C36" s="138">
        <f>'Comp Cycle'!H117</f>
        <v>30</v>
      </c>
      <c r="D36" s="138">
        <f>'Comp Cycle'!J117</f>
        <v>47</v>
      </c>
      <c r="E36" s="138">
        <f>'Comp Cycle'!L117</f>
        <v>29</v>
      </c>
      <c r="F36" s="138">
        <f t="shared" si="11"/>
        <v>106</v>
      </c>
      <c r="G36" s="139">
        <f t="shared" si="12"/>
        <v>68.53773585</v>
      </c>
      <c r="H36" s="2"/>
      <c r="I36" s="2"/>
      <c r="J36" s="2"/>
      <c r="K36" s="2"/>
      <c r="L36" s="270"/>
      <c r="M36" s="270"/>
      <c r="N36" s="270"/>
      <c r="O36" s="270"/>
      <c r="P36" s="273"/>
      <c r="Q36" s="273"/>
      <c r="R36" s="273"/>
      <c r="S36" s="1"/>
      <c r="T36" s="1"/>
      <c r="U36" s="1"/>
      <c r="V36" s="1"/>
      <c r="W36" s="1"/>
      <c r="AA36" s="1"/>
    </row>
    <row r="37" ht="24.75" customHeight="1">
      <c r="B37" s="266">
        <v>3.0</v>
      </c>
      <c r="C37" s="138">
        <f>'Comp Cycle'!H169</f>
        <v>31</v>
      </c>
      <c r="D37" s="138">
        <f>'Comp Cycle'!J169</f>
        <v>56</v>
      </c>
      <c r="E37" s="138">
        <f>'Comp Cycle'!L169</f>
        <v>47</v>
      </c>
      <c r="F37" s="138">
        <f t="shared" si="11"/>
        <v>134</v>
      </c>
      <c r="G37" s="139">
        <f t="shared" si="12"/>
        <v>70.14925373</v>
      </c>
      <c r="H37" s="2"/>
      <c r="I37" s="2"/>
      <c r="J37" s="2"/>
      <c r="K37" s="2"/>
      <c r="L37" s="274"/>
      <c r="M37" s="274"/>
      <c r="N37" s="274"/>
      <c r="O37" s="274"/>
      <c r="P37" s="273"/>
      <c r="Q37" s="273"/>
      <c r="R37" s="273"/>
      <c r="S37" s="1"/>
      <c r="T37" s="1"/>
      <c r="U37" s="1"/>
      <c r="V37" s="1"/>
      <c r="W37" s="1"/>
      <c r="AA37" s="1"/>
    </row>
    <row r="38" ht="13.5" customHeight="1">
      <c r="B38" s="266">
        <v>4.0</v>
      </c>
      <c r="C38" s="138">
        <f>'Comp Cycle'!H208</f>
        <v>30</v>
      </c>
      <c r="D38" s="138">
        <f>'Comp Cycle'!J208</f>
        <v>44</v>
      </c>
      <c r="E38" s="138">
        <f>'Comp Cycle'!L208</f>
        <v>10</v>
      </c>
      <c r="F38" s="138">
        <f t="shared" si="11"/>
        <v>84</v>
      </c>
      <c r="G38" s="139">
        <f t="shared" si="12"/>
        <v>66.9047619</v>
      </c>
      <c r="H38" s="2"/>
      <c r="I38" s="2"/>
      <c r="J38" s="2"/>
      <c r="K38" s="2"/>
      <c r="L38" s="270" t="s">
        <v>46</v>
      </c>
      <c r="M38" s="270" t="s">
        <v>144</v>
      </c>
      <c r="N38" s="270" t="s">
        <v>145</v>
      </c>
      <c r="O38" s="270" t="s">
        <v>151</v>
      </c>
      <c r="P38" s="271" t="s">
        <v>46</v>
      </c>
      <c r="Q38" s="271" t="s">
        <v>144</v>
      </c>
      <c r="R38" s="271" t="s">
        <v>145</v>
      </c>
      <c r="S38" s="1"/>
      <c r="T38" s="1"/>
      <c r="U38" s="1"/>
      <c r="V38" s="1"/>
      <c r="W38" s="1"/>
      <c r="AA38" s="1"/>
    </row>
    <row r="39" ht="13.5" customHeight="1">
      <c r="B39" s="266">
        <v>5.0</v>
      </c>
      <c r="C39" s="138">
        <f>'Comp Cycle'!H230</f>
        <v>8</v>
      </c>
      <c r="D39" s="138">
        <f>'Comp Cycle'!J230</f>
        <v>25</v>
      </c>
      <c r="E39" s="138">
        <f>'Comp Cycle'!L230</f>
        <v>12</v>
      </c>
      <c r="F39" s="138">
        <f t="shared" si="11"/>
        <v>45</v>
      </c>
      <c r="G39" s="139">
        <f t="shared" si="12"/>
        <v>62.55555556</v>
      </c>
      <c r="H39" s="2"/>
      <c r="I39" s="2"/>
      <c r="J39" s="2"/>
      <c r="K39" s="2"/>
      <c r="L39" s="270">
        <f>'Prep Cycle II'!I66</f>
        <v>3920</v>
      </c>
      <c r="M39" s="270">
        <f>'Prep Cycle II'!K66</f>
        <v>7180</v>
      </c>
      <c r="N39" s="270">
        <f>'Prep Cycle II'!M66</f>
        <v>4415</v>
      </c>
      <c r="O39" s="270">
        <f t="shared" ref="O39:O44" si="13">SUM(L39:N39)</f>
        <v>15515</v>
      </c>
      <c r="P39" s="272">
        <f>L39/C16/'Start Here'!F21</f>
        <v>0.6644067797</v>
      </c>
      <c r="Q39" s="272">
        <f>M39/D16/'Start Here'!F22</f>
        <v>0.6970873786</v>
      </c>
      <c r="R39" s="272">
        <f>N39/E16/'Start Here'!F23</f>
        <v>0.7483050847</v>
      </c>
      <c r="S39" s="1"/>
      <c r="T39" s="1"/>
      <c r="U39" s="1"/>
      <c r="V39" s="1"/>
      <c r="W39" s="1"/>
      <c r="AA39" s="1"/>
    </row>
    <row r="40" ht="13.5" customHeight="1">
      <c r="B40" s="267" t="s">
        <v>148</v>
      </c>
      <c r="C40" s="173">
        <f>'Comp Cycle'!H232</f>
        <v>139</v>
      </c>
      <c r="D40" s="173">
        <f>'Comp Cycle'!J232</f>
        <v>257</v>
      </c>
      <c r="E40" s="173">
        <f>'Comp Cycle'!L232</f>
        <v>136</v>
      </c>
      <c r="F40" s="173">
        <f>SUM(F35:F39)</f>
        <v>532</v>
      </c>
      <c r="G40" s="174">
        <f t="shared" si="12"/>
        <v>68.64661654</v>
      </c>
      <c r="H40" s="2"/>
      <c r="I40" s="2"/>
      <c r="J40" s="2"/>
      <c r="K40" s="2"/>
      <c r="L40" s="270">
        <f>'Prep Cycle II'!I124</f>
        <v>3800</v>
      </c>
      <c r="M40" s="270">
        <f>'Prep Cycle II'!K124</f>
        <v>6565</v>
      </c>
      <c r="N40" s="270">
        <f>'Prep Cycle II'!M124</f>
        <v>3170</v>
      </c>
      <c r="O40" s="270">
        <f t="shared" si="13"/>
        <v>13535</v>
      </c>
      <c r="P40" s="272">
        <f>L40/C17/'Start Here'!F21</f>
        <v>0.6909090909</v>
      </c>
      <c r="Q40" s="272">
        <f>M40/D17/'Start Here'!F22</f>
        <v>0.7059139785</v>
      </c>
      <c r="R40" s="272">
        <f>N40/E17/'Start Here'!F23</f>
        <v>0.6604166667</v>
      </c>
      <c r="S40" s="1"/>
      <c r="T40" s="1"/>
      <c r="U40" s="1"/>
      <c r="V40" s="1"/>
      <c r="W40" s="1"/>
      <c r="AA40" s="1"/>
    </row>
    <row r="41" ht="13.5" customHeight="1">
      <c r="C41" s="1"/>
      <c r="D41" s="1"/>
      <c r="E41" s="2"/>
      <c r="F41" s="2"/>
      <c r="G41" s="2"/>
      <c r="H41" s="2"/>
      <c r="I41" s="2"/>
      <c r="J41" s="2"/>
      <c r="K41" s="2"/>
      <c r="L41" s="270">
        <f>'Prep Cycle II'!I186</f>
        <v>5550</v>
      </c>
      <c r="M41" s="270">
        <f>'Prep Cycle II'!K186</f>
        <v>7055</v>
      </c>
      <c r="N41" s="270">
        <f>'Prep Cycle II'!M186</f>
        <v>4130</v>
      </c>
      <c r="O41" s="270">
        <f t="shared" si="13"/>
        <v>16735</v>
      </c>
      <c r="P41" s="272">
        <f>L41/C18/'Start Here'!F21</f>
        <v>0.6607142857</v>
      </c>
      <c r="Q41" s="272">
        <f>M41/D18/'Start Here'!F22</f>
        <v>0.6719047619</v>
      </c>
      <c r="R41" s="272">
        <f>N41/E18/'Start Here'!F23</f>
        <v>0.7</v>
      </c>
      <c r="S41" s="1"/>
      <c r="T41" s="1"/>
      <c r="U41" s="1"/>
      <c r="V41" s="1"/>
      <c r="W41" s="1"/>
      <c r="AA41" s="1"/>
    </row>
    <row r="42" ht="13.5" customHeight="1">
      <c r="C42" s="1"/>
      <c r="D42" s="1"/>
      <c r="E42" s="2"/>
      <c r="F42" s="2"/>
      <c r="G42" s="2"/>
      <c r="H42" s="2"/>
      <c r="I42" s="2"/>
      <c r="J42" s="2"/>
      <c r="K42" s="2"/>
      <c r="L42" s="270">
        <f>'Prep Cycle II'!I247</f>
        <v>2840</v>
      </c>
      <c r="M42" s="270">
        <f>'Prep Cycle II'!K247</f>
        <v>6100</v>
      </c>
      <c r="N42" s="270">
        <f>'Prep Cycle II'!M247</f>
        <v>4350</v>
      </c>
      <c r="O42" s="270">
        <f t="shared" si="13"/>
        <v>13290</v>
      </c>
      <c r="P42" s="272">
        <f>L42/C19/'Start Here'!F21</f>
        <v>0.6761904762</v>
      </c>
      <c r="Q42" s="272">
        <f>M42/D19/'Start Here'!F22</f>
        <v>0.7261904762</v>
      </c>
      <c r="R42" s="272">
        <f>N42/E19/'Start Here'!F23</f>
        <v>0.6904761905</v>
      </c>
      <c r="S42" s="1"/>
      <c r="T42" s="1"/>
      <c r="U42" s="1"/>
      <c r="V42" s="1"/>
      <c r="W42" s="1"/>
      <c r="AA42" s="1"/>
    </row>
    <row r="43" ht="13.5" customHeight="1">
      <c r="B43" s="1" t="s">
        <v>153</v>
      </c>
      <c r="C43" s="1"/>
      <c r="D43" s="1"/>
      <c r="E43" s="2"/>
      <c r="F43" s="2"/>
      <c r="G43" s="2"/>
      <c r="H43" s="2"/>
      <c r="I43" s="2"/>
      <c r="J43" s="2"/>
      <c r="K43" s="2"/>
      <c r="L43" s="270">
        <f>'Prep Cycle II'!I319</f>
        <v>6020</v>
      </c>
      <c r="M43" s="270">
        <f>'Prep Cycle II'!K319</f>
        <v>8450</v>
      </c>
      <c r="N43" s="270">
        <f>'Prep Cycle II'!M319</f>
        <v>6225</v>
      </c>
      <c r="O43" s="270">
        <f t="shared" si="13"/>
        <v>20695</v>
      </c>
      <c r="P43" s="272">
        <f>L43/C20/'Start Here'!F21</f>
        <v>0.6615384615</v>
      </c>
      <c r="Q43" s="272">
        <f>M43/D20/'Start Here'!F22</f>
        <v>0.6550387597</v>
      </c>
      <c r="R43" s="272">
        <f>N43/E20/'Start Here'!F23</f>
        <v>0.6916666667</v>
      </c>
      <c r="S43" s="1"/>
      <c r="T43" s="1"/>
      <c r="U43" s="1"/>
      <c r="V43" s="1"/>
      <c r="W43" s="1"/>
      <c r="AA43" s="1"/>
    </row>
    <row r="44" ht="13.5" customHeight="1">
      <c r="C44" s="1"/>
      <c r="D44" s="1"/>
      <c r="E44" s="146"/>
      <c r="F44" s="146"/>
      <c r="G44" s="146"/>
      <c r="H44" s="146"/>
      <c r="I44" s="146"/>
      <c r="J44" s="2"/>
      <c r="K44" s="2"/>
      <c r="L44" s="270">
        <f>'Prep Cycle II'!I383</f>
        <v>2840</v>
      </c>
      <c r="M44" s="270">
        <f>'Prep Cycle II'!K383</f>
        <v>6100</v>
      </c>
      <c r="N44" s="270">
        <f>'Prep Cycle II'!M383</f>
        <v>4350</v>
      </c>
      <c r="O44" s="270">
        <f t="shared" si="13"/>
        <v>13290</v>
      </c>
      <c r="P44" s="272">
        <f>L44/C21/'Start Here'!F21</f>
        <v>0.6761904762</v>
      </c>
      <c r="Q44" s="272">
        <f>M44/D21/'Start Here'!F22</f>
        <v>0.7261904762</v>
      </c>
      <c r="R44" s="272">
        <f>N44/E21/'Start Here'!F23</f>
        <v>0.6904761905</v>
      </c>
      <c r="S44" s="1"/>
      <c r="T44" s="1"/>
      <c r="U44" s="1"/>
      <c r="V44" s="1"/>
      <c r="W44" s="1"/>
      <c r="AA44" s="1"/>
    </row>
    <row r="45" ht="13.5" customHeight="1">
      <c r="B45" s="101" t="s">
        <v>142</v>
      </c>
      <c r="C45" s="101"/>
      <c r="D45" s="101"/>
      <c r="E45" s="101"/>
      <c r="F45" s="101"/>
      <c r="G45" s="101"/>
      <c r="H45" s="67"/>
      <c r="I45" s="67"/>
      <c r="J45" s="2"/>
      <c r="K45" s="2"/>
      <c r="L45" s="270">
        <f t="shared" ref="L45:O45" si="14">SUM(L39:L44)</f>
        <v>24970</v>
      </c>
      <c r="M45" s="270">
        <f t="shared" si="14"/>
        <v>41450</v>
      </c>
      <c r="N45" s="270">
        <f t="shared" si="14"/>
        <v>26640</v>
      </c>
      <c r="O45" s="270">
        <f t="shared" si="14"/>
        <v>93060</v>
      </c>
      <c r="P45" s="272">
        <f>L45/C22/'Start Here'!F21</f>
        <v>0.6694369973</v>
      </c>
      <c r="Q45" s="272">
        <f>M45/D22/'Start Here'!F22</f>
        <v>0.6931438127</v>
      </c>
      <c r="R45" s="272">
        <f>N45/E22/'Start Here'!F23</f>
        <v>0.697382199</v>
      </c>
      <c r="S45" s="1"/>
      <c r="T45" s="1"/>
      <c r="U45" s="1"/>
      <c r="V45" s="1"/>
      <c r="W45" s="1"/>
      <c r="AA45" s="1"/>
    </row>
    <row r="46" ht="13.5" customHeight="1">
      <c r="B46" s="96" t="s">
        <v>34</v>
      </c>
      <c r="C46" s="98" t="s">
        <v>29</v>
      </c>
      <c r="D46" s="98" t="s">
        <v>65</v>
      </c>
      <c r="E46" s="98" t="s">
        <v>77</v>
      </c>
      <c r="F46" s="98" t="s">
        <v>84</v>
      </c>
      <c r="G46" s="99" t="s">
        <v>154</v>
      </c>
      <c r="H46" s="187"/>
      <c r="I46" s="187"/>
      <c r="J46" s="2"/>
      <c r="K46" s="2"/>
      <c r="L46" s="275"/>
      <c r="M46" s="275"/>
      <c r="N46" s="275"/>
      <c r="O46" s="270"/>
      <c r="P46" s="273"/>
      <c r="Q46" s="273"/>
      <c r="R46" s="273"/>
      <c r="S46" s="1"/>
      <c r="T46" s="1"/>
      <c r="U46" s="1"/>
      <c r="V46" s="1"/>
      <c r="W46" s="1"/>
      <c r="AA46" s="1"/>
    </row>
    <row r="47" ht="24.75" customHeight="1">
      <c r="B47" s="135" t="s">
        <v>38</v>
      </c>
      <c r="C47" s="138">
        <f>'Prep Cycle I'!$N$64</f>
        <v>18</v>
      </c>
      <c r="D47" s="138">
        <f>'Prep Cycle I'!$N$117</f>
        <v>21</v>
      </c>
      <c r="E47" s="138">
        <f>'Prep Cycle I'!$N$185</f>
        <v>21</v>
      </c>
      <c r="F47" s="138">
        <f>'Prep Cycle I'!$N$254</f>
        <v>23</v>
      </c>
      <c r="G47" s="139">
        <f t="shared" ref="G47:G52" si="15">SUM(C47:F47)</f>
        <v>83</v>
      </c>
      <c r="H47" s="187"/>
      <c r="I47" s="187"/>
      <c r="J47" s="2"/>
      <c r="K47" s="2"/>
      <c r="L47" s="274"/>
      <c r="M47" s="274"/>
      <c r="N47" s="274"/>
      <c r="O47" s="274"/>
      <c r="P47" s="273"/>
      <c r="Q47" s="273"/>
      <c r="R47" s="273"/>
      <c r="S47" s="1"/>
      <c r="T47" s="1"/>
      <c r="U47" s="1"/>
      <c r="V47" s="1"/>
      <c r="W47" s="1"/>
      <c r="AA47" s="1"/>
    </row>
    <row r="48" ht="13.5" customHeight="1">
      <c r="B48" s="135" t="s">
        <v>39</v>
      </c>
      <c r="C48" s="138">
        <f>'Prep Cycle I'!$O$64</f>
        <v>6</v>
      </c>
      <c r="D48" s="138">
        <f>'Prep Cycle I'!$O$117</f>
        <v>4</v>
      </c>
      <c r="E48" s="138">
        <f>'Prep Cycle I'!$O$185</f>
        <v>7</v>
      </c>
      <c r="F48" s="138">
        <f>'Prep Cycle I'!$O$254</f>
        <v>7</v>
      </c>
      <c r="G48" s="139">
        <f t="shared" si="15"/>
        <v>24</v>
      </c>
      <c r="H48" s="187"/>
      <c r="I48" s="187"/>
      <c r="J48" s="2"/>
      <c r="K48" s="2"/>
      <c r="L48" s="270" t="s">
        <v>46</v>
      </c>
      <c r="M48" s="270" t="s">
        <v>144</v>
      </c>
      <c r="N48" s="270" t="s">
        <v>145</v>
      </c>
      <c r="O48" s="270" t="s">
        <v>151</v>
      </c>
      <c r="P48" s="271" t="s">
        <v>46</v>
      </c>
      <c r="Q48" s="271" t="s">
        <v>144</v>
      </c>
      <c r="R48" s="271" t="s">
        <v>145</v>
      </c>
      <c r="S48" s="1"/>
      <c r="T48" s="1"/>
      <c r="U48" s="1"/>
      <c r="V48" s="1"/>
      <c r="W48" s="1"/>
      <c r="AA48" s="1"/>
    </row>
    <row r="49" ht="13.5" customHeight="1">
      <c r="B49" s="135" t="s">
        <v>40</v>
      </c>
      <c r="C49" s="138">
        <f>'Prep Cycle I'!$P$64</f>
        <v>20</v>
      </c>
      <c r="D49" s="138">
        <f>'Prep Cycle I'!$P$117</f>
        <v>6</v>
      </c>
      <c r="E49" s="138">
        <f>'Prep Cycle I'!$P$185</f>
        <v>14</v>
      </c>
      <c r="F49" s="138">
        <f>'Prep Cycle I'!$P$254</f>
        <v>6</v>
      </c>
      <c r="G49" s="139">
        <f t="shared" si="15"/>
        <v>46</v>
      </c>
      <c r="H49" s="187"/>
      <c r="I49" s="187"/>
      <c r="J49" s="2"/>
      <c r="K49" s="2"/>
      <c r="L49" s="270">
        <f>'Prep Cycle III'!I58</f>
        <v>3750</v>
      </c>
      <c r="M49" s="270">
        <f>'Prep Cycle III'!K58</f>
        <v>4150</v>
      </c>
      <c r="N49" s="270">
        <f>'Prep Cycle III'!M58</f>
        <v>2610</v>
      </c>
      <c r="O49" s="270">
        <f t="shared" ref="O49:O53" si="16">SUM(L49:N49)</f>
        <v>10510</v>
      </c>
      <c r="P49" s="272">
        <f>L49/C26/'Start Here'!F21</f>
        <v>0.6818181818</v>
      </c>
      <c r="Q49" s="272">
        <f>M49/D26/'Start Here'!F22</f>
        <v>0.6693548387</v>
      </c>
      <c r="R49" s="272">
        <f>N49/E26/'Start Here'!F23</f>
        <v>0.7457142857</v>
      </c>
      <c r="S49" s="1"/>
      <c r="T49" s="1"/>
      <c r="U49" s="1"/>
      <c r="V49" s="1"/>
      <c r="W49" s="1"/>
      <c r="AA49" s="1"/>
    </row>
    <row r="50" ht="13.5" customHeight="1">
      <c r="B50" s="135" t="s">
        <v>41</v>
      </c>
      <c r="C50" s="138">
        <f>'Prep Cycle I'!$Q$64</f>
        <v>0</v>
      </c>
      <c r="D50" s="138">
        <f>'Prep Cycle I'!$Q$117</f>
        <v>10</v>
      </c>
      <c r="E50" s="138">
        <f>'Prep Cycle I'!$Q$185</f>
        <v>10</v>
      </c>
      <c r="F50" s="138">
        <f>'Prep Cycle I'!$Q$254</f>
        <v>20</v>
      </c>
      <c r="G50" s="139">
        <f t="shared" si="15"/>
        <v>40</v>
      </c>
      <c r="H50" s="187"/>
      <c r="I50" s="187"/>
      <c r="J50" s="2"/>
      <c r="K50" s="2"/>
      <c r="L50" s="270">
        <f>'Prep Cycle III'!I122</f>
        <v>4635</v>
      </c>
      <c r="M50" s="270">
        <f>'Prep Cycle III'!K122</f>
        <v>6270</v>
      </c>
      <c r="N50" s="270">
        <f>'Prep Cycle III'!M122</f>
        <v>4585</v>
      </c>
      <c r="O50" s="270">
        <f t="shared" si="16"/>
        <v>15490</v>
      </c>
      <c r="P50" s="272">
        <f>L50/C27/'Start Here'!F21</f>
        <v>0.6717391304</v>
      </c>
      <c r="Q50" s="272">
        <f>M50/D27/'Start Here'!F22</f>
        <v>0.6670212766</v>
      </c>
      <c r="R50" s="272">
        <f>N50/E27/'Start Here'!F23</f>
        <v>0.71640625</v>
      </c>
      <c r="S50" s="1"/>
      <c r="T50" s="1"/>
      <c r="U50" s="1"/>
      <c r="V50" s="1"/>
      <c r="W50" s="1"/>
      <c r="AA50" s="1"/>
    </row>
    <row r="51" ht="13.5" customHeight="1">
      <c r="B51" s="135" t="s">
        <v>42</v>
      </c>
      <c r="C51" s="138">
        <f>'Prep Cycle I'!$R$64</f>
        <v>0</v>
      </c>
      <c r="D51" s="138">
        <f>'Prep Cycle I'!$R$117</f>
        <v>0</v>
      </c>
      <c r="E51" s="138">
        <f>'Prep Cycle I'!$R$185</f>
        <v>0</v>
      </c>
      <c r="F51" s="138">
        <f>'Prep Cycle I'!$R$254</f>
        <v>0</v>
      </c>
      <c r="G51" s="139">
        <f t="shared" si="15"/>
        <v>0</v>
      </c>
      <c r="H51" s="187"/>
      <c r="I51" s="187"/>
      <c r="J51" s="2"/>
      <c r="K51" s="2"/>
      <c r="L51" s="270">
        <f>'Prep Cycle III'!I187</f>
        <v>4400</v>
      </c>
      <c r="M51" s="270">
        <f>'Prep Cycle III'!K187</f>
        <v>9500</v>
      </c>
      <c r="N51" s="270">
        <f>'Prep Cycle III'!M187</f>
        <v>4320</v>
      </c>
      <c r="O51" s="270">
        <f t="shared" si="16"/>
        <v>18220</v>
      </c>
      <c r="P51" s="272">
        <f>L51/C28/'Start Here'!F21</f>
        <v>0.6567164179</v>
      </c>
      <c r="Q51" s="272">
        <f>M51/D28/'Start Here'!F22</f>
        <v>0.6785714286</v>
      </c>
      <c r="R51" s="272">
        <f>N51/E28/'Start Here'!F23</f>
        <v>0.6646153846</v>
      </c>
      <c r="S51" s="1"/>
      <c r="T51" s="1"/>
      <c r="U51" s="1"/>
      <c r="V51" s="1"/>
      <c r="W51" s="1"/>
      <c r="AA51" s="1"/>
    </row>
    <row r="52" ht="13.5" customHeight="1">
      <c r="B52" s="135" t="s">
        <v>146</v>
      </c>
      <c r="C52" s="138">
        <f t="shared" ref="C52:F52" si="17">SUM(C47:C51)</f>
        <v>44</v>
      </c>
      <c r="D52" s="138">
        <f t="shared" si="17"/>
        <v>41</v>
      </c>
      <c r="E52" s="138">
        <f t="shared" si="17"/>
        <v>52</v>
      </c>
      <c r="F52" s="138">
        <f t="shared" si="17"/>
        <v>56</v>
      </c>
      <c r="G52" s="139">
        <f t="shared" si="15"/>
        <v>193</v>
      </c>
      <c r="H52" s="187"/>
      <c r="I52" s="187"/>
      <c r="J52" s="2"/>
      <c r="K52" s="2"/>
      <c r="L52" s="270">
        <f>'Prep Cycle III'!I253</f>
        <v>4860</v>
      </c>
      <c r="M52" s="270">
        <f>'Prep Cycle III'!K253</f>
        <v>9005</v>
      </c>
      <c r="N52" s="270">
        <f>'Prep Cycle III'!M253</f>
        <v>3970</v>
      </c>
      <c r="O52" s="270">
        <f t="shared" si="16"/>
        <v>17835</v>
      </c>
      <c r="P52" s="272">
        <f>L52/C29/'Start Here'!F21</f>
        <v>0.6845070423</v>
      </c>
      <c r="Q52" s="272">
        <f>M52/D29/'Start Here'!F22</f>
        <v>0.703515625</v>
      </c>
      <c r="R52" s="272">
        <f>N52/E29/'Start Here'!F23</f>
        <v>0.7351851852</v>
      </c>
      <c r="S52" s="1"/>
      <c r="T52" s="1"/>
      <c r="U52" s="1"/>
      <c r="V52" s="1"/>
      <c r="W52" s="1"/>
      <c r="AA52" s="1"/>
    </row>
    <row r="53" ht="13.5" customHeight="1">
      <c r="B53" s="100" t="s">
        <v>155</v>
      </c>
      <c r="C53" s="276">
        <f>P31</f>
        <v>0.5788461538</v>
      </c>
      <c r="D53" s="276">
        <f>P32</f>
        <v>0.5724489796</v>
      </c>
      <c r="E53" s="276">
        <f>P33</f>
        <v>0.6241071429</v>
      </c>
      <c r="F53" s="276">
        <f>P34</f>
        <v>0.6274193548</v>
      </c>
      <c r="G53" s="277">
        <f>P35</f>
        <v>0.602739726</v>
      </c>
      <c r="H53" s="187"/>
      <c r="I53" s="187"/>
      <c r="J53" s="2"/>
      <c r="K53" s="2"/>
      <c r="L53" s="270">
        <f>'Prep Cycle III'!I314</f>
        <v>3940</v>
      </c>
      <c r="M53" s="270">
        <f>'Prep Cycle III'!K314</f>
        <v>8840</v>
      </c>
      <c r="N53" s="270">
        <f>'Prep Cycle III'!M314</f>
        <v>5225</v>
      </c>
      <c r="O53" s="270">
        <f t="shared" si="16"/>
        <v>18005</v>
      </c>
      <c r="P53" s="272">
        <f>L53/C30/'Start Here'!F21</f>
        <v>0.6793103448</v>
      </c>
      <c r="Q53" s="272">
        <f>M53/D30/'Start Here'!F22</f>
        <v>0.6597014925</v>
      </c>
      <c r="R53" s="272">
        <f>N53/E30/'Start Here'!F23</f>
        <v>0.7256944444</v>
      </c>
      <c r="S53" s="1"/>
      <c r="T53" s="1"/>
      <c r="U53" s="1"/>
      <c r="V53" s="1"/>
      <c r="W53" s="1"/>
      <c r="AA53" s="1"/>
    </row>
    <row r="54" ht="13.5" customHeight="1">
      <c r="B54" s="67"/>
      <c r="C54" s="67"/>
      <c r="D54" s="67"/>
      <c r="E54" s="187"/>
      <c r="F54" s="187"/>
      <c r="G54" s="187"/>
      <c r="H54" s="187"/>
      <c r="I54" s="187"/>
      <c r="J54" s="2"/>
      <c r="K54" s="2"/>
      <c r="L54" s="270">
        <f t="shared" ref="L54:O54" si="18">SUM(L49:L53)</f>
        <v>21585</v>
      </c>
      <c r="M54" s="270">
        <f t="shared" si="18"/>
        <v>37765</v>
      </c>
      <c r="N54" s="270">
        <f t="shared" si="18"/>
        <v>20710</v>
      </c>
      <c r="O54" s="270">
        <f t="shared" si="18"/>
        <v>80060</v>
      </c>
      <c r="P54" s="272">
        <f>L54/C31/'Start Here'!F21</f>
        <v>0.67453125</v>
      </c>
      <c r="Q54" s="272">
        <f>M54/D31/'Start Here'!F22</f>
        <v>0.6767921147</v>
      </c>
      <c r="R54" s="272">
        <f>N54/E31/'Start Here'!F23</f>
        <v>0.714137931</v>
      </c>
      <c r="S54" s="1"/>
      <c r="T54" s="1"/>
      <c r="U54" s="1"/>
      <c r="V54" s="1"/>
      <c r="W54" s="1"/>
      <c r="AA54" s="1"/>
    </row>
    <row r="55" ht="13.5" customHeight="1">
      <c r="B55" s="101" t="s">
        <v>149</v>
      </c>
      <c r="C55" s="101"/>
      <c r="D55" s="101"/>
      <c r="E55" s="101"/>
      <c r="F55" s="101"/>
      <c r="G55" s="101"/>
      <c r="H55" s="101"/>
      <c r="I55" s="101"/>
      <c r="J55" s="2"/>
      <c r="K55" s="2"/>
      <c r="L55" s="275"/>
      <c r="M55" s="275"/>
      <c r="N55" s="275"/>
      <c r="O55" s="270"/>
      <c r="P55" s="273"/>
      <c r="Q55" s="273"/>
      <c r="R55" s="273"/>
      <c r="S55" s="1"/>
      <c r="T55" s="1"/>
      <c r="U55" s="1"/>
      <c r="V55" s="1"/>
      <c r="W55" s="1"/>
      <c r="AA55" s="1"/>
    </row>
    <row r="56" ht="27.0" customHeight="1">
      <c r="B56" s="96" t="s">
        <v>34</v>
      </c>
      <c r="C56" s="98" t="s">
        <v>29</v>
      </c>
      <c r="D56" s="98" t="s">
        <v>65</v>
      </c>
      <c r="E56" s="98" t="s">
        <v>77</v>
      </c>
      <c r="F56" s="98" t="s">
        <v>84</v>
      </c>
      <c r="G56" s="98" t="s">
        <v>116</v>
      </c>
      <c r="H56" s="98" t="s">
        <v>121</v>
      </c>
      <c r="I56" s="99" t="s">
        <v>156</v>
      </c>
      <c r="J56" s="2"/>
      <c r="K56" s="2"/>
      <c r="L56" s="274"/>
      <c r="M56" s="274"/>
      <c r="N56" s="274"/>
      <c r="O56" s="274"/>
      <c r="P56" s="273"/>
      <c r="Q56" s="273"/>
      <c r="R56" s="273"/>
      <c r="S56" s="1"/>
      <c r="T56" s="1"/>
      <c r="U56" s="1"/>
      <c r="V56" s="1"/>
      <c r="W56" s="1"/>
      <c r="AA56" s="1"/>
    </row>
    <row r="57" ht="13.5" customHeight="1">
      <c r="B57" s="135" t="s">
        <v>38</v>
      </c>
      <c r="C57" s="138">
        <f>'Prep Cycle II'!$N$66</f>
        <v>10</v>
      </c>
      <c r="D57" s="138">
        <f>'Prep Cycle II'!$N$124</f>
        <v>13</v>
      </c>
      <c r="E57" s="138">
        <f>'Prep Cycle II'!$N$186</f>
        <v>14</v>
      </c>
      <c r="F57" s="138">
        <f>'Prep Cycle II'!$N$247</f>
        <v>10</v>
      </c>
      <c r="G57" s="138">
        <f>'Prep Cycle II'!$N$319</f>
        <v>14</v>
      </c>
      <c r="H57" s="138">
        <f>'Prep Cycle II'!$N$383</f>
        <v>15</v>
      </c>
      <c r="I57" s="139">
        <f t="shared" ref="I57:I61" si="19">SUM(C57:H57)</f>
        <v>76</v>
      </c>
      <c r="J57" s="2"/>
      <c r="K57" s="2"/>
      <c r="L57" s="270" t="s">
        <v>46</v>
      </c>
      <c r="M57" s="270" t="s">
        <v>144</v>
      </c>
      <c r="N57" s="270" t="s">
        <v>145</v>
      </c>
      <c r="O57" s="270" t="s">
        <v>151</v>
      </c>
      <c r="P57" s="271" t="s">
        <v>46</v>
      </c>
      <c r="Q57" s="271" t="s">
        <v>144</v>
      </c>
      <c r="R57" s="271" t="s">
        <v>145</v>
      </c>
      <c r="S57" s="1"/>
      <c r="T57" s="1"/>
      <c r="U57" s="1"/>
      <c r="V57" s="1"/>
      <c r="W57" s="1"/>
      <c r="AA57" s="1"/>
    </row>
    <row r="58" ht="13.5" customHeight="1">
      <c r="B58" s="135" t="s">
        <v>39</v>
      </c>
      <c r="C58" s="138">
        <f>'Prep Cycle II'!$O$66</f>
        <v>9</v>
      </c>
      <c r="D58" s="138">
        <f>'Prep Cycle II'!$O$124</f>
        <v>11</v>
      </c>
      <c r="E58" s="138">
        <f>'Prep Cycle II'!$O$186</f>
        <v>13</v>
      </c>
      <c r="F58" s="138">
        <f>'Prep Cycle II'!$O$247</f>
        <v>8</v>
      </c>
      <c r="G58" s="138">
        <f>'Prep Cycle II'!$O$319</f>
        <v>13</v>
      </c>
      <c r="H58" s="138">
        <f>'Prep Cycle II'!$O$383</f>
        <v>13</v>
      </c>
      <c r="I58" s="139">
        <f t="shared" si="19"/>
        <v>67</v>
      </c>
      <c r="J58" s="2"/>
      <c r="K58" s="2"/>
      <c r="L58" s="270">
        <f>'Comp Cycle'!I62</f>
        <v>2775</v>
      </c>
      <c r="M58" s="270">
        <f>'Comp Cycle'!K62</f>
        <v>5960</v>
      </c>
      <c r="N58" s="270">
        <f>'Comp Cycle'!M62</f>
        <v>2685</v>
      </c>
      <c r="O58" s="270">
        <f t="shared" ref="O58:O62" si="20">SUM(L58:N58)</f>
        <v>11420</v>
      </c>
      <c r="P58" s="272">
        <f>L58/C35/'Start Here'!F21</f>
        <v>0.69375</v>
      </c>
      <c r="Q58" s="272">
        <f>M58/D35/'Start Here'!F22</f>
        <v>0.7011764706</v>
      </c>
      <c r="R58" s="272">
        <f>N58/E35/'Start Here'!F23</f>
        <v>0.7065789474</v>
      </c>
      <c r="S58" s="1"/>
      <c r="T58" s="1"/>
      <c r="U58" s="1"/>
      <c r="V58" s="1"/>
      <c r="W58" s="1"/>
      <c r="AA58" s="1"/>
    </row>
    <row r="59" ht="13.5" customHeight="1">
      <c r="B59" s="135" t="s">
        <v>40</v>
      </c>
      <c r="C59" s="138">
        <f>'Prep Cycle II'!$P$66</f>
        <v>32</v>
      </c>
      <c r="D59" s="138">
        <f>'Prep Cycle II'!$P$124</f>
        <v>9</v>
      </c>
      <c r="E59" s="138">
        <f>'Prep Cycle II'!$P$186</f>
        <v>49</v>
      </c>
      <c r="F59" s="138">
        <f>'Prep Cycle II'!$P$247</f>
        <v>6</v>
      </c>
      <c r="G59" s="138">
        <f>'Prep Cycle II'!$P$319</f>
        <v>64</v>
      </c>
      <c r="H59" s="138">
        <f>'Prep Cycle II'!$P$383</f>
        <v>26</v>
      </c>
      <c r="I59" s="139">
        <f t="shared" si="19"/>
        <v>186</v>
      </c>
      <c r="J59" s="2"/>
      <c r="K59" s="2"/>
      <c r="L59" s="270">
        <f>'Comp Cycle'!I117</f>
        <v>2065</v>
      </c>
      <c r="M59" s="270">
        <f>'Comp Cycle'!K117</f>
        <v>3205</v>
      </c>
      <c r="N59" s="270">
        <f>'Comp Cycle'!M117</f>
        <v>1995</v>
      </c>
      <c r="O59" s="270">
        <f t="shared" si="20"/>
        <v>7265</v>
      </c>
      <c r="P59" s="272">
        <f>L59/C36/'Start Here'!F21</f>
        <v>0.6883333333</v>
      </c>
      <c r="Q59" s="272">
        <f>M59/D36/'Start Here'!F22</f>
        <v>0.6819148936</v>
      </c>
      <c r="R59" s="272">
        <f>N59/E36/'Start Here'!F23</f>
        <v>0.6879310345</v>
      </c>
      <c r="S59" s="1"/>
      <c r="T59" s="1"/>
      <c r="U59" s="1"/>
      <c r="V59" s="1"/>
      <c r="W59" s="1"/>
      <c r="AA59" s="1"/>
    </row>
    <row r="60" ht="13.5" customHeight="1">
      <c r="B60" s="135" t="s">
        <v>41</v>
      </c>
      <c r="C60" s="138">
        <f>'Prep Cycle II'!$Q$66</f>
        <v>8</v>
      </c>
      <c r="D60" s="138">
        <f>'Prep Cycle II'!$Q$124</f>
        <v>22</v>
      </c>
      <c r="E60" s="138">
        <f>'Prep Cycle II'!$Q$186</f>
        <v>8</v>
      </c>
      <c r="F60" s="138">
        <f>'Prep Cycle II'!$Q$247</f>
        <v>18</v>
      </c>
      <c r="G60" s="138">
        <f>'Prep Cycle II'!$Q$319</f>
        <v>0</v>
      </c>
      <c r="H60" s="138">
        <f>'Prep Cycle II'!$Q$383</f>
        <v>18</v>
      </c>
      <c r="I60" s="139">
        <f t="shared" si="19"/>
        <v>74</v>
      </c>
      <c r="J60" s="2"/>
      <c r="K60" s="2"/>
      <c r="L60" s="270">
        <f>'Comp Cycle'!I169</f>
        <v>2180</v>
      </c>
      <c r="M60" s="270">
        <f>'Comp Cycle'!K169</f>
        <v>3955</v>
      </c>
      <c r="N60" s="270">
        <f>'Comp Cycle'!M169</f>
        <v>3265</v>
      </c>
      <c r="O60" s="270">
        <f t="shared" si="20"/>
        <v>9400</v>
      </c>
      <c r="P60" s="272">
        <f>L60/C37/'Start Here'!F21</f>
        <v>0.7032258065</v>
      </c>
      <c r="Q60" s="272">
        <f>M60/D37/'Start Here'!F22</f>
        <v>0.70625</v>
      </c>
      <c r="R60" s="272">
        <f>N60/E37/'Start Here'!F23</f>
        <v>0.6946808511</v>
      </c>
      <c r="S60" s="1"/>
      <c r="T60" s="1"/>
      <c r="U60" s="1"/>
      <c r="V60" s="1"/>
      <c r="W60" s="1"/>
      <c r="X60" s="146"/>
      <c r="Y60" s="264"/>
      <c r="Z60" s="264"/>
      <c r="AA60" s="264"/>
      <c r="AB60" s="264"/>
    </row>
    <row r="61" ht="13.5" customHeight="1">
      <c r="B61" s="135" t="s">
        <v>42</v>
      </c>
      <c r="C61" s="138">
        <f>'Prep Cycle II'!$R$66</f>
        <v>0</v>
      </c>
      <c r="D61" s="138">
        <f>'Prep Cycle II'!$R$124</f>
        <v>0</v>
      </c>
      <c r="E61" s="138">
        <f>'Prep Cycle II'!$R$186</f>
        <v>0</v>
      </c>
      <c r="F61" s="138">
        <f>'Prep Cycle II'!$R$247</f>
        <v>0</v>
      </c>
      <c r="G61" s="138">
        <f>'Prep Cycle II'!$R$319</f>
        <v>0</v>
      </c>
      <c r="H61" s="138">
        <f>'Prep Cycle II'!$R$383</f>
        <v>0</v>
      </c>
      <c r="I61" s="139">
        <f t="shared" si="19"/>
        <v>0</v>
      </c>
      <c r="J61" s="2"/>
      <c r="K61" s="2"/>
      <c r="L61" s="270">
        <f>'Comp Cycle'!I208</f>
        <v>2015</v>
      </c>
      <c r="M61" s="270">
        <f>'Comp Cycle'!K208</f>
        <v>2965</v>
      </c>
      <c r="N61" s="270">
        <f>'Comp Cycle'!M208</f>
        <v>640</v>
      </c>
      <c r="O61" s="270">
        <f t="shared" si="20"/>
        <v>5620</v>
      </c>
      <c r="P61" s="272">
        <f>L61/C38/'Start Here'!F21</f>
        <v>0.6716666667</v>
      </c>
      <c r="Q61" s="272">
        <f>M61/D38/'Start Here'!F22</f>
        <v>0.6738636364</v>
      </c>
      <c r="R61" s="272">
        <f>N61/E38/'Start Here'!F23</f>
        <v>0.64</v>
      </c>
      <c r="S61" s="1"/>
      <c r="T61" s="1"/>
      <c r="U61" s="1"/>
      <c r="V61" s="1"/>
      <c r="W61" s="1"/>
      <c r="AA61" s="1"/>
    </row>
    <row r="62" ht="13.5" customHeight="1">
      <c r="B62" s="135" t="s">
        <v>146</v>
      </c>
      <c r="C62" s="138">
        <f t="shared" ref="C62:I62" si="21">SUM(C57:C61)</f>
        <v>59</v>
      </c>
      <c r="D62" s="138">
        <f t="shared" si="21"/>
        <v>55</v>
      </c>
      <c r="E62" s="138">
        <f t="shared" si="21"/>
        <v>84</v>
      </c>
      <c r="F62" s="138">
        <f t="shared" si="21"/>
        <v>42</v>
      </c>
      <c r="G62" s="138">
        <f t="shared" si="21"/>
        <v>91</v>
      </c>
      <c r="H62" s="138">
        <f t="shared" si="21"/>
        <v>72</v>
      </c>
      <c r="I62" s="139">
        <f t="shared" si="21"/>
        <v>403</v>
      </c>
      <c r="J62" s="2"/>
      <c r="K62" s="2"/>
      <c r="L62" s="270">
        <f>'Comp Cycle'!I230</f>
        <v>480</v>
      </c>
      <c r="M62" s="270">
        <f>'Comp Cycle'!K230</f>
        <v>1585</v>
      </c>
      <c r="N62" s="270">
        <f>'Comp Cycle'!M230</f>
        <v>750</v>
      </c>
      <c r="O62" s="270">
        <f t="shared" si="20"/>
        <v>2815</v>
      </c>
      <c r="P62" s="272">
        <f>L62/C39/'Start Here'!F21</f>
        <v>0.6</v>
      </c>
      <c r="Q62" s="272">
        <f>M62/D39/'Start Here'!F22</f>
        <v>0.634</v>
      </c>
      <c r="R62" s="272">
        <f>N62/E39/'Start Here'!F23</f>
        <v>0.625</v>
      </c>
      <c r="S62" s="1"/>
      <c r="T62" s="1"/>
      <c r="U62" s="1"/>
      <c r="V62" s="1"/>
      <c r="W62" s="1"/>
      <c r="AA62" s="1"/>
    </row>
    <row r="63" ht="13.5" customHeight="1">
      <c r="B63" s="100" t="s">
        <v>155</v>
      </c>
      <c r="C63" s="276">
        <f>P39</f>
        <v>0.6644067797</v>
      </c>
      <c r="D63" s="276">
        <f>P40</f>
        <v>0.6909090909</v>
      </c>
      <c r="E63" s="276">
        <f>P41</f>
        <v>0.6607142857</v>
      </c>
      <c r="F63" s="276">
        <f>P42</f>
        <v>0.6761904762</v>
      </c>
      <c r="G63" s="276">
        <f>P43</f>
        <v>0.6615384615</v>
      </c>
      <c r="H63" s="276">
        <f>P44</f>
        <v>0.6761904762</v>
      </c>
      <c r="I63" s="277">
        <f>P45</f>
        <v>0.6694369973</v>
      </c>
      <c r="J63" s="2"/>
      <c r="K63" s="2"/>
      <c r="L63" s="270">
        <f t="shared" ref="L63:O63" si="22">SUM(L58:L62)</f>
        <v>9515</v>
      </c>
      <c r="M63" s="270">
        <f t="shared" si="22"/>
        <v>17670</v>
      </c>
      <c r="N63" s="270">
        <f t="shared" si="22"/>
        <v>9335</v>
      </c>
      <c r="O63" s="270">
        <f t="shared" si="22"/>
        <v>36520</v>
      </c>
      <c r="P63" s="272">
        <f>L63/C40/'Start Here'!F21</f>
        <v>0.6845323741</v>
      </c>
      <c r="Q63" s="272">
        <f>M63/D40/'Start Here'!F22</f>
        <v>0.6875486381</v>
      </c>
      <c r="R63" s="272">
        <f>N63/E40/'Start Here'!F23</f>
        <v>0.6863970588</v>
      </c>
      <c r="S63" s="1"/>
      <c r="T63" s="1"/>
      <c r="U63" s="1"/>
      <c r="V63" s="1"/>
      <c r="W63" s="1"/>
      <c r="AA63" s="1"/>
    </row>
    <row r="64" ht="13.5" customHeight="1">
      <c r="B64" s="67"/>
      <c r="C64" s="67"/>
      <c r="D64" s="67"/>
      <c r="E64" s="187"/>
      <c r="F64" s="187"/>
      <c r="G64" s="187"/>
      <c r="H64" s="187"/>
      <c r="I64" s="187"/>
      <c r="J64" s="2"/>
      <c r="K64" s="2"/>
      <c r="L64" s="2"/>
      <c r="M64" s="2"/>
      <c r="N64" s="2"/>
      <c r="O64" s="49"/>
      <c r="P64" s="263"/>
      <c r="Q64" s="263"/>
      <c r="R64" s="263"/>
      <c r="S64" s="1"/>
      <c r="T64" s="1"/>
      <c r="U64" s="1"/>
      <c r="V64" s="1"/>
      <c r="W64" s="1"/>
      <c r="AA64" s="1"/>
    </row>
    <row r="65" ht="13.5" customHeight="1">
      <c r="B65" s="101" t="s">
        <v>150</v>
      </c>
      <c r="C65" s="101"/>
      <c r="D65" s="101"/>
      <c r="E65" s="101"/>
      <c r="F65" s="101"/>
      <c r="G65" s="101"/>
      <c r="H65" s="101"/>
      <c r="I65" s="187"/>
      <c r="J65" s="2"/>
      <c r="K65" s="2"/>
      <c r="L65" s="2"/>
      <c r="M65" s="2"/>
      <c r="N65" s="2"/>
      <c r="O65" s="49"/>
      <c r="P65" s="263"/>
      <c r="Q65" s="263"/>
      <c r="R65" s="263"/>
      <c r="S65" s="1"/>
      <c r="T65" s="1"/>
      <c r="U65" s="1"/>
      <c r="V65" s="1"/>
      <c r="W65" s="1"/>
      <c r="AA65" s="1"/>
    </row>
    <row r="66" ht="13.5" customHeight="1">
      <c r="B66" s="96" t="s">
        <v>34</v>
      </c>
      <c r="C66" s="98" t="s">
        <v>29</v>
      </c>
      <c r="D66" s="98" t="s">
        <v>65</v>
      </c>
      <c r="E66" s="98" t="s">
        <v>77</v>
      </c>
      <c r="F66" s="98" t="s">
        <v>84</v>
      </c>
      <c r="G66" s="98" t="s">
        <v>116</v>
      </c>
      <c r="H66" s="99" t="s">
        <v>156</v>
      </c>
      <c r="I66" s="187"/>
      <c r="J66" s="2"/>
      <c r="K66" s="2"/>
      <c r="L66" s="2"/>
      <c r="M66" s="2"/>
      <c r="N66" s="2"/>
      <c r="O66" s="49"/>
      <c r="P66" s="263"/>
      <c r="Q66" s="263"/>
      <c r="R66" s="263"/>
      <c r="S66" s="1"/>
      <c r="T66" s="1"/>
      <c r="U66" s="1"/>
      <c r="V66" s="1"/>
      <c r="W66" s="1"/>
      <c r="AA66" s="1"/>
    </row>
    <row r="67" ht="13.5" customHeight="1">
      <c r="B67" s="135" t="s">
        <v>38</v>
      </c>
      <c r="C67" s="138">
        <f>'Prep Cycle III'!$N$58</f>
        <v>13</v>
      </c>
      <c r="D67" s="138">
        <f>'Prep Cycle III'!$N$122</f>
        <v>15</v>
      </c>
      <c r="E67" s="138">
        <f>'Prep Cycle III'!$N$187</f>
        <v>10</v>
      </c>
      <c r="F67" s="138">
        <f>'Prep Cycle III'!$N$253</f>
        <v>10</v>
      </c>
      <c r="G67" s="138">
        <f>'Prep Cycle III'!$N$314</f>
        <v>13</v>
      </c>
      <c r="H67" s="139">
        <f t="shared" ref="H67:H72" si="23">SUM(C67:G67)</f>
        <v>61</v>
      </c>
      <c r="I67" s="187"/>
      <c r="J67" s="2"/>
      <c r="K67" s="2"/>
      <c r="L67" s="2"/>
      <c r="M67" s="2"/>
      <c r="N67" s="2"/>
      <c r="O67" s="49"/>
      <c r="P67" s="263"/>
      <c r="Q67" s="263"/>
      <c r="R67" s="263"/>
      <c r="S67" s="1"/>
      <c r="T67" s="1"/>
      <c r="U67" s="1"/>
      <c r="V67" s="1"/>
      <c r="W67" s="1"/>
      <c r="AA67" s="1"/>
    </row>
    <row r="68" ht="13.5" customHeight="1">
      <c r="B68" s="135" t="s">
        <v>39</v>
      </c>
      <c r="C68" s="138">
        <f>'Prep Cycle III'!$O$58</f>
        <v>11</v>
      </c>
      <c r="D68" s="138">
        <f>'Prep Cycle III'!$O$122</f>
        <v>13</v>
      </c>
      <c r="E68" s="138">
        <f>'Prep Cycle III'!$O$187</f>
        <v>39</v>
      </c>
      <c r="F68" s="138">
        <f>'Prep Cycle III'!$O$253</f>
        <v>9</v>
      </c>
      <c r="G68" s="138">
        <f>'Prep Cycle III'!$O$314</f>
        <v>11</v>
      </c>
      <c r="H68" s="139">
        <f t="shared" si="23"/>
        <v>83</v>
      </c>
      <c r="I68" s="187"/>
      <c r="J68" s="2"/>
      <c r="K68" s="2"/>
      <c r="L68" s="2"/>
      <c r="M68" s="2"/>
      <c r="N68" s="2"/>
      <c r="O68" s="49"/>
      <c r="P68" s="263"/>
      <c r="Q68" s="263"/>
      <c r="R68" s="263"/>
      <c r="S68" s="1"/>
      <c r="T68" s="1"/>
      <c r="U68" s="1"/>
      <c r="V68" s="1"/>
      <c r="W68" s="1"/>
      <c r="AA68" s="1"/>
    </row>
    <row r="69" ht="13.5" customHeight="1">
      <c r="B69" s="135" t="s">
        <v>40</v>
      </c>
      <c r="C69" s="138">
        <f>'Prep Cycle III'!$P$58</f>
        <v>17</v>
      </c>
      <c r="D69" s="138">
        <f>'Prep Cycle III'!$P$122</f>
        <v>26</v>
      </c>
      <c r="E69" s="138">
        <f>'Prep Cycle III'!$P$187</f>
        <v>3</v>
      </c>
      <c r="F69" s="138">
        <f>'Prep Cycle III'!$P$253</f>
        <v>36</v>
      </c>
      <c r="G69" s="138">
        <f>'Prep Cycle III'!$P$314</f>
        <v>18</v>
      </c>
      <c r="H69" s="139">
        <f t="shared" si="23"/>
        <v>100</v>
      </c>
      <c r="I69" s="187"/>
      <c r="J69" s="2"/>
      <c r="K69" s="2"/>
      <c r="L69" s="2"/>
      <c r="M69" s="2"/>
      <c r="N69" s="2"/>
      <c r="O69" s="49"/>
      <c r="P69" s="263"/>
      <c r="Q69" s="263"/>
      <c r="R69" s="263"/>
      <c r="S69" s="1"/>
      <c r="T69" s="1"/>
      <c r="U69" s="1"/>
      <c r="V69" s="1"/>
      <c r="W69" s="1"/>
      <c r="AA69" s="1"/>
    </row>
    <row r="70" ht="13.5" customHeight="1">
      <c r="B70" s="135" t="s">
        <v>41</v>
      </c>
      <c r="C70" s="138">
        <f>'Prep Cycle III'!$Q$58</f>
        <v>14</v>
      </c>
      <c r="D70" s="138">
        <f>'Prep Cycle III'!$Q$122</f>
        <v>10</v>
      </c>
      <c r="E70" s="138">
        <f>'Prep Cycle III'!$Q$187</f>
        <v>15</v>
      </c>
      <c r="F70" s="138">
        <f>'Prep Cycle III'!$Q$253</f>
        <v>16</v>
      </c>
      <c r="G70" s="138">
        <f>'Prep Cycle III'!$Q$314</f>
        <v>16</v>
      </c>
      <c r="H70" s="139">
        <f t="shared" si="23"/>
        <v>71</v>
      </c>
      <c r="I70" s="187"/>
      <c r="J70" s="2"/>
      <c r="K70" s="2"/>
      <c r="L70" s="2"/>
      <c r="M70" s="2"/>
      <c r="N70" s="2"/>
      <c r="O70" s="49"/>
      <c r="P70" s="263"/>
      <c r="Q70" s="263"/>
      <c r="R70" s="263"/>
      <c r="S70" s="1"/>
      <c r="T70" s="1"/>
      <c r="U70" s="1"/>
      <c r="V70" s="1"/>
      <c r="W70" s="1"/>
      <c r="AA70" s="1"/>
    </row>
    <row r="71" ht="13.5" customHeight="1">
      <c r="B71" s="135" t="s">
        <v>42</v>
      </c>
      <c r="C71" s="138">
        <f>'Prep Cycle III'!$R$58</f>
        <v>0</v>
      </c>
      <c r="D71" s="138">
        <f>'Prep Cycle III'!$R$122</f>
        <v>5</v>
      </c>
      <c r="E71" s="138">
        <f>'Prep Cycle III'!$R$187</f>
        <v>0</v>
      </c>
      <c r="F71" s="138">
        <f>'Prep Cycle III'!$R$253</f>
        <v>0</v>
      </c>
      <c r="G71" s="138">
        <f>'Prep Cycle III'!$R$314</f>
        <v>0</v>
      </c>
      <c r="H71" s="139">
        <f t="shared" si="23"/>
        <v>5</v>
      </c>
      <c r="I71" s="187"/>
      <c r="J71" s="2"/>
      <c r="K71" s="2"/>
      <c r="L71" s="2"/>
      <c r="M71" s="2"/>
      <c r="N71" s="2"/>
      <c r="O71" s="49"/>
      <c r="P71" s="263"/>
      <c r="Q71" s="263"/>
      <c r="R71" s="263"/>
      <c r="S71" s="1"/>
      <c r="T71" s="1"/>
      <c r="U71" s="1"/>
      <c r="V71" s="1"/>
      <c r="W71" s="1"/>
      <c r="AA71" s="1"/>
    </row>
    <row r="72" ht="13.5" customHeight="1">
      <c r="B72" s="135" t="s">
        <v>146</v>
      </c>
      <c r="C72" s="138">
        <f t="shared" ref="C72:G72" si="24">SUM(C67:C71)</f>
        <v>55</v>
      </c>
      <c r="D72" s="138">
        <f t="shared" si="24"/>
        <v>69</v>
      </c>
      <c r="E72" s="138">
        <f t="shared" si="24"/>
        <v>67</v>
      </c>
      <c r="F72" s="138">
        <f t="shared" si="24"/>
        <v>71</v>
      </c>
      <c r="G72" s="138">
        <f t="shared" si="24"/>
        <v>58</v>
      </c>
      <c r="H72" s="139">
        <f t="shared" si="23"/>
        <v>320</v>
      </c>
      <c r="I72" s="187"/>
      <c r="J72" s="2"/>
      <c r="K72" s="2"/>
      <c r="L72" s="2"/>
      <c r="M72" s="2"/>
      <c r="N72" s="2"/>
      <c r="O72" s="49"/>
      <c r="P72" s="263"/>
      <c r="Q72" s="263"/>
      <c r="R72" s="263"/>
      <c r="S72" s="1"/>
      <c r="T72" s="1"/>
      <c r="U72" s="1"/>
      <c r="V72" s="1"/>
      <c r="W72" s="1"/>
      <c r="AA72" s="1"/>
    </row>
    <row r="73" ht="13.5" customHeight="1">
      <c r="B73" s="100" t="s">
        <v>155</v>
      </c>
      <c r="C73" s="276">
        <f>P49</f>
        <v>0.6818181818</v>
      </c>
      <c r="D73" s="276">
        <f>P50</f>
        <v>0.6717391304</v>
      </c>
      <c r="E73" s="276">
        <f>P51</f>
        <v>0.6567164179</v>
      </c>
      <c r="F73" s="276">
        <f>P52</f>
        <v>0.6845070423</v>
      </c>
      <c r="G73" s="276">
        <f>P53</f>
        <v>0.6793103448</v>
      </c>
      <c r="H73" s="277">
        <f>P54</f>
        <v>0.67453125</v>
      </c>
      <c r="I73" s="187"/>
      <c r="J73" s="2"/>
      <c r="K73" s="2"/>
      <c r="L73" s="2"/>
      <c r="M73" s="2"/>
      <c r="N73" s="2"/>
      <c r="O73" s="49"/>
      <c r="P73" s="263"/>
      <c r="Q73" s="263"/>
      <c r="R73" s="263"/>
      <c r="S73" s="1"/>
      <c r="T73" s="1"/>
      <c r="U73" s="1"/>
      <c r="V73" s="1"/>
      <c r="W73" s="1"/>
      <c r="AA73" s="1"/>
    </row>
    <row r="74" ht="13.5" customHeight="1">
      <c r="B74" s="67"/>
      <c r="C74" s="67"/>
      <c r="D74" s="67"/>
      <c r="E74" s="187"/>
      <c r="F74" s="187"/>
      <c r="G74" s="187"/>
      <c r="H74" s="187"/>
      <c r="I74" s="187"/>
      <c r="J74" s="2"/>
      <c r="K74" s="2"/>
      <c r="L74" s="2"/>
      <c r="M74" s="2"/>
      <c r="N74" s="2"/>
      <c r="O74" s="49"/>
      <c r="P74" s="263"/>
      <c r="Q74" s="263"/>
      <c r="R74" s="263"/>
      <c r="S74" s="1"/>
      <c r="T74" s="1"/>
      <c r="U74" s="1"/>
      <c r="V74" s="1"/>
      <c r="W74" s="1"/>
      <c r="AA74" s="1"/>
    </row>
    <row r="75" ht="13.5" customHeight="1">
      <c r="B75" s="101" t="s">
        <v>152</v>
      </c>
      <c r="C75" s="101"/>
      <c r="D75" s="101"/>
      <c r="E75" s="101"/>
      <c r="F75" s="101"/>
      <c r="G75" s="101"/>
      <c r="H75" s="101"/>
      <c r="I75" s="67"/>
      <c r="J75" s="2"/>
      <c r="K75" s="2"/>
      <c r="L75" s="2"/>
      <c r="M75" s="2"/>
      <c r="N75" s="2"/>
      <c r="O75" s="49"/>
      <c r="P75" s="263"/>
      <c r="Q75" s="263"/>
      <c r="R75" s="263"/>
      <c r="S75" s="1"/>
      <c r="T75" s="1"/>
      <c r="U75" s="1"/>
      <c r="V75" s="1"/>
      <c r="W75" s="1"/>
      <c r="AA75" s="1"/>
    </row>
    <row r="76" ht="13.5" customHeight="1">
      <c r="B76" s="96" t="s">
        <v>34</v>
      </c>
      <c r="C76" s="98" t="s">
        <v>29</v>
      </c>
      <c r="D76" s="98" t="s">
        <v>65</v>
      </c>
      <c r="E76" s="98" t="s">
        <v>77</v>
      </c>
      <c r="F76" s="98" t="s">
        <v>84</v>
      </c>
      <c r="G76" s="98" t="s">
        <v>116</v>
      </c>
      <c r="H76" s="99" t="s">
        <v>156</v>
      </c>
      <c r="I76" s="187"/>
      <c r="J76" s="2"/>
      <c r="K76" s="2"/>
      <c r="L76" s="2"/>
      <c r="M76" s="2"/>
      <c r="N76" s="2"/>
      <c r="O76" s="49"/>
      <c r="P76" s="263"/>
      <c r="Q76" s="263"/>
      <c r="R76" s="263"/>
      <c r="S76" s="1"/>
      <c r="T76" s="1"/>
      <c r="U76" s="1"/>
      <c r="V76" s="1"/>
      <c r="W76" s="1"/>
      <c r="AA76" s="1"/>
    </row>
    <row r="77" ht="13.5" customHeight="1">
      <c r="B77" s="135" t="s">
        <v>38</v>
      </c>
      <c r="C77" s="138">
        <f>'Comp Cycle'!$N$62</f>
        <v>8</v>
      </c>
      <c r="D77" s="138">
        <f>'Comp Cycle'!$N$117</f>
        <v>6</v>
      </c>
      <c r="E77" s="138">
        <f>'Comp Cycle'!$N$169</f>
        <v>6</v>
      </c>
      <c r="F77" s="138">
        <f>'Comp Cycle'!$N$208</f>
        <v>6</v>
      </c>
      <c r="G77" s="138">
        <f>'Comp Cycle'!$N$230</f>
        <v>3</v>
      </c>
      <c r="H77" s="139">
        <f t="shared" ref="H77:H82" si="25">SUM(C77:G77)</f>
        <v>29</v>
      </c>
      <c r="I77" s="187"/>
      <c r="J77" s="2"/>
      <c r="K77" s="2"/>
      <c r="L77" s="2"/>
      <c r="M77" s="2"/>
      <c r="N77" s="2"/>
      <c r="O77" s="49"/>
      <c r="P77" s="263"/>
      <c r="Q77" s="263"/>
      <c r="R77" s="263"/>
      <c r="S77" s="1"/>
      <c r="T77" s="1"/>
      <c r="U77" s="1"/>
      <c r="V77" s="1"/>
      <c r="W77" s="1"/>
      <c r="AA77" s="1"/>
    </row>
    <row r="78" ht="13.5" customHeight="1">
      <c r="B78" s="135" t="s">
        <v>39</v>
      </c>
      <c r="C78" s="138">
        <f>'Comp Cycle'!$O$62</f>
        <v>7</v>
      </c>
      <c r="D78" s="138">
        <f>'Comp Cycle'!$O$117</f>
        <v>6</v>
      </c>
      <c r="E78" s="138">
        <f>'Comp Cycle'!$O$169</f>
        <v>6</v>
      </c>
      <c r="F78" s="138">
        <f>'Comp Cycle'!$O$208</f>
        <v>6</v>
      </c>
      <c r="G78" s="138">
        <f>'Comp Cycle'!$O$230</f>
        <v>2</v>
      </c>
      <c r="H78" s="139">
        <f t="shared" si="25"/>
        <v>27</v>
      </c>
      <c r="I78" s="187"/>
      <c r="J78" s="2"/>
      <c r="K78" s="2"/>
      <c r="L78" s="2"/>
      <c r="M78" s="2"/>
      <c r="N78" s="2"/>
      <c r="O78" s="49"/>
      <c r="P78" s="263"/>
      <c r="Q78" s="263"/>
      <c r="R78" s="263"/>
      <c r="S78" s="1"/>
      <c r="T78" s="1"/>
      <c r="U78" s="1"/>
      <c r="V78" s="1"/>
      <c r="W78" s="1"/>
      <c r="AA78" s="1"/>
    </row>
    <row r="79" ht="13.5" customHeight="1">
      <c r="B79" s="135" t="s">
        <v>40</v>
      </c>
      <c r="C79" s="138">
        <f>'Comp Cycle'!$P$62</f>
        <v>6</v>
      </c>
      <c r="D79" s="138">
        <f>'Comp Cycle'!$P$117</f>
        <v>12</v>
      </c>
      <c r="E79" s="138">
        <f>'Comp Cycle'!$P$169</f>
        <v>7</v>
      </c>
      <c r="F79" s="138">
        <f>'Comp Cycle'!$P$208</f>
        <v>10</v>
      </c>
      <c r="G79" s="138">
        <f>'Comp Cycle'!$P$230</f>
        <v>3</v>
      </c>
      <c r="H79" s="139">
        <f t="shared" si="25"/>
        <v>38</v>
      </c>
      <c r="I79" s="187"/>
      <c r="J79" s="2"/>
      <c r="K79" s="2"/>
      <c r="L79" s="2"/>
      <c r="M79" s="2"/>
      <c r="N79" s="2"/>
      <c r="O79" s="49"/>
      <c r="P79" s="263"/>
      <c r="Q79" s="263"/>
      <c r="R79" s="263"/>
      <c r="S79" s="1"/>
      <c r="T79" s="1"/>
      <c r="U79" s="1"/>
      <c r="V79" s="1"/>
      <c r="W79" s="1"/>
      <c r="AA79" s="1"/>
    </row>
    <row r="80" ht="13.5" customHeight="1">
      <c r="B80" s="135" t="s">
        <v>41</v>
      </c>
      <c r="C80" s="138">
        <f>'Comp Cycle'!$Q$62</f>
        <v>19</v>
      </c>
      <c r="D80" s="138">
        <f>'Comp Cycle'!$Q$117</f>
        <v>2</v>
      </c>
      <c r="E80" s="138">
        <f>'Comp Cycle'!$Q$169</f>
        <v>12</v>
      </c>
      <c r="F80" s="138">
        <f>'Comp Cycle'!$Q$208</f>
        <v>8</v>
      </c>
      <c r="G80" s="138">
        <f>'Comp Cycle'!$Q$230</f>
        <v>0</v>
      </c>
      <c r="H80" s="139">
        <f t="shared" si="25"/>
        <v>41</v>
      </c>
      <c r="I80" s="187"/>
      <c r="J80" s="2"/>
      <c r="K80" s="2"/>
      <c r="L80" s="2"/>
      <c r="M80" s="2"/>
      <c r="N80" s="2"/>
      <c r="O80" s="49"/>
      <c r="P80" s="263"/>
      <c r="Q80" s="263"/>
      <c r="R80" s="263"/>
      <c r="S80" s="1"/>
      <c r="T80" s="1"/>
      <c r="U80" s="1"/>
      <c r="V80" s="1"/>
      <c r="W80" s="1"/>
      <c r="AA80" s="1"/>
    </row>
    <row r="81" ht="13.5" customHeight="1">
      <c r="B81" s="135" t="s">
        <v>42</v>
      </c>
      <c r="C81" s="138">
        <f>'Comp Cycle'!$R$62</f>
        <v>0</v>
      </c>
      <c r="D81" s="138">
        <f>'Comp Cycle'!$R$117</f>
        <v>4</v>
      </c>
      <c r="E81" s="138">
        <f>'Comp Cycle'!$R$169</f>
        <v>0</v>
      </c>
      <c r="F81" s="138">
        <f>'Comp Cycle'!$R$208</f>
        <v>0</v>
      </c>
      <c r="G81" s="138">
        <f>'Comp Cycle'!$R$230</f>
        <v>0</v>
      </c>
      <c r="H81" s="139">
        <f t="shared" si="25"/>
        <v>4</v>
      </c>
      <c r="I81" s="187"/>
      <c r="J81" s="2"/>
      <c r="K81" s="2"/>
      <c r="L81" s="2"/>
      <c r="M81" s="2"/>
      <c r="N81" s="2"/>
      <c r="O81" s="49"/>
      <c r="P81" s="263"/>
      <c r="Q81" s="263"/>
      <c r="R81" s="263"/>
      <c r="S81" s="1"/>
      <c r="T81" s="1"/>
      <c r="U81" s="1"/>
      <c r="V81" s="1"/>
      <c r="W81" s="1"/>
      <c r="AA81" s="1"/>
    </row>
    <row r="82" ht="13.5" customHeight="1">
      <c r="B82" s="135" t="s">
        <v>146</v>
      </c>
      <c r="C82" s="138">
        <f t="shared" ref="C82:G82" si="26">SUM(C77:C81)</f>
        <v>40</v>
      </c>
      <c r="D82" s="138">
        <f t="shared" si="26"/>
        <v>30</v>
      </c>
      <c r="E82" s="138">
        <f t="shared" si="26"/>
        <v>31</v>
      </c>
      <c r="F82" s="138">
        <f t="shared" si="26"/>
        <v>30</v>
      </c>
      <c r="G82" s="138">
        <f t="shared" si="26"/>
        <v>8</v>
      </c>
      <c r="H82" s="139">
        <f t="shared" si="25"/>
        <v>139</v>
      </c>
      <c r="I82" s="187"/>
      <c r="J82" s="2"/>
      <c r="K82" s="2"/>
      <c r="L82" s="2"/>
      <c r="M82" s="2"/>
      <c r="N82" s="2"/>
      <c r="O82" s="49"/>
      <c r="P82" s="263"/>
      <c r="Q82" s="263"/>
      <c r="R82" s="263"/>
      <c r="S82" s="1"/>
      <c r="T82" s="1"/>
      <c r="U82" s="1"/>
      <c r="V82" s="1"/>
      <c r="W82" s="1"/>
      <c r="AA82" s="1"/>
    </row>
    <row r="83" ht="13.5" customHeight="1">
      <c r="B83" s="100" t="s">
        <v>155</v>
      </c>
      <c r="C83" s="276">
        <f>P58</f>
        <v>0.69375</v>
      </c>
      <c r="D83" s="276">
        <f>P59</f>
        <v>0.6883333333</v>
      </c>
      <c r="E83" s="276">
        <f>P60</f>
        <v>0.7032258065</v>
      </c>
      <c r="F83" s="276">
        <f>P61</f>
        <v>0.6716666667</v>
      </c>
      <c r="G83" s="276">
        <f>P62</f>
        <v>0.6</v>
      </c>
      <c r="H83" s="277">
        <f>P63</f>
        <v>0.6845323741</v>
      </c>
      <c r="I83" s="187"/>
      <c r="J83" s="2"/>
      <c r="K83" s="2"/>
      <c r="L83" s="2"/>
      <c r="M83" s="2"/>
      <c r="N83" s="2"/>
      <c r="O83" s="49"/>
      <c r="P83" s="263"/>
      <c r="Q83" s="263"/>
      <c r="R83" s="263"/>
      <c r="S83" s="1"/>
      <c r="T83" s="1"/>
      <c r="U83" s="1"/>
      <c r="V83" s="1"/>
      <c r="W83" s="1"/>
      <c r="AA83" s="1"/>
    </row>
    <row r="84" ht="12.75" customHeight="1">
      <c r="C84" s="1"/>
      <c r="D84" s="1"/>
      <c r="E84" s="2"/>
      <c r="F84" s="2"/>
      <c r="G84" s="2"/>
      <c r="H84" s="2"/>
      <c r="I84" s="2"/>
      <c r="J84" s="2"/>
      <c r="K84" s="2"/>
      <c r="L84" s="2"/>
      <c r="M84" s="2"/>
      <c r="N84" s="2"/>
      <c r="O84" s="49"/>
      <c r="P84" s="263"/>
      <c r="Q84" s="263"/>
      <c r="R84" s="263"/>
      <c r="S84" s="1"/>
      <c r="T84" s="1"/>
      <c r="U84" s="1"/>
      <c r="V84" s="1"/>
      <c r="W84" s="1"/>
      <c r="AA84" s="1"/>
    </row>
    <row r="85" ht="12.75" customHeight="1">
      <c r="C85" s="1"/>
      <c r="D85" s="1"/>
      <c r="E85" s="2"/>
      <c r="F85" s="2"/>
      <c r="G85" s="2"/>
      <c r="H85" s="2"/>
      <c r="I85" s="2"/>
      <c r="J85" s="2"/>
      <c r="K85" s="2"/>
      <c r="L85" s="2"/>
      <c r="M85" s="2"/>
      <c r="N85" s="2"/>
      <c r="O85" s="49"/>
      <c r="P85" s="263"/>
      <c r="Q85" s="263"/>
      <c r="R85" s="263"/>
      <c r="S85" s="1"/>
      <c r="T85" s="1"/>
      <c r="U85" s="1"/>
      <c r="V85" s="1"/>
      <c r="W85" s="1"/>
      <c r="AA85" s="1"/>
    </row>
    <row r="86" ht="12.75" customHeight="1">
      <c r="C86" s="1"/>
      <c r="D86" s="1"/>
      <c r="E86" s="2"/>
      <c r="F86" s="2"/>
      <c r="G86" s="2"/>
      <c r="H86" s="2"/>
      <c r="I86" s="2"/>
      <c r="J86" s="2"/>
      <c r="K86" s="2"/>
      <c r="L86" s="2"/>
      <c r="M86" s="2"/>
      <c r="N86" s="2"/>
      <c r="O86" s="49"/>
      <c r="P86" s="263"/>
      <c r="Q86" s="263"/>
      <c r="R86" s="263"/>
      <c r="S86" s="1"/>
      <c r="T86" s="1"/>
      <c r="U86" s="1"/>
      <c r="V86" s="1"/>
      <c r="W86" s="1"/>
      <c r="AA86" s="1"/>
    </row>
    <row r="87" ht="12.75" customHeight="1">
      <c r="C87" s="1"/>
      <c r="D87" s="1"/>
      <c r="E87" s="2"/>
      <c r="F87" s="2"/>
      <c r="G87" s="2"/>
      <c r="H87" s="2"/>
      <c r="I87" s="2"/>
      <c r="J87" s="2"/>
      <c r="K87" s="2"/>
      <c r="L87" s="2"/>
      <c r="M87" s="2"/>
      <c r="N87" s="2"/>
      <c r="O87" s="49"/>
      <c r="P87" s="263"/>
      <c r="Q87" s="263"/>
      <c r="R87" s="263"/>
      <c r="S87" s="1"/>
      <c r="T87" s="1"/>
      <c r="U87" s="1"/>
      <c r="V87" s="1"/>
      <c r="W87" s="1"/>
      <c r="AA87" s="1"/>
    </row>
    <row r="88" ht="12.75" customHeight="1">
      <c r="B88" s="1" t="s">
        <v>157</v>
      </c>
      <c r="C88" s="146"/>
      <c r="D88" s="146"/>
      <c r="E88" s="146"/>
      <c r="F88" s="146"/>
      <c r="G88" s="146"/>
      <c r="H88" s="2"/>
      <c r="I88" s="2"/>
      <c r="J88" s="2"/>
      <c r="K88" s="2"/>
      <c r="L88" s="2"/>
      <c r="M88" s="2"/>
      <c r="N88" s="2"/>
      <c r="O88" s="49"/>
      <c r="P88" s="263"/>
      <c r="Q88" s="263"/>
      <c r="R88" s="263"/>
      <c r="S88" s="1"/>
      <c r="T88" s="1"/>
      <c r="U88" s="1"/>
      <c r="V88" s="1"/>
      <c r="W88" s="1"/>
      <c r="AA88" s="1"/>
    </row>
    <row r="89" ht="24.75" customHeight="1">
      <c r="B89" s="101" t="s">
        <v>142</v>
      </c>
      <c r="C89" s="101"/>
      <c r="D89" s="101"/>
      <c r="E89" s="101"/>
      <c r="F89" s="101"/>
      <c r="G89" s="101"/>
      <c r="H89" s="187"/>
      <c r="I89" s="187"/>
      <c r="J89" s="24"/>
      <c r="K89" s="24"/>
      <c r="L89" s="24"/>
      <c r="M89" s="24"/>
      <c r="N89" s="24"/>
      <c r="O89" s="49"/>
      <c r="P89" s="264"/>
      <c r="Q89" s="264"/>
      <c r="R89" s="264"/>
      <c r="S89" s="1"/>
      <c r="T89" s="1"/>
      <c r="U89" s="1"/>
      <c r="V89" s="1"/>
      <c r="W89" s="1"/>
      <c r="AA89" s="1"/>
    </row>
    <row r="90" ht="13.5" customHeight="1">
      <c r="B90" s="96" t="s">
        <v>34</v>
      </c>
      <c r="C90" s="98" t="s">
        <v>29</v>
      </c>
      <c r="D90" s="98" t="s">
        <v>65</v>
      </c>
      <c r="E90" s="98" t="s">
        <v>77</v>
      </c>
      <c r="F90" s="98" t="s">
        <v>84</v>
      </c>
      <c r="G90" s="99" t="s">
        <v>154</v>
      </c>
      <c r="H90" s="187"/>
      <c r="I90" s="187"/>
      <c r="J90" s="2"/>
      <c r="K90" s="2"/>
      <c r="L90" s="2"/>
      <c r="M90" s="2"/>
      <c r="N90" s="2"/>
      <c r="O90" s="49"/>
      <c r="P90" s="263"/>
      <c r="Q90" s="263"/>
      <c r="R90" s="263"/>
      <c r="S90" s="1"/>
      <c r="T90" s="1"/>
      <c r="U90" s="1"/>
      <c r="V90" s="1"/>
      <c r="W90" s="1"/>
      <c r="X90" s="146"/>
      <c r="Y90" s="264"/>
      <c r="Z90" s="264"/>
      <c r="AA90" s="264"/>
      <c r="AB90" s="264"/>
    </row>
    <row r="91" ht="13.5" customHeight="1">
      <c r="B91" s="135" t="s">
        <v>38</v>
      </c>
      <c r="C91" s="138">
        <f>'Prep Cycle I'!$S$64</f>
        <v>15</v>
      </c>
      <c r="D91" s="138">
        <f>'Prep Cycle I'!$S$117</f>
        <v>12</v>
      </c>
      <c r="E91" s="138">
        <f>'Prep Cycle I'!$S$185</f>
        <v>21</v>
      </c>
      <c r="F91" s="138">
        <f>'Prep Cycle I'!$S$254</f>
        <v>19</v>
      </c>
      <c r="G91" s="139">
        <f t="shared" ref="G91:G96" si="27">SUM(C91:F91)</f>
        <v>67</v>
      </c>
      <c r="H91" s="187"/>
      <c r="I91" s="187"/>
      <c r="J91" s="2"/>
      <c r="K91" s="2"/>
      <c r="L91" s="2"/>
      <c r="M91" s="2"/>
      <c r="N91" s="2"/>
      <c r="O91" s="49"/>
      <c r="P91" s="268"/>
      <c r="Q91" s="263"/>
      <c r="R91" s="263"/>
      <c r="S91" s="1"/>
      <c r="T91" s="1"/>
      <c r="U91" s="1"/>
      <c r="V91" s="1"/>
      <c r="W91" s="1"/>
      <c r="AA91" s="1"/>
    </row>
    <row r="92" ht="13.5" customHeight="1">
      <c r="B92" s="135" t="s">
        <v>39</v>
      </c>
      <c r="C92" s="138">
        <f>'Prep Cycle I'!$T$64</f>
        <v>16</v>
      </c>
      <c r="D92" s="138">
        <f>'Prep Cycle I'!$T$117</f>
        <v>25</v>
      </c>
      <c r="E92" s="138">
        <f>'Prep Cycle I'!$T$185</f>
        <v>52</v>
      </c>
      <c r="F92" s="138">
        <f>'Prep Cycle I'!$T$254</f>
        <v>44</v>
      </c>
      <c r="G92" s="139">
        <f t="shared" si="27"/>
        <v>137</v>
      </c>
      <c r="H92" s="187"/>
      <c r="I92" s="187"/>
      <c r="J92" s="269"/>
      <c r="K92" s="2"/>
      <c r="L92" s="2"/>
      <c r="M92" s="2"/>
      <c r="N92" s="2"/>
      <c r="O92" s="49"/>
      <c r="P92" s="263"/>
      <c r="Q92" s="263"/>
      <c r="R92" s="263"/>
      <c r="S92" s="1"/>
      <c r="T92" s="1"/>
      <c r="U92" s="1"/>
      <c r="V92" s="1"/>
      <c r="W92" s="1"/>
      <c r="AA92" s="1"/>
    </row>
    <row r="93" ht="13.5" customHeight="1">
      <c r="B93" s="135" t="s">
        <v>40</v>
      </c>
      <c r="C93" s="138">
        <f>'Prep Cycle I'!$U$64</f>
        <v>62</v>
      </c>
      <c r="D93" s="138">
        <f>'Prep Cycle I'!$U$117</f>
        <v>21</v>
      </c>
      <c r="E93" s="138">
        <f>'Prep Cycle I'!$U$185</f>
        <v>36</v>
      </c>
      <c r="F93" s="138">
        <f>'Prep Cycle I'!$U$254</f>
        <v>20</v>
      </c>
      <c r="G93" s="139">
        <f t="shared" si="27"/>
        <v>139</v>
      </c>
      <c r="H93" s="187"/>
      <c r="I93" s="187"/>
      <c r="J93" s="2"/>
      <c r="K93" s="2"/>
      <c r="L93" s="2"/>
      <c r="M93" s="2"/>
      <c r="N93" s="2"/>
      <c r="O93" s="49"/>
      <c r="P93" s="263"/>
      <c r="Q93" s="263"/>
      <c r="R93" s="263"/>
      <c r="S93" s="1"/>
      <c r="T93" s="1"/>
      <c r="U93" s="1"/>
      <c r="V93" s="1"/>
      <c r="W93" s="1"/>
      <c r="AA93" s="1"/>
    </row>
    <row r="94" ht="13.5" customHeight="1">
      <c r="B94" s="135" t="s">
        <v>41</v>
      </c>
      <c r="C94" s="138">
        <f>'Prep Cycle I'!$V$64</f>
        <v>12</v>
      </c>
      <c r="D94" s="138">
        <f>'Prep Cycle I'!$V$117</f>
        <v>17</v>
      </c>
      <c r="E94" s="138">
        <f>'Prep Cycle I'!$V$185</f>
        <v>14</v>
      </c>
      <c r="F94" s="138">
        <f>'Prep Cycle I'!$V$254</f>
        <v>32</v>
      </c>
      <c r="G94" s="139">
        <f t="shared" si="27"/>
        <v>75</v>
      </c>
      <c r="H94" s="187"/>
      <c r="I94" s="187"/>
      <c r="J94" s="2"/>
      <c r="K94" s="2"/>
      <c r="L94" s="2"/>
      <c r="M94" s="2"/>
      <c r="N94" s="2"/>
      <c r="O94" s="49"/>
      <c r="P94" s="263"/>
      <c r="Q94" s="263"/>
      <c r="R94" s="263"/>
      <c r="S94" s="1"/>
      <c r="T94" s="1"/>
      <c r="U94" s="1"/>
      <c r="V94" s="1"/>
      <c r="W94" s="1"/>
      <c r="AA94" s="1"/>
    </row>
    <row r="95" ht="13.5" customHeight="1">
      <c r="B95" s="135" t="s">
        <v>42</v>
      </c>
      <c r="C95" s="138">
        <f>'Prep Cycle I'!$W$64</f>
        <v>0</v>
      </c>
      <c r="D95" s="138">
        <f>'Prep Cycle I'!$W$117</f>
        <v>3</v>
      </c>
      <c r="E95" s="138">
        <f>'Prep Cycle I'!$W$185</f>
        <v>3</v>
      </c>
      <c r="F95" s="138">
        <f>'Prep Cycle I'!$W$254</f>
        <v>6</v>
      </c>
      <c r="G95" s="139">
        <f t="shared" si="27"/>
        <v>12</v>
      </c>
      <c r="H95" s="187"/>
      <c r="I95" s="187"/>
      <c r="J95" s="2"/>
      <c r="K95" s="2"/>
      <c r="L95" s="2"/>
      <c r="M95" s="2"/>
      <c r="N95" s="2"/>
      <c r="O95" s="49"/>
      <c r="P95" s="263"/>
      <c r="Q95" s="263"/>
      <c r="R95" s="263"/>
      <c r="S95" s="1"/>
      <c r="T95" s="1"/>
      <c r="U95" s="1"/>
      <c r="V95" s="1"/>
      <c r="W95" s="1"/>
      <c r="AA95" s="1"/>
    </row>
    <row r="96" ht="13.5" customHeight="1">
      <c r="B96" s="135" t="s">
        <v>146</v>
      </c>
      <c r="C96" s="138">
        <f t="shared" ref="C96:F96" si="28">SUM(C91:C95)</f>
        <v>105</v>
      </c>
      <c r="D96" s="138">
        <f t="shared" si="28"/>
        <v>78</v>
      </c>
      <c r="E96" s="138">
        <f t="shared" si="28"/>
        <v>126</v>
      </c>
      <c r="F96" s="138">
        <f t="shared" si="28"/>
        <v>121</v>
      </c>
      <c r="G96" s="139">
        <f t="shared" si="27"/>
        <v>430</v>
      </c>
      <c r="H96" s="187"/>
      <c r="I96" s="187"/>
      <c r="J96" s="2"/>
      <c r="K96" s="2"/>
      <c r="L96" s="2"/>
      <c r="M96" s="2"/>
      <c r="N96" s="2"/>
      <c r="O96" s="49"/>
      <c r="P96" s="263"/>
      <c r="Q96" s="263"/>
      <c r="R96" s="263"/>
      <c r="S96" s="1"/>
      <c r="T96" s="1"/>
      <c r="U96" s="1"/>
      <c r="V96" s="1"/>
      <c r="W96" s="1"/>
      <c r="AA96" s="1"/>
    </row>
    <row r="97" ht="13.5" customHeight="1">
      <c r="B97" s="100" t="s">
        <v>155</v>
      </c>
      <c r="C97" s="276">
        <f>Q31</f>
        <v>0.68</v>
      </c>
      <c r="D97" s="276">
        <f>Q32</f>
        <v>0.6769230769</v>
      </c>
      <c r="E97" s="276">
        <f>Q33</f>
        <v>0.6599206349</v>
      </c>
      <c r="F97" s="276">
        <f>Q34</f>
        <v>0.6863636364</v>
      </c>
      <c r="G97" s="277">
        <f>Q35</f>
        <v>0.6753488372</v>
      </c>
      <c r="H97" s="187"/>
      <c r="I97" s="187"/>
      <c r="J97" s="2"/>
      <c r="K97" s="2"/>
      <c r="L97" s="2"/>
      <c r="M97" s="2"/>
      <c r="N97" s="2"/>
      <c r="O97" s="49"/>
      <c r="P97" s="263"/>
      <c r="Q97" s="263"/>
      <c r="R97" s="263"/>
      <c r="S97" s="1"/>
      <c r="T97" s="1"/>
      <c r="U97" s="1"/>
      <c r="V97" s="1"/>
      <c r="W97" s="1"/>
      <c r="AA97" s="1"/>
    </row>
    <row r="98" ht="13.5" customHeight="1">
      <c r="B98" s="67"/>
      <c r="C98" s="67"/>
      <c r="D98" s="67"/>
      <c r="E98" s="187"/>
      <c r="F98" s="187"/>
      <c r="G98" s="187"/>
      <c r="H98" s="187"/>
      <c r="I98" s="138"/>
      <c r="J98" s="2"/>
      <c r="K98" s="2"/>
      <c r="L98" s="2"/>
      <c r="M98" s="2"/>
      <c r="N98" s="2"/>
      <c r="O98" s="49"/>
      <c r="P98" s="263"/>
      <c r="Q98" s="263"/>
      <c r="R98" s="263"/>
      <c r="S98" s="1"/>
      <c r="T98" s="1"/>
      <c r="U98" s="1"/>
      <c r="V98" s="1"/>
      <c r="W98" s="1"/>
      <c r="AA98" s="1"/>
    </row>
    <row r="99" ht="27.0" customHeight="1">
      <c r="B99" s="101" t="s">
        <v>149</v>
      </c>
      <c r="C99" s="101"/>
      <c r="D99" s="101"/>
      <c r="E99" s="101"/>
      <c r="F99" s="101"/>
      <c r="G99" s="101"/>
      <c r="H99" s="101"/>
      <c r="I99" s="101"/>
      <c r="J99" s="2"/>
      <c r="K99" s="2"/>
      <c r="L99" s="2"/>
      <c r="M99" s="2"/>
      <c r="N99" s="2"/>
      <c r="O99" s="49"/>
      <c r="P99" s="263"/>
      <c r="Q99" s="263"/>
      <c r="R99" s="263"/>
      <c r="S99" s="1"/>
      <c r="T99" s="1"/>
      <c r="U99" s="1"/>
      <c r="V99" s="1"/>
      <c r="W99" s="1"/>
      <c r="AA99" s="1"/>
    </row>
    <row r="100" ht="13.5" customHeight="1">
      <c r="B100" s="96" t="s">
        <v>34</v>
      </c>
      <c r="C100" s="98" t="s">
        <v>29</v>
      </c>
      <c r="D100" s="98" t="s">
        <v>65</v>
      </c>
      <c r="E100" s="98" t="s">
        <v>77</v>
      </c>
      <c r="F100" s="98" t="s">
        <v>84</v>
      </c>
      <c r="G100" s="98" t="s">
        <v>116</v>
      </c>
      <c r="H100" s="98" t="s">
        <v>121</v>
      </c>
      <c r="I100" s="99" t="s">
        <v>156</v>
      </c>
      <c r="J100" s="2"/>
      <c r="K100" s="2"/>
      <c r="L100" s="2"/>
      <c r="M100" s="2"/>
      <c r="N100" s="2"/>
      <c r="O100" s="49"/>
      <c r="P100" s="263"/>
      <c r="Q100" s="263"/>
      <c r="R100" s="263"/>
      <c r="S100" s="1"/>
      <c r="T100" s="1"/>
      <c r="U100" s="1"/>
      <c r="V100" s="1"/>
      <c r="W100" s="1"/>
      <c r="AA100" s="1"/>
    </row>
    <row r="101" ht="13.5" customHeight="1">
      <c r="B101" s="135" t="s">
        <v>38</v>
      </c>
      <c r="C101" s="138">
        <f>'Prep Cycle II'!$S$66</f>
        <v>17</v>
      </c>
      <c r="D101" s="138">
        <f>'Prep Cycle II'!$S$124</f>
        <v>18</v>
      </c>
      <c r="E101" s="138">
        <f>'Prep Cycle II'!$S$186</f>
        <v>21</v>
      </c>
      <c r="F101" s="138">
        <f>'Prep Cycle II'!$S$247</f>
        <v>16</v>
      </c>
      <c r="G101" s="138">
        <f>'Prep Cycle II'!$S$319</f>
        <v>35</v>
      </c>
      <c r="H101" s="138">
        <f>'Prep Cycle II'!$S$383</f>
        <v>19</v>
      </c>
      <c r="I101" s="139">
        <f t="shared" ref="I101:I105" si="29">SUM(C101:H101)</f>
        <v>126</v>
      </c>
      <c r="J101" s="2"/>
      <c r="K101" s="2"/>
      <c r="L101" s="2"/>
      <c r="M101" s="2"/>
      <c r="N101" s="2"/>
      <c r="O101" s="49"/>
      <c r="P101" s="263"/>
      <c r="Q101" s="263"/>
      <c r="R101" s="263"/>
      <c r="S101" s="1"/>
      <c r="T101" s="1"/>
      <c r="U101" s="1"/>
      <c r="V101" s="1"/>
      <c r="W101" s="1"/>
      <c r="AA101" s="1"/>
    </row>
    <row r="102" ht="13.5" customHeight="1">
      <c r="B102" s="135" t="s">
        <v>39</v>
      </c>
      <c r="C102" s="138">
        <f>'Prep Cycle II'!$T$66</f>
        <v>18</v>
      </c>
      <c r="D102" s="138">
        <f>'Prep Cycle II'!$T$124</f>
        <v>15</v>
      </c>
      <c r="E102" s="138">
        <f>'Prep Cycle II'!$T$186</f>
        <v>19</v>
      </c>
      <c r="F102" s="138">
        <f>'Prep Cycle II'!$T$247</f>
        <v>14</v>
      </c>
      <c r="G102" s="138">
        <f>'Prep Cycle II'!$T$319</f>
        <v>28</v>
      </c>
      <c r="H102" s="138">
        <f>'Prep Cycle II'!$T$383</f>
        <v>17</v>
      </c>
      <c r="I102" s="139">
        <f t="shared" si="29"/>
        <v>111</v>
      </c>
      <c r="J102" s="2"/>
      <c r="K102" s="2"/>
      <c r="L102" s="2"/>
      <c r="M102" s="2"/>
      <c r="N102" s="2"/>
      <c r="O102" s="49"/>
      <c r="P102" s="263"/>
      <c r="Q102" s="263"/>
      <c r="R102" s="263"/>
      <c r="S102" s="1"/>
      <c r="T102" s="1"/>
      <c r="U102" s="1"/>
      <c r="V102" s="1"/>
      <c r="W102" s="1"/>
      <c r="AA102" s="1"/>
    </row>
    <row r="103" ht="13.5" customHeight="1">
      <c r="B103" s="135" t="s">
        <v>40</v>
      </c>
      <c r="C103" s="138">
        <f>'Prep Cycle II'!$U$66</f>
        <v>36</v>
      </c>
      <c r="D103" s="138">
        <f>'Prep Cycle II'!$U$124</f>
        <v>25</v>
      </c>
      <c r="E103" s="138">
        <f>'Prep Cycle II'!$U$186</f>
        <v>45</v>
      </c>
      <c r="F103" s="138">
        <f>'Prep Cycle II'!$U$247</f>
        <v>12</v>
      </c>
      <c r="G103" s="138">
        <f>'Prep Cycle II'!$U$319</f>
        <v>36</v>
      </c>
      <c r="H103" s="138">
        <f>'Prep Cycle II'!$U$383</f>
        <v>72</v>
      </c>
      <c r="I103" s="139">
        <f t="shared" si="29"/>
        <v>226</v>
      </c>
      <c r="J103" s="2"/>
      <c r="K103" s="2"/>
      <c r="L103" s="2"/>
      <c r="M103" s="2"/>
      <c r="N103" s="2"/>
      <c r="O103" s="49"/>
      <c r="P103" s="263"/>
      <c r="Q103" s="263"/>
      <c r="R103" s="263"/>
      <c r="S103" s="1"/>
      <c r="T103" s="1"/>
      <c r="U103" s="1"/>
      <c r="V103" s="1"/>
      <c r="W103" s="1"/>
      <c r="AA103" s="1"/>
    </row>
    <row r="104" ht="13.5" customHeight="1">
      <c r="B104" s="135" t="s">
        <v>41</v>
      </c>
      <c r="C104" s="138">
        <f>'Prep Cycle II'!$V$66</f>
        <v>32</v>
      </c>
      <c r="D104" s="138">
        <f>'Prep Cycle II'!$V$124</f>
        <v>29</v>
      </c>
      <c r="E104" s="138">
        <f>'Prep Cycle II'!$V$186</f>
        <v>20</v>
      </c>
      <c r="F104" s="138">
        <f>'Prep Cycle II'!$V$247</f>
        <v>35</v>
      </c>
      <c r="G104" s="138">
        <f>'Prep Cycle II'!$V$319</f>
        <v>30</v>
      </c>
      <c r="H104" s="138">
        <f>'Prep Cycle II'!$V$383</f>
        <v>10</v>
      </c>
      <c r="I104" s="139">
        <f t="shared" si="29"/>
        <v>156</v>
      </c>
      <c r="J104" s="2"/>
      <c r="K104" s="2"/>
      <c r="L104" s="2"/>
      <c r="M104" s="2"/>
      <c r="N104" s="2"/>
      <c r="O104" s="49"/>
      <c r="P104" s="263"/>
      <c r="Q104" s="263"/>
      <c r="R104" s="263"/>
      <c r="S104" s="1"/>
      <c r="T104" s="1"/>
      <c r="U104" s="1"/>
      <c r="V104" s="1"/>
      <c r="W104" s="1"/>
      <c r="AA104" s="1"/>
    </row>
    <row r="105" ht="13.5" customHeight="1">
      <c r="B105" s="135" t="s">
        <v>42</v>
      </c>
      <c r="C105" s="138">
        <f>'Prep Cycle II'!$W$66</f>
        <v>0</v>
      </c>
      <c r="D105" s="138">
        <f>'Prep Cycle II'!$W$124</f>
        <v>6</v>
      </c>
      <c r="E105" s="138">
        <f>'Prep Cycle II'!$W$186</f>
        <v>0</v>
      </c>
      <c r="F105" s="138">
        <f>'Prep Cycle II'!$W$247</f>
        <v>7</v>
      </c>
      <c r="G105" s="138">
        <f>'Prep Cycle II'!$W$319</f>
        <v>0</v>
      </c>
      <c r="H105" s="138">
        <f>'Prep Cycle II'!$W$383</f>
        <v>0</v>
      </c>
      <c r="I105" s="139">
        <f t="shared" si="29"/>
        <v>13</v>
      </c>
      <c r="J105" s="2"/>
      <c r="K105" s="2"/>
      <c r="L105" s="2"/>
      <c r="M105" s="2"/>
      <c r="N105" s="2"/>
      <c r="O105" s="49"/>
      <c r="P105" s="263"/>
      <c r="Q105" s="263"/>
      <c r="R105" s="263"/>
      <c r="S105" s="1"/>
      <c r="T105" s="1"/>
      <c r="U105" s="1"/>
      <c r="V105" s="1"/>
      <c r="W105" s="1"/>
      <c r="AA105" s="1"/>
    </row>
    <row r="106" ht="13.5" customHeight="1">
      <c r="B106" s="135" t="s">
        <v>146</v>
      </c>
      <c r="C106" s="138">
        <f t="shared" ref="C106:I106" si="30">SUM(C101:C105)</f>
        <v>103</v>
      </c>
      <c r="D106" s="138">
        <f t="shared" si="30"/>
        <v>93</v>
      </c>
      <c r="E106" s="138">
        <f t="shared" si="30"/>
        <v>105</v>
      </c>
      <c r="F106" s="138">
        <f t="shared" si="30"/>
        <v>84</v>
      </c>
      <c r="G106" s="138">
        <f t="shared" si="30"/>
        <v>129</v>
      </c>
      <c r="H106" s="138">
        <f t="shared" si="30"/>
        <v>118</v>
      </c>
      <c r="I106" s="139">
        <f t="shared" si="30"/>
        <v>632</v>
      </c>
      <c r="J106" s="2"/>
      <c r="K106" s="2"/>
      <c r="L106" s="2"/>
      <c r="M106" s="2"/>
      <c r="N106" s="2"/>
      <c r="O106" s="49"/>
      <c r="P106" s="263"/>
      <c r="Q106" s="263"/>
      <c r="R106" s="263"/>
      <c r="S106" s="1"/>
      <c r="T106" s="1"/>
      <c r="U106" s="1"/>
      <c r="V106" s="1"/>
      <c r="W106" s="1"/>
      <c r="AA106" s="1"/>
    </row>
    <row r="107" ht="13.5" customHeight="1">
      <c r="B107" s="100" t="s">
        <v>155</v>
      </c>
      <c r="C107" s="276">
        <f>Q39</f>
        <v>0.6970873786</v>
      </c>
      <c r="D107" s="276">
        <f>Q40</f>
        <v>0.7059139785</v>
      </c>
      <c r="E107" s="276">
        <f>Q41</f>
        <v>0.6719047619</v>
      </c>
      <c r="F107" s="276">
        <f>Q42</f>
        <v>0.7261904762</v>
      </c>
      <c r="G107" s="276">
        <f>Q43</f>
        <v>0.6550387597</v>
      </c>
      <c r="H107" s="276">
        <f>Q44</f>
        <v>0.7261904762</v>
      </c>
      <c r="I107" s="277">
        <f>Q45</f>
        <v>0.6931438127</v>
      </c>
      <c r="J107" s="2"/>
      <c r="K107" s="2"/>
      <c r="L107" s="2"/>
      <c r="M107" s="2"/>
      <c r="N107" s="2"/>
      <c r="O107" s="49"/>
      <c r="P107" s="263"/>
      <c r="Q107" s="263"/>
      <c r="R107" s="263"/>
      <c r="S107" s="1"/>
      <c r="T107" s="1"/>
      <c r="U107" s="1"/>
      <c r="V107" s="1"/>
      <c r="W107" s="1"/>
      <c r="AA107" s="1"/>
    </row>
    <row r="108" ht="13.5" customHeight="1">
      <c r="B108" s="67"/>
      <c r="C108" s="67"/>
      <c r="D108" s="67"/>
      <c r="E108" s="187"/>
      <c r="F108" s="187"/>
      <c r="G108" s="187"/>
      <c r="H108" s="187"/>
      <c r="I108" s="187"/>
      <c r="J108" s="2"/>
      <c r="K108" s="2"/>
      <c r="L108" s="2"/>
      <c r="M108" s="2"/>
      <c r="N108" s="2"/>
      <c r="O108" s="49"/>
      <c r="P108" s="263"/>
      <c r="Q108" s="263"/>
      <c r="R108" s="263"/>
      <c r="S108" s="1"/>
      <c r="T108" s="1"/>
      <c r="U108" s="1"/>
      <c r="V108" s="1"/>
      <c r="W108" s="1"/>
      <c r="AA108" s="1"/>
    </row>
    <row r="109" ht="25.5" customHeight="1">
      <c r="B109" s="101" t="s">
        <v>150</v>
      </c>
      <c r="C109" s="101"/>
      <c r="D109" s="101"/>
      <c r="E109" s="101"/>
      <c r="F109" s="101"/>
      <c r="G109" s="101"/>
      <c r="H109" s="101"/>
      <c r="I109" s="187"/>
      <c r="J109" s="2"/>
      <c r="K109" s="2"/>
      <c r="L109" s="2"/>
      <c r="M109" s="2"/>
      <c r="N109" s="2"/>
      <c r="O109" s="49"/>
      <c r="P109" s="263"/>
      <c r="Q109" s="263"/>
      <c r="R109" s="263"/>
      <c r="S109" s="1"/>
      <c r="T109" s="1"/>
      <c r="U109" s="1"/>
      <c r="V109" s="1"/>
      <c r="W109" s="1"/>
      <c r="AA109" s="1"/>
    </row>
    <row r="110" ht="13.5" customHeight="1">
      <c r="B110" s="96" t="s">
        <v>34</v>
      </c>
      <c r="C110" s="98" t="s">
        <v>29</v>
      </c>
      <c r="D110" s="98" t="s">
        <v>65</v>
      </c>
      <c r="E110" s="98" t="s">
        <v>77</v>
      </c>
      <c r="F110" s="98" t="s">
        <v>84</v>
      </c>
      <c r="G110" s="98" t="s">
        <v>116</v>
      </c>
      <c r="H110" s="99" t="s">
        <v>156</v>
      </c>
      <c r="I110" s="187"/>
      <c r="J110" s="2"/>
      <c r="K110" s="2"/>
      <c r="L110" s="2"/>
      <c r="M110" s="2"/>
      <c r="N110" s="2"/>
      <c r="O110" s="49"/>
      <c r="P110" s="263"/>
      <c r="Q110" s="263"/>
      <c r="R110" s="263"/>
      <c r="S110" s="1"/>
      <c r="T110" s="1"/>
      <c r="U110" s="1"/>
      <c r="V110" s="1"/>
      <c r="W110" s="1"/>
      <c r="AA110" s="1"/>
    </row>
    <row r="111" ht="13.5" customHeight="1">
      <c r="B111" s="135" t="s">
        <v>38</v>
      </c>
      <c r="C111" s="138">
        <f>'Prep Cycle III'!$S$58</f>
        <v>15</v>
      </c>
      <c r="D111" s="138">
        <f>'Prep Cycle III'!$S$122</f>
        <v>20</v>
      </c>
      <c r="E111" s="138">
        <f>'Prep Cycle III'!$S$187</f>
        <v>28</v>
      </c>
      <c r="F111" s="138">
        <f>'Prep Cycle III'!$S$253</f>
        <v>19</v>
      </c>
      <c r="G111" s="138">
        <f>'Prep Cycle III'!$S$314</f>
        <v>24</v>
      </c>
      <c r="H111" s="139">
        <f t="shared" ref="H111:H116" si="31">SUM(C111:G111)</f>
        <v>106</v>
      </c>
      <c r="I111" s="187"/>
      <c r="J111" s="2"/>
      <c r="K111" s="2"/>
      <c r="L111" s="2"/>
      <c r="M111" s="2"/>
      <c r="N111" s="2"/>
      <c r="O111" s="49"/>
      <c r="P111" s="263"/>
      <c r="Q111" s="263"/>
      <c r="R111" s="263"/>
      <c r="S111" s="1"/>
      <c r="T111" s="1"/>
      <c r="U111" s="1"/>
      <c r="V111" s="1"/>
      <c r="W111" s="1"/>
      <c r="AA111" s="1"/>
    </row>
    <row r="112" ht="13.5" customHeight="1">
      <c r="B112" s="135" t="s">
        <v>39</v>
      </c>
      <c r="C112" s="138">
        <f>'Prep Cycle III'!$T$58</f>
        <v>12</v>
      </c>
      <c r="D112" s="138">
        <f>'Prep Cycle III'!$T$122</f>
        <v>17</v>
      </c>
      <c r="E112" s="138">
        <f>'Prep Cycle III'!$T$187</f>
        <v>27</v>
      </c>
      <c r="F112" s="138">
        <f>'Prep Cycle III'!$T$253</f>
        <v>18</v>
      </c>
      <c r="G112" s="138">
        <f>'Prep Cycle III'!$T$314</f>
        <v>22</v>
      </c>
      <c r="H112" s="139">
        <f t="shared" si="31"/>
        <v>96</v>
      </c>
      <c r="I112" s="187"/>
      <c r="J112" s="2"/>
      <c r="K112" s="2"/>
      <c r="L112" s="2"/>
      <c r="M112" s="2"/>
      <c r="N112" s="2"/>
      <c r="O112" s="49"/>
      <c r="P112" s="263"/>
      <c r="Q112" s="263"/>
      <c r="R112" s="263"/>
      <c r="S112" s="1"/>
      <c r="T112" s="1"/>
      <c r="U112" s="1"/>
      <c r="V112" s="1"/>
      <c r="W112" s="1"/>
      <c r="AA112" s="1"/>
    </row>
    <row r="113" ht="13.5" customHeight="1">
      <c r="B113" s="135" t="s">
        <v>40</v>
      </c>
      <c r="C113" s="138">
        <f>'Prep Cycle III'!$U$58</f>
        <v>17</v>
      </c>
      <c r="D113" s="138">
        <f>'Prep Cycle III'!$U$122</f>
        <v>50</v>
      </c>
      <c r="E113" s="138">
        <f>'Prep Cycle III'!$U$187</f>
        <v>34</v>
      </c>
      <c r="F113" s="138">
        <f>'Prep Cycle III'!$U$253</f>
        <v>61</v>
      </c>
      <c r="G113" s="138">
        <f>'Prep Cycle III'!$U$314</f>
        <v>76</v>
      </c>
      <c r="H113" s="139">
        <f t="shared" si="31"/>
        <v>238</v>
      </c>
      <c r="I113" s="187"/>
      <c r="J113" s="2"/>
      <c r="K113" s="2"/>
      <c r="L113" s="2"/>
      <c r="M113" s="2"/>
      <c r="N113" s="2"/>
      <c r="O113" s="49"/>
      <c r="P113" s="263"/>
      <c r="Q113" s="263"/>
      <c r="R113" s="263"/>
      <c r="S113" s="1"/>
      <c r="T113" s="1"/>
      <c r="U113" s="1"/>
      <c r="V113" s="1"/>
      <c r="W113" s="1"/>
      <c r="AA113" s="1"/>
    </row>
    <row r="114" ht="13.5" customHeight="1">
      <c r="B114" s="135" t="s">
        <v>41</v>
      </c>
      <c r="C114" s="138">
        <f>'Prep Cycle III'!$V$58</f>
        <v>18</v>
      </c>
      <c r="D114" s="138">
        <f>'Prep Cycle III'!$V$122</f>
        <v>2</v>
      </c>
      <c r="E114" s="138">
        <f>'Prep Cycle III'!$V$187</f>
        <v>51</v>
      </c>
      <c r="F114" s="138">
        <f>'Prep Cycle III'!$V$253</f>
        <v>24</v>
      </c>
      <c r="G114" s="138">
        <f>'Prep Cycle III'!$V$314</f>
        <v>12</v>
      </c>
      <c r="H114" s="139">
        <f t="shared" si="31"/>
        <v>107</v>
      </c>
      <c r="I114" s="187"/>
      <c r="J114" s="2"/>
      <c r="K114" s="2"/>
      <c r="L114" s="2"/>
      <c r="M114" s="2"/>
      <c r="N114" s="2"/>
      <c r="O114" s="49"/>
      <c r="P114" s="263"/>
      <c r="Q114" s="263"/>
      <c r="R114" s="263"/>
      <c r="S114" s="1"/>
      <c r="T114" s="1"/>
      <c r="U114" s="1"/>
      <c r="V114" s="1"/>
      <c r="W114" s="1"/>
      <c r="AA114" s="1"/>
    </row>
    <row r="115" ht="13.5" customHeight="1">
      <c r="B115" s="135" t="s">
        <v>42</v>
      </c>
      <c r="C115" s="138">
        <f>'Prep Cycle III'!$W$58</f>
        <v>0</v>
      </c>
      <c r="D115" s="138">
        <f>'Prep Cycle III'!$W$122</f>
        <v>5</v>
      </c>
      <c r="E115" s="138">
        <f>'Prep Cycle III'!$W$187</f>
        <v>0</v>
      </c>
      <c r="F115" s="138">
        <f>'Prep Cycle III'!$W$253</f>
        <v>6</v>
      </c>
      <c r="G115" s="138">
        <f>'Prep Cycle III'!$W$314</f>
        <v>0</v>
      </c>
      <c r="H115" s="139">
        <f t="shared" si="31"/>
        <v>11</v>
      </c>
      <c r="I115" s="187"/>
      <c r="J115" s="2"/>
      <c r="K115" s="2"/>
      <c r="L115" s="2"/>
      <c r="M115" s="2"/>
      <c r="N115" s="2"/>
      <c r="O115" s="49"/>
      <c r="P115" s="263"/>
      <c r="Q115" s="263"/>
      <c r="R115" s="263"/>
      <c r="S115" s="1"/>
      <c r="T115" s="1"/>
      <c r="U115" s="1"/>
      <c r="V115" s="1"/>
      <c r="W115" s="1"/>
      <c r="AA115" s="1"/>
    </row>
    <row r="116" ht="13.5" customHeight="1">
      <c r="B116" s="135" t="s">
        <v>146</v>
      </c>
      <c r="C116" s="138">
        <f t="shared" ref="C116:G116" si="32">SUM(C111:C115)</f>
        <v>62</v>
      </c>
      <c r="D116" s="138">
        <f t="shared" si="32"/>
        <v>94</v>
      </c>
      <c r="E116" s="138">
        <f t="shared" si="32"/>
        <v>140</v>
      </c>
      <c r="F116" s="138">
        <f t="shared" si="32"/>
        <v>128</v>
      </c>
      <c r="G116" s="138">
        <f t="shared" si="32"/>
        <v>134</v>
      </c>
      <c r="H116" s="139">
        <f t="shared" si="31"/>
        <v>558</v>
      </c>
      <c r="I116" s="187"/>
      <c r="J116" s="2"/>
      <c r="K116" s="2"/>
      <c r="L116" s="2"/>
      <c r="M116" s="2"/>
      <c r="N116" s="2"/>
      <c r="O116" s="49"/>
      <c r="P116" s="263"/>
      <c r="Q116" s="263"/>
      <c r="R116" s="263"/>
      <c r="S116" s="1"/>
      <c r="T116" s="1"/>
      <c r="U116" s="1"/>
      <c r="V116" s="1"/>
      <c r="W116" s="1"/>
      <c r="AA116" s="1"/>
    </row>
    <row r="117" ht="13.5" customHeight="1">
      <c r="B117" s="100" t="s">
        <v>155</v>
      </c>
      <c r="C117" s="276">
        <f>Q49</f>
        <v>0.6693548387</v>
      </c>
      <c r="D117" s="276">
        <f>Q50</f>
        <v>0.6670212766</v>
      </c>
      <c r="E117" s="276">
        <f>Q51</f>
        <v>0.6785714286</v>
      </c>
      <c r="F117" s="276">
        <f>Q52</f>
        <v>0.703515625</v>
      </c>
      <c r="G117" s="276">
        <f>Q53</f>
        <v>0.6597014925</v>
      </c>
      <c r="H117" s="277">
        <f>Q54</f>
        <v>0.6767921147</v>
      </c>
      <c r="I117" s="187"/>
      <c r="J117" s="2"/>
      <c r="K117" s="2"/>
      <c r="L117" s="2"/>
      <c r="M117" s="2"/>
      <c r="N117" s="2"/>
      <c r="O117" s="49"/>
      <c r="P117" s="263"/>
      <c r="Q117" s="263"/>
      <c r="R117" s="263"/>
      <c r="S117" s="1"/>
      <c r="T117" s="1"/>
      <c r="U117" s="1"/>
      <c r="V117" s="1"/>
      <c r="W117" s="1"/>
      <c r="AA117" s="1"/>
    </row>
    <row r="118" ht="13.5" customHeight="1">
      <c r="B118" s="67"/>
      <c r="C118" s="67"/>
      <c r="D118" s="67"/>
      <c r="E118" s="187"/>
      <c r="F118" s="187"/>
      <c r="G118" s="187"/>
      <c r="H118" s="187"/>
      <c r="I118" s="187"/>
      <c r="J118" s="2"/>
      <c r="K118" s="2"/>
      <c r="L118" s="2"/>
      <c r="M118" s="2"/>
      <c r="N118" s="2"/>
      <c r="O118" s="49"/>
      <c r="P118" s="263"/>
      <c r="Q118" s="263"/>
      <c r="R118" s="263"/>
      <c r="S118" s="1"/>
      <c r="T118" s="1"/>
      <c r="U118" s="1"/>
      <c r="V118" s="1"/>
      <c r="W118" s="1"/>
      <c r="AA118" s="1"/>
    </row>
    <row r="119" ht="27.75" customHeight="1">
      <c r="B119" s="101" t="s">
        <v>152</v>
      </c>
      <c r="C119" s="101"/>
      <c r="D119" s="101"/>
      <c r="E119" s="101"/>
      <c r="F119" s="101"/>
      <c r="G119" s="101"/>
      <c r="H119" s="101"/>
      <c r="I119" s="187"/>
      <c r="J119" s="67"/>
      <c r="K119" s="67"/>
      <c r="L119" s="67"/>
      <c r="M119" s="24"/>
      <c r="N119" s="24"/>
      <c r="O119" s="49"/>
      <c r="P119" s="264"/>
      <c r="Q119" s="264"/>
      <c r="R119" s="264"/>
      <c r="S119" s="1"/>
      <c r="T119" s="1"/>
      <c r="U119" s="1"/>
      <c r="V119" s="1"/>
      <c r="W119" s="1"/>
      <c r="AA119" s="1"/>
    </row>
    <row r="120" ht="13.5" customHeight="1">
      <c r="B120" s="96" t="s">
        <v>34</v>
      </c>
      <c r="C120" s="98" t="s">
        <v>29</v>
      </c>
      <c r="D120" s="98" t="s">
        <v>65</v>
      </c>
      <c r="E120" s="98" t="s">
        <v>77</v>
      </c>
      <c r="F120" s="98" t="s">
        <v>84</v>
      </c>
      <c r="G120" s="98" t="s">
        <v>116</v>
      </c>
      <c r="H120" s="99" t="s">
        <v>154</v>
      </c>
      <c r="I120" s="187"/>
      <c r="J120" s="2"/>
      <c r="K120" s="2"/>
      <c r="L120" s="2"/>
      <c r="M120" s="2"/>
      <c r="N120" s="2"/>
      <c r="O120" s="49"/>
      <c r="P120" s="263"/>
      <c r="Q120" s="263"/>
      <c r="R120" s="263"/>
      <c r="S120" s="1"/>
      <c r="T120" s="1"/>
      <c r="U120" s="1"/>
      <c r="V120" s="1"/>
      <c r="W120" s="1"/>
      <c r="X120" s="146"/>
      <c r="Y120" s="264"/>
      <c r="Z120" s="264"/>
      <c r="AA120" s="264"/>
      <c r="AB120" s="264"/>
    </row>
    <row r="121" ht="13.5" customHeight="1">
      <c r="B121" s="135" t="s">
        <v>38</v>
      </c>
      <c r="C121" s="138">
        <f>'Comp Cycle'!$S$62</f>
        <v>18</v>
      </c>
      <c r="D121" s="138">
        <f>'Comp Cycle'!$S$117</f>
        <v>9</v>
      </c>
      <c r="E121" s="138">
        <f>'Comp Cycle'!$S$169</f>
        <v>9</v>
      </c>
      <c r="F121" s="138">
        <f>'Comp Cycle'!$S$208</f>
        <v>9</v>
      </c>
      <c r="G121" s="138">
        <f>'Comp Cycle'!$S$230</f>
        <v>6</v>
      </c>
      <c r="H121" s="139">
        <f t="shared" ref="H121:H126" si="33">SUM(C121:G121)</f>
        <v>51</v>
      </c>
      <c r="I121" s="187"/>
      <c r="J121" s="2"/>
      <c r="K121" s="2"/>
      <c r="L121" s="2"/>
      <c r="M121" s="2"/>
      <c r="N121" s="2"/>
      <c r="O121" s="49"/>
      <c r="P121" s="268"/>
      <c r="Q121" s="263"/>
      <c r="R121" s="263"/>
      <c r="S121" s="1"/>
      <c r="T121" s="1"/>
      <c r="U121" s="1"/>
      <c r="V121" s="1"/>
      <c r="W121" s="1"/>
      <c r="AA121" s="1"/>
    </row>
    <row r="122" ht="13.5" customHeight="1">
      <c r="B122" s="135" t="s">
        <v>39</v>
      </c>
      <c r="C122" s="138">
        <f>'Comp Cycle'!$T$62</f>
        <v>15</v>
      </c>
      <c r="D122" s="138">
        <f>'Comp Cycle'!$T$117</f>
        <v>9</v>
      </c>
      <c r="E122" s="138">
        <f>'Comp Cycle'!$T$169</f>
        <v>9</v>
      </c>
      <c r="F122" s="138">
        <f>'Comp Cycle'!$T$208</f>
        <v>9</v>
      </c>
      <c r="G122" s="138">
        <f>'Comp Cycle'!$T$230</f>
        <v>6</v>
      </c>
      <c r="H122" s="139">
        <f t="shared" si="33"/>
        <v>48</v>
      </c>
      <c r="I122" s="187"/>
      <c r="J122" s="2"/>
      <c r="K122" s="2"/>
      <c r="L122" s="2"/>
      <c r="M122" s="2"/>
      <c r="N122" s="2"/>
      <c r="O122" s="49"/>
      <c r="P122" s="263"/>
      <c r="Q122" s="263"/>
      <c r="R122" s="263"/>
      <c r="S122" s="1"/>
      <c r="T122" s="1"/>
      <c r="U122" s="1"/>
      <c r="V122" s="1"/>
      <c r="W122" s="1"/>
      <c r="AA122" s="1"/>
    </row>
    <row r="123" ht="13.5" customHeight="1">
      <c r="B123" s="135" t="s">
        <v>40</v>
      </c>
      <c r="C123" s="138">
        <f>'Comp Cycle'!$U$62</f>
        <v>12</v>
      </c>
      <c r="D123" s="138">
        <f>'Comp Cycle'!$U$117</f>
        <v>23</v>
      </c>
      <c r="E123" s="138">
        <f>'Comp Cycle'!$U$169</f>
        <v>9</v>
      </c>
      <c r="F123" s="138">
        <f>'Comp Cycle'!$U$208</f>
        <v>15</v>
      </c>
      <c r="G123" s="138">
        <f>'Comp Cycle'!$U$230</f>
        <v>13</v>
      </c>
      <c r="H123" s="139">
        <f t="shared" si="33"/>
        <v>72</v>
      </c>
      <c r="I123" s="187"/>
      <c r="J123" s="2"/>
      <c r="K123" s="2"/>
      <c r="L123" s="2"/>
      <c r="M123" s="2"/>
      <c r="N123" s="2"/>
      <c r="O123" s="49"/>
      <c r="P123" s="263"/>
      <c r="Q123" s="263"/>
      <c r="R123" s="263"/>
      <c r="S123" s="1"/>
      <c r="T123" s="1"/>
      <c r="U123" s="1"/>
      <c r="V123" s="1"/>
      <c r="W123" s="1"/>
      <c r="AA123" s="1"/>
    </row>
    <row r="124" ht="13.5" customHeight="1">
      <c r="B124" s="135" t="s">
        <v>41</v>
      </c>
      <c r="C124" s="138">
        <f>'Comp Cycle'!$V$62</f>
        <v>40</v>
      </c>
      <c r="D124" s="138">
        <f>'Comp Cycle'!$V$117</f>
        <v>2</v>
      </c>
      <c r="E124" s="138">
        <f>'Comp Cycle'!$V$169</f>
        <v>29</v>
      </c>
      <c r="F124" s="138">
        <f>'Comp Cycle'!$V$208</f>
        <v>11</v>
      </c>
      <c r="G124" s="138">
        <f>'Comp Cycle'!$V$230</f>
        <v>0</v>
      </c>
      <c r="H124" s="139">
        <f t="shared" si="33"/>
        <v>82</v>
      </c>
      <c r="I124" s="187"/>
      <c r="J124" s="2"/>
      <c r="K124" s="2"/>
      <c r="L124" s="2"/>
      <c r="M124" s="2"/>
      <c r="N124" s="2"/>
      <c r="O124" s="49"/>
      <c r="P124" s="263"/>
      <c r="Q124" s="263"/>
      <c r="R124" s="263"/>
      <c r="S124" s="1"/>
      <c r="T124" s="1"/>
      <c r="U124" s="1"/>
      <c r="V124" s="1"/>
      <c r="W124" s="1"/>
      <c r="AA124" s="1"/>
    </row>
    <row r="125" ht="13.5" customHeight="1">
      <c r="B125" s="135" t="s">
        <v>42</v>
      </c>
      <c r="C125" s="138">
        <f>'Comp Cycle'!$W$62</f>
        <v>0</v>
      </c>
      <c r="D125" s="138">
        <f>'Comp Cycle'!$W$117</f>
        <v>4</v>
      </c>
      <c r="E125" s="138">
        <f>'Comp Cycle'!$W$169</f>
        <v>0</v>
      </c>
      <c r="F125" s="138">
        <f>'Comp Cycle'!$W$208</f>
        <v>0</v>
      </c>
      <c r="G125" s="138">
        <f>'Comp Cycle'!$W$230</f>
        <v>0</v>
      </c>
      <c r="H125" s="139">
        <f t="shared" si="33"/>
        <v>4</v>
      </c>
      <c r="I125" s="187"/>
      <c r="J125" s="2"/>
      <c r="K125" s="2"/>
      <c r="L125" s="2"/>
      <c r="M125" s="2"/>
      <c r="N125" s="2"/>
      <c r="O125" s="49"/>
      <c r="P125" s="263"/>
      <c r="Q125" s="263"/>
      <c r="R125" s="263"/>
      <c r="S125" s="1"/>
      <c r="T125" s="1"/>
      <c r="U125" s="1"/>
      <c r="V125" s="1"/>
      <c r="W125" s="1"/>
      <c r="AA125" s="1"/>
    </row>
    <row r="126" ht="13.5" customHeight="1">
      <c r="B126" s="135" t="s">
        <v>146</v>
      </c>
      <c r="C126" s="138">
        <f t="shared" ref="C126:G126" si="34">SUM(C121:C125)</f>
        <v>85</v>
      </c>
      <c r="D126" s="138">
        <f t="shared" si="34"/>
        <v>47</v>
      </c>
      <c r="E126" s="138">
        <f t="shared" si="34"/>
        <v>56</v>
      </c>
      <c r="F126" s="138">
        <f t="shared" si="34"/>
        <v>44</v>
      </c>
      <c r="G126" s="138">
        <f t="shared" si="34"/>
        <v>25</v>
      </c>
      <c r="H126" s="139">
        <f t="shared" si="33"/>
        <v>257</v>
      </c>
      <c r="I126" s="187"/>
      <c r="J126" s="2"/>
      <c r="K126" s="2"/>
      <c r="L126" s="2"/>
      <c r="M126" s="2"/>
      <c r="N126" s="2"/>
      <c r="O126" s="49"/>
      <c r="P126" s="263"/>
      <c r="Q126" s="263"/>
      <c r="R126" s="263"/>
      <c r="S126" s="1"/>
      <c r="T126" s="1"/>
      <c r="U126" s="1"/>
      <c r="V126" s="1"/>
      <c r="W126" s="1"/>
      <c r="AA126" s="1"/>
    </row>
    <row r="127" ht="13.5" customHeight="1">
      <c r="B127" s="100" t="s">
        <v>155</v>
      </c>
      <c r="C127" s="276">
        <f>Q58</f>
        <v>0.7011764706</v>
      </c>
      <c r="D127" s="276">
        <f>Q59</f>
        <v>0.6819148936</v>
      </c>
      <c r="E127" s="276">
        <f>Q60</f>
        <v>0.70625</v>
      </c>
      <c r="F127" s="276">
        <f>Q61</f>
        <v>0.6738636364</v>
      </c>
      <c r="G127" s="276">
        <f>Q62</f>
        <v>0.634</v>
      </c>
      <c r="H127" s="277">
        <f>Q63</f>
        <v>0.6875486381</v>
      </c>
      <c r="I127" s="187"/>
      <c r="J127" s="2"/>
      <c r="K127" s="2"/>
      <c r="L127" s="2"/>
      <c r="M127" s="2"/>
      <c r="N127" s="2"/>
      <c r="O127" s="49"/>
      <c r="P127" s="263"/>
      <c r="Q127" s="263"/>
      <c r="R127" s="263"/>
      <c r="S127" s="1"/>
      <c r="T127" s="1"/>
      <c r="U127" s="1"/>
      <c r="V127" s="1"/>
      <c r="W127" s="1"/>
      <c r="AA127" s="1"/>
    </row>
    <row r="128" ht="12.75" customHeight="1">
      <c r="C128" s="1"/>
      <c r="D128" s="1"/>
      <c r="E128" s="2"/>
      <c r="F128" s="2"/>
      <c r="G128" s="2"/>
      <c r="H128" s="2"/>
      <c r="I128" s="2"/>
      <c r="J128" s="2"/>
      <c r="K128" s="2"/>
      <c r="L128" s="2"/>
      <c r="M128" s="2"/>
      <c r="N128" s="2"/>
      <c r="O128" s="49"/>
      <c r="P128" s="263"/>
      <c r="Q128" s="263"/>
      <c r="R128" s="263"/>
      <c r="S128" s="1"/>
      <c r="T128" s="1"/>
      <c r="U128" s="1"/>
      <c r="V128" s="1"/>
      <c r="W128" s="1"/>
      <c r="AA128" s="1"/>
    </row>
    <row r="129" ht="12.75" customHeight="1">
      <c r="C129" s="1"/>
      <c r="D129" s="1"/>
      <c r="E129" s="2"/>
      <c r="F129" s="2"/>
      <c r="G129" s="2"/>
      <c r="H129" s="2"/>
      <c r="I129" s="2"/>
      <c r="J129" s="2"/>
      <c r="K129" s="2"/>
      <c r="L129" s="2"/>
      <c r="M129" s="2"/>
      <c r="N129" s="2"/>
      <c r="O129" s="49"/>
      <c r="P129" s="263"/>
      <c r="Q129" s="263"/>
      <c r="R129" s="263"/>
      <c r="S129" s="1"/>
      <c r="T129" s="1"/>
      <c r="U129" s="1"/>
      <c r="V129" s="1"/>
      <c r="W129" s="1"/>
      <c r="AA129" s="1"/>
    </row>
    <row r="130" ht="12.75" customHeight="1">
      <c r="C130" s="1"/>
      <c r="D130" s="1"/>
      <c r="E130" s="2"/>
      <c r="F130" s="2"/>
      <c r="G130" s="2"/>
      <c r="H130" s="2"/>
      <c r="I130" s="2"/>
      <c r="J130" s="2"/>
      <c r="K130" s="2"/>
      <c r="L130" s="2"/>
      <c r="M130" s="2"/>
      <c r="N130" s="2"/>
      <c r="O130" s="49"/>
      <c r="P130" s="263"/>
      <c r="Q130" s="263"/>
      <c r="R130" s="263"/>
      <c r="S130" s="1"/>
      <c r="T130" s="1"/>
      <c r="U130" s="1"/>
      <c r="V130" s="1"/>
      <c r="W130" s="1"/>
      <c r="AA130" s="1"/>
    </row>
    <row r="131" ht="12.75" customHeight="1">
      <c r="C131" s="1"/>
      <c r="D131" s="1"/>
      <c r="E131" s="2"/>
      <c r="F131" s="2"/>
      <c r="G131" s="2"/>
      <c r="H131" s="2"/>
      <c r="I131" s="2"/>
      <c r="J131" s="2"/>
      <c r="K131" s="2"/>
      <c r="L131" s="2"/>
      <c r="M131" s="2"/>
      <c r="N131" s="2"/>
      <c r="O131" s="49"/>
      <c r="P131" s="263"/>
      <c r="Q131" s="263"/>
      <c r="R131" s="263"/>
      <c r="S131" s="1"/>
      <c r="T131" s="1"/>
      <c r="U131" s="1"/>
      <c r="V131" s="1"/>
      <c r="W131" s="1"/>
      <c r="AA131" s="1"/>
    </row>
    <row r="132" ht="12.75" customHeight="1">
      <c r="B132" s="1" t="s">
        <v>158</v>
      </c>
      <c r="C132" s="146"/>
      <c r="D132" s="146"/>
      <c r="E132" s="146"/>
      <c r="F132" s="146"/>
      <c r="G132" s="146"/>
      <c r="H132" s="2"/>
      <c r="I132" s="2"/>
      <c r="J132" s="2"/>
      <c r="K132" s="2"/>
      <c r="L132" s="2"/>
      <c r="M132" s="2"/>
      <c r="N132" s="2"/>
      <c r="O132" s="49"/>
      <c r="P132" s="263"/>
      <c r="Q132" s="263"/>
      <c r="R132" s="263"/>
      <c r="S132" s="1"/>
      <c r="T132" s="1"/>
      <c r="U132" s="1"/>
      <c r="V132" s="1"/>
      <c r="W132" s="1"/>
      <c r="AA132" s="1"/>
    </row>
    <row r="133" ht="25.5" customHeight="1">
      <c r="B133" s="101" t="s">
        <v>142</v>
      </c>
      <c r="C133" s="101"/>
      <c r="D133" s="101"/>
      <c r="E133" s="101"/>
      <c r="F133" s="101"/>
      <c r="G133" s="101"/>
      <c r="H133" s="187"/>
      <c r="I133" s="187"/>
      <c r="J133" s="2"/>
      <c r="K133" s="2"/>
      <c r="L133" s="2"/>
      <c r="M133" s="2"/>
      <c r="N133" s="2"/>
      <c r="O133" s="49"/>
      <c r="P133" s="263"/>
      <c r="Q133" s="263"/>
      <c r="R133" s="263"/>
      <c r="S133" s="1"/>
      <c r="T133" s="1"/>
      <c r="U133" s="1"/>
      <c r="V133" s="1"/>
      <c r="W133" s="1"/>
      <c r="AA133" s="1"/>
    </row>
    <row r="134" ht="13.5" customHeight="1">
      <c r="B134" s="96" t="s">
        <v>34</v>
      </c>
      <c r="C134" s="98" t="s">
        <v>29</v>
      </c>
      <c r="D134" s="98" t="s">
        <v>65</v>
      </c>
      <c r="E134" s="98" t="s">
        <v>77</v>
      </c>
      <c r="F134" s="98" t="s">
        <v>84</v>
      </c>
      <c r="G134" s="99" t="s">
        <v>154</v>
      </c>
      <c r="H134" s="187"/>
      <c r="I134" s="187"/>
      <c r="J134" s="2"/>
      <c r="K134" s="2"/>
      <c r="L134" s="2"/>
      <c r="M134" s="2"/>
      <c r="N134" s="2"/>
      <c r="O134" s="49"/>
      <c r="P134" s="263"/>
      <c r="Q134" s="263"/>
      <c r="R134" s="263"/>
      <c r="S134" s="1"/>
      <c r="T134" s="1"/>
      <c r="U134" s="1"/>
      <c r="V134" s="1"/>
      <c r="W134" s="1"/>
      <c r="AA134" s="1"/>
    </row>
    <row r="135" ht="13.5" customHeight="1">
      <c r="B135" s="135" t="s">
        <v>38</v>
      </c>
      <c r="C135" s="138">
        <f>'Prep Cycle I'!$X$64</f>
        <v>12</v>
      </c>
      <c r="D135" s="138">
        <f>'Prep Cycle I'!$X$117</f>
        <v>6</v>
      </c>
      <c r="E135" s="138">
        <f>'Prep Cycle I'!$X$185</f>
        <v>9</v>
      </c>
      <c r="F135" s="138">
        <f>'Prep Cycle I'!$X$254</f>
        <v>9</v>
      </c>
      <c r="G135" s="139">
        <f t="shared" ref="G135:G140" si="35">SUM(C135:F135)</f>
        <v>36</v>
      </c>
      <c r="H135" s="187"/>
      <c r="I135" s="187"/>
      <c r="J135" s="2"/>
      <c r="K135" s="2"/>
      <c r="L135" s="2"/>
      <c r="M135" s="2"/>
      <c r="N135" s="2"/>
      <c r="O135" s="49"/>
      <c r="P135" s="263"/>
      <c r="Q135" s="263"/>
      <c r="R135" s="263"/>
      <c r="S135" s="1"/>
      <c r="T135" s="1"/>
      <c r="U135" s="1"/>
      <c r="V135" s="1"/>
      <c r="W135" s="1"/>
      <c r="AA135" s="1"/>
    </row>
    <row r="136" ht="13.5" customHeight="1">
      <c r="B136" s="135" t="s">
        <v>39</v>
      </c>
      <c r="C136" s="138">
        <f>'Prep Cycle I'!$Y$64</f>
        <v>17</v>
      </c>
      <c r="D136" s="138">
        <f>'Prep Cycle I'!$Y$117</f>
        <v>6</v>
      </c>
      <c r="E136" s="138">
        <f>'Prep Cycle I'!$Y$185</f>
        <v>13</v>
      </c>
      <c r="F136" s="138">
        <f>'Prep Cycle I'!$Y$254</f>
        <v>12</v>
      </c>
      <c r="G136" s="139">
        <f t="shared" si="35"/>
        <v>48</v>
      </c>
      <c r="H136" s="187"/>
      <c r="I136" s="187"/>
      <c r="J136" s="2"/>
      <c r="K136" s="2"/>
      <c r="L136" s="2"/>
      <c r="M136" s="2"/>
      <c r="N136" s="2"/>
      <c r="O136" s="49"/>
      <c r="P136" s="263"/>
      <c r="Q136" s="263"/>
      <c r="R136" s="263"/>
      <c r="S136" s="1"/>
      <c r="T136" s="1"/>
      <c r="U136" s="1"/>
      <c r="V136" s="1"/>
      <c r="W136" s="1"/>
      <c r="AA136" s="1"/>
    </row>
    <row r="137" ht="13.5" customHeight="1">
      <c r="B137" s="135" t="s">
        <v>40</v>
      </c>
      <c r="C137" s="138">
        <f>'Prep Cycle I'!$Z$64</f>
        <v>26</v>
      </c>
      <c r="D137" s="138">
        <f>'Prep Cycle I'!$Z$117</f>
        <v>20</v>
      </c>
      <c r="E137" s="138">
        <f>'Prep Cycle I'!$Z$185</f>
        <v>37</v>
      </c>
      <c r="F137" s="138">
        <f>'Prep Cycle I'!$Z$254</f>
        <v>29</v>
      </c>
      <c r="G137" s="139">
        <f t="shared" si="35"/>
        <v>112</v>
      </c>
      <c r="H137" s="187"/>
      <c r="I137" s="187"/>
      <c r="J137" s="2"/>
      <c r="K137" s="2"/>
      <c r="L137" s="2"/>
      <c r="M137" s="2"/>
      <c r="N137" s="2"/>
      <c r="O137" s="49"/>
      <c r="P137" s="263"/>
      <c r="Q137" s="263"/>
      <c r="R137" s="263"/>
      <c r="S137" s="1"/>
      <c r="T137" s="1"/>
      <c r="U137" s="1"/>
      <c r="V137" s="1"/>
      <c r="W137" s="1"/>
      <c r="AA137" s="1"/>
    </row>
    <row r="138" ht="13.5" customHeight="1">
      <c r="B138" s="135" t="s">
        <v>41</v>
      </c>
      <c r="C138" s="138">
        <f>'Prep Cycle I'!$AA$64</f>
        <v>6</v>
      </c>
      <c r="D138" s="138">
        <f>'Prep Cycle I'!$AA$117</f>
        <v>0</v>
      </c>
      <c r="E138" s="138">
        <f>'Prep Cycle I'!$AA$185</f>
        <v>16</v>
      </c>
      <c r="F138" s="138">
        <f>'Prep Cycle I'!$AA$254</f>
        <v>9</v>
      </c>
      <c r="G138" s="139">
        <f t="shared" si="35"/>
        <v>31</v>
      </c>
      <c r="H138" s="187"/>
      <c r="I138" s="187"/>
      <c r="J138" s="2"/>
      <c r="K138" s="2"/>
      <c r="L138" s="2"/>
      <c r="M138" s="2"/>
      <c r="N138" s="2"/>
      <c r="O138" s="24"/>
      <c r="P138" s="263"/>
      <c r="Q138" s="263"/>
      <c r="R138" s="263"/>
      <c r="S138" s="1"/>
      <c r="T138" s="1"/>
      <c r="U138" s="1"/>
      <c r="V138" s="1"/>
      <c r="W138" s="1"/>
      <c r="AA138" s="1"/>
    </row>
    <row r="139" ht="13.5" customHeight="1">
      <c r="B139" s="135" t="s">
        <v>42</v>
      </c>
      <c r="C139" s="138">
        <f>'Prep Cycle I'!$AB$64</f>
        <v>0</v>
      </c>
      <c r="D139" s="138">
        <f>'Prep Cycle I'!$AB$117</f>
        <v>0</v>
      </c>
      <c r="E139" s="138">
        <f>'Prep Cycle I'!$AB$185</f>
        <v>0</v>
      </c>
      <c r="F139" s="138">
        <f>'Prep Cycle I'!$AB$254</f>
        <v>6</v>
      </c>
      <c r="G139" s="139">
        <f t="shared" si="35"/>
        <v>6</v>
      </c>
      <c r="H139" s="187"/>
      <c r="I139" s="187"/>
      <c r="J139" s="2"/>
      <c r="K139" s="2"/>
      <c r="L139" s="2"/>
      <c r="M139" s="2"/>
      <c r="N139" s="2"/>
      <c r="O139" s="24"/>
      <c r="P139" s="263"/>
      <c r="Q139" s="263"/>
      <c r="R139" s="263"/>
      <c r="S139" s="1"/>
      <c r="T139" s="1"/>
      <c r="U139" s="1"/>
      <c r="V139" s="1"/>
      <c r="W139" s="1"/>
      <c r="AA139" s="1"/>
    </row>
    <row r="140" ht="13.5" customHeight="1">
      <c r="B140" s="135" t="s">
        <v>146</v>
      </c>
      <c r="C140" s="138">
        <f t="shared" ref="C140:F140" si="36">SUM(C135:C139)</f>
        <v>61</v>
      </c>
      <c r="D140" s="138">
        <f t="shared" si="36"/>
        <v>32</v>
      </c>
      <c r="E140" s="138">
        <f t="shared" si="36"/>
        <v>75</v>
      </c>
      <c r="F140" s="138">
        <f t="shared" si="36"/>
        <v>65</v>
      </c>
      <c r="G140" s="139">
        <f t="shared" si="35"/>
        <v>233</v>
      </c>
      <c r="H140" s="187"/>
      <c r="I140" s="187"/>
      <c r="J140" s="2"/>
      <c r="K140" s="2"/>
      <c r="L140" s="2"/>
      <c r="M140" s="2"/>
      <c r="N140" s="2"/>
      <c r="O140" s="24"/>
      <c r="P140" s="263"/>
      <c r="Q140" s="263"/>
      <c r="R140" s="263"/>
      <c r="S140" s="1"/>
      <c r="T140" s="1"/>
      <c r="U140" s="1"/>
      <c r="V140" s="1"/>
      <c r="W140" s="1"/>
      <c r="AA140" s="1"/>
    </row>
    <row r="141" ht="13.5" customHeight="1">
      <c r="B141" s="100" t="s">
        <v>155</v>
      </c>
      <c r="C141" s="276">
        <f>R31</f>
        <v>0.668852459</v>
      </c>
      <c r="D141" s="276">
        <f>R32</f>
        <v>0.6640625</v>
      </c>
      <c r="E141" s="276">
        <f>R33</f>
        <v>0.696</v>
      </c>
      <c r="F141" s="276">
        <f>R34</f>
        <v>0.6969230769</v>
      </c>
      <c r="G141" s="277">
        <f>R35</f>
        <v>0.6847639485</v>
      </c>
      <c r="H141" s="187"/>
      <c r="I141" s="187"/>
      <c r="J141" s="2"/>
      <c r="K141" s="2"/>
      <c r="L141" s="2"/>
      <c r="M141" s="2"/>
      <c r="N141" s="2"/>
      <c r="O141" s="24"/>
      <c r="P141" s="263"/>
      <c r="Q141" s="263"/>
      <c r="R141" s="263"/>
      <c r="S141" s="1"/>
      <c r="T141" s="1"/>
      <c r="U141" s="1"/>
      <c r="V141" s="1"/>
      <c r="W141" s="1"/>
      <c r="AA141" s="1"/>
    </row>
    <row r="142" ht="13.5" customHeight="1">
      <c r="B142" s="67"/>
      <c r="C142" s="67"/>
      <c r="D142" s="67"/>
      <c r="E142" s="187"/>
      <c r="F142" s="187"/>
      <c r="G142" s="187"/>
      <c r="H142" s="187"/>
      <c r="I142" s="187"/>
      <c r="J142" s="24"/>
      <c r="K142" s="24"/>
      <c r="L142" s="24"/>
      <c r="M142" s="24"/>
      <c r="N142" s="2"/>
      <c r="O142" s="24"/>
      <c r="P142" s="263"/>
      <c r="Q142" s="263"/>
      <c r="R142" s="263"/>
      <c r="S142" s="1"/>
      <c r="T142" s="1"/>
      <c r="U142" s="1"/>
      <c r="V142" s="1"/>
      <c r="W142" s="1"/>
      <c r="AA142" s="1"/>
    </row>
    <row r="143" ht="25.5" customHeight="1">
      <c r="B143" s="101" t="s">
        <v>149</v>
      </c>
      <c r="C143" s="101"/>
      <c r="D143" s="101"/>
      <c r="E143" s="101"/>
      <c r="F143" s="101"/>
      <c r="G143" s="101"/>
      <c r="H143" s="101"/>
      <c r="I143" s="101"/>
      <c r="J143" s="2"/>
      <c r="K143" s="2"/>
      <c r="L143" s="2"/>
      <c r="M143" s="2"/>
      <c r="N143" s="2"/>
      <c r="O143" s="24"/>
      <c r="P143" s="263"/>
      <c r="Q143" s="263"/>
      <c r="R143" s="263"/>
      <c r="S143" s="1"/>
      <c r="T143" s="1"/>
      <c r="U143" s="1"/>
      <c r="V143" s="1"/>
      <c r="W143" s="1"/>
      <c r="AA143" s="1"/>
    </row>
    <row r="144" ht="13.5" customHeight="1">
      <c r="B144" s="96" t="s">
        <v>34</v>
      </c>
      <c r="C144" s="98" t="s">
        <v>29</v>
      </c>
      <c r="D144" s="98" t="s">
        <v>65</v>
      </c>
      <c r="E144" s="98" t="s">
        <v>77</v>
      </c>
      <c r="F144" s="98" t="s">
        <v>84</v>
      </c>
      <c r="G144" s="98" t="s">
        <v>116</v>
      </c>
      <c r="H144" s="98" t="s">
        <v>121</v>
      </c>
      <c r="I144" s="99" t="s">
        <v>156</v>
      </c>
      <c r="J144" s="2"/>
      <c r="K144" s="2"/>
      <c r="L144" s="2"/>
      <c r="M144" s="2"/>
      <c r="N144" s="2"/>
      <c r="O144" s="24"/>
      <c r="P144" s="263"/>
      <c r="Q144" s="263"/>
      <c r="R144" s="263"/>
      <c r="S144" s="1"/>
      <c r="T144" s="1"/>
      <c r="U144" s="1"/>
      <c r="V144" s="1"/>
      <c r="W144" s="1"/>
      <c r="AA144" s="1"/>
    </row>
    <row r="145" ht="13.5" customHeight="1">
      <c r="B145" s="135" t="s">
        <v>38</v>
      </c>
      <c r="C145" s="138">
        <f>'Prep Cycle II'!$X$66</f>
        <v>3</v>
      </c>
      <c r="D145" s="138">
        <f>'Prep Cycle II'!$X$124</f>
        <v>9</v>
      </c>
      <c r="E145" s="138">
        <f>'Prep Cycle II'!$X$186</f>
        <v>6</v>
      </c>
      <c r="F145" s="138">
        <f>'Prep Cycle II'!$X$247</f>
        <v>9</v>
      </c>
      <c r="G145" s="138">
        <f>'Prep Cycle II'!$X$319</f>
        <v>14</v>
      </c>
      <c r="H145" s="138">
        <f>'Prep Cycle II'!$X$383</f>
        <v>13</v>
      </c>
      <c r="I145" s="139">
        <f t="shared" ref="I145:I150" si="37">SUM(C145:H145)</f>
        <v>54</v>
      </c>
      <c r="J145" s="2"/>
      <c r="K145" s="2"/>
      <c r="L145" s="2"/>
      <c r="M145" s="2"/>
      <c r="N145" s="2"/>
      <c r="O145" s="24"/>
      <c r="P145" s="263"/>
      <c r="Q145" s="263"/>
      <c r="R145" s="263"/>
      <c r="S145" s="1"/>
      <c r="T145" s="1"/>
      <c r="U145" s="1"/>
      <c r="V145" s="1"/>
      <c r="W145" s="1"/>
      <c r="AA145" s="1"/>
    </row>
    <row r="146" ht="13.5" customHeight="1">
      <c r="B146" s="135" t="s">
        <v>39</v>
      </c>
      <c r="C146" s="138">
        <f>'Prep Cycle II'!$Y$66</f>
        <v>9</v>
      </c>
      <c r="D146" s="138">
        <f>'Prep Cycle II'!$Y$124</f>
        <v>9</v>
      </c>
      <c r="E146" s="138">
        <f>'Prep Cycle II'!$Y$186</f>
        <v>7</v>
      </c>
      <c r="F146" s="138">
        <f>'Prep Cycle II'!$Y$247</f>
        <v>12</v>
      </c>
      <c r="G146" s="138">
        <f>'Prep Cycle II'!$Y$319</f>
        <v>14</v>
      </c>
      <c r="H146" s="138">
        <f>'Prep Cycle II'!$Y$383</f>
        <v>19</v>
      </c>
      <c r="I146" s="139">
        <f t="shared" si="37"/>
        <v>70</v>
      </c>
      <c r="J146" s="2"/>
      <c r="K146" s="2"/>
      <c r="L146" s="2"/>
      <c r="M146" s="2"/>
      <c r="N146" s="2"/>
      <c r="O146" s="24"/>
      <c r="P146" s="263"/>
      <c r="Q146" s="263"/>
      <c r="R146" s="263"/>
      <c r="S146" s="1"/>
      <c r="T146" s="1"/>
      <c r="U146" s="1"/>
      <c r="V146" s="1"/>
      <c r="W146" s="1"/>
      <c r="AA146" s="1"/>
    </row>
    <row r="147" ht="13.5" customHeight="1">
      <c r="B147" s="135" t="s">
        <v>40</v>
      </c>
      <c r="C147" s="138">
        <f>'Prep Cycle II'!$Z$66</f>
        <v>14</v>
      </c>
      <c r="D147" s="138">
        <f>'Prep Cycle II'!$Z$124</f>
        <v>30</v>
      </c>
      <c r="E147" s="138">
        <f>'Prep Cycle II'!$Z$186</f>
        <v>27</v>
      </c>
      <c r="F147" s="138">
        <f>'Prep Cycle II'!$Z$247</f>
        <v>17</v>
      </c>
      <c r="G147" s="138">
        <f>'Prep Cycle II'!$Z$319</f>
        <v>50</v>
      </c>
      <c r="H147" s="138">
        <f>'Prep Cycle II'!$Z$383</f>
        <v>33</v>
      </c>
      <c r="I147" s="139">
        <f t="shared" si="37"/>
        <v>171</v>
      </c>
      <c r="J147" s="2"/>
      <c r="K147" s="2"/>
      <c r="L147" s="2"/>
      <c r="M147" s="2"/>
      <c r="N147" s="2"/>
      <c r="O147" s="24"/>
      <c r="P147" s="263"/>
      <c r="Q147" s="263"/>
      <c r="R147" s="263"/>
      <c r="S147" s="1"/>
      <c r="T147" s="1"/>
      <c r="U147" s="1"/>
      <c r="V147" s="1"/>
      <c r="W147" s="1"/>
      <c r="AA147" s="1"/>
    </row>
    <row r="148" ht="13.5" customHeight="1">
      <c r="B148" s="135" t="s">
        <v>41</v>
      </c>
      <c r="C148" s="138">
        <f>'Prep Cycle II'!$AA$66</f>
        <v>33</v>
      </c>
      <c r="D148" s="138">
        <f>'Prep Cycle II'!$AA$124</f>
        <v>0</v>
      </c>
      <c r="E148" s="138">
        <f>'Prep Cycle II'!$AA$186</f>
        <v>16</v>
      </c>
      <c r="F148" s="138">
        <f>'Prep Cycle II'!$AA$247</f>
        <v>17</v>
      </c>
      <c r="G148" s="138">
        <f>'Prep Cycle II'!$AA$319</f>
        <v>12</v>
      </c>
      <c r="H148" s="138">
        <f>'Prep Cycle II'!$AA$383</f>
        <v>10</v>
      </c>
      <c r="I148" s="139">
        <f t="shared" si="37"/>
        <v>88</v>
      </c>
      <c r="J148" s="2"/>
      <c r="K148" s="2"/>
      <c r="L148" s="2"/>
      <c r="M148" s="2"/>
      <c r="N148" s="2"/>
      <c r="O148" s="24"/>
      <c r="P148" s="263"/>
      <c r="Q148" s="263"/>
      <c r="R148" s="263"/>
      <c r="S148" s="1"/>
      <c r="T148" s="1"/>
      <c r="U148" s="1"/>
      <c r="V148" s="1"/>
      <c r="W148" s="1"/>
      <c r="AA148" s="1"/>
    </row>
    <row r="149" ht="13.5" customHeight="1">
      <c r="B149" s="135" t="s">
        <v>42</v>
      </c>
      <c r="C149" s="138">
        <f>'Prep Cycle II'!$AB$66</f>
        <v>0</v>
      </c>
      <c r="D149" s="138">
        <f>'Prep Cycle II'!$AB$124</f>
        <v>0</v>
      </c>
      <c r="E149" s="138">
        <f>'Prep Cycle II'!$AB$186</f>
        <v>0</v>
      </c>
      <c r="F149" s="138">
        <f>'Prep Cycle II'!$AB$247</f>
        <v>0</v>
      </c>
      <c r="G149" s="138">
        <f>'Prep Cycle II'!$AB$319</f>
        <v>0</v>
      </c>
      <c r="H149" s="138">
        <f>'Prep Cycle II'!$AB$383</f>
        <v>0</v>
      </c>
      <c r="I149" s="139">
        <f t="shared" si="37"/>
        <v>0</v>
      </c>
      <c r="J149" s="2"/>
      <c r="K149" s="2"/>
      <c r="L149" s="2"/>
      <c r="M149" s="2"/>
      <c r="N149" s="2"/>
      <c r="O149" s="24"/>
      <c r="P149" s="263"/>
      <c r="Q149" s="263"/>
      <c r="R149" s="263"/>
      <c r="S149" s="1"/>
      <c r="T149" s="1"/>
      <c r="U149" s="1"/>
      <c r="V149" s="1"/>
      <c r="W149" s="1"/>
      <c r="AA149" s="1"/>
    </row>
    <row r="150" ht="13.5" customHeight="1">
      <c r="B150" s="135" t="s">
        <v>146</v>
      </c>
      <c r="C150" s="138">
        <f t="shared" ref="C150:H150" si="38">SUM(C145:C149)</f>
        <v>59</v>
      </c>
      <c r="D150" s="138">
        <f t="shared" si="38"/>
        <v>48</v>
      </c>
      <c r="E150" s="138">
        <f t="shared" si="38"/>
        <v>56</v>
      </c>
      <c r="F150" s="138">
        <f t="shared" si="38"/>
        <v>55</v>
      </c>
      <c r="G150" s="138">
        <f t="shared" si="38"/>
        <v>90</v>
      </c>
      <c r="H150" s="138">
        <f t="shared" si="38"/>
        <v>75</v>
      </c>
      <c r="I150" s="139">
        <f t="shared" si="37"/>
        <v>383</v>
      </c>
      <c r="J150" s="2"/>
      <c r="K150" s="2"/>
      <c r="L150" s="2"/>
      <c r="M150" s="2"/>
      <c r="N150" s="2"/>
      <c r="O150" s="24"/>
      <c r="P150" s="263"/>
      <c r="Q150" s="263"/>
      <c r="R150" s="263"/>
      <c r="S150" s="1"/>
      <c r="T150" s="1"/>
      <c r="U150" s="1"/>
      <c r="V150" s="1"/>
      <c r="W150" s="1"/>
      <c r="AA150" s="1"/>
    </row>
    <row r="151" ht="13.5" customHeight="1">
      <c r="B151" s="100" t="s">
        <v>155</v>
      </c>
      <c r="C151" s="276">
        <f>R39</f>
        <v>0.7483050847</v>
      </c>
      <c r="D151" s="276">
        <f>R40</f>
        <v>0.6604166667</v>
      </c>
      <c r="E151" s="276">
        <f>R41</f>
        <v>0.7</v>
      </c>
      <c r="F151" s="276">
        <f>R42</f>
        <v>0.6904761905</v>
      </c>
      <c r="G151" s="276">
        <f>R43</f>
        <v>0.6916666667</v>
      </c>
      <c r="H151" s="276">
        <f>R44</f>
        <v>0.6904761905</v>
      </c>
      <c r="I151" s="277">
        <f>R45</f>
        <v>0.697382199</v>
      </c>
      <c r="J151" s="2"/>
      <c r="K151" s="2"/>
      <c r="L151" s="2"/>
      <c r="M151" s="2"/>
      <c r="N151" s="2"/>
      <c r="O151" s="24"/>
      <c r="P151" s="263"/>
      <c r="Q151" s="263"/>
      <c r="R151" s="263"/>
      <c r="S151" s="1"/>
      <c r="T151" s="1"/>
      <c r="U151" s="1"/>
      <c r="V151" s="1"/>
      <c r="W151" s="1"/>
      <c r="AA151" s="1"/>
    </row>
    <row r="152" ht="13.5" customHeight="1">
      <c r="B152" s="67"/>
      <c r="C152" s="67"/>
      <c r="D152" s="67"/>
      <c r="E152" s="187"/>
      <c r="F152" s="187"/>
      <c r="G152" s="187"/>
      <c r="H152" s="187"/>
      <c r="I152" s="187"/>
      <c r="J152" s="2"/>
      <c r="K152" s="2"/>
      <c r="L152" s="2"/>
      <c r="M152" s="2"/>
      <c r="N152" s="2"/>
      <c r="O152" s="24"/>
      <c r="P152" s="263"/>
      <c r="Q152" s="263"/>
      <c r="R152" s="263"/>
      <c r="S152" s="1"/>
      <c r="T152" s="1"/>
      <c r="U152" s="1"/>
      <c r="V152" s="1"/>
      <c r="W152" s="1"/>
      <c r="AA152" s="1"/>
    </row>
    <row r="153" ht="27.75" customHeight="1">
      <c r="B153" s="101" t="s">
        <v>150</v>
      </c>
      <c r="C153" s="101"/>
      <c r="D153" s="101"/>
      <c r="E153" s="101"/>
      <c r="F153" s="101"/>
      <c r="G153" s="101"/>
      <c r="H153" s="101"/>
      <c r="I153" s="187"/>
      <c r="J153" s="2"/>
      <c r="K153" s="2"/>
      <c r="L153" s="2"/>
      <c r="M153" s="2"/>
      <c r="N153" s="2"/>
      <c r="O153" s="24"/>
      <c r="P153" s="263"/>
      <c r="Q153" s="263"/>
      <c r="R153" s="263"/>
      <c r="S153" s="1"/>
      <c r="T153" s="1"/>
      <c r="U153" s="1"/>
      <c r="V153" s="1"/>
      <c r="W153" s="1"/>
      <c r="AA153" s="1"/>
    </row>
    <row r="154" ht="13.5" customHeight="1">
      <c r="B154" s="96" t="s">
        <v>34</v>
      </c>
      <c r="C154" s="98" t="s">
        <v>29</v>
      </c>
      <c r="D154" s="98" t="s">
        <v>65</v>
      </c>
      <c r="E154" s="98" t="s">
        <v>77</v>
      </c>
      <c r="F154" s="98" t="s">
        <v>84</v>
      </c>
      <c r="G154" s="98" t="s">
        <v>116</v>
      </c>
      <c r="H154" s="99" t="s">
        <v>156</v>
      </c>
      <c r="I154" s="187"/>
      <c r="J154" s="2"/>
      <c r="K154" s="2"/>
      <c r="L154" s="2"/>
      <c r="M154" s="2"/>
      <c r="N154" s="2"/>
      <c r="O154" s="24"/>
      <c r="P154" s="263"/>
      <c r="Q154" s="263"/>
      <c r="R154" s="263"/>
      <c r="S154" s="1"/>
      <c r="T154" s="1"/>
      <c r="U154" s="1"/>
      <c r="V154" s="1"/>
      <c r="W154" s="1"/>
      <c r="AA154" s="1"/>
    </row>
    <row r="155" ht="13.5" customHeight="1">
      <c r="B155" s="135" t="s">
        <v>38</v>
      </c>
      <c r="C155" s="138">
        <f>'Prep Cycle III'!$X$58</f>
        <v>3</v>
      </c>
      <c r="D155" s="138">
        <f>'Prep Cycle III'!$X$122</f>
        <v>8</v>
      </c>
      <c r="E155" s="138">
        <f>'Prep Cycle III'!$X$187</f>
        <v>11</v>
      </c>
      <c r="F155" s="138">
        <f>'Prep Cycle III'!$X$253</f>
        <v>7</v>
      </c>
      <c r="G155" s="138">
        <f>'Prep Cycle III'!$X$314</f>
        <v>9</v>
      </c>
      <c r="H155" s="139">
        <f t="shared" ref="H155:H160" si="39">SUM(C155:G155)</f>
        <v>38</v>
      </c>
      <c r="I155" s="187"/>
      <c r="J155" s="2"/>
      <c r="K155" s="2"/>
      <c r="L155" s="2"/>
      <c r="M155" s="2"/>
      <c r="N155" s="2"/>
      <c r="O155" s="24"/>
      <c r="P155" s="263"/>
      <c r="Q155" s="263"/>
      <c r="R155" s="263"/>
      <c r="S155" s="1"/>
      <c r="T155" s="1"/>
      <c r="U155" s="1"/>
      <c r="V155" s="1"/>
      <c r="W155" s="1"/>
      <c r="AA155" s="1"/>
    </row>
    <row r="156" ht="13.5" customHeight="1">
      <c r="B156" s="135" t="s">
        <v>39</v>
      </c>
      <c r="C156" s="138">
        <f>'Prep Cycle III'!$Y$58</f>
        <v>6</v>
      </c>
      <c r="D156" s="138">
        <f>'Prep Cycle III'!$Y$122</f>
        <v>11</v>
      </c>
      <c r="E156" s="138">
        <f>'Prep Cycle III'!$Y$187</f>
        <v>11</v>
      </c>
      <c r="F156" s="138">
        <f>'Prep Cycle III'!$Y$253</f>
        <v>10</v>
      </c>
      <c r="G156" s="138">
        <f>'Prep Cycle III'!$Y$314</f>
        <v>12</v>
      </c>
      <c r="H156" s="139">
        <f t="shared" si="39"/>
        <v>50</v>
      </c>
      <c r="I156" s="187"/>
      <c r="J156" s="2"/>
      <c r="K156" s="2"/>
      <c r="L156" s="2"/>
      <c r="M156" s="2"/>
      <c r="N156" s="2"/>
      <c r="O156" s="49"/>
      <c r="P156" s="263"/>
      <c r="Q156" s="263"/>
      <c r="R156" s="263"/>
      <c r="S156" s="1"/>
      <c r="T156" s="1"/>
      <c r="U156" s="1"/>
      <c r="V156" s="1"/>
      <c r="W156" s="1"/>
      <c r="AA156" s="1"/>
    </row>
    <row r="157" ht="13.5" customHeight="1">
      <c r="B157" s="135" t="s">
        <v>40</v>
      </c>
      <c r="C157" s="138">
        <f>'Prep Cycle III'!$Z$58</f>
        <v>14</v>
      </c>
      <c r="D157" s="138">
        <f>'Prep Cycle III'!$Z$122</f>
        <v>22</v>
      </c>
      <c r="E157" s="138">
        <f>'Prep Cycle III'!$Z$187</f>
        <v>43</v>
      </c>
      <c r="F157" s="138">
        <f>'Prep Cycle III'!$Z$253</f>
        <v>9</v>
      </c>
      <c r="G157" s="138">
        <f>'Prep Cycle III'!$Z$314</f>
        <v>29</v>
      </c>
      <c r="H157" s="139">
        <f t="shared" si="39"/>
        <v>117</v>
      </c>
      <c r="I157" s="187"/>
      <c r="J157" s="2"/>
      <c r="K157" s="2"/>
      <c r="L157" s="2"/>
      <c r="M157" s="2"/>
      <c r="N157" s="2"/>
      <c r="O157" s="49"/>
      <c r="P157" s="263"/>
      <c r="Q157" s="263"/>
      <c r="R157" s="263"/>
      <c r="S157" s="1"/>
      <c r="T157" s="1"/>
      <c r="U157" s="1"/>
      <c r="V157" s="1"/>
      <c r="W157" s="1"/>
      <c r="AA157" s="1"/>
    </row>
    <row r="158" ht="13.5" customHeight="1">
      <c r="B158" s="135" t="s">
        <v>41</v>
      </c>
      <c r="C158" s="138">
        <f>'Prep Cycle III'!$AA$58</f>
        <v>6</v>
      </c>
      <c r="D158" s="138">
        <f>'Prep Cycle III'!$AA$122</f>
        <v>18</v>
      </c>
      <c r="E158" s="138">
        <f>'Prep Cycle III'!$AA$187</f>
        <v>0</v>
      </c>
      <c r="F158" s="138">
        <f>'Prep Cycle III'!$AA$253</f>
        <v>22</v>
      </c>
      <c r="G158" s="138">
        <f>'Prep Cycle III'!$AA$314</f>
        <v>15</v>
      </c>
      <c r="H158" s="139">
        <f t="shared" si="39"/>
        <v>61</v>
      </c>
      <c r="I158" s="187"/>
      <c r="J158" s="2"/>
      <c r="K158" s="2"/>
      <c r="L158" s="2"/>
      <c r="M158" s="2"/>
      <c r="N158" s="2"/>
      <c r="O158" s="49"/>
      <c r="P158" s="263"/>
      <c r="Q158" s="263"/>
      <c r="R158" s="263"/>
      <c r="S158" s="1"/>
      <c r="T158" s="1"/>
      <c r="U158" s="1"/>
      <c r="V158" s="1"/>
      <c r="W158" s="1"/>
      <c r="AA158" s="1"/>
    </row>
    <row r="159" ht="13.5" customHeight="1">
      <c r="B159" s="135" t="s">
        <v>42</v>
      </c>
      <c r="C159" s="138">
        <f>'Prep Cycle III'!$AB$58</f>
        <v>6</v>
      </c>
      <c r="D159" s="138">
        <f>'Prep Cycle III'!$AB$122</f>
        <v>5</v>
      </c>
      <c r="E159" s="138">
        <f>'Prep Cycle III'!$AB$187</f>
        <v>0</v>
      </c>
      <c r="F159" s="138">
        <f>'Prep Cycle III'!$AB$253</f>
        <v>6</v>
      </c>
      <c r="G159" s="138">
        <f>'Prep Cycle III'!$AB$314</f>
        <v>7</v>
      </c>
      <c r="H159" s="139">
        <f t="shared" si="39"/>
        <v>24</v>
      </c>
      <c r="I159" s="187"/>
      <c r="J159" s="2"/>
      <c r="K159" s="2"/>
      <c r="L159" s="2"/>
      <c r="M159" s="2"/>
      <c r="N159" s="2"/>
      <c r="O159" s="49"/>
      <c r="P159" s="263"/>
      <c r="Q159" s="263"/>
      <c r="R159" s="263"/>
      <c r="S159" s="1"/>
      <c r="T159" s="1"/>
      <c r="U159" s="1"/>
      <c r="V159" s="1"/>
      <c r="W159" s="1"/>
      <c r="AA159" s="1"/>
    </row>
    <row r="160" ht="13.5" customHeight="1">
      <c r="B160" s="135" t="s">
        <v>146</v>
      </c>
      <c r="C160" s="138">
        <f t="shared" ref="C160:G160" si="40">SUM(C155:C159)</f>
        <v>35</v>
      </c>
      <c r="D160" s="138">
        <f t="shared" si="40"/>
        <v>64</v>
      </c>
      <c r="E160" s="138">
        <f t="shared" si="40"/>
        <v>65</v>
      </c>
      <c r="F160" s="138">
        <f t="shared" si="40"/>
        <v>54</v>
      </c>
      <c r="G160" s="138">
        <f t="shared" si="40"/>
        <v>72</v>
      </c>
      <c r="H160" s="139">
        <f t="shared" si="39"/>
        <v>290</v>
      </c>
      <c r="I160" s="187"/>
      <c r="J160" s="2"/>
      <c r="K160" s="2"/>
      <c r="L160" s="2"/>
      <c r="M160" s="2"/>
      <c r="N160" s="2"/>
      <c r="O160" s="49"/>
      <c r="P160" s="263"/>
      <c r="Q160" s="263"/>
      <c r="R160" s="263"/>
      <c r="S160" s="1"/>
      <c r="T160" s="1"/>
      <c r="U160" s="1"/>
      <c r="V160" s="1"/>
      <c r="W160" s="1"/>
      <c r="AA160" s="1"/>
    </row>
    <row r="161" ht="13.5" customHeight="1">
      <c r="B161" s="100" t="s">
        <v>155</v>
      </c>
      <c r="C161" s="276">
        <f>R49</f>
        <v>0.7457142857</v>
      </c>
      <c r="D161" s="276">
        <f>R50</f>
        <v>0.71640625</v>
      </c>
      <c r="E161" s="276">
        <f>R51</f>
        <v>0.6646153846</v>
      </c>
      <c r="F161" s="276">
        <f>R52</f>
        <v>0.7351851852</v>
      </c>
      <c r="G161" s="276">
        <f>R53</f>
        <v>0.7256944444</v>
      </c>
      <c r="H161" s="277">
        <f>R54</f>
        <v>0.714137931</v>
      </c>
      <c r="I161" s="187"/>
      <c r="J161" s="2"/>
      <c r="K161" s="2"/>
      <c r="L161" s="2"/>
      <c r="M161" s="2"/>
      <c r="N161" s="2"/>
      <c r="O161" s="49"/>
      <c r="P161" s="263"/>
      <c r="Q161" s="263"/>
      <c r="R161" s="263"/>
      <c r="S161" s="1"/>
      <c r="T161" s="1"/>
      <c r="U161" s="1"/>
      <c r="V161" s="1"/>
      <c r="W161" s="1"/>
      <c r="AA161" s="1"/>
    </row>
    <row r="162" ht="13.5" customHeight="1">
      <c r="B162" s="67"/>
      <c r="C162" s="67"/>
      <c r="D162" s="67"/>
      <c r="E162" s="187"/>
      <c r="F162" s="187"/>
      <c r="G162" s="187"/>
      <c r="H162" s="187"/>
      <c r="I162" s="187"/>
      <c r="J162" s="2"/>
      <c r="K162" s="2"/>
      <c r="L162" s="2"/>
      <c r="M162" s="2"/>
      <c r="N162" s="2"/>
      <c r="O162" s="49"/>
      <c r="P162" s="263"/>
      <c r="Q162" s="263"/>
      <c r="R162" s="263"/>
      <c r="S162" s="1"/>
      <c r="T162" s="1"/>
      <c r="U162" s="1"/>
      <c r="V162" s="1"/>
      <c r="W162" s="1"/>
      <c r="AA162" s="1"/>
    </row>
    <row r="163" ht="27.0" customHeight="1">
      <c r="B163" s="101" t="s">
        <v>152</v>
      </c>
      <c r="C163" s="101"/>
      <c r="D163" s="101"/>
      <c r="E163" s="101"/>
      <c r="F163" s="101"/>
      <c r="G163" s="101"/>
      <c r="H163" s="101"/>
      <c r="I163" s="187"/>
      <c r="J163" s="2"/>
      <c r="K163" s="2"/>
      <c r="L163" s="2"/>
      <c r="M163" s="2"/>
      <c r="N163" s="2"/>
      <c r="O163" s="49"/>
      <c r="P163" s="263"/>
      <c r="Q163" s="263"/>
      <c r="R163" s="263"/>
      <c r="S163" s="1"/>
      <c r="T163" s="1"/>
      <c r="U163" s="1"/>
      <c r="V163" s="1"/>
      <c r="W163" s="1"/>
      <c r="AA163" s="1"/>
    </row>
    <row r="164" ht="13.5" customHeight="1">
      <c r="B164" s="96" t="s">
        <v>34</v>
      </c>
      <c r="C164" s="98" t="s">
        <v>29</v>
      </c>
      <c r="D164" s="98" t="s">
        <v>65</v>
      </c>
      <c r="E164" s="98" t="s">
        <v>77</v>
      </c>
      <c r="F164" s="98" t="s">
        <v>84</v>
      </c>
      <c r="G164" s="98" t="s">
        <v>116</v>
      </c>
      <c r="H164" s="99" t="s">
        <v>154</v>
      </c>
      <c r="I164" s="187"/>
      <c r="J164" s="2"/>
      <c r="K164" s="2"/>
      <c r="L164" s="2"/>
      <c r="M164" s="2"/>
      <c r="N164" s="2"/>
      <c r="O164" s="49"/>
      <c r="P164" s="263"/>
      <c r="Q164" s="263"/>
      <c r="R164" s="263"/>
      <c r="S164" s="1"/>
      <c r="T164" s="1"/>
      <c r="U164" s="1"/>
      <c r="V164" s="1"/>
      <c r="W164" s="1"/>
      <c r="AA164" s="1"/>
    </row>
    <row r="165" ht="13.5" customHeight="1">
      <c r="B165" s="135" t="s">
        <v>38</v>
      </c>
      <c r="C165" s="138">
        <f>'Comp Cycle'!$X$62</f>
        <v>6</v>
      </c>
      <c r="D165" s="138">
        <f>'Comp Cycle'!$X$117</f>
        <v>6</v>
      </c>
      <c r="E165" s="138">
        <f>'Comp Cycle'!$X$169</f>
        <v>9</v>
      </c>
      <c r="F165" s="138">
        <f>'Comp Cycle'!$X$208</f>
        <v>2</v>
      </c>
      <c r="G165" s="138">
        <f>'Comp Cycle'!$X$230</f>
        <v>3</v>
      </c>
      <c r="H165" s="139">
        <f t="shared" ref="H165:H170" si="41">SUM(C165:G165)</f>
        <v>26</v>
      </c>
      <c r="I165" s="187"/>
      <c r="J165" s="2"/>
      <c r="K165" s="2"/>
      <c r="L165" s="2"/>
      <c r="M165" s="2"/>
      <c r="N165" s="2"/>
      <c r="O165" s="49"/>
      <c r="P165" s="263"/>
      <c r="Q165" s="263"/>
      <c r="R165" s="263"/>
      <c r="S165" s="1"/>
      <c r="T165" s="1"/>
      <c r="U165" s="1"/>
      <c r="V165" s="1"/>
      <c r="W165" s="1"/>
      <c r="AA165" s="1"/>
    </row>
    <row r="166" ht="13.5" customHeight="1">
      <c r="B166" s="135" t="s">
        <v>39</v>
      </c>
      <c r="C166" s="138">
        <f>'Comp Cycle'!$Y$62</f>
        <v>9</v>
      </c>
      <c r="D166" s="138">
        <f>'Comp Cycle'!$Y$117</f>
        <v>6</v>
      </c>
      <c r="E166" s="138">
        <f>'Comp Cycle'!$Y$169</f>
        <v>9</v>
      </c>
      <c r="F166" s="138">
        <f>'Comp Cycle'!$Y$208</f>
        <v>2</v>
      </c>
      <c r="G166" s="138">
        <f>'Comp Cycle'!$Y$230</f>
        <v>3</v>
      </c>
      <c r="H166" s="139">
        <f t="shared" si="41"/>
        <v>29</v>
      </c>
      <c r="I166" s="187"/>
      <c r="J166" s="2"/>
      <c r="K166" s="2"/>
      <c r="L166" s="2"/>
      <c r="M166" s="2"/>
      <c r="N166" s="2"/>
      <c r="O166" s="49"/>
      <c r="P166" s="263"/>
      <c r="Q166" s="263"/>
      <c r="R166" s="263"/>
      <c r="S166" s="1"/>
      <c r="T166" s="1"/>
      <c r="U166" s="1"/>
      <c r="V166" s="1"/>
      <c r="W166" s="1"/>
      <c r="AA166" s="1"/>
    </row>
    <row r="167" ht="13.5" customHeight="1">
      <c r="B167" s="135" t="s">
        <v>40</v>
      </c>
      <c r="C167" s="138">
        <f>'Comp Cycle'!$Z$62</f>
        <v>10</v>
      </c>
      <c r="D167" s="138">
        <f>'Comp Cycle'!$Z$117</f>
        <v>11</v>
      </c>
      <c r="E167" s="138">
        <f>'Comp Cycle'!$Z$169</f>
        <v>15</v>
      </c>
      <c r="F167" s="138">
        <f>'Comp Cycle'!$Z$208</f>
        <v>6</v>
      </c>
      <c r="G167" s="138">
        <f>'Comp Cycle'!$Z$230</f>
        <v>6</v>
      </c>
      <c r="H167" s="139">
        <f t="shared" si="41"/>
        <v>48</v>
      </c>
      <c r="I167" s="187"/>
      <c r="J167" s="2"/>
      <c r="K167" s="2"/>
      <c r="L167" s="2"/>
      <c r="M167" s="2"/>
      <c r="N167" s="2"/>
      <c r="O167" s="49"/>
      <c r="P167" s="263"/>
      <c r="Q167" s="263"/>
      <c r="R167" s="263"/>
      <c r="S167" s="1"/>
      <c r="T167" s="1"/>
      <c r="U167" s="1"/>
      <c r="V167" s="1"/>
      <c r="W167" s="1"/>
      <c r="AA167" s="1"/>
    </row>
    <row r="168" ht="13.5" customHeight="1">
      <c r="B168" s="135" t="s">
        <v>41</v>
      </c>
      <c r="C168" s="138">
        <f>'Comp Cycle'!$AA$62</f>
        <v>10</v>
      </c>
      <c r="D168" s="138">
        <f>'Comp Cycle'!$AA$117</f>
        <v>2</v>
      </c>
      <c r="E168" s="138">
        <f>'Comp Cycle'!$AA$169</f>
        <v>14</v>
      </c>
      <c r="F168" s="138">
        <f>'Comp Cycle'!$AA$208</f>
        <v>0</v>
      </c>
      <c r="G168" s="138">
        <f>'Comp Cycle'!$AA$230</f>
        <v>0</v>
      </c>
      <c r="H168" s="139">
        <f t="shared" si="41"/>
        <v>26</v>
      </c>
      <c r="I168" s="187"/>
      <c r="J168" s="2"/>
      <c r="K168" s="2"/>
      <c r="L168" s="2"/>
      <c r="M168" s="2"/>
      <c r="N168" s="2"/>
      <c r="O168" s="49"/>
      <c r="P168" s="263"/>
      <c r="Q168" s="263"/>
      <c r="R168" s="263"/>
      <c r="S168" s="1"/>
      <c r="T168" s="1"/>
      <c r="U168" s="1"/>
      <c r="V168" s="1"/>
      <c r="W168" s="1"/>
      <c r="AA168" s="1"/>
    </row>
    <row r="169" ht="13.5" customHeight="1">
      <c r="B169" s="135" t="s">
        <v>42</v>
      </c>
      <c r="C169" s="138">
        <f>'Comp Cycle'!$AB$62</f>
        <v>3</v>
      </c>
      <c r="D169" s="138">
        <f>'Comp Cycle'!$AB$117</f>
        <v>4</v>
      </c>
      <c r="E169" s="138">
        <f>'Comp Cycle'!$AB$169</f>
        <v>0</v>
      </c>
      <c r="F169" s="138">
        <f>'Comp Cycle'!$AB$208</f>
        <v>0</v>
      </c>
      <c r="G169" s="138">
        <f>'Comp Cycle'!$AB$230</f>
        <v>0</v>
      </c>
      <c r="H169" s="139">
        <f t="shared" si="41"/>
        <v>7</v>
      </c>
      <c r="I169" s="187"/>
      <c r="J169" s="2"/>
      <c r="K169" s="2"/>
      <c r="L169" s="2"/>
      <c r="M169" s="2"/>
      <c r="N169" s="2"/>
      <c r="O169" s="49"/>
      <c r="P169" s="263"/>
      <c r="Q169" s="263"/>
      <c r="R169" s="263"/>
      <c r="S169" s="1"/>
      <c r="T169" s="1"/>
      <c r="U169" s="1"/>
      <c r="V169" s="1"/>
      <c r="W169" s="1"/>
      <c r="AA169" s="1"/>
    </row>
    <row r="170" ht="13.5" customHeight="1">
      <c r="B170" s="135" t="s">
        <v>146</v>
      </c>
      <c r="C170" s="138">
        <f t="shared" ref="C170:G170" si="42">SUM(C165:C169)</f>
        <v>38</v>
      </c>
      <c r="D170" s="138">
        <f t="shared" si="42"/>
        <v>29</v>
      </c>
      <c r="E170" s="138">
        <f t="shared" si="42"/>
        <v>47</v>
      </c>
      <c r="F170" s="138">
        <f t="shared" si="42"/>
        <v>10</v>
      </c>
      <c r="G170" s="138">
        <f t="shared" si="42"/>
        <v>12</v>
      </c>
      <c r="H170" s="139">
        <f t="shared" si="41"/>
        <v>136</v>
      </c>
      <c r="I170" s="187"/>
      <c r="J170" s="2"/>
      <c r="K170" s="2"/>
      <c r="L170" s="2"/>
      <c r="M170" s="2"/>
      <c r="N170" s="2"/>
      <c r="O170" s="49"/>
      <c r="P170" s="263"/>
      <c r="Q170" s="263"/>
      <c r="R170" s="263"/>
      <c r="S170" s="1"/>
      <c r="T170" s="1"/>
      <c r="U170" s="1"/>
      <c r="V170" s="1"/>
      <c r="W170" s="1"/>
      <c r="AA170" s="1"/>
    </row>
    <row r="171" ht="13.5" customHeight="1">
      <c r="B171" s="100" t="s">
        <v>155</v>
      </c>
      <c r="C171" s="276">
        <f>R58</f>
        <v>0.7065789474</v>
      </c>
      <c r="D171" s="276">
        <f>R59</f>
        <v>0.6879310345</v>
      </c>
      <c r="E171" s="276">
        <f>R60</f>
        <v>0.6946808511</v>
      </c>
      <c r="F171" s="276">
        <f>R61</f>
        <v>0.64</v>
      </c>
      <c r="G171" s="276">
        <f>R62</f>
        <v>0.625</v>
      </c>
      <c r="H171" s="277">
        <f>R63</f>
        <v>0.6863970588</v>
      </c>
      <c r="I171" s="187"/>
      <c r="J171" s="2"/>
      <c r="K171" s="2"/>
      <c r="L171" s="2"/>
      <c r="M171" s="2"/>
      <c r="N171" s="2"/>
      <c r="O171" s="49"/>
      <c r="P171" s="263"/>
      <c r="Q171" s="263"/>
      <c r="R171" s="263"/>
      <c r="S171" s="1"/>
      <c r="T171" s="1"/>
      <c r="U171" s="1"/>
      <c r="V171" s="1"/>
      <c r="W171" s="1"/>
      <c r="AA171" s="1"/>
    </row>
    <row r="172" ht="12.75" customHeight="1">
      <c r="C172" s="1"/>
      <c r="D172" s="1"/>
      <c r="E172" s="2"/>
      <c r="F172" s="2"/>
      <c r="G172" s="2"/>
      <c r="H172" s="2"/>
      <c r="I172" s="2"/>
      <c r="J172" s="2"/>
      <c r="K172" s="2"/>
      <c r="L172" s="2"/>
      <c r="M172" s="2"/>
      <c r="N172" s="2"/>
      <c r="O172" s="49"/>
      <c r="P172" s="263"/>
      <c r="Q172" s="263"/>
      <c r="R172" s="263"/>
      <c r="S172" s="1"/>
      <c r="T172" s="1"/>
      <c r="U172" s="1"/>
      <c r="V172" s="1"/>
      <c r="W172" s="1"/>
      <c r="AA172" s="1"/>
    </row>
    <row r="173" ht="12.75" customHeight="1">
      <c r="C173" s="1"/>
      <c r="D173" s="1"/>
      <c r="E173" s="2"/>
      <c r="F173" s="2"/>
      <c r="G173" s="2"/>
      <c r="H173" s="2"/>
      <c r="I173" s="2"/>
      <c r="J173" s="2"/>
      <c r="K173" s="2"/>
      <c r="L173" s="2"/>
      <c r="M173" s="2"/>
      <c r="N173" s="2"/>
      <c r="O173" s="49"/>
      <c r="P173" s="263"/>
      <c r="Q173" s="263"/>
      <c r="R173" s="263"/>
      <c r="S173" s="1"/>
      <c r="T173" s="1"/>
      <c r="U173" s="1"/>
      <c r="V173" s="1"/>
      <c r="W173" s="1"/>
      <c r="AA173" s="1"/>
    </row>
    <row r="174" ht="12.75" customHeight="1">
      <c r="C174" s="1"/>
      <c r="D174" s="1"/>
      <c r="E174" s="2"/>
      <c r="F174" s="2"/>
      <c r="G174" s="2"/>
      <c r="H174" s="2"/>
      <c r="I174" s="2"/>
      <c r="J174" s="2"/>
      <c r="K174" s="2"/>
      <c r="L174" s="2"/>
      <c r="M174" s="2"/>
      <c r="N174" s="2"/>
      <c r="O174" s="49"/>
      <c r="P174" s="263"/>
      <c r="Q174" s="263"/>
      <c r="R174" s="263"/>
      <c r="S174" s="1"/>
      <c r="T174" s="1"/>
      <c r="U174" s="1"/>
      <c r="V174" s="1"/>
      <c r="W174" s="1"/>
      <c r="AA174" s="1"/>
    </row>
    <row r="175" ht="12.75" customHeight="1">
      <c r="C175" s="1"/>
      <c r="D175" s="1"/>
      <c r="E175" s="2"/>
      <c r="F175" s="2"/>
      <c r="G175" s="2"/>
      <c r="H175" s="2"/>
      <c r="I175" s="2"/>
      <c r="J175" s="2"/>
      <c r="K175" s="2"/>
      <c r="L175" s="2"/>
      <c r="M175" s="2"/>
      <c r="N175" s="2"/>
      <c r="O175" s="49"/>
      <c r="P175" s="263"/>
      <c r="Q175" s="263"/>
      <c r="R175" s="263"/>
      <c r="S175" s="1"/>
      <c r="T175" s="1"/>
      <c r="U175" s="1"/>
      <c r="V175" s="1"/>
      <c r="W175" s="1"/>
      <c r="AA175" s="1"/>
    </row>
    <row r="176" ht="12.75" customHeight="1">
      <c r="B176" s="1" t="s">
        <v>159</v>
      </c>
      <c r="C176" s="1"/>
      <c r="D176" s="1"/>
      <c r="E176" s="2"/>
      <c r="F176" s="2"/>
      <c r="G176" s="2"/>
      <c r="H176" s="2"/>
      <c r="I176" s="2"/>
      <c r="J176" s="2"/>
      <c r="K176" s="2"/>
      <c r="L176" s="2"/>
      <c r="M176" s="2"/>
      <c r="N176" s="2"/>
      <c r="O176" s="49"/>
      <c r="P176" s="263"/>
      <c r="Q176" s="263"/>
      <c r="R176" s="263"/>
      <c r="S176" s="1"/>
      <c r="T176" s="1"/>
      <c r="U176" s="1"/>
      <c r="V176" s="1"/>
      <c r="W176" s="1"/>
      <c r="AA176" s="1"/>
    </row>
    <row r="177" ht="27.0" customHeight="1">
      <c r="B177" s="101" t="s">
        <v>142</v>
      </c>
      <c r="C177" s="101"/>
      <c r="D177" s="101"/>
      <c r="E177" s="101"/>
      <c r="F177" s="101"/>
      <c r="G177" s="101"/>
      <c r="H177" s="187"/>
      <c r="I177" s="187"/>
      <c r="J177" s="2"/>
      <c r="K177" s="2"/>
      <c r="L177" s="2"/>
      <c r="M177" s="2"/>
      <c r="N177" s="2"/>
      <c r="O177" s="49"/>
      <c r="P177" s="263"/>
      <c r="Q177" s="263"/>
      <c r="R177" s="263"/>
      <c r="S177" s="1"/>
      <c r="T177" s="1"/>
      <c r="U177" s="1"/>
      <c r="V177" s="1"/>
      <c r="W177" s="1"/>
      <c r="AA177" s="1"/>
    </row>
    <row r="178" ht="13.5" customHeight="1">
      <c r="B178" s="278" t="s">
        <v>160</v>
      </c>
      <c r="C178" s="279" t="s">
        <v>29</v>
      </c>
      <c r="D178" s="279" t="s">
        <v>65</v>
      </c>
      <c r="E178" s="279" t="s">
        <v>77</v>
      </c>
      <c r="F178" s="279" t="s">
        <v>84</v>
      </c>
      <c r="G178" s="280" t="s">
        <v>156</v>
      </c>
      <c r="H178" s="138"/>
      <c r="I178" s="138"/>
      <c r="J178" s="2"/>
      <c r="K178" s="2"/>
      <c r="L178" s="2"/>
      <c r="M178" s="2"/>
      <c r="N178" s="2"/>
      <c r="O178" s="49"/>
      <c r="P178" s="263"/>
      <c r="Q178" s="263"/>
      <c r="R178" s="263"/>
      <c r="S178" s="1"/>
      <c r="T178" s="1"/>
      <c r="U178" s="1"/>
      <c r="V178" s="1"/>
      <c r="W178" s="1"/>
      <c r="AA178" s="1"/>
    </row>
    <row r="179" ht="13.5" customHeight="1">
      <c r="B179" s="135" t="s">
        <v>46</v>
      </c>
      <c r="C179" s="281">
        <f t="shared" ref="C179:G179" si="43">C52/(C52+C96+C140)</f>
        <v>0.2095238095</v>
      </c>
      <c r="D179" s="281">
        <f t="shared" si="43"/>
        <v>0.2715231788</v>
      </c>
      <c r="E179" s="281">
        <f t="shared" si="43"/>
        <v>0.2055335968</v>
      </c>
      <c r="F179" s="281">
        <f t="shared" si="43"/>
        <v>0.2314049587</v>
      </c>
      <c r="G179" s="282">
        <f t="shared" si="43"/>
        <v>0.2254672897</v>
      </c>
      <c r="H179" s="138"/>
      <c r="I179" s="138"/>
      <c r="J179" s="2"/>
      <c r="K179" s="2"/>
      <c r="L179" s="2"/>
      <c r="M179" s="2"/>
      <c r="N179" s="2"/>
      <c r="O179" s="49"/>
      <c r="P179" s="263"/>
      <c r="Q179" s="263"/>
      <c r="R179" s="263"/>
      <c r="S179" s="1"/>
      <c r="T179" s="1"/>
      <c r="U179" s="1"/>
      <c r="V179" s="1"/>
      <c r="W179" s="1"/>
      <c r="AA179" s="1"/>
    </row>
    <row r="180" ht="27.0" customHeight="1">
      <c r="B180" s="135" t="s">
        <v>144</v>
      </c>
      <c r="C180" s="281">
        <f t="shared" ref="C180:G180" si="44">C96/(C52+C96+C140)</f>
        <v>0.5</v>
      </c>
      <c r="D180" s="281">
        <f t="shared" si="44"/>
        <v>0.5165562914</v>
      </c>
      <c r="E180" s="281">
        <f t="shared" si="44"/>
        <v>0.4980237154</v>
      </c>
      <c r="F180" s="281">
        <f t="shared" si="44"/>
        <v>0.5</v>
      </c>
      <c r="G180" s="282">
        <f t="shared" si="44"/>
        <v>0.5023364486</v>
      </c>
      <c r="H180" s="138"/>
      <c r="I180" s="138"/>
      <c r="J180" s="2"/>
      <c r="K180" s="2"/>
      <c r="L180" s="2"/>
      <c r="M180" s="2"/>
      <c r="N180" s="2"/>
      <c r="O180" s="49"/>
      <c r="P180" s="263"/>
      <c r="Q180" s="263"/>
      <c r="R180" s="263"/>
      <c r="S180" s="1"/>
      <c r="T180" s="1"/>
      <c r="U180" s="1"/>
      <c r="V180" s="1"/>
      <c r="W180" s="1"/>
      <c r="AA180" s="1"/>
    </row>
    <row r="181" ht="13.5" customHeight="1">
      <c r="B181" s="100" t="s">
        <v>122</v>
      </c>
      <c r="C181" s="276">
        <f t="shared" ref="C181:G181" si="45">C140/(C140+C96+C52)</f>
        <v>0.2904761905</v>
      </c>
      <c r="D181" s="276">
        <f t="shared" si="45"/>
        <v>0.2119205298</v>
      </c>
      <c r="E181" s="276">
        <f t="shared" si="45"/>
        <v>0.2964426877</v>
      </c>
      <c r="F181" s="276">
        <f t="shared" si="45"/>
        <v>0.2685950413</v>
      </c>
      <c r="G181" s="277">
        <f t="shared" si="45"/>
        <v>0.2721962617</v>
      </c>
      <c r="H181" s="138"/>
      <c r="I181" s="138"/>
      <c r="J181" s="2"/>
      <c r="K181" s="2"/>
      <c r="L181" s="2"/>
      <c r="M181" s="2"/>
      <c r="N181" s="2"/>
      <c r="O181" s="49"/>
      <c r="P181" s="263"/>
      <c r="Q181" s="263"/>
      <c r="R181" s="263"/>
      <c r="S181" s="1"/>
      <c r="T181" s="1"/>
      <c r="U181" s="1"/>
      <c r="V181" s="1"/>
      <c r="W181" s="1"/>
      <c r="AA181" s="1"/>
    </row>
    <row r="182" ht="13.5" customHeight="1">
      <c r="B182" s="67"/>
      <c r="C182" s="68"/>
      <c r="D182" s="68"/>
      <c r="E182" s="138"/>
      <c r="F182" s="138"/>
      <c r="G182" s="138"/>
      <c r="H182" s="138"/>
      <c r="I182" s="138"/>
      <c r="J182" s="2"/>
      <c r="K182" s="2"/>
      <c r="L182" s="2"/>
      <c r="M182" s="2"/>
      <c r="N182" s="2"/>
      <c r="O182" s="49"/>
      <c r="P182" s="263"/>
      <c r="Q182" s="263"/>
      <c r="R182" s="263"/>
      <c r="S182" s="1"/>
      <c r="T182" s="1"/>
      <c r="U182" s="1"/>
      <c r="V182" s="1"/>
      <c r="W182" s="1"/>
      <c r="AA182" s="1"/>
    </row>
    <row r="183" ht="28.5" customHeight="1">
      <c r="B183" s="101" t="s">
        <v>149</v>
      </c>
      <c r="C183" s="101"/>
      <c r="D183" s="101"/>
      <c r="E183" s="101"/>
      <c r="F183" s="101"/>
      <c r="G183" s="101"/>
      <c r="H183" s="101"/>
      <c r="I183" s="101"/>
      <c r="J183" s="2"/>
      <c r="K183" s="2"/>
      <c r="L183" s="2"/>
      <c r="M183" s="2"/>
      <c r="N183" s="2"/>
      <c r="O183" s="49"/>
      <c r="P183" s="263"/>
      <c r="Q183" s="263"/>
      <c r="R183" s="263"/>
      <c r="S183" s="1"/>
      <c r="T183" s="1"/>
      <c r="U183" s="1"/>
      <c r="V183" s="1"/>
      <c r="W183" s="1"/>
      <c r="AA183" s="1"/>
    </row>
    <row r="184" ht="13.5" customHeight="1">
      <c r="B184" s="278" t="s">
        <v>160</v>
      </c>
      <c r="C184" s="279" t="s">
        <v>29</v>
      </c>
      <c r="D184" s="279" t="s">
        <v>65</v>
      </c>
      <c r="E184" s="279" t="s">
        <v>77</v>
      </c>
      <c r="F184" s="279" t="s">
        <v>84</v>
      </c>
      <c r="G184" s="279" t="s">
        <v>116</v>
      </c>
      <c r="H184" s="279" t="s">
        <v>121</v>
      </c>
      <c r="I184" s="280" t="s">
        <v>156</v>
      </c>
      <c r="J184" s="2"/>
      <c r="K184" s="2"/>
      <c r="L184" s="2"/>
      <c r="M184" s="2"/>
      <c r="N184" s="2"/>
      <c r="O184" s="49"/>
      <c r="P184" s="263"/>
      <c r="Q184" s="263"/>
      <c r="R184" s="263"/>
      <c r="S184" s="1"/>
      <c r="T184" s="1"/>
      <c r="U184" s="1"/>
      <c r="V184" s="1"/>
      <c r="W184" s="1"/>
      <c r="AA184" s="1"/>
    </row>
    <row r="185" ht="13.5" customHeight="1">
      <c r="B185" s="135" t="s">
        <v>46</v>
      </c>
      <c r="C185" s="281">
        <f t="shared" ref="C185:I185" si="46">C62/(C62+C106+C150)</f>
        <v>0.2669683258</v>
      </c>
      <c r="D185" s="281">
        <f t="shared" si="46"/>
        <v>0.2806122449</v>
      </c>
      <c r="E185" s="281">
        <f t="shared" si="46"/>
        <v>0.3428571429</v>
      </c>
      <c r="F185" s="281">
        <f t="shared" si="46"/>
        <v>0.2320441989</v>
      </c>
      <c r="G185" s="281">
        <f t="shared" si="46"/>
        <v>0.2935483871</v>
      </c>
      <c r="H185" s="281">
        <f t="shared" si="46"/>
        <v>0.2716981132</v>
      </c>
      <c r="I185" s="282">
        <f t="shared" si="46"/>
        <v>0.284203103</v>
      </c>
      <c r="J185" s="2"/>
      <c r="K185" s="2"/>
      <c r="L185" s="2"/>
      <c r="M185" s="2"/>
      <c r="N185" s="2"/>
      <c r="O185" s="49"/>
      <c r="P185" s="263"/>
      <c r="Q185" s="263"/>
      <c r="R185" s="263"/>
      <c r="S185" s="1"/>
      <c r="T185" s="1"/>
      <c r="U185" s="1"/>
      <c r="V185" s="1"/>
      <c r="W185" s="1"/>
      <c r="AA185" s="1"/>
    </row>
    <row r="186" ht="13.5" customHeight="1">
      <c r="B186" s="135" t="s">
        <v>144</v>
      </c>
      <c r="C186" s="281">
        <f t="shared" ref="C186:I186" si="47">C106/(C62+C106+C150)</f>
        <v>0.4660633484</v>
      </c>
      <c r="D186" s="281">
        <f t="shared" si="47"/>
        <v>0.4744897959</v>
      </c>
      <c r="E186" s="281">
        <f t="shared" si="47"/>
        <v>0.4285714286</v>
      </c>
      <c r="F186" s="281">
        <f t="shared" si="47"/>
        <v>0.4640883978</v>
      </c>
      <c r="G186" s="281">
        <f t="shared" si="47"/>
        <v>0.4161290323</v>
      </c>
      <c r="H186" s="281">
        <f t="shared" si="47"/>
        <v>0.4452830189</v>
      </c>
      <c r="I186" s="282">
        <f t="shared" si="47"/>
        <v>0.4456981664</v>
      </c>
      <c r="J186" s="2"/>
      <c r="K186" s="2"/>
      <c r="L186" s="2"/>
      <c r="M186" s="2"/>
      <c r="N186" s="2"/>
      <c r="O186" s="49"/>
      <c r="P186" s="263"/>
      <c r="Q186" s="263"/>
      <c r="R186" s="263"/>
      <c r="S186" s="1"/>
      <c r="T186" s="1"/>
      <c r="U186" s="1"/>
      <c r="V186" s="1"/>
      <c r="W186" s="1"/>
      <c r="AA186" s="1"/>
    </row>
    <row r="187" ht="13.5" customHeight="1">
      <c r="B187" s="100" t="s">
        <v>122</v>
      </c>
      <c r="C187" s="276">
        <f t="shared" ref="C187:I187" si="48">C150/(C150+C106+C62)</f>
        <v>0.2669683258</v>
      </c>
      <c r="D187" s="276">
        <f t="shared" si="48"/>
        <v>0.2448979592</v>
      </c>
      <c r="E187" s="276">
        <f t="shared" si="48"/>
        <v>0.2285714286</v>
      </c>
      <c r="F187" s="276">
        <f t="shared" si="48"/>
        <v>0.3038674033</v>
      </c>
      <c r="G187" s="276">
        <f t="shared" si="48"/>
        <v>0.2903225806</v>
      </c>
      <c r="H187" s="276">
        <f t="shared" si="48"/>
        <v>0.2830188679</v>
      </c>
      <c r="I187" s="277">
        <f t="shared" si="48"/>
        <v>0.2700987306</v>
      </c>
      <c r="J187" s="2"/>
      <c r="K187" s="2"/>
      <c r="L187" s="2"/>
      <c r="M187" s="2"/>
      <c r="N187" s="2"/>
      <c r="O187" s="49"/>
      <c r="P187" s="263"/>
      <c r="Q187" s="263"/>
      <c r="R187" s="263"/>
      <c r="S187" s="1"/>
      <c r="T187" s="1"/>
      <c r="U187" s="1"/>
      <c r="V187" s="1"/>
      <c r="W187" s="1"/>
      <c r="AA187" s="1"/>
    </row>
    <row r="188" ht="13.5" customHeight="1">
      <c r="B188" s="67"/>
      <c r="C188" s="68"/>
      <c r="D188" s="68"/>
      <c r="E188" s="138"/>
      <c r="F188" s="138"/>
      <c r="G188" s="138"/>
      <c r="H188" s="138"/>
      <c r="I188" s="138"/>
      <c r="J188" s="2"/>
      <c r="K188" s="2"/>
      <c r="L188" s="2"/>
      <c r="M188" s="2"/>
      <c r="N188" s="2"/>
      <c r="O188" s="49"/>
      <c r="P188" s="263"/>
      <c r="Q188" s="263"/>
      <c r="R188" s="263"/>
      <c r="S188" s="1"/>
      <c r="T188" s="1"/>
      <c r="U188" s="1"/>
      <c r="V188" s="1"/>
      <c r="W188" s="1"/>
      <c r="AA188" s="1"/>
    </row>
    <row r="189" ht="28.5" customHeight="1">
      <c r="B189" s="101" t="s">
        <v>150</v>
      </c>
      <c r="C189" s="101"/>
      <c r="D189" s="101"/>
      <c r="E189" s="101"/>
      <c r="F189" s="101"/>
      <c r="G189" s="101"/>
      <c r="H189" s="101"/>
      <c r="I189" s="138"/>
      <c r="J189" s="2"/>
      <c r="K189" s="2"/>
      <c r="L189" s="2"/>
      <c r="M189" s="2"/>
      <c r="N189" s="2"/>
      <c r="O189" s="49"/>
      <c r="P189" s="263"/>
      <c r="Q189" s="263"/>
      <c r="R189" s="263"/>
      <c r="S189" s="1"/>
      <c r="T189" s="1"/>
      <c r="U189" s="1"/>
      <c r="V189" s="1"/>
      <c r="W189" s="1"/>
      <c r="AA189" s="1"/>
    </row>
    <row r="190" ht="15.75" customHeight="1">
      <c r="B190" s="278" t="s">
        <v>160</v>
      </c>
      <c r="C190" s="279" t="s">
        <v>29</v>
      </c>
      <c r="D190" s="279" t="s">
        <v>65</v>
      </c>
      <c r="E190" s="279" t="s">
        <v>77</v>
      </c>
      <c r="F190" s="279" t="s">
        <v>84</v>
      </c>
      <c r="G190" s="279" t="s">
        <v>116</v>
      </c>
      <c r="H190" s="280" t="s">
        <v>156</v>
      </c>
      <c r="I190" s="138"/>
      <c r="J190" s="2"/>
      <c r="K190" s="2"/>
      <c r="L190" s="2"/>
      <c r="M190" s="2"/>
      <c r="N190" s="2"/>
      <c r="O190" s="49"/>
      <c r="P190" s="263"/>
      <c r="Q190" s="263"/>
      <c r="R190" s="263"/>
      <c r="S190" s="1"/>
      <c r="T190" s="1"/>
      <c r="U190" s="1"/>
      <c r="V190" s="1"/>
      <c r="W190" s="1"/>
      <c r="AA190" s="1"/>
    </row>
    <row r="191" ht="13.5" customHeight="1">
      <c r="B191" s="135" t="s">
        <v>46</v>
      </c>
      <c r="C191" s="281">
        <f t="shared" ref="C191:H191" si="49">C72/(C72+C116+C160)</f>
        <v>0.3618421053</v>
      </c>
      <c r="D191" s="281">
        <f t="shared" si="49"/>
        <v>0.3039647577</v>
      </c>
      <c r="E191" s="281">
        <f t="shared" si="49"/>
        <v>0.2463235294</v>
      </c>
      <c r="F191" s="281">
        <f t="shared" si="49"/>
        <v>0.2806324111</v>
      </c>
      <c r="G191" s="281">
        <f t="shared" si="49"/>
        <v>0.2196969697</v>
      </c>
      <c r="H191" s="282">
        <f t="shared" si="49"/>
        <v>0.2739726027</v>
      </c>
      <c r="I191" s="138"/>
      <c r="J191" s="2"/>
      <c r="K191" s="2"/>
      <c r="L191" s="2"/>
      <c r="M191" s="2"/>
      <c r="N191" s="2"/>
      <c r="O191" s="49"/>
      <c r="P191" s="263"/>
      <c r="Q191" s="263"/>
      <c r="R191" s="263"/>
      <c r="S191" s="1"/>
      <c r="T191" s="1"/>
      <c r="U191" s="1"/>
      <c r="V191" s="1"/>
      <c r="W191" s="1"/>
      <c r="AA191" s="1"/>
    </row>
    <row r="192" ht="13.5" customHeight="1">
      <c r="B192" s="135" t="s">
        <v>144</v>
      </c>
      <c r="C192" s="281">
        <f t="shared" ref="C192:H192" si="50">C116/(C72+C116+C160)</f>
        <v>0.4078947368</v>
      </c>
      <c r="D192" s="281">
        <f t="shared" si="50"/>
        <v>0.4140969163</v>
      </c>
      <c r="E192" s="281">
        <f t="shared" si="50"/>
        <v>0.5147058824</v>
      </c>
      <c r="F192" s="281">
        <f t="shared" si="50"/>
        <v>0.5059288538</v>
      </c>
      <c r="G192" s="281">
        <f t="shared" si="50"/>
        <v>0.5075757576</v>
      </c>
      <c r="H192" s="282">
        <f t="shared" si="50"/>
        <v>0.477739726</v>
      </c>
      <c r="I192" s="138"/>
      <c r="J192" s="2"/>
      <c r="K192" s="2"/>
      <c r="L192" s="2"/>
      <c r="M192" s="2"/>
      <c r="N192" s="2"/>
      <c r="O192" s="49"/>
      <c r="P192" s="263"/>
      <c r="Q192" s="263"/>
      <c r="R192" s="263"/>
      <c r="S192" s="1"/>
      <c r="T192" s="1"/>
      <c r="U192" s="1"/>
      <c r="V192" s="1"/>
      <c r="W192" s="1"/>
      <c r="AA192" s="1"/>
    </row>
    <row r="193" ht="13.5" customHeight="1">
      <c r="B193" s="100" t="s">
        <v>122</v>
      </c>
      <c r="C193" s="276">
        <f t="shared" ref="C193:H193" si="51">C160/(C160+C116+C72)</f>
        <v>0.2302631579</v>
      </c>
      <c r="D193" s="276">
        <f t="shared" si="51"/>
        <v>0.281938326</v>
      </c>
      <c r="E193" s="276">
        <f t="shared" si="51"/>
        <v>0.2389705882</v>
      </c>
      <c r="F193" s="276">
        <f t="shared" si="51"/>
        <v>0.2134387352</v>
      </c>
      <c r="G193" s="276">
        <f t="shared" si="51"/>
        <v>0.2727272727</v>
      </c>
      <c r="H193" s="277">
        <f t="shared" si="51"/>
        <v>0.2482876712</v>
      </c>
      <c r="I193" s="138"/>
      <c r="J193" s="2"/>
      <c r="K193" s="2"/>
      <c r="L193" s="2"/>
      <c r="M193" s="2"/>
      <c r="N193" s="2"/>
      <c r="O193" s="49"/>
      <c r="P193" s="263"/>
      <c r="Q193" s="263"/>
      <c r="R193" s="263"/>
      <c r="S193" s="1"/>
      <c r="T193" s="1"/>
      <c r="U193" s="1"/>
      <c r="V193" s="1"/>
      <c r="W193" s="1"/>
      <c r="AA193" s="1"/>
    </row>
    <row r="194" ht="13.5" customHeight="1">
      <c r="B194" s="67"/>
      <c r="C194" s="67"/>
      <c r="D194" s="67"/>
      <c r="E194" s="187"/>
      <c r="F194" s="187"/>
      <c r="G194" s="187"/>
      <c r="H194" s="187"/>
      <c r="I194" s="138"/>
      <c r="J194" s="2"/>
      <c r="K194" s="2"/>
      <c r="L194" s="2"/>
      <c r="M194" s="2"/>
      <c r="N194" s="2"/>
      <c r="O194" s="49"/>
      <c r="P194" s="263"/>
      <c r="Q194" s="263"/>
      <c r="R194" s="263"/>
      <c r="S194" s="1"/>
      <c r="T194" s="1"/>
      <c r="U194" s="1"/>
      <c r="V194" s="1"/>
      <c r="W194" s="1"/>
      <c r="AA194" s="1"/>
    </row>
    <row r="195" ht="27.75" customHeight="1">
      <c r="B195" s="101" t="s">
        <v>152</v>
      </c>
      <c r="C195" s="101"/>
      <c r="D195" s="101"/>
      <c r="E195" s="101"/>
      <c r="F195" s="101"/>
      <c r="G195" s="101"/>
      <c r="H195" s="101"/>
      <c r="I195" s="138"/>
      <c r="J195" s="2"/>
      <c r="K195" s="2"/>
      <c r="L195" s="2"/>
      <c r="M195" s="2"/>
      <c r="N195" s="2"/>
      <c r="O195" s="49"/>
      <c r="P195" s="263"/>
      <c r="Q195" s="263"/>
      <c r="R195" s="263"/>
      <c r="S195" s="1"/>
      <c r="T195" s="1"/>
      <c r="U195" s="1"/>
      <c r="V195" s="1"/>
      <c r="W195" s="1"/>
      <c r="AA195" s="1"/>
    </row>
    <row r="196" ht="13.5" customHeight="1">
      <c r="B196" s="278" t="s">
        <v>160</v>
      </c>
      <c r="C196" s="279" t="s">
        <v>29</v>
      </c>
      <c r="D196" s="279" t="s">
        <v>65</v>
      </c>
      <c r="E196" s="279" t="s">
        <v>77</v>
      </c>
      <c r="F196" s="279" t="s">
        <v>84</v>
      </c>
      <c r="G196" s="279" t="s">
        <v>116</v>
      </c>
      <c r="H196" s="280" t="s">
        <v>156</v>
      </c>
      <c r="I196" s="138"/>
      <c r="J196" s="2"/>
      <c r="K196" s="2"/>
      <c r="L196" s="2"/>
      <c r="M196" s="2"/>
      <c r="N196" s="2"/>
      <c r="O196" s="49"/>
      <c r="P196" s="263"/>
      <c r="Q196" s="263"/>
      <c r="R196" s="263"/>
      <c r="S196" s="1"/>
      <c r="T196" s="1"/>
      <c r="U196" s="1"/>
      <c r="V196" s="1"/>
      <c r="W196" s="1"/>
      <c r="AA196" s="1"/>
    </row>
    <row r="197" ht="13.5" customHeight="1">
      <c r="B197" s="135" t="s">
        <v>46</v>
      </c>
      <c r="C197" s="281">
        <f t="shared" ref="C197:H197" si="52">C82/(C82+C126+C170)</f>
        <v>0.245398773</v>
      </c>
      <c r="D197" s="281">
        <f t="shared" si="52"/>
        <v>0.2830188679</v>
      </c>
      <c r="E197" s="281">
        <f t="shared" si="52"/>
        <v>0.2313432836</v>
      </c>
      <c r="F197" s="281">
        <f t="shared" si="52"/>
        <v>0.3571428571</v>
      </c>
      <c r="G197" s="281">
        <f t="shared" si="52"/>
        <v>0.1777777778</v>
      </c>
      <c r="H197" s="282">
        <f t="shared" si="52"/>
        <v>0.2612781955</v>
      </c>
      <c r="I197" s="138"/>
      <c r="J197" s="2"/>
      <c r="K197" s="2"/>
      <c r="L197" s="2"/>
      <c r="M197" s="2"/>
      <c r="N197" s="2"/>
      <c r="O197" s="49"/>
      <c r="P197" s="263"/>
      <c r="Q197" s="263"/>
      <c r="R197" s="263"/>
      <c r="S197" s="1"/>
      <c r="T197" s="1"/>
      <c r="U197" s="1"/>
      <c r="V197" s="1"/>
      <c r="W197" s="1"/>
      <c r="AA197" s="1"/>
    </row>
    <row r="198" ht="13.5" customHeight="1">
      <c r="B198" s="135" t="s">
        <v>144</v>
      </c>
      <c r="C198" s="281">
        <f t="shared" ref="C198:H198" si="53">C126/(C82+C126+C170)</f>
        <v>0.5214723926</v>
      </c>
      <c r="D198" s="281">
        <f t="shared" si="53"/>
        <v>0.4433962264</v>
      </c>
      <c r="E198" s="281">
        <f t="shared" si="53"/>
        <v>0.4179104478</v>
      </c>
      <c r="F198" s="281">
        <f t="shared" si="53"/>
        <v>0.5238095238</v>
      </c>
      <c r="G198" s="281">
        <f t="shared" si="53"/>
        <v>0.5555555556</v>
      </c>
      <c r="H198" s="282">
        <f t="shared" si="53"/>
        <v>0.4830827068</v>
      </c>
      <c r="I198" s="138"/>
      <c r="J198" s="2"/>
      <c r="K198" s="2"/>
      <c r="L198" s="2"/>
      <c r="M198" s="2"/>
      <c r="N198" s="2"/>
      <c r="O198" s="49"/>
      <c r="P198" s="263"/>
      <c r="Q198" s="263"/>
      <c r="R198" s="263"/>
      <c r="S198" s="1"/>
      <c r="T198" s="1"/>
      <c r="U198" s="1"/>
      <c r="V198" s="1"/>
      <c r="W198" s="1"/>
      <c r="AA198" s="1"/>
    </row>
    <row r="199" ht="13.5" customHeight="1">
      <c r="B199" s="100" t="s">
        <v>122</v>
      </c>
      <c r="C199" s="276">
        <f t="shared" ref="C199:H199" si="54">C170/(C170+C126+C82)</f>
        <v>0.2331288344</v>
      </c>
      <c r="D199" s="276">
        <f t="shared" si="54"/>
        <v>0.2735849057</v>
      </c>
      <c r="E199" s="276">
        <f t="shared" si="54"/>
        <v>0.3507462687</v>
      </c>
      <c r="F199" s="276">
        <f t="shared" si="54"/>
        <v>0.119047619</v>
      </c>
      <c r="G199" s="276">
        <f t="shared" si="54"/>
        <v>0.2666666667</v>
      </c>
      <c r="H199" s="277">
        <f t="shared" si="54"/>
        <v>0.2556390977</v>
      </c>
      <c r="I199" s="138"/>
      <c r="J199" s="2"/>
      <c r="K199" s="2"/>
      <c r="L199" s="2"/>
      <c r="M199" s="2"/>
      <c r="N199" s="2"/>
      <c r="O199" s="49"/>
      <c r="P199" s="263"/>
      <c r="Q199" s="263"/>
      <c r="R199" s="263"/>
      <c r="S199" s="1"/>
      <c r="T199" s="1"/>
      <c r="U199" s="1"/>
      <c r="V199" s="1"/>
      <c r="W199" s="1"/>
      <c r="AA199" s="1"/>
    </row>
    <row r="200" ht="27.0" customHeight="1">
      <c r="C200" s="1"/>
      <c r="D200" s="1"/>
      <c r="E200" s="2"/>
      <c r="F200" s="2"/>
      <c r="G200" s="2"/>
      <c r="H200" s="2"/>
      <c r="I200" s="2"/>
      <c r="J200" s="2"/>
      <c r="K200" s="2"/>
      <c r="L200" s="2"/>
      <c r="M200" s="2"/>
      <c r="N200" s="2"/>
      <c r="O200" s="49"/>
      <c r="P200" s="263"/>
      <c r="Q200" s="263"/>
      <c r="R200" s="263"/>
      <c r="S200" s="1"/>
      <c r="T200" s="1"/>
      <c r="U200" s="1"/>
      <c r="V200" s="1"/>
      <c r="W200" s="1"/>
      <c r="AA200" s="1"/>
    </row>
    <row r="201" ht="12.75" customHeight="1">
      <c r="C201" s="1"/>
      <c r="D201" s="1"/>
      <c r="E201" s="2"/>
      <c r="F201" s="2"/>
      <c r="G201" s="2"/>
      <c r="H201" s="2"/>
      <c r="I201" s="2"/>
      <c r="J201" s="2"/>
      <c r="K201" s="2"/>
      <c r="L201" s="2"/>
      <c r="M201" s="2"/>
      <c r="N201" s="2"/>
      <c r="O201" s="49"/>
      <c r="P201" s="263"/>
      <c r="Q201" s="263"/>
      <c r="R201" s="263"/>
      <c r="S201" s="1"/>
      <c r="T201" s="1"/>
      <c r="U201" s="1"/>
      <c r="V201" s="1"/>
      <c r="W201" s="1"/>
      <c r="AA201" s="1"/>
    </row>
    <row r="202" ht="12.75" customHeight="1">
      <c r="C202" s="1"/>
      <c r="D202" s="1"/>
      <c r="E202" s="2"/>
      <c r="F202" s="2"/>
      <c r="G202" s="2"/>
      <c r="H202" s="2"/>
      <c r="I202" s="2"/>
      <c r="J202" s="2"/>
      <c r="K202" s="2"/>
      <c r="L202" s="2"/>
      <c r="M202" s="2"/>
      <c r="N202" s="2"/>
      <c r="O202" s="49"/>
      <c r="P202" s="263"/>
      <c r="Q202" s="263"/>
      <c r="R202" s="263"/>
      <c r="S202" s="1"/>
      <c r="T202" s="1"/>
      <c r="U202" s="1"/>
      <c r="V202" s="1"/>
      <c r="W202" s="1"/>
      <c r="AA202" s="1"/>
    </row>
    <row r="203" ht="12.75" customHeight="1">
      <c r="C203" s="1"/>
      <c r="D203" s="1"/>
      <c r="E203" s="2"/>
      <c r="F203" s="2"/>
      <c r="G203" s="2"/>
      <c r="H203" s="2"/>
      <c r="I203" s="2"/>
      <c r="J203" s="2"/>
      <c r="K203" s="2"/>
      <c r="L203" s="2"/>
      <c r="M203" s="2"/>
      <c r="N203" s="2"/>
      <c r="O203" s="49"/>
      <c r="P203" s="263"/>
      <c r="Q203" s="263"/>
      <c r="R203" s="263"/>
      <c r="S203" s="1"/>
      <c r="T203" s="1"/>
      <c r="U203" s="1"/>
      <c r="V203" s="1"/>
      <c r="W203" s="1"/>
      <c r="AA203" s="1"/>
    </row>
    <row r="204" ht="12.75" customHeight="1">
      <c r="C204" s="1"/>
      <c r="D204" s="1"/>
      <c r="E204" s="2"/>
      <c r="F204" s="2"/>
      <c r="G204" s="2"/>
      <c r="H204" s="2"/>
      <c r="I204" s="2"/>
      <c r="J204" s="2"/>
      <c r="K204" s="2"/>
      <c r="L204" s="2"/>
      <c r="M204" s="2"/>
      <c r="N204" s="2"/>
      <c r="O204" s="49"/>
      <c r="P204" s="263"/>
      <c r="Q204" s="263"/>
      <c r="R204" s="263"/>
      <c r="S204" s="1"/>
      <c r="T204" s="1"/>
      <c r="U204" s="1"/>
      <c r="V204" s="1"/>
      <c r="W204" s="1"/>
      <c r="AA204" s="1"/>
    </row>
    <row r="205" ht="12.75" customHeight="1">
      <c r="C205" s="1"/>
      <c r="D205" s="1"/>
      <c r="E205" s="2"/>
      <c r="F205" s="2"/>
      <c r="G205" s="2"/>
      <c r="H205" s="2"/>
      <c r="I205" s="2"/>
      <c r="J205" s="2"/>
      <c r="K205" s="2"/>
      <c r="L205" s="2"/>
      <c r="M205" s="2"/>
      <c r="N205" s="2"/>
      <c r="O205" s="49"/>
      <c r="P205" s="263"/>
      <c r="Q205" s="263"/>
      <c r="R205" s="263"/>
      <c r="S205" s="1"/>
      <c r="T205" s="1"/>
      <c r="U205" s="1"/>
      <c r="V205" s="1"/>
      <c r="W205" s="1"/>
      <c r="AA205" s="1"/>
    </row>
    <row r="206" ht="12.75" customHeight="1">
      <c r="C206" s="1"/>
      <c r="D206" s="1"/>
      <c r="E206" s="2"/>
      <c r="F206" s="2"/>
      <c r="G206" s="2"/>
      <c r="H206" s="2"/>
      <c r="I206" s="2"/>
      <c r="J206" s="2"/>
      <c r="K206" s="2"/>
      <c r="L206" s="2"/>
      <c r="M206" s="2"/>
      <c r="N206" s="2"/>
      <c r="O206" s="49"/>
      <c r="P206" s="263"/>
      <c r="Q206" s="263"/>
      <c r="R206" s="263"/>
      <c r="S206" s="1"/>
      <c r="T206" s="1"/>
      <c r="U206" s="1"/>
      <c r="V206" s="1"/>
      <c r="W206" s="1"/>
      <c r="AA206" s="1"/>
    </row>
    <row r="207" ht="12.75" customHeight="1">
      <c r="C207" s="1"/>
      <c r="D207" s="1"/>
      <c r="E207" s="2"/>
      <c r="F207" s="2"/>
      <c r="G207" s="2"/>
      <c r="H207" s="2"/>
      <c r="I207" s="2"/>
      <c r="J207" s="2"/>
      <c r="K207" s="2"/>
      <c r="L207" s="2"/>
      <c r="M207" s="2"/>
      <c r="N207" s="2"/>
      <c r="O207" s="49"/>
      <c r="P207" s="263"/>
      <c r="Q207" s="263"/>
      <c r="R207" s="263"/>
      <c r="S207" s="1"/>
      <c r="T207" s="1"/>
      <c r="U207" s="1"/>
      <c r="V207" s="1"/>
      <c r="W207" s="1"/>
      <c r="AA207" s="1"/>
    </row>
    <row r="208" ht="12.75" customHeight="1">
      <c r="C208" s="1"/>
      <c r="D208" s="1"/>
      <c r="E208" s="2"/>
      <c r="F208" s="2"/>
      <c r="G208" s="2"/>
      <c r="H208" s="2"/>
      <c r="I208" s="2"/>
      <c r="J208" s="2"/>
      <c r="K208" s="2"/>
      <c r="L208" s="2"/>
      <c r="M208" s="2"/>
      <c r="N208" s="2"/>
      <c r="O208" s="49"/>
      <c r="P208" s="263"/>
      <c r="Q208" s="263"/>
      <c r="R208" s="263"/>
      <c r="S208" s="1"/>
      <c r="T208" s="1"/>
      <c r="U208" s="1"/>
      <c r="V208" s="1"/>
      <c r="W208" s="1"/>
      <c r="AA208" s="1"/>
    </row>
    <row r="209" ht="12.75" customHeight="1">
      <c r="C209" s="1"/>
      <c r="D209" s="1"/>
      <c r="E209" s="2"/>
      <c r="F209" s="2"/>
      <c r="G209" s="2"/>
      <c r="H209" s="2"/>
      <c r="I209" s="2"/>
      <c r="J209" s="2"/>
      <c r="K209" s="2"/>
      <c r="L209" s="2"/>
      <c r="M209" s="2"/>
      <c r="N209" s="2"/>
      <c r="O209" s="49"/>
      <c r="P209" s="263"/>
      <c r="Q209" s="263"/>
      <c r="R209" s="263"/>
      <c r="S209" s="1"/>
      <c r="T209" s="1"/>
      <c r="U209" s="1"/>
      <c r="V209" s="1"/>
      <c r="W209" s="1"/>
      <c r="AA209" s="1"/>
    </row>
    <row r="210" ht="27.0" customHeight="1">
      <c r="C210" s="1"/>
      <c r="D210" s="1"/>
      <c r="E210" s="2"/>
      <c r="F210" s="2"/>
      <c r="G210" s="2"/>
      <c r="H210" s="2"/>
      <c r="I210" s="2"/>
      <c r="J210" s="2"/>
      <c r="K210" s="2"/>
      <c r="L210" s="2"/>
      <c r="M210" s="2"/>
      <c r="N210" s="2"/>
      <c r="O210" s="49"/>
      <c r="P210" s="263"/>
      <c r="Q210" s="263"/>
      <c r="R210" s="263"/>
      <c r="S210" s="1"/>
      <c r="T210" s="1"/>
      <c r="U210" s="1"/>
      <c r="V210" s="1"/>
      <c r="W210" s="1"/>
      <c r="AA210" s="1"/>
    </row>
    <row r="211" ht="12.75" customHeight="1">
      <c r="C211" s="1"/>
      <c r="D211" s="1"/>
      <c r="E211" s="2"/>
      <c r="F211" s="2"/>
      <c r="G211" s="2"/>
      <c r="H211" s="2"/>
      <c r="I211" s="2"/>
      <c r="J211" s="2"/>
      <c r="K211" s="2"/>
      <c r="L211" s="2"/>
      <c r="M211" s="2"/>
      <c r="N211" s="2"/>
      <c r="O211" s="49"/>
      <c r="P211" s="263"/>
      <c r="Q211" s="263"/>
      <c r="R211" s="263"/>
      <c r="S211" s="1"/>
      <c r="T211" s="1"/>
      <c r="U211" s="1"/>
      <c r="V211" s="1"/>
      <c r="W211" s="1"/>
      <c r="AA211" s="1"/>
    </row>
    <row r="212" ht="12.75" customHeight="1">
      <c r="C212" s="1"/>
      <c r="D212" s="1"/>
      <c r="E212" s="2"/>
      <c r="F212" s="2"/>
      <c r="G212" s="2"/>
      <c r="H212" s="2"/>
      <c r="I212" s="2"/>
      <c r="J212" s="2"/>
      <c r="K212" s="2"/>
      <c r="L212" s="2"/>
      <c r="M212" s="2"/>
      <c r="N212" s="2"/>
      <c r="O212" s="49"/>
      <c r="P212" s="263"/>
      <c r="Q212" s="263"/>
      <c r="R212" s="263"/>
      <c r="S212" s="1"/>
      <c r="T212" s="1"/>
      <c r="U212" s="1"/>
      <c r="V212" s="1"/>
      <c r="W212" s="1"/>
      <c r="AA212" s="1"/>
    </row>
    <row r="213" ht="12.75" customHeight="1">
      <c r="C213" s="1"/>
      <c r="D213" s="1"/>
      <c r="E213" s="2"/>
      <c r="F213" s="2"/>
      <c r="G213" s="2"/>
      <c r="H213" s="2"/>
      <c r="I213" s="2"/>
      <c r="J213" s="2"/>
      <c r="K213" s="2"/>
      <c r="L213" s="2"/>
      <c r="M213" s="2"/>
      <c r="N213" s="2"/>
      <c r="O213" s="49"/>
      <c r="P213" s="263"/>
      <c r="Q213" s="263"/>
      <c r="R213" s="263"/>
      <c r="S213" s="1"/>
      <c r="T213" s="1"/>
      <c r="U213" s="1"/>
      <c r="V213" s="1"/>
      <c r="W213" s="1"/>
      <c r="AA213" s="1"/>
    </row>
    <row r="214" ht="12.75" customHeight="1">
      <c r="C214" s="1"/>
      <c r="D214" s="1"/>
      <c r="E214" s="2"/>
      <c r="F214" s="2"/>
      <c r="G214" s="2"/>
      <c r="H214" s="2"/>
      <c r="I214" s="2"/>
      <c r="J214" s="2"/>
      <c r="K214" s="2"/>
      <c r="L214" s="2"/>
      <c r="M214" s="2"/>
      <c r="N214" s="2"/>
      <c r="O214" s="49"/>
      <c r="P214" s="263"/>
      <c r="Q214" s="263"/>
      <c r="R214" s="263"/>
      <c r="S214" s="1"/>
      <c r="T214" s="1"/>
      <c r="U214" s="1"/>
      <c r="V214" s="1"/>
      <c r="W214" s="1"/>
      <c r="AA214" s="1"/>
    </row>
    <row r="215" ht="12.75" customHeight="1">
      <c r="C215" s="1"/>
      <c r="D215" s="1"/>
      <c r="E215" s="2"/>
      <c r="F215" s="2"/>
      <c r="G215" s="2"/>
      <c r="H215" s="2"/>
      <c r="I215" s="2"/>
      <c r="J215" s="2"/>
      <c r="K215" s="2"/>
      <c r="L215" s="2"/>
      <c r="M215" s="2"/>
      <c r="N215" s="2"/>
      <c r="O215" s="49"/>
      <c r="P215" s="263"/>
      <c r="Q215" s="263"/>
      <c r="R215" s="263"/>
      <c r="S215" s="1"/>
      <c r="T215" s="1"/>
      <c r="U215" s="1"/>
      <c r="V215" s="1"/>
      <c r="W215" s="1"/>
      <c r="AA215" s="1"/>
    </row>
    <row r="216" ht="12.75" customHeight="1">
      <c r="C216" s="1"/>
      <c r="D216" s="1"/>
      <c r="E216" s="2"/>
      <c r="F216" s="2"/>
      <c r="G216" s="2"/>
      <c r="H216" s="2"/>
      <c r="I216" s="2"/>
      <c r="J216" s="2"/>
      <c r="K216" s="2"/>
      <c r="L216" s="2"/>
      <c r="M216" s="2"/>
      <c r="N216" s="2"/>
      <c r="O216" s="49"/>
      <c r="P216" s="263"/>
      <c r="Q216" s="263"/>
      <c r="R216" s="263"/>
      <c r="S216" s="1"/>
      <c r="T216" s="1"/>
      <c r="U216" s="1"/>
      <c r="V216" s="1"/>
      <c r="W216" s="1"/>
      <c r="AA216" s="1"/>
    </row>
    <row r="217" ht="12.75" customHeight="1">
      <c r="C217" s="1"/>
      <c r="D217" s="1"/>
      <c r="E217" s="2"/>
      <c r="F217" s="2"/>
      <c r="G217" s="2"/>
      <c r="H217" s="2"/>
      <c r="I217" s="2"/>
      <c r="J217" s="2"/>
      <c r="K217" s="2"/>
      <c r="L217" s="2"/>
      <c r="M217" s="2"/>
      <c r="N217" s="2"/>
      <c r="O217" s="49"/>
      <c r="P217" s="263"/>
      <c r="Q217" s="263"/>
      <c r="R217" s="263"/>
      <c r="S217" s="1"/>
      <c r="T217" s="1"/>
      <c r="U217" s="1"/>
      <c r="V217" s="1"/>
      <c r="W217" s="1"/>
      <c r="AA217" s="1"/>
    </row>
    <row r="218" ht="12.75" customHeight="1">
      <c r="C218" s="1"/>
      <c r="D218" s="1"/>
      <c r="E218" s="2"/>
      <c r="F218" s="2"/>
      <c r="G218" s="2"/>
      <c r="H218" s="2"/>
      <c r="I218" s="2"/>
      <c r="J218" s="2"/>
      <c r="K218" s="2"/>
      <c r="L218" s="2"/>
      <c r="M218" s="2"/>
      <c r="N218" s="2"/>
      <c r="O218" s="49"/>
      <c r="P218" s="263"/>
      <c r="Q218" s="263"/>
      <c r="R218" s="263"/>
      <c r="S218" s="1"/>
      <c r="T218" s="1"/>
      <c r="U218" s="1"/>
      <c r="V218" s="1"/>
      <c r="W218" s="1"/>
      <c r="AA218" s="1"/>
    </row>
    <row r="219" ht="12.75" customHeight="1">
      <c r="C219" s="1"/>
      <c r="D219" s="1"/>
      <c r="E219" s="2"/>
      <c r="F219" s="2"/>
      <c r="G219" s="2"/>
      <c r="H219" s="2"/>
      <c r="I219" s="2"/>
      <c r="J219" s="2"/>
      <c r="K219" s="2"/>
      <c r="L219" s="2"/>
      <c r="M219" s="2"/>
      <c r="N219" s="2"/>
      <c r="O219" s="49"/>
      <c r="P219" s="263"/>
      <c r="Q219" s="263"/>
      <c r="R219" s="263"/>
      <c r="S219" s="1"/>
      <c r="T219" s="1"/>
      <c r="U219" s="1"/>
      <c r="V219" s="1"/>
      <c r="W219" s="1"/>
      <c r="AA219" s="1"/>
    </row>
    <row r="220" ht="12.75" customHeight="1">
      <c r="C220" s="1"/>
      <c r="D220" s="1"/>
      <c r="E220" s="2"/>
      <c r="F220" s="2"/>
      <c r="G220" s="2"/>
      <c r="H220" s="2"/>
      <c r="I220" s="2"/>
      <c r="J220" s="2"/>
      <c r="K220" s="2"/>
      <c r="L220" s="2"/>
      <c r="M220" s="2"/>
      <c r="N220" s="2"/>
      <c r="O220" s="49"/>
      <c r="P220" s="263"/>
      <c r="Q220" s="263"/>
      <c r="R220" s="263"/>
      <c r="S220" s="1"/>
      <c r="T220" s="1"/>
      <c r="U220" s="1"/>
      <c r="V220" s="1"/>
      <c r="W220" s="1"/>
      <c r="AA220" s="1"/>
    </row>
    <row r="221" ht="12.75" customHeight="1">
      <c r="C221" s="1"/>
      <c r="D221" s="1"/>
      <c r="E221" s="2"/>
      <c r="F221" s="2"/>
      <c r="G221" s="2"/>
      <c r="H221" s="2"/>
      <c r="I221" s="2"/>
      <c r="J221" s="2"/>
      <c r="K221" s="2"/>
      <c r="L221" s="2"/>
      <c r="M221" s="2"/>
      <c r="N221" s="2"/>
      <c r="O221" s="49"/>
      <c r="P221" s="263"/>
      <c r="Q221" s="263"/>
      <c r="R221" s="263"/>
      <c r="S221" s="1"/>
      <c r="T221" s="1"/>
      <c r="U221" s="1"/>
      <c r="V221" s="1"/>
      <c r="W221" s="1"/>
      <c r="AA221" s="1"/>
    </row>
    <row r="222" ht="12.75" customHeight="1">
      <c r="C222" s="1"/>
      <c r="D222" s="1"/>
      <c r="E222" s="2"/>
      <c r="F222" s="2"/>
      <c r="G222" s="2"/>
      <c r="H222" s="2"/>
      <c r="I222" s="2"/>
      <c r="J222" s="2"/>
      <c r="K222" s="2"/>
      <c r="L222" s="2"/>
      <c r="M222" s="2"/>
      <c r="N222" s="2"/>
      <c r="O222" s="49"/>
      <c r="P222" s="263"/>
      <c r="Q222" s="263"/>
      <c r="R222" s="263"/>
      <c r="S222" s="1"/>
      <c r="T222" s="1"/>
      <c r="U222" s="1"/>
      <c r="V222" s="1"/>
      <c r="W222" s="1"/>
      <c r="AA222" s="1"/>
    </row>
    <row r="223" ht="12.75" customHeight="1">
      <c r="C223" s="1"/>
      <c r="D223" s="1"/>
      <c r="E223" s="2"/>
      <c r="F223" s="2"/>
      <c r="G223" s="2"/>
      <c r="H223" s="2"/>
      <c r="I223" s="2"/>
      <c r="J223" s="2"/>
      <c r="K223" s="2"/>
      <c r="L223" s="2"/>
      <c r="M223" s="2"/>
      <c r="N223" s="2"/>
      <c r="O223" s="49"/>
      <c r="P223" s="263"/>
      <c r="Q223" s="263"/>
      <c r="R223" s="263"/>
      <c r="S223" s="1"/>
      <c r="T223" s="1"/>
      <c r="U223" s="1"/>
      <c r="V223" s="1"/>
      <c r="W223" s="1"/>
      <c r="AA223" s="1"/>
    </row>
    <row r="224" ht="12.75" customHeight="1">
      <c r="C224" s="1"/>
      <c r="D224" s="1"/>
      <c r="E224" s="2"/>
      <c r="F224" s="2"/>
      <c r="G224" s="2"/>
      <c r="H224" s="2"/>
      <c r="I224" s="2"/>
      <c r="J224" s="2"/>
      <c r="K224" s="2"/>
      <c r="L224" s="2"/>
      <c r="M224" s="2"/>
      <c r="N224" s="2"/>
      <c r="O224" s="49"/>
      <c r="P224" s="263"/>
      <c r="Q224" s="263"/>
      <c r="R224" s="263"/>
      <c r="S224" s="1"/>
      <c r="T224" s="1"/>
      <c r="U224" s="1"/>
      <c r="V224" s="1"/>
      <c r="W224" s="1"/>
      <c r="AA224" s="1"/>
    </row>
    <row r="225" ht="12.75" customHeight="1">
      <c r="C225" s="1"/>
      <c r="D225" s="1"/>
      <c r="E225" s="2"/>
      <c r="F225" s="2"/>
      <c r="G225" s="2"/>
      <c r="H225" s="2"/>
      <c r="I225" s="2"/>
      <c r="J225" s="2"/>
      <c r="K225" s="2"/>
      <c r="L225" s="2"/>
      <c r="M225" s="2"/>
      <c r="N225" s="2"/>
      <c r="O225" s="49"/>
      <c r="P225" s="263"/>
      <c r="Q225" s="263"/>
      <c r="R225" s="263"/>
      <c r="S225" s="1"/>
      <c r="T225" s="1"/>
      <c r="U225" s="1"/>
      <c r="V225" s="1"/>
      <c r="W225" s="1"/>
      <c r="AA225" s="1"/>
    </row>
    <row r="226" ht="12.75" customHeight="1">
      <c r="C226" s="1"/>
      <c r="D226" s="1"/>
      <c r="E226" s="2"/>
      <c r="F226" s="2"/>
      <c r="G226" s="2"/>
      <c r="H226" s="2"/>
      <c r="I226" s="2"/>
      <c r="J226" s="2"/>
      <c r="K226" s="2"/>
      <c r="L226" s="2"/>
      <c r="M226" s="2"/>
      <c r="N226" s="2"/>
      <c r="O226" s="49"/>
      <c r="P226" s="263"/>
      <c r="Q226" s="263"/>
      <c r="R226" s="263"/>
      <c r="S226" s="1"/>
      <c r="T226" s="1"/>
      <c r="U226" s="1"/>
      <c r="V226" s="1"/>
      <c r="W226" s="1"/>
      <c r="AA226" s="1"/>
    </row>
    <row r="227" ht="12.75" customHeight="1">
      <c r="C227" s="1"/>
      <c r="D227" s="1"/>
      <c r="E227" s="2"/>
      <c r="F227" s="2"/>
      <c r="G227" s="2"/>
      <c r="H227" s="2"/>
      <c r="I227" s="2"/>
      <c r="J227" s="2"/>
      <c r="K227" s="2"/>
      <c r="L227" s="2"/>
      <c r="M227" s="2"/>
      <c r="N227" s="2"/>
      <c r="O227" s="49"/>
      <c r="P227" s="263"/>
      <c r="Q227" s="263"/>
      <c r="R227" s="263"/>
      <c r="S227" s="1"/>
      <c r="T227" s="1"/>
      <c r="U227" s="1"/>
      <c r="V227" s="1"/>
      <c r="W227" s="1"/>
      <c r="AA227" s="1"/>
    </row>
    <row r="228" ht="12.75" customHeight="1">
      <c r="C228" s="1"/>
      <c r="D228" s="1"/>
      <c r="E228" s="2"/>
      <c r="F228" s="2"/>
      <c r="G228" s="2"/>
      <c r="H228" s="2"/>
      <c r="I228" s="2"/>
      <c r="J228" s="2"/>
      <c r="K228" s="2"/>
      <c r="L228" s="2"/>
      <c r="M228" s="2"/>
      <c r="N228" s="2"/>
      <c r="O228" s="49"/>
      <c r="P228" s="263"/>
      <c r="Q228" s="263"/>
      <c r="R228" s="263"/>
      <c r="S228" s="1"/>
      <c r="T228" s="1"/>
      <c r="U228" s="1"/>
      <c r="V228" s="1"/>
      <c r="W228" s="1"/>
      <c r="AA228" s="1"/>
    </row>
    <row r="229" ht="12.75" customHeight="1">
      <c r="C229" s="1"/>
      <c r="D229" s="1"/>
      <c r="E229" s="2"/>
      <c r="F229" s="2"/>
      <c r="G229" s="2"/>
      <c r="H229" s="2"/>
      <c r="I229" s="2"/>
      <c r="J229" s="2"/>
      <c r="K229" s="2"/>
      <c r="L229" s="2"/>
      <c r="M229" s="2"/>
      <c r="N229" s="2"/>
      <c r="O229" s="49"/>
      <c r="P229" s="263"/>
      <c r="Q229" s="263"/>
      <c r="R229" s="263"/>
      <c r="S229" s="1"/>
      <c r="T229" s="1"/>
      <c r="U229" s="1"/>
      <c r="V229" s="1"/>
      <c r="W229" s="1"/>
      <c r="AA229" s="1"/>
    </row>
    <row r="230" ht="12.75" customHeight="1">
      <c r="C230" s="1"/>
      <c r="D230" s="1"/>
      <c r="E230" s="2"/>
      <c r="F230" s="2"/>
      <c r="G230" s="2"/>
      <c r="H230" s="2"/>
      <c r="I230" s="2"/>
      <c r="J230" s="2"/>
      <c r="K230" s="2"/>
      <c r="L230" s="2"/>
      <c r="M230" s="2"/>
      <c r="N230" s="2"/>
      <c r="O230" s="49"/>
      <c r="P230" s="263"/>
      <c r="Q230" s="263"/>
      <c r="R230" s="263"/>
      <c r="S230" s="1"/>
      <c r="T230" s="1"/>
      <c r="U230" s="1"/>
      <c r="V230" s="1"/>
      <c r="W230" s="1"/>
      <c r="AA230" s="1"/>
    </row>
    <row r="231" ht="12.75" customHeight="1">
      <c r="C231" s="1"/>
      <c r="D231" s="1"/>
      <c r="E231" s="2"/>
      <c r="F231" s="2"/>
      <c r="G231" s="2"/>
      <c r="H231" s="2"/>
      <c r="I231" s="2"/>
      <c r="J231" s="2"/>
      <c r="K231" s="2"/>
      <c r="L231" s="2"/>
      <c r="M231" s="2"/>
      <c r="N231" s="2"/>
      <c r="O231" s="49"/>
      <c r="P231" s="263"/>
      <c r="Q231" s="263"/>
      <c r="R231" s="263"/>
      <c r="S231" s="1"/>
      <c r="T231" s="1"/>
      <c r="U231" s="1"/>
      <c r="V231" s="1"/>
      <c r="W231" s="1"/>
      <c r="AA231" s="1"/>
    </row>
    <row r="232" ht="12.75" customHeight="1">
      <c r="C232" s="1"/>
      <c r="D232" s="1"/>
      <c r="E232" s="2"/>
      <c r="F232" s="2"/>
      <c r="G232" s="2"/>
      <c r="H232" s="2"/>
      <c r="I232" s="2"/>
      <c r="J232" s="2"/>
      <c r="K232" s="2"/>
      <c r="L232" s="2"/>
      <c r="M232" s="2"/>
      <c r="N232" s="2"/>
      <c r="O232" s="49"/>
      <c r="P232" s="263"/>
      <c r="Q232" s="263"/>
      <c r="R232" s="263"/>
      <c r="S232" s="1"/>
      <c r="T232" s="1"/>
      <c r="U232" s="1"/>
      <c r="V232" s="1"/>
      <c r="W232" s="1"/>
      <c r="AA232" s="1"/>
    </row>
    <row r="233" ht="25.5" customHeight="1">
      <c r="C233" s="1"/>
      <c r="D233" s="1"/>
      <c r="E233" s="2"/>
      <c r="F233" s="2"/>
      <c r="G233" s="2"/>
      <c r="H233" s="2"/>
      <c r="I233" s="2"/>
      <c r="J233" s="2"/>
      <c r="K233" s="2"/>
      <c r="L233" s="2"/>
      <c r="M233" s="2"/>
      <c r="N233" s="2"/>
      <c r="O233" s="49"/>
      <c r="P233" s="263"/>
      <c r="Q233" s="263"/>
      <c r="R233" s="263"/>
      <c r="S233" s="1"/>
      <c r="T233" s="1"/>
      <c r="U233" s="1"/>
      <c r="V233" s="1"/>
      <c r="W233" s="1"/>
      <c r="AA233" s="1"/>
    </row>
    <row r="234" ht="12.75" customHeight="1">
      <c r="C234" s="1"/>
      <c r="D234" s="1"/>
      <c r="E234" s="2"/>
      <c r="F234" s="2"/>
      <c r="G234" s="2"/>
      <c r="H234" s="2"/>
      <c r="I234" s="2"/>
      <c r="J234" s="2"/>
      <c r="K234" s="2"/>
      <c r="L234" s="2"/>
      <c r="M234" s="2"/>
      <c r="N234" s="2"/>
      <c r="O234" s="49"/>
      <c r="P234" s="263"/>
      <c r="Q234" s="263"/>
      <c r="R234" s="263"/>
      <c r="S234" s="1"/>
      <c r="T234" s="1"/>
      <c r="U234" s="1"/>
      <c r="V234" s="1"/>
      <c r="W234" s="1"/>
      <c r="AA234" s="1"/>
    </row>
    <row r="235" ht="12.75" customHeight="1">
      <c r="C235" s="1"/>
      <c r="D235" s="1"/>
      <c r="E235" s="2"/>
      <c r="F235" s="2"/>
      <c r="G235" s="2"/>
      <c r="H235" s="2"/>
      <c r="I235" s="2"/>
      <c r="J235" s="2"/>
      <c r="K235" s="2"/>
      <c r="L235" s="2"/>
      <c r="M235" s="2"/>
      <c r="N235" s="2"/>
      <c r="O235" s="49"/>
      <c r="P235" s="263"/>
      <c r="Q235" s="263"/>
      <c r="R235" s="263"/>
      <c r="S235" s="1"/>
      <c r="T235" s="1"/>
      <c r="U235" s="1"/>
      <c r="V235" s="1"/>
      <c r="W235" s="1"/>
      <c r="AA235" s="1"/>
    </row>
    <row r="236" ht="12.75" customHeight="1">
      <c r="C236" s="1"/>
      <c r="D236" s="1"/>
      <c r="E236" s="2"/>
      <c r="F236" s="2"/>
      <c r="G236" s="2"/>
      <c r="H236" s="2"/>
      <c r="I236" s="2"/>
      <c r="J236" s="2"/>
      <c r="K236" s="2"/>
      <c r="L236" s="2"/>
      <c r="M236" s="2"/>
      <c r="N236" s="2"/>
      <c r="O236" s="49"/>
      <c r="P236" s="263"/>
      <c r="Q236" s="263"/>
      <c r="R236" s="263"/>
      <c r="S236" s="1"/>
      <c r="T236" s="1"/>
      <c r="U236" s="1"/>
      <c r="V236" s="1"/>
      <c r="W236" s="1"/>
      <c r="AA236" s="1"/>
    </row>
    <row r="237" ht="12.75" customHeight="1">
      <c r="C237" s="1"/>
      <c r="D237" s="1"/>
      <c r="E237" s="2"/>
      <c r="F237" s="2"/>
      <c r="G237" s="2"/>
      <c r="H237" s="2"/>
      <c r="I237" s="2"/>
      <c r="J237" s="2"/>
      <c r="K237" s="2"/>
      <c r="L237" s="2"/>
      <c r="M237" s="2"/>
      <c r="N237" s="2"/>
      <c r="O237" s="49"/>
      <c r="P237" s="263"/>
      <c r="Q237" s="263"/>
      <c r="R237" s="263"/>
      <c r="S237" s="1"/>
      <c r="T237" s="1"/>
      <c r="U237" s="1"/>
      <c r="V237" s="1"/>
      <c r="W237" s="1"/>
      <c r="AA237" s="1"/>
    </row>
    <row r="238" ht="12.75" customHeight="1">
      <c r="C238" s="1"/>
      <c r="D238" s="1"/>
      <c r="E238" s="2"/>
      <c r="F238" s="2"/>
      <c r="G238" s="2"/>
      <c r="H238" s="2"/>
      <c r="I238" s="2"/>
      <c r="J238" s="2"/>
      <c r="K238" s="2"/>
      <c r="L238" s="2"/>
      <c r="M238" s="2"/>
      <c r="N238" s="2"/>
      <c r="O238" s="49"/>
      <c r="P238" s="263"/>
      <c r="Q238" s="263"/>
      <c r="R238" s="263"/>
      <c r="S238" s="1"/>
      <c r="T238" s="1"/>
      <c r="U238" s="1"/>
      <c r="V238" s="1"/>
      <c r="W238" s="1"/>
      <c r="AA238" s="1"/>
    </row>
    <row r="239" ht="28.5" customHeight="1">
      <c r="C239" s="1"/>
      <c r="D239" s="1"/>
      <c r="E239" s="2"/>
      <c r="F239" s="2"/>
      <c r="G239" s="2"/>
      <c r="H239" s="2"/>
      <c r="I239" s="2"/>
      <c r="J239" s="2"/>
      <c r="K239" s="2"/>
      <c r="L239" s="2"/>
      <c r="M239" s="2"/>
      <c r="N239" s="2"/>
      <c r="O239" s="49"/>
      <c r="P239" s="263"/>
      <c r="Q239" s="263"/>
      <c r="R239" s="263"/>
      <c r="S239" s="1"/>
      <c r="T239" s="1"/>
      <c r="U239" s="1"/>
      <c r="V239" s="1"/>
      <c r="W239" s="1"/>
      <c r="AA239" s="1"/>
    </row>
    <row r="240" ht="12.75" customHeight="1">
      <c r="C240" s="1"/>
      <c r="D240" s="1"/>
      <c r="E240" s="2"/>
      <c r="F240" s="2"/>
      <c r="G240" s="2"/>
      <c r="H240" s="2"/>
      <c r="I240" s="2"/>
      <c r="J240" s="2"/>
      <c r="K240" s="2"/>
      <c r="L240" s="2"/>
      <c r="M240" s="2"/>
      <c r="N240" s="2"/>
      <c r="O240" s="49"/>
      <c r="P240" s="263"/>
      <c r="Q240" s="263"/>
      <c r="R240" s="263"/>
      <c r="S240" s="1"/>
      <c r="T240" s="1"/>
      <c r="U240" s="1"/>
      <c r="V240" s="1"/>
      <c r="W240" s="1"/>
      <c r="AA240" s="1"/>
    </row>
    <row r="241" ht="12.75" customHeight="1">
      <c r="C241" s="1"/>
      <c r="D241" s="1"/>
      <c r="E241" s="2"/>
      <c r="F241" s="2"/>
      <c r="G241" s="2"/>
      <c r="H241" s="2"/>
      <c r="I241" s="2"/>
      <c r="J241" s="2"/>
      <c r="K241" s="2"/>
      <c r="L241" s="2"/>
      <c r="M241" s="2"/>
      <c r="N241" s="2"/>
      <c r="O241" s="49"/>
      <c r="P241" s="263"/>
      <c r="Q241" s="263"/>
      <c r="R241" s="263"/>
      <c r="S241" s="1"/>
      <c r="T241" s="1"/>
      <c r="U241" s="1"/>
      <c r="V241" s="1"/>
      <c r="W241" s="1"/>
      <c r="AA241" s="1"/>
    </row>
    <row r="242" ht="12.75" customHeight="1">
      <c r="C242" s="1"/>
      <c r="D242" s="1"/>
      <c r="E242" s="2"/>
      <c r="F242" s="2"/>
      <c r="G242" s="2"/>
      <c r="H242" s="2"/>
      <c r="I242" s="2"/>
      <c r="J242" s="2"/>
      <c r="K242" s="2"/>
      <c r="L242" s="2"/>
      <c r="M242" s="2"/>
      <c r="N242" s="2"/>
      <c r="O242" s="49"/>
      <c r="P242" s="263"/>
      <c r="Q242" s="263"/>
      <c r="R242" s="263"/>
      <c r="S242" s="1"/>
      <c r="T242" s="1"/>
      <c r="U242" s="1"/>
      <c r="V242" s="1"/>
      <c r="W242" s="1"/>
      <c r="AA242" s="1"/>
    </row>
    <row r="243" ht="12.75" customHeight="1">
      <c r="C243" s="1"/>
      <c r="D243" s="1"/>
      <c r="E243" s="2"/>
      <c r="F243" s="2"/>
      <c r="G243" s="2"/>
      <c r="H243" s="2"/>
      <c r="I243" s="2"/>
      <c r="J243" s="2"/>
      <c r="K243" s="2"/>
      <c r="L243" s="2"/>
      <c r="M243" s="2"/>
      <c r="N243" s="2"/>
      <c r="O243" s="49"/>
      <c r="P243" s="263"/>
      <c r="Q243" s="263"/>
      <c r="R243" s="263"/>
      <c r="S243" s="1"/>
      <c r="T243" s="1"/>
      <c r="U243" s="1"/>
      <c r="V243" s="1"/>
      <c r="W243" s="1"/>
      <c r="AA243" s="1"/>
    </row>
    <row r="244" ht="12.75" customHeight="1">
      <c r="C244" s="1"/>
      <c r="D244" s="1"/>
      <c r="E244" s="2"/>
      <c r="F244" s="2"/>
      <c r="G244" s="2"/>
      <c r="H244" s="2"/>
      <c r="I244" s="2"/>
      <c r="J244" s="2"/>
      <c r="K244" s="2"/>
      <c r="L244" s="2"/>
      <c r="M244" s="2"/>
      <c r="N244" s="2"/>
      <c r="O244" s="49"/>
      <c r="P244" s="263"/>
      <c r="Q244" s="263"/>
      <c r="R244" s="263"/>
      <c r="S244" s="1"/>
      <c r="T244" s="1"/>
      <c r="U244" s="1"/>
      <c r="V244" s="1"/>
      <c r="W244" s="1"/>
      <c r="AA244" s="1"/>
    </row>
    <row r="245" ht="25.5" customHeight="1">
      <c r="C245" s="1"/>
      <c r="D245" s="1"/>
      <c r="E245" s="2"/>
      <c r="F245" s="2"/>
      <c r="G245" s="2"/>
      <c r="H245" s="2"/>
      <c r="I245" s="2"/>
      <c r="J245" s="2"/>
      <c r="K245" s="2"/>
      <c r="L245" s="2"/>
      <c r="M245" s="2"/>
      <c r="N245" s="2"/>
      <c r="O245" s="49"/>
      <c r="P245" s="263"/>
      <c r="Q245" s="263"/>
      <c r="R245" s="263"/>
      <c r="S245" s="1"/>
      <c r="T245" s="1"/>
      <c r="U245" s="1"/>
      <c r="V245" s="1"/>
      <c r="W245" s="1"/>
      <c r="AA245" s="1"/>
    </row>
    <row r="246" ht="12.75" customHeight="1">
      <c r="C246" s="1"/>
      <c r="D246" s="1"/>
      <c r="E246" s="2"/>
      <c r="F246" s="2"/>
      <c r="G246" s="2"/>
      <c r="H246" s="2"/>
      <c r="I246" s="2"/>
      <c r="J246" s="2"/>
      <c r="K246" s="2"/>
      <c r="L246" s="2"/>
      <c r="M246" s="2"/>
      <c r="N246" s="2"/>
      <c r="O246" s="49"/>
      <c r="P246" s="263"/>
      <c r="Q246" s="263"/>
      <c r="R246" s="263"/>
      <c r="S246" s="1"/>
      <c r="T246" s="1"/>
      <c r="U246" s="1"/>
      <c r="V246" s="1"/>
      <c r="W246" s="1"/>
      <c r="AA246" s="1"/>
    </row>
    <row r="247" ht="12.75" customHeight="1">
      <c r="C247" s="1"/>
      <c r="D247" s="1"/>
      <c r="E247" s="2"/>
      <c r="F247" s="2"/>
      <c r="G247" s="2"/>
      <c r="H247" s="2"/>
      <c r="I247" s="2"/>
      <c r="J247" s="2"/>
      <c r="K247" s="2"/>
      <c r="L247" s="2"/>
      <c r="M247" s="2"/>
      <c r="N247" s="2"/>
      <c r="O247" s="49"/>
      <c r="P247" s="263"/>
      <c r="Q247" s="263"/>
      <c r="R247" s="263"/>
      <c r="S247" s="1"/>
      <c r="T247" s="1"/>
      <c r="U247" s="1"/>
      <c r="V247" s="1"/>
      <c r="W247" s="1"/>
      <c r="AA247" s="1"/>
    </row>
    <row r="248" ht="12.75" customHeight="1">
      <c r="C248" s="1"/>
      <c r="D248" s="1"/>
      <c r="E248" s="2"/>
      <c r="F248" s="2"/>
      <c r="G248" s="2"/>
      <c r="H248" s="2"/>
      <c r="I248" s="2"/>
      <c r="J248" s="2"/>
      <c r="K248" s="2"/>
      <c r="L248" s="2"/>
      <c r="M248" s="2"/>
      <c r="N248" s="2"/>
      <c r="O248" s="49"/>
      <c r="P248" s="263"/>
      <c r="Q248" s="263"/>
      <c r="R248" s="263"/>
      <c r="S248" s="1"/>
      <c r="T248" s="1"/>
      <c r="U248" s="1"/>
      <c r="V248" s="1"/>
      <c r="W248" s="1"/>
      <c r="AA248" s="1"/>
    </row>
    <row r="249" ht="12.75" customHeight="1">
      <c r="C249" s="1"/>
      <c r="D249" s="1"/>
      <c r="E249" s="2"/>
      <c r="F249" s="2"/>
      <c r="G249" s="2"/>
      <c r="H249" s="2"/>
      <c r="I249" s="2"/>
      <c r="J249" s="2"/>
      <c r="K249" s="2"/>
      <c r="L249" s="2"/>
      <c r="M249" s="2"/>
      <c r="N249" s="2"/>
      <c r="O249" s="49"/>
      <c r="P249" s="263"/>
      <c r="Q249" s="263"/>
      <c r="R249" s="263"/>
      <c r="S249" s="1"/>
      <c r="T249" s="1"/>
      <c r="U249" s="1"/>
      <c r="V249" s="1"/>
      <c r="W249" s="1"/>
      <c r="AA249" s="1"/>
    </row>
    <row r="250" ht="12.75" customHeight="1">
      <c r="C250" s="1"/>
      <c r="D250" s="1"/>
      <c r="E250" s="2"/>
      <c r="F250" s="2"/>
      <c r="G250" s="2"/>
      <c r="H250" s="2"/>
      <c r="I250" s="2"/>
      <c r="J250" s="2"/>
      <c r="K250" s="2"/>
      <c r="L250" s="2"/>
      <c r="M250" s="2"/>
      <c r="N250" s="2"/>
      <c r="O250" s="49"/>
      <c r="P250" s="263"/>
      <c r="Q250" s="263"/>
      <c r="R250" s="263"/>
      <c r="S250" s="1"/>
      <c r="T250" s="1"/>
      <c r="U250" s="1"/>
      <c r="V250" s="1"/>
      <c r="W250" s="1"/>
      <c r="AA250" s="1"/>
    </row>
    <row r="251" ht="27.0" customHeight="1">
      <c r="C251" s="1"/>
      <c r="D251" s="1"/>
      <c r="E251" s="2"/>
      <c r="F251" s="2"/>
      <c r="G251" s="2"/>
      <c r="H251" s="2"/>
      <c r="I251" s="2"/>
      <c r="J251" s="2"/>
      <c r="K251" s="2"/>
      <c r="L251" s="2"/>
      <c r="M251" s="2"/>
      <c r="N251" s="2"/>
      <c r="O251" s="49"/>
      <c r="P251" s="263"/>
      <c r="Q251" s="263"/>
      <c r="R251" s="263"/>
      <c r="S251" s="1"/>
      <c r="T251" s="1"/>
      <c r="U251" s="1"/>
      <c r="V251" s="1"/>
      <c r="W251" s="1"/>
      <c r="AA251" s="1"/>
    </row>
    <row r="252" ht="12.75" customHeight="1">
      <c r="C252" s="1"/>
      <c r="D252" s="1"/>
      <c r="E252" s="2"/>
      <c r="F252" s="2"/>
      <c r="G252" s="2"/>
      <c r="H252" s="2"/>
      <c r="I252" s="2"/>
      <c r="J252" s="2"/>
      <c r="K252" s="2"/>
      <c r="L252" s="2"/>
      <c r="M252" s="2"/>
      <c r="N252" s="2"/>
      <c r="O252" s="49"/>
      <c r="P252" s="263"/>
      <c r="Q252" s="263"/>
      <c r="R252" s="263"/>
      <c r="S252" s="1"/>
      <c r="T252" s="1"/>
      <c r="U252" s="1"/>
      <c r="V252" s="1"/>
      <c r="W252" s="1"/>
      <c r="AA252" s="1"/>
    </row>
    <row r="253" ht="12.75" customHeight="1">
      <c r="C253" s="1"/>
      <c r="D253" s="1"/>
      <c r="E253" s="2"/>
      <c r="F253" s="2"/>
      <c r="G253" s="2"/>
      <c r="H253" s="2"/>
      <c r="I253" s="2"/>
      <c r="J253" s="2"/>
      <c r="K253" s="2"/>
      <c r="L253" s="2"/>
      <c r="M253" s="2"/>
      <c r="N253" s="2"/>
      <c r="O253" s="49"/>
      <c r="P253" s="263"/>
      <c r="Q253" s="263"/>
      <c r="R253" s="263"/>
      <c r="S253" s="1"/>
      <c r="T253" s="1"/>
      <c r="U253" s="1"/>
      <c r="V253" s="1"/>
      <c r="W253" s="1"/>
      <c r="AA253" s="1"/>
    </row>
    <row r="254" ht="12.75" customHeight="1">
      <c r="C254" s="1"/>
      <c r="D254" s="1"/>
      <c r="E254" s="2"/>
      <c r="F254" s="2"/>
      <c r="G254" s="2"/>
      <c r="H254" s="2"/>
      <c r="I254" s="2"/>
      <c r="J254" s="2"/>
      <c r="K254" s="2"/>
      <c r="L254" s="2"/>
      <c r="M254" s="2"/>
      <c r="N254" s="2"/>
      <c r="O254" s="49"/>
      <c r="P254" s="263"/>
      <c r="Q254" s="263"/>
      <c r="R254" s="263"/>
      <c r="S254" s="1"/>
      <c r="T254" s="1"/>
      <c r="U254" s="1"/>
      <c r="V254" s="1"/>
      <c r="W254" s="1"/>
      <c r="AA254" s="1"/>
    </row>
    <row r="255" ht="12.75" customHeight="1">
      <c r="C255" s="1"/>
      <c r="D255" s="1"/>
      <c r="E255" s="2"/>
      <c r="F255" s="2"/>
      <c r="G255" s="2"/>
      <c r="H255" s="2"/>
      <c r="I255" s="2"/>
      <c r="J255" s="2"/>
      <c r="K255" s="2"/>
      <c r="L255" s="2"/>
      <c r="M255" s="2"/>
      <c r="N255" s="2"/>
      <c r="O255" s="49"/>
      <c r="P255" s="263"/>
      <c r="Q255" s="263"/>
      <c r="R255" s="263"/>
      <c r="S255" s="1"/>
      <c r="T255" s="1"/>
      <c r="U255" s="1"/>
      <c r="V255" s="1"/>
      <c r="W255" s="1"/>
      <c r="AA255" s="1"/>
    </row>
    <row r="256" ht="12.75" customHeight="1">
      <c r="C256" s="1"/>
      <c r="D256" s="1"/>
      <c r="E256" s="2"/>
      <c r="F256" s="2"/>
      <c r="G256" s="2"/>
      <c r="H256" s="2"/>
      <c r="I256" s="24"/>
      <c r="J256" s="2"/>
      <c r="K256" s="2"/>
      <c r="L256" s="2"/>
      <c r="M256" s="2"/>
      <c r="N256" s="2"/>
      <c r="O256" s="49"/>
      <c r="P256" s="263"/>
      <c r="Q256" s="263"/>
      <c r="R256" s="263"/>
      <c r="S256" s="1"/>
      <c r="T256" s="1"/>
      <c r="U256" s="1"/>
      <c r="V256" s="1"/>
      <c r="W256" s="1"/>
      <c r="AA256" s="1"/>
    </row>
    <row r="257" ht="12.75" customHeight="1">
      <c r="C257" s="1"/>
      <c r="D257" s="1"/>
      <c r="E257" s="2"/>
      <c r="F257" s="2"/>
      <c r="G257" s="2"/>
      <c r="H257" s="2"/>
      <c r="I257" s="2"/>
      <c r="J257" s="2"/>
      <c r="K257" s="2"/>
      <c r="L257" s="2"/>
      <c r="M257" s="2"/>
      <c r="N257" s="2"/>
      <c r="O257" s="49"/>
      <c r="P257" s="263"/>
      <c r="Q257" s="263"/>
      <c r="R257" s="263"/>
      <c r="S257" s="1"/>
      <c r="T257" s="1"/>
      <c r="U257" s="1"/>
      <c r="V257" s="1"/>
      <c r="W257" s="1"/>
      <c r="AA257" s="1"/>
    </row>
    <row r="258" ht="12.75" customHeight="1">
      <c r="C258" s="1"/>
      <c r="D258" s="1"/>
      <c r="E258" s="2"/>
      <c r="F258" s="2"/>
      <c r="G258" s="2"/>
      <c r="H258" s="2"/>
      <c r="I258" s="2"/>
      <c r="J258" s="2"/>
      <c r="K258" s="2"/>
      <c r="L258" s="2"/>
      <c r="M258" s="2"/>
      <c r="N258" s="2"/>
      <c r="O258" s="49"/>
      <c r="P258" s="263"/>
      <c r="Q258" s="263"/>
      <c r="R258" s="263"/>
      <c r="S258" s="1"/>
      <c r="T258" s="1"/>
      <c r="U258" s="1"/>
      <c r="V258" s="1"/>
      <c r="W258" s="1"/>
      <c r="AA258" s="1"/>
    </row>
    <row r="259" ht="12.75" customHeight="1">
      <c r="C259" s="1"/>
      <c r="D259" s="1"/>
      <c r="E259" s="2"/>
      <c r="F259" s="2"/>
      <c r="G259" s="2"/>
      <c r="H259" s="2"/>
      <c r="I259" s="2"/>
      <c r="J259" s="2"/>
      <c r="K259" s="2"/>
      <c r="L259" s="2"/>
      <c r="M259" s="2"/>
      <c r="N259" s="2"/>
      <c r="O259" s="49"/>
      <c r="P259" s="263"/>
      <c r="Q259" s="263"/>
      <c r="R259" s="263"/>
      <c r="S259" s="1"/>
      <c r="T259" s="1"/>
      <c r="U259" s="1"/>
      <c r="V259" s="1"/>
      <c r="W259" s="1"/>
      <c r="AA259" s="1"/>
    </row>
    <row r="260" ht="12.75" customHeight="1">
      <c r="C260" s="1"/>
      <c r="D260" s="1"/>
      <c r="E260" s="2"/>
      <c r="F260" s="2"/>
      <c r="G260" s="2"/>
      <c r="H260" s="2"/>
      <c r="I260" s="2"/>
      <c r="J260" s="2"/>
      <c r="K260" s="2"/>
      <c r="L260" s="2"/>
      <c r="M260" s="2"/>
      <c r="N260" s="2"/>
      <c r="O260" s="49"/>
      <c r="P260" s="263"/>
      <c r="Q260" s="263"/>
      <c r="R260" s="263"/>
      <c r="S260" s="1"/>
      <c r="T260" s="1"/>
      <c r="U260" s="1"/>
      <c r="V260" s="1"/>
      <c r="W260" s="1"/>
      <c r="AA260" s="1"/>
    </row>
    <row r="261" ht="12.75" customHeight="1">
      <c r="C261" s="1"/>
      <c r="D261" s="1"/>
      <c r="E261" s="2"/>
      <c r="F261" s="2"/>
      <c r="G261" s="2"/>
      <c r="H261" s="2"/>
      <c r="I261" s="2"/>
      <c r="J261" s="2"/>
      <c r="K261" s="2"/>
      <c r="L261" s="2"/>
      <c r="M261" s="2"/>
      <c r="N261" s="2"/>
      <c r="O261" s="49"/>
      <c r="P261" s="263"/>
      <c r="Q261" s="263"/>
      <c r="R261" s="263"/>
      <c r="S261" s="1"/>
      <c r="T261" s="1"/>
      <c r="U261" s="1"/>
      <c r="V261" s="1"/>
      <c r="W261" s="1"/>
      <c r="AA261" s="1"/>
    </row>
    <row r="262" ht="12.75" customHeight="1">
      <c r="C262" s="1"/>
      <c r="D262" s="1"/>
      <c r="E262" s="2"/>
      <c r="F262" s="2"/>
      <c r="G262" s="2"/>
      <c r="H262" s="2"/>
      <c r="I262" s="2"/>
      <c r="J262" s="2"/>
      <c r="K262" s="2"/>
      <c r="L262" s="2"/>
      <c r="M262" s="2"/>
      <c r="N262" s="2"/>
      <c r="O262" s="49"/>
      <c r="P262" s="263"/>
      <c r="Q262" s="263"/>
      <c r="R262" s="263"/>
      <c r="S262" s="1"/>
      <c r="T262" s="1"/>
      <c r="U262" s="1"/>
      <c r="V262" s="1"/>
      <c r="W262" s="1"/>
      <c r="AA262" s="1"/>
    </row>
    <row r="263" ht="12.75" customHeight="1">
      <c r="C263" s="1"/>
      <c r="D263" s="1"/>
      <c r="E263" s="2"/>
      <c r="F263" s="2"/>
      <c r="G263" s="2"/>
      <c r="H263" s="2"/>
      <c r="I263" s="2"/>
      <c r="J263" s="2"/>
      <c r="K263" s="2"/>
      <c r="L263" s="2"/>
      <c r="M263" s="2"/>
      <c r="N263" s="2"/>
      <c r="O263" s="49"/>
      <c r="P263" s="263"/>
      <c r="Q263" s="263"/>
      <c r="R263" s="263"/>
      <c r="S263" s="1"/>
      <c r="T263" s="1"/>
      <c r="U263" s="1"/>
      <c r="V263" s="1"/>
      <c r="W263" s="1"/>
      <c r="AA263" s="1"/>
    </row>
    <row r="264" ht="12.75" customHeight="1">
      <c r="C264" s="1"/>
      <c r="D264" s="1"/>
      <c r="E264" s="2"/>
      <c r="F264" s="2"/>
      <c r="G264" s="2"/>
      <c r="H264" s="2"/>
      <c r="I264" s="2"/>
      <c r="J264" s="2"/>
      <c r="K264" s="2"/>
      <c r="L264" s="2"/>
      <c r="M264" s="2"/>
      <c r="N264" s="2"/>
      <c r="O264" s="49"/>
      <c r="P264" s="263"/>
      <c r="Q264" s="263"/>
      <c r="R264" s="263"/>
      <c r="S264" s="1"/>
      <c r="T264" s="1"/>
      <c r="U264" s="1"/>
      <c r="V264" s="1"/>
      <c r="W264" s="1"/>
      <c r="AA264" s="1"/>
    </row>
    <row r="265" ht="12.75" customHeight="1">
      <c r="C265" s="1"/>
      <c r="D265" s="1"/>
      <c r="E265" s="2"/>
      <c r="F265" s="2"/>
      <c r="G265" s="2"/>
      <c r="H265" s="2"/>
      <c r="I265" s="2"/>
      <c r="J265" s="2"/>
      <c r="K265" s="2"/>
      <c r="L265" s="2"/>
      <c r="M265" s="2"/>
      <c r="N265" s="2"/>
      <c r="O265" s="49"/>
      <c r="P265" s="263"/>
      <c r="Q265" s="263"/>
      <c r="R265" s="263"/>
      <c r="S265" s="1"/>
      <c r="T265" s="1"/>
      <c r="U265" s="1"/>
      <c r="V265" s="1"/>
      <c r="W265" s="1"/>
      <c r="AA265" s="1"/>
    </row>
    <row r="266" ht="12.75" customHeight="1">
      <c r="C266" s="1"/>
      <c r="D266" s="1"/>
      <c r="E266" s="2"/>
      <c r="F266" s="2"/>
      <c r="G266" s="2"/>
      <c r="H266" s="2"/>
      <c r="I266" s="2"/>
      <c r="J266" s="2"/>
      <c r="K266" s="2"/>
      <c r="L266" s="2"/>
      <c r="M266" s="2"/>
      <c r="N266" s="2"/>
      <c r="O266" s="49"/>
      <c r="P266" s="263"/>
      <c r="Q266" s="263"/>
      <c r="R266" s="263"/>
      <c r="S266" s="1"/>
      <c r="T266" s="1"/>
      <c r="U266" s="1"/>
      <c r="V266" s="1"/>
      <c r="W266" s="1"/>
      <c r="AA266" s="1"/>
    </row>
    <row r="267" ht="12.75" customHeight="1">
      <c r="C267" s="1"/>
      <c r="D267" s="1"/>
      <c r="E267" s="2"/>
      <c r="F267" s="2"/>
      <c r="G267" s="2"/>
      <c r="H267" s="2"/>
      <c r="I267" s="2"/>
      <c r="J267" s="2"/>
      <c r="K267" s="2"/>
      <c r="L267" s="2"/>
      <c r="M267" s="2"/>
      <c r="N267" s="2"/>
      <c r="O267" s="49"/>
      <c r="P267" s="263"/>
      <c r="Q267" s="263"/>
      <c r="R267" s="263"/>
      <c r="S267" s="1"/>
      <c r="T267" s="1"/>
      <c r="U267" s="1"/>
      <c r="V267" s="1"/>
      <c r="W267" s="1"/>
      <c r="AA267" s="1"/>
    </row>
    <row r="268" ht="12.75" customHeight="1">
      <c r="C268" s="1"/>
      <c r="D268" s="1"/>
      <c r="E268" s="2"/>
      <c r="F268" s="2"/>
      <c r="G268" s="2"/>
      <c r="H268" s="2"/>
      <c r="I268" s="2"/>
      <c r="J268" s="2"/>
      <c r="K268" s="2"/>
      <c r="L268" s="2"/>
      <c r="M268" s="2"/>
      <c r="N268" s="2"/>
      <c r="O268" s="49"/>
      <c r="P268" s="263"/>
      <c r="Q268" s="263"/>
      <c r="R268" s="263"/>
      <c r="S268" s="1"/>
      <c r="T268" s="1"/>
      <c r="U268" s="1"/>
      <c r="V268" s="1"/>
      <c r="W268" s="1"/>
      <c r="AA268" s="1"/>
    </row>
    <row r="269" ht="12.75" customHeight="1">
      <c r="C269" s="1"/>
      <c r="D269" s="1"/>
      <c r="E269" s="2"/>
      <c r="F269" s="2"/>
      <c r="G269" s="2"/>
      <c r="H269" s="2"/>
      <c r="I269" s="2"/>
      <c r="J269" s="2"/>
      <c r="K269" s="2"/>
      <c r="L269" s="2"/>
      <c r="M269" s="2"/>
      <c r="N269" s="2"/>
      <c r="O269" s="49"/>
      <c r="P269" s="263"/>
      <c r="Q269" s="263"/>
      <c r="R269" s="263"/>
      <c r="S269" s="1"/>
      <c r="T269" s="1"/>
      <c r="U269" s="1"/>
      <c r="V269" s="1"/>
      <c r="W269" s="1"/>
      <c r="AA269" s="1"/>
    </row>
    <row r="270" ht="12.75" customHeight="1">
      <c r="C270" s="1"/>
      <c r="D270" s="1"/>
      <c r="E270" s="2"/>
      <c r="F270" s="2"/>
      <c r="G270" s="2"/>
      <c r="H270" s="2"/>
      <c r="I270" s="2"/>
      <c r="J270" s="2"/>
      <c r="K270" s="2"/>
      <c r="L270" s="2"/>
      <c r="M270" s="2"/>
      <c r="N270" s="2"/>
      <c r="O270" s="49"/>
      <c r="P270" s="263"/>
      <c r="Q270" s="263"/>
      <c r="R270" s="263"/>
      <c r="S270" s="1"/>
      <c r="T270" s="1"/>
      <c r="U270" s="1"/>
      <c r="V270" s="1"/>
      <c r="W270" s="1"/>
      <c r="AA270" s="1"/>
    </row>
    <row r="271" ht="12.75" customHeight="1">
      <c r="C271" s="1"/>
      <c r="D271" s="1"/>
      <c r="E271" s="2"/>
      <c r="F271" s="2"/>
      <c r="G271" s="2"/>
      <c r="H271" s="2"/>
      <c r="I271" s="2"/>
      <c r="J271" s="2"/>
      <c r="K271" s="2"/>
      <c r="L271" s="2"/>
      <c r="M271" s="2"/>
      <c r="N271" s="2"/>
      <c r="O271" s="49"/>
      <c r="P271" s="263"/>
      <c r="Q271" s="263"/>
      <c r="R271" s="263"/>
      <c r="S271" s="1"/>
      <c r="T271" s="1"/>
      <c r="U271" s="1"/>
      <c r="V271" s="1"/>
      <c r="W271" s="1"/>
      <c r="AA271" s="1"/>
    </row>
    <row r="272" ht="12.75" customHeight="1">
      <c r="C272" s="1"/>
      <c r="D272" s="1"/>
      <c r="E272" s="2"/>
      <c r="F272" s="2"/>
      <c r="G272" s="2"/>
      <c r="H272" s="2"/>
      <c r="I272" s="2"/>
      <c r="J272" s="2"/>
      <c r="K272" s="2"/>
      <c r="L272" s="2"/>
      <c r="M272" s="2"/>
      <c r="N272" s="2"/>
      <c r="O272" s="49"/>
      <c r="P272" s="263"/>
      <c r="Q272" s="263"/>
      <c r="R272" s="263"/>
      <c r="S272" s="1"/>
      <c r="T272" s="1"/>
      <c r="U272" s="1"/>
      <c r="V272" s="1"/>
      <c r="W272" s="1"/>
      <c r="AA272" s="1"/>
    </row>
    <row r="273" ht="12.75" customHeight="1">
      <c r="C273" s="1"/>
      <c r="D273" s="1"/>
      <c r="E273" s="2"/>
      <c r="F273" s="2"/>
      <c r="G273" s="2"/>
      <c r="H273" s="2"/>
      <c r="I273" s="2"/>
      <c r="J273" s="2"/>
      <c r="K273" s="2"/>
      <c r="L273" s="2"/>
      <c r="M273" s="2"/>
      <c r="N273" s="2"/>
      <c r="O273" s="49"/>
      <c r="P273" s="263"/>
      <c r="Q273" s="263"/>
      <c r="R273" s="263"/>
      <c r="S273" s="1"/>
      <c r="T273" s="1"/>
      <c r="U273" s="1"/>
      <c r="V273" s="1"/>
      <c r="W273" s="1"/>
      <c r="AA273" s="1"/>
    </row>
    <row r="274" ht="12.75" customHeight="1">
      <c r="C274" s="1"/>
      <c r="D274" s="1"/>
      <c r="E274" s="2"/>
      <c r="F274" s="2"/>
      <c r="G274" s="2"/>
      <c r="H274" s="2"/>
      <c r="I274" s="2"/>
      <c r="J274" s="2"/>
      <c r="K274" s="2"/>
      <c r="L274" s="2"/>
      <c r="M274" s="2"/>
      <c r="N274" s="2"/>
      <c r="O274" s="49"/>
      <c r="P274" s="263"/>
      <c r="Q274" s="263"/>
      <c r="R274" s="263"/>
      <c r="S274" s="1"/>
      <c r="T274" s="1"/>
      <c r="U274" s="1"/>
      <c r="V274" s="1"/>
      <c r="W274" s="1"/>
      <c r="AA274" s="1"/>
    </row>
    <row r="275" ht="12.75" customHeight="1">
      <c r="C275" s="1"/>
      <c r="D275" s="1"/>
      <c r="E275" s="2"/>
      <c r="F275" s="2"/>
      <c r="G275" s="2"/>
      <c r="H275" s="2"/>
      <c r="I275" s="2"/>
      <c r="J275" s="2"/>
      <c r="K275" s="2"/>
      <c r="L275" s="2"/>
      <c r="M275" s="2"/>
      <c r="N275" s="2"/>
      <c r="O275" s="49"/>
      <c r="P275" s="263"/>
      <c r="Q275" s="263"/>
      <c r="R275" s="263"/>
      <c r="S275" s="1"/>
      <c r="T275" s="1"/>
      <c r="U275" s="1"/>
      <c r="V275" s="1"/>
      <c r="W275" s="1"/>
      <c r="AA275" s="1"/>
    </row>
    <row r="276" ht="12.75" customHeight="1">
      <c r="C276" s="1"/>
      <c r="D276" s="1"/>
      <c r="E276" s="2"/>
      <c r="F276" s="2"/>
      <c r="G276" s="2"/>
      <c r="H276" s="2"/>
      <c r="I276" s="2"/>
      <c r="J276" s="2"/>
      <c r="K276" s="2"/>
      <c r="L276" s="2"/>
      <c r="M276" s="2"/>
      <c r="N276" s="2"/>
      <c r="O276" s="49"/>
      <c r="P276" s="263"/>
      <c r="Q276" s="263"/>
      <c r="R276" s="263"/>
      <c r="S276" s="1"/>
      <c r="T276" s="1"/>
      <c r="U276" s="1"/>
      <c r="V276" s="1"/>
      <c r="W276" s="1"/>
      <c r="AA276" s="1"/>
    </row>
    <row r="277" ht="12.75" customHeight="1">
      <c r="C277" s="1"/>
      <c r="D277" s="1"/>
      <c r="E277" s="2"/>
      <c r="F277" s="2"/>
      <c r="G277" s="2"/>
      <c r="H277" s="2"/>
      <c r="I277" s="2"/>
      <c r="J277" s="2"/>
      <c r="K277" s="2"/>
      <c r="L277" s="2"/>
      <c r="M277" s="2"/>
      <c r="N277" s="2"/>
      <c r="O277" s="49"/>
      <c r="P277" s="263"/>
      <c r="Q277" s="263"/>
      <c r="R277" s="263"/>
      <c r="S277" s="1"/>
      <c r="T277" s="1"/>
      <c r="U277" s="1"/>
      <c r="V277" s="1"/>
      <c r="W277" s="1"/>
      <c r="AA277" s="1"/>
    </row>
    <row r="278" ht="12.75" customHeight="1">
      <c r="C278" s="1"/>
      <c r="D278" s="1"/>
      <c r="E278" s="2"/>
      <c r="F278" s="2"/>
      <c r="G278" s="2"/>
      <c r="H278" s="2"/>
      <c r="I278" s="2"/>
      <c r="J278" s="2"/>
      <c r="K278" s="2"/>
      <c r="L278" s="2"/>
      <c r="M278" s="2"/>
      <c r="N278" s="2"/>
      <c r="O278" s="49"/>
      <c r="P278" s="263"/>
      <c r="Q278" s="263"/>
      <c r="R278" s="263"/>
      <c r="S278" s="1"/>
      <c r="T278" s="1"/>
      <c r="U278" s="1"/>
      <c r="V278" s="1"/>
      <c r="W278" s="1"/>
      <c r="AA278" s="1"/>
    </row>
    <row r="279" ht="12.75" customHeight="1">
      <c r="C279" s="1"/>
      <c r="D279" s="1"/>
      <c r="E279" s="2"/>
      <c r="F279" s="2"/>
      <c r="G279" s="2"/>
      <c r="H279" s="2"/>
      <c r="I279" s="2"/>
      <c r="J279" s="2"/>
      <c r="K279" s="2"/>
      <c r="L279" s="2"/>
      <c r="M279" s="2"/>
      <c r="N279" s="2"/>
      <c r="O279" s="49"/>
      <c r="P279" s="263"/>
      <c r="Q279" s="263"/>
      <c r="R279" s="263"/>
      <c r="S279" s="1"/>
      <c r="T279" s="1"/>
      <c r="U279" s="1"/>
      <c r="V279" s="1"/>
      <c r="W279" s="1"/>
      <c r="AA279" s="1"/>
    </row>
    <row r="280" ht="12.75" customHeight="1">
      <c r="C280" s="1"/>
      <c r="D280" s="1"/>
      <c r="E280" s="2"/>
      <c r="F280" s="2"/>
      <c r="G280" s="2"/>
      <c r="H280" s="2"/>
      <c r="I280" s="2"/>
      <c r="J280" s="2"/>
      <c r="K280" s="2"/>
      <c r="L280" s="2"/>
      <c r="M280" s="2"/>
      <c r="N280" s="2"/>
      <c r="O280" s="49"/>
      <c r="P280" s="263"/>
      <c r="Q280" s="263"/>
      <c r="R280" s="263"/>
      <c r="S280" s="1"/>
      <c r="T280" s="1"/>
      <c r="U280" s="1"/>
      <c r="V280" s="1"/>
      <c r="W280" s="1"/>
      <c r="AA280" s="1"/>
    </row>
    <row r="281" ht="12.75" customHeight="1">
      <c r="C281" s="1"/>
      <c r="D281" s="1"/>
      <c r="E281" s="2"/>
      <c r="F281" s="2"/>
      <c r="G281" s="2"/>
      <c r="H281" s="2"/>
      <c r="I281" s="2"/>
      <c r="J281" s="2"/>
      <c r="K281" s="2"/>
      <c r="L281" s="2"/>
      <c r="M281" s="2"/>
      <c r="N281" s="2"/>
      <c r="O281" s="49"/>
      <c r="P281" s="263"/>
      <c r="Q281" s="263"/>
      <c r="R281" s="263"/>
      <c r="S281" s="1"/>
      <c r="T281" s="1"/>
      <c r="U281" s="1"/>
      <c r="V281" s="1"/>
      <c r="W281" s="1"/>
      <c r="AA281" s="1"/>
    </row>
    <row r="282" ht="12.75" customHeight="1">
      <c r="C282" s="1"/>
      <c r="D282" s="1"/>
      <c r="E282" s="2"/>
      <c r="F282" s="2"/>
      <c r="G282" s="2"/>
      <c r="H282" s="2"/>
      <c r="I282" s="2"/>
      <c r="J282" s="2"/>
      <c r="K282" s="2"/>
      <c r="L282" s="2"/>
      <c r="M282" s="2"/>
      <c r="N282" s="2"/>
      <c r="O282" s="49"/>
      <c r="P282" s="263"/>
      <c r="Q282" s="263"/>
      <c r="R282" s="263"/>
      <c r="S282" s="1"/>
      <c r="T282" s="1"/>
      <c r="U282" s="1"/>
      <c r="V282" s="1"/>
      <c r="W282" s="1"/>
      <c r="AA282" s="1"/>
    </row>
    <row r="283" ht="12.75" customHeight="1">
      <c r="C283" s="1"/>
      <c r="D283" s="1"/>
      <c r="E283" s="2"/>
      <c r="F283" s="2"/>
      <c r="G283" s="2"/>
      <c r="H283" s="2"/>
      <c r="I283" s="2"/>
      <c r="J283" s="2"/>
      <c r="K283" s="2"/>
      <c r="L283" s="2"/>
      <c r="M283" s="2"/>
      <c r="N283" s="2"/>
      <c r="O283" s="49"/>
      <c r="P283" s="263"/>
      <c r="Q283" s="263"/>
      <c r="R283" s="263"/>
      <c r="S283" s="1"/>
      <c r="T283" s="1"/>
      <c r="U283" s="1"/>
      <c r="V283" s="1"/>
      <c r="W283" s="1"/>
      <c r="AA283" s="1"/>
    </row>
    <row r="284" ht="12.75" customHeight="1">
      <c r="C284" s="1"/>
      <c r="D284" s="1"/>
      <c r="E284" s="2"/>
      <c r="F284" s="2"/>
      <c r="G284" s="2"/>
      <c r="H284" s="2"/>
      <c r="I284" s="2"/>
      <c r="J284" s="2"/>
      <c r="K284" s="2"/>
      <c r="L284" s="2"/>
      <c r="M284" s="2"/>
      <c r="N284" s="2"/>
      <c r="O284" s="49"/>
      <c r="P284" s="263"/>
      <c r="Q284" s="263"/>
      <c r="R284" s="263"/>
      <c r="S284" s="1"/>
      <c r="T284" s="1"/>
      <c r="U284" s="1"/>
      <c r="V284" s="1"/>
      <c r="W284" s="1"/>
      <c r="AA284" s="1"/>
    </row>
    <row r="285" ht="12.75" customHeight="1">
      <c r="C285" s="1"/>
      <c r="D285" s="1"/>
      <c r="E285" s="2"/>
      <c r="F285" s="2"/>
      <c r="G285" s="2"/>
      <c r="H285" s="2"/>
      <c r="I285" s="2"/>
      <c r="J285" s="2"/>
      <c r="K285" s="2"/>
      <c r="L285" s="2"/>
      <c r="M285" s="2"/>
      <c r="N285" s="2"/>
      <c r="O285" s="49"/>
      <c r="P285" s="263"/>
      <c r="Q285" s="263"/>
      <c r="R285" s="263"/>
      <c r="S285" s="1"/>
      <c r="T285" s="1"/>
      <c r="U285" s="1"/>
      <c r="V285" s="1"/>
      <c r="W285" s="1"/>
      <c r="AA285" s="1"/>
    </row>
    <row r="286" ht="12.75" customHeight="1">
      <c r="C286" s="1"/>
      <c r="D286" s="1"/>
      <c r="E286" s="2"/>
      <c r="F286" s="2"/>
      <c r="G286" s="2"/>
      <c r="H286" s="2"/>
      <c r="I286" s="2"/>
      <c r="J286" s="2"/>
      <c r="K286" s="2"/>
      <c r="L286" s="2"/>
      <c r="M286" s="2"/>
      <c r="N286" s="2"/>
      <c r="O286" s="49"/>
      <c r="P286" s="263"/>
      <c r="Q286" s="263"/>
      <c r="R286" s="263"/>
      <c r="S286" s="1"/>
      <c r="T286" s="1"/>
      <c r="U286" s="1"/>
      <c r="V286" s="1"/>
      <c r="W286" s="1"/>
      <c r="AA286" s="1"/>
    </row>
    <row r="287" ht="12.75" customHeight="1">
      <c r="C287" s="1"/>
      <c r="D287" s="1"/>
      <c r="E287" s="2"/>
      <c r="F287" s="2"/>
      <c r="G287" s="2"/>
      <c r="H287" s="2"/>
      <c r="I287" s="2"/>
      <c r="J287" s="2"/>
      <c r="K287" s="2"/>
      <c r="L287" s="2"/>
      <c r="M287" s="2"/>
      <c r="N287" s="2"/>
      <c r="O287" s="49"/>
      <c r="P287" s="263"/>
      <c r="Q287" s="263"/>
      <c r="R287" s="263"/>
      <c r="S287" s="1"/>
      <c r="T287" s="1"/>
      <c r="U287" s="1"/>
      <c r="V287" s="1"/>
      <c r="W287" s="1"/>
      <c r="AA287" s="1"/>
    </row>
    <row r="288" ht="12.75" customHeight="1">
      <c r="C288" s="1"/>
      <c r="D288" s="1"/>
      <c r="E288" s="2"/>
      <c r="F288" s="2"/>
      <c r="G288" s="2"/>
      <c r="H288" s="2"/>
      <c r="I288" s="2"/>
      <c r="J288" s="2"/>
      <c r="K288" s="2"/>
      <c r="L288" s="2"/>
      <c r="M288" s="2"/>
      <c r="N288" s="2"/>
      <c r="O288" s="49"/>
      <c r="P288" s="263"/>
      <c r="Q288" s="263"/>
      <c r="R288" s="263"/>
      <c r="S288" s="1"/>
      <c r="T288" s="1"/>
      <c r="U288" s="1"/>
      <c r="V288" s="1"/>
      <c r="W288" s="1"/>
      <c r="AA288" s="1"/>
    </row>
    <row r="289" ht="12.75" customHeight="1">
      <c r="C289" s="1"/>
      <c r="D289" s="1"/>
      <c r="E289" s="2"/>
      <c r="F289" s="2"/>
      <c r="G289" s="2"/>
      <c r="H289" s="2"/>
      <c r="I289" s="2"/>
      <c r="J289" s="2"/>
      <c r="K289" s="2"/>
      <c r="L289" s="2"/>
      <c r="M289" s="2"/>
      <c r="N289" s="2"/>
      <c r="O289" s="49"/>
      <c r="P289" s="263"/>
      <c r="Q289" s="263"/>
      <c r="R289" s="263"/>
      <c r="S289" s="1"/>
      <c r="T289" s="1"/>
      <c r="U289" s="1"/>
      <c r="V289" s="1"/>
      <c r="W289" s="1"/>
      <c r="AA289" s="1"/>
    </row>
    <row r="290" ht="12.75" customHeight="1">
      <c r="C290" s="1"/>
      <c r="D290" s="1"/>
      <c r="E290" s="2"/>
      <c r="F290" s="2"/>
      <c r="G290" s="2"/>
      <c r="H290" s="2"/>
      <c r="I290" s="2"/>
      <c r="J290" s="2"/>
      <c r="K290" s="2"/>
      <c r="L290" s="2"/>
      <c r="M290" s="2"/>
      <c r="N290" s="2"/>
      <c r="O290" s="49"/>
      <c r="P290" s="263"/>
      <c r="Q290" s="263"/>
      <c r="R290" s="263"/>
      <c r="S290" s="1"/>
      <c r="T290" s="1"/>
      <c r="U290" s="1"/>
      <c r="V290" s="1"/>
      <c r="W290" s="1"/>
      <c r="AA290" s="1"/>
    </row>
    <row r="291" ht="12.75" customHeight="1">
      <c r="C291" s="1"/>
      <c r="D291" s="1"/>
      <c r="E291" s="2"/>
      <c r="F291" s="2"/>
      <c r="G291" s="2"/>
      <c r="H291" s="2"/>
      <c r="I291" s="2"/>
      <c r="J291" s="2"/>
      <c r="K291" s="2"/>
      <c r="L291" s="2"/>
      <c r="M291" s="2"/>
      <c r="N291" s="2"/>
      <c r="O291" s="49"/>
      <c r="P291" s="263"/>
      <c r="Q291" s="263"/>
      <c r="R291" s="263"/>
      <c r="S291" s="1"/>
      <c r="T291" s="1"/>
      <c r="U291" s="1"/>
      <c r="V291" s="1"/>
      <c r="W291" s="1"/>
      <c r="AA291" s="1"/>
    </row>
    <row r="292" ht="12.75" customHeight="1">
      <c r="C292" s="1"/>
      <c r="D292" s="1"/>
      <c r="E292" s="2"/>
      <c r="F292" s="2"/>
      <c r="G292" s="2"/>
      <c r="H292" s="2"/>
      <c r="I292" s="2"/>
      <c r="J292" s="2"/>
      <c r="K292" s="2"/>
      <c r="L292" s="2"/>
      <c r="M292" s="2"/>
      <c r="N292" s="2"/>
      <c r="O292" s="49"/>
      <c r="P292" s="263"/>
      <c r="Q292" s="263"/>
      <c r="R292" s="263"/>
      <c r="S292" s="1"/>
      <c r="T292" s="1"/>
      <c r="U292" s="1"/>
      <c r="V292" s="1"/>
      <c r="W292" s="1"/>
      <c r="AA292" s="1"/>
    </row>
    <row r="293" ht="12.75" customHeight="1">
      <c r="C293" s="1"/>
      <c r="D293" s="1"/>
      <c r="E293" s="2"/>
      <c r="F293" s="2"/>
      <c r="G293" s="2"/>
      <c r="H293" s="2"/>
      <c r="I293" s="2"/>
      <c r="J293" s="2"/>
      <c r="K293" s="2"/>
      <c r="L293" s="2"/>
      <c r="M293" s="2"/>
      <c r="N293" s="2"/>
      <c r="O293" s="49"/>
      <c r="P293" s="263"/>
      <c r="Q293" s="263"/>
      <c r="R293" s="263"/>
      <c r="S293" s="1"/>
      <c r="T293" s="1"/>
      <c r="U293" s="1"/>
      <c r="V293" s="1"/>
      <c r="W293" s="1"/>
      <c r="AA293" s="1"/>
    </row>
    <row r="294" ht="12.75" customHeight="1">
      <c r="C294" s="1"/>
      <c r="D294" s="1"/>
      <c r="E294" s="2"/>
      <c r="F294" s="2"/>
      <c r="G294" s="2"/>
      <c r="H294" s="2"/>
      <c r="I294" s="2"/>
      <c r="J294" s="2"/>
      <c r="K294" s="2"/>
      <c r="L294" s="2"/>
      <c r="M294" s="2"/>
      <c r="N294" s="2"/>
      <c r="O294" s="49"/>
      <c r="P294" s="263"/>
      <c r="Q294" s="263"/>
      <c r="R294" s="263"/>
      <c r="S294" s="1"/>
      <c r="T294" s="1"/>
      <c r="U294" s="1"/>
      <c r="V294" s="1"/>
      <c r="W294" s="1"/>
      <c r="AA294" s="1"/>
    </row>
    <row r="295" ht="12.75" customHeight="1">
      <c r="C295" s="1"/>
      <c r="D295" s="1"/>
      <c r="E295" s="2"/>
      <c r="F295" s="2"/>
      <c r="G295" s="2"/>
      <c r="H295" s="2"/>
      <c r="I295" s="2"/>
      <c r="J295" s="2"/>
      <c r="K295" s="2"/>
      <c r="L295" s="2"/>
      <c r="M295" s="2"/>
      <c r="N295" s="2"/>
      <c r="O295" s="49"/>
      <c r="P295" s="263"/>
      <c r="Q295" s="263"/>
      <c r="R295" s="263"/>
      <c r="S295" s="1"/>
      <c r="T295" s="1"/>
      <c r="U295" s="1"/>
      <c r="V295" s="1"/>
      <c r="W295" s="1"/>
      <c r="AA295" s="1"/>
    </row>
    <row r="296" ht="12.75" customHeight="1">
      <c r="C296" s="1"/>
      <c r="D296" s="1"/>
      <c r="E296" s="2"/>
      <c r="F296" s="2"/>
      <c r="G296" s="2"/>
      <c r="H296" s="2"/>
      <c r="I296" s="2"/>
      <c r="J296" s="2"/>
      <c r="K296" s="2"/>
      <c r="L296" s="2"/>
      <c r="M296" s="2"/>
      <c r="N296" s="2"/>
      <c r="O296" s="49"/>
      <c r="P296" s="263"/>
      <c r="Q296" s="263"/>
      <c r="R296" s="263"/>
      <c r="S296" s="1"/>
      <c r="T296" s="1"/>
      <c r="U296" s="1"/>
      <c r="V296" s="1"/>
      <c r="W296" s="1"/>
      <c r="AA296" s="1"/>
    </row>
    <row r="297" ht="12.75" customHeight="1">
      <c r="C297" s="1"/>
      <c r="D297" s="1"/>
      <c r="E297" s="2"/>
      <c r="F297" s="2"/>
      <c r="G297" s="2"/>
      <c r="H297" s="2"/>
      <c r="I297" s="2"/>
      <c r="J297" s="2"/>
      <c r="K297" s="2"/>
      <c r="L297" s="2"/>
      <c r="M297" s="2"/>
      <c r="N297" s="2"/>
      <c r="O297" s="49"/>
      <c r="P297" s="263"/>
      <c r="Q297" s="263"/>
      <c r="R297" s="263"/>
      <c r="S297" s="1"/>
      <c r="T297" s="1"/>
      <c r="U297" s="1"/>
      <c r="V297" s="1"/>
      <c r="W297" s="1"/>
      <c r="AA297" s="1"/>
    </row>
    <row r="298" ht="12.75" customHeight="1">
      <c r="C298" s="1"/>
      <c r="D298" s="1"/>
      <c r="E298" s="2"/>
      <c r="F298" s="2"/>
      <c r="G298" s="2"/>
      <c r="H298" s="2"/>
      <c r="I298" s="2"/>
      <c r="J298" s="2"/>
      <c r="K298" s="2"/>
      <c r="L298" s="2"/>
      <c r="M298" s="2"/>
      <c r="N298" s="2"/>
      <c r="O298" s="49"/>
      <c r="P298" s="263"/>
      <c r="Q298" s="263"/>
      <c r="R298" s="263"/>
      <c r="S298" s="1"/>
      <c r="T298" s="1"/>
      <c r="U298" s="1"/>
      <c r="V298" s="1"/>
      <c r="W298" s="1"/>
      <c r="AA298" s="1"/>
    </row>
    <row r="299" ht="12.75" customHeight="1">
      <c r="C299" s="1"/>
      <c r="D299" s="1"/>
      <c r="E299" s="2"/>
      <c r="F299" s="2"/>
      <c r="G299" s="2"/>
      <c r="H299" s="2"/>
      <c r="I299" s="2"/>
      <c r="J299" s="2"/>
      <c r="K299" s="2"/>
      <c r="L299" s="2"/>
      <c r="M299" s="2"/>
      <c r="N299" s="2"/>
      <c r="O299" s="49"/>
      <c r="P299" s="263"/>
      <c r="Q299" s="263"/>
      <c r="R299" s="263"/>
      <c r="S299" s="1"/>
      <c r="T299" s="1"/>
      <c r="U299" s="1"/>
      <c r="V299" s="1"/>
      <c r="W299" s="1"/>
      <c r="AA299" s="1"/>
    </row>
    <row r="300" ht="12.75" customHeight="1">
      <c r="C300" s="1"/>
      <c r="D300" s="1"/>
      <c r="E300" s="2"/>
      <c r="F300" s="2"/>
      <c r="G300" s="2"/>
      <c r="H300" s="2"/>
      <c r="I300" s="2"/>
      <c r="J300" s="2"/>
      <c r="K300" s="2"/>
      <c r="L300" s="2"/>
      <c r="M300" s="2"/>
      <c r="N300" s="2"/>
      <c r="O300" s="49"/>
      <c r="P300" s="263"/>
      <c r="Q300" s="263"/>
      <c r="R300" s="263"/>
      <c r="S300" s="1"/>
      <c r="T300" s="1"/>
      <c r="U300" s="1"/>
      <c r="V300" s="1"/>
      <c r="W300" s="1"/>
      <c r="AA300" s="1"/>
    </row>
    <row r="301" ht="12.75" customHeight="1">
      <c r="C301" s="1"/>
      <c r="D301" s="1"/>
      <c r="E301" s="2"/>
      <c r="F301" s="2"/>
      <c r="G301" s="2"/>
      <c r="H301" s="2"/>
      <c r="I301" s="2"/>
      <c r="J301" s="2"/>
      <c r="K301" s="2"/>
      <c r="L301" s="2"/>
      <c r="M301" s="2"/>
      <c r="N301" s="2"/>
      <c r="O301" s="49"/>
      <c r="P301" s="263"/>
      <c r="Q301" s="263"/>
      <c r="R301" s="263"/>
      <c r="S301" s="1"/>
      <c r="T301" s="1"/>
      <c r="U301" s="1"/>
      <c r="V301" s="1"/>
      <c r="W301" s="1"/>
      <c r="AA301" s="1"/>
    </row>
    <row r="302" ht="12.75" customHeight="1">
      <c r="C302" s="1"/>
      <c r="D302" s="1"/>
      <c r="E302" s="2"/>
      <c r="F302" s="2"/>
      <c r="G302" s="2"/>
      <c r="H302" s="2"/>
      <c r="I302" s="2"/>
      <c r="J302" s="2"/>
      <c r="K302" s="2"/>
      <c r="L302" s="2"/>
      <c r="M302" s="2"/>
      <c r="N302" s="2"/>
      <c r="O302" s="49"/>
      <c r="P302" s="263"/>
      <c r="Q302" s="263"/>
      <c r="R302" s="263"/>
      <c r="S302" s="1"/>
      <c r="T302" s="1"/>
      <c r="U302" s="1"/>
      <c r="V302" s="1"/>
      <c r="W302" s="1"/>
      <c r="AA302" s="1"/>
    </row>
    <row r="303" ht="12.75" customHeight="1">
      <c r="C303" s="1"/>
      <c r="D303" s="1"/>
      <c r="E303" s="2"/>
      <c r="F303" s="2"/>
      <c r="G303" s="2"/>
      <c r="H303" s="2"/>
      <c r="I303" s="2"/>
      <c r="J303" s="2"/>
      <c r="K303" s="2"/>
      <c r="L303" s="2"/>
      <c r="M303" s="2"/>
      <c r="N303" s="2"/>
      <c r="O303" s="49"/>
      <c r="P303" s="263"/>
      <c r="Q303" s="263"/>
      <c r="R303" s="263"/>
      <c r="S303" s="1"/>
      <c r="T303" s="1"/>
      <c r="U303" s="1"/>
      <c r="V303" s="1"/>
      <c r="W303" s="1"/>
      <c r="AA303" s="1"/>
    </row>
    <row r="304" ht="12.75" customHeight="1">
      <c r="C304" s="1"/>
      <c r="D304" s="1"/>
      <c r="E304" s="2"/>
      <c r="F304" s="2"/>
      <c r="G304" s="2"/>
      <c r="H304" s="2"/>
      <c r="I304" s="2"/>
      <c r="J304" s="2"/>
      <c r="K304" s="2"/>
      <c r="L304" s="2"/>
      <c r="M304" s="2"/>
      <c r="N304" s="2"/>
      <c r="O304" s="49"/>
      <c r="P304" s="263"/>
      <c r="Q304" s="263"/>
      <c r="R304" s="263"/>
      <c r="S304" s="1"/>
      <c r="T304" s="1"/>
      <c r="U304" s="1"/>
      <c r="V304" s="1"/>
      <c r="W304" s="1"/>
      <c r="AA304" s="1"/>
    </row>
    <row r="305" ht="12.75" customHeight="1">
      <c r="C305" s="1"/>
      <c r="D305" s="1"/>
      <c r="E305" s="2"/>
      <c r="F305" s="2"/>
      <c r="G305" s="2"/>
      <c r="H305" s="2"/>
      <c r="I305" s="2"/>
      <c r="J305" s="2"/>
      <c r="K305" s="2"/>
      <c r="L305" s="2"/>
      <c r="M305" s="2"/>
      <c r="N305" s="2"/>
      <c r="O305" s="49"/>
      <c r="P305" s="263"/>
      <c r="Q305" s="263"/>
      <c r="R305" s="263"/>
      <c r="S305" s="1"/>
      <c r="T305" s="1"/>
      <c r="U305" s="1"/>
      <c r="V305" s="1"/>
      <c r="W305" s="1"/>
      <c r="AA305" s="1"/>
    </row>
    <row r="306" ht="12.75" customHeight="1">
      <c r="C306" s="1"/>
      <c r="D306" s="1"/>
      <c r="E306" s="2"/>
      <c r="F306" s="2"/>
      <c r="G306" s="2"/>
      <c r="H306" s="2"/>
      <c r="I306" s="2"/>
      <c r="J306" s="2"/>
      <c r="K306" s="2"/>
      <c r="L306" s="2"/>
      <c r="M306" s="2"/>
      <c r="N306" s="2"/>
      <c r="O306" s="49"/>
      <c r="P306" s="263"/>
      <c r="Q306" s="263"/>
      <c r="R306" s="263"/>
      <c r="S306" s="1"/>
      <c r="T306" s="1"/>
      <c r="U306" s="1"/>
      <c r="V306" s="1"/>
      <c r="W306" s="1"/>
      <c r="AA306" s="1"/>
    </row>
    <row r="307" ht="12.75" customHeight="1">
      <c r="C307" s="1"/>
      <c r="D307" s="1"/>
      <c r="E307" s="2"/>
      <c r="F307" s="2"/>
      <c r="G307" s="2"/>
      <c r="H307" s="2"/>
      <c r="I307" s="2"/>
      <c r="J307" s="2"/>
      <c r="K307" s="2"/>
      <c r="L307" s="2"/>
      <c r="M307" s="2"/>
      <c r="N307" s="2"/>
      <c r="O307" s="49"/>
      <c r="P307" s="263"/>
      <c r="Q307" s="263"/>
      <c r="R307" s="263"/>
      <c r="S307" s="1"/>
      <c r="T307" s="1"/>
      <c r="U307" s="1"/>
      <c r="V307" s="1"/>
      <c r="W307" s="1"/>
      <c r="AA307" s="1"/>
    </row>
    <row r="308" ht="12.75" customHeight="1">
      <c r="C308" s="1"/>
      <c r="D308" s="1"/>
      <c r="E308" s="2"/>
      <c r="F308" s="2"/>
      <c r="G308" s="2"/>
      <c r="H308" s="2"/>
      <c r="I308" s="2"/>
      <c r="J308" s="2"/>
      <c r="K308" s="2"/>
      <c r="L308" s="2"/>
      <c r="M308" s="2"/>
      <c r="N308" s="2"/>
      <c r="O308" s="49"/>
      <c r="P308" s="263"/>
      <c r="Q308" s="263"/>
      <c r="R308" s="263"/>
      <c r="S308" s="1"/>
      <c r="T308" s="1"/>
      <c r="U308" s="1"/>
      <c r="V308" s="1"/>
      <c r="W308" s="1"/>
      <c r="AA308" s="1"/>
    </row>
    <row r="309" ht="12.75" customHeight="1">
      <c r="C309" s="1"/>
      <c r="D309" s="1"/>
      <c r="E309" s="2"/>
      <c r="F309" s="2"/>
      <c r="G309" s="2"/>
      <c r="H309" s="2"/>
      <c r="I309" s="2"/>
      <c r="J309" s="2"/>
      <c r="K309" s="2"/>
      <c r="L309" s="2"/>
      <c r="M309" s="2"/>
      <c r="N309" s="2"/>
      <c r="O309" s="49"/>
      <c r="P309" s="263"/>
      <c r="Q309" s="263"/>
      <c r="R309" s="263"/>
      <c r="S309" s="1"/>
      <c r="T309" s="1"/>
      <c r="U309" s="1"/>
      <c r="V309" s="1"/>
      <c r="W309" s="1"/>
      <c r="AA309" s="1"/>
    </row>
    <row r="310" ht="12.75" customHeight="1">
      <c r="C310" s="1"/>
      <c r="D310" s="1"/>
      <c r="E310" s="2"/>
      <c r="F310" s="2"/>
      <c r="G310" s="2"/>
      <c r="H310" s="2"/>
      <c r="I310" s="2"/>
      <c r="J310" s="2"/>
      <c r="K310" s="2"/>
      <c r="L310" s="2"/>
      <c r="M310" s="2"/>
      <c r="N310" s="2"/>
      <c r="O310" s="49"/>
      <c r="P310" s="263"/>
      <c r="Q310" s="263"/>
      <c r="R310" s="263"/>
      <c r="S310" s="1"/>
      <c r="T310" s="1"/>
      <c r="U310" s="1"/>
      <c r="V310" s="1"/>
      <c r="W310" s="1"/>
      <c r="AA310" s="1"/>
    </row>
    <row r="311" ht="12.75" customHeight="1">
      <c r="C311" s="1"/>
      <c r="D311" s="1"/>
      <c r="E311" s="2"/>
      <c r="F311" s="2"/>
      <c r="G311" s="2"/>
      <c r="H311" s="2"/>
      <c r="I311" s="2"/>
      <c r="J311" s="2"/>
      <c r="K311" s="2"/>
      <c r="L311" s="2"/>
      <c r="M311" s="2"/>
      <c r="N311" s="2"/>
      <c r="O311" s="49"/>
      <c r="P311" s="263"/>
      <c r="Q311" s="263"/>
      <c r="R311" s="263"/>
      <c r="S311" s="1"/>
      <c r="T311" s="1"/>
      <c r="U311" s="1"/>
      <c r="V311" s="1"/>
      <c r="W311" s="1"/>
      <c r="AA311" s="1"/>
    </row>
    <row r="312" ht="12.75" customHeight="1">
      <c r="C312" s="1"/>
      <c r="D312" s="1"/>
      <c r="E312" s="2"/>
      <c r="F312" s="2"/>
      <c r="G312" s="2"/>
      <c r="H312" s="2"/>
      <c r="I312" s="2"/>
      <c r="J312" s="2"/>
      <c r="K312" s="2"/>
      <c r="L312" s="2"/>
      <c r="M312" s="2"/>
      <c r="N312" s="2"/>
      <c r="O312" s="49"/>
      <c r="P312" s="263"/>
      <c r="Q312" s="263"/>
      <c r="R312" s="263"/>
      <c r="S312" s="1"/>
      <c r="T312" s="1"/>
      <c r="U312" s="1"/>
      <c r="V312" s="1"/>
      <c r="W312" s="1"/>
      <c r="AA312" s="1"/>
    </row>
    <row r="313" ht="12.75" customHeight="1">
      <c r="C313" s="1"/>
      <c r="D313" s="1"/>
      <c r="E313" s="2"/>
      <c r="F313" s="2"/>
      <c r="G313" s="2"/>
      <c r="H313" s="2"/>
      <c r="I313" s="2"/>
      <c r="J313" s="2"/>
      <c r="K313" s="2"/>
      <c r="L313" s="2"/>
      <c r="M313" s="2"/>
      <c r="N313" s="2"/>
      <c r="O313" s="49"/>
      <c r="P313" s="263"/>
      <c r="Q313" s="263"/>
      <c r="R313" s="263"/>
      <c r="S313" s="1"/>
      <c r="T313" s="1"/>
      <c r="U313" s="1"/>
      <c r="V313" s="1"/>
      <c r="W313" s="1"/>
      <c r="AA313" s="1"/>
    </row>
    <row r="314" ht="12.75" customHeight="1">
      <c r="C314" s="1"/>
      <c r="D314" s="1"/>
      <c r="E314" s="2"/>
      <c r="F314" s="2"/>
      <c r="G314" s="2"/>
      <c r="H314" s="2"/>
      <c r="I314" s="2"/>
      <c r="J314" s="2"/>
      <c r="K314" s="2"/>
      <c r="L314" s="2"/>
      <c r="M314" s="2"/>
      <c r="N314" s="2"/>
      <c r="O314" s="49"/>
      <c r="P314" s="263"/>
      <c r="Q314" s="263"/>
      <c r="R314" s="263"/>
      <c r="S314" s="1"/>
      <c r="T314" s="1"/>
      <c r="U314" s="1"/>
      <c r="V314" s="1"/>
      <c r="W314" s="1"/>
      <c r="AA314" s="1"/>
    </row>
    <row r="315" ht="12.75" customHeight="1">
      <c r="C315" s="1"/>
      <c r="D315" s="1"/>
      <c r="E315" s="2"/>
      <c r="F315" s="2"/>
      <c r="G315" s="2"/>
      <c r="H315" s="2"/>
      <c r="I315" s="2"/>
      <c r="J315" s="2"/>
      <c r="K315" s="2"/>
      <c r="L315" s="2"/>
      <c r="M315" s="2"/>
      <c r="N315" s="2"/>
      <c r="O315" s="49"/>
      <c r="P315" s="263"/>
      <c r="Q315" s="263"/>
      <c r="R315" s="263"/>
      <c r="S315" s="1"/>
      <c r="T315" s="1"/>
      <c r="U315" s="1"/>
      <c r="V315" s="1"/>
      <c r="W315" s="1"/>
      <c r="AA315" s="1"/>
    </row>
    <row r="316" ht="12.75" customHeight="1">
      <c r="C316" s="1"/>
      <c r="D316" s="1"/>
      <c r="E316" s="2"/>
      <c r="F316" s="2"/>
      <c r="G316" s="2"/>
      <c r="H316" s="2"/>
      <c r="I316" s="2"/>
      <c r="J316" s="2"/>
      <c r="K316" s="2"/>
      <c r="L316" s="2"/>
      <c r="M316" s="2"/>
      <c r="N316" s="2"/>
      <c r="O316" s="49"/>
      <c r="P316" s="263"/>
      <c r="Q316" s="263"/>
      <c r="R316" s="263"/>
      <c r="S316" s="1"/>
      <c r="T316" s="1"/>
      <c r="U316" s="1"/>
      <c r="V316" s="1"/>
      <c r="W316" s="1"/>
      <c r="AA316" s="1"/>
    </row>
    <row r="317" ht="12.75" customHeight="1">
      <c r="C317" s="1"/>
      <c r="D317" s="1"/>
      <c r="E317" s="2"/>
      <c r="F317" s="2"/>
      <c r="G317" s="2"/>
      <c r="H317" s="2"/>
      <c r="I317" s="2"/>
      <c r="J317" s="2"/>
      <c r="K317" s="2"/>
      <c r="L317" s="2"/>
      <c r="M317" s="2"/>
      <c r="N317" s="2"/>
      <c r="O317" s="49"/>
      <c r="P317" s="263"/>
      <c r="Q317" s="263"/>
      <c r="R317" s="263"/>
      <c r="S317" s="1"/>
      <c r="T317" s="1"/>
      <c r="U317" s="1"/>
      <c r="V317" s="1"/>
      <c r="W317" s="1"/>
      <c r="AA317" s="1"/>
    </row>
    <row r="318" ht="12.75" customHeight="1">
      <c r="C318" s="1"/>
      <c r="D318" s="1"/>
      <c r="E318" s="2"/>
      <c r="F318" s="2"/>
      <c r="G318" s="2"/>
      <c r="H318" s="2"/>
      <c r="I318" s="2"/>
      <c r="J318" s="2"/>
      <c r="K318" s="2"/>
      <c r="L318" s="2"/>
      <c r="M318" s="2"/>
      <c r="N318" s="2"/>
      <c r="O318" s="49"/>
      <c r="P318" s="263"/>
      <c r="Q318" s="263"/>
      <c r="R318" s="263"/>
      <c r="S318" s="1"/>
      <c r="T318" s="1"/>
      <c r="U318" s="1"/>
      <c r="V318" s="1"/>
      <c r="W318" s="1"/>
      <c r="AA318" s="1"/>
    </row>
    <row r="319" ht="12.75" customHeight="1">
      <c r="C319" s="1"/>
      <c r="D319" s="1"/>
      <c r="E319" s="2"/>
      <c r="F319" s="2"/>
      <c r="G319" s="2"/>
      <c r="H319" s="2"/>
      <c r="I319" s="2"/>
      <c r="J319" s="2"/>
      <c r="K319" s="2"/>
      <c r="L319" s="2"/>
      <c r="M319" s="2"/>
      <c r="N319" s="2"/>
      <c r="O319" s="49"/>
      <c r="P319" s="263"/>
      <c r="Q319" s="263"/>
      <c r="R319" s="263"/>
      <c r="S319" s="1"/>
      <c r="T319" s="1"/>
      <c r="U319" s="1"/>
      <c r="V319" s="1"/>
      <c r="W319" s="1"/>
      <c r="AA319" s="1"/>
    </row>
    <row r="320" ht="12.75" customHeight="1">
      <c r="C320" s="1"/>
      <c r="D320" s="1"/>
      <c r="E320" s="2"/>
      <c r="F320" s="2"/>
      <c r="G320" s="2"/>
      <c r="H320" s="2"/>
      <c r="I320" s="2"/>
      <c r="J320" s="2"/>
      <c r="K320" s="2"/>
      <c r="L320" s="2"/>
      <c r="M320" s="2"/>
      <c r="N320" s="2"/>
      <c r="O320" s="49"/>
      <c r="P320" s="263"/>
      <c r="Q320" s="263"/>
      <c r="R320" s="263"/>
      <c r="S320" s="1"/>
      <c r="T320" s="1"/>
      <c r="U320" s="1"/>
      <c r="V320" s="1"/>
      <c r="W320" s="1"/>
      <c r="AA320" s="1"/>
    </row>
    <row r="321" ht="12.75" customHeight="1">
      <c r="C321" s="1"/>
      <c r="D321" s="1"/>
      <c r="E321" s="2"/>
      <c r="F321" s="2"/>
      <c r="G321" s="2"/>
      <c r="H321" s="2"/>
      <c r="I321" s="2"/>
      <c r="J321" s="2"/>
      <c r="K321" s="2"/>
      <c r="L321" s="2"/>
      <c r="M321" s="2"/>
      <c r="N321" s="2"/>
      <c r="O321" s="49"/>
      <c r="P321" s="263"/>
      <c r="Q321" s="263"/>
      <c r="R321" s="263"/>
      <c r="S321" s="1"/>
      <c r="T321" s="1"/>
      <c r="U321" s="1"/>
      <c r="V321" s="1"/>
      <c r="W321" s="1"/>
      <c r="AA321" s="1"/>
    </row>
    <row r="322" ht="12.75" customHeight="1">
      <c r="C322" s="1"/>
      <c r="D322" s="1"/>
      <c r="E322" s="2"/>
      <c r="F322" s="2"/>
      <c r="G322" s="2"/>
      <c r="H322" s="2"/>
      <c r="I322" s="2"/>
      <c r="J322" s="2"/>
      <c r="K322" s="2"/>
      <c r="L322" s="2"/>
      <c r="M322" s="2"/>
      <c r="N322" s="2"/>
      <c r="O322" s="49"/>
      <c r="P322" s="263"/>
      <c r="Q322" s="263"/>
      <c r="R322" s="263"/>
      <c r="S322" s="1"/>
      <c r="T322" s="1"/>
      <c r="U322" s="1"/>
      <c r="V322" s="1"/>
      <c r="W322" s="1"/>
      <c r="AA322" s="1"/>
    </row>
    <row r="323" ht="12.75" customHeight="1">
      <c r="C323" s="1"/>
      <c r="D323" s="1"/>
      <c r="E323" s="2"/>
      <c r="F323" s="2"/>
      <c r="G323" s="2"/>
      <c r="H323" s="2"/>
      <c r="I323" s="2"/>
      <c r="J323" s="2"/>
      <c r="K323" s="2"/>
      <c r="L323" s="2"/>
      <c r="M323" s="2"/>
      <c r="N323" s="2"/>
      <c r="O323" s="49"/>
      <c r="P323" s="263"/>
      <c r="Q323" s="263"/>
      <c r="R323" s="263"/>
      <c r="S323" s="1"/>
      <c r="T323" s="1"/>
      <c r="U323" s="1"/>
      <c r="V323" s="1"/>
      <c r="W323" s="1"/>
      <c r="AA323" s="1"/>
    </row>
    <row r="324" ht="12.75" customHeight="1">
      <c r="C324" s="1"/>
      <c r="D324" s="1"/>
      <c r="E324" s="2"/>
      <c r="F324" s="2"/>
      <c r="G324" s="2"/>
      <c r="H324" s="2"/>
      <c r="I324" s="2"/>
      <c r="J324" s="2"/>
      <c r="K324" s="2"/>
      <c r="L324" s="2"/>
      <c r="M324" s="2"/>
      <c r="N324" s="2"/>
      <c r="O324" s="49"/>
      <c r="P324" s="263"/>
      <c r="Q324" s="263"/>
      <c r="R324" s="263"/>
      <c r="S324" s="1"/>
      <c r="T324" s="1"/>
      <c r="U324" s="1"/>
      <c r="V324" s="1"/>
      <c r="W324" s="1"/>
      <c r="AA324" s="1"/>
    </row>
    <row r="325" ht="12.75" customHeight="1">
      <c r="C325" s="1"/>
      <c r="D325" s="1"/>
      <c r="E325" s="2"/>
      <c r="F325" s="2"/>
      <c r="G325" s="2"/>
      <c r="H325" s="2"/>
      <c r="I325" s="2"/>
      <c r="J325" s="2"/>
      <c r="K325" s="2"/>
      <c r="L325" s="2"/>
      <c r="M325" s="2"/>
      <c r="N325" s="2"/>
      <c r="O325" s="49"/>
      <c r="P325" s="263"/>
      <c r="Q325" s="263"/>
      <c r="R325" s="263"/>
      <c r="S325" s="1"/>
      <c r="T325" s="1"/>
      <c r="U325" s="1"/>
      <c r="V325" s="1"/>
      <c r="W325" s="1"/>
      <c r="AA325" s="1"/>
    </row>
    <row r="326" ht="12.75" customHeight="1">
      <c r="C326" s="1"/>
      <c r="D326" s="1"/>
      <c r="E326" s="2"/>
      <c r="F326" s="2"/>
      <c r="G326" s="2"/>
      <c r="H326" s="2"/>
      <c r="I326" s="2"/>
      <c r="J326" s="2"/>
      <c r="K326" s="2"/>
      <c r="L326" s="2"/>
      <c r="M326" s="2"/>
      <c r="N326" s="2"/>
      <c r="O326" s="49"/>
      <c r="P326" s="263"/>
      <c r="Q326" s="263"/>
      <c r="R326" s="263"/>
      <c r="S326" s="1"/>
      <c r="T326" s="1"/>
      <c r="U326" s="1"/>
      <c r="V326" s="1"/>
      <c r="W326" s="1"/>
      <c r="AA326" s="1"/>
    </row>
    <row r="327" ht="12.75" customHeight="1">
      <c r="C327" s="1"/>
      <c r="D327" s="1"/>
      <c r="E327" s="2"/>
      <c r="F327" s="2"/>
      <c r="G327" s="2"/>
      <c r="H327" s="2"/>
      <c r="I327" s="2"/>
      <c r="J327" s="2"/>
      <c r="K327" s="2"/>
      <c r="L327" s="2"/>
      <c r="M327" s="2"/>
      <c r="N327" s="2"/>
      <c r="O327" s="49"/>
      <c r="P327" s="263"/>
      <c r="Q327" s="263"/>
      <c r="R327" s="263"/>
      <c r="S327" s="1"/>
      <c r="T327" s="1"/>
      <c r="U327" s="1"/>
      <c r="V327" s="1"/>
      <c r="W327" s="1"/>
      <c r="AA327" s="1"/>
    </row>
    <row r="328" ht="12.75" customHeight="1">
      <c r="C328" s="1"/>
      <c r="D328" s="1"/>
      <c r="E328" s="2"/>
      <c r="F328" s="2"/>
      <c r="G328" s="2"/>
      <c r="H328" s="2"/>
      <c r="I328" s="2"/>
      <c r="J328" s="2"/>
      <c r="K328" s="2"/>
      <c r="L328" s="2"/>
      <c r="M328" s="2"/>
      <c r="N328" s="2"/>
      <c r="O328" s="49"/>
      <c r="P328" s="263"/>
      <c r="Q328" s="263"/>
      <c r="R328" s="263"/>
      <c r="S328" s="1"/>
      <c r="T328" s="1"/>
      <c r="U328" s="1"/>
      <c r="V328" s="1"/>
      <c r="W328" s="1"/>
      <c r="AA328" s="1"/>
    </row>
    <row r="329" ht="12.75" customHeight="1">
      <c r="C329" s="1"/>
      <c r="D329" s="1"/>
      <c r="E329" s="2"/>
      <c r="F329" s="2"/>
      <c r="G329" s="2"/>
      <c r="H329" s="2"/>
      <c r="I329" s="2"/>
      <c r="J329" s="2"/>
      <c r="K329" s="2"/>
      <c r="L329" s="2"/>
      <c r="M329" s="2"/>
      <c r="N329" s="2"/>
      <c r="O329" s="49"/>
      <c r="P329" s="263"/>
      <c r="Q329" s="263"/>
      <c r="R329" s="263"/>
      <c r="S329" s="1"/>
      <c r="T329" s="1"/>
      <c r="U329" s="1"/>
      <c r="V329" s="1"/>
      <c r="W329" s="1"/>
      <c r="AA329" s="1"/>
    </row>
    <row r="330" ht="12.75" customHeight="1">
      <c r="C330" s="1"/>
      <c r="D330" s="1"/>
      <c r="E330" s="2"/>
      <c r="F330" s="2"/>
      <c r="G330" s="2"/>
      <c r="H330" s="2"/>
      <c r="I330" s="2"/>
      <c r="J330" s="2"/>
      <c r="K330" s="2"/>
      <c r="L330" s="2"/>
      <c r="M330" s="2"/>
      <c r="N330" s="2"/>
      <c r="O330" s="49"/>
      <c r="P330" s="263"/>
      <c r="Q330" s="263"/>
      <c r="R330" s="263"/>
      <c r="S330" s="1"/>
      <c r="T330" s="1"/>
      <c r="U330" s="1"/>
      <c r="V330" s="1"/>
      <c r="W330" s="1"/>
      <c r="AA330" s="1"/>
    </row>
    <row r="331" ht="12.75" customHeight="1">
      <c r="C331" s="1"/>
      <c r="D331" s="1"/>
      <c r="E331" s="2"/>
      <c r="F331" s="2"/>
      <c r="G331" s="2"/>
      <c r="H331" s="2"/>
      <c r="I331" s="2"/>
      <c r="J331" s="2"/>
      <c r="K331" s="2"/>
      <c r="L331" s="2"/>
      <c r="M331" s="2"/>
      <c r="N331" s="2"/>
      <c r="O331" s="49"/>
      <c r="P331" s="263"/>
      <c r="Q331" s="263"/>
      <c r="R331" s="263"/>
      <c r="S331" s="1"/>
      <c r="T331" s="1"/>
      <c r="U331" s="1"/>
      <c r="V331" s="1"/>
      <c r="W331" s="1"/>
      <c r="AA331" s="1"/>
    </row>
    <row r="332" ht="12.75" customHeight="1">
      <c r="C332" s="1"/>
      <c r="D332" s="1"/>
      <c r="E332" s="2"/>
      <c r="F332" s="2"/>
      <c r="G332" s="2"/>
      <c r="H332" s="2"/>
      <c r="I332" s="2"/>
      <c r="J332" s="2"/>
      <c r="K332" s="2"/>
      <c r="L332" s="2"/>
      <c r="M332" s="2"/>
      <c r="N332" s="2"/>
      <c r="O332" s="49"/>
      <c r="P332" s="263"/>
      <c r="Q332" s="263"/>
      <c r="R332" s="263"/>
      <c r="S332" s="1"/>
      <c r="T332" s="1"/>
      <c r="U332" s="1"/>
      <c r="V332" s="1"/>
      <c r="W332" s="1"/>
      <c r="AA332" s="1"/>
    </row>
    <row r="333" ht="12.75" customHeight="1">
      <c r="C333" s="1"/>
      <c r="D333" s="1"/>
      <c r="E333" s="2"/>
      <c r="F333" s="2"/>
      <c r="G333" s="2"/>
      <c r="H333" s="2"/>
      <c r="I333" s="2"/>
      <c r="J333" s="2"/>
      <c r="K333" s="2"/>
      <c r="L333" s="2"/>
      <c r="M333" s="2"/>
      <c r="N333" s="2"/>
      <c r="O333" s="49"/>
      <c r="P333" s="263"/>
      <c r="Q333" s="263"/>
      <c r="R333" s="263"/>
      <c r="S333" s="1"/>
      <c r="T333" s="1"/>
      <c r="U333" s="1"/>
      <c r="V333" s="1"/>
      <c r="W333" s="1"/>
      <c r="AA333" s="1"/>
    </row>
    <row r="334" ht="12.75" customHeight="1">
      <c r="C334" s="1"/>
      <c r="D334" s="1"/>
      <c r="E334" s="2"/>
      <c r="F334" s="2"/>
      <c r="G334" s="2"/>
      <c r="H334" s="2"/>
      <c r="I334" s="2"/>
      <c r="J334" s="2"/>
      <c r="K334" s="2"/>
      <c r="L334" s="2"/>
      <c r="M334" s="2"/>
      <c r="N334" s="2"/>
      <c r="O334" s="49"/>
      <c r="P334" s="263"/>
      <c r="Q334" s="263"/>
      <c r="R334" s="263"/>
      <c r="S334" s="1"/>
      <c r="T334" s="1"/>
      <c r="U334" s="1"/>
      <c r="V334" s="1"/>
      <c r="W334" s="1"/>
      <c r="AA334" s="1"/>
    </row>
    <row r="335" ht="12.75" customHeight="1">
      <c r="C335" s="1"/>
      <c r="D335" s="1"/>
      <c r="E335" s="2"/>
      <c r="F335" s="2"/>
      <c r="G335" s="2"/>
      <c r="H335" s="2"/>
      <c r="I335" s="2"/>
      <c r="J335" s="2"/>
      <c r="K335" s="2"/>
      <c r="L335" s="2"/>
      <c r="M335" s="2"/>
      <c r="N335" s="2"/>
      <c r="O335" s="49"/>
      <c r="P335" s="263"/>
      <c r="Q335" s="263"/>
      <c r="R335" s="263"/>
      <c r="S335" s="1"/>
      <c r="T335" s="1"/>
      <c r="U335" s="1"/>
      <c r="V335" s="1"/>
      <c r="W335" s="1"/>
      <c r="AA335" s="1"/>
    </row>
    <row r="336" ht="12.75" customHeight="1">
      <c r="C336" s="1"/>
      <c r="D336" s="1"/>
      <c r="E336" s="2"/>
      <c r="F336" s="2"/>
      <c r="G336" s="2"/>
      <c r="H336" s="2"/>
      <c r="I336" s="2"/>
      <c r="J336" s="2"/>
      <c r="K336" s="2"/>
      <c r="L336" s="2"/>
      <c r="M336" s="2"/>
      <c r="N336" s="2"/>
      <c r="O336" s="49"/>
      <c r="P336" s="263"/>
      <c r="Q336" s="263"/>
      <c r="R336" s="263"/>
      <c r="S336" s="1"/>
      <c r="T336" s="1"/>
      <c r="U336" s="1"/>
      <c r="V336" s="1"/>
      <c r="W336" s="1"/>
      <c r="AA336" s="1"/>
    </row>
    <row r="337" ht="12.75" customHeight="1">
      <c r="C337" s="1"/>
      <c r="D337" s="1"/>
      <c r="E337" s="2"/>
      <c r="F337" s="2"/>
      <c r="G337" s="2"/>
      <c r="H337" s="2"/>
      <c r="I337" s="2"/>
      <c r="J337" s="2"/>
      <c r="K337" s="2"/>
      <c r="L337" s="2"/>
      <c r="M337" s="2"/>
      <c r="N337" s="2"/>
      <c r="O337" s="49"/>
      <c r="P337" s="263"/>
      <c r="Q337" s="263"/>
      <c r="R337" s="263"/>
      <c r="S337" s="1"/>
      <c r="T337" s="1"/>
      <c r="U337" s="1"/>
      <c r="V337" s="1"/>
      <c r="W337" s="1"/>
      <c r="AA337" s="1"/>
    </row>
    <row r="338" ht="12.75" customHeight="1">
      <c r="C338" s="1"/>
      <c r="D338" s="1"/>
      <c r="E338" s="2"/>
      <c r="F338" s="2"/>
      <c r="G338" s="2"/>
      <c r="H338" s="2"/>
      <c r="I338" s="2"/>
      <c r="J338" s="2"/>
      <c r="K338" s="2"/>
      <c r="L338" s="2"/>
      <c r="M338" s="2"/>
      <c r="N338" s="2"/>
      <c r="O338" s="49"/>
      <c r="P338" s="263"/>
      <c r="Q338" s="263"/>
      <c r="R338" s="263"/>
      <c r="S338" s="1"/>
      <c r="T338" s="1"/>
      <c r="U338" s="1"/>
      <c r="V338" s="1"/>
      <c r="W338" s="1"/>
      <c r="AA338" s="1"/>
    </row>
    <row r="339" ht="12.75" customHeight="1">
      <c r="C339" s="1"/>
      <c r="D339" s="1"/>
      <c r="E339" s="2"/>
      <c r="F339" s="2"/>
      <c r="G339" s="2"/>
      <c r="H339" s="2"/>
      <c r="I339" s="2"/>
      <c r="J339" s="2"/>
      <c r="K339" s="2"/>
      <c r="L339" s="2"/>
      <c r="M339" s="2"/>
      <c r="N339" s="2"/>
      <c r="O339" s="49"/>
      <c r="P339" s="263"/>
      <c r="Q339" s="263"/>
      <c r="R339" s="263"/>
      <c r="S339" s="1"/>
      <c r="T339" s="1"/>
      <c r="U339" s="1"/>
      <c r="V339" s="1"/>
      <c r="W339" s="1"/>
      <c r="AA339" s="1"/>
    </row>
    <row r="340" ht="12.75" customHeight="1">
      <c r="C340" s="1"/>
      <c r="D340" s="1"/>
      <c r="E340" s="2"/>
      <c r="F340" s="2"/>
      <c r="G340" s="2"/>
      <c r="H340" s="2"/>
      <c r="I340" s="2"/>
      <c r="J340" s="2"/>
      <c r="K340" s="2"/>
      <c r="L340" s="2"/>
      <c r="M340" s="2"/>
      <c r="N340" s="2"/>
      <c r="O340" s="49"/>
      <c r="P340" s="263"/>
      <c r="Q340" s="263"/>
      <c r="R340" s="263"/>
      <c r="S340" s="1"/>
      <c r="T340" s="1"/>
      <c r="U340" s="1"/>
      <c r="V340" s="1"/>
      <c r="W340" s="1"/>
      <c r="AA340" s="1"/>
    </row>
    <row r="341" ht="12.75" customHeight="1">
      <c r="C341" s="1"/>
      <c r="D341" s="1"/>
      <c r="E341" s="2"/>
      <c r="F341" s="2"/>
      <c r="G341" s="2"/>
      <c r="H341" s="2"/>
      <c r="I341" s="2"/>
      <c r="J341" s="2"/>
      <c r="K341" s="2"/>
      <c r="L341" s="2"/>
      <c r="M341" s="2"/>
      <c r="N341" s="2"/>
      <c r="O341" s="49"/>
      <c r="P341" s="263"/>
      <c r="Q341" s="263"/>
      <c r="R341" s="263"/>
      <c r="S341" s="1"/>
      <c r="T341" s="1"/>
      <c r="U341" s="1"/>
      <c r="V341" s="1"/>
      <c r="W341" s="1"/>
      <c r="AA341" s="1"/>
    </row>
    <row r="342" ht="12.75" customHeight="1">
      <c r="C342" s="1"/>
      <c r="D342" s="1"/>
      <c r="E342" s="2"/>
      <c r="F342" s="2"/>
      <c r="G342" s="2"/>
      <c r="H342" s="2"/>
      <c r="I342" s="2"/>
      <c r="J342" s="2"/>
      <c r="K342" s="2"/>
      <c r="L342" s="2"/>
      <c r="M342" s="2"/>
      <c r="N342" s="2"/>
      <c r="O342" s="49"/>
      <c r="P342" s="263"/>
      <c r="Q342" s="263"/>
      <c r="R342" s="263"/>
      <c r="S342" s="1"/>
      <c r="T342" s="1"/>
      <c r="U342" s="1"/>
      <c r="V342" s="1"/>
      <c r="W342" s="1"/>
      <c r="AA342" s="1"/>
    </row>
    <row r="343" ht="12.75" customHeight="1">
      <c r="C343" s="1"/>
      <c r="D343" s="1"/>
      <c r="E343" s="2"/>
      <c r="F343" s="2"/>
      <c r="G343" s="2"/>
      <c r="H343" s="2"/>
      <c r="I343" s="2"/>
      <c r="J343" s="2"/>
      <c r="K343" s="2"/>
      <c r="L343" s="2"/>
      <c r="M343" s="2"/>
      <c r="N343" s="2"/>
      <c r="O343" s="49"/>
      <c r="P343" s="263"/>
      <c r="Q343" s="263"/>
      <c r="R343" s="263"/>
      <c r="S343" s="1"/>
      <c r="T343" s="1"/>
      <c r="U343" s="1"/>
      <c r="V343" s="1"/>
      <c r="W343" s="1"/>
      <c r="AA343" s="1"/>
    </row>
    <row r="344" ht="12.75" customHeight="1">
      <c r="C344" s="1"/>
      <c r="D344" s="1"/>
      <c r="E344" s="2"/>
      <c r="F344" s="2"/>
      <c r="G344" s="2"/>
      <c r="H344" s="2"/>
      <c r="I344" s="2"/>
      <c r="J344" s="2"/>
      <c r="K344" s="2"/>
      <c r="L344" s="2"/>
      <c r="M344" s="2"/>
      <c r="N344" s="2"/>
      <c r="O344" s="49"/>
      <c r="P344" s="263"/>
      <c r="Q344" s="263"/>
      <c r="R344" s="263"/>
      <c r="S344" s="1"/>
      <c r="T344" s="1"/>
      <c r="U344" s="1"/>
      <c r="V344" s="1"/>
      <c r="W344" s="1"/>
      <c r="AA344" s="1"/>
    </row>
    <row r="345" ht="12.75" customHeight="1">
      <c r="C345" s="1"/>
      <c r="D345" s="1"/>
      <c r="E345" s="2"/>
      <c r="F345" s="2"/>
      <c r="G345" s="2"/>
      <c r="H345" s="2"/>
      <c r="I345" s="2"/>
      <c r="J345" s="2"/>
      <c r="K345" s="2"/>
      <c r="L345" s="2"/>
      <c r="M345" s="2"/>
      <c r="N345" s="2"/>
      <c r="O345" s="49"/>
      <c r="P345" s="263"/>
      <c r="Q345" s="263"/>
      <c r="R345" s="263"/>
      <c r="S345" s="1"/>
      <c r="T345" s="1"/>
      <c r="U345" s="1"/>
      <c r="V345" s="1"/>
      <c r="W345" s="1"/>
      <c r="AA345" s="1"/>
    </row>
    <row r="346" ht="12.75" customHeight="1">
      <c r="C346" s="1"/>
      <c r="D346" s="1"/>
      <c r="E346" s="2"/>
      <c r="F346" s="2"/>
      <c r="G346" s="2"/>
      <c r="H346" s="2"/>
      <c r="I346" s="2"/>
      <c r="J346" s="2"/>
      <c r="K346" s="2"/>
      <c r="L346" s="2"/>
      <c r="M346" s="2"/>
      <c r="N346" s="2"/>
      <c r="O346" s="49"/>
      <c r="P346" s="263"/>
      <c r="Q346" s="263"/>
      <c r="R346" s="263"/>
      <c r="S346" s="1"/>
      <c r="T346" s="1"/>
      <c r="U346" s="1"/>
      <c r="V346" s="1"/>
      <c r="W346" s="1"/>
      <c r="AA346" s="1"/>
    </row>
    <row r="347" ht="12.75" customHeight="1">
      <c r="C347" s="1"/>
      <c r="D347" s="1"/>
      <c r="E347" s="2"/>
      <c r="F347" s="2"/>
      <c r="G347" s="2"/>
      <c r="H347" s="2"/>
      <c r="I347" s="2"/>
      <c r="J347" s="2"/>
      <c r="K347" s="2"/>
      <c r="L347" s="2"/>
      <c r="M347" s="2"/>
      <c r="N347" s="2"/>
      <c r="O347" s="49"/>
      <c r="P347" s="263"/>
      <c r="Q347" s="263"/>
      <c r="R347" s="263"/>
      <c r="S347" s="1"/>
      <c r="T347" s="1"/>
      <c r="U347" s="1"/>
      <c r="V347" s="1"/>
      <c r="W347" s="1"/>
      <c r="AA347" s="1"/>
    </row>
    <row r="348" ht="12.75" customHeight="1">
      <c r="C348" s="1"/>
      <c r="D348" s="1"/>
      <c r="E348" s="2"/>
      <c r="F348" s="2"/>
      <c r="G348" s="2"/>
      <c r="H348" s="2"/>
      <c r="I348" s="2"/>
      <c r="J348" s="2"/>
      <c r="K348" s="2"/>
      <c r="L348" s="2"/>
      <c r="M348" s="2"/>
      <c r="N348" s="2"/>
      <c r="O348" s="49"/>
      <c r="P348" s="263"/>
      <c r="Q348" s="263"/>
      <c r="R348" s="263"/>
      <c r="S348" s="1"/>
      <c r="T348" s="1"/>
      <c r="U348" s="1"/>
      <c r="V348" s="1"/>
      <c r="W348" s="1"/>
      <c r="AA348" s="1"/>
    </row>
    <row r="349" ht="12.75" customHeight="1">
      <c r="C349" s="1"/>
      <c r="D349" s="1"/>
      <c r="E349" s="2"/>
      <c r="F349" s="2"/>
      <c r="G349" s="2"/>
      <c r="H349" s="2"/>
      <c r="I349" s="2"/>
      <c r="J349" s="2"/>
      <c r="K349" s="2"/>
      <c r="L349" s="2"/>
      <c r="M349" s="2"/>
      <c r="N349" s="2"/>
      <c r="O349" s="49"/>
      <c r="P349" s="263"/>
      <c r="Q349" s="263"/>
      <c r="R349" s="263"/>
      <c r="S349" s="1"/>
      <c r="T349" s="1"/>
      <c r="U349" s="1"/>
      <c r="V349" s="1"/>
      <c r="W349" s="1"/>
      <c r="AA349" s="1"/>
    </row>
    <row r="350" ht="12.75" customHeight="1">
      <c r="C350" s="1"/>
      <c r="D350" s="1"/>
      <c r="E350" s="2"/>
      <c r="F350" s="2"/>
      <c r="G350" s="2"/>
      <c r="H350" s="2"/>
      <c r="I350" s="2"/>
      <c r="J350" s="2"/>
      <c r="K350" s="2"/>
      <c r="L350" s="2"/>
      <c r="M350" s="2"/>
      <c r="N350" s="2"/>
      <c r="O350" s="49"/>
      <c r="P350" s="263"/>
      <c r="Q350" s="263"/>
      <c r="R350" s="263"/>
      <c r="S350" s="1"/>
      <c r="T350" s="1"/>
      <c r="U350" s="1"/>
      <c r="V350" s="1"/>
      <c r="W350" s="1"/>
      <c r="AA350" s="1"/>
    </row>
    <row r="351" ht="12.75" customHeight="1">
      <c r="C351" s="1"/>
      <c r="D351" s="1"/>
      <c r="E351" s="2"/>
      <c r="F351" s="2"/>
      <c r="G351" s="2"/>
      <c r="H351" s="2"/>
      <c r="I351" s="2"/>
      <c r="J351" s="2"/>
      <c r="K351" s="2"/>
      <c r="L351" s="2"/>
      <c r="M351" s="2"/>
      <c r="N351" s="2"/>
      <c r="O351" s="49"/>
      <c r="P351" s="263"/>
      <c r="Q351" s="263"/>
      <c r="R351" s="263"/>
      <c r="S351" s="1"/>
      <c r="T351" s="1"/>
      <c r="U351" s="1"/>
      <c r="V351" s="1"/>
      <c r="W351" s="1"/>
      <c r="AA351" s="1"/>
    </row>
    <row r="352" ht="12.75" customHeight="1">
      <c r="C352" s="1"/>
      <c r="D352" s="1"/>
      <c r="E352" s="2"/>
      <c r="F352" s="2"/>
      <c r="G352" s="2"/>
      <c r="H352" s="2"/>
      <c r="I352" s="2"/>
      <c r="J352" s="2"/>
      <c r="K352" s="2"/>
      <c r="L352" s="2"/>
      <c r="M352" s="2"/>
      <c r="N352" s="2"/>
      <c r="O352" s="49"/>
      <c r="P352" s="263"/>
      <c r="Q352" s="263"/>
      <c r="R352" s="263"/>
      <c r="S352" s="1"/>
      <c r="T352" s="1"/>
      <c r="U352" s="1"/>
      <c r="V352" s="1"/>
      <c r="W352" s="1"/>
      <c r="AA352" s="1"/>
    </row>
    <row r="353" ht="12.75" customHeight="1">
      <c r="C353" s="1"/>
      <c r="D353" s="1"/>
      <c r="E353" s="2"/>
      <c r="F353" s="2"/>
      <c r="G353" s="2"/>
      <c r="H353" s="2"/>
      <c r="I353" s="2"/>
      <c r="J353" s="2"/>
      <c r="K353" s="2"/>
      <c r="L353" s="2"/>
      <c r="M353" s="2"/>
      <c r="N353" s="2"/>
      <c r="O353" s="49"/>
      <c r="P353" s="263"/>
      <c r="Q353" s="263"/>
      <c r="R353" s="263"/>
      <c r="S353" s="1"/>
      <c r="T353" s="1"/>
      <c r="U353" s="1"/>
      <c r="V353" s="1"/>
      <c r="W353" s="1"/>
      <c r="AA353" s="1"/>
    </row>
    <row r="354" ht="12.75" customHeight="1">
      <c r="C354" s="1"/>
      <c r="D354" s="1"/>
      <c r="E354" s="2"/>
      <c r="F354" s="2"/>
      <c r="G354" s="2"/>
      <c r="H354" s="2"/>
      <c r="I354" s="2"/>
      <c r="J354" s="2"/>
      <c r="K354" s="2"/>
      <c r="L354" s="2"/>
      <c r="M354" s="2"/>
      <c r="N354" s="2"/>
      <c r="O354" s="49"/>
      <c r="P354" s="263"/>
      <c r="Q354" s="263"/>
      <c r="R354" s="263"/>
      <c r="S354" s="1"/>
      <c r="T354" s="1"/>
      <c r="U354" s="1"/>
      <c r="V354" s="1"/>
      <c r="W354" s="1"/>
      <c r="AA354" s="1"/>
    </row>
    <row r="355" ht="12.75" customHeight="1">
      <c r="C355" s="1"/>
      <c r="D355" s="1"/>
      <c r="E355" s="2"/>
      <c r="F355" s="2"/>
      <c r="G355" s="2"/>
      <c r="H355" s="2"/>
      <c r="I355" s="2"/>
      <c r="J355" s="2"/>
      <c r="K355" s="2"/>
      <c r="L355" s="2"/>
      <c r="M355" s="2"/>
      <c r="N355" s="2"/>
      <c r="O355" s="49"/>
      <c r="P355" s="263"/>
      <c r="Q355" s="263"/>
      <c r="R355" s="263"/>
      <c r="S355" s="1"/>
      <c r="T355" s="1"/>
      <c r="U355" s="1"/>
      <c r="V355" s="1"/>
      <c r="W355" s="1"/>
      <c r="AA355" s="1"/>
    </row>
    <row r="356" ht="12.75" customHeight="1">
      <c r="C356" s="1"/>
      <c r="D356" s="1"/>
      <c r="E356" s="2"/>
      <c r="F356" s="2"/>
      <c r="G356" s="2"/>
      <c r="H356" s="2"/>
      <c r="I356" s="2"/>
      <c r="J356" s="2"/>
      <c r="K356" s="2"/>
      <c r="L356" s="2"/>
      <c r="M356" s="2"/>
      <c r="N356" s="2"/>
      <c r="O356" s="49"/>
      <c r="P356" s="263"/>
      <c r="Q356" s="263"/>
      <c r="R356" s="263"/>
      <c r="S356" s="1"/>
      <c r="T356" s="1"/>
      <c r="U356" s="1"/>
      <c r="V356" s="1"/>
      <c r="W356" s="1"/>
      <c r="AA356" s="1"/>
    </row>
    <row r="357" ht="12.75" customHeight="1">
      <c r="C357" s="1"/>
      <c r="D357" s="1"/>
      <c r="E357" s="2"/>
      <c r="F357" s="2"/>
      <c r="G357" s="2"/>
      <c r="H357" s="2"/>
      <c r="I357" s="2"/>
      <c r="J357" s="2"/>
      <c r="K357" s="2"/>
      <c r="L357" s="2"/>
      <c r="M357" s="2"/>
      <c r="N357" s="2"/>
      <c r="O357" s="49"/>
      <c r="P357" s="263"/>
      <c r="Q357" s="263"/>
      <c r="R357" s="263"/>
      <c r="S357" s="1"/>
      <c r="T357" s="1"/>
      <c r="U357" s="1"/>
      <c r="V357" s="1"/>
      <c r="W357" s="1"/>
      <c r="AA357" s="1"/>
    </row>
    <row r="358" ht="12.75" customHeight="1">
      <c r="C358" s="1"/>
      <c r="D358" s="1"/>
      <c r="E358" s="2"/>
      <c r="F358" s="2"/>
      <c r="G358" s="2"/>
      <c r="H358" s="2"/>
      <c r="I358" s="2"/>
      <c r="J358" s="2"/>
      <c r="K358" s="2"/>
      <c r="L358" s="2"/>
      <c r="M358" s="2"/>
      <c r="N358" s="2"/>
      <c r="O358" s="49"/>
      <c r="P358" s="263"/>
      <c r="Q358" s="263"/>
      <c r="R358" s="263"/>
      <c r="S358" s="1"/>
      <c r="T358" s="1"/>
      <c r="U358" s="1"/>
      <c r="V358" s="1"/>
      <c r="W358" s="1"/>
      <c r="AA358" s="1"/>
    </row>
    <row r="359" ht="12.75" customHeight="1">
      <c r="C359" s="1"/>
      <c r="D359" s="1"/>
      <c r="E359" s="2"/>
      <c r="F359" s="2"/>
      <c r="G359" s="2"/>
      <c r="H359" s="2"/>
      <c r="I359" s="2"/>
      <c r="J359" s="2"/>
      <c r="K359" s="2"/>
      <c r="L359" s="2"/>
      <c r="M359" s="2"/>
      <c r="N359" s="2"/>
      <c r="O359" s="49"/>
      <c r="P359" s="263"/>
      <c r="Q359" s="263"/>
      <c r="R359" s="263"/>
      <c r="S359" s="1"/>
      <c r="T359" s="1"/>
      <c r="U359" s="1"/>
      <c r="V359" s="1"/>
      <c r="W359" s="1"/>
      <c r="AA359" s="1"/>
    </row>
    <row r="360" ht="12.75" customHeight="1">
      <c r="C360" s="1"/>
      <c r="D360" s="1"/>
      <c r="E360" s="2"/>
      <c r="F360" s="2"/>
      <c r="G360" s="2"/>
      <c r="H360" s="2"/>
      <c r="I360" s="2"/>
      <c r="J360" s="2"/>
      <c r="K360" s="2"/>
      <c r="L360" s="2"/>
      <c r="M360" s="2"/>
      <c r="N360" s="2"/>
      <c r="O360" s="49"/>
      <c r="P360" s="263"/>
      <c r="Q360" s="263"/>
      <c r="R360" s="263"/>
      <c r="S360" s="1"/>
      <c r="T360" s="1"/>
      <c r="U360" s="1"/>
      <c r="V360" s="1"/>
      <c r="W360" s="1"/>
      <c r="AA360" s="1"/>
    </row>
    <row r="361" ht="12.75" customHeight="1">
      <c r="C361" s="1"/>
      <c r="D361" s="1"/>
      <c r="E361" s="2"/>
      <c r="F361" s="2"/>
      <c r="G361" s="2"/>
      <c r="H361" s="2"/>
      <c r="I361" s="2"/>
      <c r="J361" s="2"/>
      <c r="K361" s="2"/>
      <c r="L361" s="2"/>
      <c r="M361" s="2"/>
      <c r="N361" s="2"/>
      <c r="O361" s="49"/>
      <c r="P361" s="263"/>
      <c r="Q361" s="263"/>
      <c r="R361" s="263"/>
      <c r="S361" s="1"/>
      <c r="T361" s="1"/>
      <c r="U361" s="1"/>
      <c r="V361" s="1"/>
      <c r="W361" s="1"/>
      <c r="AA361" s="1"/>
    </row>
    <row r="362" ht="12.75" customHeight="1">
      <c r="C362" s="1"/>
      <c r="D362" s="1"/>
      <c r="E362" s="2"/>
      <c r="F362" s="2"/>
      <c r="G362" s="2"/>
      <c r="H362" s="2"/>
      <c r="I362" s="2"/>
      <c r="J362" s="2"/>
      <c r="K362" s="2"/>
      <c r="L362" s="2"/>
      <c r="M362" s="2"/>
      <c r="N362" s="2"/>
      <c r="O362" s="49"/>
      <c r="P362" s="263"/>
      <c r="Q362" s="263"/>
      <c r="R362" s="263"/>
      <c r="S362" s="1"/>
      <c r="T362" s="1"/>
      <c r="U362" s="1"/>
      <c r="V362" s="1"/>
      <c r="W362" s="1"/>
      <c r="AA362" s="1"/>
    </row>
    <row r="363" ht="12.75" customHeight="1">
      <c r="C363" s="1"/>
      <c r="D363" s="1"/>
      <c r="E363" s="2"/>
      <c r="F363" s="2"/>
      <c r="G363" s="2"/>
      <c r="H363" s="2"/>
      <c r="I363" s="2"/>
      <c r="J363" s="2"/>
      <c r="K363" s="2"/>
      <c r="L363" s="2"/>
      <c r="M363" s="2"/>
      <c r="N363" s="2"/>
      <c r="O363" s="49"/>
      <c r="P363" s="263"/>
      <c r="Q363" s="263"/>
      <c r="R363" s="263"/>
      <c r="S363" s="1"/>
      <c r="T363" s="1"/>
      <c r="U363" s="1"/>
      <c r="V363" s="1"/>
      <c r="W363" s="1"/>
      <c r="AA363" s="1"/>
    </row>
    <row r="364" ht="12.75" customHeight="1">
      <c r="C364" s="1"/>
      <c r="D364" s="1"/>
      <c r="E364" s="2"/>
      <c r="F364" s="2"/>
      <c r="G364" s="2"/>
      <c r="H364" s="2"/>
      <c r="I364" s="2"/>
      <c r="J364" s="2"/>
      <c r="K364" s="2"/>
      <c r="L364" s="2"/>
      <c r="M364" s="2"/>
      <c r="N364" s="2"/>
      <c r="O364" s="49"/>
      <c r="P364" s="263"/>
      <c r="Q364" s="263"/>
      <c r="R364" s="263"/>
      <c r="S364" s="1"/>
      <c r="T364" s="1"/>
      <c r="U364" s="1"/>
      <c r="V364" s="1"/>
      <c r="W364" s="1"/>
      <c r="AA364" s="1"/>
    </row>
    <row r="365" ht="12.75" customHeight="1">
      <c r="C365" s="1"/>
      <c r="D365" s="1"/>
      <c r="E365" s="2"/>
      <c r="F365" s="2"/>
      <c r="G365" s="2"/>
      <c r="H365" s="2"/>
      <c r="I365" s="2"/>
      <c r="J365" s="2"/>
      <c r="K365" s="2"/>
      <c r="L365" s="2"/>
      <c r="M365" s="2"/>
      <c r="N365" s="2"/>
      <c r="O365" s="49"/>
      <c r="P365" s="263"/>
      <c r="Q365" s="263"/>
      <c r="R365" s="263"/>
      <c r="S365" s="1"/>
      <c r="T365" s="1"/>
      <c r="U365" s="1"/>
      <c r="V365" s="1"/>
      <c r="W365" s="1"/>
      <c r="AA365" s="1"/>
    </row>
    <row r="366" ht="12.75" customHeight="1">
      <c r="C366" s="1"/>
      <c r="D366" s="1"/>
      <c r="E366" s="2"/>
      <c r="F366" s="2"/>
      <c r="G366" s="2"/>
      <c r="H366" s="2"/>
      <c r="I366" s="2"/>
      <c r="J366" s="2"/>
      <c r="K366" s="2"/>
      <c r="L366" s="2"/>
      <c r="M366" s="2"/>
      <c r="N366" s="2"/>
      <c r="O366" s="49"/>
      <c r="P366" s="263"/>
      <c r="Q366" s="263"/>
      <c r="R366" s="263"/>
      <c r="S366" s="1"/>
      <c r="T366" s="1"/>
      <c r="U366" s="1"/>
      <c r="V366" s="1"/>
      <c r="W366" s="1"/>
      <c r="AA366" s="1"/>
    </row>
    <row r="367" ht="12.75" customHeight="1">
      <c r="C367" s="1"/>
      <c r="D367" s="1"/>
      <c r="E367" s="2"/>
      <c r="F367" s="2"/>
      <c r="G367" s="2"/>
      <c r="H367" s="2"/>
      <c r="I367" s="2"/>
      <c r="J367" s="2"/>
      <c r="K367" s="2"/>
      <c r="L367" s="2"/>
      <c r="M367" s="2"/>
      <c r="N367" s="2"/>
      <c r="O367" s="49"/>
      <c r="P367" s="263"/>
      <c r="Q367" s="263"/>
      <c r="R367" s="263"/>
      <c r="S367" s="1"/>
      <c r="T367" s="1"/>
      <c r="U367" s="1"/>
      <c r="V367" s="1"/>
      <c r="W367" s="1"/>
      <c r="AA367" s="1"/>
    </row>
    <row r="368" ht="12.75" customHeight="1">
      <c r="C368" s="1"/>
      <c r="D368" s="1"/>
      <c r="E368" s="2"/>
      <c r="F368" s="2"/>
      <c r="G368" s="2"/>
      <c r="H368" s="2"/>
      <c r="I368" s="2"/>
      <c r="J368" s="2"/>
      <c r="K368" s="2"/>
      <c r="L368" s="2"/>
      <c r="M368" s="2"/>
      <c r="N368" s="2"/>
      <c r="O368" s="49"/>
      <c r="P368" s="263"/>
      <c r="Q368" s="263"/>
      <c r="R368" s="263"/>
      <c r="S368" s="1"/>
      <c r="T368" s="1"/>
      <c r="U368" s="1"/>
      <c r="V368" s="1"/>
      <c r="W368" s="1"/>
      <c r="AA368" s="1"/>
    </row>
    <row r="369" ht="12.75" customHeight="1">
      <c r="C369" s="1"/>
      <c r="D369" s="1"/>
      <c r="E369" s="2"/>
      <c r="F369" s="2"/>
      <c r="G369" s="2"/>
      <c r="H369" s="2"/>
      <c r="I369" s="2"/>
      <c r="J369" s="2"/>
      <c r="K369" s="2"/>
      <c r="L369" s="2"/>
      <c r="M369" s="2"/>
      <c r="N369" s="2"/>
      <c r="O369" s="49"/>
      <c r="P369" s="263"/>
      <c r="Q369" s="263"/>
      <c r="R369" s="263"/>
      <c r="S369" s="1"/>
      <c r="T369" s="1"/>
      <c r="U369" s="1"/>
      <c r="V369" s="1"/>
      <c r="W369" s="1"/>
      <c r="AA369" s="1"/>
    </row>
    <row r="370" ht="12.75" customHeight="1">
      <c r="C370" s="1"/>
      <c r="D370" s="1"/>
      <c r="E370" s="2"/>
      <c r="F370" s="2"/>
      <c r="G370" s="2"/>
      <c r="H370" s="2"/>
      <c r="I370" s="2"/>
      <c r="J370" s="2"/>
      <c r="K370" s="2"/>
      <c r="L370" s="2"/>
      <c r="M370" s="2"/>
      <c r="N370" s="2"/>
      <c r="O370" s="49"/>
      <c r="P370" s="263"/>
      <c r="Q370" s="263"/>
      <c r="R370" s="263"/>
      <c r="S370" s="1"/>
      <c r="T370" s="1"/>
      <c r="U370" s="1"/>
      <c r="V370" s="1"/>
      <c r="W370" s="1"/>
      <c r="AA370" s="1"/>
    </row>
    <row r="371" ht="12.75" customHeight="1">
      <c r="C371" s="1"/>
      <c r="D371" s="1"/>
      <c r="E371" s="2"/>
      <c r="F371" s="2"/>
      <c r="G371" s="2"/>
      <c r="H371" s="2"/>
      <c r="I371" s="2"/>
      <c r="J371" s="2"/>
      <c r="K371" s="2"/>
      <c r="L371" s="2"/>
      <c r="M371" s="2"/>
      <c r="N371" s="2"/>
      <c r="O371" s="49"/>
      <c r="P371" s="263"/>
      <c r="Q371" s="263"/>
      <c r="R371" s="263"/>
      <c r="S371" s="1"/>
      <c r="T371" s="1"/>
      <c r="U371" s="1"/>
      <c r="V371" s="1"/>
      <c r="W371" s="1"/>
      <c r="AA371" s="1"/>
    </row>
    <row r="372" ht="12.75" customHeight="1">
      <c r="C372" s="1"/>
      <c r="D372" s="1"/>
      <c r="E372" s="2"/>
      <c r="F372" s="2"/>
      <c r="G372" s="2"/>
      <c r="H372" s="2"/>
      <c r="I372" s="2"/>
      <c r="J372" s="2"/>
      <c r="K372" s="2"/>
      <c r="L372" s="2"/>
      <c r="M372" s="2"/>
      <c r="N372" s="2"/>
      <c r="O372" s="49"/>
      <c r="P372" s="263"/>
      <c r="Q372" s="263"/>
      <c r="R372" s="263"/>
      <c r="S372" s="1"/>
      <c r="T372" s="1"/>
      <c r="U372" s="1"/>
      <c r="V372" s="1"/>
      <c r="W372" s="1"/>
      <c r="AA372" s="1"/>
    </row>
    <row r="373" ht="12.75" customHeight="1">
      <c r="C373" s="1"/>
      <c r="D373" s="1"/>
      <c r="E373" s="2"/>
      <c r="F373" s="2"/>
      <c r="G373" s="2"/>
      <c r="H373" s="2"/>
      <c r="I373" s="2"/>
      <c r="J373" s="2"/>
      <c r="K373" s="2"/>
      <c r="L373" s="2"/>
      <c r="M373" s="2"/>
      <c r="N373" s="2"/>
      <c r="O373" s="49"/>
      <c r="P373" s="263"/>
      <c r="Q373" s="263"/>
      <c r="R373" s="263"/>
      <c r="S373" s="1"/>
      <c r="T373" s="1"/>
      <c r="U373" s="1"/>
      <c r="V373" s="1"/>
      <c r="W373" s="1"/>
      <c r="AA373" s="1"/>
    </row>
    <row r="374" ht="12.75" customHeight="1">
      <c r="C374" s="1"/>
      <c r="D374" s="1"/>
      <c r="E374" s="2"/>
      <c r="F374" s="2"/>
      <c r="G374" s="2"/>
      <c r="H374" s="2"/>
      <c r="I374" s="2"/>
      <c r="J374" s="2"/>
      <c r="K374" s="2"/>
      <c r="L374" s="2"/>
      <c r="M374" s="2"/>
      <c r="N374" s="2"/>
      <c r="O374" s="49"/>
      <c r="P374" s="263"/>
      <c r="Q374" s="263"/>
      <c r="R374" s="263"/>
      <c r="S374" s="1"/>
      <c r="T374" s="1"/>
      <c r="U374" s="1"/>
      <c r="V374" s="1"/>
      <c r="W374" s="1"/>
      <c r="AA374" s="1"/>
    </row>
    <row r="375" ht="12.75" customHeight="1">
      <c r="C375" s="1"/>
      <c r="D375" s="1"/>
      <c r="E375" s="2"/>
      <c r="F375" s="2"/>
      <c r="G375" s="2"/>
      <c r="H375" s="2"/>
      <c r="I375" s="2"/>
      <c r="J375" s="2"/>
      <c r="K375" s="2"/>
      <c r="L375" s="2"/>
      <c r="M375" s="2"/>
      <c r="N375" s="2"/>
      <c r="O375" s="49"/>
      <c r="P375" s="263"/>
      <c r="Q375" s="263"/>
      <c r="R375" s="263"/>
      <c r="S375" s="1"/>
      <c r="T375" s="1"/>
      <c r="U375" s="1"/>
      <c r="V375" s="1"/>
      <c r="W375" s="1"/>
      <c r="AA375" s="1"/>
    </row>
    <row r="376" ht="12.75" customHeight="1">
      <c r="C376" s="1"/>
      <c r="D376" s="1"/>
      <c r="E376" s="2"/>
      <c r="F376" s="2"/>
      <c r="G376" s="2"/>
      <c r="H376" s="2"/>
      <c r="I376" s="2"/>
      <c r="J376" s="2"/>
      <c r="K376" s="2"/>
      <c r="L376" s="2"/>
      <c r="M376" s="2"/>
      <c r="N376" s="2"/>
      <c r="O376" s="49"/>
      <c r="P376" s="263"/>
      <c r="Q376" s="263"/>
      <c r="R376" s="263"/>
      <c r="S376" s="1"/>
      <c r="T376" s="1"/>
      <c r="U376" s="1"/>
      <c r="V376" s="1"/>
      <c r="W376" s="1"/>
      <c r="AA376" s="1"/>
    </row>
    <row r="377" ht="12.75" customHeight="1">
      <c r="C377" s="1"/>
      <c r="D377" s="1"/>
      <c r="E377" s="2"/>
      <c r="F377" s="2"/>
      <c r="G377" s="2"/>
      <c r="H377" s="2"/>
      <c r="I377" s="2"/>
      <c r="J377" s="2"/>
      <c r="K377" s="2"/>
      <c r="L377" s="2"/>
      <c r="M377" s="2"/>
      <c r="N377" s="2"/>
      <c r="O377" s="49"/>
      <c r="P377" s="263"/>
      <c r="Q377" s="263"/>
      <c r="R377" s="263"/>
      <c r="S377" s="1"/>
      <c r="T377" s="1"/>
      <c r="U377" s="1"/>
      <c r="V377" s="1"/>
      <c r="W377" s="1"/>
      <c r="AA377" s="1"/>
    </row>
    <row r="378" ht="12.75" customHeight="1">
      <c r="C378" s="1"/>
      <c r="D378" s="1"/>
      <c r="E378" s="2"/>
      <c r="F378" s="2"/>
      <c r="G378" s="2"/>
      <c r="H378" s="2"/>
      <c r="I378" s="2"/>
      <c r="J378" s="2"/>
      <c r="K378" s="2"/>
      <c r="L378" s="2"/>
      <c r="M378" s="2"/>
      <c r="N378" s="2"/>
      <c r="O378" s="49"/>
      <c r="P378" s="263"/>
      <c r="Q378" s="263"/>
      <c r="R378" s="263"/>
      <c r="S378" s="1"/>
      <c r="T378" s="1"/>
      <c r="U378" s="1"/>
      <c r="V378" s="1"/>
      <c r="W378" s="1"/>
      <c r="AA378" s="1"/>
    </row>
    <row r="379" ht="12.75" customHeight="1">
      <c r="C379" s="1"/>
      <c r="D379" s="1"/>
      <c r="E379" s="2"/>
      <c r="F379" s="2"/>
      <c r="G379" s="2"/>
      <c r="H379" s="2"/>
      <c r="I379" s="2"/>
      <c r="J379" s="2"/>
      <c r="K379" s="2"/>
      <c r="L379" s="2"/>
      <c r="M379" s="2"/>
      <c r="N379" s="2"/>
      <c r="O379" s="49"/>
      <c r="P379" s="263"/>
      <c r="Q379" s="263"/>
      <c r="R379" s="263"/>
      <c r="S379" s="1"/>
      <c r="T379" s="1"/>
      <c r="U379" s="1"/>
      <c r="V379" s="1"/>
      <c r="W379" s="1"/>
      <c r="AA379" s="1"/>
    </row>
    <row r="380" ht="12.75" customHeight="1">
      <c r="C380" s="1"/>
      <c r="D380" s="1"/>
      <c r="E380" s="2"/>
      <c r="F380" s="2"/>
      <c r="G380" s="2"/>
      <c r="H380" s="2"/>
      <c r="I380" s="2"/>
      <c r="J380" s="2"/>
      <c r="K380" s="2"/>
      <c r="L380" s="2"/>
      <c r="M380" s="2"/>
      <c r="N380" s="2"/>
      <c r="O380" s="49"/>
      <c r="P380" s="263"/>
      <c r="Q380" s="263"/>
      <c r="R380" s="263"/>
      <c r="S380" s="1"/>
      <c r="T380" s="1"/>
      <c r="U380" s="1"/>
      <c r="V380" s="1"/>
      <c r="W380" s="1"/>
      <c r="AA380" s="1"/>
    </row>
    <row r="381" ht="12.75" customHeight="1">
      <c r="C381" s="1"/>
      <c r="D381" s="1"/>
      <c r="E381" s="2"/>
      <c r="F381" s="2"/>
      <c r="G381" s="2"/>
      <c r="H381" s="2"/>
      <c r="I381" s="2"/>
      <c r="J381" s="2"/>
      <c r="K381" s="2"/>
      <c r="L381" s="2"/>
      <c r="M381" s="2"/>
      <c r="N381" s="2"/>
      <c r="O381" s="49"/>
      <c r="P381" s="263"/>
      <c r="Q381" s="263"/>
      <c r="R381" s="263"/>
      <c r="S381" s="1"/>
      <c r="T381" s="1"/>
      <c r="U381" s="1"/>
      <c r="V381" s="1"/>
      <c r="W381" s="1"/>
      <c r="AA381" s="1"/>
    </row>
    <row r="382" ht="12.75" customHeight="1">
      <c r="C382" s="1"/>
      <c r="D382" s="1"/>
      <c r="E382" s="2"/>
      <c r="F382" s="2"/>
      <c r="G382" s="2"/>
      <c r="H382" s="2"/>
      <c r="I382" s="2"/>
      <c r="J382" s="2"/>
      <c r="K382" s="2"/>
      <c r="L382" s="2"/>
      <c r="M382" s="2"/>
      <c r="N382" s="2"/>
      <c r="O382" s="49"/>
      <c r="P382" s="263"/>
      <c r="Q382" s="263"/>
      <c r="R382" s="263"/>
      <c r="S382" s="1"/>
      <c r="T382" s="1"/>
      <c r="U382" s="1"/>
      <c r="V382" s="1"/>
      <c r="W382" s="1"/>
      <c r="AA382" s="1"/>
    </row>
    <row r="383" ht="12.75" customHeight="1">
      <c r="C383" s="1"/>
      <c r="D383" s="1"/>
      <c r="E383" s="2"/>
      <c r="F383" s="2"/>
      <c r="G383" s="2"/>
      <c r="H383" s="2"/>
      <c r="I383" s="2"/>
      <c r="J383" s="2"/>
      <c r="K383" s="2"/>
      <c r="L383" s="2"/>
      <c r="M383" s="2"/>
      <c r="N383" s="2"/>
      <c r="O383" s="49"/>
      <c r="P383" s="263"/>
      <c r="Q383" s="263"/>
      <c r="R383" s="263"/>
      <c r="S383" s="1"/>
      <c r="T383" s="1"/>
      <c r="U383" s="1"/>
      <c r="V383" s="1"/>
      <c r="W383" s="1"/>
      <c r="AA383" s="1"/>
    </row>
    <row r="384" ht="12.75" customHeight="1">
      <c r="C384" s="1"/>
      <c r="D384" s="1"/>
      <c r="E384" s="2"/>
      <c r="F384" s="2"/>
      <c r="G384" s="2"/>
      <c r="H384" s="2"/>
      <c r="I384" s="2"/>
      <c r="J384" s="2"/>
      <c r="K384" s="2"/>
      <c r="L384" s="2"/>
      <c r="M384" s="2"/>
      <c r="N384" s="2"/>
      <c r="O384" s="49"/>
      <c r="P384" s="263"/>
      <c r="Q384" s="263"/>
      <c r="R384" s="263"/>
      <c r="S384" s="1"/>
      <c r="T384" s="1"/>
      <c r="U384" s="1"/>
      <c r="V384" s="1"/>
      <c r="W384" s="1"/>
      <c r="AA384" s="1"/>
    </row>
    <row r="385" ht="12.75" customHeight="1">
      <c r="C385" s="1"/>
      <c r="D385" s="1"/>
      <c r="E385" s="2"/>
      <c r="F385" s="2"/>
      <c r="G385" s="2"/>
      <c r="H385" s="2"/>
      <c r="I385" s="2"/>
      <c r="J385" s="2"/>
      <c r="K385" s="2"/>
      <c r="L385" s="2"/>
      <c r="M385" s="2"/>
      <c r="N385" s="2"/>
      <c r="O385" s="49"/>
      <c r="P385" s="263"/>
      <c r="Q385" s="263"/>
      <c r="R385" s="263"/>
      <c r="S385" s="1"/>
      <c r="T385" s="1"/>
      <c r="U385" s="1"/>
      <c r="V385" s="1"/>
      <c r="W385" s="1"/>
      <c r="AA385" s="1"/>
    </row>
    <row r="386" ht="12.75" customHeight="1">
      <c r="C386" s="1"/>
      <c r="D386" s="1"/>
      <c r="E386" s="2"/>
      <c r="F386" s="2"/>
      <c r="G386" s="2"/>
      <c r="H386" s="2"/>
      <c r="I386" s="2"/>
      <c r="J386" s="2"/>
      <c r="K386" s="2"/>
      <c r="L386" s="2"/>
      <c r="M386" s="2"/>
      <c r="N386" s="2"/>
      <c r="O386" s="49"/>
      <c r="P386" s="263"/>
      <c r="Q386" s="263"/>
      <c r="R386" s="263"/>
      <c r="S386" s="1"/>
      <c r="T386" s="1"/>
      <c r="U386" s="1"/>
      <c r="V386" s="1"/>
      <c r="W386" s="1"/>
      <c r="AA386" s="1"/>
    </row>
    <row r="387" ht="12.75" customHeight="1">
      <c r="C387" s="1"/>
      <c r="D387" s="1"/>
      <c r="E387" s="2"/>
      <c r="F387" s="2"/>
      <c r="G387" s="2"/>
      <c r="H387" s="2"/>
      <c r="I387" s="2"/>
      <c r="J387" s="2"/>
      <c r="K387" s="2"/>
      <c r="L387" s="2"/>
      <c r="M387" s="2"/>
      <c r="N387" s="2"/>
      <c r="O387" s="49"/>
      <c r="P387" s="263"/>
      <c r="Q387" s="263"/>
      <c r="R387" s="263"/>
      <c r="S387" s="1"/>
      <c r="T387" s="1"/>
      <c r="U387" s="1"/>
      <c r="V387" s="1"/>
      <c r="W387" s="1"/>
      <c r="AA387" s="1"/>
    </row>
    <row r="388" ht="12.75" customHeight="1">
      <c r="C388" s="1"/>
      <c r="D388" s="1"/>
      <c r="E388" s="2"/>
      <c r="F388" s="2"/>
      <c r="G388" s="2"/>
      <c r="H388" s="2"/>
      <c r="I388" s="2"/>
      <c r="J388" s="2"/>
      <c r="K388" s="2"/>
      <c r="L388" s="2"/>
      <c r="M388" s="2"/>
      <c r="N388" s="2"/>
      <c r="O388" s="49"/>
      <c r="P388" s="263"/>
      <c r="Q388" s="263"/>
      <c r="R388" s="263"/>
      <c r="S388" s="1"/>
      <c r="T388" s="1"/>
      <c r="U388" s="1"/>
      <c r="V388" s="1"/>
      <c r="W388" s="1"/>
      <c r="AA388" s="1"/>
    </row>
    <row r="389" ht="12.75" customHeight="1">
      <c r="C389" s="1"/>
      <c r="D389" s="1"/>
      <c r="E389" s="2"/>
      <c r="F389" s="2"/>
      <c r="G389" s="2"/>
      <c r="H389" s="2"/>
      <c r="I389" s="2"/>
      <c r="J389" s="2"/>
      <c r="K389" s="2"/>
      <c r="L389" s="2"/>
      <c r="M389" s="2"/>
      <c r="N389" s="2"/>
      <c r="O389" s="49"/>
      <c r="P389" s="263"/>
      <c r="Q389" s="263"/>
      <c r="R389" s="263"/>
      <c r="S389" s="1"/>
      <c r="T389" s="1"/>
      <c r="U389" s="1"/>
      <c r="V389" s="1"/>
      <c r="W389" s="1"/>
      <c r="AA389" s="1"/>
    </row>
    <row r="390" ht="12.75" customHeight="1">
      <c r="C390" s="1"/>
      <c r="D390" s="1"/>
      <c r="E390" s="2"/>
      <c r="F390" s="2"/>
      <c r="G390" s="2"/>
      <c r="H390" s="2"/>
      <c r="I390" s="2"/>
      <c r="J390" s="2"/>
      <c r="K390" s="2"/>
      <c r="L390" s="2"/>
      <c r="M390" s="2"/>
      <c r="N390" s="2"/>
      <c r="O390" s="49"/>
      <c r="P390" s="263"/>
      <c r="Q390" s="263"/>
      <c r="R390" s="263"/>
      <c r="S390" s="1"/>
      <c r="T390" s="1"/>
      <c r="U390" s="1"/>
      <c r="V390" s="1"/>
      <c r="W390" s="1"/>
      <c r="AA390" s="1"/>
    </row>
    <row r="391" ht="12.75" customHeight="1">
      <c r="C391" s="1"/>
      <c r="D391" s="1"/>
      <c r="E391" s="2"/>
      <c r="F391" s="2"/>
      <c r="G391" s="2"/>
      <c r="H391" s="2"/>
      <c r="I391" s="2"/>
      <c r="J391" s="2"/>
      <c r="K391" s="2"/>
      <c r="L391" s="2"/>
      <c r="M391" s="2"/>
      <c r="N391" s="2"/>
      <c r="O391" s="49"/>
      <c r="P391" s="263"/>
      <c r="Q391" s="263"/>
      <c r="R391" s="263"/>
      <c r="S391" s="1"/>
      <c r="T391" s="1"/>
      <c r="U391" s="1"/>
      <c r="V391" s="1"/>
      <c r="W391" s="1"/>
      <c r="AA391" s="1"/>
    </row>
    <row r="392" ht="12.75" customHeight="1">
      <c r="C392" s="1"/>
      <c r="D392" s="1"/>
      <c r="E392" s="2"/>
      <c r="F392" s="2"/>
      <c r="G392" s="2"/>
      <c r="H392" s="2"/>
      <c r="I392" s="2"/>
      <c r="J392" s="2"/>
      <c r="K392" s="2"/>
      <c r="L392" s="2"/>
      <c r="M392" s="2"/>
      <c r="N392" s="2"/>
      <c r="O392" s="49"/>
      <c r="P392" s="263"/>
      <c r="Q392" s="263"/>
      <c r="R392" s="263"/>
      <c r="S392" s="1"/>
      <c r="T392" s="1"/>
      <c r="U392" s="1"/>
      <c r="V392" s="1"/>
      <c r="W392" s="1"/>
      <c r="AA392" s="1"/>
    </row>
    <row r="393" ht="12.75" customHeight="1">
      <c r="C393" s="1"/>
      <c r="D393" s="1"/>
      <c r="E393" s="2"/>
      <c r="F393" s="2"/>
      <c r="G393" s="2"/>
      <c r="H393" s="2"/>
      <c r="I393" s="2"/>
      <c r="J393" s="2"/>
      <c r="K393" s="2"/>
      <c r="L393" s="2"/>
      <c r="M393" s="2"/>
      <c r="N393" s="2"/>
      <c r="O393" s="49"/>
      <c r="P393" s="263"/>
      <c r="Q393" s="263"/>
      <c r="R393" s="263"/>
      <c r="S393" s="1"/>
      <c r="T393" s="1"/>
      <c r="U393" s="1"/>
      <c r="V393" s="1"/>
      <c r="W393" s="1"/>
      <c r="AA393" s="1"/>
    </row>
    <row r="394" ht="12.75" customHeight="1">
      <c r="C394" s="1"/>
      <c r="D394" s="1"/>
      <c r="E394" s="2"/>
      <c r="F394" s="2"/>
      <c r="G394" s="2"/>
      <c r="H394" s="2"/>
      <c r="I394" s="2"/>
      <c r="J394" s="2"/>
      <c r="K394" s="2"/>
      <c r="L394" s="2"/>
      <c r="M394" s="2"/>
      <c r="N394" s="2"/>
      <c r="O394" s="49"/>
      <c r="P394" s="263"/>
      <c r="Q394" s="263"/>
      <c r="R394" s="263"/>
      <c r="S394" s="1"/>
      <c r="T394" s="1"/>
      <c r="U394" s="1"/>
      <c r="V394" s="1"/>
      <c r="W394" s="1"/>
      <c r="AA394" s="1"/>
    </row>
    <row r="395" ht="12.75" customHeight="1">
      <c r="C395" s="1"/>
      <c r="D395" s="1"/>
      <c r="E395" s="2"/>
      <c r="F395" s="2"/>
      <c r="G395" s="2"/>
      <c r="H395" s="2"/>
      <c r="I395" s="2"/>
      <c r="J395" s="2"/>
      <c r="K395" s="2"/>
      <c r="L395" s="2"/>
      <c r="M395" s="2"/>
      <c r="N395" s="2"/>
      <c r="O395" s="49"/>
      <c r="P395" s="263"/>
      <c r="Q395" s="263"/>
      <c r="R395" s="263"/>
      <c r="S395" s="1"/>
      <c r="T395" s="1"/>
      <c r="U395" s="1"/>
      <c r="V395" s="1"/>
      <c r="W395" s="1"/>
      <c r="AA395" s="1"/>
    </row>
    <row r="396" ht="12.75" customHeight="1">
      <c r="C396" s="1"/>
      <c r="D396" s="1"/>
      <c r="E396" s="2"/>
      <c r="F396" s="2"/>
      <c r="G396" s="2"/>
      <c r="H396" s="2"/>
      <c r="I396" s="2"/>
      <c r="J396" s="2"/>
      <c r="K396" s="2"/>
      <c r="L396" s="2"/>
      <c r="M396" s="2"/>
      <c r="N396" s="2"/>
      <c r="O396" s="49"/>
      <c r="P396" s="263"/>
      <c r="Q396" s="263"/>
      <c r="R396" s="263"/>
      <c r="S396" s="1"/>
      <c r="T396" s="1"/>
      <c r="U396" s="1"/>
      <c r="V396" s="1"/>
      <c r="W396" s="1"/>
      <c r="AA396" s="1"/>
    </row>
    <row r="397" ht="12.75" customHeight="1">
      <c r="C397" s="1"/>
      <c r="D397" s="1"/>
      <c r="E397" s="2"/>
      <c r="F397" s="2"/>
      <c r="G397" s="2"/>
      <c r="H397" s="2"/>
      <c r="I397" s="2"/>
      <c r="J397" s="2"/>
      <c r="K397" s="2"/>
      <c r="L397" s="2"/>
      <c r="M397" s="2"/>
      <c r="N397" s="2"/>
      <c r="O397" s="49"/>
      <c r="P397" s="263"/>
      <c r="Q397" s="263"/>
      <c r="R397" s="263"/>
      <c r="S397" s="1"/>
      <c r="T397" s="1"/>
      <c r="U397" s="1"/>
      <c r="V397" s="1"/>
      <c r="W397" s="1"/>
      <c r="AA397" s="1"/>
    </row>
    <row r="398" ht="12.75" customHeight="1">
      <c r="C398" s="1"/>
      <c r="D398" s="1"/>
      <c r="E398" s="2"/>
      <c r="F398" s="2"/>
      <c r="G398" s="2"/>
      <c r="H398" s="2"/>
      <c r="I398" s="2"/>
      <c r="J398" s="2"/>
      <c r="K398" s="2"/>
      <c r="L398" s="2"/>
      <c r="M398" s="2"/>
      <c r="N398" s="2"/>
      <c r="O398" s="49"/>
      <c r="P398" s="263"/>
      <c r="Q398" s="263"/>
      <c r="R398" s="263"/>
      <c r="S398" s="1"/>
      <c r="T398" s="1"/>
      <c r="U398" s="1"/>
      <c r="V398" s="1"/>
      <c r="W398" s="1"/>
      <c r="AA398" s="1"/>
    </row>
    <row r="399" ht="12.75" customHeight="1">
      <c r="C399" s="1"/>
      <c r="D399" s="1"/>
      <c r="E399" s="2"/>
      <c r="F399" s="2"/>
      <c r="G399" s="2"/>
      <c r="H399" s="2"/>
      <c r="I399" s="2"/>
      <c r="J399" s="2"/>
      <c r="K399" s="2"/>
      <c r="L399" s="2"/>
      <c r="M399" s="2"/>
      <c r="N399" s="2"/>
      <c r="O399" s="49"/>
      <c r="P399" s="263"/>
      <c r="Q399" s="263"/>
      <c r="R399" s="263"/>
      <c r="S399" s="1"/>
      <c r="T399" s="1"/>
      <c r="U399" s="1"/>
      <c r="V399" s="1"/>
      <c r="W399" s="1"/>
      <c r="AA399" s="1"/>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