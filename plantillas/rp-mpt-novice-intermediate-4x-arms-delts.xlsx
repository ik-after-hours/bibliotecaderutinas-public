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Hypertrophy'!$H$8:$AI$47</definedName>
    <definedName name="_xlnm.Print_Area" localSheetId="1">'Mesocycle 2 Metabolite Focus'!$H$8:$AI$51</definedName>
    <definedName name="_xlnm.Print_Area" localSheetId="2">'Mesocycle 3 Resensitization'!$H$8:$W$41</definedName>
  </definedNames>
  <calcPr calcId="162913"/>
</workbook>
</file>

<file path=xl/calcChain.xml><?xml version="1.0" encoding="utf-8"?>
<calcChain xmlns="http://schemas.openxmlformats.org/spreadsheetml/2006/main">
  <c r="J46" i="2" l="1"/>
  <c r="J36" i="2"/>
  <c r="J24" i="2"/>
  <c r="J15" i="2"/>
  <c r="J18" i="2"/>
  <c r="J29" i="2"/>
  <c r="J40" i="2"/>
  <c r="J51" i="2"/>
  <c r="J50" i="2"/>
  <c r="J49" i="2"/>
  <c r="J48" i="2"/>
  <c r="J47" i="2"/>
  <c r="J45" i="2"/>
  <c r="J44" i="2"/>
  <c r="J39" i="2"/>
  <c r="J38" i="2"/>
  <c r="J37" i="2"/>
  <c r="J35" i="2"/>
  <c r="J34" i="2"/>
  <c r="J33" i="2"/>
  <c r="J28" i="2"/>
  <c r="J27" i="2"/>
  <c r="J26" i="2"/>
  <c r="J25" i="2"/>
  <c r="J23" i="2"/>
  <c r="J22" i="2"/>
  <c r="J17" i="2"/>
  <c r="J16" i="2"/>
  <c r="J14" i="2"/>
  <c r="J13" i="2"/>
  <c r="J12" i="2"/>
  <c r="J11" i="2"/>
  <c r="J41" i="3" l="1"/>
  <c r="J33" i="3"/>
  <c r="J24" i="3"/>
  <c r="J40" i="3"/>
  <c r="V40" i="3" s="1"/>
  <c r="J39" i="3"/>
  <c r="V39" i="3" s="1"/>
  <c r="J38" i="3"/>
  <c r="J37" i="3"/>
  <c r="P37" i="3" s="1"/>
  <c r="J32" i="3"/>
  <c r="P32" i="3" s="1"/>
  <c r="J31" i="3"/>
  <c r="V31" i="3" s="1"/>
  <c r="J30" i="3"/>
  <c r="P30" i="3" s="1"/>
  <c r="J29" i="3"/>
  <c r="V29" i="3" s="1"/>
  <c r="J28" i="3"/>
  <c r="J23" i="3"/>
  <c r="J22" i="3"/>
  <c r="J21" i="3"/>
  <c r="J20" i="3"/>
  <c r="J15" i="3"/>
  <c r="J14" i="3"/>
  <c r="J13" i="3"/>
  <c r="J12" i="3"/>
  <c r="J16" i="3"/>
  <c r="J11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V41" i="3"/>
  <c r="T41" i="3"/>
  <c r="O41" i="3"/>
  <c r="N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9" i="3"/>
  <c r="O39" i="3"/>
  <c r="N39" i="3"/>
  <c r="H39" i="3"/>
  <c r="E39" i="3" a="1"/>
  <c r="E39" i="3" s="1"/>
  <c r="F39" i="3" s="1"/>
  <c r="D39" i="3" a="1"/>
  <c r="D39" i="3" s="1"/>
  <c r="T38" i="3"/>
  <c r="O38" i="3"/>
  <c r="N38" i="3"/>
  <c r="H38" i="3"/>
  <c r="E38" i="3" a="1"/>
  <c r="E38" i="3" s="1"/>
  <c r="F38" i="3" s="1"/>
  <c r="D38" i="3" a="1"/>
  <c r="D38" i="3" s="1"/>
  <c r="T37" i="3"/>
  <c r="O37" i="3"/>
  <c r="N37" i="3"/>
  <c r="H37" i="3"/>
  <c r="E37" i="3" a="1"/>
  <c r="E37" i="3" s="1"/>
  <c r="F37" i="3" s="1"/>
  <c r="D37" i="3" a="1"/>
  <c r="D37" i="3" s="1"/>
  <c r="T33" i="3"/>
  <c r="O33" i="3"/>
  <c r="N33" i="3"/>
  <c r="V33" i="3"/>
  <c r="H33" i="3"/>
  <c r="E33" i="3" a="1"/>
  <c r="E33" i="3" s="1"/>
  <c r="F33" i="3" s="1"/>
  <c r="D33" i="3" a="1"/>
  <c r="D33" i="3" s="1"/>
  <c r="T32" i="3"/>
  <c r="O32" i="3"/>
  <c r="N32" i="3"/>
  <c r="H32" i="3"/>
  <c r="E32" i="3" a="1"/>
  <c r="E32" i="3" s="1"/>
  <c r="F32" i="3" s="1"/>
  <c r="D32" i="3" a="1"/>
  <c r="D32" i="3" s="1"/>
  <c r="T31" i="3"/>
  <c r="O31" i="3"/>
  <c r="N31" i="3"/>
  <c r="H31" i="3"/>
  <c r="E31" i="3" a="1"/>
  <c r="E31" i="3" s="1"/>
  <c r="F31" i="3" s="1"/>
  <c r="D31" i="3" a="1"/>
  <c r="D31" i="3" s="1"/>
  <c r="T30" i="3"/>
  <c r="O30" i="3"/>
  <c r="N30" i="3"/>
  <c r="H30" i="3"/>
  <c r="E30" i="3" a="1"/>
  <c r="E30" i="3" s="1"/>
  <c r="F30" i="3" s="1"/>
  <c r="D30" i="3" a="1"/>
  <c r="D30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4" i="3"/>
  <c r="O24" i="3"/>
  <c r="N24" i="3"/>
  <c r="H24" i="3"/>
  <c r="E24" i="3" a="1"/>
  <c r="E24" i="3" s="1"/>
  <c r="F24" i="3" s="1"/>
  <c r="D24" i="3" a="1"/>
  <c r="D24" i="3" s="1"/>
  <c r="T23" i="3"/>
  <c r="O23" i="3"/>
  <c r="N23" i="3"/>
  <c r="H23" i="3"/>
  <c r="E23" i="3" a="1"/>
  <c r="E23" i="3" s="1"/>
  <c r="F23" i="3" s="1"/>
  <c r="D23" i="3" a="1"/>
  <c r="D23" i="3" s="1"/>
  <c r="T22" i="3"/>
  <c r="O22" i="3"/>
  <c r="N22" i="3"/>
  <c r="H22" i="3"/>
  <c r="E22" i="3" a="1"/>
  <c r="E22" i="3" s="1"/>
  <c r="F22" i="3" s="1"/>
  <c r="D22" i="3" a="1"/>
  <c r="D22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6" i="3"/>
  <c r="O16" i="3"/>
  <c r="N16" i="3"/>
  <c r="H16" i="3"/>
  <c r="E16" i="3" a="1"/>
  <c r="E16" i="3" s="1"/>
  <c r="F16" i="3" s="1"/>
  <c r="D16" i="3" a="1"/>
  <c r="D16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P15" i="3" l="1"/>
  <c r="P21" i="3"/>
  <c r="P24" i="3"/>
  <c r="P13" i="3"/>
  <c r="P22" i="3"/>
  <c r="V22" i="3"/>
  <c r="P20" i="3"/>
  <c r="V13" i="3"/>
  <c r="V20" i="3"/>
  <c r="P41" i="3"/>
  <c r="V28" i="3"/>
  <c r="P28" i="3"/>
  <c r="V38" i="3"/>
  <c r="V37" i="3"/>
  <c r="V11" i="3"/>
  <c r="P11" i="3"/>
  <c r="V15" i="3"/>
  <c r="V21" i="3"/>
  <c r="V23" i="3"/>
  <c r="P23" i="3"/>
  <c r="V24" i="3"/>
  <c r="V32" i="3"/>
  <c r="P39" i="3"/>
  <c r="V12" i="3"/>
  <c r="P12" i="3"/>
  <c r="V16" i="3"/>
  <c r="P16" i="3"/>
  <c r="V14" i="3"/>
  <c r="P14" i="3"/>
  <c r="V30" i="3"/>
  <c r="P38" i="3"/>
  <c r="P29" i="3"/>
  <c r="P31" i="3"/>
  <c r="P33" i="3"/>
  <c r="P40" i="3"/>
  <c r="AA46" i="2"/>
  <c r="U46" i="2"/>
  <c r="O46" i="2"/>
  <c r="O45" i="2"/>
  <c r="O36" i="2"/>
  <c r="O35" i="2"/>
  <c r="U36" i="2" s="1"/>
  <c r="O24" i="2"/>
  <c r="O23" i="2"/>
  <c r="U24" i="2" s="1"/>
  <c r="O15" i="2"/>
  <c r="O14" i="2"/>
  <c r="U15" i="2" s="1"/>
  <c r="AB46" i="2" l="1"/>
  <c r="Z46" i="2"/>
  <c r="V46" i="2"/>
  <c r="T46" i="2"/>
  <c r="P46" i="2"/>
  <c r="N46" i="2"/>
  <c r="H46" i="2"/>
  <c r="E46" i="2" a="1"/>
  <c r="E46" i="2" s="1"/>
  <c r="F46" i="2" s="1"/>
  <c r="D46" i="2" a="1"/>
  <c r="D46" i="2" s="1"/>
  <c r="E36" i="2" a="1"/>
  <c r="E36" i="2" s="1"/>
  <c r="F36" i="2" s="1"/>
  <c r="D36" i="2" a="1"/>
  <c r="D36" i="2" s="1"/>
  <c r="Z36" i="2"/>
  <c r="T36" i="2"/>
  <c r="N36" i="2"/>
  <c r="H36" i="2"/>
  <c r="AB24" i="2"/>
  <c r="Z24" i="2"/>
  <c r="V24" i="2"/>
  <c r="T24" i="2"/>
  <c r="P24" i="2"/>
  <c r="N24" i="2"/>
  <c r="H24" i="2"/>
  <c r="E24" i="2" a="1"/>
  <c r="E24" i="2" s="1"/>
  <c r="F24" i="2" s="1"/>
  <c r="D24" i="2" a="1"/>
  <c r="D24" i="2" s="1"/>
  <c r="AB15" i="2"/>
  <c r="Z15" i="2"/>
  <c r="V15" i="2"/>
  <c r="T15" i="2"/>
  <c r="P15" i="2"/>
  <c r="N15" i="2"/>
  <c r="H15" i="2"/>
  <c r="E15" i="2" a="1"/>
  <c r="E15" i="2" s="1"/>
  <c r="F15" i="2" s="1"/>
  <c r="D15" i="2" a="1"/>
  <c r="D15" i="2" s="1"/>
  <c r="AB36" i="2" l="1"/>
  <c r="V36" i="2"/>
  <c r="P36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AF51" i="2"/>
  <c r="Z51" i="2"/>
  <c r="U51" i="2"/>
  <c r="AA51" i="2" s="1"/>
  <c r="T51" i="2"/>
  <c r="P51" i="2"/>
  <c r="O51" i="2"/>
  <c r="N51" i="2"/>
  <c r="AB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AH50" i="2"/>
  <c r="H50" i="2"/>
  <c r="E50" i="2" a="1"/>
  <c r="E50" i="2" s="1"/>
  <c r="F50" i="2" s="1"/>
  <c r="D50" i="2" a="1"/>
  <c r="D50" i="2" s="1"/>
  <c r="AF49" i="2"/>
  <c r="Z49" i="2"/>
  <c r="T49" i="2"/>
  <c r="O49" i="2"/>
  <c r="U49" i="2" s="1"/>
  <c r="AA49" i="2" s="1"/>
  <c r="N49" i="2"/>
  <c r="AB49" i="2"/>
  <c r="H49" i="2"/>
  <c r="E49" i="2" a="1"/>
  <c r="E49" i="2" s="1"/>
  <c r="F49" i="2" s="1"/>
  <c r="D49" i="2" a="1"/>
  <c r="D49" i="2" s="1"/>
  <c r="AF48" i="2"/>
  <c r="Z48" i="2"/>
  <c r="T48" i="2"/>
  <c r="O48" i="2"/>
  <c r="U48" i="2" s="1"/>
  <c r="AA48" i="2" s="1"/>
  <c r="N48" i="2"/>
  <c r="AH48" i="2"/>
  <c r="H48" i="2"/>
  <c r="E48" i="2" a="1"/>
  <c r="E48" i="2" s="1"/>
  <c r="F48" i="2" s="1"/>
  <c r="D48" i="2" a="1"/>
  <c r="D48" i="2" s="1"/>
  <c r="AH47" i="2"/>
  <c r="AF47" i="2"/>
  <c r="Z47" i="2"/>
  <c r="T47" i="2"/>
  <c r="O47" i="2"/>
  <c r="U47" i="2" s="1"/>
  <c r="AA47" i="2" s="1"/>
  <c r="N47" i="2"/>
  <c r="AB47" i="2"/>
  <c r="H47" i="2"/>
  <c r="E47" i="2" a="1"/>
  <c r="E47" i="2" s="1"/>
  <c r="F47" i="2" s="1"/>
  <c r="D47" i="2" a="1"/>
  <c r="D47" i="2" s="1"/>
  <c r="AF45" i="2"/>
  <c r="Z45" i="2"/>
  <c r="U45" i="2"/>
  <c r="AA45" i="2" s="1"/>
  <c r="T45" i="2"/>
  <c r="N45" i="2"/>
  <c r="AH45" i="2"/>
  <c r="H45" i="2"/>
  <c r="E45" i="2" a="1"/>
  <c r="E45" i="2" s="1"/>
  <c r="F45" i="2" s="1"/>
  <c r="D45" i="2" a="1"/>
  <c r="D45" i="2" s="1"/>
  <c r="AF44" i="2"/>
  <c r="Z44" i="2"/>
  <c r="T44" i="2"/>
  <c r="O44" i="2"/>
  <c r="U44" i="2" s="1"/>
  <c r="AA44" i="2" s="1"/>
  <c r="N44" i="2"/>
  <c r="AB44" i="2"/>
  <c r="H44" i="2"/>
  <c r="E44" i="2" a="1"/>
  <c r="E44" i="2" s="1"/>
  <c r="F44" i="2" s="1"/>
  <c r="D44" i="2" a="1"/>
  <c r="D44" i="2" s="1"/>
  <c r="AF40" i="2"/>
  <c r="Z40" i="2"/>
  <c r="T40" i="2"/>
  <c r="O40" i="2"/>
  <c r="U40" i="2" s="1"/>
  <c r="AA40" i="2" s="1"/>
  <c r="N40" i="2"/>
  <c r="AH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AH38" i="2"/>
  <c r="H38" i="2"/>
  <c r="E38" i="2" a="1"/>
  <c r="E38" i="2" s="1"/>
  <c r="F38" i="2" s="1"/>
  <c r="D38" i="2" a="1"/>
  <c r="D38" i="2" s="1"/>
  <c r="AF37" i="2"/>
  <c r="Z37" i="2"/>
  <c r="T37" i="2"/>
  <c r="O37" i="2"/>
  <c r="U37" i="2" s="1"/>
  <c r="AA37" i="2" s="1"/>
  <c r="N37" i="2"/>
  <c r="P37" i="2"/>
  <c r="H37" i="2"/>
  <c r="E37" i="2" a="1"/>
  <c r="E37" i="2" s="1"/>
  <c r="F37" i="2" s="1"/>
  <c r="D37" i="2" a="1"/>
  <c r="D37" i="2" s="1"/>
  <c r="AF35" i="2"/>
  <c r="Z35" i="2"/>
  <c r="U35" i="2"/>
  <c r="T35" i="2"/>
  <c r="N35" i="2"/>
  <c r="H35" i="2"/>
  <c r="E35" i="2" a="1"/>
  <c r="E35" i="2" s="1"/>
  <c r="F35" i="2" s="1"/>
  <c r="D35" i="2" a="1"/>
  <c r="D35" i="2" s="1"/>
  <c r="AF34" i="2"/>
  <c r="AA34" i="2"/>
  <c r="Z34" i="2"/>
  <c r="T34" i="2"/>
  <c r="O34" i="2"/>
  <c r="U34" i="2" s="1"/>
  <c r="N34" i="2"/>
  <c r="AB34" i="2"/>
  <c r="H34" i="2"/>
  <c r="E34" i="2" a="1"/>
  <c r="E34" i="2" s="1"/>
  <c r="F34" i="2" s="1"/>
  <c r="D34" i="2" a="1"/>
  <c r="D34" i="2" s="1"/>
  <c r="AF33" i="2"/>
  <c r="Z33" i="2"/>
  <c r="T33" i="2"/>
  <c r="O33" i="2"/>
  <c r="U33" i="2" s="1"/>
  <c r="AA33" i="2" s="1"/>
  <c r="N33" i="2"/>
  <c r="H33" i="2"/>
  <c r="E33" i="2" a="1"/>
  <c r="E33" i="2" s="1"/>
  <c r="F33" i="2" s="1"/>
  <c r="D33" i="2" a="1"/>
  <c r="D33" i="2" s="1"/>
  <c r="AF29" i="2"/>
  <c r="Z29" i="2"/>
  <c r="T29" i="2"/>
  <c r="O29" i="2"/>
  <c r="U29" i="2" s="1"/>
  <c r="AA29" i="2" s="1"/>
  <c r="N29" i="2"/>
  <c r="AB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H28" i="2"/>
  <c r="E28" i="2" a="1"/>
  <c r="E28" i="2" s="1"/>
  <c r="F28" i="2" s="1"/>
  <c r="D28" i="2" a="1"/>
  <c r="D28" i="2" s="1"/>
  <c r="AF27" i="2"/>
  <c r="Z27" i="2"/>
  <c r="T27" i="2"/>
  <c r="O27" i="2"/>
  <c r="U27" i="2" s="1"/>
  <c r="AA27" i="2" s="1"/>
  <c r="N27" i="2"/>
  <c r="AB27" i="2"/>
  <c r="H27" i="2"/>
  <c r="E27" i="2" a="1"/>
  <c r="E27" i="2" s="1"/>
  <c r="F27" i="2" s="1"/>
  <c r="D27" i="2" a="1"/>
  <c r="D27" i="2" s="1"/>
  <c r="AF26" i="2"/>
  <c r="Z26" i="2"/>
  <c r="T26" i="2"/>
  <c r="O26" i="2"/>
  <c r="U26" i="2" s="1"/>
  <c r="AA26" i="2" s="1"/>
  <c r="N26" i="2"/>
  <c r="V26" i="2"/>
  <c r="H26" i="2"/>
  <c r="E26" i="2" a="1"/>
  <c r="E26" i="2" s="1"/>
  <c r="F26" i="2" s="1"/>
  <c r="D26" i="2" a="1"/>
  <c r="D26" i="2" s="1"/>
  <c r="AF25" i="2"/>
  <c r="Z25" i="2"/>
  <c r="T25" i="2"/>
  <c r="O25" i="2"/>
  <c r="U25" i="2" s="1"/>
  <c r="AA25" i="2" s="1"/>
  <c r="N25" i="2"/>
  <c r="AB25" i="2"/>
  <c r="H25" i="2"/>
  <c r="E25" i="2" a="1"/>
  <c r="E25" i="2" s="1"/>
  <c r="F25" i="2" s="1"/>
  <c r="D25" i="2" a="1"/>
  <c r="D25" i="2" s="1"/>
  <c r="AF23" i="2"/>
  <c r="Z23" i="2"/>
  <c r="U23" i="2"/>
  <c r="T23" i="2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18" i="2"/>
  <c r="Z18" i="2"/>
  <c r="T18" i="2"/>
  <c r="O18" i="2"/>
  <c r="U18" i="2" s="1"/>
  <c r="AA18" i="2" s="1"/>
  <c r="N18" i="2"/>
  <c r="H18" i="2"/>
  <c r="E18" i="2" a="1"/>
  <c r="E18" i="2" s="1"/>
  <c r="F18" i="2" s="1"/>
  <c r="D18" i="2" a="1"/>
  <c r="D18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V16" i="2"/>
  <c r="H16" i="2"/>
  <c r="E16" i="2" a="1"/>
  <c r="E16" i="2" s="1"/>
  <c r="F16" i="2" s="1"/>
  <c r="D16" i="2" a="1"/>
  <c r="D16" i="2" s="1"/>
  <c r="AF14" i="2"/>
  <c r="Z14" i="2"/>
  <c r="T14" i="2"/>
  <c r="U14" i="2"/>
  <c r="AA15" i="2" s="1"/>
  <c r="N14" i="2"/>
  <c r="AB14" i="2"/>
  <c r="H14" i="2"/>
  <c r="E14" i="2" a="1"/>
  <c r="E14" i="2" s="1"/>
  <c r="F14" i="2" s="1"/>
  <c r="D14" i="2" a="1"/>
  <c r="D14" i="2" s="1"/>
  <c r="AF13" i="2"/>
  <c r="Z13" i="2"/>
  <c r="T13" i="2"/>
  <c r="O13" i="2"/>
  <c r="U13" i="2" s="1"/>
  <c r="AA13" i="2" s="1"/>
  <c r="N13" i="2"/>
  <c r="V13" i="2"/>
  <c r="H13" i="2"/>
  <c r="E13" i="2" a="1"/>
  <c r="E13" i="2" s="1"/>
  <c r="F13" i="2" s="1"/>
  <c r="D13" i="2" a="1"/>
  <c r="D13" i="2" s="1"/>
  <c r="AF12" i="2"/>
  <c r="Z12" i="2"/>
  <c r="T12" i="2"/>
  <c r="O12" i="2"/>
  <c r="U12" i="2" s="1"/>
  <c r="AA12" i="2" s="1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P17" i="2" l="1"/>
  <c r="AH37" i="2"/>
  <c r="AH39" i="2"/>
  <c r="V29" i="2"/>
  <c r="AB45" i="2"/>
  <c r="P14" i="2"/>
  <c r="V25" i="2"/>
  <c r="V38" i="2"/>
  <c r="AB40" i="2"/>
  <c r="AH44" i="2"/>
  <c r="V45" i="2"/>
  <c r="V17" i="2"/>
  <c r="P25" i="2"/>
  <c r="P29" i="2"/>
  <c r="AB38" i="2"/>
  <c r="V40" i="2"/>
  <c r="V48" i="2"/>
  <c r="AH12" i="2"/>
  <c r="AH49" i="2"/>
  <c r="AH17" i="2"/>
  <c r="P22" i="2"/>
  <c r="P12" i="2"/>
  <c r="AA14" i="2"/>
  <c r="AH25" i="2"/>
  <c r="P27" i="2"/>
  <c r="P39" i="2"/>
  <c r="V50" i="2"/>
  <c r="P44" i="2"/>
  <c r="P47" i="2"/>
  <c r="AB48" i="2"/>
  <c r="AH51" i="2"/>
  <c r="AA35" i="2"/>
  <c r="AA36" i="2"/>
  <c r="V12" i="2"/>
  <c r="AA23" i="2"/>
  <c r="AA24" i="2"/>
  <c r="AH29" i="2"/>
  <c r="P34" i="2"/>
  <c r="P49" i="2"/>
  <c r="AB50" i="2"/>
  <c r="AH28" i="2"/>
  <c r="P28" i="2"/>
  <c r="AB28" i="2"/>
  <c r="AH35" i="2"/>
  <c r="P35" i="2"/>
  <c r="V14" i="2"/>
  <c r="AH14" i="2"/>
  <c r="AH18" i="2"/>
  <c r="P18" i="2"/>
  <c r="AB18" i="2"/>
  <c r="V22" i="2"/>
  <c r="AH22" i="2"/>
  <c r="AH27" i="2"/>
  <c r="AH33" i="2"/>
  <c r="P33" i="2"/>
  <c r="V18" i="2"/>
  <c r="V33" i="2"/>
  <c r="AH23" i="2"/>
  <c r="P23" i="2"/>
  <c r="AB23" i="2"/>
  <c r="AB35" i="2"/>
  <c r="V23" i="2"/>
  <c r="V28" i="2"/>
  <c r="V35" i="2"/>
  <c r="AH11" i="2"/>
  <c r="P11" i="2"/>
  <c r="AB11" i="2"/>
  <c r="AH16" i="2"/>
  <c r="P16" i="2"/>
  <c r="AB16" i="2"/>
  <c r="V11" i="2"/>
  <c r="AH13" i="2"/>
  <c r="P13" i="2"/>
  <c r="AB13" i="2"/>
  <c r="AH26" i="2"/>
  <c r="P26" i="2"/>
  <c r="AB26" i="2"/>
  <c r="V27" i="2"/>
  <c r="AB33" i="2"/>
  <c r="V34" i="2"/>
  <c r="AH34" i="2"/>
  <c r="AB37" i="2"/>
  <c r="V37" i="2"/>
  <c r="V39" i="2"/>
  <c r="V44" i="2"/>
  <c r="V47" i="2"/>
  <c r="V49" i="2"/>
  <c r="V51" i="2"/>
  <c r="P38" i="2"/>
  <c r="P40" i="2"/>
  <c r="P45" i="2"/>
  <c r="P48" i="2"/>
  <c r="P50" i="2"/>
  <c r="O47" i="1"/>
  <c r="U47" i="1" s="1"/>
  <c r="AA47" i="1" s="1"/>
  <c r="O46" i="1"/>
  <c r="U46" i="1" s="1"/>
  <c r="AA46" i="1" s="1"/>
  <c r="O45" i="1"/>
  <c r="U45" i="1" s="1"/>
  <c r="AA45" i="1" s="1"/>
  <c r="O44" i="1"/>
  <c r="U44" i="1" s="1"/>
  <c r="AA44" i="1" s="1"/>
  <c r="O43" i="1"/>
  <c r="U43" i="1" s="1"/>
  <c r="AA43" i="1" s="1"/>
  <c r="O42" i="1"/>
  <c r="U42" i="1" s="1"/>
  <c r="AA42" i="1" s="1"/>
  <c r="O41" i="1"/>
  <c r="U41" i="1" s="1"/>
  <c r="AA41" i="1" s="1"/>
  <c r="O37" i="1"/>
  <c r="U37" i="1" s="1"/>
  <c r="AA37" i="1" s="1"/>
  <c r="O36" i="1"/>
  <c r="U36" i="1" s="1"/>
  <c r="AA36" i="1" s="1"/>
  <c r="O35" i="1"/>
  <c r="U35" i="1" s="1"/>
  <c r="AA35" i="1" s="1"/>
  <c r="O34" i="1"/>
  <c r="U34" i="1" s="1"/>
  <c r="AA34" i="1" s="1"/>
  <c r="O33" i="1"/>
  <c r="U33" i="1" s="1"/>
  <c r="AA33" i="1" s="1"/>
  <c r="O32" i="1"/>
  <c r="U32" i="1" s="1"/>
  <c r="AA32" i="1" s="1"/>
  <c r="O31" i="1"/>
  <c r="U31" i="1" s="1"/>
  <c r="AA31" i="1" s="1"/>
  <c r="O27" i="1"/>
  <c r="U27" i="1" s="1"/>
  <c r="AA27" i="1" s="1"/>
  <c r="O26" i="1"/>
  <c r="U26" i="1" s="1"/>
  <c r="AA26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21" i="1"/>
  <c r="U21" i="1" s="1"/>
  <c r="AA21" i="1" s="1"/>
  <c r="O17" i="1"/>
  <c r="U17" i="1" s="1"/>
  <c r="AA17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7" i="1" l="1"/>
  <c r="Z47" i="1"/>
  <c r="T47" i="1"/>
  <c r="N47" i="1"/>
  <c r="J47" i="1"/>
  <c r="AH47" i="1" s="1"/>
  <c r="H47" i="1"/>
  <c r="AF46" i="1"/>
  <c r="Z46" i="1"/>
  <c r="T46" i="1"/>
  <c r="N46" i="1"/>
  <c r="J46" i="1"/>
  <c r="V46" i="1" s="1"/>
  <c r="H46" i="1"/>
  <c r="AF45" i="1"/>
  <c r="Z45" i="1"/>
  <c r="T45" i="1"/>
  <c r="N45" i="1"/>
  <c r="J45" i="1"/>
  <c r="AH45" i="1" s="1"/>
  <c r="H45" i="1"/>
  <c r="AF44" i="1"/>
  <c r="Z44" i="1"/>
  <c r="T44" i="1"/>
  <c r="N44" i="1"/>
  <c r="J44" i="1"/>
  <c r="AB44" i="1" s="1"/>
  <c r="H44" i="1"/>
  <c r="AF43" i="1"/>
  <c r="Z43" i="1"/>
  <c r="T43" i="1"/>
  <c r="N43" i="1"/>
  <c r="J43" i="1"/>
  <c r="V43" i="1" s="1"/>
  <c r="H43" i="1"/>
  <c r="AF42" i="1"/>
  <c r="Z42" i="1"/>
  <c r="T42" i="1"/>
  <c r="N42" i="1"/>
  <c r="J42" i="1"/>
  <c r="AH42" i="1" s="1"/>
  <c r="H42" i="1"/>
  <c r="AF41" i="1"/>
  <c r="Z41" i="1"/>
  <c r="T41" i="1"/>
  <c r="N41" i="1"/>
  <c r="J41" i="1"/>
  <c r="AB41" i="1" s="1"/>
  <c r="H41" i="1"/>
  <c r="AF37" i="1"/>
  <c r="Z37" i="1"/>
  <c r="T37" i="1"/>
  <c r="N37" i="1"/>
  <c r="J37" i="1"/>
  <c r="V37" i="1" s="1"/>
  <c r="H37" i="1"/>
  <c r="AF36" i="1"/>
  <c r="Z36" i="1"/>
  <c r="T36" i="1"/>
  <c r="N36" i="1"/>
  <c r="J36" i="1"/>
  <c r="AH36" i="1" s="1"/>
  <c r="H36" i="1"/>
  <c r="AF35" i="1"/>
  <c r="Z35" i="1"/>
  <c r="T35" i="1"/>
  <c r="N35" i="1"/>
  <c r="J35" i="1"/>
  <c r="V35" i="1" s="1"/>
  <c r="H35" i="1"/>
  <c r="AF34" i="1"/>
  <c r="Z34" i="1"/>
  <c r="T34" i="1"/>
  <c r="N34" i="1"/>
  <c r="J34" i="1"/>
  <c r="AH34" i="1" s="1"/>
  <c r="H34" i="1"/>
  <c r="AF33" i="1"/>
  <c r="Z33" i="1"/>
  <c r="T33" i="1"/>
  <c r="N33" i="1"/>
  <c r="J33" i="1"/>
  <c r="AH33" i="1" s="1"/>
  <c r="H33" i="1"/>
  <c r="AF32" i="1"/>
  <c r="Z32" i="1"/>
  <c r="T32" i="1"/>
  <c r="N32" i="1"/>
  <c r="J32" i="1"/>
  <c r="V32" i="1" s="1"/>
  <c r="H32" i="1"/>
  <c r="AF31" i="1"/>
  <c r="Z31" i="1"/>
  <c r="T31" i="1"/>
  <c r="N31" i="1"/>
  <c r="J31" i="1"/>
  <c r="AH31" i="1" s="1"/>
  <c r="H31" i="1"/>
  <c r="AF27" i="1"/>
  <c r="Z27" i="1"/>
  <c r="T27" i="1"/>
  <c r="N27" i="1"/>
  <c r="J27" i="1"/>
  <c r="AB27" i="1" s="1"/>
  <c r="H27" i="1"/>
  <c r="AF26" i="1"/>
  <c r="Z26" i="1"/>
  <c r="T26" i="1"/>
  <c r="N26" i="1"/>
  <c r="J26" i="1"/>
  <c r="V26" i="1" s="1"/>
  <c r="H26" i="1"/>
  <c r="AF25" i="1"/>
  <c r="Z25" i="1"/>
  <c r="V25" i="1"/>
  <c r="T25" i="1"/>
  <c r="N25" i="1"/>
  <c r="J25" i="1"/>
  <c r="AH25" i="1" s="1"/>
  <c r="H25" i="1"/>
  <c r="AF24" i="1"/>
  <c r="Z24" i="1"/>
  <c r="T24" i="1"/>
  <c r="N24" i="1"/>
  <c r="J24" i="1"/>
  <c r="V24" i="1" s="1"/>
  <c r="H24" i="1"/>
  <c r="AF23" i="1"/>
  <c r="Z23" i="1"/>
  <c r="T23" i="1"/>
  <c r="N23" i="1"/>
  <c r="J23" i="1"/>
  <c r="AH23" i="1" s="1"/>
  <c r="H23" i="1"/>
  <c r="AF22" i="1"/>
  <c r="Z22" i="1"/>
  <c r="T22" i="1"/>
  <c r="N22" i="1"/>
  <c r="J22" i="1"/>
  <c r="P22" i="1" s="1"/>
  <c r="H22" i="1"/>
  <c r="AF21" i="1"/>
  <c r="Z21" i="1"/>
  <c r="T21" i="1"/>
  <c r="N21" i="1"/>
  <c r="J21" i="1"/>
  <c r="V21" i="1" s="1"/>
  <c r="H21" i="1"/>
  <c r="AF17" i="1"/>
  <c r="Z17" i="1"/>
  <c r="T17" i="1"/>
  <c r="N17" i="1"/>
  <c r="J17" i="1"/>
  <c r="AH17" i="1" s="1"/>
  <c r="H17" i="1"/>
  <c r="AF16" i="1"/>
  <c r="Z16" i="1"/>
  <c r="T16" i="1"/>
  <c r="N16" i="1"/>
  <c r="J16" i="1"/>
  <c r="AB16" i="1" s="1"/>
  <c r="H16" i="1"/>
  <c r="AF15" i="1"/>
  <c r="Z15" i="1"/>
  <c r="T15" i="1"/>
  <c r="N15" i="1"/>
  <c r="J15" i="1"/>
  <c r="V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V13" i="1" s="1"/>
  <c r="H13" i="1"/>
  <c r="AF12" i="1"/>
  <c r="Z12" i="1"/>
  <c r="V12" i="1"/>
  <c r="T12" i="1"/>
  <c r="N12" i="1"/>
  <c r="J12" i="1"/>
  <c r="AH12" i="1" s="1"/>
  <c r="H12" i="1"/>
  <c r="AF11" i="1"/>
  <c r="Z11" i="1"/>
  <c r="T11" i="1"/>
  <c r="N11" i="1"/>
  <c r="J11" i="1"/>
  <c r="AH11" i="1" s="1"/>
  <c r="H11" i="1"/>
  <c r="AH44" i="1" l="1"/>
  <c r="V23" i="1"/>
  <c r="AH46" i="1"/>
  <c r="AB26" i="1"/>
  <c r="P11" i="1"/>
  <c r="AB11" i="1"/>
  <c r="V14" i="1"/>
  <c r="AB15" i="1"/>
  <c r="V22" i="1"/>
  <c r="AB33" i="1"/>
  <c r="V11" i="1"/>
  <c r="AB13" i="1"/>
  <c r="P24" i="1"/>
  <c r="AH24" i="1"/>
  <c r="P33" i="1"/>
  <c r="AH13" i="1"/>
  <c r="AB22" i="1"/>
  <c r="AB24" i="1"/>
  <c r="V33" i="1"/>
  <c r="P44" i="1"/>
  <c r="P46" i="1"/>
  <c r="P35" i="1"/>
  <c r="V34" i="1"/>
  <c r="V36" i="1"/>
  <c r="AB37" i="1"/>
  <c r="AH22" i="1"/>
  <c r="AB35" i="1"/>
  <c r="V44" i="1"/>
  <c r="V45" i="1"/>
  <c r="V47" i="1"/>
  <c r="P13" i="1"/>
  <c r="AB46" i="1"/>
  <c r="AH35" i="1"/>
  <c r="P16" i="1"/>
  <c r="AH16" i="1"/>
  <c r="V17" i="1"/>
  <c r="AB21" i="1"/>
  <c r="P27" i="1"/>
  <c r="AH27" i="1"/>
  <c r="V31" i="1"/>
  <c r="AB32" i="1"/>
  <c r="P41" i="1"/>
  <c r="AH41" i="1"/>
  <c r="V42" i="1"/>
  <c r="AB43" i="1"/>
  <c r="AB12" i="1"/>
  <c r="P21" i="1"/>
  <c r="AH21" i="1"/>
  <c r="AB23" i="1"/>
  <c r="P32" i="1"/>
  <c r="AH32" i="1"/>
  <c r="AB34" i="1"/>
  <c r="P43" i="1"/>
  <c r="AH43" i="1"/>
  <c r="AB45" i="1"/>
  <c r="P15" i="1"/>
  <c r="AH15" i="1"/>
  <c r="V16" i="1"/>
  <c r="AB17" i="1"/>
  <c r="P26" i="1"/>
  <c r="AH26" i="1"/>
  <c r="V27" i="1"/>
  <c r="AB31" i="1"/>
  <c r="P37" i="1"/>
  <c r="AH37" i="1"/>
  <c r="V41" i="1"/>
  <c r="AB42" i="1"/>
  <c r="P12" i="1"/>
  <c r="AB14" i="1"/>
  <c r="P23" i="1"/>
  <c r="AB25" i="1"/>
  <c r="P34" i="1"/>
  <c r="AB36" i="1"/>
  <c r="P45" i="1"/>
  <c r="AB47" i="1"/>
  <c r="P17" i="1"/>
  <c r="P31" i="1"/>
  <c r="P42" i="1"/>
  <c r="P14" i="1"/>
  <c r="P25" i="1"/>
  <c r="P36" i="1"/>
  <c r="P47" i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3" i="1" a="1"/>
  <c r="E43" i="1" s="1"/>
  <c r="F43" i="1" s="1"/>
  <c r="D43" i="1" a="1"/>
  <c r="D43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37" i="1" a="1"/>
  <c r="E37" i="1" s="1"/>
  <c r="F37" i="1" s="1"/>
  <c r="D37" i="1" a="1"/>
  <c r="D37" i="1" s="1"/>
  <c r="E36" i="1" a="1"/>
  <c r="E36" i="1" s="1"/>
  <c r="F36" i="1" s="1"/>
  <c r="D36" i="1" a="1"/>
  <c r="D36" i="1" s="1"/>
  <c r="E35" i="1" a="1"/>
  <c r="E35" i="1" s="1"/>
  <c r="F35" i="1" s="1"/>
  <c r="D35" i="1" a="1"/>
  <c r="D35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27" i="1" a="1"/>
  <c r="E27" i="1" s="1"/>
  <c r="F27" i="1" s="1"/>
  <c r="D27" i="1" a="1"/>
  <c r="D27" i="1" s="1"/>
  <c r="E26" i="1" a="1"/>
  <c r="E26" i="1" s="1"/>
  <c r="F26" i="1" s="1"/>
  <c r="D26" i="1" a="1"/>
  <c r="D26" i="1" s="1"/>
  <c r="E25" i="1" a="1"/>
  <c r="E25" i="1" s="1"/>
  <c r="F25" i="1" s="1"/>
  <c r="D25" i="1" a="1"/>
  <c r="D25" i="1" s="1"/>
  <c r="E24" i="1" a="1"/>
  <c r="E24" i="1" s="1"/>
  <c r="F24" i="1" s="1"/>
  <c r="D24" i="1" a="1"/>
  <c r="D24" i="1" s="1"/>
  <c r="E23" i="1" a="1"/>
  <c r="E23" i="1" s="1"/>
  <c r="F23" i="1" s="1"/>
  <c r="D23" i="1" a="1"/>
  <c r="D23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D11" i="1" l="1" a="1"/>
  <c r="D11" i="1" s="1"/>
  <c r="F11" i="1" s="1"/>
</calcChain>
</file>

<file path=xl/sharedStrings.xml><?xml version="1.0" encoding="utf-8"?>
<sst xmlns="http://schemas.openxmlformats.org/spreadsheetml/2006/main" count="3940" uniqueCount="353">
  <si>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</si>
  <si>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</si>
  <si>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</si>
  <si>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</si>
  <si>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</si>
  <si>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</si>
  <si>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</si>
  <si>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</si>
  <si>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</si>
  <si>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</si>
  <si>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</si>
  <si>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</si>
  <si>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</si>
  <si>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</si>
  <si>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</si>
  <si>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</si>
  <si>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</si>
  <si>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</si>
  <si>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</si>
  <si>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</si>
  <si>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</si>
  <si>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</si>
  <si>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</si>
  <si>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</si>
  <si>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</si>
  <si>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</si>
  <si>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</si>
  <si>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</si>
  <si>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</si>
  <si>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</si>
  <si>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</si>
  <si>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</si>
  <si>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</si>
  <si>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</si>
  <si>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</si>
  <si>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</si>
  <si>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</si>
  <si>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</si>
  <si>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</si>
  <si>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</si>
  <si>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</si>
  <si>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</si>
  <si>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</si>
  <si>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</si>
  <si>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</si>
  <si>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</si>
  <si>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</si>
  <si>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</si>
  <si>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</si>
  <si>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</si>
  <si>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</si>
  <si>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</si>
  <si>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</si>
  <si>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</si>
  <si>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</si>
  <si>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</si>
  <si>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</si>
  <si>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</si>
  <si>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</si>
  <si>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</si>
  <si>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</si>
  <si>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</si>
  <si>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</si>
  <si>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</si>
  <si>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</si>
  <si>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</si>
  <si>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</si>
  <si>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</si>
  <si>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</si>
  <si>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</si>
  <si>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</si>
  <si>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</si>
  <si>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</si>
  <si>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</si>
  <si>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</si>
  <si>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</si>
  <si>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</si>
  <si>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</si>
  <si>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</si>
  <si>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</si>
  <si>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</si>
  <si>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</si>
  <si>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</si>
  <si>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</si>
  <si>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</si>
  <si>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</si>
  <si>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</si>
  <si>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</si>
  <si>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</si>
  <si>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</si>
  <si>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</si>
  <si>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</si>
  <si>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</si>
  <si>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</si>
  <si>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</si>
  <si>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</si>
  <si>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</si>
  <si>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</si>
  <si>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</si>
  <si>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</si>
  <si>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</si>
  <si>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</si>
  <si>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</si>
  <si>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</si>
  <si>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</si>
  <si>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</si>
  <si>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</si>
  <si>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</si>
  <si>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</si>
  <si>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</si>
  <si>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</si>
  <si>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</si>
  <si>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</si>
  <si>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</si>
  <si>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</si>
  <si>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</si>
  <si>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</si>
  <si>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</si>
  <si>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</si>
  <si>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</si>
  <si>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</si>
  <si>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</si>
  <si>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</si>
  <si>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</si>
  <si>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</si>
  <si>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</si>
  <si>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</si>
  <si>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</si>
  <si>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</si>
  <si>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</si>
  <si>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</si>
  <si>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</si>
  <si>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</si>
  <si>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</si>
  <si>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</si>
  <si>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</si>
  <si>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</si>
  <si>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</si>
  <si>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</si>
  <si>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</si>
  <si>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</si>
  <si>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</si>
  <si>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</si>
  <si>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</si>
  <si>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</si>
  <si>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</si>
  <si>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</si>
  <si>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</si>
  <si>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</si>
  <si>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</si>
  <si>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</si>
  <si>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</si>
  <si>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</si>
  <si>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</si>
  <si>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</si>
  <si>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</si>
  <si>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</si>
  <si>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</si>
  <si>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</si>
  <si>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</si>
  <si>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</si>
  <si>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</si>
  <si>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</si>
  <si>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</si>
  <si>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</si>
  <si>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</si>
  <si>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</si>
  <si>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</si>
  <si>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</si>
  <si>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</si>
  <si>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</si>
  <si>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</si>
  <si>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</si>
  <si>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</si>
  <si>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</si>
  <si>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</si>
  <si>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</si>
  <si>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</si>
  <si>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</si>
  <si>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</si>
  <si>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</si>
  <si>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</si>
  <si>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</si>
  <si>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</si>
  <si>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</si>
  <si>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</si>
  <si>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</si>
  <si>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</si>
  <si>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</si>
  <si>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</si>
  <si>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</si>
  <si>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</si>
  <si>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</si>
  <si>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</si>
  <si>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</si>
  <si>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</si>
  <si>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</si>
  <si>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</si>
  <si>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</si>
  <si>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</si>
  <si>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</si>
  <si>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</si>
  <si>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</si>
  <si>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</si>
  <si>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</si>
  <si>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</si>
  <si>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</si>
  <si>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</si>
  <si>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</si>
  <si>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</si>
  <si>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</si>
  <si>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</si>
  <si>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</si>
  <si>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</si>
  <si>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</si>
  <si>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</si>
  <si>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</si>
  <si>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</si>
  <si>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</si>
  <si>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</si>
  <si>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</si>
  <si>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</si>
  <si>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</si>
  <si>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</si>
  <si>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</si>
  <si>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</si>
  <si>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</si>
  <si>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</si>
  <si>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</si>
  <si>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</si>
  <si>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</si>
  <si>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</si>
  <si>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</si>
  <si>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</si>
  <si>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</si>
  <si>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</si>
  <si>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</si>
  <si>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</si>
  <si>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</si>
  <si>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</si>
  <si>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</si>
  <si>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</si>
  <si>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</si>
  <si>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</si>
  <si>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</si>
  <si>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</si>
  <si>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</si>
  <si>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</si>
  <si>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</si>
  <si>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</si>
  <si>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</si>
  <si>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</si>
  <si>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</si>
  <si>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</si>
  <si>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</si>
  <si>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</si>
  <si>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</si>
  <si>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</si>
  <si>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</si>
  <si>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</si>
  <si>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</si>
  <si>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</si>
  <si>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</si>
  <si>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</si>
  <si>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</si>
  <si>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</si>
  <si>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</si>
  <si>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</si>
  <si>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</si>
  <si>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</si>
  <si>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</si>
  <si>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</si>
  <si>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</si>
  <si>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</si>
  <si>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</si>
  <si>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</si>
  <si>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</si>
  <si>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</si>
  <si>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</si>
  <si>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</si>
  <si>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</si>
  <si>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</si>
  <si>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</si>
  <si>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</si>
  <si>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</si>
  <si>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</si>
  <si>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</si>
  <si>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</si>
  <si>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</si>
  <si>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</si>
  <si>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</si>
  <si>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</si>
  <si>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</si>
  <si>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</si>
  <si>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</si>
  <si>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</si>
  <si>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</si>
  <si>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</si>
  <si>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</si>
  <si>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</si>
  <si>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</si>
  <si>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</si>
  <si>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</si>
  <si>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</si>
  <si>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</si>
  <si>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</si>
  <si>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</si>
  <si>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</si>
  <si>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</si>
  <si>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</si>
  <si>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</si>
  <si>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</si>
  <si>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</si>
  <si>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</si>
  <si>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</si>
  <si>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</si>
  <si>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</si>
  <si>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</si>
  <si>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</si>
  <si>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</si>
  <si>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</si>
  <si>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</si>
  <si>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</si>
  <si>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</si>
  <si>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</si>
  <si>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</si>
  <si>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</si>
  <si>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</si>
  <si>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</si>
  <si>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</si>
  <si>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</si>
  <si>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</si>
  <si>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</si>
  <si>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</si>
  <si>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</si>
  <si>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</si>
  <si>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</si>
  <si>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</si>
  <si>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One day rest between days 2 and 3</t>
  </si>
  <si>
    <t>One day rest between days 3 and 4</t>
  </si>
  <si>
    <t>One day rest between day 4 and the next week's day 1</t>
  </si>
  <si>
    <t>Horizontal Pull</t>
  </si>
  <si>
    <t>Vertical Pull</t>
  </si>
  <si>
    <t>Rear or Side Delts</t>
  </si>
  <si>
    <t>Hamstring Isolation</t>
  </si>
  <si>
    <t>Hamstring Hip Hinge</t>
  </si>
  <si>
    <t>Triceps Front Delts</t>
  </si>
  <si>
    <t>Biceps Side Rear Delts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</si>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</sst>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1" fillId="0" borderId="0" xfId="0" applyFont="1" applyFill="1" applyBorder="1"/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2" fillId="9" borderId="25" xfId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2" fillId="9" borderId="42" xfId="1" applyFill="1" applyBorder="1" applyAlignment="1" applyProtection="1">
      <alignment horizontal="center"/>
    </xf>
    <xf numFmtId="0" fontId="2" fillId="9" borderId="43" xfId="1" applyFill="1" applyBorder="1" applyAlignment="1" applyProtection="1">
      <alignment horizontal="center"/>
    </xf>
    <xf numFmtId="0" fontId="2" fillId="9" borderId="44" xfId="1" applyFill="1" applyBorder="1" applyAlignment="1" applyProtection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9" borderId="26" xfId="1" applyFill="1" applyBorder="1" applyAlignment="1" applyProtection="1">
      <alignment horizontal="center"/>
    </xf>
    <xf numFmtId="0" fontId="2" fillId="9" borderId="28" xfId="1" applyFill="1" applyBorder="1" applyAlignment="1" applyProtection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11" borderId="54" xfId="1" applyFill="1" applyBorder="1" applyAlignment="1" applyProtection="1">
      <alignment horizontal="center" vertical="center"/>
    </xf>
    <xf numFmtId="0" fontId="2" fillId="11" borderId="55" xfId="1" applyFill="1" applyBorder="1" applyAlignment="1" applyProtection="1">
      <alignment horizontal="center" vertical="center"/>
    </xf>
    <xf numFmtId="0" fontId="2" fillId="11" borderId="56" xfId="1" applyFill="1" applyBorder="1" applyAlignment="1" applyProtection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2" fillId="9" borderId="58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2458720</xdr:colOff>
      <xdr:row>7</xdr:row>
      <xdr:rowOff>222250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94175" cy="1695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636085" y="257175"/>
          <a:ext cx="85099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775335</xdr:colOff>
      <xdr:row>2</xdr:row>
      <xdr:rowOff>19049</xdr:rowOff>
    </xdr:from>
    <xdr:to>
      <xdr:col>21</xdr:col>
      <xdr:colOff>495300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1930360" y="514349"/>
          <a:ext cx="1463040" cy="9620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559651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839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75:C82" totalsRowShown="0" headerRowDxfId="401" dataDxfId="400">
  <autoFilter ref="B75:C82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77:C286" totalsRowShown="0" headerRowDxfId="397" dataDxfId="395" headerRowBorderDxfId="396" tableBorderDxfId="394">
  <autoFilter ref="B277:C286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88:E310" totalsRowShown="0">
  <autoFilter ref="B288:E310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55:C275" totalsRowShown="0" headerRowDxfId="388" dataDxfId="386" headerRowBorderDxfId="387" tableBorderDxfId="385">
  <autoFilter ref="B255:C275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2:C254" totalsRowShown="0" headerRowDxfId="382" dataDxfId="380" headerRowBorderDxfId="381" tableBorderDxfId="379">
  <autoFilter ref="B242:C254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28:C241" totalsRowShown="0" headerRowDxfId="376" dataDxfId="374" headerRowBorderDxfId="375" tableBorderDxfId="373">
  <autoFilter ref="B228:C241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19:C225" totalsRowShown="0" headerRowDxfId="370" dataDxfId="368" headerRowBorderDxfId="369" tableBorderDxfId="367">
  <autoFilter ref="B219:C225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11:C217" totalsRowShown="0" headerRowDxfId="364" dataDxfId="362" headerRowBorderDxfId="363" tableBorderDxfId="361">
  <autoFilter ref="B211:C217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2:C209" totalsRowShown="0" headerRowDxfId="358" dataDxfId="356" headerRowBorderDxfId="357" tableBorderDxfId="355">
  <autoFilter ref="B202:C209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3:C200" totalsRowShown="0" headerRowDxfId="352" dataDxfId="350" headerRowBorderDxfId="351" tableBorderDxfId="349">
  <autoFilter ref="B193:C200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88:C191" totalsRowShown="0" headerRowDxfId="346" dataDxfId="344" headerRowBorderDxfId="345" tableBorderDxfId="343">
  <autoFilter ref="B188:C191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2:C186" totalsRowShown="0" headerRowDxfId="340" dataDxfId="338" headerRowBorderDxfId="339" tableBorderDxfId="337">
  <autoFilter ref="B182:C186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2:C180" totalsRowShown="0" headerRowDxfId="334" dataDxfId="332" headerRowBorderDxfId="333" tableBorderDxfId="331">
  <autoFilter ref="B172:C180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3:C170" totalsRowShown="0" headerRowDxfId="328" dataDxfId="326" headerRowBorderDxfId="327" tableBorderDxfId="325">
  <autoFilter ref="B163:C170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49:C161" totalsRowShown="0" headerRowDxfId="322" dataDxfId="320" headerRowBorderDxfId="321" tableBorderDxfId="319" dataCellStyle="Hyperlink">
  <autoFilter ref="B149:C161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39:C147" totalsRowShown="0" headerRowDxfId="316" dataDxfId="314" headerRowBorderDxfId="315" tableBorderDxfId="313">
  <autoFilter ref="B139:C147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2:C137" totalsRowShown="0" headerRowDxfId="310" dataDxfId="308" headerRowBorderDxfId="309" tableBorderDxfId="307">
  <autoFilter ref="B132:C137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2:C130" totalsRowShown="0" headerRowDxfId="304" dataDxfId="302" headerRowBorderDxfId="303" tableBorderDxfId="301">
  <autoFilter ref="B122:C130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16:C120" totalsRowShown="0" headerRowDxfId="298" dataDxfId="296" headerRowBorderDxfId="297" tableBorderDxfId="295">
  <autoFilter ref="B116:C120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09:C114" totalsRowShown="0" headerRowDxfId="292" dataDxfId="290" headerRowBorderDxfId="291" tableBorderDxfId="289">
  <autoFilter ref="B109:C114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3:C107" totalsRowShown="0" headerRowDxfId="286" dataDxfId="284" headerRowBorderDxfId="285" tableBorderDxfId="283">
  <autoFilter ref="B103:C107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90:C101" totalsRowShown="0" headerRowDxfId="280" dataDxfId="278" headerRowBorderDxfId="279" tableBorderDxfId="277">
  <autoFilter ref="B90:C101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4:C88" totalsRowShown="0" headerRowDxfId="274" dataDxfId="272" headerRowBorderDxfId="273" tableBorderDxfId="271">
  <autoFilter ref="B84:C88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2:D482" totalsRowShown="0">
  <autoFilter ref="B312:D482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79:C86" totalsRowShown="0" headerRowDxfId="267" dataDxfId="266">
  <autoFilter ref="B79:C86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81:C290" totalsRowShown="0" headerRowDxfId="263" dataDxfId="261" headerRowBorderDxfId="262" tableBorderDxfId="260">
  <autoFilter ref="B281:C290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92:E314" totalsRowShown="0">
  <autoFilter ref="B292:E314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59:C279" totalsRowShown="0" headerRowDxfId="254" dataDxfId="252" headerRowBorderDxfId="253" tableBorderDxfId="251">
  <autoFilter ref="B259:C279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6:C258" totalsRowShown="0" headerRowDxfId="248" dataDxfId="246" headerRowBorderDxfId="247" tableBorderDxfId="245">
  <autoFilter ref="B246:C258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2:C245" totalsRowShown="0" headerRowDxfId="242" dataDxfId="240" headerRowBorderDxfId="241" tableBorderDxfId="239">
  <autoFilter ref="B232:C245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3:C229" totalsRowShown="0" headerRowDxfId="236" dataDxfId="234" headerRowBorderDxfId="235" tableBorderDxfId="233">
  <autoFilter ref="B223:C229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5:C221" totalsRowShown="0" headerRowDxfId="230" dataDxfId="228" headerRowBorderDxfId="229" tableBorderDxfId="227">
  <autoFilter ref="B215:C221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6:C213" totalsRowShown="0" headerRowDxfId="224" dataDxfId="222" headerRowBorderDxfId="223" tableBorderDxfId="221">
  <autoFilter ref="B206:C213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7:C204" totalsRowShown="0" headerRowDxfId="218" dataDxfId="216" headerRowBorderDxfId="217" tableBorderDxfId="215">
  <autoFilter ref="B197:C204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2:C195" totalsRowShown="0" headerRowDxfId="212" dataDxfId="210" headerRowBorderDxfId="211" tableBorderDxfId="209">
  <autoFilter ref="B192:C195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6:C190" totalsRowShown="0" headerRowDxfId="206" dataDxfId="204" headerRowBorderDxfId="205" tableBorderDxfId="203">
  <autoFilter ref="B186:C190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6:C184" totalsRowShown="0" headerRowDxfId="200" dataDxfId="198" headerRowBorderDxfId="199" tableBorderDxfId="197">
  <autoFilter ref="B176:C184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7:C174" totalsRowShown="0" headerRowDxfId="194" dataDxfId="192" headerRowBorderDxfId="193" tableBorderDxfId="191">
  <autoFilter ref="B167:C174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3:C165" totalsRowShown="0" headerRowDxfId="188" dataDxfId="186" headerRowBorderDxfId="187" tableBorderDxfId="185" dataCellStyle="Hyperlink">
  <autoFilter ref="B153:C165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3:C151" totalsRowShown="0" headerRowDxfId="182" dataDxfId="180" headerRowBorderDxfId="181" tableBorderDxfId="179">
  <autoFilter ref="B143:C151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6:C141" totalsRowShown="0" headerRowDxfId="176" dataDxfId="174" headerRowBorderDxfId="175" tableBorderDxfId="173">
  <autoFilter ref="B136:C141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6:C134" totalsRowShown="0" headerRowDxfId="170" dataDxfId="168" headerRowBorderDxfId="169" tableBorderDxfId="167">
  <autoFilter ref="B126:C134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20:C124" totalsRowShown="0" headerRowDxfId="164" dataDxfId="162" headerRowBorderDxfId="163" tableBorderDxfId="161">
  <autoFilter ref="B120:C124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3:C118" totalsRowShown="0" headerRowDxfId="158" dataDxfId="156" headerRowBorderDxfId="157" tableBorderDxfId="155">
  <autoFilter ref="B113:C118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7:C111" totalsRowShown="0" headerRowDxfId="152" dataDxfId="150" headerRowBorderDxfId="151" tableBorderDxfId="149">
  <autoFilter ref="B107:C111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4:C105" totalsRowShown="0" headerRowDxfId="146" dataDxfId="144" headerRowBorderDxfId="145" tableBorderDxfId="143">
  <autoFilter ref="B94:C105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88:C92" totalsRowShown="0" headerRowDxfId="140" dataDxfId="138" headerRowBorderDxfId="139" tableBorderDxfId="137">
  <autoFilter ref="B88:C92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6:D486" totalsRowShown="0">
  <autoFilter ref="B316:D486"/>
  <sortState ref="B316:D525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69:C76" totalsRowShown="0" headerRowDxfId="133" dataDxfId="132">
  <autoFilter ref="B69:C76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71:C280" totalsRowShown="0" headerRowDxfId="129" dataDxfId="127" headerRowBorderDxfId="128" tableBorderDxfId="126">
  <autoFilter ref="B271:C280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82:E304" totalsRowShown="0">
  <autoFilter ref="B282:E304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49:C269" totalsRowShown="0" headerRowDxfId="120" dataDxfId="118" headerRowBorderDxfId="119" tableBorderDxfId="117">
  <autoFilter ref="B249:C269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36:C248" totalsRowShown="0" headerRowDxfId="114" dataDxfId="112" headerRowBorderDxfId="113" tableBorderDxfId="111">
  <autoFilter ref="B236:C248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22:C235" totalsRowShown="0" headerRowDxfId="108" dataDxfId="106" headerRowBorderDxfId="107" tableBorderDxfId="105">
  <autoFilter ref="B222:C235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13:C219" totalsRowShown="0" headerRowDxfId="102" dataDxfId="100" headerRowBorderDxfId="101" tableBorderDxfId="99">
  <autoFilter ref="B213:C219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05:C211" totalsRowShown="0" headerRowDxfId="96" dataDxfId="94" headerRowBorderDxfId="95" tableBorderDxfId="93">
  <autoFilter ref="B205:C211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96:C203" totalsRowShown="0" headerRowDxfId="90" dataDxfId="88" headerRowBorderDxfId="89" tableBorderDxfId="87">
  <autoFilter ref="B196:C203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87:C194" totalsRowShown="0" headerRowDxfId="84" dataDxfId="82" headerRowBorderDxfId="83" tableBorderDxfId="81">
  <autoFilter ref="B187:C194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82:C185" totalsRowShown="0" headerRowDxfId="78" dataDxfId="76" headerRowBorderDxfId="77" tableBorderDxfId="75">
  <autoFilter ref="B182:C185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76:C180" totalsRowShown="0" headerRowDxfId="72" dataDxfId="70" headerRowBorderDxfId="71" tableBorderDxfId="69">
  <autoFilter ref="B176:C180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66:C174" totalsRowShown="0" headerRowDxfId="66" dataDxfId="64" headerRowBorderDxfId="65" tableBorderDxfId="63">
  <autoFilter ref="B166:C174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57:C164" totalsRowShown="0" headerRowDxfId="60" dataDxfId="58" headerRowBorderDxfId="59" tableBorderDxfId="57">
  <autoFilter ref="B157:C164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43:C155" totalsRowShown="0" headerRowDxfId="54" dataDxfId="52" headerRowBorderDxfId="53" tableBorderDxfId="51" dataCellStyle="Hyperlink">
  <autoFilter ref="B143:C155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33:C141" totalsRowShown="0" headerRowDxfId="48" dataDxfId="46" headerRowBorderDxfId="47" tableBorderDxfId="45">
  <autoFilter ref="B133:C141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26:C131" totalsRowShown="0" headerRowDxfId="42" dataDxfId="40" headerRowBorderDxfId="41" tableBorderDxfId="39">
  <autoFilter ref="B126:C131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16:C124" totalsRowShown="0" headerRowDxfId="36" dataDxfId="34" headerRowBorderDxfId="35" tableBorderDxfId="33">
  <autoFilter ref="B116:C124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0:C114" totalsRowShown="0" headerRowDxfId="30" dataDxfId="28" headerRowBorderDxfId="29" tableBorderDxfId="27">
  <autoFilter ref="B110:C114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03:C108" totalsRowShown="0" headerRowDxfId="24" dataDxfId="22" headerRowBorderDxfId="23" tableBorderDxfId="21">
  <autoFilter ref="B103:C108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97:C101" totalsRowShown="0" headerRowDxfId="18" dataDxfId="16" headerRowBorderDxfId="17" tableBorderDxfId="15">
  <autoFilter ref="B97:C101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84:C95" totalsRowShown="0" headerRowDxfId="12" dataDxfId="10" headerRowBorderDxfId="11" tableBorderDxfId="9">
  <autoFilter ref="B84:C95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8:C82" totalsRowShown="0" headerRowDxfId="6" dataDxfId="4" headerRowBorderDxfId="5" tableBorderDxfId="3">
  <autoFilter ref="B78:C82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06:D476" totalsRowShown="0">
  <autoFilter ref="B306:D476"/>
  <sortState ref="B316:D525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2"/>
  <sheetViews>
    <sheetView showGridLines="0" tabSelected="1" zoomScaleNormal="100" workbookViewId="0">
      <selection activeCell="G52" sqref="G52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43.7109375" customWidth="1"/>
    <col min="9" max="9" width="7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6.140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7.140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40.28515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8.710937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1" t="s">
        <v>93</v>
      </c>
      <c r="V1" s="20"/>
      <c r="W1" s="22"/>
      <c r="X1" s="22"/>
      <c r="Y1" s="22"/>
      <c r="Z1" s="22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4" t="s">
        <v>94</v>
      </c>
      <c r="V2" s="25"/>
      <c r="W2" s="23"/>
      <c r="X2" s="23"/>
      <c r="Y2" s="23"/>
      <c r="Z2" s="7"/>
      <c r="AA2" s="4"/>
      <c r="AB2" s="4"/>
      <c r="AC2" s="4"/>
    </row>
    <row r="3" spans="2:3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53" t="s">
        <v>1</v>
      </c>
      <c r="I8" s="154"/>
      <c r="J8" s="154"/>
      <c r="K8" s="154"/>
      <c r="L8" s="154"/>
      <c r="M8" s="155"/>
      <c r="N8" s="156" t="s">
        <v>2</v>
      </c>
      <c r="O8" s="157"/>
      <c r="P8" s="157"/>
      <c r="Q8" s="157"/>
      <c r="R8" s="157"/>
      <c r="S8" s="158"/>
      <c r="T8" s="159" t="s">
        <v>3</v>
      </c>
      <c r="U8" s="160"/>
      <c r="V8" s="160"/>
      <c r="W8" s="160"/>
      <c r="X8" s="160"/>
      <c r="Y8" s="161"/>
      <c r="Z8" s="162" t="s">
        <v>4</v>
      </c>
      <c r="AA8" s="163"/>
      <c r="AB8" s="163"/>
      <c r="AC8" s="163"/>
      <c r="AD8" s="163"/>
      <c r="AE8" s="164"/>
      <c r="AF8" s="165" t="s">
        <v>5</v>
      </c>
      <c r="AG8" s="166"/>
      <c r="AH8" s="166"/>
      <c r="AI8" s="167"/>
    </row>
    <row r="9" spans="2:3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3" t="s">
        <v>88</v>
      </c>
      <c r="I9" s="94" t="s">
        <v>6</v>
      </c>
      <c r="J9" s="95" t="s">
        <v>7</v>
      </c>
      <c r="K9" s="64" t="s">
        <v>8</v>
      </c>
      <c r="L9" s="64" t="s">
        <v>9</v>
      </c>
      <c r="M9" s="96" t="s">
        <v>10</v>
      </c>
      <c r="N9" s="94" t="s">
        <v>88</v>
      </c>
      <c r="O9" s="94" t="s">
        <v>6</v>
      </c>
      <c r="P9" s="95" t="s">
        <v>7</v>
      </c>
      <c r="Q9" s="64" t="s">
        <v>8</v>
      </c>
      <c r="R9" s="64" t="s">
        <v>9</v>
      </c>
      <c r="S9" s="96" t="s">
        <v>10</v>
      </c>
      <c r="T9" s="94" t="s">
        <v>88</v>
      </c>
      <c r="U9" s="94" t="s">
        <v>6</v>
      </c>
      <c r="V9" s="95" t="s">
        <v>7</v>
      </c>
      <c r="W9" s="64" t="s">
        <v>8</v>
      </c>
      <c r="X9" s="64" t="s">
        <v>9</v>
      </c>
      <c r="Y9" s="96" t="s">
        <v>10</v>
      </c>
      <c r="Z9" s="94" t="s">
        <v>88</v>
      </c>
      <c r="AA9" s="94" t="s">
        <v>6</v>
      </c>
      <c r="AB9" s="95" t="s">
        <v>7</v>
      </c>
      <c r="AC9" s="64" t="s">
        <v>8</v>
      </c>
      <c r="AD9" s="64" t="s">
        <v>9</v>
      </c>
      <c r="AE9" s="96" t="s">
        <v>10</v>
      </c>
      <c r="AF9" s="94" t="s">
        <v>88</v>
      </c>
      <c r="AG9" s="94" t="s">
        <v>6</v>
      </c>
      <c r="AH9" s="95" t="s">
        <v>7</v>
      </c>
      <c r="AI9" s="97" t="s">
        <v>8</v>
      </c>
    </row>
    <row r="10" spans="2:35" ht="15.75" thickBot="1" x14ac:dyDescent="0.3">
      <c r="B10" s="78" t="s">
        <v>346</v>
      </c>
      <c r="C10" s="82" t="s">
        <v>85</v>
      </c>
      <c r="D10" s="71"/>
      <c r="E10" s="71"/>
      <c r="F10" s="82" t="s">
        <v>351</v>
      </c>
      <c r="G10" s="82" t="s">
        <v>352</v>
      </c>
      <c r="H10" s="64" t="s">
        <v>85</v>
      </c>
      <c r="I10" s="98"/>
      <c r="J10" s="98"/>
      <c r="K10" s="98"/>
      <c r="L10" s="98"/>
      <c r="M10" s="67"/>
      <c r="N10" s="63" t="s">
        <v>85</v>
      </c>
      <c r="O10" s="98"/>
      <c r="P10" s="98"/>
      <c r="Q10" s="98"/>
      <c r="R10" s="98"/>
      <c r="S10" s="67"/>
      <c r="T10" s="63" t="s">
        <v>85</v>
      </c>
      <c r="U10" s="98"/>
      <c r="V10" s="98"/>
      <c r="W10" s="98"/>
      <c r="X10" s="98"/>
      <c r="Y10" s="67"/>
      <c r="Z10" s="63" t="s">
        <v>85</v>
      </c>
      <c r="AA10" s="98"/>
      <c r="AB10" s="98"/>
      <c r="AC10" s="98"/>
      <c r="AD10" s="98"/>
      <c r="AE10" s="98"/>
      <c r="AF10" s="63" t="s">
        <v>85</v>
      </c>
      <c r="AG10" s="98"/>
      <c r="AH10" s="98"/>
      <c r="AI10" s="67"/>
    </row>
    <row r="11" spans="2:35" ht="15.75" thickBot="1" x14ac:dyDescent="0.3">
      <c r="B11" s="79" t="s">
        <v>52</v>
      </c>
      <c r="C11" s="83"/>
      <c r="D11" s="75" t="str">
        <f t="array" ref="D11">INDEX(Table_Name[Name List],MATCH(B11,Table_Name[Category],0))</f>
        <v>Horizontal_Triceps[Exercise]</v>
      </c>
      <c r="E11" s="72" t="e">
        <f t="array" ref="E11">INDEX(Links[Link],MATCH(C11,Links[Exercise],0))</f>
        <v>#N/A</v>
      </c>
      <c r="F11" s="86" t="e">
        <f t="shared" ref="F11:F17" si="0">HYPERLINK(E11,"Video")</f>
        <v>#N/A</v>
      </c>
      <c r="G11" s="89"/>
      <c r="H11" s="99">
        <f t="shared" ref="H11:H17" si="1">C11</f>
        <v>0</v>
      </c>
      <c r="I11" s="100">
        <v>3</v>
      </c>
      <c r="J11" s="100">
        <f t="shared" ref="J11:J17" si="2">MROUND(((G11)*0.85),5)</f>
        <v>0</v>
      </c>
      <c r="K11" s="100" t="s">
        <v>11</v>
      </c>
      <c r="L11" s="100"/>
      <c r="M11" s="69"/>
      <c r="N11" s="101">
        <f t="shared" ref="N11:N17" si="3">C11</f>
        <v>0</v>
      </c>
      <c r="O11" s="100">
        <f>I11+(M33)</f>
        <v>3</v>
      </c>
      <c r="P11" s="100">
        <f t="shared" ref="P11:P17" si="4">MROUND((J11*1.05),5)</f>
        <v>0</v>
      </c>
      <c r="Q11" s="100" t="s">
        <v>11</v>
      </c>
      <c r="R11" s="100"/>
      <c r="S11" s="102"/>
      <c r="T11" s="60">
        <f t="shared" ref="T11:T17" si="5">C11</f>
        <v>0</v>
      </c>
      <c r="U11" s="100">
        <f>O11+(S33)</f>
        <v>3</v>
      </c>
      <c r="V11" s="100">
        <f t="shared" ref="V11:V17" si="6">MROUND((J11*1.075),5)</f>
        <v>0</v>
      </c>
      <c r="W11" s="100" t="s">
        <v>12</v>
      </c>
      <c r="X11" s="100"/>
      <c r="Y11" s="102"/>
      <c r="Z11" s="101">
        <f t="shared" ref="Z11:Z17" si="7">C11</f>
        <v>0</v>
      </c>
      <c r="AA11" s="100">
        <f>U11+(Y33)</f>
        <v>3</v>
      </c>
      <c r="AB11" s="100">
        <f t="shared" ref="AB11:AB17" si="8">MROUND((J11*1.1),5)</f>
        <v>0</v>
      </c>
      <c r="AC11" s="100" t="s">
        <v>13</v>
      </c>
      <c r="AD11" s="100"/>
      <c r="AE11" s="102"/>
      <c r="AF11" s="101">
        <f t="shared" ref="AF11:AF17" si="9">C11</f>
        <v>0</v>
      </c>
      <c r="AG11" s="100">
        <v>2</v>
      </c>
      <c r="AH11" s="103">
        <f>J11</f>
        <v>0</v>
      </c>
      <c r="AI11" s="69" t="s">
        <v>14</v>
      </c>
    </row>
    <row r="12" spans="2:35" ht="15.75" thickBot="1" x14ac:dyDescent="0.3">
      <c r="B12" s="80" t="s">
        <v>57</v>
      </c>
      <c r="C12" s="84"/>
      <c r="D12" s="76" t="str">
        <f t="array" ref="D12">INDEX(Table_Name[Name List],MATCH(B12,Table_Name[Category],0))</f>
        <v>Vertical_Triceps[Exercise]</v>
      </c>
      <c r="E12" s="73" t="e">
        <f t="array" ref="E12">INDEX(Links[Link],MATCH(C12,Links[Exercise],0))</f>
        <v>#N/A</v>
      </c>
      <c r="F12" s="87" t="e">
        <f t="shared" si="0"/>
        <v>#N/A</v>
      </c>
      <c r="G12" s="90"/>
      <c r="H12" s="99">
        <f t="shared" si="1"/>
        <v>0</v>
      </c>
      <c r="I12" s="100">
        <v>3</v>
      </c>
      <c r="J12" s="100">
        <f t="shared" si="2"/>
        <v>0</v>
      </c>
      <c r="K12" s="100" t="s">
        <v>11</v>
      </c>
      <c r="L12" s="100"/>
      <c r="M12" s="69"/>
      <c r="N12" s="101">
        <f t="shared" si="3"/>
        <v>0</v>
      </c>
      <c r="O12" s="100">
        <f>I12+(M33)</f>
        <v>3</v>
      </c>
      <c r="P12" s="100">
        <f t="shared" si="4"/>
        <v>0</v>
      </c>
      <c r="Q12" s="100" t="s">
        <v>11</v>
      </c>
      <c r="R12" s="100"/>
      <c r="S12" s="102"/>
      <c r="T12" s="60">
        <f t="shared" si="5"/>
        <v>0</v>
      </c>
      <c r="U12" s="100">
        <f>O12+(S33)</f>
        <v>3</v>
      </c>
      <c r="V12" s="100">
        <f t="shared" si="6"/>
        <v>0</v>
      </c>
      <c r="W12" s="100" t="s">
        <v>12</v>
      </c>
      <c r="X12" s="100"/>
      <c r="Y12" s="102"/>
      <c r="Z12" s="101">
        <f t="shared" si="7"/>
        <v>0</v>
      </c>
      <c r="AA12" s="100">
        <f>U12+(Y33)</f>
        <v>3</v>
      </c>
      <c r="AB12" s="100">
        <f t="shared" si="8"/>
        <v>0</v>
      </c>
      <c r="AC12" s="100" t="s">
        <v>13</v>
      </c>
      <c r="AD12" s="100"/>
      <c r="AE12" s="102"/>
      <c r="AF12" s="101">
        <f t="shared" si="9"/>
        <v>0</v>
      </c>
      <c r="AG12" s="100">
        <v>2</v>
      </c>
      <c r="AH12" s="103">
        <f t="shared" ref="AH12:AH17" si="10">J12</f>
        <v>0</v>
      </c>
      <c r="AI12" s="69" t="s">
        <v>14</v>
      </c>
    </row>
    <row r="13" spans="2:35" ht="15.75" thickBot="1" x14ac:dyDescent="0.3">
      <c r="B13" s="80" t="s">
        <v>104</v>
      </c>
      <c r="C13" s="84"/>
      <c r="D13" s="76" t="str">
        <f t="array" ref="D13">INDEX(Table_Name[Name List],MATCH(B13,Table_Name[Category],0))</f>
        <v>Front_Delts[Exercise]</v>
      </c>
      <c r="E13" s="73" t="e">
        <f t="array" ref="E13">INDEX(Links[Link],MATCH(C13,Links[Exercise],0))</f>
        <v>#N/A</v>
      </c>
      <c r="F13" s="87" t="e">
        <f t="shared" si="0"/>
        <v>#N/A</v>
      </c>
      <c r="G13" s="90"/>
      <c r="H13" s="99">
        <f t="shared" si="1"/>
        <v>0</v>
      </c>
      <c r="I13" s="100">
        <v>3</v>
      </c>
      <c r="J13" s="100">
        <f t="shared" si="2"/>
        <v>0</v>
      </c>
      <c r="K13" s="100" t="s">
        <v>11</v>
      </c>
      <c r="L13" s="100"/>
      <c r="M13" s="69"/>
      <c r="N13" s="101">
        <f t="shared" si="3"/>
        <v>0</v>
      </c>
      <c r="O13" s="100">
        <f>I13+(M31)</f>
        <v>3</v>
      </c>
      <c r="P13" s="100">
        <f t="shared" si="4"/>
        <v>0</v>
      </c>
      <c r="Q13" s="100" t="s">
        <v>11</v>
      </c>
      <c r="R13" s="100"/>
      <c r="S13" s="102"/>
      <c r="T13" s="60">
        <f t="shared" si="5"/>
        <v>0</v>
      </c>
      <c r="U13" s="100">
        <f>O13+(S31)</f>
        <v>3</v>
      </c>
      <c r="V13" s="100">
        <f t="shared" si="6"/>
        <v>0</v>
      </c>
      <c r="W13" s="100" t="s">
        <v>12</v>
      </c>
      <c r="X13" s="100"/>
      <c r="Y13" s="102"/>
      <c r="Z13" s="101">
        <f t="shared" si="7"/>
        <v>0</v>
      </c>
      <c r="AA13" s="100">
        <f>U13+(Y31)</f>
        <v>3</v>
      </c>
      <c r="AB13" s="100">
        <f t="shared" si="8"/>
        <v>0</v>
      </c>
      <c r="AC13" s="100" t="s">
        <v>13</v>
      </c>
      <c r="AD13" s="100"/>
      <c r="AE13" s="102"/>
      <c r="AF13" s="101">
        <f t="shared" si="9"/>
        <v>0</v>
      </c>
      <c r="AG13" s="100">
        <v>2</v>
      </c>
      <c r="AH13" s="103">
        <f t="shared" si="10"/>
        <v>0</v>
      </c>
      <c r="AI13" s="69" t="s">
        <v>14</v>
      </c>
    </row>
    <row r="14" spans="2:35" ht="15.75" thickBot="1" x14ac:dyDescent="0.3">
      <c r="B14" s="80" t="s">
        <v>105</v>
      </c>
      <c r="C14" s="84"/>
      <c r="D14" s="76" t="str">
        <f t="array" ref="D14">INDEX(Table_Name[Name List],MATCH(B14,Table_Name[Category],0))</f>
        <v>Side_Delts[Exercise]</v>
      </c>
      <c r="E14" s="73" t="e">
        <f t="array" ref="E14">INDEX(Links[Link],MATCH(C14,Links[Exercise],0))</f>
        <v>#N/A</v>
      </c>
      <c r="F14" s="87" t="e">
        <f t="shared" si="0"/>
        <v>#N/A</v>
      </c>
      <c r="G14" s="90"/>
      <c r="H14" s="99">
        <f t="shared" si="1"/>
        <v>0</v>
      </c>
      <c r="I14" s="100">
        <v>3</v>
      </c>
      <c r="J14" s="100">
        <f t="shared" si="2"/>
        <v>0</v>
      </c>
      <c r="K14" s="100" t="s">
        <v>11</v>
      </c>
      <c r="L14" s="100"/>
      <c r="M14" s="69"/>
      <c r="N14" s="101">
        <f t="shared" si="3"/>
        <v>0</v>
      </c>
      <c r="O14" s="100">
        <f>I14+(M34)</f>
        <v>3</v>
      </c>
      <c r="P14" s="100">
        <f t="shared" si="4"/>
        <v>0</v>
      </c>
      <c r="Q14" s="100" t="s">
        <v>11</v>
      </c>
      <c r="R14" s="100"/>
      <c r="S14" s="102"/>
      <c r="T14" s="60">
        <f t="shared" si="5"/>
        <v>0</v>
      </c>
      <c r="U14" s="100">
        <f>O14+(S34)</f>
        <v>3</v>
      </c>
      <c r="V14" s="100">
        <f t="shared" si="6"/>
        <v>0</v>
      </c>
      <c r="W14" s="100" t="s">
        <v>12</v>
      </c>
      <c r="X14" s="100"/>
      <c r="Y14" s="102"/>
      <c r="Z14" s="101">
        <f t="shared" si="7"/>
        <v>0</v>
      </c>
      <c r="AA14" s="100">
        <f>U14+(Y34)</f>
        <v>3</v>
      </c>
      <c r="AB14" s="100">
        <f t="shared" si="8"/>
        <v>0</v>
      </c>
      <c r="AC14" s="100" t="s">
        <v>13</v>
      </c>
      <c r="AD14" s="100"/>
      <c r="AE14" s="102"/>
      <c r="AF14" s="101">
        <f t="shared" si="9"/>
        <v>0</v>
      </c>
      <c r="AG14" s="100">
        <v>2</v>
      </c>
      <c r="AH14" s="103">
        <f t="shared" si="10"/>
        <v>0</v>
      </c>
      <c r="AI14" s="69" t="s">
        <v>14</v>
      </c>
    </row>
    <row r="15" spans="2:35" ht="15.75" thickBot="1" x14ac:dyDescent="0.3">
      <c r="B15" s="80" t="s">
        <v>143</v>
      </c>
      <c r="C15" s="84"/>
      <c r="D15" s="76" t="str">
        <f t="array" ref="D15">INDEX(Table_Name[Name List],MATCH(B15,Table_Name[Category],0))</f>
        <v>Incline_Push[Exercise]</v>
      </c>
      <c r="E15" s="73" t="e">
        <f t="array" ref="E15">INDEX(Links[Link],MATCH(C15,Links[Exercise],0))</f>
        <v>#N/A</v>
      </c>
      <c r="F15" s="87" t="e">
        <f t="shared" si="0"/>
        <v>#N/A</v>
      </c>
      <c r="G15" s="90"/>
      <c r="H15" s="99">
        <f t="shared" si="1"/>
        <v>0</v>
      </c>
      <c r="I15" s="100">
        <v>3</v>
      </c>
      <c r="J15" s="100">
        <f t="shared" si="2"/>
        <v>0</v>
      </c>
      <c r="K15" s="100" t="s">
        <v>11</v>
      </c>
      <c r="L15" s="100"/>
      <c r="M15" s="69"/>
      <c r="N15" s="101">
        <f t="shared" si="3"/>
        <v>0</v>
      </c>
      <c r="O15" s="100">
        <f>I15+(M31)</f>
        <v>3</v>
      </c>
      <c r="P15" s="100">
        <f t="shared" si="4"/>
        <v>0</v>
      </c>
      <c r="Q15" s="100" t="s">
        <v>11</v>
      </c>
      <c r="R15" s="100"/>
      <c r="S15" s="102"/>
      <c r="T15" s="60">
        <f t="shared" si="5"/>
        <v>0</v>
      </c>
      <c r="U15" s="100">
        <f>O15+(S31)</f>
        <v>3</v>
      </c>
      <c r="V15" s="100">
        <f t="shared" si="6"/>
        <v>0</v>
      </c>
      <c r="W15" s="100" t="s">
        <v>12</v>
      </c>
      <c r="X15" s="100"/>
      <c r="Y15" s="102"/>
      <c r="Z15" s="101">
        <f t="shared" si="7"/>
        <v>0</v>
      </c>
      <c r="AA15" s="100">
        <f>U15+(Y31)</f>
        <v>3</v>
      </c>
      <c r="AB15" s="100">
        <f t="shared" si="8"/>
        <v>0</v>
      </c>
      <c r="AC15" s="100" t="s">
        <v>13</v>
      </c>
      <c r="AD15" s="100"/>
      <c r="AE15" s="102"/>
      <c r="AF15" s="101">
        <f t="shared" si="9"/>
        <v>0</v>
      </c>
      <c r="AG15" s="100">
        <v>2</v>
      </c>
      <c r="AH15" s="103">
        <f t="shared" si="10"/>
        <v>0</v>
      </c>
      <c r="AI15" s="69" t="s">
        <v>14</v>
      </c>
    </row>
    <row r="16" spans="2:35" x14ac:dyDescent="0.25">
      <c r="B16" s="80" t="s">
        <v>20</v>
      </c>
      <c r="C16" s="84"/>
      <c r="D16" s="76" t="str">
        <f t="array" ref="D16">INDEX(Table_Name[Name List],MATCH(B16,Table_Name[Category],0))</f>
        <v>Quads[Exercise]</v>
      </c>
      <c r="E16" s="73" t="e">
        <f t="array" ref="E16">INDEX(Links[Link],MATCH(C16,Links[Exercise],0))</f>
        <v>#N/A</v>
      </c>
      <c r="F16" s="87" t="e">
        <f t="shared" si="0"/>
        <v>#N/A</v>
      </c>
      <c r="G16" s="90"/>
      <c r="H16" s="99">
        <f t="shared" si="1"/>
        <v>0</v>
      </c>
      <c r="I16" s="100">
        <v>3</v>
      </c>
      <c r="J16" s="100">
        <f t="shared" si="2"/>
        <v>0</v>
      </c>
      <c r="K16" s="100" t="s">
        <v>11</v>
      </c>
      <c r="L16" s="100" t="s">
        <v>0</v>
      </c>
      <c r="M16" s="69"/>
      <c r="N16" s="101">
        <f t="shared" si="3"/>
        <v>0</v>
      </c>
      <c r="O16" s="100">
        <f>I16</f>
        <v>3</v>
      </c>
      <c r="P16" s="100">
        <f t="shared" si="4"/>
        <v>0</v>
      </c>
      <c r="Q16" s="100" t="s">
        <v>11</v>
      </c>
      <c r="R16" s="100"/>
      <c r="S16" s="69"/>
      <c r="T16" s="60">
        <f t="shared" si="5"/>
        <v>0</v>
      </c>
      <c r="U16" s="100">
        <f>O16</f>
        <v>3</v>
      </c>
      <c r="V16" s="100">
        <f t="shared" si="6"/>
        <v>0</v>
      </c>
      <c r="W16" s="100" t="s">
        <v>12</v>
      </c>
      <c r="X16" s="100"/>
      <c r="Y16" s="69"/>
      <c r="Z16" s="101">
        <f t="shared" si="7"/>
        <v>0</v>
      </c>
      <c r="AA16" s="100">
        <f>U16</f>
        <v>3</v>
      </c>
      <c r="AB16" s="100">
        <f t="shared" si="8"/>
        <v>0</v>
      </c>
      <c r="AC16" s="100" t="s">
        <v>13</v>
      </c>
      <c r="AD16" s="100"/>
      <c r="AE16" s="69"/>
      <c r="AF16" s="101">
        <f t="shared" si="9"/>
        <v>0</v>
      </c>
      <c r="AG16" s="100">
        <v>2</v>
      </c>
      <c r="AH16" s="103">
        <f t="shared" si="10"/>
        <v>0</v>
      </c>
      <c r="AI16" s="69" t="s">
        <v>14</v>
      </c>
    </row>
    <row r="17" spans="2:35" ht="15.75" thickBot="1" x14ac:dyDescent="0.3">
      <c r="B17" s="81" t="s">
        <v>19</v>
      </c>
      <c r="C17" s="85"/>
      <c r="D17" s="77" t="str">
        <f t="array" ref="D17">INDEX(Table_Name[Name List],MATCH(B17,Table_Name[Category],0))</f>
        <v>Calves[Exercise]</v>
      </c>
      <c r="E17" s="74" t="e">
        <f t="array" ref="E17">INDEX(Links[Link],MATCH(C17,Links[Exercise],0))</f>
        <v>#N/A</v>
      </c>
      <c r="F17" s="88" t="e">
        <f t="shared" si="0"/>
        <v>#N/A</v>
      </c>
      <c r="G17" s="91"/>
      <c r="H17" s="104">
        <f t="shared" si="1"/>
        <v>0</v>
      </c>
      <c r="I17" s="105">
        <v>4</v>
      </c>
      <c r="J17" s="105">
        <f t="shared" si="2"/>
        <v>0</v>
      </c>
      <c r="K17" s="105" t="s">
        <v>11</v>
      </c>
      <c r="L17" s="105"/>
      <c r="M17" s="62"/>
      <c r="N17" s="106">
        <f t="shared" si="3"/>
        <v>0</v>
      </c>
      <c r="O17" s="105">
        <f>I17</f>
        <v>4</v>
      </c>
      <c r="P17" s="105">
        <f t="shared" si="4"/>
        <v>0</v>
      </c>
      <c r="Q17" s="105" t="s">
        <v>11</v>
      </c>
      <c r="R17" s="105"/>
      <c r="S17" s="62"/>
      <c r="T17" s="107">
        <f t="shared" si="5"/>
        <v>0</v>
      </c>
      <c r="U17" s="105">
        <f>O17</f>
        <v>4</v>
      </c>
      <c r="V17" s="105">
        <f t="shared" si="6"/>
        <v>0</v>
      </c>
      <c r="W17" s="105" t="s">
        <v>12</v>
      </c>
      <c r="X17" s="105"/>
      <c r="Y17" s="62"/>
      <c r="Z17" s="106">
        <f t="shared" si="7"/>
        <v>0</v>
      </c>
      <c r="AA17" s="105">
        <f>U17</f>
        <v>4</v>
      </c>
      <c r="AB17" s="105">
        <f t="shared" si="8"/>
        <v>0</v>
      </c>
      <c r="AC17" s="105" t="s">
        <v>13</v>
      </c>
      <c r="AD17" s="105"/>
      <c r="AE17" s="62"/>
      <c r="AF17" s="106">
        <f t="shared" si="9"/>
        <v>0</v>
      </c>
      <c r="AG17" s="105">
        <v>2</v>
      </c>
      <c r="AH17" s="108">
        <f t="shared" si="10"/>
        <v>0</v>
      </c>
      <c r="AI17" s="62" t="s">
        <v>14</v>
      </c>
    </row>
    <row r="18" spans="2:35" ht="19.5" thickBot="1" x14ac:dyDescent="0.3">
      <c r="B18" s="68" t="s">
        <v>337</v>
      </c>
      <c r="C18" s="39"/>
      <c r="D18" s="39"/>
      <c r="E18" s="39"/>
      <c r="F18" s="39"/>
      <c r="G18" s="69"/>
      <c r="H18" s="153" t="s">
        <v>1</v>
      </c>
      <c r="I18" s="154"/>
      <c r="J18" s="154"/>
      <c r="K18" s="154"/>
      <c r="L18" s="154"/>
      <c r="M18" s="155"/>
      <c r="N18" s="156" t="s">
        <v>2</v>
      </c>
      <c r="O18" s="157"/>
      <c r="P18" s="157"/>
      <c r="Q18" s="157"/>
      <c r="R18" s="157"/>
      <c r="S18" s="158"/>
      <c r="T18" s="159" t="s">
        <v>3</v>
      </c>
      <c r="U18" s="160"/>
      <c r="V18" s="160"/>
      <c r="W18" s="160"/>
      <c r="X18" s="160"/>
      <c r="Y18" s="161"/>
      <c r="Z18" s="162" t="s">
        <v>4</v>
      </c>
      <c r="AA18" s="163"/>
      <c r="AB18" s="163"/>
      <c r="AC18" s="163"/>
      <c r="AD18" s="163"/>
      <c r="AE18" s="164"/>
      <c r="AF18" s="165" t="s">
        <v>5</v>
      </c>
      <c r="AG18" s="166"/>
      <c r="AH18" s="166"/>
      <c r="AI18" s="167"/>
    </row>
    <row r="19" spans="2:35" ht="15.75" thickBot="1" x14ac:dyDescent="0.3">
      <c r="B19" s="39"/>
      <c r="C19" s="39"/>
      <c r="D19" s="39"/>
      <c r="E19" s="39"/>
      <c r="F19" s="39"/>
      <c r="G19" s="69"/>
      <c r="H19" s="63" t="s">
        <v>88</v>
      </c>
      <c r="I19" s="109" t="s">
        <v>6</v>
      </c>
      <c r="J19" s="95" t="s">
        <v>7</v>
      </c>
      <c r="K19" s="64" t="s">
        <v>8</v>
      </c>
      <c r="L19" s="64" t="s">
        <v>9</v>
      </c>
      <c r="M19" s="96" t="s">
        <v>10</v>
      </c>
      <c r="N19" s="94" t="s">
        <v>88</v>
      </c>
      <c r="O19" s="94" t="s">
        <v>6</v>
      </c>
      <c r="P19" s="95" t="s">
        <v>7</v>
      </c>
      <c r="Q19" s="64" t="s">
        <v>8</v>
      </c>
      <c r="R19" s="64" t="s">
        <v>9</v>
      </c>
      <c r="S19" s="96" t="s">
        <v>10</v>
      </c>
      <c r="T19" s="94" t="s">
        <v>88</v>
      </c>
      <c r="U19" s="94" t="s">
        <v>6</v>
      </c>
      <c r="V19" s="95" t="s">
        <v>7</v>
      </c>
      <c r="W19" s="64" t="s">
        <v>8</v>
      </c>
      <c r="X19" s="64" t="s">
        <v>9</v>
      </c>
      <c r="Y19" s="96" t="s">
        <v>10</v>
      </c>
      <c r="Z19" s="94" t="s">
        <v>88</v>
      </c>
      <c r="AA19" s="94" t="s">
        <v>6</v>
      </c>
      <c r="AB19" s="95" t="s">
        <v>7</v>
      </c>
      <c r="AC19" s="110" t="s">
        <v>15</v>
      </c>
      <c r="AD19" s="64" t="s">
        <v>9</v>
      </c>
      <c r="AE19" s="96" t="s">
        <v>10</v>
      </c>
      <c r="AF19" s="94" t="s">
        <v>88</v>
      </c>
      <c r="AG19" s="94" t="s">
        <v>6</v>
      </c>
      <c r="AH19" s="95" t="s">
        <v>7</v>
      </c>
      <c r="AI19" s="97" t="s">
        <v>8</v>
      </c>
    </row>
    <row r="20" spans="2:35" ht="15.75" thickBot="1" x14ac:dyDescent="0.3">
      <c r="B20" s="78" t="s">
        <v>347</v>
      </c>
      <c r="C20" s="82" t="s">
        <v>86</v>
      </c>
      <c r="D20" s="71"/>
      <c r="E20" s="92"/>
      <c r="F20" s="82" t="s">
        <v>351</v>
      </c>
      <c r="G20" s="82" t="s">
        <v>352</v>
      </c>
      <c r="H20" s="64" t="s">
        <v>86</v>
      </c>
      <c r="I20" s="98"/>
      <c r="J20" s="98"/>
      <c r="K20" s="98"/>
      <c r="L20" s="98"/>
      <c r="M20" s="67"/>
      <c r="N20" s="63" t="s">
        <v>86</v>
      </c>
      <c r="O20" s="98"/>
      <c r="P20" s="98"/>
      <c r="Q20" s="98"/>
      <c r="R20" s="98"/>
      <c r="S20" s="67"/>
      <c r="T20" s="63" t="s">
        <v>86</v>
      </c>
      <c r="U20" s="98"/>
      <c r="V20" s="98"/>
      <c r="W20" s="98"/>
      <c r="X20" s="98"/>
      <c r="Y20" s="98"/>
      <c r="Z20" s="63" t="s">
        <v>86</v>
      </c>
      <c r="AA20" s="98"/>
      <c r="AB20" s="98"/>
      <c r="AC20" s="98"/>
      <c r="AD20" s="98"/>
      <c r="AE20" s="98"/>
      <c r="AF20" s="63" t="s">
        <v>86</v>
      </c>
      <c r="AG20" s="98"/>
      <c r="AH20" s="98"/>
      <c r="AI20" s="67"/>
    </row>
    <row r="21" spans="2:35" ht="15.75" thickBot="1" x14ac:dyDescent="0.3">
      <c r="B21" s="79" t="s">
        <v>18</v>
      </c>
      <c r="C21" s="83"/>
      <c r="D21" s="75" t="str">
        <f t="array" ref="D21">INDEX(Table_Name[Name List],MATCH(B21,Table_Name[Category],0))</f>
        <v>Biceps[Exercise]</v>
      </c>
      <c r="E21" s="72" t="e">
        <f t="array" ref="E21">INDEX(Links[Link],MATCH(C21,Links[Exercise],0))</f>
        <v>#N/A</v>
      </c>
      <c r="F21" s="86" t="e">
        <f t="shared" ref="F21:F27" si="11">HYPERLINK(E21,"Video")</f>
        <v>#N/A</v>
      </c>
      <c r="G21" s="89"/>
      <c r="H21" s="99">
        <f t="shared" ref="H21:H27" si="12">C21</f>
        <v>0</v>
      </c>
      <c r="I21" s="100">
        <v>3</v>
      </c>
      <c r="J21" s="100">
        <f t="shared" ref="J21:J27" si="13">MROUND(((G21)*0.85),5)</f>
        <v>0</v>
      </c>
      <c r="K21" s="100" t="s">
        <v>11</v>
      </c>
      <c r="L21" s="100"/>
      <c r="M21" s="69"/>
      <c r="N21" s="99">
        <f t="shared" ref="N21:N27" si="14">C21</f>
        <v>0</v>
      </c>
      <c r="O21" s="100">
        <f>I21+(M43)</f>
        <v>3</v>
      </c>
      <c r="P21" s="100">
        <f t="shared" ref="P21:P27" si="15">MROUND((J21*1.05),5)</f>
        <v>0</v>
      </c>
      <c r="Q21" s="100" t="s">
        <v>11</v>
      </c>
      <c r="R21" s="100"/>
      <c r="S21" s="102"/>
      <c r="T21" s="60">
        <f t="shared" ref="T21:T27" si="16">C21</f>
        <v>0</v>
      </c>
      <c r="U21" s="100">
        <f>O21+(S43)</f>
        <v>3</v>
      </c>
      <c r="V21" s="100">
        <f t="shared" ref="V21:V27" si="17">MROUND((J21*1.075),5)</f>
        <v>0</v>
      </c>
      <c r="W21" s="100" t="s">
        <v>12</v>
      </c>
      <c r="X21" s="100"/>
      <c r="Y21" s="102"/>
      <c r="Z21" s="101">
        <f t="shared" ref="Z21:Z27" si="18">C21</f>
        <v>0</v>
      </c>
      <c r="AA21" s="100">
        <f>U21+(Y43)</f>
        <v>3</v>
      </c>
      <c r="AB21" s="100">
        <f t="shared" ref="AB21:AB27" si="19">MROUND((J21*1.1),5)</f>
        <v>0</v>
      </c>
      <c r="AC21" s="100" t="s">
        <v>13</v>
      </c>
      <c r="AD21" s="100"/>
      <c r="AE21" s="102"/>
      <c r="AF21" s="101">
        <f t="shared" ref="AF21:AF27" si="20">C21</f>
        <v>0</v>
      </c>
      <c r="AG21" s="100">
        <v>2</v>
      </c>
      <c r="AH21" s="103">
        <f t="shared" ref="AH21:AH27" si="21">J21</f>
        <v>0</v>
      </c>
      <c r="AI21" s="69" t="s">
        <v>14</v>
      </c>
    </row>
    <row r="22" spans="2:35" ht="15.75" thickBot="1" x14ac:dyDescent="0.3">
      <c r="B22" s="80" t="s">
        <v>18</v>
      </c>
      <c r="C22" s="84"/>
      <c r="D22" s="76" t="str">
        <f t="array" ref="D22">INDEX(Table_Name[Name List],MATCH(B22,Table_Name[Category],0))</f>
        <v>Biceps[Exercise]</v>
      </c>
      <c r="E22" s="73" t="e">
        <f t="array" ref="E22">INDEX(Links[Link],MATCH(C22,Links[Exercise],0))</f>
        <v>#N/A</v>
      </c>
      <c r="F22" s="87" t="e">
        <f t="shared" si="11"/>
        <v>#N/A</v>
      </c>
      <c r="G22" s="90"/>
      <c r="H22" s="99">
        <f t="shared" si="12"/>
        <v>0</v>
      </c>
      <c r="I22" s="100">
        <v>3</v>
      </c>
      <c r="J22" s="100">
        <f t="shared" si="13"/>
        <v>0</v>
      </c>
      <c r="K22" s="100" t="s">
        <v>11</v>
      </c>
      <c r="L22" s="100"/>
      <c r="M22" s="69"/>
      <c r="N22" s="99">
        <f t="shared" si="14"/>
        <v>0</v>
      </c>
      <c r="O22" s="100">
        <f>I22+(M43)</f>
        <v>3</v>
      </c>
      <c r="P22" s="100">
        <f t="shared" si="15"/>
        <v>0</v>
      </c>
      <c r="Q22" s="100" t="s">
        <v>11</v>
      </c>
      <c r="R22" s="100"/>
      <c r="S22" s="102"/>
      <c r="T22" s="60">
        <f t="shared" si="16"/>
        <v>0</v>
      </c>
      <c r="U22" s="100">
        <f>O22+(S43)</f>
        <v>3</v>
      </c>
      <c r="V22" s="100">
        <f t="shared" si="17"/>
        <v>0</v>
      </c>
      <c r="W22" s="100" t="s">
        <v>12</v>
      </c>
      <c r="X22" s="100"/>
      <c r="Y22" s="102"/>
      <c r="Z22" s="101">
        <f t="shared" si="18"/>
        <v>0</v>
      </c>
      <c r="AA22" s="100">
        <f>U22+(Y43)</f>
        <v>3</v>
      </c>
      <c r="AB22" s="100">
        <f t="shared" si="19"/>
        <v>0</v>
      </c>
      <c r="AC22" s="100" t="s">
        <v>13</v>
      </c>
      <c r="AD22" s="100"/>
      <c r="AE22" s="102"/>
      <c r="AF22" s="101">
        <f t="shared" si="20"/>
        <v>0</v>
      </c>
      <c r="AG22" s="100">
        <v>2</v>
      </c>
      <c r="AH22" s="103">
        <f t="shared" si="21"/>
        <v>0</v>
      </c>
      <c r="AI22" s="69" t="s">
        <v>14</v>
      </c>
    </row>
    <row r="23" spans="2:35" ht="15.75" thickBot="1" x14ac:dyDescent="0.3">
      <c r="B23" s="80" t="s">
        <v>343</v>
      </c>
      <c r="C23" s="84"/>
      <c r="D23" s="76" t="str">
        <f t="array" ref="D23">INDEX(Table_Name[Name List],MATCH(B23,Table_Name[Category],0))</f>
        <v>Rear_or_Side_Delts[Exercise]</v>
      </c>
      <c r="E23" s="73" t="e">
        <f t="array" ref="E23">INDEX(Links[Link],MATCH(C23,Links[Exercise],0))</f>
        <v>#N/A</v>
      </c>
      <c r="F23" s="87" t="e">
        <f t="shared" si="11"/>
        <v>#N/A</v>
      </c>
      <c r="G23" s="90"/>
      <c r="H23" s="99">
        <f t="shared" si="12"/>
        <v>0</v>
      </c>
      <c r="I23" s="100">
        <v>3</v>
      </c>
      <c r="J23" s="100">
        <f t="shared" si="13"/>
        <v>0</v>
      </c>
      <c r="K23" s="100" t="s">
        <v>11</v>
      </c>
      <c r="L23" s="100"/>
      <c r="M23" s="69"/>
      <c r="N23" s="99">
        <f t="shared" si="14"/>
        <v>0</v>
      </c>
      <c r="O23" s="100">
        <f>I23+(M41)</f>
        <v>3</v>
      </c>
      <c r="P23" s="100">
        <f t="shared" si="15"/>
        <v>0</v>
      </c>
      <c r="Q23" s="100" t="s">
        <v>11</v>
      </c>
      <c r="R23" s="100"/>
      <c r="S23" s="102"/>
      <c r="T23" s="60">
        <f t="shared" si="16"/>
        <v>0</v>
      </c>
      <c r="U23" s="100">
        <f>O23+(S41)</f>
        <v>3</v>
      </c>
      <c r="V23" s="100">
        <f t="shared" si="17"/>
        <v>0</v>
      </c>
      <c r="W23" s="100" t="s">
        <v>12</v>
      </c>
      <c r="X23" s="100"/>
      <c r="Y23" s="102"/>
      <c r="Z23" s="101">
        <f t="shared" si="18"/>
        <v>0</v>
      </c>
      <c r="AA23" s="100">
        <f>U23+(Y41)</f>
        <v>3</v>
      </c>
      <c r="AB23" s="100">
        <f t="shared" si="19"/>
        <v>0</v>
      </c>
      <c r="AC23" s="100" t="s">
        <v>13</v>
      </c>
      <c r="AD23" s="100"/>
      <c r="AE23" s="102"/>
      <c r="AF23" s="101">
        <f t="shared" si="20"/>
        <v>0</v>
      </c>
      <c r="AG23" s="100">
        <v>2</v>
      </c>
      <c r="AH23" s="103">
        <f t="shared" si="21"/>
        <v>0</v>
      </c>
      <c r="AI23" s="69" t="s">
        <v>14</v>
      </c>
    </row>
    <row r="24" spans="2:35" ht="15.75" thickBot="1" x14ac:dyDescent="0.3">
      <c r="B24" s="80" t="s">
        <v>343</v>
      </c>
      <c r="C24" s="84"/>
      <c r="D24" s="76" t="str">
        <f t="array" ref="D24">INDEX(Table_Name[Name List],MATCH(B24,Table_Name[Category],0))</f>
        <v>Rear_or_Side_Delts[Exercise]</v>
      </c>
      <c r="E24" s="73" t="e">
        <f t="array" ref="E24">INDEX(Links[Link],MATCH(C24,Links[Exercise],0))</f>
        <v>#N/A</v>
      </c>
      <c r="F24" s="87" t="e">
        <f t="shared" si="11"/>
        <v>#N/A</v>
      </c>
      <c r="G24" s="90"/>
      <c r="H24" s="99">
        <f t="shared" si="12"/>
        <v>0</v>
      </c>
      <c r="I24" s="100">
        <v>3</v>
      </c>
      <c r="J24" s="100">
        <f t="shared" si="13"/>
        <v>0</v>
      </c>
      <c r="K24" s="100" t="s">
        <v>11</v>
      </c>
      <c r="L24" s="100"/>
      <c r="M24" s="69"/>
      <c r="N24" s="99">
        <f t="shared" si="14"/>
        <v>0</v>
      </c>
      <c r="O24" s="100">
        <f>I24+(M41)</f>
        <v>3</v>
      </c>
      <c r="P24" s="100">
        <f t="shared" si="15"/>
        <v>0</v>
      </c>
      <c r="Q24" s="100" t="s">
        <v>11</v>
      </c>
      <c r="R24" s="100"/>
      <c r="S24" s="102"/>
      <c r="T24" s="60">
        <f t="shared" si="16"/>
        <v>0</v>
      </c>
      <c r="U24" s="100">
        <f>O24+(S41)</f>
        <v>3</v>
      </c>
      <c r="V24" s="100">
        <f t="shared" si="17"/>
        <v>0</v>
      </c>
      <c r="W24" s="100" t="s">
        <v>12</v>
      </c>
      <c r="X24" s="100"/>
      <c r="Y24" s="102"/>
      <c r="Z24" s="101">
        <f t="shared" si="18"/>
        <v>0</v>
      </c>
      <c r="AA24" s="100">
        <f>U24+(Y41)</f>
        <v>3</v>
      </c>
      <c r="AB24" s="100">
        <f t="shared" si="19"/>
        <v>0</v>
      </c>
      <c r="AC24" s="100" t="s">
        <v>13</v>
      </c>
      <c r="AD24" s="100"/>
      <c r="AE24" s="102"/>
      <c r="AF24" s="101">
        <f t="shared" si="20"/>
        <v>0</v>
      </c>
      <c r="AG24" s="100">
        <v>2</v>
      </c>
      <c r="AH24" s="103">
        <f t="shared" si="21"/>
        <v>0</v>
      </c>
      <c r="AI24" s="69" t="s">
        <v>14</v>
      </c>
    </row>
    <row r="25" spans="2:35" ht="15.75" thickBot="1" x14ac:dyDescent="0.3">
      <c r="B25" s="80" t="s">
        <v>342</v>
      </c>
      <c r="C25" s="84"/>
      <c r="D25" s="76" t="str">
        <f t="array" ref="D25">INDEX(Table_Name[Name List],MATCH(B25,Table_Name[Category],0))</f>
        <v>Vertical_Back[Exercise]</v>
      </c>
      <c r="E25" s="73" t="e">
        <f t="array" ref="E25">INDEX(Links[Link],MATCH(C25,Links[Exercise],0))</f>
        <v>#N/A</v>
      </c>
      <c r="F25" s="87" t="e">
        <f t="shared" si="11"/>
        <v>#N/A</v>
      </c>
      <c r="G25" s="90"/>
      <c r="H25" s="99">
        <f t="shared" si="12"/>
        <v>0</v>
      </c>
      <c r="I25" s="100">
        <v>3</v>
      </c>
      <c r="J25" s="100">
        <f t="shared" si="13"/>
        <v>0</v>
      </c>
      <c r="K25" s="100" t="s">
        <v>11</v>
      </c>
      <c r="L25" s="100"/>
      <c r="M25" s="69"/>
      <c r="N25" s="99">
        <f t="shared" si="14"/>
        <v>0</v>
      </c>
      <c r="O25" s="100">
        <f>I25+(M46)</f>
        <v>3</v>
      </c>
      <c r="P25" s="100">
        <f t="shared" si="15"/>
        <v>0</v>
      </c>
      <c r="Q25" s="100" t="s">
        <v>11</v>
      </c>
      <c r="R25" s="100"/>
      <c r="S25" s="102"/>
      <c r="T25" s="60">
        <f t="shared" si="16"/>
        <v>0</v>
      </c>
      <c r="U25" s="100">
        <f>O25+(S46)</f>
        <v>3</v>
      </c>
      <c r="V25" s="100">
        <f t="shared" si="17"/>
        <v>0</v>
      </c>
      <c r="W25" s="100" t="s">
        <v>12</v>
      </c>
      <c r="X25" s="100"/>
      <c r="Y25" s="102"/>
      <c r="Z25" s="101">
        <f t="shared" si="18"/>
        <v>0</v>
      </c>
      <c r="AA25" s="100">
        <f>U25+(Y46)</f>
        <v>3</v>
      </c>
      <c r="AB25" s="100">
        <f t="shared" si="19"/>
        <v>0</v>
      </c>
      <c r="AC25" s="100" t="s">
        <v>13</v>
      </c>
      <c r="AD25" s="100"/>
      <c r="AE25" s="102"/>
      <c r="AF25" s="101">
        <f t="shared" si="20"/>
        <v>0</v>
      </c>
      <c r="AG25" s="100">
        <v>2</v>
      </c>
      <c r="AH25" s="103">
        <f t="shared" si="21"/>
        <v>0</v>
      </c>
      <c r="AI25" s="69" t="s">
        <v>14</v>
      </c>
    </row>
    <row r="26" spans="2:35" x14ac:dyDescent="0.25">
      <c r="B26" s="80" t="s">
        <v>108</v>
      </c>
      <c r="C26" s="84"/>
      <c r="D26" s="76" t="str">
        <f t="array" ref="D26">INDEX(Table_Name[Name List],MATCH(B26,Table_Name[Category],0))</f>
        <v>Glutes[Exercise]</v>
      </c>
      <c r="E26" s="73" t="e">
        <f t="array" ref="E26">INDEX(Links[Link],MATCH(C26,Links[Exercise],0))</f>
        <v>#N/A</v>
      </c>
      <c r="F26" s="87" t="e">
        <f t="shared" si="11"/>
        <v>#N/A</v>
      </c>
      <c r="G26" s="90"/>
      <c r="H26" s="99">
        <f t="shared" si="12"/>
        <v>0</v>
      </c>
      <c r="I26" s="100">
        <v>3</v>
      </c>
      <c r="J26" s="100">
        <f t="shared" si="13"/>
        <v>0</v>
      </c>
      <c r="K26" s="100" t="s">
        <v>11</v>
      </c>
      <c r="L26" s="100"/>
      <c r="M26" s="69"/>
      <c r="N26" s="99">
        <f t="shared" si="14"/>
        <v>0</v>
      </c>
      <c r="O26" s="100">
        <f>I26</f>
        <v>3</v>
      </c>
      <c r="P26" s="100">
        <f t="shared" si="15"/>
        <v>0</v>
      </c>
      <c r="Q26" s="100" t="s">
        <v>11</v>
      </c>
      <c r="R26" s="100"/>
      <c r="S26" s="69"/>
      <c r="T26" s="60">
        <f t="shared" si="16"/>
        <v>0</v>
      </c>
      <c r="U26" s="100">
        <f>O26</f>
        <v>3</v>
      </c>
      <c r="V26" s="100">
        <f t="shared" si="17"/>
        <v>0</v>
      </c>
      <c r="W26" s="100" t="s">
        <v>12</v>
      </c>
      <c r="X26" s="100"/>
      <c r="Y26" s="69"/>
      <c r="Z26" s="101">
        <f t="shared" si="18"/>
        <v>0</v>
      </c>
      <c r="AA26" s="100">
        <f>U26</f>
        <v>3</v>
      </c>
      <c r="AB26" s="100">
        <f t="shared" si="19"/>
        <v>0</v>
      </c>
      <c r="AC26" s="100" t="s">
        <v>13</v>
      </c>
      <c r="AD26" s="100"/>
      <c r="AE26" s="69"/>
      <c r="AF26" s="101">
        <f t="shared" si="20"/>
        <v>0</v>
      </c>
      <c r="AG26" s="100">
        <v>2</v>
      </c>
      <c r="AH26" s="103">
        <f t="shared" si="21"/>
        <v>0</v>
      </c>
      <c r="AI26" s="69" t="s">
        <v>14</v>
      </c>
    </row>
    <row r="27" spans="2:35" ht="15.75" thickBot="1" x14ac:dyDescent="0.3">
      <c r="B27" s="81" t="s">
        <v>344</v>
      </c>
      <c r="C27" s="85"/>
      <c r="D27" s="77" t="str">
        <f t="array" ref="D27">INDEX(Table_Name[Name List],MATCH(B27,Table_Name[Category],0))</f>
        <v>Hamstrings_Isolation[Exercise]</v>
      </c>
      <c r="E27" s="74" t="e">
        <f t="array" ref="E27">INDEX(Links[Link],MATCH(C27,Links[Exercise],0))</f>
        <v>#N/A</v>
      </c>
      <c r="F27" s="88" t="e">
        <f t="shared" si="11"/>
        <v>#N/A</v>
      </c>
      <c r="G27" s="91"/>
      <c r="H27" s="104">
        <f t="shared" si="12"/>
        <v>0</v>
      </c>
      <c r="I27" s="105">
        <v>3</v>
      </c>
      <c r="J27" s="105">
        <f t="shared" si="13"/>
        <v>0</v>
      </c>
      <c r="K27" s="105" t="s">
        <v>11</v>
      </c>
      <c r="L27" s="105"/>
      <c r="M27" s="62"/>
      <c r="N27" s="106">
        <f t="shared" si="14"/>
        <v>0</v>
      </c>
      <c r="O27" s="105">
        <f>I27</f>
        <v>3</v>
      </c>
      <c r="P27" s="105">
        <f t="shared" si="15"/>
        <v>0</v>
      </c>
      <c r="Q27" s="105" t="s">
        <v>11</v>
      </c>
      <c r="R27" s="105"/>
      <c r="S27" s="62"/>
      <c r="T27" s="107">
        <f t="shared" si="16"/>
        <v>0</v>
      </c>
      <c r="U27" s="105">
        <f>O27</f>
        <v>3</v>
      </c>
      <c r="V27" s="105">
        <f t="shared" si="17"/>
        <v>0</v>
      </c>
      <c r="W27" s="105" t="s">
        <v>12</v>
      </c>
      <c r="X27" s="105"/>
      <c r="Y27" s="62"/>
      <c r="Z27" s="106">
        <f t="shared" si="18"/>
        <v>0</v>
      </c>
      <c r="AA27" s="105">
        <f>U27</f>
        <v>3</v>
      </c>
      <c r="AB27" s="105">
        <f t="shared" si="19"/>
        <v>0</v>
      </c>
      <c r="AC27" s="105" t="s">
        <v>13</v>
      </c>
      <c r="AD27" s="105"/>
      <c r="AE27" s="62"/>
      <c r="AF27" s="106">
        <f t="shared" si="20"/>
        <v>0</v>
      </c>
      <c r="AG27" s="105">
        <v>2</v>
      </c>
      <c r="AH27" s="108">
        <f t="shared" si="21"/>
        <v>0</v>
      </c>
      <c r="AI27" s="62" t="s">
        <v>14</v>
      </c>
    </row>
    <row r="28" spans="2:35" ht="19.5" thickBot="1" x14ac:dyDescent="0.3">
      <c r="B28" s="68" t="s">
        <v>338</v>
      </c>
      <c r="C28" s="39"/>
      <c r="D28" s="39"/>
      <c r="E28" s="39"/>
      <c r="F28" s="39"/>
      <c r="G28" s="69"/>
      <c r="H28" s="153" t="s">
        <v>1</v>
      </c>
      <c r="I28" s="154"/>
      <c r="J28" s="154"/>
      <c r="K28" s="154"/>
      <c r="L28" s="154"/>
      <c r="M28" s="155"/>
      <c r="N28" s="156" t="s">
        <v>2</v>
      </c>
      <c r="O28" s="157"/>
      <c r="P28" s="157"/>
      <c r="Q28" s="157"/>
      <c r="R28" s="157"/>
      <c r="S28" s="158"/>
      <c r="T28" s="159" t="s">
        <v>3</v>
      </c>
      <c r="U28" s="160"/>
      <c r="V28" s="160"/>
      <c r="W28" s="160"/>
      <c r="X28" s="160"/>
      <c r="Y28" s="161"/>
      <c r="Z28" s="162" t="s">
        <v>4</v>
      </c>
      <c r="AA28" s="163"/>
      <c r="AB28" s="163"/>
      <c r="AC28" s="163"/>
      <c r="AD28" s="163"/>
      <c r="AE28" s="164"/>
      <c r="AF28" s="165" t="s">
        <v>5</v>
      </c>
      <c r="AG28" s="166"/>
      <c r="AH28" s="166"/>
      <c r="AI28" s="167"/>
    </row>
    <row r="29" spans="2:35" ht="15.75" thickBot="1" x14ac:dyDescent="0.3">
      <c r="B29" s="39"/>
      <c r="C29" s="39"/>
      <c r="D29" s="39"/>
      <c r="E29" s="39"/>
      <c r="F29" s="39"/>
      <c r="G29" s="69"/>
      <c r="H29" s="93" t="s">
        <v>88</v>
      </c>
      <c r="I29" s="94" t="s">
        <v>6</v>
      </c>
      <c r="J29" s="95" t="s">
        <v>7</v>
      </c>
      <c r="K29" s="64" t="s">
        <v>8</v>
      </c>
      <c r="L29" s="64" t="s">
        <v>9</v>
      </c>
      <c r="M29" s="96" t="s">
        <v>10</v>
      </c>
      <c r="N29" s="94" t="s">
        <v>88</v>
      </c>
      <c r="O29" s="94" t="s">
        <v>6</v>
      </c>
      <c r="P29" s="95" t="s">
        <v>7</v>
      </c>
      <c r="Q29" s="64" t="s">
        <v>8</v>
      </c>
      <c r="R29" s="64" t="s">
        <v>9</v>
      </c>
      <c r="S29" s="96" t="s">
        <v>10</v>
      </c>
      <c r="T29" s="94" t="s">
        <v>88</v>
      </c>
      <c r="U29" s="94" t="s">
        <v>6</v>
      </c>
      <c r="V29" s="95" t="s">
        <v>7</v>
      </c>
      <c r="W29" s="64" t="s">
        <v>8</v>
      </c>
      <c r="X29" s="64" t="s">
        <v>9</v>
      </c>
      <c r="Y29" s="96" t="s">
        <v>10</v>
      </c>
      <c r="Z29" s="94" t="s">
        <v>88</v>
      </c>
      <c r="AA29" s="94" t="s">
        <v>6</v>
      </c>
      <c r="AB29" s="95" t="s">
        <v>7</v>
      </c>
      <c r="AC29" s="110" t="s">
        <v>15</v>
      </c>
      <c r="AD29" s="64" t="s">
        <v>9</v>
      </c>
      <c r="AE29" s="96" t="s">
        <v>10</v>
      </c>
      <c r="AF29" s="94" t="s">
        <v>88</v>
      </c>
      <c r="AG29" s="94" t="s">
        <v>6</v>
      </c>
      <c r="AH29" s="95" t="s">
        <v>7</v>
      </c>
      <c r="AI29" s="97" t="s">
        <v>8</v>
      </c>
    </row>
    <row r="30" spans="2:35" ht="15.75" thickBot="1" x14ac:dyDescent="0.3">
      <c r="B30" s="78" t="s">
        <v>346</v>
      </c>
      <c r="C30" s="82" t="s">
        <v>103</v>
      </c>
      <c r="D30" s="71"/>
      <c r="E30" s="92"/>
      <c r="F30" s="82" t="s">
        <v>351</v>
      </c>
      <c r="G30" s="82" t="s">
        <v>352</v>
      </c>
      <c r="H30" s="64" t="s">
        <v>103</v>
      </c>
      <c r="I30" s="98"/>
      <c r="J30" s="98"/>
      <c r="K30" s="98"/>
      <c r="L30" s="98"/>
      <c r="M30" s="67"/>
      <c r="N30" s="63" t="s">
        <v>103</v>
      </c>
      <c r="O30" s="98"/>
      <c r="P30" s="98"/>
      <c r="Q30" s="98"/>
      <c r="R30" s="98"/>
      <c r="S30" s="67"/>
      <c r="T30" s="63" t="s">
        <v>103</v>
      </c>
      <c r="U30" s="98"/>
      <c r="V30" s="98"/>
      <c r="W30" s="98"/>
      <c r="X30" s="98"/>
      <c r="Y30" s="98"/>
      <c r="Z30" s="63" t="s">
        <v>103</v>
      </c>
      <c r="AA30" s="98"/>
      <c r="AB30" s="98"/>
      <c r="AC30" s="98"/>
      <c r="AD30" s="98"/>
      <c r="AE30" s="98"/>
      <c r="AF30" s="63" t="s">
        <v>103</v>
      </c>
      <c r="AG30" s="98"/>
      <c r="AH30" s="98"/>
      <c r="AI30" s="67"/>
    </row>
    <row r="31" spans="2:35" ht="15.75" thickBot="1" x14ac:dyDescent="0.3">
      <c r="B31" s="79" t="s">
        <v>104</v>
      </c>
      <c r="C31" s="83"/>
      <c r="D31" s="75" t="str">
        <f t="array" ref="D31">INDEX(Table_Name[Name List],MATCH(B31,Table_Name[Category],0))</f>
        <v>Front_Delts[Exercise]</v>
      </c>
      <c r="E31" s="72" t="e">
        <f t="array" ref="E31">INDEX(Links[Link],MATCH(C31,Links[Exercise],0))</f>
        <v>#N/A</v>
      </c>
      <c r="F31" s="86" t="e">
        <f t="shared" ref="F31:F37" si="22">HYPERLINK(E31,"Video")</f>
        <v>#N/A</v>
      </c>
      <c r="G31" s="89"/>
      <c r="H31" s="99">
        <f t="shared" ref="H31:H37" si="23">C31</f>
        <v>0</v>
      </c>
      <c r="I31" s="100">
        <v>3</v>
      </c>
      <c r="J31" s="100">
        <f t="shared" ref="J31:J37" si="24">MROUND(((G31)*0.85),5)</f>
        <v>0</v>
      </c>
      <c r="K31" s="100" t="s">
        <v>11</v>
      </c>
      <c r="L31" s="100"/>
      <c r="M31" s="102"/>
      <c r="N31" s="99">
        <f t="shared" ref="N31:N37" si="25">C31</f>
        <v>0</v>
      </c>
      <c r="O31" s="100">
        <f>I31+(S13)</f>
        <v>3</v>
      </c>
      <c r="P31" s="100">
        <f t="shared" ref="P31:P37" si="26">MROUND((J31*1.05),5)</f>
        <v>0</v>
      </c>
      <c r="Q31" s="100" t="s">
        <v>11</v>
      </c>
      <c r="R31" s="100"/>
      <c r="S31" s="102"/>
      <c r="T31" s="60">
        <f t="shared" ref="T31:T37" si="27">C31</f>
        <v>0</v>
      </c>
      <c r="U31" s="100">
        <f>O31+(Y13)</f>
        <v>3</v>
      </c>
      <c r="V31" s="100">
        <f t="shared" ref="V31:V37" si="28">MROUND((J31*1.075),5)</f>
        <v>0</v>
      </c>
      <c r="W31" s="100" t="s">
        <v>12</v>
      </c>
      <c r="X31" s="100"/>
      <c r="Y31" s="102"/>
      <c r="Z31" s="101">
        <f t="shared" ref="Z31:Z37" si="29">C31</f>
        <v>0</v>
      </c>
      <c r="AA31" s="100">
        <f>U31+(AE13)</f>
        <v>3</v>
      </c>
      <c r="AB31" s="100">
        <f t="shared" ref="AB31:AB37" si="30">MROUND((J31*1.1),5)</f>
        <v>0</v>
      </c>
      <c r="AC31" s="100" t="s">
        <v>13</v>
      </c>
      <c r="AD31" s="100"/>
      <c r="AE31" s="100"/>
      <c r="AF31" s="101">
        <f t="shared" ref="AF31:AF37" si="31">C31</f>
        <v>0</v>
      </c>
      <c r="AG31" s="100">
        <v>2</v>
      </c>
      <c r="AH31" s="103">
        <f t="shared" ref="AH31:AH37" si="32">MROUND((J31*0.5),5)</f>
        <v>0</v>
      </c>
      <c r="AI31" s="69" t="s">
        <v>14</v>
      </c>
    </row>
    <row r="32" spans="2:35" ht="15.75" thickBot="1" x14ac:dyDescent="0.3">
      <c r="B32" s="80" t="s">
        <v>104</v>
      </c>
      <c r="C32" s="84"/>
      <c r="D32" s="76" t="str">
        <f t="array" ref="D32">INDEX(Table_Name[Name List],MATCH(B32,Table_Name[Category],0))</f>
        <v>Front_Delts[Exercise]</v>
      </c>
      <c r="E32" s="73" t="e">
        <f t="array" ref="E32">INDEX(Links[Link],MATCH(C32,Links[Exercise],0))</f>
        <v>#N/A</v>
      </c>
      <c r="F32" s="87" t="e">
        <f t="shared" si="22"/>
        <v>#N/A</v>
      </c>
      <c r="G32" s="90"/>
      <c r="H32" s="99">
        <f t="shared" si="23"/>
        <v>0</v>
      </c>
      <c r="I32" s="100">
        <v>3</v>
      </c>
      <c r="J32" s="100">
        <f t="shared" si="24"/>
        <v>0</v>
      </c>
      <c r="K32" s="100" t="s">
        <v>11</v>
      </c>
      <c r="L32" s="100"/>
      <c r="M32" s="102"/>
      <c r="N32" s="99">
        <f t="shared" si="25"/>
        <v>0</v>
      </c>
      <c r="O32" s="100">
        <f>I32+(S13)</f>
        <v>3</v>
      </c>
      <c r="P32" s="100">
        <f t="shared" si="26"/>
        <v>0</v>
      </c>
      <c r="Q32" s="100" t="s">
        <v>11</v>
      </c>
      <c r="R32" s="100"/>
      <c r="S32" s="102"/>
      <c r="T32" s="60">
        <f t="shared" si="27"/>
        <v>0</v>
      </c>
      <c r="U32" s="100">
        <f>O32+(Y13)</f>
        <v>3</v>
      </c>
      <c r="V32" s="100">
        <f t="shared" si="28"/>
        <v>0</v>
      </c>
      <c r="W32" s="100" t="s">
        <v>12</v>
      </c>
      <c r="X32" s="100"/>
      <c r="Y32" s="102"/>
      <c r="Z32" s="101">
        <f t="shared" si="29"/>
        <v>0</v>
      </c>
      <c r="AA32" s="100">
        <f>U32+(AE13)</f>
        <v>3</v>
      </c>
      <c r="AB32" s="100">
        <f t="shared" si="30"/>
        <v>0</v>
      </c>
      <c r="AC32" s="100" t="s">
        <v>13</v>
      </c>
      <c r="AD32" s="100"/>
      <c r="AE32" s="100"/>
      <c r="AF32" s="101">
        <f t="shared" si="31"/>
        <v>0</v>
      </c>
      <c r="AG32" s="100">
        <v>2</v>
      </c>
      <c r="AH32" s="103">
        <f t="shared" si="32"/>
        <v>0</v>
      </c>
      <c r="AI32" s="69" t="s">
        <v>14</v>
      </c>
    </row>
    <row r="33" spans="2:35" ht="15.75" thickBot="1" x14ac:dyDescent="0.3">
      <c r="B33" s="80" t="s">
        <v>17</v>
      </c>
      <c r="C33" s="84"/>
      <c r="D33" s="76" t="str">
        <f t="array" ref="D33">INDEX(Table_Name[Name List],MATCH(B33,Table_Name[Category],0))</f>
        <v>Triceps[Exercise]</v>
      </c>
      <c r="E33" s="73" t="e">
        <f t="array" ref="E33">INDEX(Links[Link],MATCH(C33,Links[Exercise],0))</f>
        <v>#N/A</v>
      </c>
      <c r="F33" s="87" t="e">
        <f t="shared" si="22"/>
        <v>#N/A</v>
      </c>
      <c r="G33" s="90"/>
      <c r="H33" s="99">
        <f t="shared" si="23"/>
        <v>0</v>
      </c>
      <c r="I33" s="100">
        <v>3</v>
      </c>
      <c r="J33" s="100">
        <f t="shared" si="24"/>
        <v>0</v>
      </c>
      <c r="K33" s="100" t="s">
        <v>11</v>
      </c>
      <c r="L33" s="100"/>
      <c r="M33" s="102"/>
      <c r="N33" s="99">
        <f t="shared" si="25"/>
        <v>0</v>
      </c>
      <c r="O33" s="100">
        <f>I33+(S11)</f>
        <v>3</v>
      </c>
      <c r="P33" s="100">
        <f t="shared" si="26"/>
        <v>0</v>
      </c>
      <c r="Q33" s="100" t="s">
        <v>11</v>
      </c>
      <c r="R33" s="100"/>
      <c r="S33" s="102"/>
      <c r="T33" s="60">
        <f t="shared" si="27"/>
        <v>0</v>
      </c>
      <c r="U33" s="100">
        <f>O33+(Y11)</f>
        <v>3</v>
      </c>
      <c r="V33" s="100">
        <f t="shared" si="28"/>
        <v>0</v>
      </c>
      <c r="W33" s="100" t="s">
        <v>12</v>
      </c>
      <c r="X33" s="100"/>
      <c r="Y33" s="102"/>
      <c r="Z33" s="101">
        <f t="shared" si="29"/>
        <v>0</v>
      </c>
      <c r="AA33" s="100">
        <f>U33+(AE11)</f>
        <v>3</v>
      </c>
      <c r="AB33" s="100">
        <f t="shared" si="30"/>
        <v>0</v>
      </c>
      <c r="AC33" s="100" t="s">
        <v>13</v>
      </c>
      <c r="AD33" s="100"/>
      <c r="AE33" s="100"/>
      <c r="AF33" s="101">
        <f t="shared" si="31"/>
        <v>0</v>
      </c>
      <c r="AG33" s="100">
        <v>2</v>
      </c>
      <c r="AH33" s="103">
        <f t="shared" si="32"/>
        <v>0</v>
      </c>
      <c r="AI33" s="69" t="s">
        <v>14</v>
      </c>
    </row>
    <row r="34" spans="2:35" ht="15.75" thickBot="1" x14ac:dyDescent="0.3">
      <c r="B34" s="80" t="s">
        <v>105</v>
      </c>
      <c r="C34" s="84"/>
      <c r="D34" s="76" t="str">
        <f t="array" ref="D34">INDEX(Table_Name[Name List],MATCH(B34,Table_Name[Category],0))</f>
        <v>Side_Delts[Exercise]</v>
      </c>
      <c r="E34" s="73" t="e">
        <f t="array" ref="E34">INDEX(Links[Link],MATCH(C34,Links[Exercise],0))</f>
        <v>#N/A</v>
      </c>
      <c r="F34" s="87" t="e">
        <f t="shared" si="22"/>
        <v>#N/A</v>
      </c>
      <c r="G34" s="90"/>
      <c r="H34" s="99">
        <f t="shared" si="23"/>
        <v>0</v>
      </c>
      <c r="I34" s="100">
        <v>3</v>
      </c>
      <c r="J34" s="100">
        <f t="shared" si="24"/>
        <v>0</v>
      </c>
      <c r="K34" s="100" t="s">
        <v>11</v>
      </c>
      <c r="L34" s="100"/>
      <c r="M34" s="102"/>
      <c r="N34" s="99">
        <f t="shared" si="25"/>
        <v>0</v>
      </c>
      <c r="O34" s="100">
        <f>I34+(S14)</f>
        <v>3</v>
      </c>
      <c r="P34" s="100">
        <f t="shared" si="26"/>
        <v>0</v>
      </c>
      <c r="Q34" s="100" t="s">
        <v>11</v>
      </c>
      <c r="R34" s="100"/>
      <c r="S34" s="102"/>
      <c r="T34" s="60">
        <f t="shared" si="27"/>
        <v>0</v>
      </c>
      <c r="U34" s="100">
        <f>O34+(Y14)</f>
        <v>3</v>
      </c>
      <c r="V34" s="100">
        <f t="shared" si="28"/>
        <v>0</v>
      </c>
      <c r="W34" s="100" t="s">
        <v>12</v>
      </c>
      <c r="X34" s="100"/>
      <c r="Y34" s="102"/>
      <c r="Z34" s="101">
        <f t="shared" si="29"/>
        <v>0</v>
      </c>
      <c r="AA34" s="100">
        <f>U34+(AE14)</f>
        <v>3</v>
      </c>
      <c r="AB34" s="100">
        <f t="shared" si="30"/>
        <v>0</v>
      </c>
      <c r="AC34" s="100" t="s">
        <v>13</v>
      </c>
      <c r="AD34" s="100"/>
      <c r="AE34" s="100"/>
      <c r="AF34" s="101">
        <f t="shared" si="31"/>
        <v>0</v>
      </c>
      <c r="AG34" s="100">
        <v>2</v>
      </c>
      <c r="AH34" s="103">
        <f t="shared" si="32"/>
        <v>0</v>
      </c>
      <c r="AI34" s="69" t="s">
        <v>14</v>
      </c>
    </row>
    <row r="35" spans="2:35" ht="15.75" thickBot="1" x14ac:dyDescent="0.3">
      <c r="B35" s="80" t="s">
        <v>22</v>
      </c>
      <c r="C35" s="84"/>
      <c r="D35" s="76" t="str">
        <f t="array" ref="D35">INDEX(Table_Name[Name List],MATCH(B35,Table_Name[Category],0))</f>
        <v>Horizontal_Push[Exercise]</v>
      </c>
      <c r="E35" s="73" t="e">
        <f t="array" ref="E35">INDEX(Links[Link],MATCH(C35,Links[Exercise],0))</f>
        <v>#N/A</v>
      </c>
      <c r="F35" s="87" t="e">
        <f t="shared" si="22"/>
        <v>#N/A</v>
      </c>
      <c r="G35" s="90"/>
      <c r="H35" s="99">
        <f t="shared" si="23"/>
        <v>0</v>
      </c>
      <c r="I35" s="100">
        <v>3</v>
      </c>
      <c r="J35" s="100">
        <f t="shared" si="24"/>
        <v>0</v>
      </c>
      <c r="K35" s="100" t="s">
        <v>11</v>
      </c>
      <c r="L35" s="100"/>
      <c r="M35" s="102"/>
      <c r="N35" s="99">
        <f t="shared" si="25"/>
        <v>0</v>
      </c>
      <c r="O35" s="100">
        <f>I35+(S15)</f>
        <v>3</v>
      </c>
      <c r="P35" s="100">
        <f t="shared" si="26"/>
        <v>0</v>
      </c>
      <c r="Q35" s="100" t="s">
        <v>11</v>
      </c>
      <c r="R35" s="100"/>
      <c r="S35" s="102"/>
      <c r="T35" s="60">
        <f t="shared" si="27"/>
        <v>0</v>
      </c>
      <c r="U35" s="100">
        <f>O35+(Y15)</f>
        <v>3</v>
      </c>
      <c r="V35" s="100">
        <f t="shared" si="28"/>
        <v>0</v>
      </c>
      <c r="W35" s="100" t="s">
        <v>12</v>
      </c>
      <c r="X35" s="100"/>
      <c r="Y35" s="102"/>
      <c r="Z35" s="101">
        <f t="shared" si="29"/>
        <v>0</v>
      </c>
      <c r="AA35" s="100">
        <f>U35+(AE15)</f>
        <v>3</v>
      </c>
      <c r="AB35" s="100">
        <f t="shared" si="30"/>
        <v>0</v>
      </c>
      <c r="AC35" s="100" t="s">
        <v>13</v>
      </c>
      <c r="AD35" s="100"/>
      <c r="AE35" s="100"/>
      <c r="AF35" s="101">
        <f t="shared" si="31"/>
        <v>0</v>
      </c>
      <c r="AG35" s="100">
        <v>2</v>
      </c>
      <c r="AH35" s="103">
        <f t="shared" si="32"/>
        <v>0</v>
      </c>
      <c r="AI35" s="69" t="s">
        <v>14</v>
      </c>
    </row>
    <row r="36" spans="2:35" x14ac:dyDescent="0.25">
      <c r="B36" s="80" t="s">
        <v>20</v>
      </c>
      <c r="C36" s="84"/>
      <c r="D36" s="76" t="str">
        <f t="array" ref="D36">INDEX(Table_Name[Name List],MATCH(B36,Table_Name[Category],0))</f>
        <v>Quads[Exercise]</v>
      </c>
      <c r="E36" s="73" t="e">
        <f t="array" ref="E36">INDEX(Links[Link],MATCH(C36,Links[Exercise],0))</f>
        <v>#N/A</v>
      </c>
      <c r="F36" s="87" t="e">
        <f t="shared" si="22"/>
        <v>#N/A</v>
      </c>
      <c r="G36" s="90"/>
      <c r="H36" s="99">
        <f t="shared" si="23"/>
        <v>0</v>
      </c>
      <c r="I36" s="100">
        <v>3</v>
      </c>
      <c r="J36" s="100">
        <f t="shared" si="24"/>
        <v>0</v>
      </c>
      <c r="K36" s="100" t="s">
        <v>11</v>
      </c>
      <c r="L36" s="100"/>
      <c r="M36" s="69"/>
      <c r="N36" s="99">
        <f t="shared" si="25"/>
        <v>0</v>
      </c>
      <c r="O36" s="100">
        <f>I36</f>
        <v>3</v>
      </c>
      <c r="P36" s="100">
        <f t="shared" si="26"/>
        <v>0</v>
      </c>
      <c r="Q36" s="100" t="s">
        <v>11</v>
      </c>
      <c r="R36" s="100"/>
      <c r="S36" s="69"/>
      <c r="T36" s="60">
        <f t="shared" si="27"/>
        <v>0</v>
      </c>
      <c r="U36" s="100">
        <f>O36</f>
        <v>3</v>
      </c>
      <c r="V36" s="100">
        <f t="shared" si="28"/>
        <v>0</v>
      </c>
      <c r="W36" s="100" t="s">
        <v>12</v>
      </c>
      <c r="X36" s="100"/>
      <c r="Y36" s="69"/>
      <c r="Z36" s="101">
        <f t="shared" si="29"/>
        <v>0</v>
      </c>
      <c r="AA36" s="100">
        <f>U36</f>
        <v>3</v>
      </c>
      <c r="AB36" s="100">
        <f t="shared" si="30"/>
        <v>0</v>
      </c>
      <c r="AC36" s="100" t="s">
        <v>13</v>
      </c>
      <c r="AD36" s="100"/>
      <c r="AE36" s="100"/>
      <c r="AF36" s="101">
        <f t="shared" si="31"/>
        <v>0</v>
      </c>
      <c r="AG36" s="100">
        <v>2</v>
      </c>
      <c r="AH36" s="103">
        <f t="shared" si="32"/>
        <v>0</v>
      </c>
      <c r="AI36" s="69" t="s">
        <v>14</v>
      </c>
    </row>
    <row r="37" spans="2:35" ht="15.75" thickBot="1" x14ac:dyDescent="0.3">
      <c r="B37" s="81" t="s">
        <v>19</v>
      </c>
      <c r="C37" s="85"/>
      <c r="D37" s="77" t="str">
        <f t="array" ref="D37">INDEX(Table_Name[Name List],MATCH(B37,Table_Name[Category],0))</f>
        <v>Calves[Exercise]</v>
      </c>
      <c r="E37" s="74" t="e">
        <f t="array" ref="E37">INDEX(Links[Link],MATCH(C37,Links[Exercise],0))</f>
        <v>#N/A</v>
      </c>
      <c r="F37" s="88" t="e">
        <f t="shared" si="22"/>
        <v>#N/A</v>
      </c>
      <c r="G37" s="91"/>
      <c r="H37" s="104">
        <f t="shared" si="23"/>
        <v>0</v>
      </c>
      <c r="I37" s="105">
        <v>4</v>
      </c>
      <c r="J37" s="105">
        <f t="shared" si="24"/>
        <v>0</v>
      </c>
      <c r="K37" s="105" t="s">
        <v>11</v>
      </c>
      <c r="L37" s="105"/>
      <c r="M37" s="62"/>
      <c r="N37" s="106">
        <f t="shared" si="25"/>
        <v>0</v>
      </c>
      <c r="O37" s="105">
        <f>I37</f>
        <v>4</v>
      </c>
      <c r="P37" s="105">
        <f t="shared" si="26"/>
        <v>0</v>
      </c>
      <c r="Q37" s="105" t="s">
        <v>11</v>
      </c>
      <c r="R37" s="105"/>
      <c r="S37" s="62"/>
      <c r="T37" s="107">
        <f t="shared" si="27"/>
        <v>0</v>
      </c>
      <c r="U37" s="105">
        <f>O37</f>
        <v>4</v>
      </c>
      <c r="V37" s="105">
        <f t="shared" si="28"/>
        <v>0</v>
      </c>
      <c r="W37" s="105" t="s">
        <v>12</v>
      </c>
      <c r="X37" s="105"/>
      <c r="Y37" s="62"/>
      <c r="Z37" s="106">
        <f t="shared" si="29"/>
        <v>0</v>
      </c>
      <c r="AA37" s="105">
        <f>U37</f>
        <v>4</v>
      </c>
      <c r="AB37" s="105">
        <f t="shared" si="30"/>
        <v>0</v>
      </c>
      <c r="AC37" s="105" t="s">
        <v>13</v>
      </c>
      <c r="AD37" s="105"/>
      <c r="AE37" s="105"/>
      <c r="AF37" s="106">
        <f t="shared" si="31"/>
        <v>0</v>
      </c>
      <c r="AG37" s="105">
        <v>2</v>
      </c>
      <c r="AH37" s="108">
        <f t="shared" si="32"/>
        <v>0</v>
      </c>
      <c r="AI37" s="62" t="s">
        <v>14</v>
      </c>
    </row>
    <row r="38" spans="2:35" ht="19.5" thickBot="1" x14ac:dyDescent="0.3">
      <c r="B38" s="68" t="s">
        <v>339</v>
      </c>
      <c r="C38" s="39"/>
      <c r="D38" s="39"/>
      <c r="E38" s="39"/>
      <c r="F38" s="39"/>
      <c r="G38" s="69"/>
      <c r="H38" s="153" t="s">
        <v>1</v>
      </c>
      <c r="I38" s="154"/>
      <c r="J38" s="154"/>
      <c r="K38" s="154"/>
      <c r="L38" s="154"/>
      <c r="M38" s="155"/>
      <c r="N38" s="156" t="s">
        <v>2</v>
      </c>
      <c r="O38" s="157"/>
      <c r="P38" s="157"/>
      <c r="Q38" s="157"/>
      <c r="R38" s="157"/>
      <c r="S38" s="158"/>
      <c r="T38" s="159" t="s">
        <v>3</v>
      </c>
      <c r="U38" s="160"/>
      <c r="V38" s="160"/>
      <c r="W38" s="160"/>
      <c r="X38" s="160"/>
      <c r="Y38" s="161"/>
      <c r="Z38" s="162" t="s">
        <v>4</v>
      </c>
      <c r="AA38" s="163"/>
      <c r="AB38" s="163"/>
      <c r="AC38" s="163"/>
      <c r="AD38" s="163"/>
      <c r="AE38" s="164"/>
      <c r="AF38" s="165" t="s">
        <v>5</v>
      </c>
      <c r="AG38" s="166"/>
      <c r="AH38" s="166"/>
      <c r="AI38" s="167"/>
    </row>
    <row r="39" spans="2:35" ht="15.75" thickBot="1" x14ac:dyDescent="0.3">
      <c r="B39" s="39"/>
      <c r="C39" s="39"/>
      <c r="D39" s="39"/>
      <c r="E39" s="39"/>
      <c r="F39" s="39"/>
      <c r="G39" s="39"/>
      <c r="H39" s="93" t="s">
        <v>88</v>
      </c>
      <c r="I39" s="94" t="s">
        <v>6</v>
      </c>
      <c r="J39" s="95" t="s">
        <v>7</v>
      </c>
      <c r="K39" s="64" t="s">
        <v>8</v>
      </c>
      <c r="L39" s="64" t="s">
        <v>9</v>
      </c>
      <c r="M39" s="96" t="s">
        <v>10</v>
      </c>
      <c r="N39" s="94" t="s">
        <v>88</v>
      </c>
      <c r="O39" s="94" t="s">
        <v>6</v>
      </c>
      <c r="P39" s="95" t="s">
        <v>7</v>
      </c>
      <c r="Q39" s="64" t="s">
        <v>8</v>
      </c>
      <c r="R39" s="64" t="s">
        <v>9</v>
      </c>
      <c r="S39" s="96" t="s">
        <v>10</v>
      </c>
      <c r="T39" s="94" t="s">
        <v>88</v>
      </c>
      <c r="U39" s="94" t="s">
        <v>6</v>
      </c>
      <c r="V39" s="95" t="s">
        <v>7</v>
      </c>
      <c r="W39" s="64" t="s">
        <v>8</v>
      </c>
      <c r="X39" s="64" t="s">
        <v>9</v>
      </c>
      <c r="Y39" s="96" t="s">
        <v>10</v>
      </c>
      <c r="Z39" s="94" t="s">
        <v>88</v>
      </c>
      <c r="AA39" s="94" t="s">
        <v>6</v>
      </c>
      <c r="AB39" s="95" t="s">
        <v>7</v>
      </c>
      <c r="AC39" s="110" t="s">
        <v>15</v>
      </c>
      <c r="AD39" s="64" t="s">
        <v>9</v>
      </c>
      <c r="AE39" s="96" t="s">
        <v>10</v>
      </c>
      <c r="AF39" s="94" t="s">
        <v>88</v>
      </c>
      <c r="AG39" s="94" t="s">
        <v>6</v>
      </c>
      <c r="AH39" s="95" t="s">
        <v>7</v>
      </c>
      <c r="AI39" s="97" t="s">
        <v>8</v>
      </c>
    </row>
    <row r="40" spans="2:35" ht="15.75" thickBot="1" x14ac:dyDescent="0.3">
      <c r="B40" s="78" t="s">
        <v>347</v>
      </c>
      <c r="C40" s="82" t="s">
        <v>336</v>
      </c>
      <c r="D40" s="71"/>
      <c r="E40" s="92"/>
      <c r="F40" s="82" t="s">
        <v>351</v>
      </c>
      <c r="G40" s="82" t="s">
        <v>352</v>
      </c>
      <c r="H40" s="64" t="s">
        <v>336</v>
      </c>
      <c r="I40" s="98"/>
      <c r="J40" s="98"/>
      <c r="K40" s="98"/>
      <c r="L40" s="98"/>
      <c r="M40" s="67"/>
      <c r="N40" s="63" t="s">
        <v>336</v>
      </c>
      <c r="O40" s="98"/>
      <c r="P40" s="98"/>
      <c r="Q40" s="98"/>
      <c r="R40" s="98"/>
      <c r="S40" s="67"/>
      <c r="T40" s="63" t="s">
        <v>336</v>
      </c>
      <c r="U40" s="98"/>
      <c r="V40" s="98"/>
      <c r="W40" s="98"/>
      <c r="X40" s="98"/>
      <c r="Y40" s="98"/>
      <c r="Z40" s="63" t="s">
        <v>336</v>
      </c>
      <c r="AA40" s="98"/>
      <c r="AB40" s="98"/>
      <c r="AC40" s="98"/>
      <c r="AD40" s="98"/>
      <c r="AE40" s="98"/>
      <c r="AF40" s="63" t="s">
        <v>336</v>
      </c>
      <c r="AG40" s="98"/>
      <c r="AH40" s="98"/>
      <c r="AI40" s="67"/>
    </row>
    <row r="41" spans="2:35" ht="15.75" thickBot="1" x14ac:dyDescent="0.3">
      <c r="B41" s="79" t="s">
        <v>343</v>
      </c>
      <c r="C41" s="83"/>
      <c r="D41" s="75" t="str">
        <f t="array" ref="D41">INDEX(Table_Name[Name List],MATCH(B41,Table_Name[Category],0))</f>
        <v>Rear_or_Side_Delts[Exercise]</v>
      </c>
      <c r="E41" s="72" t="e">
        <f t="array" ref="E41">INDEX(Links[Link],MATCH(C41,Links[Exercise],0))</f>
        <v>#N/A</v>
      </c>
      <c r="F41" s="86" t="e">
        <f t="shared" ref="F41:F47" si="33">HYPERLINK(E41,"Video")</f>
        <v>#N/A</v>
      </c>
      <c r="G41" s="89"/>
      <c r="H41" s="99">
        <f t="shared" ref="H41:H47" si="34">C41</f>
        <v>0</v>
      </c>
      <c r="I41" s="100">
        <v>3</v>
      </c>
      <c r="J41" s="100">
        <f t="shared" ref="J41:J47" si="35">MROUND(((G41)*0.85),5)</f>
        <v>0</v>
      </c>
      <c r="K41" s="100" t="s">
        <v>11</v>
      </c>
      <c r="L41" s="100"/>
      <c r="M41" s="102"/>
      <c r="N41" s="99">
        <f t="shared" ref="N41:N47" si="36">C41</f>
        <v>0</v>
      </c>
      <c r="O41" s="100">
        <f>I41+(S23)</f>
        <v>3</v>
      </c>
      <c r="P41" s="100">
        <f t="shared" ref="P41:P47" si="37">MROUND((J41*1.05),5)</f>
        <v>0</v>
      </c>
      <c r="Q41" s="100" t="s">
        <v>11</v>
      </c>
      <c r="R41" s="100"/>
      <c r="S41" s="102"/>
      <c r="T41" s="60">
        <f t="shared" ref="T41:T47" si="38">C41</f>
        <v>0</v>
      </c>
      <c r="U41" s="100">
        <f>O41+(Y23)</f>
        <v>3</v>
      </c>
      <c r="V41" s="100">
        <f t="shared" ref="V41:V47" si="39">MROUND((J41*1.075),5)</f>
        <v>0</v>
      </c>
      <c r="W41" s="100" t="s">
        <v>12</v>
      </c>
      <c r="X41" s="100"/>
      <c r="Y41" s="102"/>
      <c r="Z41" s="101">
        <f t="shared" ref="Z41:Z47" si="40">C41</f>
        <v>0</v>
      </c>
      <c r="AA41" s="100">
        <f>U41+(AE23)</f>
        <v>3</v>
      </c>
      <c r="AB41" s="100">
        <f t="shared" ref="AB41:AB47" si="41">MROUND((J41*1.1),5)</f>
        <v>0</v>
      </c>
      <c r="AC41" s="100" t="s">
        <v>13</v>
      </c>
      <c r="AD41" s="100"/>
      <c r="AE41" s="100"/>
      <c r="AF41" s="101">
        <f t="shared" ref="AF41:AF47" si="42">C41</f>
        <v>0</v>
      </c>
      <c r="AG41" s="100">
        <v>2</v>
      </c>
      <c r="AH41" s="103">
        <f t="shared" ref="AH41:AH47" si="43">MROUND((J41*0.5),5)</f>
        <v>0</v>
      </c>
      <c r="AI41" s="69" t="s">
        <v>14</v>
      </c>
    </row>
    <row r="42" spans="2:35" ht="15.75" thickBot="1" x14ac:dyDescent="0.3">
      <c r="B42" s="80" t="s">
        <v>343</v>
      </c>
      <c r="C42" s="84"/>
      <c r="D42" s="76" t="str">
        <f t="array" ref="D42">INDEX(Table_Name[Name List],MATCH(B42,Table_Name[Category],0))</f>
        <v>Rear_or_Side_Delts[Exercise]</v>
      </c>
      <c r="E42" s="73" t="e">
        <f t="array" ref="E42">INDEX(Links[Link],MATCH(C42,Links[Exercise],0))</f>
        <v>#N/A</v>
      </c>
      <c r="F42" s="87" t="e">
        <f t="shared" si="33"/>
        <v>#N/A</v>
      </c>
      <c r="G42" s="90"/>
      <c r="H42" s="99">
        <f t="shared" si="34"/>
        <v>0</v>
      </c>
      <c r="I42" s="100">
        <v>3</v>
      </c>
      <c r="J42" s="100">
        <f t="shared" si="35"/>
        <v>0</v>
      </c>
      <c r="K42" s="100" t="s">
        <v>11</v>
      </c>
      <c r="L42" s="100"/>
      <c r="M42" s="102"/>
      <c r="N42" s="99">
        <f t="shared" si="36"/>
        <v>0</v>
      </c>
      <c r="O42" s="100">
        <f>I42+(S23)</f>
        <v>3</v>
      </c>
      <c r="P42" s="100">
        <f t="shared" si="37"/>
        <v>0</v>
      </c>
      <c r="Q42" s="100" t="s">
        <v>11</v>
      </c>
      <c r="R42" s="100"/>
      <c r="S42" s="102"/>
      <c r="T42" s="60">
        <f t="shared" si="38"/>
        <v>0</v>
      </c>
      <c r="U42" s="100">
        <f>O42+(Y23)</f>
        <v>3</v>
      </c>
      <c r="V42" s="100">
        <f t="shared" si="39"/>
        <v>0</v>
      </c>
      <c r="W42" s="100" t="s">
        <v>12</v>
      </c>
      <c r="X42" s="100"/>
      <c r="Y42" s="102"/>
      <c r="Z42" s="101">
        <f t="shared" si="40"/>
        <v>0</v>
      </c>
      <c r="AA42" s="100">
        <f>U42+(AE23)</f>
        <v>3</v>
      </c>
      <c r="AB42" s="100">
        <f t="shared" si="41"/>
        <v>0</v>
      </c>
      <c r="AC42" s="100" t="s">
        <v>13</v>
      </c>
      <c r="AD42" s="100"/>
      <c r="AE42" s="100"/>
      <c r="AF42" s="101">
        <f t="shared" si="42"/>
        <v>0</v>
      </c>
      <c r="AG42" s="100">
        <v>2</v>
      </c>
      <c r="AH42" s="103">
        <f t="shared" si="43"/>
        <v>0</v>
      </c>
      <c r="AI42" s="69" t="s">
        <v>14</v>
      </c>
    </row>
    <row r="43" spans="2:35" ht="15.75" thickBot="1" x14ac:dyDescent="0.3">
      <c r="B43" s="80" t="s">
        <v>18</v>
      </c>
      <c r="C43" s="84"/>
      <c r="D43" s="76" t="str">
        <f t="array" ref="D43">INDEX(Table_Name[Name List],MATCH(B43,Table_Name[Category],0))</f>
        <v>Biceps[Exercise]</v>
      </c>
      <c r="E43" s="73" t="e">
        <f t="array" ref="E43">INDEX(Links[Link],MATCH(C43,Links[Exercise],0))</f>
        <v>#N/A</v>
      </c>
      <c r="F43" s="87" t="e">
        <f t="shared" si="33"/>
        <v>#N/A</v>
      </c>
      <c r="G43" s="90"/>
      <c r="H43" s="99">
        <f t="shared" si="34"/>
        <v>0</v>
      </c>
      <c r="I43" s="100">
        <v>3</v>
      </c>
      <c r="J43" s="100">
        <f t="shared" si="35"/>
        <v>0</v>
      </c>
      <c r="K43" s="100" t="s">
        <v>11</v>
      </c>
      <c r="L43" s="100"/>
      <c r="M43" s="102"/>
      <c r="N43" s="99">
        <f t="shared" si="36"/>
        <v>0</v>
      </c>
      <c r="O43" s="100">
        <f>I43+(S21)</f>
        <v>3</v>
      </c>
      <c r="P43" s="100">
        <f t="shared" si="37"/>
        <v>0</v>
      </c>
      <c r="Q43" s="100" t="s">
        <v>11</v>
      </c>
      <c r="R43" s="100"/>
      <c r="S43" s="102"/>
      <c r="T43" s="60">
        <f t="shared" si="38"/>
        <v>0</v>
      </c>
      <c r="U43" s="100">
        <f>O43+(Y21)</f>
        <v>3</v>
      </c>
      <c r="V43" s="100">
        <f t="shared" si="39"/>
        <v>0</v>
      </c>
      <c r="W43" s="100" t="s">
        <v>12</v>
      </c>
      <c r="X43" s="100"/>
      <c r="Y43" s="102"/>
      <c r="Z43" s="101">
        <f t="shared" si="40"/>
        <v>0</v>
      </c>
      <c r="AA43" s="100">
        <f>U43+(AE21)</f>
        <v>3</v>
      </c>
      <c r="AB43" s="100">
        <f t="shared" si="41"/>
        <v>0</v>
      </c>
      <c r="AC43" s="100" t="s">
        <v>13</v>
      </c>
      <c r="AD43" s="100"/>
      <c r="AE43" s="100"/>
      <c r="AF43" s="101">
        <f t="shared" si="42"/>
        <v>0</v>
      </c>
      <c r="AG43" s="100">
        <v>2</v>
      </c>
      <c r="AH43" s="103">
        <f t="shared" si="43"/>
        <v>0</v>
      </c>
      <c r="AI43" s="69" t="s">
        <v>14</v>
      </c>
    </row>
    <row r="44" spans="2:35" ht="15.75" thickBot="1" x14ac:dyDescent="0.3">
      <c r="B44" s="80" t="s">
        <v>18</v>
      </c>
      <c r="C44" s="84"/>
      <c r="D44" s="76" t="str">
        <f t="array" ref="D44">INDEX(Table_Name[Name List],MATCH(B44,Table_Name[Category],0))</f>
        <v>Biceps[Exercise]</v>
      </c>
      <c r="E44" s="73" t="e">
        <f t="array" ref="E44">INDEX(Links[Link],MATCH(C44,Links[Exercise],0))</f>
        <v>#N/A</v>
      </c>
      <c r="F44" s="87" t="e">
        <f t="shared" si="33"/>
        <v>#N/A</v>
      </c>
      <c r="G44" s="90"/>
      <c r="H44" s="99">
        <f t="shared" si="34"/>
        <v>0</v>
      </c>
      <c r="I44" s="100">
        <v>3</v>
      </c>
      <c r="J44" s="100">
        <f t="shared" si="35"/>
        <v>0</v>
      </c>
      <c r="K44" s="100" t="s">
        <v>11</v>
      </c>
      <c r="L44" s="100"/>
      <c r="M44" s="102"/>
      <c r="N44" s="99">
        <f t="shared" si="36"/>
        <v>0</v>
      </c>
      <c r="O44" s="100">
        <f>I44+(S21)</f>
        <v>3</v>
      </c>
      <c r="P44" s="100">
        <f t="shared" si="37"/>
        <v>0</v>
      </c>
      <c r="Q44" s="100" t="s">
        <v>11</v>
      </c>
      <c r="R44" s="100"/>
      <c r="S44" s="102"/>
      <c r="T44" s="60">
        <f t="shared" si="38"/>
        <v>0</v>
      </c>
      <c r="U44" s="100">
        <f>O44+(Y21)</f>
        <v>3</v>
      </c>
      <c r="V44" s="100">
        <f t="shared" si="39"/>
        <v>0</v>
      </c>
      <c r="W44" s="100" t="s">
        <v>12</v>
      </c>
      <c r="X44" s="100"/>
      <c r="Y44" s="102"/>
      <c r="Z44" s="101">
        <f t="shared" si="40"/>
        <v>0</v>
      </c>
      <c r="AA44" s="100">
        <f>U44+(AE21)</f>
        <v>3</v>
      </c>
      <c r="AB44" s="100">
        <f t="shared" si="41"/>
        <v>0</v>
      </c>
      <c r="AC44" s="100" t="s">
        <v>13</v>
      </c>
      <c r="AD44" s="100"/>
      <c r="AE44" s="100"/>
      <c r="AF44" s="101">
        <f t="shared" si="42"/>
        <v>0</v>
      </c>
      <c r="AG44" s="100">
        <v>2</v>
      </c>
      <c r="AH44" s="103">
        <f t="shared" si="43"/>
        <v>0</v>
      </c>
      <c r="AI44" s="69" t="s">
        <v>14</v>
      </c>
    </row>
    <row r="45" spans="2:35" ht="15.75" thickBot="1" x14ac:dyDescent="0.3">
      <c r="B45" s="80" t="s">
        <v>120</v>
      </c>
      <c r="C45" s="84"/>
      <c r="D45" s="76" t="str">
        <f t="array" ref="D45">INDEX(Table_Name[Name List],MATCH(B45,Table_Name[Category],0))</f>
        <v>Traps[Exercise]</v>
      </c>
      <c r="E45" s="73" t="e">
        <f t="array" ref="E45">INDEX(Links[Link],MATCH(C45,Links[Exercise],0))</f>
        <v>#N/A</v>
      </c>
      <c r="F45" s="87" t="e">
        <f t="shared" si="33"/>
        <v>#N/A</v>
      </c>
      <c r="G45" s="90"/>
      <c r="H45" s="99">
        <f t="shared" si="34"/>
        <v>0</v>
      </c>
      <c r="I45" s="100">
        <v>3</v>
      </c>
      <c r="J45" s="100">
        <f t="shared" si="35"/>
        <v>0</v>
      </c>
      <c r="K45" s="100" t="s">
        <v>11</v>
      </c>
      <c r="L45" s="100"/>
      <c r="M45" s="102"/>
      <c r="N45" s="99">
        <f t="shared" si="36"/>
        <v>0</v>
      </c>
      <c r="O45" s="100">
        <f>I45+(S23)</f>
        <v>3</v>
      </c>
      <c r="P45" s="100">
        <f t="shared" si="37"/>
        <v>0</v>
      </c>
      <c r="Q45" s="100" t="s">
        <v>11</v>
      </c>
      <c r="R45" s="100"/>
      <c r="S45" s="102"/>
      <c r="T45" s="60">
        <f t="shared" si="38"/>
        <v>0</v>
      </c>
      <c r="U45" s="100">
        <f>O45+(Y23)</f>
        <v>3</v>
      </c>
      <c r="V45" s="100">
        <f t="shared" si="39"/>
        <v>0</v>
      </c>
      <c r="W45" s="100" t="s">
        <v>12</v>
      </c>
      <c r="X45" s="100"/>
      <c r="Y45" s="102"/>
      <c r="Z45" s="101">
        <f t="shared" si="40"/>
        <v>0</v>
      </c>
      <c r="AA45" s="100">
        <f>U45+(AE23)</f>
        <v>3</v>
      </c>
      <c r="AB45" s="100">
        <f t="shared" si="41"/>
        <v>0</v>
      </c>
      <c r="AC45" s="100" t="s">
        <v>13</v>
      </c>
      <c r="AD45" s="100"/>
      <c r="AE45" s="100"/>
      <c r="AF45" s="101">
        <f t="shared" si="42"/>
        <v>0</v>
      </c>
      <c r="AG45" s="100">
        <v>2</v>
      </c>
      <c r="AH45" s="103">
        <f t="shared" si="43"/>
        <v>0</v>
      </c>
      <c r="AI45" s="69" t="s">
        <v>14</v>
      </c>
    </row>
    <row r="46" spans="2:35" ht="15.75" thickBot="1" x14ac:dyDescent="0.3">
      <c r="B46" s="80" t="s">
        <v>341</v>
      </c>
      <c r="C46" s="84"/>
      <c r="D46" s="76" t="str">
        <f t="array" ref="D46">INDEX(Table_Name[Name List],MATCH(B46,Table_Name[Category],0))</f>
        <v>Horizontal_Back[Exercise]</v>
      </c>
      <c r="E46" s="73" t="e">
        <f t="array" ref="E46">INDEX(Links[Link],MATCH(C46,Links[Exercise],0))</f>
        <v>#N/A</v>
      </c>
      <c r="F46" s="87" t="e">
        <f t="shared" si="33"/>
        <v>#N/A</v>
      </c>
      <c r="G46" s="90"/>
      <c r="H46" s="99">
        <f t="shared" si="34"/>
        <v>0</v>
      </c>
      <c r="I46" s="100">
        <v>3</v>
      </c>
      <c r="J46" s="100">
        <f t="shared" si="35"/>
        <v>0</v>
      </c>
      <c r="K46" s="100" t="s">
        <v>11</v>
      </c>
      <c r="L46" s="100"/>
      <c r="M46" s="102"/>
      <c r="N46" s="99">
        <f t="shared" si="36"/>
        <v>0</v>
      </c>
      <c r="O46" s="100">
        <f>I46+(S25)</f>
        <v>3</v>
      </c>
      <c r="P46" s="100">
        <f t="shared" si="37"/>
        <v>0</v>
      </c>
      <c r="Q46" s="100" t="s">
        <v>11</v>
      </c>
      <c r="R46" s="100"/>
      <c r="S46" s="102"/>
      <c r="T46" s="60">
        <f t="shared" si="38"/>
        <v>0</v>
      </c>
      <c r="U46" s="100">
        <f>O46+(Y25)</f>
        <v>3</v>
      </c>
      <c r="V46" s="100">
        <f t="shared" si="39"/>
        <v>0</v>
      </c>
      <c r="W46" s="100" t="s">
        <v>12</v>
      </c>
      <c r="X46" s="100"/>
      <c r="Y46" s="102"/>
      <c r="Z46" s="101">
        <f t="shared" si="40"/>
        <v>0</v>
      </c>
      <c r="AA46" s="100">
        <f>U46+(AE25)</f>
        <v>3</v>
      </c>
      <c r="AB46" s="100">
        <f t="shared" si="41"/>
        <v>0</v>
      </c>
      <c r="AC46" s="100" t="s">
        <v>13</v>
      </c>
      <c r="AD46" s="100"/>
      <c r="AE46" s="100"/>
      <c r="AF46" s="101">
        <f t="shared" si="42"/>
        <v>0</v>
      </c>
      <c r="AG46" s="100">
        <v>2</v>
      </c>
      <c r="AH46" s="103">
        <f t="shared" si="43"/>
        <v>0</v>
      </c>
      <c r="AI46" s="69" t="s">
        <v>14</v>
      </c>
    </row>
    <row r="47" spans="2:35" ht="15.75" thickBot="1" x14ac:dyDescent="0.3">
      <c r="B47" s="81" t="s">
        <v>345</v>
      </c>
      <c r="C47" s="85"/>
      <c r="D47" s="77" t="str">
        <f t="array" ref="D47">INDEX(Table_Name[Name List],MATCH(B47,Table_Name[Category],0))</f>
        <v>Hamstrings_Hip_Hinge[Exercise]</v>
      </c>
      <c r="E47" s="74" t="e">
        <f t="array" ref="E47">INDEX(Links[Link],MATCH(C47,Links[Exercise],0))</f>
        <v>#N/A</v>
      </c>
      <c r="F47" s="88" t="e">
        <f t="shared" si="33"/>
        <v>#N/A</v>
      </c>
      <c r="G47" s="91"/>
      <c r="H47" s="104">
        <f t="shared" si="34"/>
        <v>0</v>
      </c>
      <c r="I47" s="105">
        <v>3</v>
      </c>
      <c r="J47" s="105">
        <f t="shared" si="35"/>
        <v>0</v>
      </c>
      <c r="K47" s="105" t="s">
        <v>11</v>
      </c>
      <c r="L47" s="105"/>
      <c r="M47" s="62"/>
      <c r="N47" s="106">
        <f t="shared" si="36"/>
        <v>0</v>
      </c>
      <c r="O47" s="105">
        <f>I47</f>
        <v>3</v>
      </c>
      <c r="P47" s="105">
        <f t="shared" si="37"/>
        <v>0</v>
      </c>
      <c r="Q47" s="105" t="s">
        <v>11</v>
      </c>
      <c r="R47" s="105"/>
      <c r="S47" s="62"/>
      <c r="T47" s="107">
        <f t="shared" si="38"/>
        <v>0</v>
      </c>
      <c r="U47" s="105">
        <f>O47</f>
        <v>3</v>
      </c>
      <c r="V47" s="105">
        <f t="shared" si="39"/>
        <v>0</v>
      </c>
      <c r="W47" s="105" t="s">
        <v>12</v>
      </c>
      <c r="X47" s="105"/>
      <c r="Y47" s="62"/>
      <c r="Z47" s="106">
        <f t="shared" si="40"/>
        <v>0</v>
      </c>
      <c r="AA47" s="105">
        <f>U47</f>
        <v>3</v>
      </c>
      <c r="AB47" s="105">
        <f t="shared" si="41"/>
        <v>0</v>
      </c>
      <c r="AC47" s="105" t="s">
        <v>13</v>
      </c>
      <c r="AD47" s="105"/>
      <c r="AE47" s="105"/>
      <c r="AF47" s="106">
        <f t="shared" si="42"/>
        <v>0</v>
      </c>
      <c r="AG47" s="105">
        <v>2</v>
      </c>
      <c r="AH47" s="108">
        <f t="shared" si="43"/>
        <v>0</v>
      </c>
      <c r="AI47" s="62" t="s">
        <v>14</v>
      </c>
    </row>
    <row r="48" spans="2:35" s="45" customFormat="1" x14ac:dyDescent="0.25">
      <c r="B48"/>
      <c r="C48" s="37"/>
      <c r="D48" s="37"/>
      <c r="E48" s="58"/>
      <c r="F48" s="59"/>
      <c r="G48" s="60"/>
      <c r="H48" s="37"/>
      <c r="I48" s="4"/>
      <c r="J48" s="4"/>
      <c r="K48" s="4"/>
      <c r="L48" s="4"/>
      <c r="M48" s="4"/>
      <c r="N48" s="37"/>
      <c r="O48" s="4"/>
      <c r="P48" s="4"/>
      <c r="Q48" s="4"/>
      <c r="R48" s="4"/>
      <c r="S48" s="4"/>
      <c r="T48" s="37"/>
      <c r="U48" s="4"/>
      <c r="V48" s="4"/>
      <c r="W48" s="4"/>
      <c r="X48" s="4"/>
      <c r="Y48" s="4"/>
      <c r="Z48" s="37"/>
      <c r="AA48" s="4"/>
      <c r="AB48" s="4"/>
      <c r="AC48" s="4"/>
      <c r="AD48" s="4"/>
      <c r="AE48" s="4"/>
      <c r="AF48" s="37"/>
      <c r="AG48" s="4"/>
      <c r="AH48" s="4"/>
      <c r="AI48" s="4"/>
    </row>
    <row r="49" spans="2:35" s="45" customFormat="1" x14ac:dyDescent="0.25">
      <c r="B49" s="19" t="s">
        <v>340</v>
      </c>
      <c r="C49" s="37"/>
      <c r="D49" s="37"/>
      <c r="E49" s="58"/>
      <c r="F49" s="59"/>
      <c r="G49" s="60"/>
      <c r="H49" s="37"/>
      <c r="I49" s="4"/>
      <c r="J49" s="4"/>
      <c r="K49" s="4"/>
      <c r="L49" s="4"/>
      <c r="M49" s="4"/>
      <c r="N49" s="37"/>
      <c r="O49" s="4"/>
      <c r="P49" s="4"/>
      <c r="Q49" s="4"/>
      <c r="R49" s="4"/>
      <c r="S49" s="4"/>
      <c r="T49" s="37"/>
      <c r="U49" s="4"/>
      <c r="V49" s="4"/>
      <c r="W49" s="4"/>
      <c r="X49" s="4"/>
      <c r="Y49" s="4"/>
      <c r="Z49" s="37"/>
      <c r="AA49" s="4"/>
      <c r="AB49" s="4"/>
      <c r="AC49" s="4"/>
      <c r="AD49" s="4"/>
      <c r="AE49" s="4"/>
      <c r="AF49" s="37"/>
      <c r="AG49" s="4"/>
      <c r="AH49" s="4"/>
      <c r="AI49" s="4"/>
    </row>
    <row r="50" spans="2:35" s="45" customFormat="1" x14ac:dyDescent="0.25">
      <c r="B50" s="57"/>
      <c r="C50" s="37"/>
      <c r="D50" s="37"/>
      <c r="E50" s="58"/>
      <c r="F50" s="59"/>
      <c r="G50" s="60"/>
      <c r="H50" s="37"/>
      <c r="I50" s="4"/>
      <c r="J50" s="4"/>
      <c r="K50" s="4"/>
      <c r="L50" s="4"/>
      <c r="M50" s="4"/>
      <c r="N50" s="37"/>
      <c r="O50" s="4"/>
      <c r="P50" s="4"/>
      <c r="Q50" s="4"/>
      <c r="R50" s="4"/>
      <c r="S50" s="4"/>
      <c r="T50" s="37"/>
      <c r="U50" s="4"/>
      <c r="V50" s="4"/>
      <c r="W50" s="4"/>
      <c r="X50" s="4"/>
      <c r="Y50" s="4"/>
      <c r="Z50" s="37"/>
      <c r="AA50" s="4"/>
      <c r="AB50" s="4"/>
      <c r="AC50" s="4"/>
      <c r="AD50" s="4"/>
      <c r="AE50" s="4"/>
      <c r="AF50" s="37"/>
      <c r="AG50" s="4"/>
      <c r="AH50" s="4"/>
      <c r="AI50" s="4"/>
    </row>
    <row r="51" spans="2:35" s="45" customFormat="1" x14ac:dyDescent="0.25">
      <c r="B51" s="57"/>
      <c r="C51" s="37"/>
      <c r="D51" s="37"/>
      <c r="E51" s="58"/>
      <c r="F51" s="59"/>
      <c r="G51" s="60"/>
      <c r="H51" s="37"/>
      <c r="I51" s="4"/>
      <c r="J51" s="4"/>
      <c r="K51" s="4"/>
      <c r="L51" s="4"/>
      <c r="M51" s="4"/>
      <c r="N51" s="37"/>
      <c r="O51" s="4"/>
      <c r="P51" s="4"/>
      <c r="Q51" s="4"/>
      <c r="R51" s="4"/>
      <c r="S51" s="4"/>
      <c r="T51" s="37"/>
      <c r="U51" s="4"/>
      <c r="V51" s="4"/>
      <c r="W51" s="4"/>
      <c r="X51" s="4"/>
      <c r="Y51" s="4"/>
      <c r="Z51" s="37"/>
      <c r="AA51" s="4"/>
      <c r="AB51" s="4"/>
      <c r="AC51" s="4"/>
      <c r="AD51" s="4"/>
      <c r="AE51" s="4"/>
      <c r="AF51" s="37"/>
      <c r="AG51" s="4"/>
      <c r="AH51" s="4"/>
      <c r="AI51" s="4"/>
    </row>
    <row r="52" spans="2:35" s="45" customFormat="1" x14ac:dyDescent="0.25">
      <c r="B52" s="57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  <c r="X52" s="4"/>
      <c r="Y52" s="4"/>
      <c r="Z52" s="37"/>
      <c r="AA52" s="4"/>
      <c r="AB52" s="4"/>
      <c r="AC52" s="4"/>
      <c r="AD52" s="4"/>
      <c r="AE52" s="4"/>
      <c r="AF52" s="37"/>
      <c r="AG52" s="4"/>
      <c r="AH52" s="4"/>
      <c r="AI52" s="4"/>
    </row>
    <row r="53" spans="2:35" s="45" customFormat="1" x14ac:dyDescent="0.25">
      <c r="B53" s="57"/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  <c r="X53" s="4"/>
      <c r="Y53" s="4"/>
      <c r="Z53" s="37"/>
      <c r="AA53" s="4"/>
      <c r="AB53" s="4"/>
      <c r="AC53" s="4"/>
      <c r="AD53" s="4"/>
      <c r="AE53" s="4"/>
      <c r="AF53" s="37"/>
      <c r="AG53" s="4"/>
      <c r="AH53" s="4"/>
      <c r="AI53" s="4"/>
    </row>
    <row r="54" spans="2:35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  <c r="X54" s="4"/>
      <c r="Y54" s="4"/>
      <c r="Z54" s="37"/>
      <c r="AA54" s="4"/>
      <c r="AB54" s="4"/>
      <c r="AC54" s="4"/>
      <c r="AD54" s="4"/>
      <c r="AE54" s="4"/>
      <c r="AF54" s="37"/>
      <c r="AG54" s="4"/>
      <c r="AH54" s="4"/>
      <c r="AI54" s="4"/>
    </row>
    <row r="55" spans="2:35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  <c r="X55" s="4"/>
      <c r="Y55" s="4"/>
      <c r="Z55" s="37"/>
      <c r="AA55" s="4"/>
      <c r="AB55" s="4"/>
      <c r="AC55" s="4"/>
      <c r="AD55" s="4"/>
      <c r="AE55" s="4"/>
      <c r="AF55" s="37"/>
      <c r="AG55" s="4"/>
      <c r="AH55" s="4"/>
      <c r="AI55" s="4"/>
    </row>
    <row r="56" spans="2:35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  <c r="X56" s="4"/>
      <c r="Y56" s="4"/>
      <c r="Z56" s="37"/>
      <c r="AA56" s="4"/>
      <c r="AB56" s="4"/>
      <c r="AC56" s="4"/>
      <c r="AD56" s="4"/>
      <c r="AE56" s="4"/>
      <c r="AF56" s="37"/>
      <c r="AG56" s="4"/>
      <c r="AH56" s="4"/>
      <c r="AI56" s="4"/>
    </row>
    <row r="57" spans="2:35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  <c r="X57" s="4"/>
      <c r="Y57" s="4"/>
      <c r="Z57" s="37"/>
      <c r="AA57" s="4"/>
      <c r="AB57" s="4"/>
      <c r="AC57" s="4"/>
      <c r="AD57" s="4"/>
      <c r="AE57" s="4"/>
      <c r="AF57" s="37"/>
      <c r="AG57" s="4"/>
      <c r="AH57" s="4"/>
      <c r="AI57" s="4"/>
    </row>
    <row r="58" spans="2:35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  <c r="X58" s="4"/>
      <c r="Y58" s="4"/>
      <c r="Z58" s="37"/>
      <c r="AA58" s="4"/>
      <c r="AB58" s="4"/>
      <c r="AC58" s="4"/>
      <c r="AD58" s="4"/>
      <c r="AE58" s="4"/>
      <c r="AF58" s="37"/>
      <c r="AG58" s="4"/>
      <c r="AH58" s="4"/>
      <c r="AI58" s="4"/>
    </row>
    <row r="59" spans="2:35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  <c r="X59" s="4"/>
      <c r="Y59" s="4"/>
      <c r="Z59" s="37"/>
      <c r="AA59" s="4"/>
      <c r="AB59" s="4"/>
      <c r="AC59" s="4"/>
      <c r="AD59" s="4"/>
      <c r="AE59" s="4"/>
      <c r="AF59" s="37"/>
      <c r="AG59" s="4"/>
      <c r="AH59" s="4"/>
      <c r="AI59" s="4"/>
    </row>
    <row r="60" spans="2:35" s="45" customFormat="1" x14ac:dyDescent="0.25">
      <c r="B60" s="57"/>
      <c r="C60" s="37"/>
      <c r="D60" s="37"/>
      <c r="E60" s="58"/>
      <c r="F60" s="59"/>
      <c r="G60" s="60"/>
      <c r="H60" s="37"/>
      <c r="I60" s="4"/>
      <c r="J60" s="4"/>
      <c r="K60" s="4"/>
      <c r="L60" s="4"/>
      <c r="M60" s="4"/>
      <c r="N60" s="37"/>
      <c r="O60" s="4"/>
      <c r="P60" s="4"/>
      <c r="Q60" s="4"/>
      <c r="R60" s="4"/>
      <c r="S60" s="4"/>
      <c r="T60" s="37"/>
      <c r="U60" s="4"/>
      <c r="V60" s="4"/>
      <c r="W60" s="4"/>
      <c r="X60" s="4"/>
      <c r="Y60" s="4"/>
      <c r="Z60" s="37"/>
      <c r="AA60" s="4"/>
      <c r="AB60" s="4"/>
      <c r="AC60" s="4"/>
      <c r="AD60" s="4"/>
      <c r="AE60" s="4"/>
      <c r="AF60" s="37"/>
      <c r="AG60" s="4"/>
      <c r="AH60" s="4"/>
      <c r="AI60" s="4"/>
    </row>
    <row r="61" spans="2:35" s="45" customFormat="1" x14ac:dyDescent="0.25">
      <c r="B61" s="57"/>
      <c r="C61" s="37"/>
      <c r="D61" s="37"/>
      <c r="E61" s="58"/>
      <c r="F61" s="59"/>
      <c r="G61" s="60"/>
      <c r="H61" s="37"/>
      <c r="I61" s="4"/>
      <c r="J61" s="4"/>
      <c r="K61" s="4"/>
      <c r="L61" s="4"/>
      <c r="M61" s="4"/>
      <c r="N61" s="37"/>
      <c r="O61" s="4"/>
      <c r="P61" s="4"/>
      <c r="Q61" s="4"/>
      <c r="R61" s="4"/>
      <c r="S61" s="4"/>
      <c r="T61" s="37"/>
      <c r="U61" s="4"/>
      <c r="V61" s="4"/>
      <c r="W61" s="4"/>
      <c r="X61" s="4"/>
      <c r="Y61" s="4"/>
      <c r="Z61" s="37"/>
      <c r="AA61" s="4"/>
      <c r="AB61" s="4"/>
      <c r="AC61" s="4"/>
      <c r="AD61" s="4"/>
      <c r="AE61" s="4"/>
      <c r="AF61" s="37"/>
      <c r="AG61" s="4"/>
      <c r="AH61" s="4"/>
      <c r="AI61" s="4"/>
    </row>
    <row r="62" spans="2:35" s="45" customFormat="1" x14ac:dyDescent="0.25">
      <c r="B62" s="57"/>
      <c r="C62" s="37"/>
      <c r="D62" s="37"/>
      <c r="E62" s="58"/>
      <c r="F62" s="59"/>
      <c r="G62" s="60"/>
      <c r="H62" s="37"/>
      <c r="I62" s="4"/>
      <c r="J62" s="4"/>
      <c r="K62" s="4"/>
      <c r="L62" s="4"/>
      <c r="M62" s="4"/>
      <c r="N62" s="37"/>
      <c r="O62" s="4"/>
      <c r="P62" s="4"/>
      <c r="Q62" s="4"/>
      <c r="R62" s="4"/>
      <c r="S62" s="4"/>
      <c r="T62" s="37"/>
      <c r="U62" s="4"/>
      <c r="V62" s="4"/>
      <c r="W62" s="4"/>
      <c r="X62" s="4"/>
      <c r="Y62" s="4"/>
      <c r="Z62" s="37"/>
      <c r="AA62" s="4"/>
      <c r="AB62" s="4"/>
      <c r="AC62" s="4"/>
      <c r="AD62" s="4"/>
      <c r="AE62" s="4"/>
      <c r="AF62" s="37"/>
      <c r="AG62" s="4"/>
      <c r="AH62" s="4"/>
      <c r="AI62" s="4"/>
    </row>
    <row r="63" spans="2:35" s="45" customFormat="1" x14ac:dyDescent="0.25">
      <c r="B63" s="57"/>
      <c r="C63" s="37"/>
      <c r="D63" s="37"/>
      <c r="E63" s="58"/>
      <c r="F63" s="59"/>
      <c r="G63" s="60"/>
      <c r="H63" s="37"/>
      <c r="I63" s="4"/>
      <c r="J63" s="4"/>
      <c r="K63" s="4"/>
      <c r="L63" s="4"/>
      <c r="M63" s="4"/>
      <c r="N63" s="37"/>
      <c r="O63" s="4"/>
      <c r="P63" s="4"/>
      <c r="Q63" s="4"/>
      <c r="R63" s="4"/>
      <c r="S63" s="4"/>
      <c r="T63" s="37"/>
      <c r="U63" s="4"/>
      <c r="V63" s="4"/>
      <c r="W63" s="4"/>
      <c r="X63" s="4"/>
      <c r="Y63" s="4"/>
      <c r="Z63" s="37"/>
      <c r="AA63" s="4"/>
      <c r="AB63" s="4"/>
      <c r="AC63" s="4"/>
      <c r="AD63" s="4"/>
      <c r="AE63" s="4"/>
      <c r="AF63" s="37"/>
      <c r="AG63" s="4"/>
      <c r="AH63" s="4"/>
      <c r="AI63" s="4"/>
    </row>
    <row r="64" spans="2:35" s="45" customFormat="1" x14ac:dyDescent="0.25">
      <c r="B64" s="57"/>
      <c r="C64" s="37"/>
      <c r="D64" s="37"/>
      <c r="E64" s="58"/>
      <c r="F64" s="59"/>
      <c r="G64" s="60"/>
      <c r="H64" s="37"/>
      <c r="I64" s="4"/>
      <c r="J64" s="4"/>
      <c r="K64" s="4"/>
      <c r="L64" s="4"/>
      <c r="M64" s="4"/>
      <c r="N64" s="37"/>
      <c r="O64" s="4"/>
      <c r="P64" s="4"/>
      <c r="Q64" s="4"/>
      <c r="R64" s="4"/>
      <c r="S64" s="4"/>
      <c r="T64" s="37"/>
      <c r="U64" s="4"/>
      <c r="V64" s="4"/>
      <c r="W64" s="4"/>
      <c r="X64" s="4"/>
      <c r="Y64" s="4"/>
      <c r="Z64" s="37"/>
      <c r="AA64" s="4"/>
      <c r="AB64" s="4"/>
      <c r="AC64" s="4"/>
      <c r="AD64" s="4"/>
      <c r="AE64" s="4"/>
      <c r="AF64" s="37"/>
      <c r="AG64" s="4"/>
      <c r="AH64" s="4"/>
      <c r="AI64" s="4"/>
    </row>
    <row r="65" spans="1:35" s="45" customFormat="1" x14ac:dyDescent="0.25">
      <c r="B65" s="57"/>
      <c r="C65" s="37"/>
      <c r="D65" s="37"/>
      <c r="E65" s="58"/>
      <c r="F65" s="59"/>
      <c r="G65" s="60"/>
      <c r="H65" s="37"/>
      <c r="I65" s="4"/>
      <c r="J65" s="4"/>
      <c r="K65" s="4"/>
      <c r="L65" s="4"/>
      <c r="M65" s="4"/>
      <c r="N65" s="37"/>
      <c r="O65" s="4"/>
      <c r="P65" s="4"/>
      <c r="Q65" s="4"/>
      <c r="R65" s="4"/>
      <c r="S65" s="4"/>
      <c r="T65" s="37"/>
      <c r="U65" s="4"/>
      <c r="V65" s="4"/>
      <c r="W65" s="4"/>
      <c r="X65" s="4"/>
      <c r="Y65" s="4"/>
      <c r="Z65" s="37"/>
      <c r="AA65" s="4"/>
      <c r="AB65" s="4"/>
      <c r="AC65" s="4"/>
      <c r="AD65" s="4"/>
      <c r="AE65" s="4"/>
      <c r="AF65" s="37"/>
      <c r="AG65" s="4"/>
      <c r="AH65" s="4"/>
      <c r="AI65" s="4"/>
    </row>
    <row r="66" spans="1:35" x14ac:dyDescent="0.25">
      <c r="E66" s="45"/>
    </row>
    <row r="67" spans="1:35" hidden="1" x14ac:dyDescent="0.25">
      <c r="C67" t="s">
        <v>21</v>
      </c>
      <c r="E67" s="45"/>
    </row>
    <row r="68" spans="1:35" hidden="1" x14ac:dyDescent="0.25">
      <c r="C68">
        <v>1</v>
      </c>
      <c r="E68" s="45"/>
    </row>
    <row r="69" spans="1:35" hidden="1" x14ac:dyDescent="0.25">
      <c r="C69">
        <v>0</v>
      </c>
      <c r="E69" s="45"/>
    </row>
    <row r="70" spans="1:35" hidden="1" x14ac:dyDescent="0.25">
      <c r="C70">
        <v>-1</v>
      </c>
      <c r="E70" s="45"/>
    </row>
    <row r="71" spans="1:35" hidden="1" x14ac:dyDescent="0.25">
      <c r="E71" s="45"/>
    </row>
    <row r="72" spans="1:35" hidden="1" x14ac:dyDescent="0.25">
      <c r="E72" s="45"/>
    </row>
    <row r="73" spans="1:35" hidden="1" x14ac:dyDescent="0.25">
      <c r="E73" s="45"/>
    </row>
    <row r="74" spans="1:35" hidden="1" x14ac:dyDescent="0.25">
      <c r="E74" s="45"/>
      <c r="F74" s="9"/>
      <c r="G74" s="9"/>
      <c r="H74" s="9"/>
    </row>
    <row r="75" spans="1:35" hidden="1" x14ac:dyDescent="0.25">
      <c r="A75" s="38" t="s">
        <v>77</v>
      </c>
      <c r="B75" s="49" t="s">
        <v>88</v>
      </c>
      <c r="C75" s="53" t="s">
        <v>294</v>
      </c>
      <c r="D75" s="9"/>
      <c r="E75" s="45"/>
      <c r="H75" s="13"/>
    </row>
    <row r="76" spans="1:35" hidden="1" x14ac:dyDescent="0.25">
      <c r="A76" s="13"/>
      <c r="B76" s="54" t="s">
        <v>109</v>
      </c>
      <c r="C76" s="49" t="s">
        <v>178</v>
      </c>
      <c r="D76" s="39"/>
      <c r="E76" s="45"/>
      <c r="H76" s="13"/>
    </row>
    <row r="77" spans="1:35" hidden="1" x14ac:dyDescent="0.25">
      <c r="A77" s="13"/>
      <c r="B77" s="54" t="s">
        <v>79</v>
      </c>
      <c r="C77" s="49" t="s">
        <v>179</v>
      </c>
      <c r="D77" s="39"/>
      <c r="E77" s="45"/>
      <c r="H77" s="13"/>
    </row>
    <row r="78" spans="1:35" hidden="1" x14ac:dyDescent="0.25">
      <c r="A78" s="13"/>
      <c r="B78" s="54" t="s">
        <v>80</v>
      </c>
      <c r="C78" s="49" t="s">
        <v>180</v>
      </c>
      <c r="D78" s="39"/>
      <c r="E78" s="45"/>
      <c r="H78" s="13"/>
    </row>
    <row r="79" spans="1:35" hidden="1" x14ac:dyDescent="0.25">
      <c r="A79" s="13"/>
      <c r="B79" s="54" t="s">
        <v>78</v>
      </c>
      <c r="C79" s="49" t="s">
        <v>181</v>
      </c>
      <c r="D79" s="39"/>
      <c r="E79" s="45"/>
      <c r="H79" s="13"/>
    </row>
    <row r="80" spans="1:35" hidden="1" x14ac:dyDescent="0.25">
      <c r="A80" s="13"/>
      <c r="B80" s="54" t="s">
        <v>110</v>
      </c>
      <c r="C80" s="54" t="s">
        <v>182</v>
      </c>
      <c r="D80" s="41"/>
      <c r="E80" s="45"/>
      <c r="H80" s="13"/>
    </row>
    <row r="81" spans="1:9" hidden="1" x14ac:dyDescent="0.25">
      <c r="A81" s="13"/>
      <c r="B81" s="54" t="s">
        <v>81</v>
      </c>
      <c r="C81" s="49" t="s">
        <v>183</v>
      </c>
      <c r="D81" s="39"/>
      <c r="E81" s="45"/>
      <c r="H81" s="13"/>
    </row>
    <row r="82" spans="1:9" hidden="1" x14ac:dyDescent="0.25">
      <c r="A82" s="13"/>
      <c r="B82" s="54" t="s">
        <v>146</v>
      </c>
      <c r="C82" s="49" t="s">
        <v>184</v>
      </c>
      <c r="D82" s="39"/>
      <c r="E82" s="45"/>
      <c r="H82" s="39"/>
      <c r="I82" s="39"/>
    </row>
    <row r="83" spans="1:9" hidden="1" x14ac:dyDescent="0.25">
      <c r="A83" s="39"/>
      <c r="B83" s="49"/>
      <c r="C83" s="53"/>
      <c r="D83" s="9"/>
      <c r="E83" s="45"/>
    </row>
    <row r="84" spans="1:9" hidden="1" x14ac:dyDescent="0.25">
      <c r="A84" s="38" t="s">
        <v>19</v>
      </c>
      <c r="B84" s="50" t="s">
        <v>88</v>
      </c>
      <c r="C84" s="55" t="s">
        <v>294</v>
      </c>
      <c r="D84" s="44"/>
      <c r="E84" s="45"/>
      <c r="H84" s="38"/>
      <c r="I84" s="39"/>
    </row>
    <row r="85" spans="1:9" hidden="1" x14ac:dyDescent="0.25">
      <c r="A85" s="13"/>
      <c r="B85" s="54" t="s">
        <v>111</v>
      </c>
      <c r="C85" s="49" t="s">
        <v>185</v>
      </c>
      <c r="D85" s="39"/>
      <c r="E85" s="45"/>
      <c r="H85" s="13"/>
    </row>
    <row r="86" spans="1:9" hidden="1" x14ac:dyDescent="0.25">
      <c r="A86" s="13"/>
      <c r="B86" s="54" t="s">
        <v>75</v>
      </c>
      <c r="C86" s="49" t="s">
        <v>186</v>
      </c>
      <c r="D86" s="39"/>
      <c r="E86" s="45"/>
      <c r="H86" s="13"/>
    </row>
    <row r="87" spans="1:9" hidden="1" x14ac:dyDescent="0.25">
      <c r="A87" s="13"/>
      <c r="B87" s="54" t="s">
        <v>74</v>
      </c>
      <c r="C87" s="49" t="s">
        <v>187</v>
      </c>
      <c r="D87" s="39"/>
      <c r="E87" s="45"/>
      <c r="H87" s="13"/>
    </row>
    <row r="88" spans="1:9" hidden="1" x14ac:dyDescent="0.25">
      <c r="A88" s="13"/>
      <c r="B88" s="54" t="s">
        <v>76</v>
      </c>
      <c r="C88" s="49" t="s">
        <v>188</v>
      </c>
      <c r="D88" s="39"/>
      <c r="E88" s="45"/>
      <c r="H88" s="13"/>
    </row>
    <row r="89" spans="1:9" hidden="1" x14ac:dyDescent="0.25">
      <c r="A89" s="39"/>
      <c r="B89" s="49"/>
      <c r="C89" s="53"/>
      <c r="D89" s="9"/>
      <c r="E89" s="45"/>
      <c r="H89" s="39"/>
      <c r="I89" s="39"/>
    </row>
    <row r="90" spans="1:9" hidden="1" x14ac:dyDescent="0.25">
      <c r="A90" s="38" t="s">
        <v>18</v>
      </c>
      <c r="B90" s="50" t="s">
        <v>88</v>
      </c>
      <c r="C90" s="55" t="s">
        <v>294</v>
      </c>
      <c r="D90" s="44"/>
      <c r="E90" s="45"/>
      <c r="H90" s="38"/>
      <c r="I90" s="39"/>
    </row>
    <row r="91" spans="1:9" hidden="1" x14ac:dyDescent="0.25">
      <c r="A91" s="13"/>
      <c r="B91" s="54" t="s">
        <v>61</v>
      </c>
      <c r="C91" s="49" t="s">
        <v>189</v>
      </c>
      <c r="D91" s="39"/>
      <c r="E91" s="45"/>
      <c r="H91" s="13"/>
    </row>
    <row r="92" spans="1:9" hidden="1" x14ac:dyDescent="0.25">
      <c r="A92" s="13"/>
      <c r="B92" s="54" t="s">
        <v>62</v>
      </c>
      <c r="C92" s="49" t="s">
        <v>190</v>
      </c>
      <c r="D92" s="39"/>
      <c r="E92" s="45"/>
      <c r="H92" s="13"/>
    </row>
    <row r="93" spans="1:9" hidden="1" x14ac:dyDescent="0.25">
      <c r="A93" s="13"/>
      <c r="B93" s="54" t="s">
        <v>112</v>
      </c>
      <c r="C93" s="49" t="s">
        <v>191</v>
      </c>
      <c r="D93" s="39"/>
      <c r="E93" s="45"/>
      <c r="H93" s="13"/>
    </row>
    <row r="94" spans="1:9" hidden="1" x14ac:dyDescent="0.25">
      <c r="A94" s="13"/>
      <c r="B94" s="54" t="s">
        <v>63</v>
      </c>
      <c r="C94" s="49" t="s">
        <v>192</v>
      </c>
      <c r="D94" s="39"/>
      <c r="E94" s="45"/>
      <c r="H94" s="13"/>
    </row>
    <row r="95" spans="1:9" hidden="1" x14ac:dyDescent="0.25">
      <c r="A95" s="13"/>
      <c r="B95" s="54" t="s">
        <v>113</v>
      </c>
      <c r="C95" s="49" t="s">
        <v>193</v>
      </c>
      <c r="D95" s="39"/>
      <c r="E95" s="45"/>
      <c r="H95" s="13"/>
    </row>
    <row r="96" spans="1:9" hidden="1" x14ac:dyDescent="0.25">
      <c r="A96" s="13"/>
      <c r="B96" s="54" t="s">
        <v>114</v>
      </c>
      <c r="C96" s="49" t="s">
        <v>194</v>
      </c>
      <c r="D96" s="39"/>
      <c r="E96" s="45"/>
      <c r="H96" s="13"/>
    </row>
    <row r="97" spans="1:9" hidden="1" x14ac:dyDescent="0.25">
      <c r="A97" s="13"/>
      <c r="B97" s="54" t="s">
        <v>147</v>
      </c>
      <c r="C97" s="49" t="s">
        <v>195</v>
      </c>
      <c r="D97" s="39"/>
      <c r="E97" s="45"/>
      <c r="H97" s="13"/>
    </row>
    <row r="98" spans="1:9" hidden="1" x14ac:dyDescent="0.25">
      <c r="A98" s="13"/>
      <c r="B98" s="54" t="s">
        <v>148</v>
      </c>
      <c r="C98" s="49" t="s">
        <v>196</v>
      </c>
      <c r="D98" s="39"/>
      <c r="E98" s="45"/>
      <c r="H98" s="13"/>
    </row>
    <row r="99" spans="1:9" hidden="1" x14ac:dyDescent="0.25">
      <c r="A99" s="13"/>
      <c r="B99" s="54" t="s">
        <v>115</v>
      </c>
      <c r="C99" s="54" t="s">
        <v>197</v>
      </c>
      <c r="D99" s="41"/>
      <c r="E99" s="45"/>
      <c r="H99" s="13"/>
    </row>
    <row r="100" spans="1:9" hidden="1" x14ac:dyDescent="0.25">
      <c r="A100" s="13"/>
      <c r="B100" s="54" t="s">
        <v>116</v>
      </c>
      <c r="C100" s="49" t="s">
        <v>198</v>
      </c>
      <c r="D100" s="39"/>
      <c r="E100" s="45"/>
      <c r="H100" s="13"/>
    </row>
    <row r="101" spans="1:9" hidden="1" x14ac:dyDescent="0.25">
      <c r="A101" s="13"/>
      <c r="B101" s="54" t="s">
        <v>149</v>
      </c>
      <c r="C101" s="49" t="s">
        <v>199</v>
      </c>
      <c r="D101" s="39"/>
      <c r="E101" s="45"/>
      <c r="H101" s="13"/>
    </row>
    <row r="102" spans="1:9" hidden="1" x14ac:dyDescent="0.25">
      <c r="A102" s="39"/>
      <c r="B102" s="49"/>
      <c r="C102" s="51"/>
      <c r="E102" s="45"/>
      <c r="H102" s="39"/>
      <c r="I102" s="39"/>
    </row>
    <row r="103" spans="1:9" hidden="1" x14ac:dyDescent="0.25">
      <c r="A103" s="38" t="s">
        <v>117</v>
      </c>
      <c r="B103" s="50" t="s">
        <v>88</v>
      </c>
      <c r="C103" s="55" t="s">
        <v>294</v>
      </c>
      <c r="D103" s="44"/>
      <c r="E103" s="45"/>
      <c r="H103" s="38"/>
      <c r="I103" s="39"/>
    </row>
    <row r="104" spans="1:9" hidden="1" x14ac:dyDescent="0.25">
      <c r="A104" s="13"/>
      <c r="B104" s="54" t="s">
        <v>51</v>
      </c>
      <c r="C104" s="49" t="s">
        <v>200</v>
      </c>
      <c r="D104" s="39"/>
      <c r="E104" s="45"/>
      <c r="H104" s="13"/>
    </row>
    <row r="105" spans="1:9" hidden="1" x14ac:dyDescent="0.25">
      <c r="A105" s="13"/>
      <c r="B105" s="54" t="s">
        <v>118</v>
      </c>
      <c r="C105" s="49" t="s">
        <v>201</v>
      </c>
      <c r="D105" s="39"/>
      <c r="E105" s="45"/>
      <c r="H105" s="13"/>
    </row>
    <row r="106" spans="1:9" hidden="1" x14ac:dyDescent="0.25">
      <c r="A106" s="13"/>
      <c r="B106" s="54" t="s">
        <v>150</v>
      </c>
      <c r="C106" s="49" t="s">
        <v>202</v>
      </c>
      <c r="D106" s="39"/>
      <c r="E106" s="45"/>
      <c r="H106" s="13"/>
    </row>
    <row r="107" spans="1:9" hidden="1" x14ac:dyDescent="0.25">
      <c r="A107" s="13"/>
      <c r="B107" s="54" t="s">
        <v>50</v>
      </c>
      <c r="C107" s="49" t="s">
        <v>203</v>
      </c>
      <c r="D107" s="39"/>
      <c r="E107" s="45"/>
      <c r="H107" s="13"/>
    </row>
    <row r="108" spans="1:9" hidden="1" x14ac:dyDescent="0.25">
      <c r="A108" s="39"/>
      <c r="B108" s="49"/>
      <c r="C108" s="49"/>
      <c r="D108" s="39"/>
      <c r="E108" s="45"/>
      <c r="H108" s="39"/>
    </row>
    <row r="109" spans="1:9" hidden="1" x14ac:dyDescent="0.25">
      <c r="A109" s="40" t="s">
        <v>105</v>
      </c>
      <c r="B109" s="50" t="s">
        <v>88</v>
      </c>
      <c r="C109" s="55" t="s">
        <v>294</v>
      </c>
      <c r="D109" s="44"/>
      <c r="E109" s="45"/>
      <c r="H109" s="40"/>
    </row>
    <row r="110" spans="1:9" hidden="1" x14ac:dyDescent="0.25">
      <c r="A110" s="13"/>
      <c r="B110" s="54" t="s">
        <v>46</v>
      </c>
      <c r="C110" s="49" t="s">
        <v>204</v>
      </c>
      <c r="D110" s="39"/>
      <c r="E110" s="45"/>
      <c r="H110" s="13"/>
    </row>
    <row r="111" spans="1:9" hidden="1" x14ac:dyDescent="0.25">
      <c r="A111" s="13"/>
      <c r="B111" s="54" t="s">
        <v>47</v>
      </c>
      <c r="C111" s="49" t="s">
        <v>205</v>
      </c>
      <c r="D111" s="39"/>
      <c r="E111" s="45"/>
      <c r="H111" s="13"/>
    </row>
    <row r="112" spans="1:9" hidden="1" x14ac:dyDescent="0.25">
      <c r="A112" s="13"/>
      <c r="B112" s="54" t="s">
        <v>49</v>
      </c>
      <c r="C112" s="49" t="s">
        <v>206</v>
      </c>
      <c r="D112" s="39"/>
      <c r="E112" s="45"/>
      <c r="H112" s="13"/>
    </row>
    <row r="113" spans="1:8" hidden="1" x14ac:dyDescent="0.25">
      <c r="A113" s="13"/>
      <c r="B113" s="54" t="s">
        <v>48</v>
      </c>
      <c r="C113" s="49" t="s">
        <v>207</v>
      </c>
      <c r="D113" s="39"/>
      <c r="E113" s="45"/>
      <c r="H113" s="13"/>
    </row>
    <row r="114" spans="1:8" hidden="1" x14ac:dyDescent="0.25">
      <c r="A114" s="13"/>
      <c r="B114" s="54" t="s">
        <v>119</v>
      </c>
      <c r="C114" s="49" t="s">
        <v>208</v>
      </c>
      <c r="D114" s="39"/>
      <c r="E114" s="45"/>
      <c r="H114" s="13"/>
    </row>
    <row r="115" spans="1:8" hidden="1" x14ac:dyDescent="0.25">
      <c r="A115" s="39"/>
      <c r="B115" s="49"/>
      <c r="C115" s="49"/>
      <c r="D115" s="39"/>
      <c r="E115" s="45"/>
      <c r="H115" s="39"/>
    </row>
    <row r="116" spans="1:8" hidden="1" x14ac:dyDescent="0.25">
      <c r="A116" s="40" t="s">
        <v>120</v>
      </c>
      <c r="B116" s="50" t="s">
        <v>88</v>
      </c>
      <c r="C116" s="55" t="s">
        <v>294</v>
      </c>
      <c r="D116" s="44"/>
      <c r="E116" s="45"/>
      <c r="H116" s="40"/>
    </row>
    <row r="117" spans="1:8" hidden="1" x14ac:dyDescent="0.25">
      <c r="A117" s="13"/>
      <c r="B117" s="54" t="s">
        <v>151</v>
      </c>
      <c r="C117" s="49" t="s">
        <v>209</v>
      </c>
      <c r="D117" s="39"/>
      <c r="E117" s="45"/>
      <c r="H117" s="13"/>
    </row>
    <row r="118" spans="1:8" hidden="1" x14ac:dyDescent="0.25">
      <c r="A118" s="13"/>
      <c r="B118" s="54" t="s">
        <v>121</v>
      </c>
      <c r="C118" s="49" t="s">
        <v>210</v>
      </c>
      <c r="D118" s="39"/>
      <c r="E118" s="45"/>
      <c r="H118" s="13"/>
    </row>
    <row r="119" spans="1:8" hidden="1" x14ac:dyDescent="0.25">
      <c r="A119" s="13"/>
      <c r="B119" s="54" t="s">
        <v>122</v>
      </c>
      <c r="C119" s="49" t="s">
        <v>211</v>
      </c>
      <c r="D119" s="39"/>
      <c r="E119" s="45"/>
      <c r="H119" s="13"/>
    </row>
    <row r="120" spans="1:8" hidden="1" x14ac:dyDescent="0.25">
      <c r="A120" s="13"/>
      <c r="B120" s="54" t="s">
        <v>123</v>
      </c>
      <c r="C120" s="49" t="s">
        <v>212</v>
      </c>
      <c r="D120" s="39"/>
      <c r="E120" s="45"/>
      <c r="H120" s="13"/>
    </row>
    <row r="121" spans="1:8" hidden="1" x14ac:dyDescent="0.25">
      <c r="A121" s="13"/>
      <c r="B121" s="54"/>
      <c r="C121" s="49"/>
      <c r="D121" s="39"/>
      <c r="E121" s="45"/>
      <c r="H121" s="13"/>
    </row>
    <row r="122" spans="1:8" hidden="1" x14ac:dyDescent="0.25">
      <c r="A122" s="40" t="s">
        <v>52</v>
      </c>
      <c r="B122" s="50" t="s">
        <v>88</v>
      </c>
      <c r="C122" s="55" t="s">
        <v>294</v>
      </c>
      <c r="D122" s="44"/>
      <c r="E122" s="45"/>
      <c r="H122" s="40"/>
    </row>
    <row r="123" spans="1:8" hidden="1" x14ac:dyDescent="0.25">
      <c r="A123" s="13"/>
      <c r="B123" s="54" t="s">
        <v>152</v>
      </c>
      <c r="C123" s="49" t="s">
        <v>213</v>
      </c>
      <c r="D123" s="39"/>
      <c r="E123" s="45"/>
      <c r="H123" s="13"/>
    </row>
    <row r="124" spans="1:8" hidden="1" x14ac:dyDescent="0.25">
      <c r="A124" s="13"/>
      <c r="B124" s="54" t="s">
        <v>124</v>
      </c>
      <c r="C124" s="49" t="s">
        <v>214</v>
      </c>
      <c r="D124" s="39"/>
      <c r="E124" s="45"/>
      <c r="H124" s="13"/>
    </row>
    <row r="125" spans="1:8" hidden="1" x14ac:dyDescent="0.25">
      <c r="A125" s="13"/>
      <c r="B125" s="54" t="s">
        <v>56</v>
      </c>
      <c r="C125" s="49" t="s">
        <v>215</v>
      </c>
      <c r="D125" s="39"/>
      <c r="E125" s="45"/>
      <c r="H125" s="13"/>
    </row>
    <row r="126" spans="1:8" hidden="1" x14ac:dyDescent="0.25">
      <c r="A126" s="13"/>
      <c r="B126" s="54" t="s">
        <v>55</v>
      </c>
      <c r="C126" s="49" t="s">
        <v>216</v>
      </c>
      <c r="D126" s="39"/>
      <c r="E126" s="45"/>
      <c r="H126" s="13"/>
    </row>
    <row r="127" spans="1:8" hidden="1" x14ac:dyDescent="0.25">
      <c r="A127" s="13"/>
      <c r="B127" s="54" t="s">
        <v>153</v>
      </c>
      <c r="C127" s="49" t="s">
        <v>217</v>
      </c>
      <c r="D127" s="39"/>
      <c r="E127" s="45"/>
      <c r="H127" s="13"/>
    </row>
    <row r="128" spans="1:8" hidden="1" x14ac:dyDescent="0.25">
      <c r="A128" s="13"/>
      <c r="B128" s="54" t="s">
        <v>53</v>
      </c>
      <c r="C128" s="49" t="s">
        <v>218</v>
      </c>
      <c r="D128" s="39"/>
      <c r="E128" s="45"/>
      <c r="H128" s="13"/>
    </row>
    <row r="129" spans="1:8" hidden="1" x14ac:dyDescent="0.25">
      <c r="A129" s="13"/>
      <c r="B129" s="54" t="s">
        <v>125</v>
      </c>
      <c r="C129" s="49" t="s">
        <v>219</v>
      </c>
      <c r="D129" s="39"/>
      <c r="E129" s="45"/>
      <c r="H129" s="13"/>
    </row>
    <row r="130" spans="1:8" hidden="1" x14ac:dyDescent="0.25">
      <c r="A130" s="13"/>
      <c r="B130" s="54" t="s">
        <v>54</v>
      </c>
      <c r="C130" s="49" t="s">
        <v>220</v>
      </c>
      <c r="D130" s="39"/>
      <c r="E130" s="45"/>
      <c r="H130" s="13"/>
    </row>
    <row r="131" spans="1:8" hidden="1" x14ac:dyDescent="0.25">
      <c r="A131" s="39"/>
      <c r="B131" s="49"/>
      <c r="C131" s="49"/>
      <c r="D131" s="39"/>
      <c r="E131" s="45"/>
      <c r="H131" s="39"/>
    </row>
    <row r="132" spans="1:8" hidden="1" x14ac:dyDescent="0.25">
      <c r="A132" s="40" t="s">
        <v>57</v>
      </c>
      <c r="B132" s="50" t="s">
        <v>88</v>
      </c>
      <c r="C132" s="55" t="s">
        <v>294</v>
      </c>
      <c r="D132" s="44"/>
      <c r="E132" s="45"/>
      <c r="H132" s="40"/>
    </row>
    <row r="133" spans="1:8" hidden="1" x14ac:dyDescent="0.25">
      <c r="A133" s="13"/>
      <c r="B133" s="54" t="s">
        <v>59</v>
      </c>
      <c r="C133" s="49" t="s">
        <v>221</v>
      </c>
      <c r="D133" s="39"/>
      <c r="E133" s="45"/>
      <c r="H133" s="13"/>
    </row>
    <row r="134" spans="1:8" hidden="1" x14ac:dyDescent="0.25">
      <c r="A134" s="13"/>
      <c r="B134" s="54" t="s">
        <v>58</v>
      </c>
      <c r="C134" s="49" t="s">
        <v>222</v>
      </c>
      <c r="D134" s="39"/>
      <c r="E134" s="45"/>
      <c r="H134" s="13"/>
    </row>
    <row r="135" spans="1:8" hidden="1" x14ac:dyDescent="0.25">
      <c r="A135" s="13"/>
      <c r="B135" s="54" t="s">
        <v>154</v>
      </c>
      <c r="C135" s="49" t="s">
        <v>223</v>
      </c>
      <c r="D135" s="39"/>
      <c r="E135" s="45"/>
      <c r="H135" s="13"/>
    </row>
    <row r="136" spans="1:8" hidden="1" x14ac:dyDescent="0.25">
      <c r="A136" s="13"/>
      <c r="B136" s="54" t="s">
        <v>155</v>
      </c>
      <c r="C136" s="49" t="s">
        <v>224</v>
      </c>
      <c r="D136" s="39"/>
      <c r="E136" s="45"/>
      <c r="H136" s="13"/>
    </row>
    <row r="137" spans="1:8" hidden="1" x14ac:dyDescent="0.25">
      <c r="A137" s="13"/>
      <c r="B137" s="54" t="s">
        <v>60</v>
      </c>
      <c r="C137" s="49" t="s">
        <v>225</v>
      </c>
      <c r="D137" s="39"/>
      <c r="E137" s="45"/>
      <c r="H137" s="13"/>
    </row>
    <row r="138" spans="1:8" hidden="1" x14ac:dyDescent="0.25">
      <c r="A138" s="39"/>
      <c r="B138" s="49"/>
      <c r="C138" s="49"/>
      <c r="D138" s="39"/>
      <c r="E138" s="45"/>
      <c r="H138" s="39"/>
    </row>
    <row r="139" spans="1:8" hidden="1" x14ac:dyDescent="0.25">
      <c r="A139" s="38" t="s">
        <v>126</v>
      </c>
      <c r="B139" s="50" t="s">
        <v>88</v>
      </c>
      <c r="C139" s="55" t="s">
        <v>294</v>
      </c>
      <c r="D139" s="44"/>
      <c r="E139" s="45"/>
      <c r="H139" s="38"/>
    </row>
    <row r="140" spans="1:8" hidden="1" x14ac:dyDescent="0.25">
      <c r="A140" s="13"/>
      <c r="B140" s="54" t="s">
        <v>156</v>
      </c>
      <c r="C140" s="49" t="s">
        <v>226</v>
      </c>
      <c r="D140" s="39"/>
      <c r="E140" s="45"/>
      <c r="H140" s="13"/>
    </row>
    <row r="141" spans="1:8" hidden="1" x14ac:dyDescent="0.25">
      <c r="A141" s="13"/>
      <c r="B141" s="54" t="s">
        <v>157</v>
      </c>
      <c r="C141" s="49" t="s">
        <v>227</v>
      </c>
      <c r="D141" s="39"/>
      <c r="E141" s="45"/>
      <c r="H141" s="13"/>
    </row>
    <row r="142" spans="1:8" hidden="1" x14ac:dyDescent="0.25">
      <c r="A142" s="13"/>
      <c r="B142" s="54" t="s">
        <v>158</v>
      </c>
      <c r="C142" s="49" t="s">
        <v>228</v>
      </c>
      <c r="D142" s="39"/>
      <c r="E142" s="45"/>
      <c r="H142" s="13"/>
    </row>
    <row r="143" spans="1:8" hidden="1" x14ac:dyDescent="0.25">
      <c r="A143" s="13"/>
      <c r="B143" s="54" t="s">
        <v>42</v>
      </c>
      <c r="C143" s="49" t="s">
        <v>229</v>
      </c>
      <c r="D143" s="39"/>
      <c r="E143" s="45"/>
      <c r="H143" s="13"/>
    </row>
    <row r="144" spans="1:8" hidden="1" x14ac:dyDescent="0.25">
      <c r="A144" s="13"/>
      <c r="B144" s="54" t="s">
        <v>127</v>
      </c>
      <c r="C144" s="49" t="s">
        <v>230</v>
      </c>
      <c r="D144" s="39"/>
      <c r="E144" s="45"/>
      <c r="H144" s="13"/>
    </row>
    <row r="145" spans="1:8" hidden="1" x14ac:dyDescent="0.25">
      <c r="A145" s="13"/>
      <c r="B145" s="54" t="s">
        <v>128</v>
      </c>
      <c r="C145" s="49" t="s">
        <v>231</v>
      </c>
      <c r="D145" s="39"/>
      <c r="E145" s="45"/>
      <c r="H145" s="13"/>
    </row>
    <row r="146" spans="1:8" hidden="1" x14ac:dyDescent="0.25">
      <c r="A146" s="13"/>
      <c r="B146" s="54" t="s">
        <v>41</v>
      </c>
      <c r="C146" s="49" t="s">
        <v>232</v>
      </c>
      <c r="D146" s="39"/>
      <c r="E146" s="45"/>
      <c r="H146" s="13"/>
    </row>
    <row r="147" spans="1:8" hidden="1" x14ac:dyDescent="0.25">
      <c r="A147" s="13"/>
      <c r="B147" s="54" t="s">
        <v>129</v>
      </c>
      <c r="C147" s="49" t="s">
        <v>233</v>
      </c>
      <c r="D147" s="39"/>
      <c r="E147" s="45"/>
      <c r="H147" s="13"/>
    </row>
    <row r="148" spans="1:8" hidden="1" x14ac:dyDescent="0.25">
      <c r="A148" s="39"/>
      <c r="B148" s="49"/>
      <c r="C148" s="49"/>
      <c r="D148" s="39"/>
      <c r="E148" s="45"/>
      <c r="H148" s="39"/>
    </row>
    <row r="149" spans="1:8" hidden="1" x14ac:dyDescent="0.25">
      <c r="A149" s="40" t="s">
        <v>130</v>
      </c>
      <c r="B149" s="50" t="s">
        <v>88</v>
      </c>
      <c r="C149" s="55" t="s">
        <v>294</v>
      </c>
      <c r="D149" s="44"/>
      <c r="E149" s="45"/>
      <c r="H149" s="40"/>
    </row>
    <row r="150" spans="1:8" hidden="1" x14ac:dyDescent="0.25">
      <c r="A150" s="13"/>
      <c r="B150" s="54" t="s">
        <v>131</v>
      </c>
      <c r="C150" s="49" t="s">
        <v>234</v>
      </c>
      <c r="D150" s="39"/>
      <c r="E150" s="45"/>
      <c r="H150" s="13"/>
    </row>
    <row r="151" spans="1:8" hidden="1" x14ac:dyDescent="0.25">
      <c r="A151" s="13"/>
      <c r="B151" s="54" t="s">
        <v>159</v>
      </c>
      <c r="C151" s="49" t="s">
        <v>235</v>
      </c>
      <c r="D151" s="39"/>
      <c r="E151" s="45"/>
      <c r="H151" s="13"/>
    </row>
    <row r="152" spans="1:8" hidden="1" x14ac:dyDescent="0.25">
      <c r="A152" s="13"/>
      <c r="B152" s="54" t="s">
        <v>160</v>
      </c>
      <c r="C152" s="49" t="s">
        <v>236</v>
      </c>
      <c r="D152" s="39"/>
      <c r="E152" s="45"/>
      <c r="H152" s="13"/>
    </row>
    <row r="153" spans="1:8" hidden="1" x14ac:dyDescent="0.25">
      <c r="A153" s="13"/>
      <c r="B153" s="54" t="s">
        <v>161</v>
      </c>
      <c r="C153" s="49" t="s">
        <v>237</v>
      </c>
      <c r="D153" s="39"/>
      <c r="E153" s="45"/>
      <c r="H153" s="13"/>
    </row>
    <row r="154" spans="1:8" hidden="1" x14ac:dyDescent="0.25">
      <c r="A154" s="13"/>
      <c r="B154" s="54" t="s">
        <v>162</v>
      </c>
      <c r="C154" s="49" t="s">
        <v>238</v>
      </c>
      <c r="D154" s="39"/>
      <c r="E154" s="45"/>
      <c r="H154" s="13"/>
    </row>
    <row r="155" spans="1:8" hidden="1" x14ac:dyDescent="0.25">
      <c r="A155" s="13"/>
      <c r="B155" s="54" t="s">
        <v>163</v>
      </c>
      <c r="C155" s="54" t="s">
        <v>239</v>
      </c>
      <c r="D155" s="41"/>
      <c r="E155" s="45"/>
      <c r="H155" s="13"/>
    </row>
    <row r="156" spans="1:8" hidden="1" x14ac:dyDescent="0.25">
      <c r="A156" s="13"/>
      <c r="B156" s="54" t="s">
        <v>164</v>
      </c>
      <c r="C156" s="54" t="s">
        <v>240</v>
      </c>
      <c r="D156" s="41"/>
      <c r="E156" s="45"/>
      <c r="H156" s="13"/>
    </row>
    <row r="157" spans="1:8" hidden="1" x14ac:dyDescent="0.25">
      <c r="A157" s="13"/>
      <c r="B157" s="54" t="s">
        <v>43</v>
      </c>
      <c r="C157" s="49" t="s">
        <v>241</v>
      </c>
      <c r="D157" s="39"/>
      <c r="E157" s="45"/>
      <c r="H157" s="13"/>
    </row>
    <row r="158" spans="1:8" hidden="1" x14ac:dyDescent="0.25">
      <c r="A158" s="13"/>
      <c r="B158" s="54" t="s">
        <v>165</v>
      </c>
      <c r="C158" s="54" t="s">
        <v>242</v>
      </c>
      <c r="D158" s="41"/>
      <c r="E158" s="45"/>
      <c r="H158" s="13"/>
    </row>
    <row r="159" spans="1:8" hidden="1" x14ac:dyDescent="0.25">
      <c r="A159" s="13"/>
      <c r="B159" s="54" t="s">
        <v>166</v>
      </c>
      <c r="C159" s="54" t="s">
        <v>243</v>
      </c>
      <c r="D159" s="41"/>
      <c r="E159" s="45"/>
      <c r="H159" s="13"/>
    </row>
    <row r="160" spans="1:8" hidden="1" x14ac:dyDescent="0.25">
      <c r="A160" s="13"/>
      <c r="B160" s="54" t="s">
        <v>44</v>
      </c>
      <c r="C160" s="49" t="s">
        <v>244</v>
      </c>
      <c r="D160" s="39"/>
      <c r="E160" s="45"/>
      <c r="H160" s="13"/>
    </row>
    <row r="161" spans="1:8" hidden="1" x14ac:dyDescent="0.25">
      <c r="A161" s="13"/>
      <c r="B161" s="54" t="s">
        <v>45</v>
      </c>
      <c r="C161" s="54" t="s">
        <v>245</v>
      </c>
      <c r="D161" s="41"/>
      <c r="E161" s="45"/>
      <c r="H161" s="13"/>
    </row>
    <row r="162" spans="1:8" hidden="1" x14ac:dyDescent="0.25">
      <c r="A162" s="39"/>
      <c r="B162" s="49"/>
      <c r="C162" s="49"/>
      <c r="D162" s="39"/>
      <c r="E162" s="45"/>
      <c r="H162" s="39"/>
    </row>
    <row r="163" spans="1:8" hidden="1" x14ac:dyDescent="0.25">
      <c r="A163" s="38" t="s">
        <v>20</v>
      </c>
      <c r="B163" s="50" t="s">
        <v>88</v>
      </c>
      <c r="C163" s="55" t="s">
        <v>294</v>
      </c>
      <c r="D163" s="44"/>
      <c r="E163" s="45"/>
      <c r="H163" s="38"/>
    </row>
    <row r="164" spans="1:8" hidden="1" x14ac:dyDescent="0.25">
      <c r="A164" s="13"/>
      <c r="B164" s="54" t="s">
        <v>64</v>
      </c>
      <c r="C164" s="49" t="s">
        <v>246</v>
      </c>
      <c r="D164" s="39"/>
      <c r="E164" s="45"/>
      <c r="H164" s="13"/>
    </row>
    <row r="165" spans="1:8" hidden="1" x14ac:dyDescent="0.25">
      <c r="A165" s="13"/>
      <c r="B165" s="54" t="s">
        <v>167</v>
      </c>
      <c r="C165" s="49" t="s">
        <v>247</v>
      </c>
      <c r="D165" s="39"/>
      <c r="E165" s="45"/>
      <c r="H165" s="13"/>
    </row>
    <row r="166" spans="1:8" hidden="1" x14ac:dyDescent="0.25">
      <c r="A166" s="13"/>
      <c r="B166" s="54" t="s">
        <v>168</v>
      </c>
      <c r="C166" s="49" t="s">
        <v>248</v>
      </c>
      <c r="D166" s="39"/>
      <c r="E166" s="45"/>
      <c r="H166" s="13"/>
    </row>
    <row r="167" spans="1:8" hidden="1" x14ac:dyDescent="0.25">
      <c r="A167" s="13"/>
      <c r="B167" s="54" t="s">
        <v>65</v>
      </c>
      <c r="C167" s="49" t="s">
        <v>249</v>
      </c>
      <c r="D167" s="39"/>
      <c r="E167" s="45"/>
      <c r="H167" s="13"/>
    </row>
    <row r="168" spans="1:8" hidden="1" x14ac:dyDescent="0.25">
      <c r="A168" s="13"/>
      <c r="B168" s="54" t="s">
        <v>132</v>
      </c>
      <c r="C168" s="49" t="s">
        <v>250</v>
      </c>
      <c r="D168" s="39"/>
      <c r="E168" s="45"/>
      <c r="H168" s="13"/>
    </row>
    <row r="169" spans="1:8" hidden="1" x14ac:dyDescent="0.25">
      <c r="A169" s="13"/>
      <c r="B169" s="54" t="s">
        <v>68</v>
      </c>
      <c r="C169" s="49" t="s">
        <v>251</v>
      </c>
      <c r="D169" s="39"/>
      <c r="E169" s="45"/>
      <c r="H169" s="13"/>
    </row>
    <row r="170" spans="1:8" hidden="1" x14ac:dyDescent="0.25">
      <c r="A170" s="13"/>
      <c r="B170" s="54" t="s">
        <v>169</v>
      </c>
      <c r="C170" s="49" t="s">
        <v>252</v>
      </c>
      <c r="D170" s="39"/>
      <c r="E170" s="45"/>
      <c r="H170" s="13"/>
    </row>
    <row r="171" spans="1:8" hidden="1" x14ac:dyDescent="0.25">
      <c r="A171" s="13"/>
      <c r="B171" s="54"/>
      <c r="C171" s="49"/>
      <c r="D171" s="39"/>
      <c r="E171" s="45"/>
      <c r="H171" s="13"/>
    </row>
    <row r="172" spans="1:8" hidden="1" x14ac:dyDescent="0.25">
      <c r="A172" s="40" t="s">
        <v>108</v>
      </c>
      <c r="B172" s="50" t="s">
        <v>88</v>
      </c>
      <c r="C172" s="55" t="s">
        <v>294</v>
      </c>
      <c r="D172" s="44"/>
      <c r="E172" s="45"/>
      <c r="H172" s="40"/>
    </row>
    <row r="173" spans="1:8" hidden="1" x14ac:dyDescent="0.25">
      <c r="A173" s="13"/>
      <c r="B173" s="54" t="s">
        <v>66</v>
      </c>
      <c r="C173" s="49" t="s">
        <v>253</v>
      </c>
      <c r="D173" s="39"/>
      <c r="E173" s="45"/>
      <c r="H173" s="13"/>
    </row>
    <row r="174" spans="1:8" hidden="1" x14ac:dyDescent="0.25">
      <c r="A174" s="13"/>
      <c r="B174" s="54" t="s">
        <v>67</v>
      </c>
      <c r="C174" s="49" t="s">
        <v>254</v>
      </c>
      <c r="D174" s="39"/>
      <c r="E174" s="45"/>
      <c r="H174" s="13"/>
    </row>
    <row r="175" spans="1:8" hidden="1" x14ac:dyDescent="0.25">
      <c r="A175" s="13"/>
      <c r="B175" s="54" t="s">
        <v>133</v>
      </c>
      <c r="C175" s="49" t="s">
        <v>255</v>
      </c>
      <c r="D175" s="39"/>
      <c r="E175" s="45"/>
      <c r="H175" s="13"/>
    </row>
    <row r="176" spans="1:8" hidden="1" x14ac:dyDescent="0.25">
      <c r="A176" s="13"/>
      <c r="B176" s="54" t="s">
        <v>170</v>
      </c>
      <c r="C176" s="49" t="s">
        <v>256</v>
      </c>
      <c r="D176" s="39"/>
      <c r="E176" s="45"/>
      <c r="H176" s="13"/>
    </row>
    <row r="177" spans="1:8" hidden="1" x14ac:dyDescent="0.25">
      <c r="A177" s="13"/>
      <c r="B177" s="54" t="s">
        <v>70</v>
      </c>
      <c r="C177" s="49" t="s">
        <v>257</v>
      </c>
      <c r="D177" s="39"/>
      <c r="E177" s="45"/>
      <c r="H177" s="13"/>
    </row>
    <row r="178" spans="1:8" hidden="1" x14ac:dyDescent="0.25">
      <c r="A178" s="13"/>
      <c r="B178" s="54" t="s">
        <v>69</v>
      </c>
      <c r="C178" s="49" t="s">
        <v>258</v>
      </c>
      <c r="D178" s="39"/>
      <c r="E178" s="45"/>
      <c r="H178" s="13"/>
    </row>
    <row r="179" spans="1:8" hidden="1" x14ac:dyDescent="0.25">
      <c r="A179" s="13"/>
      <c r="B179" s="54" t="s">
        <v>134</v>
      </c>
      <c r="C179" s="49" t="s">
        <v>259</v>
      </c>
      <c r="D179" s="39"/>
      <c r="E179" s="45"/>
      <c r="H179" s="13"/>
    </row>
    <row r="180" spans="1:8" hidden="1" x14ac:dyDescent="0.25">
      <c r="A180" s="13"/>
      <c r="B180" s="54" t="s">
        <v>171</v>
      </c>
      <c r="C180" s="49" t="s">
        <v>260</v>
      </c>
      <c r="D180" s="39"/>
      <c r="E180" s="45"/>
      <c r="H180" s="13"/>
    </row>
    <row r="181" spans="1:8" hidden="1" x14ac:dyDescent="0.25">
      <c r="A181" s="39"/>
      <c r="B181" s="49"/>
      <c r="C181" s="49"/>
      <c r="D181" s="39"/>
      <c r="E181" s="45"/>
      <c r="H181" s="39"/>
    </row>
    <row r="182" spans="1:8" hidden="1" x14ac:dyDescent="0.25">
      <c r="A182" s="40" t="s">
        <v>107</v>
      </c>
      <c r="B182" s="50" t="s">
        <v>88</v>
      </c>
      <c r="C182" s="55" t="s">
        <v>294</v>
      </c>
      <c r="D182" s="44"/>
      <c r="E182" s="45"/>
      <c r="H182" s="40"/>
    </row>
    <row r="183" spans="1:8" hidden="1" x14ac:dyDescent="0.25">
      <c r="A183" s="13"/>
      <c r="B183" s="54" t="s">
        <v>135</v>
      </c>
      <c r="C183" s="49" t="s">
        <v>261</v>
      </c>
      <c r="D183" s="39"/>
      <c r="E183" s="45"/>
      <c r="H183" s="13"/>
    </row>
    <row r="184" spans="1:8" hidden="1" x14ac:dyDescent="0.25">
      <c r="A184" s="13"/>
      <c r="B184" s="54" t="s">
        <v>71</v>
      </c>
      <c r="C184" s="49" t="s">
        <v>262</v>
      </c>
      <c r="D184" s="39"/>
      <c r="E184" s="45"/>
      <c r="H184" s="13"/>
    </row>
    <row r="185" spans="1:8" hidden="1" x14ac:dyDescent="0.25">
      <c r="A185" s="13"/>
      <c r="B185" s="54" t="s">
        <v>72</v>
      </c>
      <c r="C185" s="49" t="s">
        <v>263</v>
      </c>
      <c r="D185" s="39"/>
      <c r="E185" s="45"/>
      <c r="H185" s="13"/>
    </row>
    <row r="186" spans="1:8" hidden="1" x14ac:dyDescent="0.25">
      <c r="A186" s="13"/>
      <c r="B186" s="54" t="s">
        <v>136</v>
      </c>
      <c r="C186" s="49" t="s">
        <v>264</v>
      </c>
      <c r="D186" s="39"/>
      <c r="E186" s="45"/>
      <c r="H186" s="13"/>
    </row>
    <row r="187" spans="1:8" hidden="1" x14ac:dyDescent="0.25">
      <c r="A187" s="13"/>
      <c r="B187" s="49"/>
      <c r="C187" s="49"/>
      <c r="D187" s="39"/>
      <c r="E187" s="45"/>
      <c r="H187" s="13"/>
    </row>
    <row r="188" spans="1:8" hidden="1" x14ac:dyDescent="0.25">
      <c r="A188" s="40" t="s">
        <v>106</v>
      </c>
      <c r="B188" s="50" t="s">
        <v>88</v>
      </c>
      <c r="C188" s="55" t="s">
        <v>294</v>
      </c>
      <c r="D188" s="44"/>
      <c r="E188" s="45"/>
      <c r="H188" s="40"/>
    </row>
    <row r="189" spans="1:8" hidden="1" x14ac:dyDescent="0.25">
      <c r="A189" s="13"/>
      <c r="B189" s="54" t="s">
        <v>172</v>
      </c>
      <c r="C189" s="49" t="s">
        <v>265</v>
      </c>
      <c r="D189" s="39"/>
      <c r="E189" s="45"/>
      <c r="H189" s="13"/>
    </row>
    <row r="190" spans="1:8" hidden="1" x14ac:dyDescent="0.25">
      <c r="A190" s="13"/>
      <c r="B190" s="54" t="s">
        <v>73</v>
      </c>
      <c r="C190" s="49" t="s">
        <v>266</v>
      </c>
      <c r="D190" s="39"/>
      <c r="E190" s="45"/>
      <c r="H190" s="13"/>
    </row>
    <row r="191" spans="1:8" hidden="1" x14ac:dyDescent="0.25">
      <c r="A191" s="13"/>
      <c r="B191" s="54" t="s">
        <v>137</v>
      </c>
      <c r="C191" s="49" t="s">
        <v>267</v>
      </c>
      <c r="D191" s="39"/>
      <c r="E191" s="45"/>
      <c r="H191" s="13"/>
    </row>
    <row r="192" spans="1:8" hidden="1" x14ac:dyDescent="0.25">
      <c r="A192" s="39"/>
      <c r="B192" s="49"/>
      <c r="C192" s="49"/>
      <c r="D192" s="39"/>
      <c r="E192" s="45"/>
      <c r="H192" s="39"/>
    </row>
    <row r="193" spans="1:8" hidden="1" x14ac:dyDescent="0.25">
      <c r="A193" s="40" t="s">
        <v>37</v>
      </c>
      <c r="B193" s="50" t="s">
        <v>88</v>
      </c>
      <c r="C193" s="55" t="s">
        <v>294</v>
      </c>
      <c r="D193" s="44"/>
      <c r="E193" s="45"/>
      <c r="H193" s="40"/>
    </row>
    <row r="194" spans="1:8" hidden="1" x14ac:dyDescent="0.25">
      <c r="A194" s="13"/>
      <c r="B194" s="54" t="s">
        <v>138</v>
      </c>
      <c r="C194" s="49" t="s">
        <v>268</v>
      </c>
      <c r="D194" s="39"/>
      <c r="E194" s="45"/>
      <c r="H194" s="13"/>
    </row>
    <row r="195" spans="1:8" hidden="1" x14ac:dyDescent="0.25">
      <c r="A195" s="13"/>
      <c r="B195" s="54" t="s">
        <v>38</v>
      </c>
      <c r="C195" s="49" t="s">
        <v>269</v>
      </c>
      <c r="D195" s="39"/>
      <c r="E195" s="45"/>
      <c r="H195" s="13"/>
    </row>
    <row r="196" spans="1:8" hidden="1" x14ac:dyDescent="0.25">
      <c r="A196" s="13"/>
      <c r="B196" s="54" t="s">
        <v>39</v>
      </c>
      <c r="C196" s="49" t="s">
        <v>270</v>
      </c>
      <c r="D196" s="39"/>
      <c r="E196" s="45"/>
      <c r="H196" s="13"/>
    </row>
    <row r="197" spans="1:8" hidden="1" x14ac:dyDescent="0.25">
      <c r="A197" s="13"/>
      <c r="B197" s="54" t="s">
        <v>139</v>
      </c>
      <c r="C197" s="49" t="s">
        <v>271</v>
      </c>
      <c r="D197" s="39"/>
      <c r="E197" s="45"/>
      <c r="H197" s="13"/>
    </row>
    <row r="198" spans="1:8" hidden="1" x14ac:dyDescent="0.25">
      <c r="A198" s="13"/>
      <c r="B198" s="54" t="s">
        <v>40</v>
      </c>
      <c r="C198" s="49" t="s">
        <v>272</v>
      </c>
      <c r="D198" s="39"/>
      <c r="E198" s="45"/>
      <c r="H198" s="13"/>
    </row>
    <row r="199" spans="1:8" hidden="1" x14ac:dyDescent="0.25">
      <c r="A199" s="13"/>
      <c r="B199" s="54" t="s">
        <v>140</v>
      </c>
      <c r="C199" s="49" t="s">
        <v>273</v>
      </c>
      <c r="D199" s="39"/>
      <c r="E199" s="45"/>
      <c r="H199" s="13"/>
    </row>
    <row r="200" spans="1:8" hidden="1" x14ac:dyDescent="0.25">
      <c r="A200" s="13"/>
      <c r="B200" s="54" t="s">
        <v>141</v>
      </c>
      <c r="C200" s="49" t="s">
        <v>274</v>
      </c>
      <c r="D200" s="39"/>
      <c r="E200" s="45"/>
      <c r="H200" s="13"/>
    </row>
    <row r="201" spans="1:8" hidden="1" x14ac:dyDescent="0.25">
      <c r="A201" s="39"/>
      <c r="B201" s="49"/>
      <c r="C201" s="49"/>
      <c r="D201" s="39"/>
      <c r="E201" s="45"/>
      <c r="H201" s="39"/>
    </row>
    <row r="202" spans="1:8" hidden="1" x14ac:dyDescent="0.25">
      <c r="A202" s="40" t="s">
        <v>22</v>
      </c>
      <c r="B202" s="50" t="s">
        <v>88</v>
      </c>
      <c r="C202" s="55" t="s">
        <v>294</v>
      </c>
      <c r="D202" s="44"/>
      <c r="E202" s="45"/>
      <c r="H202" s="40"/>
    </row>
    <row r="203" spans="1:8" hidden="1" x14ac:dyDescent="0.25">
      <c r="A203" s="13"/>
      <c r="B203" s="54" t="s">
        <v>23</v>
      </c>
      <c r="C203" s="49" t="s">
        <v>275</v>
      </c>
      <c r="D203" s="39"/>
      <c r="E203" s="45"/>
      <c r="H203" s="13"/>
    </row>
    <row r="204" spans="1:8" hidden="1" x14ac:dyDescent="0.25">
      <c r="A204" s="13"/>
      <c r="B204" s="54" t="s">
        <v>25</v>
      </c>
      <c r="C204" s="49" t="s">
        <v>276</v>
      </c>
      <c r="D204" s="39"/>
      <c r="E204" s="45"/>
      <c r="H204" s="13"/>
    </row>
    <row r="205" spans="1:8" hidden="1" x14ac:dyDescent="0.25">
      <c r="A205" s="13"/>
      <c r="B205" s="54" t="s">
        <v>142</v>
      </c>
      <c r="C205" s="49" t="s">
        <v>277</v>
      </c>
      <c r="D205" s="39"/>
      <c r="E205" s="45"/>
      <c r="H205" s="13"/>
    </row>
    <row r="206" spans="1:8" hidden="1" x14ac:dyDescent="0.25">
      <c r="A206" s="13"/>
      <c r="B206" s="54" t="s">
        <v>24</v>
      </c>
      <c r="C206" s="49" t="s">
        <v>278</v>
      </c>
      <c r="D206" s="39"/>
      <c r="E206" s="45"/>
      <c r="H206" s="13"/>
    </row>
    <row r="207" spans="1:8" hidden="1" x14ac:dyDescent="0.25">
      <c r="A207" s="13"/>
      <c r="B207" s="56" t="s">
        <v>173</v>
      </c>
      <c r="C207" s="52" t="s">
        <v>279</v>
      </c>
      <c r="D207" s="13"/>
      <c r="E207" s="45"/>
      <c r="H207" s="13"/>
    </row>
    <row r="208" spans="1:8" hidden="1" x14ac:dyDescent="0.25">
      <c r="A208" s="13"/>
      <c r="B208" s="54" t="s">
        <v>26</v>
      </c>
      <c r="C208" s="49" t="s">
        <v>280</v>
      </c>
      <c r="D208" s="39"/>
      <c r="E208" s="45"/>
      <c r="H208" s="13"/>
    </row>
    <row r="209" spans="1:8" hidden="1" x14ac:dyDescent="0.25">
      <c r="A209" s="13"/>
      <c r="B209" s="54" t="s">
        <v>27</v>
      </c>
      <c r="C209" s="49" t="s">
        <v>281</v>
      </c>
      <c r="D209" s="39"/>
      <c r="E209" s="45"/>
      <c r="H209" s="13"/>
    </row>
    <row r="210" spans="1:8" hidden="1" x14ac:dyDescent="0.25">
      <c r="A210" s="39"/>
      <c r="B210" s="49"/>
      <c r="C210" s="49"/>
      <c r="D210" s="39"/>
      <c r="E210" s="45"/>
      <c r="H210" s="39"/>
    </row>
    <row r="211" spans="1:8" hidden="1" x14ac:dyDescent="0.25">
      <c r="A211" s="40" t="s">
        <v>143</v>
      </c>
      <c r="B211" s="50" t="s">
        <v>88</v>
      </c>
      <c r="C211" s="55" t="s">
        <v>294</v>
      </c>
      <c r="D211" s="44"/>
      <c r="E211" s="45"/>
      <c r="H211" s="40"/>
    </row>
    <row r="212" spans="1:8" hidden="1" x14ac:dyDescent="0.25">
      <c r="A212" s="13"/>
      <c r="B212" s="54" t="s">
        <v>29</v>
      </c>
      <c r="C212" s="54" t="s">
        <v>282</v>
      </c>
      <c r="D212" s="41"/>
      <c r="E212" s="45"/>
      <c r="H212" s="13"/>
    </row>
    <row r="213" spans="1:8" hidden="1" x14ac:dyDescent="0.25">
      <c r="A213" s="13"/>
      <c r="B213" s="54" t="s">
        <v>31</v>
      </c>
      <c r="C213" s="49" t="s">
        <v>283</v>
      </c>
      <c r="D213" s="39"/>
      <c r="E213" s="45"/>
      <c r="H213" s="13"/>
    </row>
    <row r="214" spans="1:8" hidden="1" x14ac:dyDescent="0.25">
      <c r="A214" s="13"/>
      <c r="B214" s="54" t="s">
        <v>28</v>
      </c>
      <c r="C214" s="49" t="s">
        <v>284</v>
      </c>
      <c r="D214" s="39"/>
      <c r="E214" s="45"/>
      <c r="H214" s="13"/>
    </row>
    <row r="215" spans="1:8" hidden="1" x14ac:dyDescent="0.25">
      <c r="A215" s="13"/>
      <c r="B215" s="54" t="s">
        <v>36</v>
      </c>
      <c r="C215" s="49" t="s">
        <v>285</v>
      </c>
      <c r="D215" s="39"/>
      <c r="E215" s="45"/>
      <c r="H215" s="13"/>
    </row>
    <row r="216" spans="1:8" hidden="1" x14ac:dyDescent="0.25">
      <c r="A216" s="13"/>
      <c r="B216" s="54" t="s">
        <v>30</v>
      </c>
      <c r="C216" s="49" t="s">
        <v>286</v>
      </c>
      <c r="D216" s="39"/>
      <c r="E216" s="45"/>
      <c r="H216" s="13"/>
    </row>
    <row r="217" spans="1:8" hidden="1" x14ac:dyDescent="0.25">
      <c r="A217" s="13"/>
      <c r="B217" s="56" t="s">
        <v>144</v>
      </c>
      <c r="C217" s="52" t="s">
        <v>287</v>
      </c>
      <c r="D217" s="13"/>
      <c r="E217" s="45"/>
      <c r="H217" s="13"/>
    </row>
    <row r="218" spans="1:8" hidden="1" x14ac:dyDescent="0.25">
      <c r="A218" s="13"/>
      <c r="B218" s="54"/>
      <c r="C218" s="49"/>
      <c r="D218" s="39"/>
      <c r="E218" s="45"/>
      <c r="H218" s="13"/>
    </row>
    <row r="219" spans="1:8" hidden="1" x14ac:dyDescent="0.25">
      <c r="A219" s="40" t="s">
        <v>104</v>
      </c>
      <c r="B219" s="50" t="s">
        <v>88</v>
      </c>
      <c r="C219" s="55" t="s">
        <v>294</v>
      </c>
      <c r="D219" s="44"/>
      <c r="E219" s="45"/>
      <c r="H219" s="40"/>
    </row>
    <row r="220" spans="1:8" hidden="1" x14ac:dyDescent="0.25">
      <c r="A220" s="13"/>
      <c r="B220" s="54" t="s">
        <v>32</v>
      </c>
      <c r="C220" s="49" t="s">
        <v>288</v>
      </c>
      <c r="D220" s="39"/>
      <c r="E220" s="45"/>
      <c r="H220" s="13"/>
    </row>
    <row r="221" spans="1:8" hidden="1" x14ac:dyDescent="0.25">
      <c r="A221" s="13"/>
      <c r="B221" s="54" t="s">
        <v>34</v>
      </c>
      <c r="C221" s="49" t="s">
        <v>289</v>
      </c>
      <c r="D221" s="39"/>
      <c r="E221" s="45"/>
      <c r="H221" s="13"/>
    </row>
    <row r="222" spans="1:8" hidden="1" x14ac:dyDescent="0.25">
      <c r="A222" s="13"/>
      <c r="B222" s="54" t="s">
        <v>35</v>
      </c>
      <c r="C222" s="49" t="s">
        <v>290</v>
      </c>
      <c r="D222" s="39"/>
      <c r="E222" s="45"/>
      <c r="H222" s="13"/>
    </row>
    <row r="223" spans="1:8" hidden="1" x14ac:dyDescent="0.25">
      <c r="A223" s="13"/>
      <c r="B223" s="54" t="s">
        <v>174</v>
      </c>
      <c r="C223" s="49" t="s">
        <v>291</v>
      </c>
      <c r="D223" s="39"/>
      <c r="E223" s="45"/>
      <c r="H223" s="13"/>
    </row>
    <row r="224" spans="1:8" hidden="1" x14ac:dyDescent="0.25">
      <c r="A224" s="13"/>
      <c r="B224" s="56" t="s">
        <v>145</v>
      </c>
      <c r="C224" s="52" t="s">
        <v>292</v>
      </c>
      <c r="D224" s="13"/>
      <c r="E224" s="45"/>
      <c r="H224" s="13"/>
    </row>
    <row r="225" spans="1:11" hidden="1" x14ac:dyDescent="0.25">
      <c r="A225" s="13"/>
      <c r="B225" s="54" t="s">
        <v>33</v>
      </c>
      <c r="C225" s="49" t="s">
        <v>293</v>
      </c>
      <c r="D225" s="39"/>
      <c r="E225" s="45"/>
      <c r="H225" s="13"/>
    </row>
    <row r="226" spans="1:11" hidden="1" x14ac:dyDescent="0.25">
      <c r="B226" s="51"/>
      <c r="C226" s="51"/>
      <c r="E226" s="45"/>
    </row>
    <row r="227" spans="1:11" hidden="1" x14ac:dyDescent="0.25">
      <c r="B227" s="51"/>
      <c r="C227" s="51"/>
      <c r="E227" s="45"/>
    </row>
    <row r="228" spans="1:11" hidden="1" x14ac:dyDescent="0.25">
      <c r="A228" s="40" t="s">
        <v>17</v>
      </c>
      <c r="B228" s="50" t="s">
        <v>88</v>
      </c>
      <c r="C228" s="55" t="s">
        <v>294</v>
      </c>
      <c r="D228" s="44"/>
      <c r="E228" s="45"/>
    </row>
    <row r="229" spans="1:11" hidden="1" x14ac:dyDescent="0.25">
      <c r="B229" s="54" t="s">
        <v>152</v>
      </c>
      <c r="C229" s="49" t="s">
        <v>213</v>
      </c>
      <c r="D229" s="39"/>
      <c r="E229" s="45"/>
      <c r="I229" s="41"/>
    </row>
    <row r="230" spans="1:11" hidden="1" x14ac:dyDescent="0.25">
      <c r="B230" s="54" t="s">
        <v>59</v>
      </c>
      <c r="C230" s="49" t="s">
        <v>221</v>
      </c>
      <c r="D230" s="39"/>
      <c r="E230" s="45"/>
      <c r="I230" s="41"/>
    </row>
    <row r="231" spans="1:11" hidden="1" x14ac:dyDescent="0.25">
      <c r="B231" s="54" t="s">
        <v>124</v>
      </c>
      <c r="C231" s="49" t="s">
        <v>214</v>
      </c>
      <c r="D231" s="39"/>
      <c r="E231" s="45"/>
      <c r="I231" s="41"/>
    </row>
    <row r="232" spans="1:11" hidden="1" x14ac:dyDescent="0.25">
      <c r="B232" s="54" t="s">
        <v>58</v>
      </c>
      <c r="C232" s="49" t="s">
        <v>222</v>
      </c>
      <c r="D232" s="39"/>
      <c r="E232" s="45"/>
      <c r="I232" s="41"/>
    </row>
    <row r="233" spans="1:11" hidden="1" x14ac:dyDescent="0.25">
      <c r="B233" s="54" t="s">
        <v>56</v>
      </c>
      <c r="C233" s="49" t="s">
        <v>215</v>
      </c>
      <c r="D233" s="39"/>
      <c r="E233" s="45"/>
      <c r="I233" s="41"/>
    </row>
    <row r="234" spans="1:11" hidden="1" x14ac:dyDescent="0.25">
      <c r="B234" s="54" t="s">
        <v>154</v>
      </c>
      <c r="C234" s="49" t="s">
        <v>223</v>
      </c>
      <c r="D234" s="39"/>
      <c r="E234" s="45"/>
      <c r="I234" s="41"/>
    </row>
    <row r="235" spans="1:11" hidden="1" x14ac:dyDescent="0.25">
      <c r="B235" s="54" t="s">
        <v>55</v>
      </c>
      <c r="C235" s="49" t="s">
        <v>216</v>
      </c>
      <c r="D235" s="39"/>
      <c r="E235" s="45"/>
      <c r="I235" s="41"/>
    </row>
    <row r="236" spans="1:11" hidden="1" x14ac:dyDescent="0.25">
      <c r="B236" s="54" t="s">
        <v>155</v>
      </c>
      <c r="C236" s="49" t="s">
        <v>224</v>
      </c>
      <c r="D236" s="39"/>
      <c r="E236" s="45"/>
      <c r="I236" s="41"/>
    </row>
    <row r="237" spans="1:11" hidden="1" x14ac:dyDescent="0.25">
      <c r="B237" s="54" t="s">
        <v>153</v>
      </c>
      <c r="C237" s="49" t="s">
        <v>217</v>
      </c>
      <c r="D237" s="39"/>
      <c r="E237" s="45"/>
      <c r="I237" s="39"/>
      <c r="K237" s="39"/>
    </row>
    <row r="238" spans="1:11" hidden="1" x14ac:dyDescent="0.25">
      <c r="B238" s="54" t="s">
        <v>60</v>
      </c>
      <c r="C238" s="49" t="s">
        <v>225</v>
      </c>
      <c r="D238" s="39"/>
      <c r="E238" s="45"/>
      <c r="I238" s="39"/>
      <c r="K238" s="39"/>
    </row>
    <row r="239" spans="1:11" hidden="1" x14ac:dyDescent="0.25">
      <c r="B239" s="54" t="s">
        <v>53</v>
      </c>
      <c r="C239" s="49" t="s">
        <v>218</v>
      </c>
      <c r="D239" s="39"/>
      <c r="E239" s="45"/>
      <c r="I239" s="41"/>
    </row>
    <row r="240" spans="1:11" hidden="1" x14ac:dyDescent="0.25">
      <c r="B240" s="54" t="s">
        <v>125</v>
      </c>
      <c r="C240" s="49" t="s">
        <v>219</v>
      </c>
      <c r="D240" s="39"/>
      <c r="E240" s="45"/>
      <c r="I240" s="41"/>
    </row>
    <row r="241" spans="1:11" hidden="1" x14ac:dyDescent="0.25">
      <c r="B241" s="54" t="s">
        <v>54</v>
      </c>
      <c r="C241" s="49" t="s">
        <v>220</v>
      </c>
      <c r="D241" s="39"/>
      <c r="E241" s="45"/>
      <c r="I241" s="41"/>
    </row>
    <row r="242" spans="1:11" hidden="1" x14ac:dyDescent="0.25">
      <c r="B242" s="50" t="s">
        <v>88</v>
      </c>
      <c r="C242" s="55" t="s">
        <v>294</v>
      </c>
      <c r="D242" s="44"/>
      <c r="E242" s="45"/>
      <c r="I242" s="41"/>
    </row>
    <row r="243" spans="1:11" hidden="1" x14ac:dyDescent="0.25">
      <c r="A243" s="40" t="s">
        <v>176</v>
      </c>
      <c r="B243" s="54" t="s">
        <v>29</v>
      </c>
      <c r="C243" s="54" t="s">
        <v>282</v>
      </c>
      <c r="D243" s="41"/>
      <c r="E243" s="45"/>
      <c r="I243" s="41"/>
    </row>
    <row r="244" spans="1:11" hidden="1" x14ac:dyDescent="0.25">
      <c r="B244" s="54" t="s">
        <v>32</v>
      </c>
      <c r="C244" s="49" t="s">
        <v>288</v>
      </c>
      <c r="D244" s="39"/>
      <c r="E244" s="45"/>
      <c r="I244" s="41"/>
    </row>
    <row r="245" spans="1:11" hidden="1" x14ac:dyDescent="0.25">
      <c r="B245" s="54" t="s">
        <v>31</v>
      </c>
      <c r="C245" s="49" t="s">
        <v>283</v>
      </c>
      <c r="D245" s="39"/>
      <c r="E245" s="45"/>
      <c r="I245" s="41"/>
    </row>
    <row r="246" spans="1:11" hidden="1" x14ac:dyDescent="0.25">
      <c r="B246" s="54" t="s">
        <v>34</v>
      </c>
      <c r="C246" s="49" t="s">
        <v>289</v>
      </c>
      <c r="D246" s="39"/>
      <c r="E246" s="46"/>
      <c r="I246" s="41"/>
    </row>
    <row r="247" spans="1:11" hidden="1" x14ac:dyDescent="0.25">
      <c r="B247" s="54" t="s">
        <v>28</v>
      </c>
      <c r="C247" s="49" t="s">
        <v>284</v>
      </c>
      <c r="D247" s="39"/>
      <c r="E247" s="47"/>
      <c r="I247" s="41"/>
    </row>
    <row r="248" spans="1:11" hidden="1" x14ac:dyDescent="0.25">
      <c r="B248" s="54" t="s">
        <v>35</v>
      </c>
      <c r="C248" s="49" t="s">
        <v>290</v>
      </c>
      <c r="D248" s="39"/>
      <c r="E248" s="46"/>
      <c r="I248" s="42"/>
    </row>
    <row r="249" spans="1:11" hidden="1" x14ac:dyDescent="0.25">
      <c r="B249" s="54" t="s">
        <v>36</v>
      </c>
      <c r="C249" s="49" t="s">
        <v>285</v>
      </c>
      <c r="D249" s="39"/>
      <c r="E249" s="47"/>
      <c r="I249" s="41"/>
      <c r="K249" s="39"/>
    </row>
    <row r="250" spans="1:11" hidden="1" x14ac:dyDescent="0.25">
      <c r="B250" s="54" t="s">
        <v>174</v>
      </c>
      <c r="C250" s="49" t="s">
        <v>291</v>
      </c>
      <c r="D250" s="39"/>
      <c r="E250" s="45"/>
      <c r="I250" s="39"/>
      <c r="K250" s="39"/>
    </row>
    <row r="251" spans="1:11" hidden="1" x14ac:dyDescent="0.25">
      <c r="B251" s="54" t="s">
        <v>30</v>
      </c>
      <c r="C251" s="49" t="s">
        <v>286</v>
      </c>
      <c r="D251" s="39"/>
      <c r="E251" s="47"/>
      <c r="I251" s="41"/>
    </row>
    <row r="252" spans="1:11" hidden="1" x14ac:dyDescent="0.25">
      <c r="B252" s="56" t="s">
        <v>145</v>
      </c>
      <c r="C252" s="52" t="s">
        <v>292</v>
      </c>
      <c r="D252" s="13"/>
      <c r="E252" s="48"/>
      <c r="I252" s="41"/>
    </row>
    <row r="253" spans="1:11" hidden="1" x14ac:dyDescent="0.25">
      <c r="B253" s="56" t="s">
        <v>144</v>
      </c>
      <c r="C253" s="52" t="s">
        <v>287</v>
      </c>
      <c r="D253" s="13"/>
      <c r="E253" s="47"/>
      <c r="I253" s="41"/>
    </row>
    <row r="254" spans="1:11" hidden="1" x14ac:dyDescent="0.25">
      <c r="B254" s="54" t="s">
        <v>33</v>
      </c>
      <c r="C254" s="49" t="s">
        <v>293</v>
      </c>
      <c r="D254" s="39"/>
      <c r="E254" s="48"/>
      <c r="I254" s="41"/>
    </row>
    <row r="255" spans="1:11" hidden="1" x14ac:dyDescent="0.25">
      <c r="B255" s="50" t="s">
        <v>88</v>
      </c>
      <c r="C255" s="55" t="s">
        <v>294</v>
      </c>
      <c r="D255" s="44"/>
      <c r="E255" s="47"/>
      <c r="I255" s="42"/>
    </row>
    <row r="256" spans="1:11" hidden="1" x14ac:dyDescent="0.25">
      <c r="A256" s="40" t="s">
        <v>175</v>
      </c>
      <c r="B256" s="54" t="s">
        <v>138</v>
      </c>
      <c r="C256" s="49" t="s">
        <v>268</v>
      </c>
      <c r="D256" s="39"/>
      <c r="E256" s="48"/>
      <c r="I256" s="41"/>
    </row>
    <row r="257" spans="2:9" hidden="1" x14ac:dyDescent="0.25">
      <c r="B257" s="54" t="s">
        <v>152</v>
      </c>
      <c r="C257" s="49" t="s">
        <v>213</v>
      </c>
      <c r="D257" s="39"/>
      <c r="E257" s="47"/>
      <c r="I257" s="41"/>
    </row>
    <row r="258" spans="2:9" hidden="1" x14ac:dyDescent="0.25">
      <c r="B258" s="54" t="s">
        <v>38</v>
      </c>
      <c r="C258" s="49" t="s">
        <v>269</v>
      </c>
      <c r="D258" s="39"/>
      <c r="E258" s="48"/>
      <c r="I258" s="41"/>
    </row>
    <row r="259" spans="2:9" hidden="1" x14ac:dyDescent="0.25">
      <c r="B259" s="54" t="s">
        <v>59</v>
      </c>
      <c r="C259" s="49" t="s">
        <v>221</v>
      </c>
      <c r="D259" s="39"/>
      <c r="E259" s="47"/>
      <c r="I259" s="41"/>
    </row>
    <row r="260" spans="2:9" hidden="1" x14ac:dyDescent="0.25">
      <c r="B260" s="54" t="s">
        <v>39</v>
      </c>
      <c r="C260" s="49" t="s">
        <v>270</v>
      </c>
      <c r="D260" s="39"/>
      <c r="E260" s="48"/>
      <c r="I260" s="41"/>
    </row>
    <row r="261" spans="2:9" hidden="1" x14ac:dyDescent="0.25">
      <c r="B261" s="54" t="s">
        <v>124</v>
      </c>
      <c r="C261" s="49" t="s">
        <v>214</v>
      </c>
      <c r="D261" s="39"/>
      <c r="E261" s="47"/>
      <c r="I261" s="41"/>
    </row>
    <row r="262" spans="2:9" hidden="1" x14ac:dyDescent="0.25">
      <c r="B262" s="54" t="s">
        <v>139</v>
      </c>
      <c r="C262" s="49" t="s">
        <v>271</v>
      </c>
      <c r="D262" s="39"/>
      <c r="E262" s="48"/>
      <c r="I262" s="41"/>
    </row>
    <row r="263" spans="2:9" hidden="1" x14ac:dyDescent="0.25">
      <c r="B263" s="54" t="s">
        <v>58</v>
      </c>
      <c r="C263" s="49" t="s">
        <v>222</v>
      </c>
      <c r="D263" s="39"/>
      <c r="E263" s="47"/>
    </row>
    <row r="264" spans="2:9" hidden="1" x14ac:dyDescent="0.25">
      <c r="B264" s="54" t="s">
        <v>40</v>
      </c>
      <c r="C264" s="49" t="s">
        <v>272</v>
      </c>
      <c r="D264" s="39"/>
      <c r="E264" s="48"/>
    </row>
    <row r="265" spans="2:9" hidden="1" x14ac:dyDescent="0.25">
      <c r="B265" s="54" t="s">
        <v>56</v>
      </c>
      <c r="C265" s="49" t="s">
        <v>215</v>
      </c>
      <c r="D265" s="39"/>
      <c r="E265" s="47"/>
      <c r="I265" s="41"/>
    </row>
    <row r="266" spans="2:9" hidden="1" x14ac:dyDescent="0.25">
      <c r="B266" s="54" t="s">
        <v>140</v>
      </c>
      <c r="C266" s="49" t="s">
        <v>273</v>
      </c>
      <c r="D266" s="39"/>
      <c r="E266" s="48"/>
      <c r="I266" s="41"/>
    </row>
    <row r="267" spans="2:9" hidden="1" x14ac:dyDescent="0.25">
      <c r="B267" s="54" t="s">
        <v>154</v>
      </c>
      <c r="C267" s="49" t="s">
        <v>223</v>
      </c>
      <c r="D267" s="39"/>
      <c r="E267" s="47"/>
      <c r="I267" s="41"/>
    </row>
    <row r="268" spans="2:9" hidden="1" x14ac:dyDescent="0.25">
      <c r="B268" s="54" t="s">
        <v>141</v>
      </c>
      <c r="C268" s="49" t="s">
        <v>274</v>
      </c>
      <c r="D268" s="39"/>
      <c r="E268" s="48"/>
      <c r="I268" s="41"/>
    </row>
    <row r="269" spans="2:9" hidden="1" x14ac:dyDescent="0.25">
      <c r="B269" s="54" t="s">
        <v>55</v>
      </c>
      <c r="C269" s="49" t="s">
        <v>216</v>
      </c>
      <c r="D269" s="39"/>
      <c r="E269" s="47"/>
      <c r="I269" s="41"/>
    </row>
    <row r="270" spans="2:9" hidden="1" x14ac:dyDescent="0.25">
      <c r="B270" s="54" t="s">
        <v>155</v>
      </c>
      <c r="C270" s="49" t="s">
        <v>224</v>
      </c>
      <c r="D270" s="39"/>
      <c r="E270" s="48"/>
      <c r="I270" s="41"/>
    </row>
    <row r="271" spans="2:9" hidden="1" x14ac:dyDescent="0.25">
      <c r="B271" s="54" t="s">
        <v>153</v>
      </c>
      <c r="C271" s="49" t="s">
        <v>217</v>
      </c>
      <c r="D271" s="39"/>
      <c r="E271" s="47"/>
      <c r="I271" s="41"/>
    </row>
    <row r="272" spans="2:9" hidden="1" x14ac:dyDescent="0.25">
      <c r="B272" s="54" t="s">
        <v>60</v>
      </c>
      <c r="C272" s="49" t="s">
        <v>225</v>
      </c>
      <c r="D272" s="39"/>
      <c r="E272" s="48"/>
      <c r="I272" s="41"/>
    </row>
    <row r="273" spans="1:11" hidden="1" x14ac:dyDescent="0.25">
      <c r="B273" s="54" t="s">
        <v>53</v>
      </c>
      <c r="C273" s="49" t="s">
        <v>218</v>
      </c>
      <c r="D273" s="39"/>
      <c r="E273" s="47"/>
      <c r="I273" s="41"/>
    </row>
    <row r="274" spans="1:11" hidden="1" x14ac:dyDescent="0.25">
      <c r="B274" s="54" t="s">
        <v>125</v>
      </c>
      <c r="C274" s="49" t="s">
        <v>219</v>
      </c>
      <c r="D274" s="39"/>
      <c r="E274" s="48"/>
      <c r="I274" s="41"/>
    </row>
    <row r="275" spans="1:11" hidden="1" x14ac:dyDescent="0.25">
      <c r="B275" s="54" t="s">
        <v>54</v>
      </c>
      <c r="C275" s="49" t="s">
        <v>220</v>
      </c>
      <c r="D275" s="39"/>
      <c r="E275" s="47"/>
      <c r="I275" s="41"/>
    </row>
    <row r="276" spans="1:11" hidden="1" x14ac:dyDescent="0.25">
      <c r="B276" s="54"/>
      <c r="C276" s="49"/>
      <c r="D276" s="39"/>
      <c r="E276" s="47"/>
      <c r="I276" s="41"/>
    </row>
    <row r="277" spans="1:11" hidden="1" x14ac:dyDescent="0.25">
      <c r="B277" s="50" t="s">
        <v>88</v>
      </c>
      <c r="C277" s="55" t="s">
        <v>294</v>
      </c>
      <c r="D277" s="44"/>
      <c r="E277" s="48"/>
      <c r="I277" s="41"/>
    </row>
    <row r="278" spans="1:11" hidden="1" x14ac:dyDescent="0.25">
      <c r="A278" s="40" t="s">
        <v>177</v>
      </c>
      <c r="B278" s="54" t="s">
        <v>51</v>
      </c>
      <c r="C278" s="49" t="s">
        <v>200</v>
      </c>
      <c r="D278" s="39"/>
      <c r="E278" s="47"/>
      <c r="I278" s="39"/>
    </row>
    <row r="279" spans="1:11" hidden="1" x14ac:dyDescent="0.25">
      <c r="B279" s="54" t="s">
        <v>46</v>
      </c>
      <c r="C279" s="49" t="s">
        <v>204</v>
      </c>
      <c r="D279" s="39"/>
      <c r="E279" s="48"/>
      <c r="I279" s="41"/>
    </row>
    <row r="280" spans="1:11" hidden="1" x14ac:dyDescent="0.25">
      <c r="B280" s="54" t="s">
        <v>118</v>
      </c>
      <c r="C280" s="49" t="s">
        <v>201</v>
      </c>
      <c r="D280" s="39"/>
      <c r="E280" s="47"/>
      <c r="I280" s="41"/>
    </row>
    <row r="281" spans="1:11" hidden="1" x14ac:dyDescent="0.25">
      <c r="B281" s="54" t="s">
        <v>47</v>
      </c>
      <c r="C281" s="49" t="s">
        <v>205</v>
      </c>
      <c r="D281" s="39"/>
      <c r="E281" s="45"/>
      <c r="I281" s="41"/>
    </row>
    <row r="282" spans="1:11" hidden="1" x14ac:dyDescent="0.25">
      <c r="B282" s="54" t="s">
        <v>150</v>
      </c>
      <c r="C282" s="49" t="s">
        <v>202</v>
      </c>
      <c r="D282" s="39"/>
      <c r="E282" s="45"/>
      <c r="I282" s="41"/>
    </row>
    <row r="283" spans="1:11" hidden="1" x14ac:dyDescent="0.25">
      <c r="B283" s="54" t="s">
        <v>49</v>
      </c>
      <c r="C283" s="49" t="s">
        <v>206</v>
      </c>
      <c r="D283" s="39"/>
      <c r="E283" s="47"/>
      <c r="I283" s="39"/>
      <c r="K283" s="39"/>
    </row>
    <row r="284" spans="1:11" hidden="1" x14ac:dyDescent="0.25">
      <c r="B284" s="54" t="s">
        <v>50</v>
      </c>
      <c r="C284" s="49" t="s">
        <v>203</v>
      </c>
      <c r="D284" s="39"/>
      <c r="E284" s="47"/>
      <c r="I284" s="41"/>
      <c r="K284" s="39"/>
    </row>
    <row r="285" spans="1:11" hidden="1" x14ac:dyDescent="0.25">
      <c r="B285" s="54" t="s">
        <v>48</v>
      </c>
      <c r="C285" s="49" t="s">
        <v>207</v>
      </c>
      <c r="D285" s="39"/>
      <c r="E285" s="47"/>
      <c r="I285" s="41"/>
    </row>
    <row r="286" spans="1:11" hidden="1" x14ac:dyDescent="0.25">
      <c r="B286" s="54" t="s">
        <v>119</v>
      </c>
      <c r="C286" s="49" t="s">
        <v>208</v>
      </c>
      <c r="D286" s="39"/>
      <c r="E286" s="47"/>
      <c r="I286" s="41"/>
    </row>
    <row r="287" spans="1:11" hidden="1" x14ac:dyDescent="0.25"/>
    <row r="288" spans="1:11" hidden="1" x14ac:dyDescent="0.25">
      <c r="B288" t="s">
        <v>295</v>
      </c>
      <c r="C288" t="s">
        <v>296</v>
      </c>
      <c r="D288" t="s">
        <v>333</v>
      </c>
      <c r="E288" t="s">
        <v>335</v>
      </c>
    </row>
    <row r="289" spans="2:5" hidden="1" x14ac:dyDescent="0.25">
      <c r="B289" t="s">
        <v>77</v>
      </c>
      <c r="C289" s="39" t="s">
        <v>77</v>
      </c>
      <c r="D289" s="39" t="s">
        <v>312</v>
      </c>
      <c r="E289" s="39" t="str">
        <f>CONCATENATE(Table_Name[[#This Row],[Table name]],"[Link]")</f>
        <v>Abs[Link]</v>
      </c>
    </row>
    <row r="290" spans="2:5" hidden="1" x14ac:dyDescent="0.25">
      <c r="B290" t="s">
        <v>19</v>
      </c>
      <c r="C290" s="39" t="s">
        <v>19</v>
      </c>
      <c r="D290" s="39" t="s">
        <v>313</v>
      </c>
      <c r="E290" s="39" t="str">
        <f>CONCATENATE(Table_Name[[#This Row],[Table name]],"[Link]")</f>
        <v>Calves[Link]</v>
      </c>
    </row>
    <row r="291" spans="2:5" hidden="1" x14ac:dyDescent="0.25">
      <c r="B291" t="s">
        <v>18</v>
      </c>
      <c r="C291" s="39" t="s">
        <v>18</v>
      </c>
      <c r="D291" s="39" t="s">
        <v>314</v>
      </c>
      <c r="E291" s="39" t="str">
        <f>CONCATENATE(Table_Name[[#This Row],[Table name]],"[Link]")</f>
        <v>Biceps[Link]</v>
      </c>
    </row>
    <row r="292" spans="2:5" hidden="1" x14ac:dyDescent="0.25">
      <c r="B292" t="s">
        <v>117</v>
      </c>
      <c r="C292" s="39" t="s">
        <v>297</v>
      </c>
      <c r="D292" s="39" t="s">
        <v>315</v>
      </c>
      <c r="E292" s="39" t="str">
        <f>CONCATENATE(Table_Name[[#This Row],[Table name]],"[Link]")</f>
        <v>Rear_Delts[Link]</v>
      </c>
    </row>
    <row r="293" spans="2:5" hidden="1" x14ac:dyDescent="0.25">
      <c r="B293" t="s">
        <v>105</v>
      </c>
      <c r="C293" s="39" t="s">
        <v>298</v>
      </c>
      <c r="D293" s="39" t="s">
        <v>316</v>
      </c>
      <c r="E293" s="39" t="str">
        <f>CONCATENATE(Table_Name[[#This Row],[Table name]],"[Link]")</f>
        <v>Side_Delts[Link]</v>
      </c>
    </row>
    <row r="294" spans="2:5" hidden="1" x14ac:dyDescent="0.25">
      <c r="B294" t="s">
        <v>120</v>
      </c>
      <c r="C294" s="39" t="s">
        <v>120</v>
      </c>
      <c r="D294" s="39" t="s">
        <v>317</v>
      </c>
      <c r="E294" s="39" t="str">
        <f>CONCATENATE(Table_Name[[#This Row],[Table name]],"[Link]")</f>
        <v>Traps[Link]</v>
      </c>
    </row>
    <row r="295" spans="2:5" hidden="1" x14ac:dyDescent="0.25">
      <c r="B295" t="s">
        <v>52</v>
      </c>
      <c r="C295" s="39" t="s">
        <v>299</v>
      </c>
      <c r="D295" s="39" t="s">
        <v>318</v>
      </c>
      <c r="E295" s="39" t="str">
        <f>CONCATENATE(Table_Name[[#This Row],[Table name]],"[Link]")</f>
        <v>Horizontal_Triceps[Link]</v>
      </c>
    </row>
    <row r="296" spans="2:5" hidden="1" x14ac:dyDescent="0.25">
      <c r="B296" t="s">
        <v>57</v>
      </c>
      <c r="C296" s="39" t="s">
        <v>300</v>
      </c>
      <c r="D296" s="39" t="s">
        <v>319</v>
      </c>
      <c r="E296" s="39" t="str">
        <f>CONCATENATE(Table_Name[[#This Row],[Table name]],"[Link]")</f>
        <v>Vertical_Triceps[Link]</v>
      </c>
    </row>
    <row r="297" spans="2:5" hidden="1" x14ac:dyDescent="0.25">
      <c r="B297" t="s">
        <v>341</v>
      </c>
      <c r="C297" s="39" t="s">
        <v>301</v>
      </c>
      <c r="D297" s="39" t="s">
        <v>334</v>
      </c>
      <c r="E297" s="39" t="str">
        <f>CONCATENATE(Table_Name[[#This Row],[Table name]],"[Link]")</f>
        <v>Horizonal_Back[Link]</v>
      </c>
    </row>
    <row r="298" spans="2:5" hidden="1" x14ac:dyDescent="0.25">
      <c r="B298" t="s">
        <v>342</v>
      </c>
      <c r="C298" s="39" t="s">
        <v>302</v>
      </c>
      <c r="D298" s="39" t="s">
        <v>320</v>
      </c>
      <c r="E298" s="39" t="str">
        <f>CONCATENATE(Table_Name[[#This Row],[Table name]],"[Link]")</f>
        <v>Vertical_Back[Link]</v>
      </c>
    </row>
    <row r="299" spans="2:5" hidden="1" x14ac:dyDescent="0.25">
      <c r="B299" t="s">
        <v>20</v>
      </c>
      <c r="C299" s="39" t="s">
        <v>20</v>
      </c>
      <c r="D299" s="39" t="s">
        <v>321</v>
      </c>
      <c r="E299" s="39" t="str">
        <f>CONCATENATE(Table_Name[[#This Row],[Table name]],"[Link]")</f>
        <v>Quads[Link]</v>
      </c>
    </row>
    <row r="300" spans="2:5" hidden="1" x14ac:dyDescent="0.25">
      <c r="B300" t="s">
        <v>108</v>
      </c>
      <c r="C300" s="39" t="s">
        <v>108</v>
      </c>
      <c r="D300" s="39" t="s">
        <v>322</v>
      </c>
      <c r="E300" s="39" t="str">
        <f>CONCATENATE(Table_Name[[#This Row],[Table name]],"[Link]")</f>
        <v>Glutes[Link]</v>
      </c>
    </row>
    <row r="301" spans="2:5" hidden="1" x14ac:dyDescent="0.25">
      <c r="B301" t="s">
        <v>345</v>
      </c>
      <c r="C301" s="39" t="s">
        <v>303</v>
      </c>
      <c r="D301" s="39" t="s">
        <v>323</v>
      </c>
      <c r="E301" s="39" t="str">
        <f>CONCATENATE(Table_Name[[#This Row],[Table name]],"[Link]")</f>
        <v>Hamstrings_Hip_Hinge[Link]</v>
      </c>
    </row>
    <row r="302" spans="2:5" hidden="1" x14ac:dyDescent="0.25">
      <c r="B302" t="s">
        <v>344</v>
      </c>
      <c r="C302" s="39" t="s">
        <v>304</v>
      </c>
      <c r="D302" s="39" t="s">
        <v>324</v>
      </c>
      <c r="E302" s="39" t="str">
        <f>CONCATENATE(Table_Name[[#This Row],[Table name]],"[Link]")</f>
        <v>Hamstrings_Isolation[Link]</v>
      </c>
    </row>
    <row r="303" spans="2:5" hidden="1" x14ac:dyDescent="0.25">
      <c r="B303" t="s">
        <v>37</v>
      </c>
      <c r="C303" s="39" t="s">
        <v>305</v>
      </c>
      <c r="D303" s="39" t="s">
        <v>325</v>
      </c>
      <c r="E303" s="39" t="str">
        <f>CONCATENATE(Table_Name[[#This Row],[Table name]],"[Link]")</f>
        <v>Chest_Isolation[Link]</v>
      </c>
    </row>
    <row r="304" spans="2:5" hidden="1" x14ac:dyDescent="0.25">
      <c r="B304" t="s">
        <v>22</v>
      </c>
      <c r="C304" s="39" t="s">
        <v>306</v>
      </c>
      <c r="D304" s="39" t="s">
        <v>326</v>
      </c>
      <c r="E304" s="39" t="str">
        <f>CONCATENATE(Table_Name[[#This Row],[Table name]],"[Link]")</f>
        <v>Horizontal_Push[Link]</v>
      </c>
    </row>
    <row r="305" spans="2:5" hidden="1" x14ac:dyDescent="0.25">
      <c r="B305" t="s">
        <v>143</v>
      </c>
      <c r="C305" s="39" t="s">
        <v>307</v>
      </c>
      <c r="D305" s="39" t="s">
        <v>327</v>
      </c>
      <c r="E305" s="39" t="str">
        <f>CONCATENATE(Table_Name[[#This Row],[Table name]],"[Link]")</f>
        <v>Incline_Push[Link]</v>
      </c>
    </row>
    <row r="306" spans="2:5" hidden="1" x14ac:dyDescent="0.25">
      <c r="B306" t="s">
        <v>104</v>
      </c>
      <c r="C306" s="39" t="s">
        <v>308</v>
      </c>
      <c r="D306" s="39" t="s">
        <v>328</v>
      </c>
      <c r="E306" s="39" t="str">
        <f>CONCATENATE(Table_Name[[#This Row],[Table name]],"[Link]")</f>
        <v>Front_Delts[Link]</v>
      </c>
    </row>
    <row r="307" spans="2:5" hidden="1" x14ac:dyDescent="0.25">
      <c r="B307" t="s">
        <v>17</v>
      </c>
      <c r="C307" s="39" t="s">
        <v>17</v>
      </c>
      <c r="D307" s="39" t="s">
        <v>329</v>
      </c>
      <c r="E307" s="39" t="str">
        <f>CONCATENATE(Table_Name[[#This Row],[Table name]],"[Link]")</f>
        <v>Triceps[Link]</v>
      </c>
    </row>
    <row r="308" spans="2:5" hidden="1" x14ac:dyDescent="0.25">
      <c r="B308" t="s">
        <v>176</v>
      </c>
      <c r="C308" s="39" t="s">
        <v>309</v>
      </c>
      <c r="D308" s="39" t="s">
        <v>330</v>
      </c>
      <c r="E308" s="39" t="str">
        <f>CONCATENATE(Table_Name[[#This Row],[Table name]],"[Link]")</f>
        <v>Incline_Push_or_Front_Delts[Link]</v>
      </c>
    </row>
    <row r="309" spans="2:5" hidden="1" x14ac:dyDescent="0.25">
      <c r="B309" t="s">
        <v>175</v>
      </c>
      <c r="C309" s="39" t="s">
        <v>310</v>
      </c>
      <c r="D309" s="39" t="s">
        <v>331</v>
      </c>
      <c r="E309" s="39" t="str">
        <f>CONCATENATE(Table_Name[[#This Row],[Table name]],"[Link]")</f>
        <v>Chest_Isolation_or_Triceps[Link]</v>
      </c>
    </row>
    <row r="310" spans="2:5" hidden="1" x14ac:dyDescent="0.25">
      <c r="B310" t="s">
        <v>343</v>
      </c>
      <c r="C310" s="39" t="s">
        <v>311</v>
      </c>
      <c r="D310" s="39" t="s">
        <v>332</v>
      </c>
      <c r="E310" s="39" t="str">
        <f>CONCATENATE(Table_Name[[#This Row],[Table name]],"[Link]")</f>
        <v>Rear_or_Side_Delts[Link]</v>
      </c>
    </row>
    <row r="311" spans="2:5" hidden="1" x14ac:dyDescent="0.25"/>
    <row r="312" spans="2:5" hidden="1" x14ac:dyDescent="0.25">
      <c r="B312" s="9" t="s">
        <v>88</v>
      </c>
      <c r="C312" t="s">
        <v>294</v>
      </c>
      <c r="D312" s="9" t="s">
        <v>295</v>
      </c>
    </row>
    <row r="313" spans="2:5" hidden="1" x14ac:dyDescent="0.25">
      <c r="B313" s="39" t="s">
        <v>109</v>
      </c>
      <c r="C313" t="s">
        <v>178</v>
      </c>
      <c r="D313" t="s">
        <v>77</v>
      </c>
    </row>
    <row r="314" spans="2:5" hidden="1" x14ac:dyDescent="0.25">
      <c r="B314" s="39" t="s">
        <v>79</v>
      </c>
      <c r="C314" t="s">
        <v>179</v>
      </c>
      <c r="D314" t="s">
        <v>77</v>
      </c>
    </row>
    <row r="315" spans="2:5" hidden="1" x14ac:dyDescent="0.25">
      <c r="B315" s="39" t="s">
        <v>80</v>
      </c>
      <c r="C315" t="s">
        <v>180</v>
      </c>
      <c r="D315" t="s">
        <v>77</v>
      </c>
    </row>
    <row r="316" spans="2:5" hidden="1" x14ac:dyDescent="0.25">
      <c r="B316" s="39" t="s">
        <v>78</v>
      </c>
      <c r="C316" t="s">
        <v>181</v>
      </c>
      <c r="D316" t="s">
        <v>77</v>
      </c>
    </row>
    <row r="317" spans="2:5" hidden="1" x14ac:dyDescent="0.25">
      <c r="B317" s="41" t="s">
        <v>110</v>
      </c>
      <c r="C317" t="s">
        <v>182</v>
      </c>
      <c r="D317" t="s">
        <v>77</v>
      </c>
    </row>
    <row r="318" spans="2:5" hidden="1" x14ac:dyDescent="0.25">
      <c r="B318" s="39" t="s">
        <v>81</v>
      </c>
      <c r="C318" t="s">
        <v>183</v>
      </c>
      <c r="D318" t="s">
        <v>77</v>
      </c>
    </row>
    <row r="319" spans="2:5" hidden="1" x14ac:dyDescent="0.25">
      <c r="B319" s="39" t="s">
        <v>146</v>
      </c>
      <c r="C319" t="s">
        <v>184</v>
      </c>
      <c r="D319" t="s">
        <v>77</v>
      </c>
    </row>
    <row r="320" spans="2:5" hidden="1" x14ac:dyDescent="0.25">
      <c r="B320" s="39" t="s">
        <v>61</v>
      </c>
      <c r="C320" t="s">
        <v>189</v>
      </c>
      <c r="D320" t="s">
        <v>18</v>
      </c>
    </row>
    <row r="321" spans="2:4" hidden="1" x14ac:dyDescent="0.25">
      <c r="B321" s="39" t="s">
        <v>62</v>
      </c>
      <c r="C321" t="s">
        <v>190</v>
      </c>
      <c r="D321" t="s">
        <v>18</v>
      </c>
    </row>
    <row r="322" spans="2:4" hidden="1" x14ac:dyDescent="0.25">
      <c r="B322" s="39" t="s">
        <v>112</v>
      </c>
      <c r="C322" t="s">
        <v>191</v>
      </c>
      <c r="D322" t="s">
        <v>18</v>
      </c>
    </row>
    <row r="323" spans="2:4" hidden="1" x14ac:dyDescent="0.25">
      <c r="B323" s="39" t="s">
        <v>63</v>
      </c>
      <c r="C323" t="s">
        <v>192</v>
      </c>
      <c r="D323" t="s">
        <v>18</v>
      </c>
    </row>
    <row r="324" spans="2:4" hidden="1" x14ac:dyDescent="0.25">
      <c r="B324" s="39" t="s">
        <v>113</v>
      </c>
      <c r="C324" t="s">
        <v>193</v>
      </c>
      <c r="D324" t="s">
        <v>18</v>
      </c>
    </row>
    <row r="325" spans="2:4" hidden="1" x14ac:dyDescent="0.25">
      <c r="B325" s="39" t="s">
        <v>114</v>
      </c>
      <c r="C325" t="s">
        <v>194</v>
      </c>
      <c r="D325" t="s">
        <v>18</v>
      </c>
    </row>
    <row r="326" spans="2:4" hidden="1" x14ac:dyDescent="0.25">
      <c r="B326" s="39" t="s">
        <v>147</v>
      </c>
      <c r="C326" t="s">
        <v>195</v>
      </c>
      <c r="D326" t="s">
        <v>18</v>
      </c>
    </row>
    <row r="327" spans="2:4" hidden="1" x14ac:dyDescent="0.25">
      <c r="B327" s="39" t="s">
        <v>148</v>
      </c>
      <c r="C327" t="s">
        <v>196</v>
      </c>
      <c r="D327" t="s">
        <v>18</v>
      </c>
    </row>
    <row r="328" spans="2:4" hidden="1" x14ac:dyDescent="0.25">
      <c r="B328" s="41" t="s">
        <v>115</v>
      </c>
      <c r="C328" t="s">
        <v>197</v>
      </c>
      <c r="D328" t="s">
        <v>18</v>
      </c>
    </row>
    <row r="329" spans="2:4" hidden="1" x14ac:dyDescent="0.25">
      <c r="B329" s="39" t="s">
        <v>116</v>
      </c>
      <c r="C329" t="s">
        <v>198</v>
      </c>
      <c r="D329" t="s">
        <v>18</v>
      </c>
    </row>
    <row r="330" spans="2:4" hidden="1" x14ac:dyDescent="0.25">
      <c r="B330" s="39" t="s">
        <v>149</v>
      </c>
      <c r="C330" t="s">
        <v>199</v>
      </c>
      <c r="D330" t="s">
        <v>18</v>
      </c>
    </row>
    <row r="331" spans="2:4" hidden="1" x14ac:dyDescent="0.25">
      <c r="B331" s="39" t="s">
        <v>111</v>
      </c>
      <c r="C331" t="s">
        <v>185</v>
      </c>
      <c r="D331" t="s">
        <v>19</v>
      </c>
    </row>
    <row r="332" spans="2:4" hidden="1" x14ac:dyDescent="0.25">
      <c r="B332" s="39" t="s">
        <v>75</v>
      </c>
      <c r="C332" t="s">
        <v>186</v>
      </c>
      <c r="D332" t="s">
        <v>19</v>
      </c>
    </row>
    <row r="333" spans="2:4" hidden="1" x14ac:dyDescent="0.25">
      <c r="B333" s="39" t="s">
        <v>74</v>
      </c>
      <c r="C333" t="s">
        <v>187</v>
      </c>
      <c r="D333" t="s">
        <v>19</v>
      </c>
    </row>
    <row r="334" spans="2:4" hidden="1" x14ac:dyDescent="0.25">
      <c r="B334" s="39" t="s">
        <v>76</v>
      </c>
      <c r="C334" t="s">
        <v>188</v>
      </c>
      <c r="D334" t="s">
        <v>19</v>
      </c>
    </row>
    <row r="335" spans="2:4" hidden="1" x14ac:dyDescent="0.25">
      <c r="B335" s="39" t="s">
        <v>138</v>
      </c>
      <c r="C335" t="s">
        <v>268</v>
      </c>
      <c r="D335" t="s">
        <v>37</v>
      </c>
    </row>
    <row r="336" spans="2:4" hidden="1" x14ac:dyDescent="0.25">
      <c r="B336" s="39" t="s">
        <v>38</v>
      </c>
      <c r="C336" t="s">
        <v>269</v>
      </c>
      <c r="D336" t="s">
        <v>37</v>
      </c>
    </row>
    <row r="337" spans="2:4" hidden="1" x14ac:dyDescent="0.25">
      <c r="B337" s="39" t="s">
        <v>39</v>
      </c>
      <c r="C337" t="s">
        <v>270</v>
      </c>
      <c r="D337" t="s">
        <v>37</v>
      </c>
    </row>
    <row r="338" spans="2:4" hidden="1" x14ac:dyDescent="0.25">
      <c r="B338" s="39" t="s">
        <v>139</v>
      </c>
      <c r="C338" t="s">
        <v>271</v>
      </c>
      <c r="D338" t="s">
        <v>37</v>
      </c>
    </row>
    <row r="339" spans="2:4" hidden="1" x14ac:dyDescent="0.25">
      <c r="B339" s="39" t="s">
        <v>40</v>
      </c>
      <c r="C339" t="s">
        <v>272</v>
      </c>
      <c r="D339" t="s">
        <v>37</v>
      </c>
    </row>
    <row r="340" spans="2:4" hidden="1" x14ac:dyDescent="0.25">
      <c r="B340" s="39" t="s">
        <v>140</v>
      </c>
      <c r="C340" t="s">
        <v>273</v>
      </c>
      <c r="D340" t="s">
        <v>37</v>
      </c>
    </row>
    <row r="341" spans="2:4" hidden="1" x14ac:dyDescent="0.25">
      <c r="B341" s="39" t="s">
        <v>141</v>
      </c>
      <c r="C341" t="s">
        <v>274</v>
      </c>
      <c r="D341" t="s">
        <v>37</v>
      </c>
    </row>
    <row r="342" spans="2:4" hidden="1" x14ac:dyDescent="0.25">
      <c r="B342" s="39" t="s">
        <v>138</v>
      </c>
      <c r="C342" t="s">
        <v>268</v>
      </c>
      <c r="D342" t="s">
        <v>175</v>
      </c>
    </row>
    <row r="343" spans="2:4" hidden="1" x14ac:dyDescent="0.25">
      <c r="B343" s="39" t="s">
        <v>152</v>
      </c>
      <c r="C343" t="s">
        <v>213</v>
      </c>
      <c r="D343" t="s">
        <v>175</v>
      </c>
    </row>
    <row r="344" spans="2:4" hidden="1" x14ac:dyDescent="0.25">
      <c r="B344" s="39" t="s">
        <v>38</v>
      </c>
      <c r="C344" t="s">
        <v>269</v>
      </c>
      <c r="D344" t="s">
        <v>175</v>
      </c>
    </row>
    <row r="345" spans="2:4" hidden="1" x14ac:dyDescent="0.25">
      <c r="B345" s="39" t="s">
        <v>59</v>
      </c>
      <c r="C345" t="s">
        <v>221</v>
      </c>
      <c r="D345" t="s">
        <v>175</v>
      </c>
    </row>
    <row r="346" spans="2:4" hidden="1" x14ac:dyDescent="0.25">
      <c r="B346" s="39" t="s">
        <v>39</v>
      </c>
      <c r="C346" t="s">
        <v>270</v>
      </c>
      <c r="D346" t="s">
        <v>175</v>
      </c>
    </row>
    <row r="347" spans="2:4" hidden="1" x14ac:dyDescent="0.25">
      <c r="B347" s="39" t="s">
        <v>124</v>
      </c>
      <c r="C347" t="s">
        <v>214</v>
      </c>
      <c r="D347" t="s">
        <v>175</v>
      </c>
    </row>
    <row r="348" spans="2:4" hidden="1" x14ac:dyDescent="0.25">
      <c r="B348" s="39" t="s">
        <v>139</v>
      </c>
      <c r="C348" t="s">
        <v>271</v>
      </c>
      <c r="D348" t="s">
        <v>175</v>
      </c>
    </row>
    <row r="349" spans="2:4" hidden="1" x14ac:dyDescent="0.25">
      <c r="B349" s="39" t="s">
        <v>58</v>
      </c>
      <c r="C349" t="s">
        <v>222</v>
      </c>
      <c r="D349" t="s">
        <v>175</v>
      </c>
    </row>
    <row r="350" spans="2:4" hidden="1" x14ac:dyDescent="0.25">
      <c r="B350" s="39" t="s">
        <v>40</v>
      </c>
      <c r="C350" t="s">
        <v>272</v>
      </c>
      <c r="D350" t="s">
        <v>175</v>
      </c>
    </row>
    <row r="351" spans="2:4" hidden="1" x14ac:dyDescent="0.25">
      <c r="B351" s="39" t="s">
        <v>56</v>
      </c>
      <c r="C351" t="s">
        <v>215</v>
      </c>
      <c r="D351" t="s">
        <v>175</v>
      </c>
    </row>
    <row r="352" spans="2:4" hidden="1" x14ac:dyDescent="0.25">
      <c r="B352" s="39" t="s">
        <v>140</v>
      </c>
      <c r="C352" t="s">
        <v>273</v>
      </c>
      <c r="D352" t="s">
        <v>175</v>
      </c>
    </row>
    <row r="353" spans="2:4" hidden="1" x14ac:dyDescent="0.25">
      <c r="B353" s="39" t="s">
        <v>154</v>
      </c>
      <c r="C353" t="s">
        <v>223</v>
      </c>
      <c r="D353" t="s">
        <v>175</v>
      </c>
    </row>
    <row r="354" spans="2:4" hidden="1" x14ac:dyDescent="0.25">
      <c r="B354" s="39" t="s">
        <v>141</v>
      </c>
      <c r="C354" t="s">
        <v>274</v>
      </c>
      <c r="D354" t="s">
        <v>175</v>
      </c>
    </row>
    <row r="355" spans="2:4" hidden="1" x14ac:dyDescent="0.25">
      <c r="B355" s="39" t="s">
        <v>55</v>
      </c>
      <c r="C355" t="s">
        <v>216</v>
      </c>
      <c r="D355" t="s">
        <v>175</v>
      </c>
    </row>
    <row r="356" spans="2:4" hidden="1" x14ac:dyDescent="0.25">
      <c r="B356" s="39" t="s">
        <v>155</v>
      </c>
      <c r="C356" t="s">
        <v>224</v>
      </c>
      <c r="D356" t="s">
        <v>175</v>
      </c>
    </row>
    <row r="357" spans="2:4" hidden="1" x14ac:dyDescent="0.25">
      <c r="B357" s="39" t="s">
        <v>153</v>
      </c>
      <c r="C357" t="s">
        <v>217</v>
      </c>
      <c r="D357" t="s">
        <v>175</v>
      </c>
    </row>
    <row r="358" spans="2:4" hidden="1" x14ac:dyDescent="0.25">
      <c r="B358" s="39" t="s">
        <v>60</v>
      </c>
      <c r="C358" t="s">
        <v>225</v>
      </c>
      <c r="D358" t="s">
        <v>175</v>
      </c>
    </row>
    <row r="359" spans="2:4" hidden="1" x14ac:dyDescent="0.25">
      <c r="B359" s="39" t="s">
        <v>53</v>
      </c>
      <c r="C359" t="s">
        <v>218</v>
      </c>
      <c r="D359" t="s">
        <v>175</v>
      </c>
    </row>
    <row r="360" spans="2:4" hidden="1" x14ac:dyDescent="0.25">
      <c r="B360" s="39" t="s">
        <v>125</v>
      </c>
      <c r="C360" t="s">
        <v>219</v>
      </c>
      <c r="D360" t="s">
        <v>175</v>
      </c>
    </row>
    <row r="361" spans="2:4" hidden="1" x14ac:dyDescent="0.25">
      <c r="B361" s="39" t="s">
        <v>54</v>
      </c>
      <c r="C361" t="s">
        <v>220</v>
      </c>
      <c r="D361" t="s">
        <v>175</v>
      </c>
    </row>
    <row r="362" spans="2:4" hidden="1" x14ac:dyDescent="0.25">
      <c r="B362" s="39" t="s">
        <v>32</v>
      </c>
      <c r="C362" t="s">
        <v>288</v>
      </c>
      <c r="D362" t="s">
        <v>104</v>
      </c>
    </row>
    <row r="363" spans="2:4" hidden="1" x14ac:dyDescent="0.25">
      <c r="B363" s="39" t="s">
        <v>34</v>
      </c>
      <c r="C363" t="s">
        <v>289</v>
      </c>
      <c r="D363" t="s">
        <v>104</v>
      </c>
    </row>
    <row r="364" spans="2:4" hidden="1" x14ac:dyDescent="0.25">
      <c r="B364" s="39" t="s">
        <v>35</v>
      </c>
      <c r="C364" t="s">
        <v>290</v>
      </c>
      <c r="D364" t="s">
        <v>104</v>
      </c>
    </row>
    <row r="365" spans="2:4" hidden="1" x14ac:dyDescent="0.25">
      <c r="B365" s="39" t="s">
        <v>174</v>
      </c>
      <c r="C365" t="s">
        <v>291</v>
      </c>
      <c r="D365" t="s">
        <v>104</v>
      </c>
    </row>
    <row r="366" spans="2:4" hidden="1" x14ac:dyDescent="0.25">
      <c r="B366" s="13" t="s">
        <v>145</v>
      </c>
      <c r="C366" t="s">
        <v>292</v>
      </c>
      <c r="D366" t="s">
        <v>104</v>
      </c>
    </row>
    <row r="367" spans="2:4" hidden="1" x14ac:dyDescent="0.25">
      <c r="B367" s="39" t="s">
        <v>33</v>
      </c>
      <c r="C367" t="s">
        <v>293</v>
      </c>
      <c r="D367" t="s">
        <v>104</v>
      </c>
    </row>
    <row r="368" spans="2:4" hidden="1" x14ac:dyDescent="0.25">
      <c r="B368" s="39" t="s">
        <v>66</v>
      </c>
      <c r="C368" t="s">
        <v>253</v>
      </c>
      <c r="D368" t="s">
        <v>108</v>
      </c>
    </row>
    <row r="369" spans="2:4" hidden="1" x14ac:dyDescent="0.25">
      <c r="B369" s="39" t="s">
        <v>67</v>
      </c>
      <c r="C369" t="s">
        <v>254</v>
      </c>
      <c r="D369" t="s">
        <v>108</v>
      </c>
    </row>
    <row r="370" spans="2:4" hidden="1" x14ac:dyDescent="0.25">
      <c r="B370" s="39" t="s">
        <v>133</v>
      </c>
      <c r="C370" t="s">
        <v>255</v>
      </c>
      <c r="D370" t="s">
        <v>108</v>
      </c>
    </row>
    <row r="371" spans="2:4" hidden="1" x14ac:dyDescent="0.25">
      <c r="B371" s="39" t="s">
        <v>170</v>
      </c>
      <c r="C371" t="s">
        <v>256</v>
      </c>
      <c r="D371" t="s">
        <v>108</v>
      </c>
    </row>
    <row r="372" spans="2:4" hidden="1" x14ac:dyDescent="0.25">
      <c r="B372" s="39" t="s">
        <v>70</v>
      </c>
      <c r="C372" t="s">
        <v>257</v>
      </c>
      <c r="D372" t="s">
        <v>108</v>
      </c>
    </row>
    <row r="373" spans="2:4" hidden="1" x14ac:dyDescent="0.25">
      <c r="B373" s="39" t="s">
        <v>69</v>
      </c>
      <c r="C373" t="s">
        <v>258</v>
      </c>
      <c r="D373" t="s">
        <v>108</v>
      </c>
    </row>
    <row r="374" spans="2:4" hidden="1" x14ac:dyDescent="0.25">
      <c r="B374" s="39" t="s">
        <v>134</v>
      </c>
      <c r="C374" t="s">
        <v>259</v>
      </c>
      <c r="D374" t="s">
        <v>108</v>
      </c>
    </row>
    <row r="375" spans="2:4" hidden="1" x14ac:dyDescent="0.25">
      <c r="B375" s="39" t="s">
        <v>171</v>
      </c>
      <c r="C375" t="s">
        <v>260</v>
      </c>
      <c r="D375" t="s">
        <v>108</v>
      </c>
    </row>
    <row r="376" spans="2:4" hidden="1" x14ac:dyDescent="0.25">
      <c r="B376" s="39" t="s">
        <v>135</v>
      </c>
      <c r="C376" t="s">
        <v>261</v>
      </c>
      <c r="D376" t="s">
        <v>107</v>
      </c>
    </row>
    <row r="377" spans="2:4" hidden="1" x14ac:dyDescent="0.25">
      <c r="B377" s="39" t="s">
        <v>71</v>
      </c>
      <c r="C377" t="s">
        <v>262</v>
      </c>
      <c r="D377" t="s">
        <v>107</v>
      </c>
    </row>
    <row r="378" spans="2:4" hidden="1" x14ac:dyDescent="0.25">
      <c r="B378" s="39" t="s">
        <v>72</v>
      </c>
      <c r="C378" t="s">
        <v>263</v>
      </c>
      <c r="D378" t="s">
        <v>107</v>
      </c>
    </row>
    <row r="379" spans="2:4" hidden="1" x14ac:dyDescent="0.25">
      <c r="B379" s="39" t="s">
        <v>136</v>
      </c>
      <c r="C379" t="s">
        <v>264</v>
      </c>
      <c r="D379" t="s">
        <v>107</v>
      </c>
    </row>
    <row r="380" spans="2:4" hidden="1" x14ac:dyDescent="0.25">
      <c r="B380" s="39" t="s">
        <v>172</v>
      </c>
      <c r="C380" t="s">
        <v>265</v>
      </c>
      <c r="D380" t="s">
        <v>106</v>
      </c>
    </row>
    <row r="381" spans="2:4" hidden="1" x14ac:dyDescent="0.25">
      <c r="B381" s="39" t="s">
        <v>73</v>
      </c>
      <c r="C381" t="s">
        <v>266</v>
      </c>
      <c r="D381" t="s">
        <v>106</v>
      </c>
    </row>
    <row r="382" spans="2:4" hidden="1" x14ac:dyDescent="0.25">
      <c r="B382" s="39" t="s">
        <v>137</v>
      </c>
      <c r="C382" t="s">
        <v>267</v>
      </c>
      <c r="D382" t="s">
        <v>106</v>
      </c>
    </row>
    <row r="383" spans="2:4" hidden="1" x14ac:dyDescent="0.25">
      <c r="B383" s="39" t="s">
        <v>156</v>
      </c>
      <c r="C383" t="s">
        <v>226</v>
      </c>
      <c r="D383" t="s">
        <v>126</v>
      </c>
    </row>
    <row r="384" spans="2:4" hidden="1" x14ac:dyDescent="0.25">
      <c r="B384" s="39" t="s">
        <v>157</v>
      </c>
      <c r="C384" t="s">
        <v>227</v>
      </c>
      <c r="D384" t="s">
        <v>126</v>
      </c>
    </row>
    <row r="385" spans="2:4" hidden="1" x14ac:dyDescent="0.25">
      <c r="B385" s="39" t="s">
        <v>158</v>
      </c>
      <c r="C385" t="s">
        <v>228</v>
      </c>
      <c r="D385" t="s">
        <v>126</v>
      </c>
    </row>
    <row r="386" spans="2:4" hidden="1" x14ac:dyDescent="0.25">
      <c r="B386" s="39" t="s">
        <v>42</v>
      </c>
      <c r="C386" t="s">
        <v>229</v>
      </c>
      <c r="D386" t="s">
        <v>126</v>
      </c>
    </row>
    <row r="387" spans="2:4" hidden="1" x14ac:dyDescent="0.25">
      <c r="B387" s="39" t="s">
        <v>127</v>
      </c>
      <c r="C387" t="s">
        <v>230</v>
      </c>
      <c r="D387" t="s">
        <v>126</v>
      </c>
    </row>
    <row r="388" spans="2:4" hidden="1" x14ac:dyDescent="0.25">
      <c r="B388" s="39" t="s">
        <v>128</v>
      </c>
      <c r="C388" t="s">
        <v>231</v>
      </c>
      <c r="D388" t="s">
        <v>126</v>
      </c>
    </row>
    <row r="389" spans="2:4" hidden="1" x14ac:dyDescent="0.25">
      <c r="B389" s="39" t="s">
        <v>41</v>
      </c>
      <c r="C389" t="s">
        <v>232</v>
      </c>
      <c r="D389" t="s">
        <v>126</v>
      </c>
    </row>
    <row r="390" spans="2:4" hidden="1" x14ac:dyDescent="0.25">
      <c r="B390" s="39" t="s">
        <v>129</v>
      </c>
      <c r="C390" t="s">
        <v>233</v>
      </c>
      <c r="D390" t="s">
        <v>126</v>
      </c>
    </row>
    <row r="391" spans="2:4" hidden="1" x14ac:dyDescent="0.25">
      <c r="B391" s="39" t="s">
        <v>23</v>
      </c>
      <c r="C391" t="s">
        <v>275</v>
      </c>
      <c r="D391" t="s">
        <v>22</v>
      </c>
    </row>
    <row r="392" spans="2:4" hidden="1" x14ac:dyDescent="0.25">
      <c r="B392" s="39" t="s">
        <v>25</v>
      </c>
      <c r="C392" t="s">
        <v>276</v>
      </c>
      <c r="D392" t="s">
        <v>22</v>
      </c>
    </row>
    <row r="393" spans="2:4" hidden="1" x14ac:dyDescent="0.25">
      <c r="B393" s="39" t="s">
        <v>142</v>
      </c>
      <c r="C393" t="s">
        <v>277</v>
      </c>
      <c r="D393" t="s">
        <v>22</v>
      </c>
    </row>
    <row r="394" spans="2:4" hidden="1" x14ac:dyDescent="0.25">
      <c r="B394" s="39" t="s">
        <v>24</v>
      </c>
      <c r="C394" t="s">
        <v>278</v>
      </c>
      <c r="D394" t="s">
        <v>22</v>
      </c>
    </row>
    <row r="395" spans="2:4" hidden="1" x14ac:dyDescent="0.25">
      <c r="B395" s="13" t="s">
        <v>173</v>
      </c>
      <c r="C395" t="s">
        <v>279</v>
      </c>
      <c r="D395" t="s">
        <v>22</v>
      </c>
    </row>
    <row r="396" spans="2:4" hidden="1" x14ac:dyDescent="0.25">
      <c r="B396" s="39" t="s">
        <v>26</v>
      </c>
      <c r="C396" t="s">
        <v>280</v>
      </c>
      <c r="D396" t="s">
        <v>22</v>
      </c>
    </row>
    <row r="397" spans="2:4" hidden="1" x14ac:dyDescent="0.25">
      <c r="B397" s="39" t="s">
        <v>27</v>
      </c>
      <c r="C397" t="s">
        <v>281</v>
      </c>
      <c r="D397" t="s">
        <v>22</v>
      </c>
    </row>
    <row r="398" spans="2:4" hidden="1" x14ac:dyDescent="0.25">
      <c r="B398" s="39" t="s">
        <v>152</v>
      </c>
      <c r="C398" t="s">
        <v>213</v>
      </c>
      <c r="D398" t="s">
        <v>52</v>
      </c>
    </row>
    <row r="399" spans="2:4" hidden="1" x14ac:dyDescent="0.25">
      <c r="B399" s="39" t="s">
        <v>124</v>
      </c>
      <c r="C399" t="s">
        <v>214</v>
      </c>
      <c r="D399" t="s">
        <v>52</v>
      </c>
    </row>
    <row r="400" spans="2:4" hidden="1" x14ac:dyDescent="0.25">
      <c r="B400" s="39" t="s">
        <v>56</v>
      </c>
      <c r="C400" t="s">
        <v>215</v>
      </c>
      <c r="D400" t="s">
        <v>52</v>
      </c>
    </row>
    <row r="401" spans="2:4" hidden="1" x14ac:dyDescent="0.25">
      <c r="B401" s="39" t="s">
        <v>55</v>
      </c>
      <c r="C401" t="s">
        <v>216</v>
      </c>
      <c r="D401" t="s">
        <v>52</v>
      </c>
    </row>
    <row r="402" spans="2:4" hidden="1" x14ac:dyDescent="0.25">
      <c r="B402" s="39" t="s">
        <v>153</v>
      </c>
      <c r="C402" t="s">
        <v>217</v>
      </c>
      <c r="D402" t="s">
        <v>52</v>
      </c>
    </row>
    <row r="403" spans="2:4" hidden="1" x14ac:dyDescent="0.25">
      <c r="B403" s="39" t="s">
        <v>53</v>
      </c>
      <c r="C403" t="s">
        <v>218</v>
      </c>
      <c r="D403" t="s">
        <v>52</v>
      </c>
    </row>
    <row r="404" spans="2:4" hidden="1" x14ac:dyDescent="0.25">
      <c r="B404" s="39" t="s">
        <v>125</v>
      </c>
      <c r="C404" t="s">
        <v>219</v>
      </c>
      <c r="D404" t="s">
        <v>52</v>
      </c>
    </row>
    <row r="405" spans="2:4" hidden="1" x14ac:dyDescent="0.25">
      <c r="B405" s="39" t="s">
        <v>54</v>
      </c>
      <c r="C405" t="s">
        <v>220</v>
      </c>
      <c r="D405" t="s">
        <v>52</v>
      </c>
    </row>
    <row r="406" spans="2:4" hidden="1" x14ac:dyDescent="0.25">
      <c r="B406" s="41" t="s">
        <v>29</v>
      </c>
      <c r="C406" t="s">
        <v>282</v>
      </c>
      <c r="D406" t="s">
        <v>143</v>
      </c>
    </row>
    <row r="407" spans="2:4" hidden="1" x14ac:dyDescent="0.25">
      <c r="B407" s="39" t="s">
        <v>31</v>
      </c>
      <c r="C407" t="s">
        <v>283</v>
      </c>
      <c r="D407" t="s">
        <v>143</v>
      </c>
    </row>
    <row r="408" spans="2:4" hidden="1" x14ac:dyDescent="0.25">
      <c r="B408" s="39" t="s">
        <v>28</v>
      </c>
      <c r="C408" t="s">
        <v>284</v>
      </c>
      <c r="D408" t="s">
        <v>143</v>
      </c>
    </row>
    <row r="409" spans="2:4" hidden="1" x14ac:dyDescent="0.25">
      <c r="B409" s="39" t="s">
        <v>36</v>
      </c>
      <c r="C409" t="s">
        <v>285</v>
      </c>
      <c r="D409" t="s">
        <v>143</v>
      </c>
    </row>
    <row r="410" spans="2:4" hidden="1" x14ac:dyDescent="0.25">
      <c r="B410" s="39" t="s">
        <v>30</v>
      </c>
      <c r="C410" t="s">
        <v>286</v>
      </c>
      <c r="D410" t="s">
        <v>143</v>
      </c>
    </row>
    <row r="411" spans="2:4" hidden="1" x14ac:dyDescent="0.25">
      <c r="B411" s="13" t="s">
        <v>144</v>
      </c>
      <c r="C411" t="s">
        <v>287</v>
      </c>
      <c r="D411" t="s">
        <v>143</v>
      </c>
    </row>
    <row r="412" spans="2:4" hidden="1" x14ac:dyDescent="0.25">
      <c r="B412" s="41" t="s">
        <v>29</v>
      </c>
      <c r="C412" t="s">
        <v>282</v>
      </c>
      <c r="D412" t="s">
        <v>176</v>
      </c>
    </row>
    <row r="413" spans="2:4" hidden="1" x14ac:dyDescent="0.25">
      <c r="B413" s="39" t="s">
        <v>32</v>
      </c>
      <c r="C413" t="s">
        <v>288</v>
      </c>
      <c r="D413" t="s">
        <v>176</v>
      </c>
    </row>
    <row r="414" spans="2:4" hidden="1" x14ac:dyDescent="0.25">
      <c r="B414" s="39" t="s">
        <v>31</v>
      </c>
      <c r="C414" t="s">
        <v>283</v>
      </c>
      <c r="D414" t="s">
        <v>176</v>
      </c>
    </row>
    <row r="415" spans="2:4" hidden="1" x14ac:dyDescent="0.25">
      <c r="B415" s="39" t="s">
        <v>34</v>
      </c>
      <c r="C415" t="s">
        <v>289</v>
      </c>
      <c r="D415" t="s">
        <v>176</v>
      </c>
    </row>
    <row r="416" spans="2:4" hidden="1" x14ac:dyDescent="0.25">
      <c r="B416" s="39" t="s">
        <v>28</v>
      </c>
      <c r="C416" t="s">
        <v>284</v>
      </c>
      <c r="D416" t="s">
        <v>176</v>
      </c>
    </row>
    <row r="417" spans="2:4" hidden="1" x14ac:dyDescent="0.25">
      <c r="B417" s="39" t="s">
        <v>35</v>
      </c>
      <c r="C417" t="s">
        <v>290</v>
      </c>
      <c r="D417" t="s">
        <v>176</v>
      </c>
    </row>
    <row r="418" spans="2:4" hidden="1" x14ac:dyDescent="0.25">
      <c r="B418" s="39" t="s">
        <v>36</v>
      </c>
      <c r="C418" t="s">
        <v>285</v>
      </c>
      <c r="D418" t="s">
        <v>176</v>
      </c>
    </row>
    <row r="419" spans="2:4" hidden="1" x14ac:dyDescent="0.25">
      <c r="B419" s="39" t="s">
        <v>174</v>
      </c>
      <c r="C419" t="s">
        <v>291</v>
      </c>
      <c r="D419" t="s">
        <v>176</v>
      </c>
    </row>
    <row r="420" spans="2:4" hidden="1" x14ac:dyDescent="0.25">
      <c r="B420" s="39" t="s">
        <v>30</v>
      </c>
      <c r="C420" t="s">
        <v>286</v>
      </c>
      <c r="D420" t="s">
        <v>176</v>
      </c>
    </row>
    <row r="421" spans="2:4" hidden="1" x14ac:dyDescent="0.25">
      <c r="B421" s="13" t="s">
        <v>145</v>
      </c>
      <c r="C421" t="s">
        <v>292</v>
      </c>
      <c r="D421" t="s">
        <v>176</v>
      </c>
    </row>
    <row r="422" spans="2:4" hidden="1" x14ac:dyDescent="0.25">
      <c r="B422" s="13" t="s">
        <v>144</v>
      </c>
      <c r="C422" t="s">
        <v>287</v>
      </c>
      <c r="D422" t="s">
        <v>176</v>
      </c>
    </row>
    <row r="423" spans="2:4" hidden="1" x14ac:dyDescent="0.25">
      <c r="B423" s="39" t="s">
        <v>33</v>
      </c>
      <c r="C423" t="s">
        <v>293</v>
      </c>
      <c r="D423" t="s">
        <v>176</v>
      </c>
    </row>
    <row r="424" spans="2:4" hidden="1" x14ac:dyDescent="0.25">
      <c r="B424" s="39" t="s">
        <v>64</v>
      </c>
      <c r="C424" t="s">
        <v>246</v>
      </c>
      <c r="D424" t="s">
        <v>20</v>
      </c>
    </row>
    <row r="425" spans="2:4" hidden="1" x14ac:dyDescent="0.25">
      <c r="B425" s="39" t="s">
        <v>167</v>
      </c>
      <c r="C425" t="s">
        <v>247</v>
      </c>
      <c r="D425" t="s">
        <v>20</v>
      </c>
    </row>
    <row r="426" spans="2:4" hidden="1" x14ac:dyDescent="0.25">
      <c r="B426" s="39" t="s">
        <v>168</v>
      </c>
      <c r="C426" t="s">
        <v>248</v>
      </c>
      <c r="D426" t="s">
        <v>20</v>
      </c>
    </row>
    <row r="427" spans="2:4" hidden="1" x14ac:dyDescent="0.25">
      <c r="B427" s="39" t="s">
        <v>65</v>
      </c>
      <c r="C427" t="s">
        <v>249</v>
      </c>
      <c r="D427" t="s">
        <v>20</v>
      </c>
    </row>
    <row r="428" spans="2:4" hidden="1" x14ac:dyDescent="0.25">
      <c r="B428" s="39" t="s">
        <v>132</v>
      </c>
      <c r="C428" t="s">
        <v>250</v>
      </c>
      <c r="D428" t="s">
        <v>20</v>
      </c>
    </row>
    <row r="429" spans="2:4" hidden="1" x14ac:dyDescent="0.25">
      <c r="B429" s="39" t="s">
        <v>68</v>
      </c>
      <c r="C429" t="s">
        <v>251</v>
      </c>
      <c r="D429" t="s">
        <v>20</v>
      </c>
    </row>
    <row r="430" spans="2:4" hidden="1" x14ac:dyDescent="0.25">
      <c r="B430" s="39" t="s">
        <v>169</v>
      </c>
      <c r="C430" t="s">
        <v>252</v>
      </c>
      <c r="D430" t="s">
        <v>20</v>
      </c>
    </row>
    <row r="431" spans="2:4" hidden="1" x14ac:dyDescent="0.25">
      <c r="B431" s="39" t="s">
        <v>51</v>
      </c>
      <c r="C431" t="s">
        <v>200</v>
      </c>
      <c r="D431" t="s">
        <v>117</v>
      </c>
    </row>
    <row r="432" spans="2:4" hidden="1" x14ac:dyDescent="0.25">
      <c r="B432" s="39" t="s">
        <v>118</v>
      </c>
      <c r="C432" t="s">
        <v>201</v>
      </c>
      <c r="D432" t="s">
        <v>117</v>
      </c>
    </row>
    <row r="433" spans="2:4" hidden="1" x14ac:dyDescent="0.25">
      <c r="B433" s="39" t="s">
        <v>150</v>
      </c>
      <c r="C433" t="s">
        <v>202</v>
      </c>
      <c r="D433" t="s">
        <v>117</v>
      </c>
    </row>
    <row r="434" spans="2:4" hidden="1" x14ac:dyDescent="0.25">
      <c r="B434" s="39" t="s">
        <v>50</v>
      </c>
      <c r="C434" t="s">
        <v>203</v>
      </c>
      <c r="D434" t="s">
        <v>117</v>
      </c>
    </row>
    <row r="435" spans="2:4" hidden="1" x14ac:dyDescent="0.25">
      <c r="B435" s="39" t="s">
        <v>51</v>
      </c>
      <c r="C435" t="s">
        <v>200</v>
      </c>
      <c r="D435" t="s">
        <v>177</v>
      </c>
    </row>
    <row r="436" spans="2:4" hidden="1" x14ac:dyDescent="0.25">
      <c r="B436" s="39" t="s">
        <v>46</v>
      </c>
      <c r="C436" t="s">
        <v>204</v>
      </c>
      <c r="D436" t="s">
        <v>177</v>
      </c>
    </row>
    <row r="437" spans="2:4" hidden="1" x14ac:dyDescent="0.25">
      <c r="B437" s="39" t="s">
        <v>118</v>
      </c>
      <c r="C437" t="s">
        <v>201</v>
      </c>
      <c r="D437" t="s">
        <v>177</v>
      </c>
    </row>
    <row r="438" spans="2:4" hidden="1" x14ac:dyDescent="0.25">
      <c r="B438" s="39" t="s">
        <v>47</v>
      </c>
      <c r="C438" t="s">
        <v>205</v>
      </c>
      <c r="D438" t="s">
        <v>177</v>
      </c>
    </row>
    <row r="439" spans="2:4" hidden="1" x14ac:dyDescent="0.25">
      <c r="B439" s="39" t="s">
        <v>150</v>
      </c>
      <c r="C439" t="s">
        <v>202</v>
      </c>
      <c r="D439" t="s">
        <v>177</v>
      </c>
    </row>
    <row r="440" spans="2:4" hidden="1" x14ac:dyDescent="0.25">
      <c r="B440" s="39" t="s">
        <v>49</v>
      </c>
      <c r="C440" t="s">
        <v>206</v>
      </c>
      <c r="D440" t="s">
        <v>177</v>
      </c>
    </row>
    <row r="441" spans="2:4" hidden="1" x14ac:dyDescent="0.25">
      <c r="B441" s="39" t="s">
        <v>50</v>
      </c>
      <c r="C441" t="s">
        <v>203</v>
      </c>
      <c r="D441" t="s">
        <v>177</v>
      </c>
    </row>
    <row r="442" spans="2:4" hidden="1" x14ac:dyDescent="0.25">
      <c r="B442" s="39" t="s">
        <v>48</v>
      </c>
      <c r="C442" t="s">
        <v>207</v>
      </c>
      <c r="D442" t="s">
        <v>177</v>
      </c>
    </row>
    <row r="443" spans="2:4" hidden="1" x14ac:dyDescent="0.25">
      <c r="B443" s="39" t="s">
        <v>119</v>
      </c>
      <c r="C443" t="s">
        <v>208</v>
      </c>
      <c r="D443" t="s">
        <v>177</v>
      </c>
    </row>
    <row r="444" spans="2:4" hidden="1" x14ac:dyDescent="0.25">
      <c r="B444" s="39" t="s">
        <v>46</v>
      </c>
      <c r="C444" t="s">
        <v>204</v>
      </c>
      <c r="D444" s="40" t="s">
        <v>105</v>
      </c>
    </row>
    <row r="445" spans="2:4" hidden="1" x14ac:dyDescent="0.25">
      <c r="B445" s="39" t="s">
        <v>47</v>
      </c>
      <c r="C445" t="s">
        <v>205</v>
      </c>
      <c r="D445" s="40" t="s">
        <v>105</v>
      </c>
    </row>
    <row r="446" spans="2:4" hidden="1" x14ac:dyDescent="0.25">
      <c r="B446" s="39" t="s">
        <v>49</v>
      </c>
      <c r="C446" t="s">
        <v>206</v>
      </c>
      <c r="D446" s="40" t="s">
        <v>105</v>
      </c>
    </row>
    <row r="447" spans="2:4" hidden="1" x14ac:dyDescent="0.25">
      <c r="B447" s="39" t="s">
        <v>48</v>
      </c>
      <c r="C447" t="s">
        <v>207</v>
      </c>
      <c r="D447" s="40" t="s">
        <v>105</v>
      </c>
    </row>
    <row r="448" spans="2:4" hidden="1" x14ac:dyDescent="0.25">
      <c r="B448" s="39" t="s">
        <v>119</v>
      </c>
      <c r="C448" t="s">
        <v>208</v>
      </c>
      <c r="D448" s="40" t="s">
        <v>105</v>
      </c>
    </row>
    <row r="449" spans="2:4" hidden="1" x14ac:dyDescent="0.25">
      <c r="B449" s="39" t="s">
        <v>151</v>
      </c>
      <c r="C449" t="s">
        <v>209</v>
      </c>
      <c r="D449" t="s">
        <v>120</v>
      </c>
    </row>
    <row r="450" spans="2:4" hidden="1" x14ac:dyDescent="0.25">
      <c r="B450" s="39" t="s">
        <v>121</v>
      </c>
      <c r="C450" t="s">
        <v>210</v>
      </c>
      <c r="D450" t="s">
        <v>120</v>
      </c>
    </row>
    <row r="451" spans="2:4" hidden="1" x14ac:dyDescent="0.25">
      <c r="B451" s="39" t="s">
        <v>122</v>
      </c>
      <c r="C451" t="s">
        <v>211</v>
      </c>
      <c r="D451" t="s">
        <v>120</v>
      </c>
    </row>
    <row r="452" spans="2:4" hidden="1" x14ac:dyDescent="0.25">
      <c r="B452" s="39" t="s">
        <v>123</v>
      </c>
      <c r="C452" t="s">
        <v>212</v>
      </c>
      <c r="D452" t="s">
        <v>120</v>
      </c>
    </row>
    <row r="453" spans="2:4" hidden="1" x14ac:dyDescent="0.25">
      <c r="B453" s="39" t="s">
        <v>152</v>
      </c>
      <c r="C453" t="s">
        <v>213</v>
      </c>
      <c r="D453" t="s">
        <v>17</v>
      </c>
    </row>
    <row r="454" spans="2:4" hidden="1" x14ac:dyDescent="0.25">
      <c r="B454" s="39" t="s">
        <v>59</v>
      </c>
      <c r="C454" t="s">
        <v>221</v>
      </c>
      <c r="D454" t="s">
        <v>17</v>
      </c>
    </row>
    <row r="455" spans="2:4" hidden="1" x14ac:dyDescent="0.25">
      <c r="B455" s="39" t="s">
        <v>124</v>
      </c>
      <c r="C455" t="s">
        <v>214</v>
      </c>
      <c r="D455" t="s">
        <v>17</v>
      </c>
    </row>
    <row r="456" spans="2:4" hidden="1" x14ac:dyDescent="0.25">
      <c r="B456" s="39" t="s">
        <v>58</v>
      </c>
      <c r="C456" t="s">
        <v>222</v>
      </c>
      <c r="D456" t="s">
        <v>17</v>
      </c>
    </row>
    <row r="457" spans="2:4" hidden="1" x14ac:dyDescent="0.25">
      <c r="B457" s="39" t="s">
        <v>56</v>
      </c>
      <c r="C457" t="s">
        <v>215</v>
      </c>
      <c r="D457" t="s">
        <v>17</v>
      </c>
    </row>
    <row r="458" spans="2:4" hidden="1" x14ac:dyDescent="0.25">
      <c r="B458" s="39" t="s">
        <v>154</v>
      </c>
      <c r="C458" t="s">
        <v>223</v>
      </c>
      <c r="D458" t="s">
        <v>17</v>
      </c>
    </row>
    <row r="459" spans="2:4" hidden="1" x14ac:dyDescent="0.25">
      <c r="B459" s="39" t="s">
        <v>55</v>
      </c>
      <c r="C459" t="s">
        <v>216</v>
      </c>
      <c r="D459" t="s">
        <v>17</v>
      </c>
    </row>
    <row r="460" spans="2:4" hidden="1" x14ac:dyDescent="0.25">
      <c r="B460" s="39" t="s">
        <v>155</v>
      </c>
      <c r="C460" t="s">
        <v>224</v>
      </c>
      <c r="D460" t="s">
        <v>17</v>
      </c>
    </row>
    <row r="461" spans="2:4" hidden="1" x14ac:dyDescent="0.25">
      <c r="B461" s="39" t="s">
        <v>153</v>
      </c>
      <c r="C461" t="s">
        <v>217</v>
      </c>
      <c r="D461" t="s">
        <v>17</v>
      </c>
    </row>
    <row r="462" spans="2:4" hidden="1" x14ac:dyDescent="0.25">
      <c r="B462" s="39" t="s">
        <v>60</v>
      </c>
      <c r="C462" t="s">
        <v>225</v>
      </c>
      <c r="D462" t="s">
        <v>17</v>
      </c>
    </row>
    <row r="463" spans="2:4" hidden="1" x14ac:dyDescent="0.25">
      <c r="B463" s="39" t="s">
        <v>53</v>
      </c>
      <c r="C463" t="s">
        <v>218</v>
      </c>
      <c r="D463" t="s">
        <v>17</v>
      </c>
    </row>
    <row r="464" spans="2:4" hidden="1" x14ac:dyDescent="0.25">
      <c r="B464" s="39" t="s">
        <v>125</v>
      </c>
      <c r="C464" t="s">
        <v>219</v>
      </c>
      <c r="D464" t="s">
        <v>17</v>
      </c>
    </row>
    <row r="465" spans="2:4" hidden="1" x14ac:dyDescent="0.25">
      <c r="B465" s="39" t="s">
        <v>54</v>
      </c>
      <c r="C465" t="s">
        <v>220</v>
      </c>
      <c r="D465" t="s">
        <v>17</v>
      </c>
    </row>
    <row r="466" spans="2:4" hidden="1" x14ac:dyDescent="0.25">
      <c r="B466" s="39" t="s">
        <v>131</v>
      </c>
      <c r="C466" t="s">
        <v>234</v>
      </c>
      <c r="D466" t="s">
        <v>130</v>
      </c>
    </row>
    <row r="467" spans="2:4" hidden="1" x14ac:dyDescent="0.25">
      <c r="B467" s="39" t="s">
        <v>159</v>
      </c>
      <c r="C467" t="s">
        <v>235</v>
      </c>
      <c r="D467" t="s">
        <v>130</v>
      </c>
    </row>
    <row r="468" spans="2:4" hidden="1" x14ac:dyDescent="0.25">
      <c r="B468" s="39" t="s">
        <v>160</v>
      </c>
      <c r="C468" t="s">
        <v>236</v>
      </c>
      <c r="D468" t="s">
        <v>130</v>
      </c>
    </row>
    <row r="469" spans="2:4" hidden="1" x14ac:dyDescent="0.25">
      <c r="B469" s="39" t="s">
        <v>161</v>
      </c>
      <c r="C469" t="s">
        <v>237</v>
      </c>
      <c r="D469" t="s">
        <v>130</v>
      </c>
    </row>
    <row r="470" spans="2:4" hidden="1" x14ac:dyDescent="0.25">
      <c r="B470" s="39" t="s">
        <v>162</v>
      </c>
      <c r="C470" t="s">
        <v>238</v>
      </c>
      <c r="D470" t="s">
        <v>130</v>
      </c>
    </row>
    <row r="471" spans="2:4" hidden="1" x14ac:dyDescent="0.25">
      <c r="B471" s="41" t="s">
        <v>163</v>
      </c>
      <c r="C471" t="s">
        <v>239</v>
      </c>
      <c r="D471" t="s">
        <v>130</v>
      </c>
    </row>
    <row r="472" spans="2:4" hidden="1" x14ac:dyDescent="0.25">
      <c r="B472" s="41" t="s">
        <v>164</v>
      </c>
      <c r="C472" t="s">
        <v>240</v>
      </c>
      <c r="D472" t="s">
        <v>130</v>
      </c>
    </row>
    <row r="473" spans="2:4" hidden="1" x14ac:dyDescent="0.25">
      <c r="B473" s="39" t="s">
        <v>43</v>
      </c>
      <c r="C473" t="s">
        <v>241</v>
      </c>
      <c r="D473" t="s">
        <v>130</v>
      </c>
    </row>
    <row r="474" spans="2:4" hidden="1" x14ac:dyDescent="0.25">
      <c r="B474" s="41" t="s">
        <v>165</v>
      </c>
      <c r="C474" t="s">
        <v>242</v>
      </c>
      <c r="D474" t="s">
        <v>130</v>
      </c>
    </row>
    <row r="475" spans="2:4" hidden="1" x14ac:dyDescent="0.25">
      <c r="B475" s="41" t="s">
        <v>166</v>
      </c>
      <c r="C475" t="s">
        <v>243</v>
      </c>
      <c r="D475" t="s">
        <v>130</v>
      </c>
    </row>
    <row r="476" spans="2:4" hidden="1" x14ac:dyDescent="0.25">
      <c r="B476" s="39" t="s">
        <v>44</v>
      </c>
      <c r="C476" t="s">
        <v>244</v>
      </c>
      <c r="D476" t="s">
        <v>130</v>
      </c>
    </row>
    <row r="477" spans="2:4" hidden="1" x14ac:dyDescent="0.25">
      <c r="B477" s="41" t="s">
        <v>45</v>
      </c>
      <c r="C477" t="s">
        <v>245</v>
      </c>
      <c r="D477" t="s">
        <v>130</v>
      </c>
    </row>
    <row r="478" spans="2:4" hidden="1" x14ac:dyDescent="0.25">
      <c r="B478" s="39" t="s">
        <v>59</v>
      </c>
      <c r="C478" t="s">
        <v>221</v>
      </c>
      <c r="D478" t="s">
        <v>57</v>
      </c>
    </row>
    <row r="479" spans="2:4" hidden="1" x14ac:dyDescent="0.25">
      <c r="B479" s="39" t="s">
        <v>58</v>
      </c>
      <c r="C479" t="s">
        <v>222</v>
      </c>
      <c r="D479" t="s">
        <v>57</v>
      </c>
    </row>
    <row r="480" spans="2:4" hidden="1" x14ac:dyDescent="0.25">
      <c r="B480" s="39" t="s">
        <v>154</v>
      </c>
      <c r="C480" t="s">
        <v>223</v>
      </c>
      <c r="D480" t="s">
        <v>57</v>
      </c>
    </row>
    <row r="481" spans="2:4" hidden="1" x14ac:dyDescent="0.25">
      <c r="B481" s="39" t="s">
        <v>155</v>
      </c>
      <c r="C481" t="s">
        <v>224</v>
      </c>
      <c r="D481" t="s">
        <v>57</v>
      </c>
    </row>
    <row r="482" spans="2:4" hidden="1" x14ac:dyDescent="0.25">
      <c r="B482" s="39" t="s">
        <v>60</v>
      </c>
      <c r="C482" t="s">
        <v>225</v>
      </c>
      <c r="D482" t="s">
        <v>57</v>
      </c>
    </row>
  </sheetData>
  <mergeCells count="20">
    <mergeCell ref="AF18:AI18"/>
    <mergeCell ref="AF28:AI28"/>
    <mergeCell ref="AF38:AI38"/>
    <mergeCell ref="T18:Y18"/>
    <mergeCell ref="T28:Y28"/>
    <mergeCell ref="T38:Y38"/>
    <mergeCell ref="Z18:AE18"/>
    <mergeCell ref="Z28:AE28"/>
    <mergeCell ref="Z38:AE38"/>
    <mergeCell ref="H18:M18"/>
    <mergeCell ref="H28:M28"/>
    <mergeCell ref="H38:M38"/>
    <mergeCell ref="N18:S18"/>
    <mergeCell ref="N28:S28"/>
    <mergeCell ref="N38:S38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C11:C17 C21:C27 C31:C37 C41:C47">
      <formula1>INDIRECT(D11)</formula1>
    </dataValidation>
    <dataValidation type="list" allowBlank="1" showInputMessage="1" showErrorMessage="1" sqref="Y31:Y35 Y41:Y46 T41:T47 T21:T27 T31:T37 T11:T17 AE11:AE15 S31:S35 M31:M35 S11:S15 AE21:AE25 S21:S25 Y11:Y15 M41:M46 S41:S46 Y21:Y25">
      <formula1>$C$68:$C$70</formula1>
    </dataValidation>
  </dataValidations>
  <hyperlinks>
    <hyperlink ref="B212" r:id="rId1"/>
    <hyperlink ref="B161" r:id="rId2"/>
    <hyperlink ref="B159" r:id="rId3"/>
    <hyperlink ref="B158" r:id="rId4"/>
    <hyperlink ref="B155" r:id="rId5"/>
    <hyperlink ref="B156" r:id="rId6"/>
    <hyperlink ref="B99" r:id="rId7"/>
    <hyperlink ref="B80" r:id="rId8"/>
    <hyperlink ref="B79" r:id="rId9"/>
    <hyperlink ref="B77" r:id="rId10"/>
    <hyperlink ref="B78" r:id="rId11"/>
    <hyperlink ref="B81" r:id="rId12"/>
    <hyperlink ref="B82" r:id="rId13"/>
    <hyperlink ref="B76" r:id="rId14"/>
    <hyperlink ref="B87" r:id="rId15"/>
    <hyperlink ref="B85" r:id="rId16"/>
    <hyperlink ref="B86" r:id="rId17"/>
    <hyperlink ref="B88" r:id="rId18"/>
    <hyperlink ref="B91" r:id="rId19"/>
    <hyperlink ref="B92" r:id="rId20"/>
    <hyperlink ref="B94" r:id="rId21"/>
    <hyperlink ref="B93" r:id="rId22"/>
    <hyperlink ref="B95" r:id="rId23"/>
    <hyperlink ref="B96" r:id="rId24"/>
    <hyperlink ref="B97" r:id="rId25"/>
    <hyperlink ref="B98" r:id="rId26"/>
    <hyperlink ref="B101" r:id="rId27"/>
    <hyperlink ref="B100" r:id="rId28"/>
    <hyperlink ref="B110" r:id="rId29"/>
    <hyperlink ref="B113" r:id="rId30"/>
    <hyperlink ref="B114" r:id="rId31"/>
    <hyperlink ref="B112" r:id="rId32"/>
    <hyperlink ref="B111" r:id="rId33"/>
    <hyperlink ref="B106" r:id="rId34"/>
    <hyperlink ref="B107" r:id="rId35"/>
    <hyperlink ref="B105" r:id="rId36"/>
    <hyperlink ref="B104" r:id="rId37"/>
    <hyperlink ref="B141" r:id="rId38"/>
    <hyperlink ref="B140" r:id="rId39"/>
    <hyperlink ref="B143" r:id="rId40"/>
    <hyperlink ref="B146" r:id="rId41"/>
    <hyperlink ref="B153" r:id="rId42"/>
    <hyperlink ref="B150" r:id="rId43"/>
    <hyperlink ref="B151" r:id="rId44"/>
    <hyperlink ref="B152" r:id="rId45"/>
    <hyperlink ref="B160" r:id="rId46"/>
    <hyperlink ref="B154" r:id="rId47"/>
    <hyperlink ref="B157" r:id="rId48"/>
    <hyperlink ref="B144" r:id="rId49"/>
    <hyperlink ref="B142" r:id="rId50"/>
    <hyperlink ref="B118" r:id="rId51"/>
    <hyperlink ref="B117" r:id="rId52"/>
    <hyperlink ref="B119" r:id="rId53"/>
    <hyperlink ref="B145" r:id="rId54"/>
    <hyperlink ref="B120" r:id="rId55"/>
    <hyperlink ref="B147" r:id="rId56"/>
    <hyperlink ref="B164" r:id="rId57"/>
    <hyperlink ref="B169" r:id="rId58"/>
    <hyperlink ref="B170" r:id="rId59"/>
    <hyperlink ref="B166" r:id="rId60"/>
    <hyperlink ref="B175" r:id="rId61"/>
    <hyperlink ref="B165" r:id="rId62"/>
    <hyperlink ref="B176" r:id="rId63"/>
    <hyperlink ref="B183" r:id="rId64"/>
    <hyperlink ref="B179" r:id="rId65"/>
    <hyperlink ref="B177" r:id="rId66"/>
    <hyperlink ref="B178" r:id="rId67"/>
    <hyperlink ref="B167" r:id="rId68"/>
    <hyperlink ref="B168" r:id="rId69"/>
    <hyperlink ref="B173" r:id="rId70"/>
    <hyperlink ref="B174" r:id="rId71"/>
    <hyperlink ref="B184" r:id="rId72"/>
    <hyperlink ref="B185" r:id="rId73"/>
    <hyperlink ref="B186" r:id="rId74"/>
    <hyperlink ref="B180" r:id="rId75"/>
    <hyperlink ref="B190" r:id="rId76"/>
    <hyperlink ref="B189" r:id="rId77"/>
    <hyperlink ref="B191" r:id="rId78"/>
    <hyperlink ref="B203" r:id="rId79"/>
    <hyperlink ref="B206" r:id="rId80"/>
    <hyperlink ref="B204" r:id="rId81"/>
    <hyperlink ref="B216" r:id="rId82"/>
    <hyperlink ref="B213" r:id="rId83"/>
    <hyperlink ref="B220" r:id="rId84"/>
    <hyperlink ref="B225" r:id="rId85"/>
    <hyperlink ref="B208" r:id="rId86"/>
    <hyperlink ref="B209" r:id="rId87"/>
    <hyperlink ref="B214" r:id="rId88"/>
    <hyperlink ref="B215" r:id="rId89"/>
    <hyperlink ref="B223" r:id="rId90"/>
    <hyperlink ref="B205" r:id="rId91"/>
    <hyperlink ref="B195" r:id="rId92"/>
    <hyperlink ref="B194" r:id="rId93"/>
    <hyperlink ref="B198" r:id="rId94"/>
    <hyperlink ref="B196" r:id="rId95"/>
    <hyperlink ref="B197" r:id="rId96"/>
    <hyperlink ref="B199" r:id="rId97"/>
    <hyperlink ref="B200" r:id="rId98"/>
    <hyperlink ref="B125" r:id="rId99"/>
    <hyperlink ref="B126" r:id="rId100"/>
    <hyperlink ref="B221" r:id="rId101"/>
    <hyperlink ref="B222" r:id="rId102"/>
    <hyperlink ref="B207" r:id="rId103"/>
    <hyperlink ref="B224" r:id="rId104"/>
    <hyperlink ref="B217" r:id="rId105"/>
    <hyperlink ref="B128" r:id="rId106"/>
    <hyperlink ref="B129" r:id="rId107"/>
    <hyperlink ref="B130" r:id="rId108"/>
    <hyperlink ref="B123" r:id="rId109"/>
    <hyperlink ref="B127" r:id="rId110"/>
    <hyperlink ref="B137" r:id="rId111"/>
    <hyperlink ref="B133" r:id="rId112"/>
    <hyperlink ref="B134" r:id="rId113"/>
    <hyperlink ref="B135" r:id="rId114"/>
    <hyperlink ref="B136" r:id="rId115"/>
    <hyperlink ref="B124" r:id="rId116"/>
    <hyperlink ref="B233" r:id="rId117"/>
    <hyperlink ref="B235" r:id="rId118"/>
    <hyperlink ref="B239" r:id="rId119"/>
    <hyperlink ref="B240" r:id="rId120"/>
    <hyperlink ref="B241" r:id="rId121"/>
    <hyperlink ref="B229" r:id="rId122"/>
    <hyperlink ref="B237" r:id="rId123"/>
    <hyperlink ref="B238" r:id="rId124"/>
    <hyperlink ref="B230" r:id="rId125"/>
    <hyperlink ref="B232" r:id="rId126"/>
    <hyperlink ref="B234" r:id="rId127"/>
    <hyperlink ref="B236" r:id="rId128"/>
    <hyperlink ref="B231" r:id="rId129"/>
    <hyperlink ref="B243" r:id="rId130"/>
    <hyperlink ref="B251" r:id="rId131"/>
    <hyperlink ref="B245" r:id="rId132"/>
    <hyperlink ref="B247" r:id="rId133"/>
    <hyperlink ref="B249" r:id="rId134"/>
    <hyperlink ref="B253" r:id="rId135"/>
    <hyperlink ref="B244" r:id="rId136"/>
    <hyperlink ref="B254" r:id="rId137"/>
    <hyperlink ref="B250" r:id="rId138"/>
    <hyperlink ref="B246" r:id="rId139"/>
    <hyperlink ref="B248" r:id="rId140"/>
    <hyperlink ref="B252" r:id="rId141"/>
    <hyperlink ref="B265" r:id="rId142"/>
    <hyperlink ref="B269" r:id="rId143"/>
    <hyperlink ref="B273" r:id="rId144"/>
    <hyperlink ref="B274" r:id="rId145"/>
    <hyperlink ref="B275" r:id="rId146"/>
    <hyperlink ref="B257" r:id="rId147"/>
    <hyperlink ref="B271" r:id="rId148"/>
    <hyperlink ref="B272" r:id="rId149"/>
    <hyperlink ref="B259" r:id="rId150"/>
    <hyperlink ref="B263" r:id="rId151"/>
    <hyperlink ref="B267" r:id="rId152"/>
    <hyperlink ref="B270" r:id="rId153"/>
    <hyperlink ref="B261" r:id="rId154"/>
    <hyperlink ref="B258" r:id="rId155"/>
    <hyperlink ref="B256" r:id="rId156"/>
    <hyperlink ref="B264" r:id="rId157"/>
    <hyperlink ref="B260" r:id="rId158"/>
    <hyperlink ref="B262" r:id="rId159"/>
    <hyperlink ref="B266" r:id="rId160"/>
    <hyperlink ref="B268" r:id="rId161"/>
    <hyperlink ref="B279" r:id="rId162"/>
    <hyperlink ref="B285" r:id="rId163"/>
    <hyperlink ref="B286" r:id="rId164"/>
    <hyperlink ref="B283" r:id="rId165"/>
    <hyperlink ref="B281" r:id="rId166"/>
    <hyperlink ref="B282" r:id="rId167"/>
    <hyperlink ref="B284" r:id="rId168"/>
    <hyperlink ref="B280" r:id="rId169"/>
    <hyperlink ref="B278" r:id="rId170"/>
    <hyperlink ref="C212" r:id="rId171"/>
    <hyperlink ref="C161" r:id="rId172"/>
    <hyperlink ref="C159" r:id="rId173"/>
    <hyperlink ref="C158" r:id="rId174"/>
    <hyperlink ref="C155" r:id="rId175"/>
    <hyperlink ref="C156" r:id="rId176"/>
    <hyperlink ref="C99" r:id="rId177"/>
    <hyperlink ref="C80" r:id="rId178"/>
    <hyperlink ref="C243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6"/>
  <sheetViews>
    <sheetView showGridLines="0" zoomScaleNormal="100" workbookViewId="0">
      <selection activeCell="J4" sqref="J4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43.7109375" customWidth="1"/>
    <col min="9" max="9" width="7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6.140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8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6.28515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6.285156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1" t="s">
        <v>93</v>
      </c>
      <c r="V1" s="20"/>
      <c r="W1" s="22"/>
      <c r="X1" s="22"/>
      <c r="Y1" s="22"/>
      <c r="Z1" s="22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4" t="s">
        <v>94</v>
      </c>
      <c r="V2" s="25"/>
      <c r="W2" s="23"/>
      <c r="X2" s="23"/>
      <c r="Y2" s="23"/>
      <c r="Z2" s="7"/>
      <c r="AA2" s="4"/>
      <c r="AB2" s="4"/>
      <c r="AC2" s="4"/>
    </row>
    <row r="3" spans="1:3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53" t="s">
        <v>1</v>
      </c>
      <c r="I8" s="154"/>
      <c r="J8" s="154"/>
      <c r="K8" s="154"/>
      <c r="L8" s="154"/>
      <c r="M8" s="155"/>
      <c r="N8" s="156" t="s">
        <v>2</v>
      </c>
      <c r="O8" s="157"/>
      <c r="P8" s="157"/>
      <c r="Q8" s="157"/>
      <c r="R8" s="157"/>
      <c r="S8" s="158"/>
      <c r="T8" s="159" t="s">
        <v>3</v>
      </c>
      <c r="U8" s="160"/>
      <c r="V8" s="160"/>
      <c r="W8" s="160"/>
      <c r="X8" s="160"/>
      <c r="Y8" s="161"/>
      <c r="Z8" s="162" t="s">
        <v>4</v>
      </c>
      <c r="AA8" s="163"/>
      <c r="AB8" s="163"/>
      <c r="AC8" s="163"/>
      <c r="AD8" s="163"/>
      <c r="AE8" s="164"/>
      <c r="AF8" s="165" t="s">
        <v>5</v>
      </c>
      <c r="AG8" s="166"/>
      <c r="AH8" s="166"/>
      <c r="AI8" s="167"/>
    </row>
    <row r="9" spans="1:3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3" t="s">
        <v>88</v>
      </c>
      <c r="I9" s="94" t="s">
        <v>6</v>
      </c>
      <c r="J9" s="95" t="s">
        <v>7</v>
      </c>
      <c r="K9" s="64" t="s">
        <v>8</v>
      </c>
      <c r="L9" s="64" t="s">
        <v>9</v>
      </c>
      <c r="M9" s="96" t="s">
        <v>10</v>
      </c>
      <c r="N9" s="94" t="s">
        <v>88</v>
      </c>
      <c r="O9" s="94" t="s">
        <v>6</v>
      </c>
      <c r="P9" s="95" t="s">
        <v>7</v>
      </c>
      <c r="Q9" s="64" t="s">
        <v>8</v>
      </c>
      <c r="R9" s="64" t="s">
        <v>9</v>
      </c>
      <c r="S9" s="96" t="s">
        <v>10</v>
      </c>
      <c r="T9" s="94" t="s">
        <v>88</v>
      </c>
      <c r="U9" s="94" t="s">
        <v>6</v>
      </c>
      <c r="V9" s="95" t="s">
        <v>7</v>
      </c>
      <c r="W9" s="64" t="s">
        <v>8</v>
      </c>
      <c r="X9" s="64" t="s">
        <v>9</v>
      </c>
      <c r="Y9" s="96" t="s">
        <v>10</v>
      </c>
      <c r="Z9" s="94" t="s">
        <v>88</v>
      </c>
      <c r="AA9" s="94" t="s">
        <v>6</v>
      </c>
      <c r="AB9" s="95" t="s">
        <v>7</v>
      </c>
      <c r="AC9" s="64" t="s">
        <v>8</v>
      </c>
      <c r="AD9" s="64" t="s">
        <v>9</v>
      </c>
      <c r="AE9" s="96" t="s">
        <v>10</v>
      </c>
      <c r="AF9" s="94" t="s">
        <v>88</v>
      </c>
      <c r="AG9" s="94" t="s">
        <v>6</v>
      </c>
      <c r="AH9" s="95" t="s">
        <v>7</v>
      </c>
      <c r="AI9" s="97" t="s">
        <v>8</v>
      </c>
    </row>
    <row r="10" spans="1:35" ht="15.75" thickBot="1" x14ac:dyDescent="0.3">
      <c r="B10" s="78" t="s">
        <v>346</v>
      </c>
      <c r="C10" s="82" t="s">
        <v>85</v>
      </c>
      <c r="D10" s="71"/>
      <c r="E10" s="71"/>
      <c r="F10" s="82" t="s">
        <v>351</v>
      </c>
      <c r="G10" s="82" t="s">
        <v>352</v>
      </c>
      <c r="H10" s="64" t="s">
        <v>85</v>
      </c>
      <c r="I10" s="98"/>
      <c r="J10" s="98"/>
      <c r="K10" s="98"/>
      <c r="L10" s="98"/>
      <c r="M10" s="67"/>
      <c r="N10" s="63" t="s">
        <v>85</v>
      </c>
      <c r="O10" s="98"/>
      <c r="P10" s="98"/>
      <c r="Q10" s="98"/>
      <c r="R10" s="98"/>
      <c r="S10" s="67"/>
      <c r="T10" s="63" t="s">
        <v>85</v>
      </c>
      <c r="U10" s="98"/>
      <c r="V10" s="98"/>
      <c r="W10" s="98"/>
      <c r="X10" s="98"/>
      <c r="Y10" s="67"/>
      <c r="Z10" s="63" t="s">
        <v>85</v>
      </c>
      <c r="AA10" s="98"/>
      <c r="AB10" s="98"/>
      <c r="AC10" s="98"/>
      <c r="AD10" s="98"/>
      <c r="AE10" s="98"/>
      <c r="AF10" s="63" t="s">
        <v>85</v>
      </c>
      <c r="AG10" s="98"/>
      <c r="AH10" s="98"/>
      <c r="AI10" s="67"/>
    </row>
    <row r="11" spans="1:35" ht="15.75" thickBot="1" x14ac:dyDescent="0.3">
      <c r="B11" s="79" t="s">
        <v>52</v>
      </c>
      <c r="C11" s="83"/>
      <c r="D11" s="75" t="str">
        <f t="array" ref="D11">INDEX(Table_Name28[Name List],MATCH(B11,Table_Name28[Category],0))</f>
        <v>Horizontal_Triceps[Exercise]</v>
      </c>
      <c r="E11" s="70" t="e">
        <f t="array" ref="E11">INDEX(Links49[Link],MATCH(C11,Links49[Exercise],0))</f>
        <v>#N/A</v>
      </c>
      <c r="F11" s="86" t="e">
        <f t="shared" ref="F11:F18" si="0">HYPERLINK(E11,"Video")</f>
        <v>#N/A</v>
      </c>
      <c r="G11" s="89"/>
      <c r="H11" s="99">
        <f t="shared" ref="H11:H18" si="1">C11</f>
        <v>0</v>
      </c>
      <c r="I11" s="100">
        <v>4</v>
      </c>
      <c r="J11" s="100">
        <f>MROUND(((G11)*0.75),5)</f>
        <v>0</v>
      </c>
      <c r="K11" s="100" t="s">
        <v>11</v>
      </c>
      <c r="L11" s="100"/>
      <c r="M11" s="69"/>
      <c r="N11" s="101">
        <f t="shared" ref="N11:N18" si="2">C11</f>
        <v>0</v>
      </c>
      <c r="O11" s="100">
        <f>I11+(M35)</f>
        <v>4</v>
      </c>
      <c r="P11" s="100">
        <f t="shared" ref="P11:P18" si="3">MROUND((J11*1.05),5)</f>
        <v>0</v>
      </c>
      <c r="Q11" s="100" t="s">
        <v>11</v>
      </c>
      <c r="R11" s="100"/>
      <c r="S11" s="102"/>
      <c r="T11" s="60">
        <f t="shared" ref="T11:T18" si="4">C11</f>
        <v>0</v>
      </c>
      <c r="U11" s="100">
        <f>O11+(S35)</f>
        <v>4</v>
      </c>
      <c r="V11" s="100">
        <f t="shared" ref="V11:V18" si="5">MROUND((J11*1.075),5)</f>
        <v>0</v>
      </c>
      <c r="W11" s="100" t="s">
        <v>12</v>
      </c>
      <c r="X11" s="100"/>
      <c r="Y11" s="102"/>
      <c r="Z11" s="101">
        <f t="shared" ref="Z11:Z18" si="6">C11</f>
        <v>0</v>
      </c>
      <c r="AA11" s="100">
        <f>U11+(Y35)</f>
        <v>4</v>
      </c>
      <c r="AB11" s="100">
        <f t="shared" ref="AB11:AB18" si="7">MROUND((J11*1.1),5)</f>
        <v>0</v>
      </c>
      <c r="AC11" s="100" t="s">
        <v>13</v>
      </c>
      <c r="AD11" s="100"/>
      <c r="AE11" s="102"/>
      <c r="AF11" s="101">
        <f t="shared" ref="AF11:AF18" si="8">C11</f>
        <v>0</v>
      </c>
      <c r="AG11" s="100">
        <v>2</v>
      </c>
      <c r="AH11" s="103">
        <f>J11</f>
        <v>0</v>
      </c>
      <c r="AI11" s="69" t="s">
        <v>14</v>
      </c>
    </row>
    <row r="12" spans="1:35" ht="15.75" thickBot="1" x14ac:dyDescent="0.3">
      <c r="B12" s="80" t="s">
        <v>57</v>
      </c>
      <c r="C12" s="84"/>
      <c r="D12" s="76" t="str">
        <f t="array" ref="D12">INDEX(Table_Name28[Name List],MATCH(B12,Table_Name28[Category],0))</f>
        <v>Vertical_Triceps[Exercise]</v>
      </c>
      <c r="E12" s="65" t="e">
        <f t="array" ref="E12">INDEX(Links49[Link],MATCH(C12,Links49[Exercise],0))</f>
        <v>#N/A</v>
      </c>
      <c r="F12" s="87" t="e">
        <f t="shared" si="0"/>
        <v>#N/A</v>
      </c>
      <c r="G12" s="90"/>
      <c r="H12" s="99">
        <f t="shared" si="1"/>
        <v>0</v>
      </c>
      <c r="I12" s="100">
        <v>4</v>
      </c>
      <c r="J12" s="100">
        <f>MROUND(((G12)*0.75),5)</f>
        <v>0</v>
      </c>
      <c r="K12" s="100" t="s">
        <v>11</v>
      </c>
      <c r="L12" s="100"/>
      <c r="M12" s="69"/>
      <c r="N12" s="101">
        <f t="shared" si="2"/>
        <v>0</v>
      </c>
      <c r="O12" s="100">
        <f>I12+(M35)</f>
        <v>4</v>
      </c>
      <c r="P12" s="100">
        <f t="shared" si="3"/>
        <v>0</v>
      </c>
      <c r="Q12" s="100" t="s">
        <v>11</v>
      </c>
      <c r="R12" s="100"/>
      <c r="S12" s="102"/>
      <c r="T12" s="60">
        <f t="shared" si="4"/>
        <v>0</v>
      </c>
      <c r="U12" s="100">
        <f>O12+(S35)</f>
        <v>4</v>
      </c>
      <c r="V12" s="100">
        <f t="shared" si="5"/>
        <v>0</v>
      </c>
      <c r="W12" s="100" t="s">
        <v>12</v>
      </c>
      <c r="X12" s="100"/>
      <c r="Y12" s="102"/>
      <c r="Z12" s="101">
        <f t="shared" si="6"/>
        <v>0</v>
      </c>
      <c r="AA12" s="100">
        <f>U12+(Y35)</f>
        <v>4</v>
      </c>
      <c r="AB12" s="100">
        <f t="shared" si="7"/>
        <v>0</v>
      </c>
      <c r="AC12" s="100" t="s">
        <v>13</v>
      </c>
      <c r="AD12" s="100"/>
      <c r="AE12" s="102"/>
      <c r="AF12" s="101">
        <f t="shared" si="8"/>
        <v>0</v>
      </c>
      <c r="AG12" s="100">
        <v>2</v>
      </c>
      <c r="AH12" s="103">
        <f t="shared" ref="AH12:AH18" si="9">J12</f>
        <v>0</v>
      </c>
      <c r="AI12" s="69" t="s">
        <v>14</v>
      </c>
    </row>
    <row r="13" spans="1:35" ht="15.75" thickBot="1" x14ac:dyDescent="0.3">
      <c r="B13" s="117" t="s">
        <v>104</v>
      </c>
      <c r="C13" s="120"/>
      <c r="D13" s="114" t="str">
        <f t="array" ref="D13">INDEX(Table_Name28[Name List],MATCH(B13,Table_Name28[Category],0))</f>
        <v>Front_Delts[Exercise]</v>
      </c>
      <c r="E13" s="111" t="e">
        <f t="array" ref="E13">INDEX(Links49[Link],MATCH(C13,Links49[Exercise],0))</f>
        <v>#N/A</v>
      </c>
      <c r="F13" s="123" t="e">
        <f t="shared" si="0"/>
        <v>#N/A</v>
      </c>
      <c r="G13" s="126"/>
      <c r="H13" s="99">
        <f t="shared" si="1"/>
        <v>0</v>
      </c>
      <c r="I13" s="100">
        <v>4</v>
      </c>
      <c r="J13" s="100">
        <f>MROUND(((G13)*0.75),5)</f>
        <v>0</v>
      </c>
      <c r="K13" s="100" t="s">
        <v>11</v>
      </c>
      <c r="L13" s="100"/>
      <c r="M13" s="69"/>
      <c r="N13" s="101">
        <f t="shared" si="2"/>
        <v>0</v>
      </c>
      <c r="O13" s="100">
        <f>I13+(M33)</f>
        <v>4</v>
      </c>
      <c r="P13" s="100">
        <f t="shared" si="3"/>
        <v>0</v>
      </c>
      <c r="Q13" s="100" t="s">
        <v>11</v>
      </c>
      <c r="R13" s="100"/>
      <c r="S13" s="135"/>
      <c r="T13" s="60">
        <f t="shared" si="4"/>
        <v>0</v>
      </c>
      <c r="U13" s="100">
        <f>O13+(S33)</f>
        <v>4</v>
      </c>
      <c r="V13" s="100">
        <f t="shared" si="5"/>
        <v>0</v>
      </c>
      <c r="W13" s="100" t="s">
        <v>12</v>
      </c>
      <c r="X13" s="100"/>
      <c r="Y13" s="135"/>
      <c r="Z13" s="101">
        <f t="shared" si="6"/>
        <v>0</v>
      </c>
      <c r="AA13" s="100">
        <f>U13+(Y33)</f>
        <v>4</v>
      </c>
      <c r="AB13" s="100">
        <f t="shared" si="7"/>
        <v>0</v>
      </c>
      <c r="AC13" s="100" t="s">
        <v>13</v>
      </c>
      <c r="AD13" s="100"/>
      <c r="AE13" s="135"/>
      <c r="AF13" s="101">
        <f t="shared" si="8"/>
        <v>0</v>
      </c>
      <c r="AG13" s="100">
        <v>2</v>
      </c>
      <c r="AH13" s="103">
        <f t="shared" si="9"/>
        <v>0</v>
      </c>
      <c r="AI13" s="69" t="s">
        <v>14</v>
      </c>
    </row>
    <row r="14" spans="1:35" ht="15.75" thickBot="1" x14ac:dyDescent="0.3">
      <c r="A14" s="61" t="s">
        <v>348</v>
      </c>
      <c r="B14" s="118" t="s">
        <v>105</v>
      </c>
      <c r="C14" s="121"/>
      <c r="D14" s="115" t="str">
        <f t="array" ref="D14">INDEX(Table_Name28[Name List],MATCH(B14,Table_Name28[Category],0))</f>
        <v>Side_Delts[Exercise]</v>
      </c>
      <c r="E14" s="112" t="e">
        <f t="array" ref="E14">INDEX(Links49[Link],MATCH(C14,Links49[Exercise],0))</f>
        <v>#N/A</v>
      </c>
      <c r="F14" s="124" t="e">
        <f t="shared" si="0"/>
        <v>#N/A</v>
      </c>
      <c r="G14" s="127"/>
      <c r="H14" s="136">
        <f t="shared" si="1"/>
        <v>0</v>
      </c>
      <c r="I14" s="137">
        <v>4</v>
      </c>
      <c r="J14" s="137">
        <f>MROUND(((G14)*0.75),5)</f>
        <v>0</v>
      </c>
      <c r="K14" s="137" t="s">
        <v>11</v>
      </c>
      <c r="L14" s="137"/>
      <c r="M14" s="138"/>
      <c r="N14" s="139">
        <f t="shared" si="2"/>
        <v>0</v>
      </c>
      <c r="O14" s="137">
        <f>I14+(M37)</f>
        <v>4</v>
      </c>
      <c r="P14" s="137">
        <f t="shared" si="3"/>
        <v>0</v>
      </c>
      <c r="Q14" s="137" t="s">
        <v>11</v>
      </c>
      <c r="R14" s="137"/>
      <c r="S14" s="140"/>
      <c r="T14" s="141">
        <f t="shared" si="4"/>
        <v>0</v>
      </c>
      <c r="U14" s="137">
        <f>O14+(S37)</f>
        <v>4</v>
      </c>
      <c r="V14" s="137">
        <f t="shared" si="5"/>
        <v>0</v>
      </c>
      <c r="W14" s="137" t="s">
        <v>12</v>
      </c>
      <c r="X14" s="137"/>
      <c r="Y14" s="140"/>
      <c r="Z14" s="139">
        <f t="shared" si="6"/>
        <v>0</v>
      </c>
      <c r="AA14" s="137">
        <f>U14+(Y37)</f>
        <v>4</v>
      </c>
      <c r="AB14" s="137">
        <f t="shared" si="7"/>
        <v>0</v>
      </c>
      <c r="AC14" s="137" t="s">
        <v>13</v>
      </c>
      <c r="AD14" s="137"/>
      <c r="AE14" s="142"/>
      <c r="AF14" s="99">
        <f t="shared" si="8"/>
        <v>0</v>
      </c>
      <c r="AG14" s="100">
        <v>2</v>
      </c>
      <c r="AH14" s="103">
        <f t="shared" si="9"/>
        <v>0</v>
      </c>
      <c r="AI14" s="69" t="s">
        <v>14</v>
      </c>
    </row>
    <row r="15" spans="1:35" ht="15.75" thickBot="1" x14ac:dyDescent="0.3">
      <c r="A15" s="61" t="s">
        <v>349</v>
      </c>
      <c r="B15" s="119" t="s">
        <v>105</v>
      </c>
      <c r="C15" s="122"/>
      <c r="D15" s="116" t="str">
        <f t="array" ref="D15">INDEX(Table_Name28[Name List],MATCH(B15,Table_Name28[Category],0))</f>
        <v>Side_Delts[Exercise]</v>
      </c>
      <c r="E15" s="113" t="e">
        <f t="array" ref="E15">INDEX(Links49[Link],MATCH(C15,Links49[Exercise],0))</f>
        <v>#N/A</v>
      </c>
      <c r="F15" s="125" t="e">
        <f t="shared" ref="F15" si="10">HYPERLINK(E15,"Video")</f>
        <v>#N/A</v>
      </c>
      <c r="G15" s="128"/>
      <c r="H15" s="143">
        <f t="shared" ref="H15" si="11">C15</f>
        <v>0</v>
      </c>
      <c r="I15" s="144">
        <v>4</v>
      </c>
      <c r="J15" s="144">
        <f>MROUND(((G15)*0.6),5)</f>
        <v>0</v>
      </c>
      <c r="K15" s="144" t="s">
        <v>11</v>
      </c>
      <c r="L15" s="144"/>
      <c r="M15" s="145"/>
      <c r="N15" s="146">
        <f t="shared" ref="N15" si="12">C15</f>
        <v>0</v>
      </c>
      <c r="O15" s="144">
        <f>I14+(M37)</f>
        <v>4</v>
      </c>
      <c r="P15" s="144">
        <f t="shared" ref="P15" si="13">MROUND((J15*1.05),5)</f>
        <v>0</v>
      </c>
      <c r="Q15" s="144" t="s">
        <v>11</v>
      </c>
      <c r="R15" s="144"/>
      <c r="S15" s="147"/>
      <c r="T15" s="148">
        <f t="shared" ref="T15" si="14">C15</f>
        <v>0</v>
      </c>
      <c r="U15" s="144">
        <f>O14+(S37)</f>
        <v>4</v>
      </c>
      <c r="V15" s="144">
        <f t="shared" ref="V15" si="15">MROUND((J15*1.075),5)</f>
        <v>0</v>
      </c>
      <c r="W15" s="144" t="s">
        <v>12</v>
      </c>
      <c r="X15" s="144"/>
      <c r="Y15" s="147"/>
      <c r="Z15" s="146">
        <f t="shared" ref="Z15" si="16">C15</f>
        <v>0</v>
      </c>
      <c r="AA15" s="144">
        <f>U14+(Y37)</f>
        <v>4</v>
      </c>
      <c r="AB15" s="144">
        <f t="shared" ref="AB15" si="17">MROUND((J15*1.1),5)</f>
        <v>0</v>
      </c>
      <c r="AC15" s="144" t="s">
        <v>13</v>
      </c>
      <c r="AD15" s="144"/>
      <c r="AE15" s="149"/>
      <c r="AF15" s="99"/>
      <c r="AG15" s="100"/>
      <c r="AH15" s="103"/>
      <c r="AI15" s="69"/>
    </row>
    <row r="16" spans="1:35" ht="15.75" thickBot="1" x14ac:dyDescent="0.3">
      <c r="B16" s="79" t="s">
        <v>143</v>
      </c>
      <c r="C16" s="83"/>
      <c r="D16" s="75" t="str">
        <f t="array" ref="D16">INDEX(Table_Name28[Name List],MATCH(B16,Table_Name28[Category],0))</f>
        <v>Incline_Push[Exercise]</v>
      </c>
      <c r="E16" s="70" t="e">
        <f t="array" ref="E16">INDEX(Links49[Link],MATCH(C16,Links49[Exercise],0))</f>
        <v>#N/A</v>
      </c>
      <c r="F16" s="86" t="e">
        <f t="shared" si="0"/>
        <v>#N/A</v>
      </c>
      <c r="G16" s="89"/>
      <c r="H16" s="99">
        <f t="shared" si="1"/>
        <v>0</v>
      </c>
      <c r="I16" s="100">
        <v>3</v>
      </c>
      <c r="J16" s="100">
        <f>MROUND(((G16)*0.75),5)</f>
        <v>0</v>
      </c>
      <c r="K16" s="100" t="s">
        <v>11</v>
      </c>
      <c r="L16" s="100"/>
      <c r="M16" s="69"/>
      <c r="N16" s="101">
        <f t="shared" si="2"/>
        <v>0</v>
      </c>
      <c r="O16" s="100">
        <f>I16+(M33)</f>
        <v>3</v>
      </c>
      <c r="P16" s="100">
        <f t="shared" si="3"/>
        <v>0</v>
      </c>
      <c r="Q16" s="100" t="s">
        <v>11</v>
      </c>
      <c r="R16" s="100"/>
      <c r="S16" s="150"/>
      <c r="T16" s="60">
        <f t="shared" si="4"/>
        <v>0</v>
      </c>
      <c r="U16" s="100">
        <f>O16+(S33)</f>
        <v>3</v>
      </c>
      <c r="V16" s="100">
        <f t="shared" si="5"/>
        <v>0</v>
      </c>
      <c r="W16" s="100" t="s">
        <v>12</v>
      </c>
      <c r="X16" s="100"/>
      <c r="Y16" s="150"/>
      <c r="Z16" s="101">
        <f t="shared" si="6"/>
        <v>0</v>
      </c>
      <c r="AA16" s="100">
        <f>U16+(Y33)</f>
        <v>3</v>
      </c>
      <c r="AB16" s="100">
        <f t="shared" si="7"/>
        <v>0</v>
      </c>
      <c r="AC16" s="100" t="s">
        <v>13</v>
      </c>
      <c r="AD16" s="100"/>
      <c r="AE16" s="150"/>
      <c r="AF16" s="101">
        <f t="shared" si="8"/>
        <v>0</v>
      </c>
      <c r="AG16" s="100">
        <v>2</v>
      </c>
      <c r="AH16" s="103">
        <f t="shared" si="9"/>
        <v>0</v>
      </c>
      <c r="AI16" s="69" t="s">
        <v>14</v>
      </c>
    </row>
    <row r="17" spans="1:35" x14ac:dyDescent="0.25">
      <c r="B17" s="80" t="s">
        <v>20</v>
      </c>
      <c r="C17" s="84"/>
      <c r="D17" s="76" t="str">
        <f t="array" ref="D17">INDEX(Table_Name28[Name List],MATCH(B17,Table_Name28[Category],0))</f>
        <v>Quads[Exercise]</v>
      </c>
      <c r="E17" s="65" t="e">
        <f t="array" ref="E17">INDEX(Links49[Link],MATCH(C17,Links49[Exercise],0))</f>
        <v>#N/A</v>
      </c>
      <c r="F17" s="87" t="e">
        <f t="shared" si="0"/>
        <v>#N/A</v>
      </c>
      <c r="G17" s="90"/>
      <c r="H17" s="99">
        <f t="shared" si="1"/>
        <v>0</v>
      </c>
      <c r="I17" s="100">
        <v>3</v>
      </c>
      <c r="J17" s="100">
        <f>MROUND(((G17)*0.75),5)</f>
        <v>0</v>
      </c>
      <c r="K17" s="100" t="s">
        <v>11</v>
      </c>
      <c r="L17" s="100" t="s">
        <v>0</v>
      </c>
      <c r="M17" s="69"/>
      <c r="N17" s="101">
        <f t="shared" si="2"/>
        <v>0</v>
      </c>
      <c r="O17" s="100">
        <f>I17</f>
        <v>3</v>
      </c>
      <c r="P17" s="100">
        <f t="shared" si="3"/>
        <v>0</v>
      </c>
      <c r="Q17" s="100" t="s">
        <v>11</v>
      </c>
      <c r="R17" s="100"/>
      <c r="S17" s="69"/>
      <c r="T17" s="60">
        <f t="shared" si="4"/>
        <v>0</v>
      </c>
      <c r="U17" s="100">
        <f>O17</f>
        <v>3</v>
      </c>
      <c r="V17" s="100">
        <f t="shared" si="5"/>
        <v>0</v>
      </c>
      <c r="W17" s="100" t="s">
        <v>12</v>
      </c>
      <c r="X17" s="100"/>
      <c r="Y17" s="69"/>
      <c r="Z17" s="101">
        <f t="shared" si="6"/>
        <v>0</v>
      </c>
      <c r="AA17" s="100">
        <f>U17</f>
        <v>3</v>
      </c>
      <c r="AB17" s="100">
        <f t="shared" si="7"/>
        <v>0</v>
      </c>
      <c r="AC17" s="100" t="s">
        <v>13</v>
      </c>
      <c r="AD17" s="100"/>
      <c r="AE17" s="69"/>
      <c r="AF17" s="101">
        <f t="shared" si="8"/>
        <v>0</v>
      </c>
      <c r="AG17" s="100">
        <v>2</v>
      </c>
      <c r="AH17" s="103">
        <f t="shared" si="9"/>
        <v>0</v>
      </c>
      <c r="AI17" s="69" t="s">
        <v>14</v>
      </c>
    </row>
    <row r="18" spans="1:35" ht="15.75" thickBot="1" x14ac:dyDescent="0.3">
      <c r="B18" s="81" t="s">
        <v>19</v>
      </c>
      <c r="C18" s="85"/>
      <c r="D18" s="77" t="str">
        <f t="array" ref="D18">INDEX(Table_Name28[Name List],MATCH(B18,Table_Name28[Category],0))</f>
        <v>Calves[Exercise]</v>
      </c>
      <c r="E18" s="66" t="e">
        <f t="array" ref="E18">INDEX(Links49[Link],MATCH(C18,Links49[Exercise],0))</f>
        <v>#N/A</v>
      </c>
      <c r="F18" s="88" t="e">
        <f t="shared" si="0"/>
        <v>#N/A</v>
      </c>
      <c r="G18" s="91"/>
      <c r="H18" s="104">
        <f t="shared" si="1"/>
        <v>0</v>
      </c>
      <c r="I18" s="105">
        <v>4</v>
      </c>
      <c r="J18" s="105">
        <f>MROUND(((G18)*0.75),5)</f>
        <v>0</v>
      </c>
      <c r="K18" s="105" t="s">
        <v>11</v>
      </c>
      <c r="L18" s="105"/>
      <c r="M18" s="62"/>
      <c r="N18" s="106">
        <f t="shared" si="2"/>
        <v>0</v>
      </c>
      <c r="O18" s="105">
        <f>I18</f>
        <v>4</v>
      </c>
      <c r="P18" s="105">
        <f t="shared" si="3"/>
        <v>0</v>
      </c>
      <c r="Q18" s="105" t="s">
        <v>11</v>
      </c>
      <c r="R18" s="105"/>
      <c r="S18" s="62"/>
      <c r="T18" s="107">
        <f t="shared" si="4"/>
        <v>0</v>
      </c>
      <c r="U18" s="105">
        <f>O18</f>
        <v>4</v>
      </c>
      <c r="V18" s="105">
        <f t="shared" si="5"/>
        <v>0</v>
      </c>
      <c r="W18" s="105" t="s">
        <v>12</v>
      </c>
      <c r="X18" s="105"/>
      <c r="Y18" s="62"/>
      <c r="Z18" s="106">
        <f t="shared" si="6"/>
        <v>0</v>
      </c>
      <c r="AA18" s="105">
        <f>U18</f>
        <v>4</v>
      </c>
      <c r="AB18" s="105">
        <f t="shared" si="7"/>
        <v>0</v>
      </c>
      <c r="AC18" s="105" t="s">
        <v>13</v>
      </c>
      <c r="AD18" s="105"/>
      <c r="AE18" s="62"/>
      <c r="AF18" s="106">
        <f t="shared" si="8"/>
        <v>0</v>
      </c>
      <c r="AG18" s="105">
        <v>2</v>
      </c>
      <c r="AH18" s="108">
        <f t="shared" si="9"/>
        <v>0</v>
      </c>
      <c r="AI18" s="62" t="s">
        <v>14</v>
      </c>
    </row>
    <row r="19" spans="1:35" ht="19.5" thickBot="1" x14ac:dyDescent="0.3">
      <c r="B19" s="68" t="s">
        <v>337</v>
      </c>
      <c r="C19" s="39"/>
      <c r="D19" s="39"/>
      <c r="E19" s="39"/>
      <c r="F19" s="39"/>
      <c r="G19" s="69"/>
      <c r="H19" s="153" t="s">
        <v>1</v>
      </c>
      <c r="I19" s="154"/>
      <c r="J19" s="154"/>
      <c r="K19" s="154"/>
      <c r="L19" s="154"/>
      <c r="M19" s="155"/>
      <c r="N19" s="156" t="s">
        <v>2</v>
      </c>
      <c r="O19" s="157"/>
      <c r="P19" s="157"/>
      <c r="Q19" s="157"/>
      <c r="R19" s="157"/>
      <c r="S19" s="158"/>
      <c r="T19" s="159" t="s">
        <v>3</v>
      </c>
      <c r="U19" s="160"/>
      <c r="V19" s="160"/>
      <c r="W19" s="160"/>
      <c r="X19" s="160"/>
      <c r="Y19" s="161"/>
      <c r="Z19" s="162" t="s">
        <v>4</v>
      </c>
      <c r="AA19" s="163"/>
      <c r="AB19" s="163"/>
      <c r="AC19" s="163"/>
      <c r="AD19" s="163"/>
      <c r="AE19" s="164"/>
      <c r="AF19" s="165" t="s">
        <v>5</v>
      </c>
      <c r="AG19" s="166"/>
      <c r="AH19" s="166"/>
      <c r="AI19" s="167"/>
    </row>
    <row r="20" spans="1:35" ht="15.75" thickBot="1" x14ac:dyDescent="0.3">
      <c r="B20" s="39"/>
      <c r="C20" s="39"/>
      <c r="D20" s="39"/>
      <c r="E20" s="39"/>
      <c r="F20" s="39"/>
      <c r="G20" s="69"/>
      <c r="H20" s="63" t="s">
        <v>88</v>
      </c>
      <c r="I20" s="109" t="s">
        <v>6</v>
      </c>
      <c r="J20" s="95" t="s">
        <v>7</v>
      </c>
      <c r="K20" s="64" t="s">
        <v>8</v>
      </c>
      <c r="L20" s="64" t="s">
        <v>9</v>
      </c>
      <c r="M20" s="96" t="s">
        <v>10</v>
      </c>
      <c r="N20" s="94" t="s">
        <v>88</v>
      </c>
      <c r="O20" s="94" t="s">
        <v>6</v>
      </c>
      <c r="P20" s="95" t="s">
        <v>7</v>
      </c>
      <c r="Q20" s="64" t="s">
        <v>8</v>
      </c>
      <c r="R20" s="64" t="s">
        <v>9</v>
      </c>
      <c r="S20" s="96" t="s">
        <v>10</v>
      </c>
      <c r="T20" s="94" t="s">
        <v>88</v>
      </c>
      <c r="U20" s="94" t="s">
        <v>6</v>
      </c>
      <c r="V20" s="95" t="s">
        <v>7</v>
      </c>
      <c r="W20" s="64" t="s">
        <v>8</v>
      </c>
      <c r="X20" s="64" t="s">
        <v>9</v>
      </c>
      <c r="Y20" s="96" t="s">
        <v>10</v>
      </c>
      <c r="Z20" s="94" t="s">
        <v>88</v>
      </c>
      <c r="AA20" s="94" t="s">
        <v>6</v>
      </c>
      <c r="AB20" s="95" t="s">
        <v>7</v>
      </c>
      <c r="AC20" s="110" t="s">
        <v>15</v>
      </c>
      <c r="AD20" s="64" t="s">
        <v>9</v>
      </c>
      <c r="AE20" s="96" t="s">
        <v>10</v>
      </c>
      <c r="AF20" s="94" t="s">
        <v>88</v>
      </c>
      <c r="AG20" s="94" t="s">
        <v>6</v>
      </c>
      <c r="AH20" s="95" t="s">
        <v>7</v>
      </c>
      <c r="AI20" s="97" t="s">
        <v>8</v>
      </c>
    </row>
    <row r="21" spans="1:35" ht="15.75" thickBot="1" x14ac:dyDescent="0.3">
      <c r="B21" s="78" t="s">
        <v>347</v>
      </c>
      <c r="C21" s="82" t="s">
        <v>86</v>
      </c>
      <c r="D21" s="71"/>
      <c r="E21" s="92"/>
      <c r="F21" s="82" t="s">
        <v>351</v>
      </c>
      <c r="G21" s="82" t="s">
        <v>352</v>
      </c>
      <c r="H21" s="64" t="s">
        <v>86</v>
      </c>
      <c r="I21" s="98"/>
      <c r="J21" s="98"/>
      <c r="K21" s="98"/>
      <c r="L21" s="98"/>
      <c r="M21" s="67"/>
      <c r="N21" s="63" t="s">
        <v>86</v>
      </c>
      <c r="O21" s="98"/>
      <c r="P21" s="98"/>
      <c r="Q21" s="98"/>
      <c r="R21" s="98"/>
      <c r="S21" s="67"/>
      <c r="T21" s="63" t="s">
        <v>86</v>
      </c>
      <c r="U21" s="98"/>
      <c r="V21" s="98"/>
      <c r="W21" s="98"/>
      <c r="X21" s="98"/>
      <c r="Y21" s="98"/>
      <c r="Z21" s="63" t="s">
        <v>86</v>
      </c>
      <c r="AA21" s="98"/>
      <c r="AB21" s="98"/>
      <c r="AC21" s="98"/>
      <c r="AD21" s="98"/>
      <c r="AE21" s="98"/>
      <c r="AF21" s="63" t="s">
        <v>86</v>
      </c>
      <c r="AG21" s="98"/>
      <c r="AH21" s="98"/>
      <c r="AI21" s="67"/>
    </row>
    <row r="22" spans="1:35" ht="15.75" thickBot="1" x14ac:dyDescent="0.3">
      <c r="B22" s="131" t="s">
        <v>18</v>
      </c>
      <c r="C22" s="132"/>
      <c r="D22" s="129" t="str">
        <f t="array" ref="D22">INDEX(Table_Name28[Name List],MATCH(B22,Table_Name28[Category],0))</f>
        <v>Biceps[Exercise]</v>
      </c>
      <c r="E22" s="130" t="e">
        <f t="array" ref="E22">INDEX(Links49[Link],MATCH(C22,Links49[Exercise],0))</f>
        <v>#N/A</v>
      </c>
      <c r="F22" s="133" t="e">
        <f t="shared" ref="F22:F29" si="18">HYPERLINK(E22,"Video")</f>
        <v>#N/A</v>
      </c>
      <c r="G22" s="134"/>
      <c r="H22" s="99">
        <f t="shared" ref="H22:H29" si="19">C22</f>
        <v>0</v>
      </c>
      <c r="I22" s="100">
        <v>4</v>
      </c>
      <c r="J22" s="100">
        <f>MROUND(((G22)*0.75),5)</f>
        <v>0</v>
      </c>
      <c r="K22" s="100" t="s">
        <v>11</v>
      </c>
      <c r="L22" s="100"/>
      <c r="M22" s="69"/>
      <c r="N22" s="99">
        <f t="shared" ref="N22:N29" si="20">C22</f>
        <v>0</v>
      </c>
      <c r="O22" s="100">
        <f>I22+(M47)</f>
        <v>4</v>
      </c>
      <c r="P22" s="100">
        <f t="shared" ref="P22:P29" si="21">MROUND((J22*1.05),5)</f>
        <v>0</v>
      </c>
      <c r="Q22" s="100" t="s">
        <v>11</v>
      </c>
      <c r="R22" s="100"/>
      <c r="S22" s="135"/>
      <c r="T22" s="60">
        <f t="shared" ref="T22:T29" si="22">C22</f>
        <v>0</v>
      </c>
      <c r="U22" s="100">
        <f>O22+(S47)</f>
        <v>4</v>
      </c>
      <c r="V22" s="100">
        <f t="shared" ref="V22:V29" si="23">MROUND((J22*1.075),5)</f>
        <v>0</v>
      </c>
      <c r="W22" s="100" t="s">
        <v>12</v>
      </c>
      <c r="X22" s="100"/>
      <c r="Y22" s="135"/>
      <c r="Z22" s="101">
        <f t="shared" ref="Z22:Z29" si="24">C22</f>
        <v>0</v>
      </c>
      <c r="AA22" s="100">
        <f>U22+(Y47)</f>
        <v>4</v>
      </c>
      <c r="AB22" s="100">
        <f t="shared" ref="AB22:AB29" si="25">MROUND((J22*1.1),5)</f>
        <v>0</v>
      </c>
      <c r="AC22" s="100" t="s">
        <v>13</v>
      </c>
      <c r="AD22" s="100"/>
      <c r="AE22" s="135"/>
      <c r="AF22" s="101">
        <f t="shared" ref="AF22:AF29" si="26">C22</f>
        <v>0</v>
      </c>
      <c r="AG22" s="100">
        <v>2</v>
      </c>
      <c r="AH22" s="103">
        <f t="shared" ref="AH22:AH29" si="27">J22</f>
        <v>0</v>
      </c>
      <c r="AI22" s="69" t="s">
        <v>14</v>
      </c>
    </row>
    <row r="23" spans="1:35" ht="15.75" thickBot="1" x14ac:dyDescent="0.3">
      <c r="A23" s="61" t="s">
        <v>348</v>
      </c>
      <c r="B23" s="118" t="s">
        <v>18</v>
      </c>
      <c r="C23" s="121"/>
      <c r="D23" s="115" t="str">
        <f t="array" ref="D23">INDEX(Table_Name28[Name List],MATCH(B23,Table_Name28[Category],0))</f>
        <v>Biceps[Exercise]</v>
      </c>
      <c r="E23" s="112" t="e">
        <f t="array" ref="E23">INDEX(Links49[Link],MATCH(C23,Links49[Exercise],0))</f>
        <v>#N/A</v>
      </c>
      <c r="F23" s="124" t="e">
        <f t="shared" si="18"/>
        <v>#N/A</v>
      </c>
      <c r="G23" s="127"/>
      <c r="H23" s="136">
        <f t="shared" si="19"/>
        <v>0</v>
      </c>
      <c r="I23" s="137">
        <v>4</v>
      </c>
      <c r="J23" s="137">
        <f>MROUND(((G23)*0.75),5)</f>
        <v>0</v>
      </c>
      <c r="K23" s="137" t="s">
        <v>11</v>
      </c>
      <c r="L23" s="137"/>
      <c r="M23" s="138"/>
      <c r="N23" s="136">
        <f t="shared" si="20"/>
        <v>0</v>
      </c>
      <c r="O23" s="137">
        <f>I23+(M47)</f>
        <v>4</v>
      </c>
      <c r="P23" s="137">
        <f t="shared" si="21"/>
        <v>0</v>
      </c>
      <c r="Q23" s="137" t="s">
        <v>11</v>
      </c>
      <c r="R23" s="137"/>
      <c r="S23" s="140"/>
      <c r="T23" s="141">
        <f t="shared" si="22"/>
        <v>0</v>
      </c>
      <c r="U23" s="137">
        <f>O23+(S47)</f>
        <v>4</v>
      </c>
      <c r="V23" s="137">
        <f t="shared" si="23"/>
        <v>0</v>
      </c>
      <c r="W23" s="137" t="s">
        <v>12</v>
      </c>
      <c r="X23" s="137"/>
      <c r="Y23" s="140"/>
      <c r="Z23" s="139">
        <f t="shared" si="24"/>
        <v>0</v>
      </c>
      <c r="AA23" s="137">
        <f>U23+(Y47)</f>
        <v>4</v>
      </c>
      <c r="AB23" s="137">
        <f t="shared" si="25"/>
        <v>0</v>
      </c>
      <c r="AC23" s="137" t="s">
        <v>13</v>
      </c>
      <c r="AD23" s="137"/>
      <c r="AE23" s="142"/>
      <c r="AF23" s="99">
        <f t="shared" si="26"/>
        <v>0</v>
      </c>
      <c r="AG23" s="100">
        <v>2</v>
      </c>
      <c r="AH23" s="103">
        <f t="shared" si="27"/>
        <v>0</v>
      </c>
      <c r="AI23" s="69" t="s">
        <v>14</v>
      </c>
    </row>
    <row r="24" spans="1:35" ht="15.75" thickBot="1" x14ac:dyDescent="0.3">
      <c r="A24" s="61" t="s">
        <v>349</v>
      </c>
      <c r="B24" s="119" t="s">
        <v>18</v>
      </c>
      <c r="C24" s="122"/>
      <c r="D24" s="116" t="str">
        <f t="array" ref="D24">INDEX(Table_Name28[Name List],MATCH(B24,Table_Name28[Category],0))</f>
        <v>Biceps[Exercise]</v>
      </c>
      <c r="E24" s="113" t="e">
        <f t="array" ref="E24">INDEX(Links49[Link],MATCH(C24,Links49[Exercise],0))</f>
        <v>#N/A</v>
      </c>
      <c r="F24" s="125" t="e">
        <f t="shared" ref="F24" si="28">HYPERLINK(E24,"Video")</f>
        <v>#N/A</v>
      </c>
      <c r="G24" s="128"/>
      <c r="H24" s="143">
        <f t="shared" ref="H24" si="29">C24</f>
        <v>0</v>
      </c>
      <c r="I24" s="144">
        <v>4</v>
      </c>
      <c r="J24" s="144">
        <f>MROUND(((G24)*0.6),5)</f>
        <v>0</v>
      </c>
      <c r="K24" s="144" t="s">
        <v>11</v>
      </c>
      <c r="L24" s="144"/>
      <c r="M24" s="145"/>
      <c r="N24" s="143">
        <f t="shared" ref="N24" si="30">C24</f>
        <v>0</v>
      </c>
      <c r="O24" s="144">
        <f>I23+(M47)</f>
        <v>4</v>
      </c>
      <c r="P24" s="144">
        <f t="shared" ref="P24" si="31">MROUND((J24*1.05),5)</f>
        <v>0</v>
      </c>
      <c r="Q24" s="144" t="s">
        <v>11</v>
      </c>
      <c r="R24" s="144"/>
      <c r="S24" s="147"/>
      <c r="T24" s="148">
        <f t="shared" ref="T24" si="32">C24</f>
        <v>0</v>
      </c>
      <c r="U24" s="144">
        <f>O23+(S47)</f>
        <v>4</v>
      </c>
      <c r="V24" s="144">
        <f t="shared" ref="V24" si="33">MROUND((J24*1.075),5)</f>
        <v>0</v>
      </c>
      <c r="W24" s="144" t="s">
        <v>12</v>
      </c>
      <c r="X24" s="144"/>
      <c r="Y24" s="147"/>
      <c r="Z24" s="146">
        <f t="shared" ref="Z24" si="34">C24</f>
        <v>0</v>
      </c>
      <c r="AA24" s="144">
        <f>U23+(Y47)</f>
        <v>4</v>
      </c>
      <c r="AB24" s="144">
        <f t="shared" ref="AB24" si="35">MROUND((J24*1.1),5)</f>
        <v>0</v>
      </c>
      <c r="AC24" s="144" t="s">
        <v>13</v>
      </c>
      <c r="AD24" s="144"/>
      <c r="AE24" s="149"/>
      <c r="AF24" s="99"/>
      <c r="AG24" s="100"/>
      <c r="AH24" s="103"/>
      <c r="AI24" s="69"/>
    </row>
    <row r="25" spans="1:35" ht="15.75" thickBot="1" x14ac:dyDescent="0.3">
      <c r="B25" s="79" t="s">
        <v>343</v>
      </c>
      <c r="C25" s="83"/>
      <c r="D25" s="75" t="str">
        <f t="array" ref="D25">INDEX(Table_Name28[Name List],MATCH(B25,Table_Name28[Category],0))</f>
        <v>Rear_or_Side_Delts[Exercise]</v>
      </c>
      <c r="E25" s="70" t="e">
        <f t="array" ref="E25">INDEX(Links49[Link],MATCH(C25,Links49[Exercise],0))</f>
        <v>#N/A</v>
      </c>
      <c r="F25" s="86" t="e">
        <f t="shared" si="18"/>
        <v>#N/A</v>
      </c>
      <c r="G25" s="89"/>
      <c r="H25" s="99">
        <f t="shared" si="19"/>
        <v>0</v>
      </c>
      <c r="I25" s="100">
        <v>4</v>
      </c>
      <c r="J25" s="100">
        <f>MROUND(((G25)*0.75),5)</f>
        <v>0</v>
      </c>
      <c r="K25" s="100" t="s">
        <v>11</v>
      </c>
      <c r="L25" s="100"/>
      <c r="M25" s="69"/>
      <c r="N25" s="99">
        <f t="shared" si="20"/>
        <v>0</v>
      </c>
      <c r="O25" s="100">
        <f>I25+(M44)</f>
        <v>4</v>
      </c>
      <c r="P25" s="100">
        <f t="shared" si="21"/>
        <v>0</v>
      </c>
      <c r="Q25" s="100" t="s">
        <v>11</v>
      </c>
      <c r="R25" s="100"/>
      <c r="S25" s="150"/>
      <c r="T25" s="60">
        <f t="shared" si="22"/>
        <v>0</v>
      </c>
      <c r="U25" s="100">
        <f>O25+(S44)</f>
        <v>4</v>
      </c>
      <c r="V25" s="100">
        <f t="shared" si="23"/>
        <v>0</v>
      </c>
      <c r="W25" s="100" t="s">
        <v>12</v>
      </c>
      <c r="X25" s="100"/>
      <c r="Y25" s="150"/>
      <c r="Z25" s="101">
        <f t="shared" si="24"/>
        <v>0</v>
      </c>
      <c r="AA25" s="100">
        <f>U25+(Y44)</f>
        <v>4</v>
      </c>
      <c r="AB25" s="100">
        <f t="shared" si="25"/>
        <v>0</v>
      </c>
      <c r="AC25" s="100" t="s">
        <v>13</v>
      </c>
      <c r="AD25" s="100"/>
      <c r="AE25" s="150"/>
      <c r="AF25" s="101">
        <f t="shared" si="26"/>
        <v>0</v>
      </c>
      <c r="AG25" s="100">
        <v>2</v>
      </c>
      <c r="AH25" s="103">
        <f t="shared" si="27"/>
        <v>0</v>
      </c>
      <c r="AI25" s="69" t="s">
        <v>14</v>
      </c>
    </row>
    <row r="26" spans="1:35" ht="15.75" thickBot="1" x14ac:dyDescent="0.3">
      <c r="B26" s="80" t="s">
        <v>343</v>
      </c>
      <c r="C26" s="84"/>
      <c r="D26" s="76" t="str">
        <f t="array" ref="D26">INDEX(Table_Name28[Name List],MATCH(B26,Table_Name28[Category],0))</f>
        <v>Rear_or_Side_Delts[Exercise]</v>
      </c>
      <c r="E26" s="65" t="e">
        <f t="array" ref="E26">INDEX(Links49[Link],MATCH(C26,Links49[Exercise],0))</f>
        <v>#N/A</v>
      </c>
      <c r="F26" s="87" t="e">
        <f t="shared" si="18"/>
        <v>#N/A</v>
      </c>
      <c r="G26" s="90"/>
      <c r="H26" s="99">
        <f t="shared" si="19"/>
        <v>0</v>
      </c>
      <c r="I26" s="100">
        <v>4</v>
      </c>
      <c r="J26" s="100">
        <f>MROUND(((G26)*0.75),5)</f>
        <v>0</v>
      </c>
      <c r="K26" s="100" t="s">
        <v>11</v>
      </c>
      <c r="L26" s="100"/>
      <c r="M26" s="69"/>
      <c r="N26" s="99">
        <f t="shared" si="20"/>
        <v>0</v>
      </c>
      <c r="O26" s="100">
        <f>I26+(M44)</f>
        <v>4</v>
      </c>
      <c r="P26" s="100">
        <f t="shared" si="21"/>
        <v>0</v>
      </c>
      <c r="Q26" s="100" t="s">
        <v>11</v>
      </c>
      <c r="R26" s="100"/>
      <c r="S26" s="102"/>
      <c r="T26" s="60">
        <f t="shared" si="22"/>
        <v>0</v>
      </c>
      <c r="U26" s="100">
        <f>O26+(S44)</f>
        <v>4</v>
      </c>
      <c r="V26" s="100">
        <f t="shared" si="23"/>
        <v>0</v>
      </c>
      <c r="W26" s="100" t="s">
        <v>12</v>
      </c>
      <c r="X26" s="100"/>
      <c r="Y26" s="102"/>
      <c r="Z26" s="101">
        <f t="shared" si="24"/>
        <v>0</v>
      </c>
      <c r="AA26" s="100">
        <f>U26+(Y44)</f>
        <v>4</v>
      </c>
      <c r="AB26" s="100">
        <f t="shared" si="25"/>
        <v>0</v>
      </c>
      <c r="AC26" s="100" t="s">
        <v>13</v>
      </c>
      <c r="AD26" s="100"/>
      <c r="AE26" s="102"/>
      <c r="AF26" s="101">
        <f t="shared" si="26"/>
        <v>0</v>
      </c>
      <c r="AG26" s="100">
        <v>2</v>
      </c>
      <c r="AH26" s="103">
        <f t="shared" si="27"/>
        <v>0</v>
      </c>
      <c r="AI26" s="69" t="s">
        <v>14</v>
      </c>
    </row>
    <row r="27" spans="1:35" ht="15.75" thickBot="1" x14ac:dyDescent="0.3">
      <c r="B27" s="80" t="s">
        <v>342</v>
      </c>
      <c r="C27" s="84"/>
      <c r="D27" s="76" t="str">
        <f t="array" ref="D27">INDEX(Table_Name28[Name List],MATCH(B27,Table_Name28[Category],0))</f>
        <v>Vertical_Back[Exercise]</v>
      </c>
      <c r="E27" s="65" t="e">
        <f t="array" ref="E27">INDEX(Links49[Link],MATCH(C27,Links49[Exercise],0))</f>
        <v>#N/A</v>
      </c>
      <c r="F27" s="87" t="e">
        <f t="shared" si="18"/>
        <v>#N/A</v>
      </c>
      <c r="G27" s="90"/>
      <c r="H27" s="99">
        <f t="shared" si="19"/>
        <v>0</v>
      </c>
      <c r="I27" s="100">
        <v>3</v>
      </c>
      <c r="J27" s="100">
        <f>MROUND(((G27)*0.75),5)</f>
        <v>0</v>
      </c>
      <c r="K27" s="100" t="s">
        <v>11</v>
      </c>
      <c r="L27" s="100"/>
      <c r="M27" s="69"/>
      <c r="N27" s="99">
        <f t="shared" si="20"/>
        <v>0</v>
      </c>
      <c r="O27" s="100">
        <f>I27+(M50)</f>
        <v>3</v>
      </c>
      <c r="P27" s="100">
        <f t="shared" si="21"/>
        <v>0</v>
      </c>
      <c r="Q27" s="100" t="s">
        <v>11</v>
      </c>
      <c r="R27" s="100"/>
      <c r="S27" s="102"/>
      <c r="T27" s="60">
        <f t="shared" si="22"/>
        <v>0</v>
      </c>
      <c r="U27" s="100">
        <f>O27+(S50)</f>
        <v>3</v>
      </c>
      <c r="V27" s="100">
        <f t="shared" si="23"/>
        <v>0</v>
      </c>
      <c r="W27" s="100" t="s">
        <v>12</v>
      </c>
      <c r="X27" s="100"/>
      <c r="Y27" s="102"/>
      <c r="Z27" s="101">
        <f t="shared" si="24"/>
        <v>0</v>
      </c>
      <c r="AA27" s="100">
        <f>U27+(Y50)</f>
        <v>3</v>
      </c>
      <c r="AB27" s="100">
        <f t="shared" si="25"/>
        <v>0</v>
      </c>
      <c r="AC27" s="100" t="s">
        <v>13</v>
      </c>
      <c r="AD27" s="100"/>
      <c r="AE27" s="102"/>
      <c r="AF27" s="101">
        <f t="shared" si="26"/>
        <v>0</v>
      </c>
      <c r="AG27" s="100">
        <v>2</v>
      </c>
      <c r="AH27" s="103">
        <f t="shared" si="27"/>
        <v>0</v>
      </c>
      <c r="AI27" s="69" t="s">
        <v>14</v>
      </c>
    </row>
    <row r="28" spans="1:35" x14ac:dyDescent="0.25">
      <c r="B28" s="80" t="s">
        <v>108</v>
      </c>
      <c r="C28" s="84"/>
      <c r="D28" s="76" t="str">
        <f t="array" ref="D28">INDEX(Table_Name28[Name List],MATCH(B28,Table_Name28[Category],0))</f>
        <v>Glutes[Exercise]</v>
      </c>
      <c r="E28" s="65" t="e">
        <f t="array" ref="E28">INDEX(Links49[Link],MATCH(C28,Links49[Exercise],0))</f>
        <v>#N/A</v>
      </c>
      <c r="F28" s="87" t="e">
        <f t="shared" si="18"/>
        <v>#N/A</v>
      </c>
      <c r="G28" s="90"/>
      <c r="H28" s="99">
        <f t="shared" si="19"/>
        <v>0</v>
      </c>
      <c r="I28" s="100">
        <v>3</v>
      </c>
      <c r="J28" s="100">
        <f>MROUND(((G28)*0.75),5)</f>
        <v>0</v>
      </c>
      <c r="K28" s="100" t="s">
        <v>11</v>
      </c>
      <c r="L28" s="100"/>
      <c r="M28" s="69"/>
      <c r="N28" s="99">
        <f t="shared" si="20"/>
        <v>0</v>
      </c>
      <c r="O28" s="100">
        <f>I28</f>
        <v>3</v>
      </c>
      <c r="P28" s="100">
        <f t="shared" si="21"/>
        <v>0</v>
      </c>
      <c r="Q28" s="100" t="s">
        <v>11</v>
      </c>
      <c r="R28" s="100"/>
      <c r="S28" s="69"/>
      <c r="T28" s="60">
        <f t="shared" si="22"/>
        <v>0</v>
      </c>
      <c r="U28" s="100">
        <f>O28</f>
        <v>3</v>
      </c>
      <c r="V28" s="100">
        <f t="shared" si="23"/>
        <v>0</v>
      </c>
      <c r="W28" s="100" t="s">
        <v>12</v>
      </c>
      <c r="X28" s="100"/>
      <c r="Y28" s="69"/>
      <c r="Z28" s="101">
        <f t="shared" si="24"/>
        <v>0</v>
      </c>
      <c r="AA28" s="100">
        <f>U28</f>
        <v>3</v>
      </c>
      <c r="AB28" s="100">
        <f t="shared" si="25"/>
        <v>0</v>
      </c>
      <c r="AC28" s="100" t="s">
        <v>13</v>
      </c>
      <c r="AD28" s="100"/>
      <c r="AE28" s="69"/>
      <c r="AF28" s="101">
        <f t="shared" si="26"/>
        <v>0</v>
      </c>
      <c r="AG28" s="100">
        <v>2</v>
      </c>
      <c r="AH28" s="103">
        <f t="shared" si="27"/>
        <v>0</v>
      </c>
      <c r="AI28" s="69" t="s">
        <v>14</v>
      </c>
    </row>
    <row r="29" spans="1:35" ht="15.75" thickBot="1" x14ac:dyDescent="0.3">
      <c r="B29" s="81" t="s">
        <v>344</v>
      </c>
      <c r="C29" s="85"/>
      <c r="D29" s="77" t="str">
        <f t="array" ref="D29">INDEX(Table_Name28[Name List],MATCH(B29,Table_Name28[Category],0))</f>
        <v>Hamstrings_Isolation[Exercise]</v>
      </c>
      <c r="E29" s="66" t="e">
        <f t="array" ref="E29">INDEX(Links49[Link],MATCH(C29,Links49[Exercise],0))</f>
        <v>#N/A</v>
      </c>
      <c r="F29" s="88" t="e">
        <f t="shared" si="18"/>
        <v>#N/A</v>
      </c>
      <c r="G29" s="91"/>
      <c r="H29" s="104">
        <f t="shared" si="19"/>
        <v>0</v>
      </c>
      <c r="I29" s="105">
        <v>3</v>
      </c>
      <c r="J29" s="105">
        <f>MROUND(((G29)*0.75),5)</f>
        <v>0</v>
      </c>
      <c r="K29" s="105" t="s">
        <v>11</v>
      </c>
      <c r="L29" s="105"/>
      <c r="M29" s="62"/>
      <c r="N29" s="106">
        <f t="shared" si="20"/>
        <v>0</v>
      </c>
      <c r="O29" s="105">
        <f>I29</f>
        <v>3</v>
      </c>
      <c r="P29" s="105">
        <f t="shared" si="21"/>
        <v>0</v>
      </c>
      <c r="Q29" s="105" t="s">
        <v>11</v>
      </c>
      <c r="R29" s="105"/>
      <c r="S29" s="62"/>
      <c r="T29" s="107">
        <f t="shared" si="22"/>
        <v>0</v>
      </c>
      <c r="U29" s="105">
        <f>O29</f>
        <v>3</v>
      </c>
      <c r="V29" s="105">
        <f t="shared" si="23"/>
        <v>0</v>
      </c>
      <c r="W29" s="105" t="s">
        <v>12</v>
      </c>
      <c r="X29" s="105"/>
      <c r="Y29" s="62"/>
      <c r="Z29" s="106">
        <f t="shared" si="24"/>
        <v>0</v>
      </c>
      <c r="AA29" s="105">
        <f>U29</f>
        <v>3</v>
      </c>
      <c r="AB29" s="105">
        <f t="shared" si="25"/>
        <v>0</v>
      </c>
      <c r="AC29" s="105" t="s">
        <v>13</v>
      </c>
      <c r="AD29" s="105"/>
      <c r="AE29" s="62"/>
      <c r="AF29" s="106">
        <f t="shared" si="26"/>
        <v>0</v>
      </c>
      <c r="AG29" s="105">
        <v>2</v>
      </c>
      <c r="AH29" s="108">
        <f t="shared" si="27"/>
        <v>0</v>
      </c>
      <c r="AI29" s="62" t="s">
        <v>14</v>
      </c>
    </row>
    <row r="30" spans="1:35" ht="19.5" thickBot="1" x14ac:dyDescent="0.3">
      <c r="B30" s="68" t="s">
        <v>338</v>
      </c>
      <c r="C30" s="39"/>
      <c r="D30" s="39"/>
      <c r="E30" s="39"/>
      <c r="F30" s="39"/>
      <c r="G30" s="69"/>
      <c r="H30" s="153" t="s">
        <v>1</v>
      </c>
      <c r="I30" s="154"/>
      <c r="J30" s="154"/>
      <c r="K30" s="154"/>
      <c r="L30" s="154"/>
      <c r="M30" s="155"/>
      <c r="N30" s="156" t="s">
        <v>2</v>
      </c>
      <c r="O30" s="157"/>
      <c r="P30" s="157"/>
      <c r="Q30" s="157"/>
      <c r="R30" s="157"/>
      <c r="S30" s="158"/>
      <c r="T30" s="159" t="s">
        <v>3</v>
      </c>
      <c r="U30" s="160"/>
      <c r="V30" s="160"/>
      <c r="W30" s="160"/>
      <c r="X30" s="160"/>
      <c r="Y30" s="161"/>
      <c r="Z30" s="162" t="s">
        <v>4</v>
      </c>
      <c r="AA30" s="163"/>
      <c r="AB30" s="163"/>
      <c r="AC30" s="163"/>
      <c r="AD30" s="163"/>
      <c r="AE30" s="164"/>
      <c r="AF30" s="165" t="s">
        <v>5</v>
      </c>
      <c r="AG30" s="166"/>
      <c r="AH30" s="166"/>
      <c r="AI30" s="167"/>
    </row>
    <row r="31" spans="1:35" ht="15.75" thickBot="1" x14ac:dyDescent="0.3">
      <c r="B31" s="39"/>
      <c r="C31" s="39"/>
      <c r="D31" s="39"/>
      <c r="E31" s="39"/>
      <c r="F31" s="39"/>
      <c r="G31" s="69"/>
      <c r="H31" s="93" t="s">
        <v>88</v>
      </c>
      <c r="I31" s="94" t="s">
        <v>6</v>
      </c>
      <c r="J31" s="95" t="s">
        <v>7</v>
      </c>
      <c r="K31" s="64" t="s">
        <v>8</v>
      </c>
      <c r="L31" s="64" t="s">
        <v>9</v>
      </c>
      <c r="M31" s="96" t="s">
        <v>10</v>
      </c>
      <c r="N31" s="94" t="s">
        <v>88</v>
      </c>
      <c r="O31" s="94" t="s">
        <v>6</v>
      </c>
      <c r="P31" s="95" t="s">
        <v>7</v>
      </c>
      <c r="Q31" s="64" t="s">
        <v>8</v>
      </c>
      <c r="R31" s="64" t="s">
        <v>9</v>
      </c>
      <c r="S31" s="96" t="s">
        <v>10</v>
      </c>
      <c r="T31" s="94" t="s">
        <v>88</v>
      </c>
      <c r="U31" s="94" t="s">
        <v>6</v>
      </c>
      <c r="V31" s="95" t="s">
        <v>7</v>
      </c>
      <c r="W31" s="64" t="s">
        <v>8</v>
      </c>
      <c r="X31" s="64" t="s">
        <v>9</v>
      </c>
      <c r="Y31" s="96" t="s">
        <v>10</v>
      </c>
      <c r="Z31" s="94" t="s">
        <v>88</v>
      </c>
      <c r="AA31" s="94" t="s">
        <v>6</v>
      </c>
      <c r="AB31" s="95" t="s">
        <v>7</v>
      </c>
      <c r="AC31" s="110" t="s">
        <v>15</v>
      </c>
      <c r="AD31" s="64" t="s">
        <v>9</v>
      </c>
      <c r="AE31" s="96" t="s">
        <v>10</v>
      </c>
      <c r="AF31" s="94" t="s">
        <v>88</v>
      </c>
      <c r="AG31" s="94" t="s">
        <v>6</v>
      </c>
      <c r="AH31" s="95" t="s">
        <v>7</v>
      </c>
      <c r="AI31" s="97" t="s">
        <v>8</v>
      </c>
    </row>
    <row r="32" spans="1:35" ht="15.75" thickBot="1" x14ac:dyDescent="0.3">
      <c r="B32" s="78" t="s">
        <v>346</v>
      </c>
      <c r="C32" s="82" t="s">
        <v>103</v>
      </c>
      <c r="D32" s="71"/>
      <c r="E32" s="92"/>
      <c r="F32" s="82" t="s">
        <v>351</v>
      </c>
      <c r="G32" s="82" t="s">
        <v>352</v>
      </c>
      <c r="H32" s="64" t="s">
        <v>103</v>
      </c>
      <c r="I32" s="98"/>
      <c r="J32" s="98"/>
      <c r="K32" s="98"/>
      <c r="L32" s="98"/>
      <c r="M32" s="67"/>
      <c r="N32" s="63" t="s">
        <v>103</v>
      </c>
      <c r="O32" s="98"/>
      <c r="P32" s="98"/>
      <c r="Q32" s="98"/>
      <c r="R32" s="98"/>
      <c r="S32" s="67"/>
      <c r="T32" s="63" t="s">
        <v>103</v>
      </c>
      <c r="U32" s="98"/>
      <c r="V32" s="98"/>
      <c r="W32" s="98"/>
      <c r="X32" s="98"/>
      <c r="Y32" s="98"/>
      <c r="Z32" s="63" t="s">
        <v>103</v>
      </c>
      <c r="AA32" s="98"/>
      <c r="AB32" s="98"/>
      <c r="AC32" s="98"/>
      <c r="AD32" s="98"/>
      <c r="AE32" s="98"/>
      <c r="AF32" s="63" t="s">
        <v>103</v>
      </c>
      <c r="AG32" s="98"/>
      <c r="AH32" s="98"/>
      <c r="AI32" s="67"/>
    </row>
    <row r="33" spans="1:35" ht="15.75" thickBot="1" x14ac:dyDescent="0.3">
      <c r="B33" s="79" t="s">
        <v>104</v>
      </c>
      <c r="C33" s="83"/>
      <c r="D33" s="75" t="str">
        <f t="array" ref="D33">INDEX(Table_Name28[Name List],MATCH(B33,Table_Name28[Category],0))</f>
        <v>Front_Delts[Exercise]</v>
      </c>
      <c r="E33" s="70" t="e">
        <f t="array" ref="E33">INDEX(Links49[Link],MATCH(C33,Links49[Exercise],0))</f>
        <v>#N/A</v>
      </c>
      <c r="F33" s="86" t="e">
        <f t="shared" ref="F33:F40" si="36">HYPERLINK(E33,"Video")</f>
        <v>#N/A</v>
      </c>
      <c r="G33" s="89"/>
      <c r="H33" s="99">
        <f t="shared" ref="H33:H40" si="37">C33</f>
        <v>0</v>
      </c>
      <c r="I33" s="100">
        <v>4</v>
      </c>
      <c r="J33" s="100">
        <f>MROUND(((G33)*0.75),5)</f>
        <v>0</v>
      </c>
      <c r="K33" s="100" t="s">
        <v>11</v>
      </c>
      <c r="L33" s="100"/>
      <c r="M33" s="102"/>
      <c r="N33" s="99">
        <f t="shared" ref="N33:N40" si="38">C33</f>
        <v>0</v>
      </c>
      <c r="O33" s="100">
        <f>I33+(S13)</f>
        <v>4</v>
      </c>
      <c r="P33" s="100">
        <f t="shared" ref="P33:P40" si="39">MROUND((J33*1.05),5)</f>
        <v>0</v>
      </c>
      <c r="Q33" s="100" t="s">
        <v>11</v>
      </c>
      <c r="R33" s="100"/>
      <c r="S33" s="102"/>
      <c r="T33" s="60">
        <f t="shared" ref="T33:T40" si="40">C33</f>
        <v>0</v>
      </c>
      <c r="U33" s="100">
        <f>O33+(Y13)</f>
        <v>4</v>
      </c>
      <c r="V33" s="100">
        <f t="shared" ref="V33:V40" si="41">MROUND((J33*1.075),5)</f>
        <v>0</v>
      </c>
      <c r="W33" s="100" t="s">
        <v>12</v>
      </c>
      <c r="X33" s="100"/>
      <c r="Y33" s="102"/>
      <c r="Z33" s="101">
        <f t="shared" ref="Z33:Z40" si="42">C33</f>
        <v>0</v>
      </c>
      <c r="AA33" s="100">
        <f>U33+(AE13)</f>
        <v>4</v>
      </c>
      <c r="AB33" s="100">
        <f t="shared" ref="AB33:AB40" si="43">MROUND((J33*1.1),5)</f>
        <v>0</v>
      </c>
      <c r="AC33" s="100" t="s">
        <v>13</v>
      </c>
      <c r="AD33" s="100"/>
      <c r="AE33" s="100"/>
      <c r="AF33" s="101">
        <f t="shared" ref="AF33:AF40" si="44">C33</f>
        <v>0</v>
      </c>
      <c r="AG33" s="100">
        <v>2</v>
      </c>
      <c r="AH33" s="103">
        <f t="shared" ref="AH33:AH40" si="45">MROUND((J33*0.5),5)</f>
        <v>0</v>
      </c>
      <c r="AI33" s="69" t="s">
        <v>14</v>
      </c>
    </row>
    <row r="34" spans="1:35" ht="15.75" thickBot="1" x14ac:dyDescent="0.3">
      <c r="B34" s="117" t="s">
        <v>104</v>
      </c>
      <c r="C34" s="120"/>
      <c r="D34" s="114" t="str">
        <f t="array" ref="D34">INDEX(Table_Name28[Name List],MATCH(B34,Table_Name28[Category],0))</f>
        <v>Front_Delts[Exercise]</v>
      </c>
      <c r="E34" s="111" t="e">
        <f t="array" ref="E34">INDEX(Links49[Link],MATCH(C34,Links49[Exercise],0))</f>
        <v>#N/A</v>
      </c>
      <c r="F34" s="123" t="e">
        <f t="shared" si="36"/>
        <v>#N/A</v>
      </c>
      <c r="G34" s="126"/>
      <c r="H34" s="99">
        <f t="shared" si="37"/>
        <v>0</v>
      </c>
      <c r="I34" s="100">
        <v>4</v>
      </c>
      <c r="J34" s="144">
        <f>MROUND(((G34)*0.75),5)</f>
        <v>0</v>
      </c>
      <c r="K34" s="100" t="s">
        <v>11</v>
      </c>
      <c r="L34" s="100"/>
      <c r="M34" s="135"/>
      <c r="N34" s="99">
        <f t="shared" si="38"/>
        <v>0</v>
      </c>
      <c r="O34" s="100">
        <f>I34+(S13)</f>
        <v>4</v>
      </c>
      <c r="P34" s="100">
        <f t="shared" si="39"/>
        <v>0</v>
      </c>
      <c r="Q34" s="100" t="s">
        <v>11</v>
      </c>
      <c r="R34" s="100"/>
      <c r="S34" s="135"/>
      <c r="T34" s="60">
        <f t="shared" si="40"/>
        <v>0</v>
      </c>
      <c r="U34" s="100">
        <f>O34+(Y13)</f>
        <v>4</v>
      </c>
      <c r="V34" s="100">
        <f t="shared" si="41"/>
        <v>0</v>
      </c>
      <c r="W34" s="100" t="s">
        <v>12</v>
      </c>
      <c r="X34" s="100"/>
      <c r="Y34" s="135"/>
      <c r="Z34" s="101">
        <f t="shared" si="42"/>
        <v>0</v>
      </c>
      <c r="AA34" s="100">
        <f>U34+(AE13)</f>
        <v>4</v>
      </c>
      <c r="AB34" s="100">
        <f t="shared" si="43"/>
        <v>0</v>
      </c>
      <c r="AC34" s="100" t="s">
        <v>13</v>
      </c>
      <c r="AD34" s="100"/>
      <c r="AE34" s="100"/>
      <c r="AF34" s="101">
        <f t="shared" si="44"/>
        <v>0</v>
      </c>
      <c r="AG34" s="100">
        <v>2</v>
      </c>
      <c r="AH34" s="103">
        <f t="shared" si="45"/>
        <v>0</v>
      </c>
      <c r="AI34" s="69" t="s">
        <v>14</v>
      </c>
    </row>
    <row r="35" spans="1:35" ht="15.75" thickBot="1" x14ac:dyDescent="0.3">
      <c r="A35" s="61" t="s">
        <v>348</v>
      </c>
      <c r="B35" s="118" t="s">
        <v>17</v>
      </c>
      <c r="C35" s="121"/>
      <c r="D35" s="115" t="str">
        <f t="array" ref="D35">INDEX(Table_Name28[Name List],MATCH(B35,Table_Name28[Category],0))</f>
        <v>Triceps[Exercise]</v>
      </c>
      <c r="E35" s="112" t="e">
        <f t="array" ref="E35">INDEX(Links49[Link],MATCH(C35,Links49[Exercise],0))</f>
        <v>#N/A</v>
      </c>
      <c r="F35" s="124" t="e">
        <f t="shared" si="36"/>
        <v>#N/A</v>
      </c>
      <c r="G35" s="127"/>
      <c r="H35" s="136">
        <f t="shared" si="37"/>
        <v>0</v>
      </c>
      <c r="I35" s="137">
        <v>4</v>
      </c>
      <c r="J35" s="100">
        <f>MROUND(((G35)*0.75),5)</f>
        <v>0</v>
      </c>
      <c r="K35" s="137" t="s">
        <v>11</v>
      </c>
      <c r="L35" s="137"/>
      <c r="M35" s="140"/>
      <c r="N35" s="136">
        <f t="shared" si="38"/>
        <v>0</v>
      </c>
      <c r="O35" s="137">
        <f>I35+(S11)</f>
        <v>4</v>
      </c>
      <c r="P35" s="137">
        <f t="shared" si="39"/>
        <v>0</v>
      </c>
      <c r="Q35" s="137" t="s">
        <v>11</v>
      </c>
      <c r="R35" s="137"/>
      <c r="S35" s="140"/>
      <c r="T35" s="141">
        <f t="shared" si="40"/>
        <v>0</v>
      </c>
      <c r="U35" s="137">
        <f>O35+(Y11)</f>
        <v>4</v>
      </c>
      <c r="V35" s="137">
        <f t="shared" si="41"/>
        <v>0</v>
      </c>
      <c r="W35" s="137" t="s">
        <v>12</v>
      </c>
      <c r="X35" s="137"/>
      <c r="Y35" s="140"/>
      <c r="Z35" s="139">
        <f t="shared" si="42"/>
        <v>0</v>
      </c>
      <c r="AA35" s="137">
        <f>U35+(AE11)</f>
        <v>4</v>
      </c>
      <c r="AB35" s="137">
        <f t="shared" si="43"/>
        <v>0</v>
      </c>
      <c r="AC35" s="137" t="s">
        <v>13</v>
      </c>
      <c r="AD35" s="137"/>
      <c r="AE35" s="151"/>
      <c r="AF35" s="99">
        <f t="shared" si="44"/>
        <v>0</v>
      </c>
      <c r="AG35" s="100">
        <v>2</v>
      </c>
      <c r="AH35" s="103">
        <f t="shared" si="45"/>
        <v>0</v>
      </c>
      <c r="AI35" s="69" t="s">
        <v>14</v>
      </c>
    </row>
    <row r="36" spans="1:35" ht="15.75" thickBot="1" x14ac:dyDescent="0.3">
      <c r="A36" s="61" t="s">
        <v>349</v>
      </c>
      <c r="B36" s="119" t="s">
        <v>104</v>
      </c>
      <c r="C36" s="122"/>
      <c r="D36" s="116" t="str">
        <f t="array" ref="D36">INDEX(Table_Name28[Name List],MATCH(B36,Table_Name28[Category],0))</f>
        <v>Front_Delts[Exercise]</v>
      </c>
      <c r="E36" s="113" t="e">
        <f t="array" ref="E36">INDEX(Links49[Link],MATCH(C36,Links49[Exercise],0))</f>
        <v>#N/A</v>
      </c>
      <c r="F36" s="125" t="e">
        <f t="shared" ref="F36" si="46">HYPERLINK(E36,"Video")</f>
        <v>#N/A</v>
      </c>
      <c r="G36" s="128"/>
      <c r="H36" s="143">
        <f t="shared" ref="H36" si="47">C36</f>
        <v>0</v>
      </c>
      <c r="I36" s="144">
        <v>4</v>
      </c>
      <c r="J36" s="144">
        <f>MROUND(((G36)*0.6),5)</f>
        <v>0</v>
      </c>
      <c r="K36" s="144" t="s">
        <v>11</v>
      </c>
      <c r="L36" s="144"/>
      <c r="M36" s="147"/>
      <c r="N36" s="143">
        <f t="shared" ref="N36" si="48">C36</f>
        <v>0</v>
      </c>
      <c r="O36" s="144">
        <f>I35+(S11)</f>
        <v>4</v>
      </c>
      <c r="P36" s="144">
        <f t="shared" ref="P36" si="49">MROUND((J36*1.05),5)</f>
        <v>0</v>
      </c>
      <c r="Q36" s="144" t="s">
        <v>11</v>
      </c>
      <c r="R36" s="144"/>
      <c r="S36" s="147"/>
      <c r="T36" s="148">
        <f t="shared" ref="T36" si="50">C36</f>
        <v>0</v>
      </c>
      <c r="U36" s="144">
        <f>O35+(Y11)</f>
        <v>4</v>
      </c>
      <c r="V36" s="144">
        <f t="shared" ref="V36" si="51">MROUND((J36*1.075),5)</f>
        <v>0</v>
      </c>
      <c r="W36" s="144" t="s">
        <v>12</v>
      </c>
      <c r="X36" s="144"/>
      <c r="Y36" s="147"/>
      <c r="Z36" s="146">
        <f t="shared" ref="Z36" si="52">C36</f>
        <v>0</v>
      </c>
      <c r="AA36" s="144">
        <f>U35+(AE11)</f>
        <v>4</v>
      </c>
      <c r="AB36" s="144">
        <f t="shared" ref="AB36" si="53">MROUND((J36*1.1),5)</f>
        <v>0</v>
      </c>
      <c r="AC36" s="144" t="s">
        <v>13</v>
      </c>
      <c r="AD36" s="144"/>
      <c r="AE36" s="152"/>
      <c r="AF36" s="99"/>
      <c r="AG36" s="100"/>
      <c r="AH36" s="103"/>
      <c r="AI36" s="69"/>
    </row>
    <row r="37" spans="1:35" ht="15.75" thickBot="1" x14ac:dyDescent="0.3">
      <c r="B37" s="79" t="s">
        <v>105</v>
      </c>
      <c r="C37" s="83"/>
      <c r="D37" s="75" t="str">
        <f t="array" ref="D37">INDEX(Table_Name28[Name List],MATCH(B37,Table_Name28[Category],0))</f>
        <v>Side_Delts[Exercise]</v>
      </c>
      <c r="E37" s="70" t="e">
        <f t="array" ref="E37">INDEX(Links49[Link],MATCH(C37,Links49[Exercise],0))</f>
        <v>#N/A</v>
      </c>
      <c r="F37" s="86" t="e">
        <f t="shared" si="36"/>
        <v>#N/A</v>
      </c>
      <c r="G37" s="89"/>
      <c r="H37" s="99">
        <f t="shared" si="37"/>
        <v>0</v>
      </c>
      <c r="I37" s="100">
        <v>4</v>
      </c>
      <c r="J37" s="100">
        <f>MROUND(((G37)*0.75),5)</f>
        <v>0</v>
      </c>
      <c r="K37" s="100" t="s">
        <v>11</v>
      </c>
      <c r="L37" s="100"/>
      <c r="M37" s="150"/>
      <c r="N37" s="99">
        <f t="shared" si="38"/>
        <v>0</v>
      </c>
      <c r="O37" s="100">
        <f>I37+(S14)</f>
        <v>4</v>
      </c>
      <c r="P37" s="100">
        <f t="shared" si="39"/>
        <v>0</v>
      </c>
      <c r="Q37" s="100" t="s">
        <v>11</v>
      </c>
      <c r="R37" s="100"/>
      <c r="S37" s="150"/>
      <c r="T37" s="60">
        <f t="shared" si="40"/>
        <v>0</v>
      </c>
      <c r="U37" s="100">
        <f>O37+(Y14)</f>
        <v>4</v>
      </c>
      <c r="V37" s="100">
        <f t="shared" si="41"/>
        <v>0</v>
      </c>
      <c r="W37" s="100" t="s">
        <v>12</v>
      </c>
      <c r="X37" s="100"/>
      <c r="Y37" s="150"/>
      <c r="Z37" s="101">
        <f t="shared" si="42"/>
        <v>0</v>
      </c>
      <c r="AA37" s="100">
        <f>U37+(AE14)</f>
        <v>4</v>
      </c>
      <c r="AB37" s="100">
        <f t="shared" si="43"/>
        <v>0</v>
      </c>
      <c r="AC37" s="100" t="s">
        <v>13</v>
      </c>
      <c r="AD37" s="100"/>
      <c r="AE37" s="100"/>
      <c r="AF37" s="101">
        <f t="shared" si="44"/>
        <v>0</v>
      </c>
      <c r="AG37" s="100">
        <v>2</v>
      </c>
      <c r="AH37" s="103">
        <f t="shared" si="45"/>
        <v>0</v>
      </c>
      <c r="AI37" s="69" t="s">
        <v>14</v>
      </c>
    </row>
    <row r="38" spans="1:35" ht="15.75" thickBot="1" x14ac:dyDescent="0.3">
      <c r="B38" s="80" t="s">
        <v>22</v>
      </c>
      <c r="C38" s="84"/>
      <c r="D38" s="76" t="str">
        <f t="array" ref="D38">INDEX(Table_Name28[Name List],MATCH(B38,Table_Name28[Category],0))</f>
        <v>Horizontal_Push[Exercise]</v>
      </c>
      <c r="E38" s="65" t="e">
        <f t="array" ref="E38">INDEX(Links49[Link],MATCH(C38,Links49[Exercise],0))</f>
        <v>#N/A</v>
      </c>
      <c r="F38" s="87" t="e">
        <f t="shared" si="36"/>
        <v>#N/A</v>
      </c>
      <c r="G38" s="90"/>
      <c r="H38" s="99">
        <f t="shared" si="37"/>
        <v>0</v>
      </c>
      <c r="I38" s="100">
        <v>3</v>
      </c>
      <c r="J38" s="100">
        <f>MROUND(((G38)*0.75),5)</f>
        <v>0</v>
      </c>
      <c r="K38" s="100" t="s">
        <v>11</v>
      </c>
      <c r="L38" s="100"/>
      <c r="M38" s="102"/>
      <c r="N38" s="99">
        <f t="shared" si="38"/>
        <v>0</v>
      </c>
      <c r="O38" s="100">
        <f>I38+(S16)</f>
        <v>3</v>
      </c>
      <c r="P38" s="100">
        <f t="shared" si="39"/>
        <v>0</v>
      </c>
      <c r="Q38" s="100" t="s">
        <v>11</v>
      </c>
      <c r="R38" s="100"/>
      <c r="S38" s="102"/>
      <c r="T38" s="60">
        <f t="shared" si="40"/>
        <v>0</v>
      </c>
      <c r="U38" s="100">
        <f>O38+(Y16)</f>
        <v>3</v>
      </c>
      <c r="V38" s="100">
        <f t="shared" si="41"/>
        <v>0</v>
      </c>
      <c r="W38" s="100" t="s">
        <v>12</v>
      </c>
      <c r="X38" s="100"/>
      <c r="Y38" s="102"/>
      <c r="Z38" s="101">
        <f t="shared" si="42"/>
        <v>0</v>
      </c>
      <c r="AA38" s="100">
        <f>U38+(AE16)</f>
        <v>3</v>
      </c>
      <c r="AB38" s="100">
        <f t="shared" si="43"/>
        <v>0</v>
      </c>
      <c r="AC38" s="100" t="s">
        <v>13</v>
      </c>
      <c r="AD38" s="100"/>
      <c r="AE38" s="100"/>
      <c r="AF38" s="101">
        <f t="shared" si="44"/>
        <v>0</v>
      </c>
      <c r="AG38" s="100">
        <v>2</v>
      </c>
      <c r="AH38" s="103">
        <f t="shared" si="45"/>
        <v>0</v>
      </c>
      <c r="AI38" s="69" t="s">
        <v>14</v>
      </c>
    </row>
    <row r="39" spans="1:35" x14ac:dyDescent="0.25">
      <c r="B39" s="80" t="s">
        <v>20</v>
      </c>
      <c r="C39" s="84"/>
      <c r="D39" s="76" t="str">
        <f t="array" ref="D39">INDEX(Table_Name28[Name List],MATCH(B39,Table_Name28[Category],0))</f>
        <v>Quads[Exercise]</v>
      </c>
      <c r="E39" s="65" t="e">
        <f t="array" ref="E39">INDEX(Links49[Link],MATCH(C39,Links49[Exercise],0))</f>
        <v>#N/A</v>
      </c>
      <c r="F39" s="87" t="e">
        <f t="shared" si="36"/>
        <v>#N/A</v>
      </c>
      <c r="G39" s="90"/>
      <c r="H39" s="99">
        <f t="shared" si="37"/>
        <v>0</v>
      </c>
      <c r="I39" s="100">
        <v>3</v>
      </c>
      <c r="J39" s="100">
        <f>MROUND(((G39)*0.75),5)</f>
        <v>0</v>
      </c>
      <c r="K39" s="100" t="s">
        <v>11</v>
      </c>
      <c r="L39" s="100"/>
      <c r="M39" s="69"/>
      <c r="N39" s="99">
        <f t="shared" si="38"/>
        <v>0</v>
      </c>
      <c r="O39" s="100">
        <f>I39</f>
        <v>3</v>
      </c>
      <c r="P39" s="100">
        <f t="shared" si="39"/>
        <v>0</v>
      </c>
      <c r="Q39" s="100" t="s">
        <v>11</v>
      </c>
      <c r="R39" s="100"/>
      <c r="S39" s="69"/>
      <c r="T39" s="60">
        <f t="shared" si="40"/>
        <v>0</v>
      </c>
      <c r="U39" s="100">
        <f>O39</f>
        <v>3</v>
      </c>
      <c r="V39" s="100">
        <f t="shared" si="41"/>
        <v>0</v>
      </c>
      <c r="W39" s="100" t="s">
        <v>12</v>
      </c>
      <c r="X39" s="100"/>
      <c r="Y39" s="69"/>
      <c r="Z39" s="101">
        <f t="shared" si="42"/>
        <v>0</v>
      </c>
      <c r="AA39" s="100">
        <f>U39</f>
        <v>3</v>
      </c>
      <c r="AB39" s="100">
        <f t="shared" si="43"/>
        <v>0</v>
      </c>
      <c r="AC39" s="100" t="s">
        <v>13</v>
      </c>
      <c r="AD39" s="100"/>
      <c r="AE39" s="100"/>
      <c r="AF39" s="101">
        <f t="shared" si="44"/>
        <v>0</v>
      </c>
      <c r="AG39" s="100">
        <v>2</v>
      </c>
      <c r="AH39" s="103">
        <f t="shared" si="45"/>
        <v>0</v>
      </c>
      <c r="AI39" s="69" t="s">
        <v>14</v>
      </c>
    </row>
    <row r="40" spans="1:35" ht="15.75" thickBot="1" x14ac:dyDescent="0.3">
      <c r="B40" s="81" t="s">
        <v>19</v>
      </c>
      <c r="C40" s="85"/>
      <c r="D40" s="77" t="str">
        <f t="array" ref="D40">INDEX(Table_Name28[Name List],MATCH(B40,Table_Name28[Category],0))</f>
        <v>Calves[Exercise]</v>
      </c>
      <c r="E40" s="66" t="e">
        <f t="array" ref="E40">INDEX(Links49[Link],MATCH(C40,Links49[Exercise],0))</f>
        <v>#N/A</v>
      </c>
      <c r="F40" s="88" t="e">
        <f t="shared" si="36"/>
        <v>#N/A</v>
      </c>
      <c r="G40" s="91"/>
      <c r="H40" s="104">
        <f t="shared" si="37"/>
        <v>0</v>
      </c>
      <c r="I40" s="105">
        <v>4</v>
      </c>
      <c r="J40" s="105">
        <f>MROUND(((G40)*0.75),5)</f>
        <v>0</v>
      </c>
      <c r="K40" s="105" t="s">
        <v>11</v>
      </c>
      <c r="L40" s="105"/>
      <c r="M40" s="62"/>
      <c r="N40" s="106">
        <f t="shared" si="38"/>
        <v>0</v>
      </c>
      <c r="O40" s="105">
        <f>I40</f>
        <v>4</v>
      </c>
      <c r="P40" s="105">
        <f t="shared" si="39"/>
        <v>0</v>
      </c>
      <c r="Q40" s="105" t="s">
        <v>11</v>
      </c>
      <c r="R40" s="105"/>
      <c r="S40" s="62"/>
      <c r="T40" s="107">
        <f t="shared" si="40"/>
        <v>0</v>
      </c>
      <c r="U40" s="105">
        <f>O40</f>
        <v>4</v>
      </c>
      <c r="V40" s="105">
        <f t="shared" si="41"/>
        <v>0</v>
      </c>
      <c r="W40" s="105" t="s">
        <v>12</v>
      </c>
      <c r="X40" s="105"/>
      <c r="Y40" s="62"/>
      <c r="Z40" s="106">
        <f t="shared" si="42"/>
        <v>0</v>
      </c>
      <c r="AA40" s="105">
        <f>U40</f>
        <v>4</v>
      </c>
      <c r="AB40" s="105">
        <f t="shared" si="43"/>
        <v>0</v>
      </c>
      <c r="AC40" s="105" t="s">
        <v>13</v>
      </c>
      <c r="AD40" s="105"/>
      <c r="AE40" s="105"/>
      <c r="AF40" s="106">
        <f t="shared" si="44"/>
        <v>0</v>
      </c>
      <c r="AG40" s="105">
        <v>2</v>
      </c>
      <c r="AH40" s="108">
        <f t="shared" si="45"/>
        <v>0</v>
      </c>
      <c r="AI40" s="62" t="s">
        <v>14</v>
      </c>
    </row>
    <row r="41" spans="1:35" ht="19.5" thickBot="1" x14ac:dyDescent="0.3">
      <c r="B41" s="68" t="s">
        <v>339</v>
      </c>
      <c r="C41" s="39"/>
      <c r="D41" s="39"/>
      <c r="E41" s="39"/>
      <c r="F41" s="39"/>
      <c r="G41" s="69"/>
      <c r="H41" s="153" t="s">
        <v>1</v>
      </c>
      <c r="I41" s="154"/>
      <c r="J41" s="154"/>
      <c r="K41" s="154"/>
      <c r="L41" s="154"/>
      <c r="M41" s="155"/>
      <c r="N41" s="156" t="s">
        <v>2</v>
      </c>
      <c r="O41" s="157"/>
      <c r="P41" s="157"/>
      <c r="Q41" s="157"/>
      <c r="R41" s="157"/>
      <c r="S41" s="158"/>
      <c r="T41" s="159" t="s">
        <v>3</v>
      </c>
      <c r="U41" s="160"/>
      <c r="V41" s="160"/>
      <c r="W41" s="160"/>
      <c r="X41" s="160"/>
      <c r="Y41" s="161"/>
      <c r="Z41" s="162" t="s">
        <v>4</v>
      </c>
      <c r="AA41" s="163"/>
      <c r="AB41" s="163"/>
      <c r="AC41" s="163"/>
      <c r="AD41" s="163"/>
      <c r="AE41" s="164"/>
      <c r="AF41" s="165" t="s">
        <v>5</v>
      </c>
      <c r="AG41" s="166"/>
      <c r="AH41" s="166"/>
      <c r="AI41" s="167"/>
    </row>
    <row r="42" spans="1:35" ht="15.75" thickBot="1" x14ac:dyDescent="0.3">
      <c r="B42" s="39"/>
      <c r="C42" s="39"/>
      <c r="D42" s="39"/>
      <c r="E42" s="39"/>
      <c r="F42" s="39"/>
      <c r="G42" s="39"/>
      <c r="H42" s="93" t="s">
        <v>88</v>
      </c>
      <c r="I42" s="94" t="s">
        <v>6</v>
      </c>
      <c r="J42" s="95" t="s">
        <v>7</v>
      </c>
      <c r="K42" s="64" t="s">
        <v>8</v>
      </c>
      <c r="L42" s="64" t="s">
        <v>9</v>
      </c>
      <c r="M42" s="96" t="s">
        <v>10</v>
      </c>
      <c r="N42" s="94" t="s">
        <v>88</v>
      </c>
      <c r="O42" s="94" t="s">
        <v>6</v>
      </c>
      <c r="P42" s="95" t="s">
        <v>7</v>
      </c>
      <c r="Q42" s="64" t="s">
        <v>8</v>
      </c>
      <c r="R42" s="64" t="s">
        <v>9</v>
      </c>
      <c r="S42" s="96" t="s">
        <v>10</v>
      </c>
      <c r="T42" s="94" t="s">
        <v>88</v>
      </c>
      <c r="U42" s="94" t="s">
        <v>6</v>
      </c>
      <c r="V42" s="95" t="s">
        <v>7</v>
      </c>
      <c r="W42" s="64" t="s">
        <v>8</v>
      </c>
      <c r="X42" s="64" t="s">
        <v>9</v>
      </c>
      <c r="Y42" s="96" t="s">
        <v>10</v>
      </c>
      <c r="Z42" s="94" t="s">
        <v>88</v>
      </c>
      <c r="AA42" s="94" t="s">
        <v>6</v>
      </c>
      <c r="AB42" s="95" t="s">
        <v>7</v>
      </c>
      <c r="AC42" s="110" t="s">
        <v>15</v>
      </c>
      <c r="AD42" s="64" t="s">
        <v>9</v>
      </c>
      <c r="AE42" s="96" t="s">
        <v>10</v>
      </c>
      <c r="AF42" s="94" t="s">
        <v>88</v>
      </c>
      <c r="AG42" s="94" t="s">
        <v>6</v>
      </c>
      <c r="AH42" s="95" t="s">
        <v>7</v>
      </c>
      <c r="AI42" s="97" t="s">
        <v>8</v>
      </c>
    </row>
    <row r="43" spans="1:35" ht="15.75" thickBot="1" x14ac:dyDescent="0.3">
      <c r="B43" s="78" t="s">
        <v>347</v>
      </c>
      <c r="C43" s="82" t="s">
        <v>336</v>
      </c>
      <c r="D43" s="71"/>
      <c r="E43" s="92"/>
      <c r="F43" s="82" t="s">
        <v>351</v>
      </c>
      <c r="G43" s="82" t="s">
        <v>352</v>
      </c>
      <c r="H43" s="64" t="s">
        <v>336</v>
      </c>
      <c r="I43" s="98"/>
      <c r="J43" s="98"/>
      <c r="K43" s="98"/>
      <c r="L43" s="98"/>
      <c r="M43" s="67"/>
      <c r="N43" s="63" t="s">
        <v>336</v>
      </c>
      <c r="O43" s="98"/>
      <c r="P43" s="98"/>
      <c r="Q43" s="98"/>
      <c r="R43" s="98"/>
      <c r="S43" s="67"/>
      <c r="T43" s="63" t="s">
        <v>336</v>
      </c>
      <c r="U43" s="98"/>
      <c r="V43" s="98"/>
      <c r="W43" s="98"/>
      <c r="X43" s="98"/>
      <c r="Y43" s="98"/>
      <c r="Z43" s="63" t="s">
        <v>336</v>
      </c>
      <c r="AA43" s="98"/>
      <c r="AB43" s="98"/>
      <c r="AC43" s="98"/>
      <c r="AD43" s="98"/>
      <c r="AE43" s="98"/>
      <c r="AF43" s="63" t="s">
        <v>336</v>
      </c>
      <c r="AG43" s="98"/>
      <c r="AH43" s="98"/>
      <c r="AI43" s="67"/>
    </row>
    <row r="44" spans="1:35" ht="15.75" thickBot="1" x14ac:dyDescent="0.3">
      <c r="B44" s="131" t="s">
        <v>343</v>
      </c>
      <c r="C44" s="132"/>
      <c r="D44" s="129" t="str">
        <f t="array" ref="D44">INDEX(Table_Name28[Name List],MATCH(B44,Table_Name28[Category],0))</f>
        <v>Rear_or_Side_Delts[Exercise]</v>
      </c>
      <c r="E44" s="130" t="e">
        <f t="array" ref="E44">INDEX(Links49[Link],MATCH(C44,Links49[Exercise],0))</f>
        <v>#N/A</v>
      </c>
      <c r="F44" s="133" t="e">
        <f t="shared" ref="F44:F51" si="54">HYPERLINK(E44,"Video")</f>
        <v>#N/A</v>
      </c>
      <c r="G44" s="134"/>
      <c r="H44" s="99">
        <f t="shared" ref="H44:H51" si="55">C44</f>
        <v>0</v>
      </c>
      <c r="I44" s="100">
        <v>4</v>
      </c>
      <c r="J44" s="100">
        <f>MROUND(((G44)*0.75),5)</f>
        <v>0</v>
      </c>
      <c r="K44" s="100" t="s">
        <v>11</v>
      </c>
      <c r="L44" s="100"/>
      <c r="M44" s="135"/>
      <c r="N44" s="99">
        <f t="shared" ref="N44:N51" si="56">C44</f>
        <v>0</v>
      </c>
      <c r="O44" s="100">
        <f>I44+(S25)</f>
        <v>4</v>
      </c>
      <c r="P44" s="100">
        <f t="shared" ref="P44:P51" si="57">MROUND((J44*1.05),5)</f>
        <v>0</v>
      </c>
      <c r="Q44" s="100" t="s">
        <v>11</v>
      </c>
      <c r="R44" s="100"/>
      <c r="S44" s="135"/>
      <c r="T44" s="60">
        <f t="shared" ref="T44:T51" si="58">C44</f>
        <v>0</v>
      </c>
      <c r="U44" s="100">
        <f>O44+(Y25)</f>
        <v>4</v>
      </c>
      <c r="V44" s="100">
        <f t="shared" ref="V44:V51" si="59">MROUND((J44*1.075),5)</f>
        <v>0</v>
      </c>
      <c r="W44" s="100" t="s">
        <v>12</v>
      </c>
      <c r="X44" s="100"/>
      <c r="Y44" s="135"/>
      <c r="Z44" s="101">
        <f t="shared" ref="Z44:Z51" si="60">C44</f>
        <v>0</v>
      </c>
      <c r="AA44" s="100">
        <f>U44+(AE25)</f>
        <v>4</v>
      </c>
      <c r="AB44" s="100">
        <f t="shared" ref="AB44:AB51" si="61">MROUND((J44*1.1),5)</f>
        <v>0</v>
      </c>
      <c r="AC44" s="100" t="s">
        <v>13</v>
      </c>
      <c r="AD44" s="100"/>
      <c r="AE44" s="100"/>
      <c r="AF44" s="101">
        <f t="shared" ref="AF44:AF51" si="62">C44</f>
        <v>0</v>
      </c>
      <c r="AG44" s="100">
        <v>2</v>
      </c>
      <c r="AH44" s="103">
        <f t="shared" ref="AH44:AH51" si="63">MROUND((J44*0.5),5)</f>
        <v>0</v>
      </c>
      <c r="AI44" s="69" t="s">
        <v>14</v>
      </c>
    </row>
    <row r="45" spans="1:35" ht="15.75" thickBot="1" x14ac:dyDescent="0.3">
      <c r="A45" s="61" t="s">
        <v>348</v>
      </c>
      <c r="B45" s="118" t="s">
        <v>343</v>
      </c>
      <c r="C45" s="121"/>
      <c r="D45" s="115" t="str">
        <f t="array" ref="D45">INDEX(Table_Name28[Name List],MATCH(B45,Table_Name28[Category],0))</f>
        <v>Rear_or_Side_Delts[Exercise]</v>
      </c>
      <c r="E45" s="112" t="e">
        <f t="array" ref="E45">INDEX(Links49[Link],MATCH(C45,Links49[Exercise],0))</f>
        <v>#N/A</v>
      </c>
      <c r="F45" s="124" t="e">
        <f t="shared" si="54"/>
        <v>#N/A</v>
      </c>
      <c r="G45" s="127"/>
      <c r="H45" s="136">
        <f t="shared" si="55"/>
        <v>0</v>
      </c>
      <c r="I45" s="137">
        <v>4</v>
      </c>
      <c r="J45" s="137">
        <f>MROUND(((G45)*0.75),5)</f>
        <v>0</v>
      </c>
      <c r="K45" s="137" t="s">
        <v>11</v>
      </c>
      <c r="L45" s="137"/>
      <c r="M45" s="140"/>
      <c r="N45" s="136">
        <f t="shared" si="56"/>
        <v>0</v>
      </c>
      <c r="O45" s="137">
        <f>I45+(S25)</f>
        <v>4</v>
      </c>
      <c r="P45" s="137">
        <f t="shared" si="57"/>
        <v>0</v>
      </c>
      <c r="Q45" s="137" t="s">
        <v>11</v>
      </c>
      <c r="R45" s="137"/>
      <c r="S45" s="140"/>
      <c r="T45" s="141">
        <f t="shared" si="58"/>
        <v>0</v>
      </c>
      <c r="U45" s="137">
        <f>O45+(Y25)</f>
        <v>4</v>
      </c>
      <c r="V45" s="137">
        <f t="shared" si="59"/>
        <v>0</v>
      </c>
      <c r="W45" s="137" t="s">
        <v>12</v>
      </c>
      <c r="X45" s="137"/>
      <c r="Y45" s="140"/>
      <c r="Z45" s="139">
        <f t="shared" si="60"/>
        <v>0</v>
      </c>
      <c r="AA45" s="137">
        <f>U45+(AE25)</f>
        <v>4</v>
      </c>
      <c r="AB45" s="137">
        <f t="shared" si="61"/>
        <v>0</v>
      </c>
      <c r="AC45" s="137" t="s">
        <v>13</v>
      </c>
      <c r="AD45" s="137"/>
      <c r="AE45" s="151"/>
      <c r="AF45" s="99">
        <f t="shared" si="62"/>
        <v>0</v>
      </c>
      <c r="AG45" s="100">
        <v>2</v>
      </c>
      <c r="AH45" s="103">
        <f t="shared" si="63"/>
        <v>0</v>
      </c>
      <c r="AI45" s="69" t="s">
        <v>14</v>
      </c>
    </row>
    <row r="46" spans="1:35" ht="15.75" thickBot="1" x14ac:dyDescent="0.3">
      <c r="A46" s="61" t="s">
        <v>349</v>
      </c>
      <c r="B46" s="119" t="s">
        <v>343</v>
      </c>
      <c r="C46" s="122"/>
      <c r="D46" s="116" t="str">
        <f t="array" ref="D46">INDEX(Table_Name28[Name List],MATCH(B46,Table_Name28[Category],0))</f>
        <v>Rear_or_Side_Delts[Exercise]</v>
      </c>
      <c r="E46" s="113" t="e">
        <f t="array" ref="E46">INDEX(Links49[Link],MATCH(C46,Links49[Exercise],0))</f>
        <v>#N/A</v>
      </c>
      <c r="F46" s="125" t="e">
        <f t="shared" ref="F46" si="64">HYPERLINK(E46,"Video")</f>
        <v>#N/A</v>
      </c>
      <c r="G46" s="128"/>
      <c r="H46" s="143">
        <f t="shared" ref="H46" si="65">C46</f>
        <v>0</v>
      </c>
      <c r="I46" s="144">
        <v>4</v>
      </c>
      <c r="J46" s="144">
        <f>MROUND(((G46)*0.6),5)</f>
        <v>0</v>
      </c>
      <c r="K46" s="144" t="s">
        <v>11</v>
      </c>
      <c r="L46" s="144"/>
      <c r="M46" s="147"/>
      <c r="N46" s="143">
        <f t="shared" ref="N46" si="66">C46</f>
        <v>0</v>
      </c>
      <c r="O46" s="144">
        <f>I45+(S25)</f>
        <v>4</v>
      </c>
      <c r="P46" s="144">
        <f t="shared" ref="P46" si="67">MROUND((J46*1.05),5)</f>
        <v>0</v>
      </c>
      <c r="Q46" s="144" t="s">
        <v>11</v>
      </c>
      <c r="R46" s="144"/>
      <c r="S46" s="147"/>
      <c r="T46" s="148">
        <f t="shared" ref="T46" si="68">C46</f>
        <v>0</v>
      </c>
      <c r="U46" s="144">
        <f>I45+(S25)</f>
        <v>4</v>
      </c>
      <c r="V46" s="144">
        <f t="shared" ref="V46" si="69">MROUND((J46*1.075),5)</f>
        <v>0</v>
      </c>
      <c r="W46" s="144" t="s">
        <v>12</v>
      </c>
      <c r="X46" s="144"/>
      <c r="Y46" s="147"/>
      <c r="Z46" s="146">
        <f t="shared" ref="Z46" si="70">C46</f>
        <v>0</v>
      </c>
      <c r="AA46" s="144">
        <f>I45+(S25)</f>
        <v>4</v>
      </c>
      <c r="AB46" s="144">
        <f t="shared" ref="AB46" si="71">MROUND((J46*1.1),5)</f>
        <v>0</v>
      </c>
      <c r="AC46" s="144" t="s">
        <v>13</v>
      </c>
      <c r="AD46" s="144"/>
      <c r="AE46" s="152"/>
      <c r="AF46" s="99"/>
      <c r="AG46" s="100"/>
      <c r="AH46" s="103"/>
      <c r="AI46" s="69"/>
    </row>
    <row r="47" spans="1:35" ht="15.75" thickBot="1" x14ac:dyDescent="0.3">
      <c r="B47" s="79" t="s">
        <v>18</v>
      </c>
      <c r="C47" s="83"/>
      <c r="D47" s="75" t="str">
        <f t="array" ref="D47">INDEX(Table_Name28[Name List],MATCH(B47,Table_Name28[Category],0))</f>
        <v>Biceps[Exercise]</v>
      </c>
      <c r="E47" s="70" t="e">
        <f t="array" ref="E47">INDEX(Links49[Link],MATCH(C47,Links49[Exercise],0))</f>
        <v>#N/A</v>
      </c>
      <c r="F47" s="86" t="e">
        <f t="shared" si="54"/>
        <v>#N/A</v>
      </c>
      <c r="G47" s="89"/>
      <c r="H47" s="99">
        <f t="shared" si="55"/>
        <v>0</v>
      </c>
      <c r="I47" s="100">
        <v>4</v>
      </c>
      <c r="J47" s="100">
        <f>MROUND(((G47)*0.75),5)</f>
        <v>0</v>
      </c>
      <c r="K47" s="100" t="s">
        <v>11</v>
      </c>
      <c r="L47" s="100"/>
      <c r="M47" s="150"/>
      <c r="N47" s="99">
        <f t="shared" si="56"/>
        <v>0</v>
      </c>
      <c r="O47" s="100">
        <f>I47+(S22)</f>
        <v>4</v>
      </c>
      <c r="P47" s="100">
        <f t="shared" si="57"/>
        <v>0</v>
      </c>
      <c r="Q47" s="100" t="s">
        <v>11</v>
      </c>
      <c r="R47" s="100"/>
      <c r="S47" s="150"/>
      <c r="T47" s="60">
        <f t="shared" si="58"/>
        <v>0</v>
      </c>
      <c r="U47" s="100">
        <f>O47+(Y22)</f>
        <v>4</v>
      </c>
      <c r="V47" s="100">
        <f t="shared" si="59"/>
        <v>0</v>
      </c>
      <c r="W47" s="100" t="s">
        <v>12</v>
      </c>
      <c r="X47" s="100"/>
      <c r="Y47" s="150"/>
      <c r="Z47" s="101">
        <f t="shared" si="60"/>
        <v>0</v>
      </c>
      <c r="AA47" s="100">
        <f>U47+(AE22)</f>
        <v>4</v>
      </c>
      <c r="AB47" s="100">
        <f t="shared" si="61"/>
        <v>0</v>
      </c>
      <c r="AC47" s="100" t="s">
        <v>13</v>
      </c>
      <c r="AD47" s="100"/>
      <c r="AE47" s="100"/>
      <c r="AF47" s="101">
        <f t="shared" si="62"/>
        <v>0</v>
      </c>
      <c r="AG47" s="100">
        <v>2</v>
      </c>
      <c r="AH47" s="103">
        <f t="shared" si="63"/>
        <v>0</v>
      </c>
      <c r="AI47" s="69" t="s">
        <v>14</v>
      </c>
    </row>
    <row r="48" spans="1:35" ht="15.75" thickBot="1" x14ac:dyDescent="0.3">
      <c r="B48" s="80" t="s">
        <v>18</v>
      </c>
      <c r="C48" s="84"/>
      <c r="D48" s="76" t="str">
        <f t="array" ref="D48">INDEX(Table_Name28[Name List],MATCH(B48,Table_Name28[Category],0))</f>
        <v>Biceps[Exercise]</v>
      </c>
      <c r="E48" s="65" t="e">
        <f t="array" ref="E48">INDEX(Links49[Link],MATCH(C48,Links49[Exercise],0))</f>
        <v>#N/A</v>
      </c>
      <c r="F48" s="87" t="e">
        <f t="shared" si="54"/>
        <v>#N/A</v>
      </c>
      <c r="G48" s="90"/>
      <c r="H48" s="99">
        <f t="shared" si="55"/>
        <v>0</v>
      </c>
      <c r="I48" s="100">
        <v>4</v>
      </c>
      <c r="J48" s="100">
        <f>MROUND(((G48)*0.75),5)</f>
        <v>0</v>
      </c>
      <c r="K48" s="100" t="s">
        <v>11</v>
      </c>
      <c r="L48" s="100"/>
      <c r="M48" s="102"/>
      <c r="N48" s="99">
        <f t="shared" si="56"/>
        <v>0</v>
      </c>
      <c r="O48" s="100">
        <f>I48+(S22)</f>
        <v>4</v>
      </c>
      <c r="P48" s="100">
        <f t="shared" si="57"/>
        <v>0</v>
      </c>
      <c r="Q48" s="100" t="s">
        <v>11</v>
      </c>
      <c r="R48" s="100"/>
      <c r="S48" s="102"/>
      <c r="T48" s="60">
        <f t="shared" si="58"/>
        <v>0</v>
      </c>
      <c r="U48" s="100">
        <f>O48+(Y22)</f>
        <v>4</v>
      </c>
      <c r="V48" s="100">
        <f t="shared" si="59"/>
        <v>0</v>
      </c>
      <c r="W48" s="100" t="s">
        <v>12</v>
      </c>
      <c r="X48" s="100"/>
      <c r="Y48" s="102"/>
      <c r="Z48" s="101">
        <f t="shared" si="60"/>
        <v>0</v>
      </c>
      <c r="AA48" s="100">
        <f>U48+(AE22)</f>
        <v>4</v>
      </c>
      <c r="AB48" s="100">
        <f t="shared" si="61"/>
        <v>0</v>
      </c>
      <c r="AC48" s="100" t="s">
        <v>13</v>
      </c>
      <c r="AD48" s="100"/>
      <c r="AE48" s="100"/>
      <c r="AF48" s="101">
        <f t="shared" si="62"/>
        <v>0</v>
      </c>
      <c r="AG48" s="100">
        <v>2</v>
      </c>
      <c r="AH48" s="103">
        <f t="shared" si="63"/>
        <v>0</v>
      </c>
      <c r="AI48" s="69" t="s">
        <v>14</v>
      </c>
    </row>
    <row r="49" spans="2:35" ht="15.75" thickBot="1" x14ac:dyDescent="0.3">
      <c r="B49" s="80" t="s">
        <v>120</v>
      </c>
      <c r="C49" s="84"/>
      <c r="D49" s="76" t="str">
        <f t="array" ref="D49">INDEX(Table_Name28[Name List],MATCH(B49,Table_Name28[Category],0))</f>
        <v>Traps[Exercise]</v>
      </c>
      <c r="E49" s="65" t="e">
        <f t="array" ref="E49">INDEX(Links49[Link],MATCH(C49,Links49[Exercise],0))</f>
        <v>#N/A</v>
      </c>
      <c r="F49" s="87" t="e">
        <f t="shared" si="54"/>
        <v>#N/A</v>
      </c>
      <c r="G49" s="90"/>
      <c r="H49" s="99">
        <f t="shared" si="55"/>
        <v>0</v>
      </c>
      <c r="I49" s="100">
        <v>4</v>
      </c>
      <c r="J49" s="100">
        <f>MROUND(((G49)*0.75),5)</f>
        <v>0</v>
      </c>
      <c r="K49" s="100" t="s">
        <v>11</v>
      </c>
      <c r="L49" s="100"/>
      <c r="M49" s="102"/>
      <c r="N49" s="99">
        <f t="shared" si="56"/>
        <v>0</v>
      </c>
      <c r="O49" s="100">
        <f>I49+(S25)</f>
        <v>4</v>
      </c>
      <c r="P49" s="100">
        <f t="shared" si="57"/>
        <v>0</v>
      </c>
      <c r="Q49" s="100" t="s">
        <v>11</v>
      </c>
      <c r="R49" s="100"/>
      <c r="S49" s="102"/>
      <c r="T49" s="60">
        <f t="shared" si="58"/>
        <v>0</v>
      </c>
      <c r="U49" s="100">
        <f>O49+(Y25)</f>
        <v>4</v>
      </c>
      <c r="V49" s="100">
        <f t="shared" si="59"/>
        <v>0</v>
      </c>
      <c r="W49" s="100" t="s">
        <v>12</v>
      </c>
      <c r="X49" s="100"/>
      <c r="Y49" s="102"/>
      <c r="Z49" s="101">
        <f t="shared" si="60"/>
        <v>0</v>
      </c>
      <c r="AA49" s="100">
        <f>U49+(AE25)</f>
        <v>4</v>
      </c>
      <c r="AB49" s="100">
        <f t="shared" si="61"/>
        <v>0</v>
      </c>
      <c r="AC49" s="100" t="s">
        <v>13</v>
      </c>
      <c r="AD49" s="100"/>
      <c r="AE49" s="100"/>
      <c r="AF49" s="101">
        <f t="shared" si="62"/>
        <v>0</v>
      </c>
      <c r="AG49" s="100">
        <v>2</v>
      </c>
      <c r="AH49" s="103">
        <f t="shared" si="63"/>
        <v>0</v>
      </c>
      <c r="AI49" s="69" t="s">
        <v>14</v>
      </c>
    </row>
    <row r="50" spans="2:35" ht="15.75" thickBot="1" x14ac:dyDescent="0.3">
      <c r="B50" s="80" t="s">
        <v>341</v>
      </c>
      <c r="C50" s="84"/>
      <c r="D50" s="76" t="str">
        <f t="array" ref="D50">INDEX(Table_Name28[Name List],MATCH(B50,Table_Name28[Category],0))</f>
        <v>Horizontal_Back[Exercise]</v>
      </c>
      <c r="E50" s="65" t="e">
        <f t="array" ref="E50">INDEX(Links49[Link],MATCH(C50,Links49[Exercise],0))</f>
        <v>#N/A</v>
      </c>
      <c r="F50" s="87" t="e">
        <f t="shared" si="54"/>
        <v>#N/A</v>
      </c>
      <c r="G50" s="90"/>
      <c r="H50" s="99">
        <f t="shared" si="55"/>
        <v>0</v>
      </c>
      <c r="I50" s="100">
        <v>3</v>
      </c>
      <c r="J50" s="100">
        <f>MROUND(((G50)*0.75),5)</f>
        <v>0</v>
      </c>
      <c r="K50" s="100" t="s">
        <v>11</v>
      </c>
      <c r="L50" s="100"/>
      <c r="M50" s="102"/>
      <c r="N50" s="99">
        <f t="shared" si="56"/>
        <v>0</v>
      </c>
      <c r="O50" s="100">
        <f>I50+(S27)</f>
        <v>3</v>
      </c>
      <c r="P50" s="100">
        <f t="shared" si="57"/>
        <v>0</v>
      </c>
      <c r="Q50" s="100" t="s">
        <v>11</v>
      </c>
      <c r="R50" s="100"/>
      <c r="S50" s="102"/>
      <c r="T50" s="60">
        <f t="shared" si="58"/>
        <v>0</v>
      </c>
      <c r="U50" s="100">
        <f>O50+(Y27)</f>
        <v>3</v>
      </c>
      <c r="V50" s="100">
        <f t="shared" si="59"/>
        <v>0</v>
      </c>
      <c r="W50" s="100" t="s">
        <v>12</v>
      </c>
      <c r="X50" s="100"/>
      <c r="Y50" s="102"/>
      <c r="Z50" s="101">
        <f t="shared" si="60"/>
        <v>0</v>
      </c>
      <c r="AA50" s="100">
        <f>U50+(AE27)</f>
        <v>3</v>
      </c>
      <c r="AB50" s="100">
        <f t="shared" si="61"/>
        <v>0</v>
      </c>
      <c r="AC50" s="100" t="s">
        <v>13</v>
      </c>
      <c r="AD50" s="100"/>
      <c r="AE50" s="100"/>
      <c r="AF50" s="101">
        <f t="shared" si="62"/>
        <v>0</v>
      </c>
      <c r="AG50" s="100">
        <v>2</v>
      </c>
      <c r="AH50" s="103">
        <f t="shared" si="63"/>
        <v>0</v>
      </c>
      <c r="AI50" s="69" t="s">
        <v>14</v>
      </c>
    </row>
    <row r="51" spans="2:35" ht="15.75" thickBot="1" x14ac:dyDescent="0.3">
      <c r="B51" s="81" t="s">
        <v>345</v>
      </c>
      <c r="C51" s="85"/>
      <c r="D51" s="77" t="str">
        <f t="array" ref="D51">INDEX(Table_Name28[Name List],MATCH(B51,Table_Name28[Category],0))</f>
        <v>Hamstrings_Hip_Hinge[Exercise]</v>
      </c>
      <c r="E51" s="66" t="e">
        <f t="array" ref="E51">INDEX(Links49[Link],MATCH(C51,Links49[Exercise],0))</f>
        <v>#N/A</v>
      </c>
      <c r="F51" s="88" t="e">
        <f t="shared" si="54"/>
        <v>#N/A</v>
      </c>
      <c r="G51" s="91"/>
      <c r="H51" s="104">
        <f t="shared" si="55"/>
        <v>0</v>
      </c>
      <c r="I51" s="105">
        <v>3</v>
      </c>
      <c r="J51" s="105">
        <f>MROUND(((G51)*0.75),5)</f>
        <v>0</v>
      </c>
      <c r="K51" s="105" t="s">
        <v>11</v>
      </c>
      <c r="L51" s="105"/>
      <c r="M51" s="62"/>
      <c r="N51" s="106">
        <f t="shared" si="56"/>
        <v>0</v>
      </c>
      <c r="O51" s="105">
        <f>I51</f>
        <v>3</v>
      </c>
      <c r="P51" s="105">
        <f t="shared" si="57"/>
        <v>0</v>
      </c>
      <c r="Q51" s="105" t="s">
        <v>11</v>
      </c>
      <c r="R51" s="105"/>
      <c r="S51" s="62"/>
      <c r="T51" s="107">
        <f t="shared" si="58"/>
        <v>0</v>
      </c>
      <c r="U51" s="105">
        <f>O51</f>
        <v>3</v>
      </c>
      <c r="V51" s="105">
        <f t="shared" si="59"/>
        <v>0</v>
      </c>
      <c r="W51" s="105" t="s">
        <v>12</v>
      </c>
      <c r="X51" s="105"/>
      <c r="Y51" s="62"/>
      <c r="Z51" s="106">
        <f t="shared" si="60"/>
        <v>0</v>
      </c>
      <c r="AA51" s="105">
        <f>U51</f>
        <v>3</v>
      </c>
      <c r="AB51" s="105">
        <f t="shared" si="61"/>
        <v>0</v>
      </c>
      <c r="AC51" s="105" t="s">
        <v>13</v>
      </c>
      <c r="AD51" s="105"/>
      <c r="AE51" s="105"/>
      <c r="AF51" s="106">
        <f t="shared" si="62"/>
        <v>0</v>
      </c>
      <c r="AG51" s="105">
        <v>2</v>
      </c>
      <c r="AH51" s="108">
        <f t="shared" si="63"/>
        <v>0</v>
      </c>
      <c r="AI51" s="62" t="s">
        <v>14</v>
      </c>
    </row>
    <row r="52" spans="2:35" s="45" customFormat="1" x14ac:dyDescent="0.25">
      <c r="B52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  <c r="X52" s="4"/>
      <c r="Y52" s="4"/>
      <c r="Z52" s="37"/>
      <c r="AA52" s="4"/>
      <c r="AB52" s="4"/>
      <c r="AC52" s="4"/>
      <c r="AD52" s="4"/>
      <c r="AE52" s="4"/>
      <c r="AF52" s="37"/>
      <c r="AG52" s="4"/>
      <c r="AH52" s="4"/>
      <c r="AI52" s="4"/>
    </row>
    <row r="53" spans="2:35" s="45" customFormat="1" x14ac:dyDescent="0.25">
      <c r="B53" s="19" t="s">
        <v>340</v>
      </c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  <c r="X53" s="4"/>
      <c r="Y53" s="4"/>
      <c r="Z53" s="37"/>
      <c r="AA53" s="4"/>
      <c r="AB53" s="4"/>
      <c r="AC53" s="4"/>
      <c r="AD53" s="4"/>
      <c r="AE53" s="4"/>
      <c r="AF53" s="37"/>
      <c r="AG53" s="4"/>
      <c r="AH53" s="4"/>
      <c r="AI53" s="4"/>
    </row>
    <row r="54" spans="2:35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  <c r="X54" s="4"/>
      <c r="Y54" s="4"/>
      <c r="Z54" s="37"/>
      <c r="AA54" s="4"/>
      <c r="AB54" s="4"/>
      <c r="AC54" s="4"/>
      <c r="AD54" s="4"/>
      <c r="AE54" s="4"/>
      <c r="AF54" s="37"/>
      <c r="AG54" s="4"/>
      <c r="AH54" s="4"/>
      <c r="AI54" s="4"/>
    </row>
    <row r="55" spans="2:35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  <c r="X55" s="4"/>
      <c r="Y55" s="4"/>
      <c r="Z55" s="37"/>
      <c r="AA55" s="4"/>
      <c r="AB55" s="4"/>
      <c r="AC55" s="4"/>
      <c r="AD55" s="4"/>
      <c r="AE55" s="4"/>
      <c r="AF55" s="37"/>
      <c r="AG55" s="4"/>
      <c r="AH55" s="4"/>
      <c r="AI55" s="4"/>
    </row>
    <row r="56" spans="2:35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  <c r="X56" s="4"/>
      <c r="Y56" s="4"/>
      <c r="Z56" s="37"/>
      <c r="AA56" s="4"/>
      <c r="AB56" s="4"/>
      <c r="AC56" s="4"/>
      <c r="AD56" s="4"/>
      <c r="AE56" s="4"/>
      <c r="AF56" s="37"/>
      <c r="AG56" s="4"/>
      <c r="AH56" s="4"/>
      <c r="AI56" s="4"/>
    </row>
    <row r="57" spans="2:35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  <c r="X57" s="4"/>
      <c r="Y57" s="4"/>
      <c r="Z57" s="37"/>
      <c r="AA57" s="4"/>
      <c r="AB57" s="4"/>
      <c r="AC57" s="4"/>
      <c r="AD57" s="4"/>
      <c r="AE57" s="4"/>
      <c r="AF57" s="37"/>
      <c r="AG57" s="4"/>
      <c r="AH57" s="4"/>
      <c r="AI57" s="4"/>
    </row>
    <row r="58" spans="2:35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  <c r="X58" s="4"/>
      <c r="Y58" s="4"/>
      <c r="Z58" s="37"/>
      <c r="AA58" s="4"/>
      <c r="AB58" s="4"/>
      <c r="AC58" s="4"/>
      <c r="AD58" s="4"/>
      <c r="AE58" s="4"/>
      <c r="AF58" s="37"/>
      <c r="AG58" s="4"/>
      <c r="AH58" s="4"/>
      <c r="AI58" s="4"/>
    </row>
    <row r="59" spans="2:35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  <c r="X59" s="4"/>
      <c r="Y59" s="4"/>
      <c r="Z59" s="37"/>
      <c r="AA59" s="4"/>
      <c r="AB59" s="4"/>
      <c r="AC59" s="4"/>
      <c r="AD59" s="4"/>
      <c r="AE59" s="4"/>
      <c r="AF59" s="37"/>
      <c r="AG59" s="4"/>
      <c r="AH59" s="4"/>
      <c r="AI59" s="4"/>
    </row>
    <row r="60" spans="2:35" s="45" customFormat="1" x14ac:dyDescent="0.25">
      <c r="B60" s="57"/>
      <c r="C60" s="37"/>
      <c r="D60" s="37"/>
      <c r="E60" s="58"/>
      <c r="F60" s="59"/>
      <c r="G60" s="60"/>
      <c r="H60" s="37"/>
      <c r="I60" s="4"/>
      <c r="J60" s="4"/>
      <c r="K60" s="4"/>
      <c r="L60" s="4"/>
      <c r="M60" s="4"/>
      <c r="N60" s="37"/>
      <c r="O60" s="4"/>
      <c r="P60" s="4"/>
      <c r="Q60" s="4"/>
      <c r="R60" s="4"/>
      <c r="S60" s="4"/>
      <c r="T60" s="37"/>
      <c r="U60" s="4"/>
      <c r="V60" s="4"/>
      <c r="W60" s="4"/>
      <c r="X60" s="4"/>
      <c r="Y60" s="4"/>
      <c r="Z60" s="37"/>
      <c r="AA60" s="4"/>
      <c r="AB60" s="4"/>
      <c r="AC60" s="4"/>
      <c r="AD60" s="4"/>
      <c r="AE60" s="4"/>
      <c r="AF60" s="37"/>
      <c r="AG60" s="4"/>
      <c r="AH60" s="4"/>
      <c r="AI60" s="4"/>
    </row>
    <row r="61" spans="2:35" s="45" customFormat="1" x14ac:dyDescent="0.25">
      <c r="B61" s="57"/>
      <c r="C61" s="37"/>
      <c r="D61" s="37"/>
      <c r="E61" s="58"/>
      <c r="F61" s="59"/>
      <c r="G61" s="60"/>
      <c r="H61" s="37"/>
      <c r="I61" s="4"/>
      <c r="J61" s="4"/>
      <c r="K61" s="4"/>
      <c r="L61" s="4"/>
      <c r="M61" s="4"/>
      <c r="N61" s="37"/>
      <c r="O61" s="4"/>
      <c r="P61" s="4"/>
      <c r="Q61" s="4"/>
      <c r="R61" s="4"/>
      <c r="S61" s="4"/>
      <c r="T61" s="37"/>
      <c r="U61" s="4"/>
      <c r="V61" s="4"/>
      <c r="W61" s="4"/>
      <c r="X61" s="4"/>
      <c r="Y61" s="4"/>
      <c r="Z61" s="37"/>
      <c r="AA61" s="4"/>
      <c r="AB61" s="4"/>
      <c r="AC61" s="4"/>
      <c r="AD61" s="4"/>
      <c r="AE61" s="4"/>
      <c r="AF61" s="37"/>
      <c r="AG61" s="4"/>
      <c r="AH61" s="4"/>
      <c r="AI61" s="4"/>
    </row>
    <row r="62" spans="2:35" s="45" customFormat="1" x14ac:dyDescent="0.25">
      <c r="B62" s="57"/>
      <c r="C62" s="37"/>
      <c r="D62" s="37"/>
      <c r="E62" s="58"/>
      <c r="F62" s="59"/>
      <c r="G62" s="60"/>
      <c r="H62" s="37"/>
      <c r="I62" s="4"/>
      <c r="J62" s="4"/>
      <c r="K62" s="4"/>
      <c r="L62" s="4"/>
      <c r="M62" s="4"/>
      <c r="N62" s="37"/>
      <c r="O62" s="4"/>
      <c r="P62" s="4"/>
      <c r="Q62" s="4"/>
      <c r="R62" s="4"/>
      <c r="S62" s="4"/>
      <c r="T62" s="37"/>
      <c r="U62" s="4"/>
      <c r="V62" s="4"/>
      <c r="W62" s="4"/>
      <c r="X62" s="4"/>
      <c r="Y62" s="4"/>
      <c r="Z62" s="37"/>
      <c r="AA62" s="4"/>
      <c r="AB62" s="4"/>
      <c r="AC62" s="4"/>
      <c r="AD62" s="4"/>
      <c r="AE62" s="4"/>
      <c r="AF62" s="37"/>
      <c r="AG62" s="4"/>
      <c r="AH62" s="4"/>
      <c r="AI62" s="4"/>
    </row>
    <row r="63" spans="2:35" s="45" customFormat="1" x14ac:dyDescent="0.25">
      <c r="B63" s="57"/>
      <c r="C63" s="37"/>
      <c r="D63" s="37"/>
      <c r="E63" s="58"/>
      <c r="F63" s="59"/>
      <c r="G63" s="60"/>
      <c r="H63" s="37"/>
      <c r="I63" s="4"/>
      <c r="J63" s="4"/>
      <c r="K63" s="4"/>
      <c r="L63" s="4"/>
      <c r="M63" s="4"/>
      <c r="N63" s="37"/>
      <c r="O63" s="4"/>
      <c r="P63" s="4"/>
      <c r="Q63" s="4"/>
      <c r="R63" s="4"/>
      <c r="S63" s="4"/>
      <c r="T63" s="37"/>
      <c r="U63" s="4"/>
      <c r="V63" s="4"/>
      <c r="W63" s="4"/>
      <c r="X63" s="4"/>
      <c r="Y63" s="4"/>
      <c r="Z63" s="37"/>
      <c r="AA63" s="4"/>
      <c r="AB63" s="4"/>
      <c r="AC63" s="4"/>
      <c r="AD63" s="4"/>
      <c r="AE63" s="4"/>
      <c r="AF63" s="37"/>
      <c r="AG63" s="4"/>
      <c r="AH63" s="4"/>
      <c r="AI63" s="4"/>
    </row>
    <row r="64" spans="2:35" s="45" customFormat="1" x14ac:dyDescent="0.25">
      <c r="B64" s="57"/>
      <c r="C64" s="37"/>
      <c r="D64" s="37"/>
      <c r="E64" s="58"/>
      <c r="F64" s="59"/>
      <c r="G64" s="60"/>
      <c r="H64" s="37"/>
      <c r="I64" s="4"/>
      <c r="J64" s="4"/>
      <c r="K64" s="4"/>
      <c r="L64" s="4"/>
      <c r="M64" s="4"/>
      <c r="N64" s="37"/>
      <c r="O64" s="4"/>
      <c r="P64" s="4"/>
      <c r="Q64" s="4"/>
      <c r="R64" s="4"/>
      <c r="S64" s="4"/>
      <c r="T64" s="37"/>
      <c r="U64" s="4"/>
      <c r="V64" s="4"/>
      <c r="W64" s="4"/>
      <c r="X64" s="4"/>
      <c r="Y64" s="4"/>
      <c r="Z64" s="37"/>
      <c r="AA64" s="4"/>
      <c r="AB64" s="4"/>
      <c r="AC64" s="4"/>
      <c r="AD64" s="4"/>
      <c r="AE64" s="4"/>
      <c r="AF64" s="37"/>
      <c r="AG64" s="4"/>
      <c r="AH64" s="4"/>
      <c r="AI64" s="4"/>
    </row>
    <row r="65" spans="1:35" s="45" customFormat="1" x14ac:dyDescent="0.25">
      <c r="B65" s="57"/>
      <c r="C65" s="37"/>
      <c r="D65" s="37"/>
      <c r="E65" s="58"/>
      <c r="F65" s="59"/>
      <c r="G65" s="60"/>
      <c r="H65" s="37"/>
      <c r="I65" s="4"/>
      <c r="J65" s="4"/>
      <c r="K65" s="4"/>
      <c r="L65" s="4"/>
      <c r="M65" s="4"/>
      <c r="N65" s="37"/>
      <c r="O65" s="4"/>
      <c r="P65" s="4"/>
      <c r="Q65" s="4"/>
      <c r="R65" s="4"/>
      <c r="S65" s="4"/>
      <c r="T65" s="37"/>
      <c r="U65" s="4"/>
      <c r="V65" s="4"/>
      <c r="W65" s="4"/>
      <c r="X65" s="4"/>
      <c r="Y65" s="4"/>
      <c r="Z65" s="37"/>
      <c r="AA65" s="4"/>
      <c r="AB65" s="4"/>
      <c r="AC65" s="4"/>
      <c r="AD65" s="4"/>
      <c r="AE65" s="4"/>
      <c r="AF65" s="37"/>
      <c r="AG65" s="4"/>
      <c r="AH65" s="4"/>
      <c r="AI65" s="4"/>
    </row>
    <row r="66" spans="1:35" s="45" customFormat="1" x14ac:dyDescent="0.25">
      <c r="B66" s="57"/>
      <c r="C66" s="37"/>
      <c r="D66" s="37"/>
      <c r="E66" s="58"/>
      <c r="F66" s="59"/>
      <c r="G66" s="60"/>
      <c r="H66" s="37"/>
      <c r="I66" s="4"/>
      <c r="J66" s="4"/>
      <c r="K66" s="4"/>
      <c r="L66" s="4"/>
      <c r="M66" s="4"/>
      <c r="N66" s="37"/>
      <c r="O66" s="4"/>
      <c r="P66" s="4"/>
      <c r="Q66" s="4"/>
      <c r="R66" s="4"/>
      <c r="S66" s="4"/>
      <c r="T66" s="37"/>
      <c r="U66" s="4"/>
      <c r="V66" s="4"/>
      <c r="W66" s="4"/>
      <c r="X66" s="4"/>
      <c r="Y66" s="4"/>
      <c r="Z66" s="37"/>
      <c r="AA66" s="4"/>
      <c r="AB66" s="4"/>
      <c r="AC66" s="4"/>
      <c r="AD66" s="4"/>
      <c r="AE66" s="4"/>
      <c r="AF66" s="37"/>
      <c r="AG66" s="4"/>
      <c r="AH66" s="4"/>
      <c r="AI66" s="4"/>
    </row>
    <row r="67" spans="1:35" s="45" customFormat="1" x14ac:dyDescent="0.25">
      <c r="B67" s="57"/>
      <c r="C67" s="37"/>
      <c r="D67" s="37"/>
      <c r="E67" s="58"/>
      <c r="F67" s="59"/>
      <c r="G67" s="60"/>
      <c r="H67" s="37"/>
      <c r="I67" s="4"/>
      <c r="J67" s="4"/>
      <c r="K67" s="4"/>
      <c r="L67" s="4"/>
      <c r="M67" s="4"/>
      <c r="N67" s="37"/>
      <c r="O67" s="4"/>
      <c r="P67" s="4"/>
      <c r="Q67" s="4"/>
      <c r="R67" s="4"/>
      <c r="S67" s="4"/>
      <c r="T67" s="37"/>
      <c r="U67" s="4"/>
      <c r="V67" s="4"/>
      <c r="W67" s="4"/>
      <c r="X67" s="4"/>
      <c r="Y67" s="4"/>
      <c r="Z67" s="37"/>
      <c r="AA67" s="4"/>
      <c r="AB67" s="4"/>
      <c r="AC67" s="4"/>
      <c r="AD67" s="4"/>
      <c r="AE67" s="4"/>
      <c r="AF67" s="37"/>
      <c r="AG67" s="4"/>
      <c r="AH67" s="4"/>
      <c r="AI67" s="4"/>
    </row>
    <row r="68" spans="1:35" s="45" customFormat="1" x14ac:dyDescent="0.25">
      <c r="B68" s="57"/>
      <c r="C68" s="37"/>
      <c r="D68" s="37"/>
      <c r="E68" s="58"/>
      <c r="F68" s="59"/>
      <c r="G68" s="60"/>
      <c r="H68" s="37"/>
      <c r="I68" s="4"/>
      <c r="J68" s="4"/>
      <c r="K68" s="4"/>
      <c r="L68" s="4"/>
      <c r="M68" s="4"/>
      <c r="N68" s="37"/>
      <c r="O68" s="4"/>
      <c r="P68" s="4"/>
      <c r="Q68" s="4"/>
      <c r="R68" s="4"/>
      <c r="S68" s="4"/>
      <c r="T68" s="37"/>
      <c r="U68" s="4"/>
      <c r="V68" s="4"/>
      <c r="W68" s="4"/>
      <c r="X68" s="4"/>
      <c r="Y68" s="4"/>
      <c r="Z68" s="37"/>
      <c r="AA68" s="4"/>
      <c r="AB68" s="4"/>
      <c r="AC68" s="4"/>
      <c r="AD68" s="4"/>
      <c r="AE68" s="4"/>
      <c r="AF68" s="37"/>
      <c r="AG68" s="4"/>
      <c r="AH68" s="4"/>
      <c r="AI68" s="4"/>
    </row>
    <row r="69" spans="1:35" s="45" customFormat="1" x14ac:dyDescent="0.25">
      <c r="B69" s="57"/>
      <c r="C69" s="37"/>
      <c r="D69" s="37"/>
      <c r="E69" s="58"/>
      <c r="F69" s="59"/>
      <c r="G69" s="60"/>
      <c r="H69" s="37"/>
      <c r="I69" s="4"/>
      <c r="J69" s="4"/>
      <c r="K69" s="4"/>
      <c r="L69" s="4"/>
      <c r="M69" s="4"/>
      <c r="N69" s="37"/>
      <c r="O69" s="4"/>
      <c r="P69" s="4"/>
      <c r="Q69" s="4"/>
      <c r="R69" s="4"/>
      <c r="S69" s="4"/>
      <c r="T69" s="37"/>
      <c r="U69" s="4"/>
      <c r="V69" s="4"/>
      <c r="W69" s="4"/>
      <c r="X69" s="4"/>
      <c r="Y69" s="4"/>
      <c r="Z69" s="37"/>
      <c r="AA69" s="4"/>
      <c r="AB69" s="4"/>
      <c r="AC69" s="4"/>
      <c r="AD69" s="4"/>
      <c r="AE69" s="4"/>
      <c r="AF69" s="37"/>
      <c r="AG69" s="4"/>
      <c r="AH69" s="4"/>
      <c r="AI69" s="4"/>
    </row>
    <row r="70" spans="1:35" x14ac:dyDescent="0.25">
      <c r="E70" s="45"/>
    </row>
    <row r="71" spans="1:35" hidden="1" x14ac:dyDescent="0.25">
      <c r="C71" t="s">
        <v>21</v>
      </c>
      <c r="E71" s="45"/>
    </row>
    <row r="72" spans="1:35" hidden="1" x14ac:dyDescent="0.25">
      <c r="C72">
        <v>1</v>
      </c>
      <c r="E72" s="45"/>
    </row>
    <row r="73" spans="1:35" hidden="1" x14ac:dyDescent="0.25">
      <c r="C73">
        <v>0</v>
      </c>
      <c r="E73" s="45"/>
    </row>
    <row r="74" spans="1:35" hidden="1" x14ac:dyDescent="0.25">
      <c r="C74">
        <v>-1</v>
      </c>
      <c r="E74" s="45"/>
    </row>
    <row r="75" spans="1:35" hidden="1" x14ac:dyDescent="0.25">
      <c r="E75" s="45"/>
    </row>
    <row r="76" spans="1:35" hidden="1" x14ac:dyDescent="0.25">
      <c r="E76" s="45"/>
    </row>
    <row r="77" spans="1:35" hidden="1" x14ac:dyDescent="0.25">
      <c r="E77" s="45"/>
    </row>
    <row r="78" spans="1:35" hidden="1" x14ac:dyDescent="0.25">
      <c r="E78" s="45"/>
      <c r="F78" s="9"/>
      <c r="G78" s="9"/>
      <c r="H78" s="9"/>
    </row>
    <row r="79" spans="1:35" hidden="1" x14ac:dyDescent="0.25">
      <c r="A79" s="38" t="s">
        <v>77</v>
      </c>
      <c r="B79" s="49" t="s">
        <v>88</v>
      </c>
      <c r="C79" s="53" t="s">
        <v>294</v>
      </c>
      <c r="D79" s="9"/>
      <c r="E79" s="45"/>
      <c r="H79" s="13"/>
    </row>
    <row r="80" spans="1:35" hidden="1" x14ac:dyDescent="0.25">
      <c r="A80" s="13"/>
      <c r="B80" s="54" t="s">
        <v>109</v>
      </c>
      <c r="C80" s="49" t="s">
        <v>178</v>
      </c>
      <c r="D80" s="39"/>
      <c r="E80" s="45"/>
      <c r="H80" s="13"/>
    </row>
    <row r="81" spans="1:9" hidden="1" x14ac:dyDescent="0.25">
      <c r="A81" s="13"/>
      <c r="B81" s="54" t="s">
        <v>79</v>
      </c>
      <c r="C81" s="49" t="s">
        <v>179</v>
      </c>
      <c r="D81" s="39"/>
      <c r="E81" s="45"/>
      <c r="H81" s="13"/>
    </row>
    <row r="82" spans="1:9" hidden="1" x14ac:dyDescent="0.25">
      <c r="A82" s="13"/>
      <c r="B82" s="54" t="s">
        <v>80</v>
      </c>
      <c r="C82" s="49" t="s">
        <v>180</v>
      </c>
      <c r="D82" s="39"/>
      <c r="E82" s="45"/>
      <c r="H82" s="13"/>
    </row>
    <row r="83" spans="1:9" hidden="1" x14ac:dyDescent="0.25">
      <c r="A83" s="13"/>
      <c r="B83" s="54" t="s">
        <v>78</v>
      </c>
      <c r="C83" s="49" t="s">
        <v>181</v>
      </c>
      <c r="D83" s="39"/>
      <c r="E83" s="45"/>
      <c r="H83" s="13"/>
    </row>
    <row r="84" spans="1:9" hidden="1" x14ac:dyDescent="0.25">
      <c r="A84" s="13"/>
      <c r="B84" s="54" t="s">
        <v>110</v>
      </c>
      <c r="C84" s="54" t="s">
        <v>182</v>
      </c>
      <c r="D84" s="41"/>
      <c r="E84" s="45"/>
      <c r="H84" s="13"/>
    </row>
    <row r="85" spans="1:9" hidden="1" x14ac:dyDescent="0.25">
      <c r="A85" s="13"/>
      <c r="B85" s="54" t="s">
        <v>81</v>
      </c>
      <c r="C85" s="49" t="s">
        <v>183</v>
      </c>
      <c r="D85" s="39"/>
      <c r="E85" s="45"/>
      <c r="H85" s="13"/>
    </row>
    <row r="86" spans="1:9" hidden="1" x14ac:dyDescent="0.25">
      <c r="A86" s="13"/>
      <c r="B86" s="54" t="s">
        <v>146</v>
      </c>
      <c r="C86" s="49" t="s">
        <v>184</v>
      </c>
      <c r="D86" s="39"/>
      <c r="E86" s="45"/>
      <c r="H86" s="39"/>
      <c r="I86" s="39"/>
    </row>
    <row r="87" spans="1:9" hidden="1" x14ac:dyDescent="0.25">
      <c r="A87" s="39"/>
      <c r="B87" s="49"/>
      <c r="C87" s="53"/>
      <c r="D87" s="9"/>
      <c r="E87" s="45"/>
    </row>
    <row r="88" spans="1:9" hidden="1" x14ac:dyDescent="0.25">
      <c r="A88" s="38" t="s">
        <v>19</v>
      </c>
      <c r="B88" s="50" t="s">
        <v>88</v>
      </c>
      <c r="C88" s="55" t="s">
        <v>294</v>
      </c>
      <c r="D88" s="44"/>
      <c r="E88" s="45"/>
      <c r="H88" s="38"/>
      <c r="I88" s="39"/>
    </row>
    <row r="89" spans="1:9" hidden="1" x14ac:dyDescent="0.25">
      <c r="A89" s="13"/>
      <c r="B89" s="54" t="s">
        <v>111</v>
      </c>
      <c r="C89" s="49" t="s">
        <v>185</v>
      </c>
      <c r="D89" s="39"/>
      <c r="E89" s="45"/>
      <c r="H89" s="13"/>
    </row>
    <row r="90" spans="1:9" hidden="1" x14ac:dyDescent="0.25">
      <c r="A90" s="13"/>
      <c r="B90" s="54" t="s">
        <v>75</v>
      </c>
      <c r="C90" s="49" t="s">
        <v>186</v>
      </c>
      <c r="D90" s="39"/>
      <c r="E90" s="45"/>
      <c r="H90" s="13"/>
    </row>
    <row r="91" spans="1:9" hidden="1" x14ac:dyDescent="0.25">
      <c r="A91" s="13"/>
      <c r="B91" s="54" t="s">
        <v>74</v>
      </c>
      <c r="C91" s="49" t="s">
        <v>187</v>
      </c>
      <c r="D91" s="39"/>
      <c r="E91" s="45"/>
      <c r="H91" s="13"/>
    </row>
    <row r="92" spans="1:9" hidden="1" x14ac:dyDescent="0.25">
      <c r="A92" s="13"/>
      <c r="B92" s="54" t="s">
        <v>76</v>
      </c>
      <c r="C92" s="49" t="s">
        <v>188</v>
      </c>
      <c r="D92" s="39"/>
      <c r="E92" s="45"/>
      <c r="H92" s="13"/>
    </row>
    <row r="93" spans="1:9" hidden="1" x14ac:dyDescent="0.25">
      <c r="A93" s="39"/>
      <c r="B93" s="49"/>
      <c r="C93" s="53"/>
      <c r="D93" s="9"/>
      <c r="E93" s="45"/>
      <c r="H93" s="39"/>
      <c r="I93" s="39"/>
    </row>
    <row r="94" spans="1:9" hidden="1" x14ac:dyDescent="0.25">
      <c r="A94" s="38" t="s">
        <v>18</v>
      </c>
      <c r="B94" s="50" t="s">
        <v>88</v>
      </c>
      <c r="C94" s="55" t="s">
        <v>294</v>
      </c>
      <c r="D94" s="44"/>
      <c r="E94" s="45"/>
      <c r="H94" s="38"/>
      <c r="I94" s="39"/>
    </row>
    <row r="95" spans="1:9" hidden="1" x14ac:dyDescent="0.25">
      <c r="A95" s="13"/>
      <c r="B95" s="54" t="s">
        <v>61</v>
      </c>
      <c r="C95" s="49" t="s">
        <v>189</v>
      </c>
      <c r="D95" s="39"/>
      <c r="E95" s="45"/>
      <c r="H95" s="13"/>
    </row>
    <row r="96" spans="1:9" hidden="1" x14ac:dyDescent="0.25">
      <c r="A96" s="13"/>
      <c r="B96" s="54" t="s">
        <v>62</v>
      </c>
      <c r="C96" s="49" t="s">
        <v>190</v>
      </c>
      <c r="D96" s="39"/>
      <c r="E96" s="45"/>
      <c r="H96" s="13"/>
    </row>
    <row r="97" spans="1:9" hidden="1" x14ac:dyDescent="0.25">
      <c r="A97" s="13"/>
      <c r="B97" s="54" t="s">
        <v>112</v>
      </c>
      <c r="C97" s="49" t="s">
        <v>191</v>
      </c>
      <c r="D97" s="39"/>
      <c r="E97" s="45"/>
      <c r="H97" s="13"/>
    </row>
    <row r="98" spans="1:9" hidden="1" x14ac:dyDescent="0.25">
      <c r="A98" s="13"/>
      <c r="B98" s="54" t="s">
        <v>63</v>
      </c>
      <c r="C98" s="49" t="s">
        <v>192</v>
      </c>
      <c r="D98" s="39"/>
      <c r="E98" s="45"/>
      <c r="H98" s="13"/>
    </row>
    <row r="99" spans="1:9" hidden="1" x14ac:dyDescent="0.25">
      <c r="A99" s="13"/>
      <c r="B99" s="54" t="s">
        <v>113</v>
      </c>
      <c r="C99" s="49" t="s">
        <v>193</v>
      </c>
      <c r="D99" s="39"/>
      <c r="E99" s="45"/>
      <c r="H99" s="13"/>
    </row>
    <row r="100" spans="1:9" hidden="1" x14ac:dyDescent="0.25">
      <c r="A100" s="13"/>
      <c r="B100" s="54" t="s">
        <v>114</v>
      </c>
      <c r="C100" s="49" t="s">
        <v>194</v>
      </c>
      <c r="D100" s="39"/>
      <c r="E100" s="45"/>
      <c r="H100" s="13"/>
    </row>
    <row r="101" spans="1:9" hidden="1" x14ac:dyDescent="0.25">
      <c r="A101" s="13"/>
      <c r="B101" s="54" t="s">
        <v>147</v>
      </c>
      <c r="C101" s="49" t="s">
        <v>195</v>
      </c>
      <c r="D101" s="39"/>
      <c r="E101" s="45"/>
      <c r="H101" s="13"/>
    </row>
    <row r="102" spans="1:9" hidden="1" x14ac:dyDescent="0.25">
      <c r="A102" s="13"/>
      <c r="B102" s="54" t="s">
        <v>148</v>
      </c>
      <c r="C102" s="49" t="s">
        <v>196</v>
      </c>
      <c r="D102" s="39"/>
      <c r="E102" s="45"/>
      <c r="H102" s="13"/>
    </row>
    <row r="103" spans="1:9" hidden="1" x14ac:dyDescent="0.25">
      <c r="A103" s="13"/>
      <c r="B103" s="54" t="s">
        <v>115</v>
      </c>
      <c r="C103" s="54" t="s">
        <v>197</v>
      </c>
      <c r="D103" s="41"/>
      <c r="E103" s="45"/>
      <c r="H103" s="13"/>
    </row>
    <row r="104" spans="1:9" hidden="1" x14ac:dyDescent="0.25">
      <c r="A104" s="13"/>
      <c r="B104" s="54" t="s">
        <v>116</v>
      </c>
      <c r="C104" s="49" t="s">
        <v>198</v>
      </c>
      <c r="D104" s="39"/>
      <c r="E104" s="45"/>
      <c r="H104" s="13"/>
    </row>
    <row r="105" spans="1:9" hidden="1" x14ac:dyDescent="0.25">
      <c r="A105" s="13"/>
      <c r="B105" s="54" t="s">
        <v>149</v>
      </c>
      <c r="C105" s="49" t="s">
        <v>199</v>
      </c>
      <c r="D105" s="39"/>
      <c r="E105" s="45"/>
      <c r="H105" s="13"/>
    </row>
    <row r="106" spans="1:9" hidden="1" x14ac:dyDescent="0.25">
      <c r="A106" s="39"/>
      <c r="B106" s="49"/>
      <c r="C106" s="51"/>
      <c r="E106" s="45"/>
      <c r="H106" s="39"/>
      <c r="I106" s="39"/>
    </row>
    <row r="107" spans="1:9" hidden="1" x14ac:dyDescent="0.25">
      <c r="A107" s="38" t="s">
        <v>117</v>
      </c>
      <c r="B107" s="50" t="s">
        <v>88</v>
      </c>
      <c r="C107" s="55" t="s">
        <v>294</v>
      </c>
      <c r="D107" s="44"/>
      <c r="E107" s="45"/>
      <c r="H107" s="38"/>
      <c r="I107" s="39"/>
    </row>
    <row r="108" spans="1:9" hidden="1" x14ac:dyDescent="0.25">
      <c r="A108" s="13"/>
      <c r="B108" s="54" t="s">
        <v>51</v>
      </c>
      <c r="C108" s="49" t="s">
        <v>200</v>
      </c>
      <c r="D108" s="39"/>
      <c r="E108" s="45"/>
      <c r="H108" s="13"/>
    </row>
    <row r="109" spans="1:9" hidden="1" x14ac:dyDescent="0.25">
      <c r="A109" s="13"/>
      <c r="B109" s="54" t="s">
        <v>118</v>
      </c>
      <c r="C109" s="49" t="s">
        <v>201</v>
      </c>
      <c r="D109" s="39"/>
      <c r="E109" s="45"/>
      <c r="H109" s="13"/>
    </row>
    <row r="110" spans="1:9" hidden="1" x14ac:dyDescent="0.25">
      <c r="A110" s="13"/>
      <c r="B110" s="54" t="s">
        <v>150</v>
      </c>
      <c r="C110" s="49" t="s">
        <v>202</v>
      </c>
      <c r="D110" s="39"/>
      <c r="E110" s="45"/>
      <c r="H110" s="13"/>
    </row>
    <row r="111" spans="1:9" hidden="1" x14ac:dyDescent="0.25">
      <c r="A111" s="13"/>
      <c r="B111" s="54" t="s">
        <v>50</v>
      </c>
      <c r="C111" s="49" t="s">
        <v>203</v>
      </c>
      <c r="D111" s="39"/>
      <c r="E111" s="45"/>
      <c r="H111" s="13"/>
    </row>
    <row r="112" spans="1:9" hidden="1" x14ac:dyDescent="0.25">
      <c r="A112" s="39"/>
      <c r="B112" s="49"/>
      <c r="C112" s="49"/>
      <c r="D112" s="39"/>
      <c r="E112" s="45"/>
      <c r="H112" s="39"/>
    </row>
    <row r="113" spans="1:8" hidden="1" x14ac:dyDescent="0.25">
      <c r="A113" s="40" t="s">
        <v>105</v>
      </c>
      <c r="B113" s="50" t="s">
        <v>88</v>
      </c>
      <c r="C113" s="55" t="s">
        <v>294</v>
      </c>
      <c r="D113" s="44"/>
      <c r="E113" s="45"/>
      <c r="H113" s="40"/>
    </row>
    <row r="114" spans="1:8" hidden="1" x14ac:dyDescent="0.25">
      <c r="A114" s="13"/>
      <c r="B114" s="54" t="s">
        <v>46</v>
      </c>
      <c r="C114" s="49" t="s">
        <v>204</v>
      </c>
      <c r="D114" s="39"/>
      <c r="E114" s="45"/>
      <c r="H114" s="13"/>
    </row>
    <row r="115" spans="1:8" hidden="1" x14ac:dyDescent="0.25">
      <c r="A115" s="13"/>
      <c r="B115" s="54" t="s">
        <v>47</v>
      </c>
      <c r="C115" s="49" t="s">
        <v>205</v>
      </c>
      <c r="D115" s="39"/>
      <c r="E115" s="45"/>
      <c r="H115" s="13"/>
    </row>
    <row r="116" spans="1:8" hidden="1" x14ac:dyDescent="0.25">
      <c r="A116" s="13"/>
      <c r="B116" s="54" t="s">
        <v>49</v>
      </c>
      <c r="C116" s="49" t="s">
        <v>206</v>
      </c>
      <c r="D116" s="39"/>
      <c r="E116" s="45"/>
      <c r="H116" s="13"/>
    </row>
    <row r="117" spans="1:8" hidden="1" x14ac:dyDescent="0.25">
      <c r="A117" s="13"/>
      <c r="B117" s="54" t="s">
        <v>48</v>
      </c>
      <c r="C117" s="49" t="s">
        <v>207</v>
      </c>
      <c r="D117" s="39"/>
      <c r="E117" s="45"/>
      <c r="H117" s="13"/>
    </row>
    <row r="118" spans="1:8" hidden="1" x14ac:dyDescent="0.25">
      <c r="A118" s="13"/>
      <c r="B118" s="54" t="s">
        <v>119</v>
      </c>
      <c r="C118" s="49" t="s">
        <v>208</v>
      </c>
      <c r="D118" s="39"/>
      <c r="E118" s="45"/>
      <c r="H118" s="13"/>
    </row>
    <row r="119" spans="1:8" hidden="1" x14ac:dyDescent="0.25">
      <c r="A119" s="39"/>
      <c r="B119" s="49"/>
      <c r="C119" s="49"/>
      <c r="D119" s="39"/>
      <c r="E119" s="45"/>
      <c r="H119" s="39"/>
    </row>
    <row r="120" spans="1:8" hidden="1" x14ac:dyDescent="0.25">
      <c r="A120" s="40" t="s">
        <v>120</v>
      </c>
      <c r="B120" s="50" t="s">
        <v>88</v>
      </c>
      <c r="C120" s="55" t="s">
        <v>294</v>
      </c>
      <c r="D120" s="44"/>
      <c r="E120" s="45"/>
      <c r="H120" s="40"/>
    </row>
    <row r="121" spans="1:8" hidden="1" x14ac:dyDescent="0.25">
      <c r="A121" s="13"/>
      <c r="B121" s="54" t="s">
        <v>151</v>
      </c>
      <c r="C121" s="49" t="s">
        <v>209</v>
      </c>
      <c r="D121" s="39"/>
      <c r="E121" s="45"/>
      <c r="H121" s="13"/>
    </row>
    <row r="122" spans="1:8" hidden="1" x14ac:dyDescent="0.25">
      <c r="A122" s="13"/>
      <c r="B122" s="54" t="s">
        <v>121</v>
      </c>
      <c r="C122" s="49" t="s">
        <v>210</v>
      </c>
      <c r="D122" s="39"/>
      <c r="E122" s="45"/>
      <c r="H122" s="13"/>
    </row>
    <row r="123" spans="1:8" hidden="1" x14ac:dyDescent="0.25">
      <c r="A123" s="13"/>
      <c r="B123" s="54" t="s">
        <v>122</v>
      </c>
      <c r="C123" s="49" t="s">
        <v>211</v>
      </c>
      <c r="D123" s="39"/>
      <c r="E123" s="45"/>
      <c r="H123" s="13"/>
    </row>
    <row r="124" spans="1:8" hidden="1" x14ac:dyDescent="0.25">
      <c r="A124" s="13"/>
      <c r="B124" s="54" t="s">
        <v>123</v>
      </c>
      <c r="C124" s="49" t="s">
        <v>212</v>
      </c>
      <c r="D124" s="39"/>
      <c r="E124" s="45"/>
      <c r="H124" s="13"/>
    </row>
    <row r="125" spans="1:8" hidden="1" x14ac:dyDescent="0.25">
      <c r="A125" s="13"/>
      <c r="B125" s="54"/>
      <c r="C125" s="49"/>
      <c r="D125" s="39"/>
      <c r="E125" s="45"/>
      <c r="H125" s="13"/>
    </row>
    <row r="126" spans="1:8" hidden="1" x14ac:dyDescent="0.25">
      <c r="A126" s="40" t="s">
        <v>52</v>
      </c>
      <c r="B126" s="50" t="s">
        <v>88</v>
      </c>
      <c r="C126" s="55" t="s">
        <v>294</v>
      </c>
      <c r="D126" s="44"/>
      <c r="E126" s="45"/>
      <c r="H126" s="40"/>
    </row>
    <row r="127" spans="1:8" hidden="1" x14ac:dyDescent="0.25">
      <c r="A127" s="13"/>
      <c r="B127" s="54" t="s">
        <v>152</v>
      </c>
      <c r="C127" s="49" t="s">
        <v>213</v>
      </c>
      <c r="D127" s="39"/>
      <c r="E127" s="45"/>
      <c r="H127" s="13"/>
    </row>
    <row r="128" spans="1:8" hidden="1" x14ac:dyDescent="0.25">
      <c r="A128" s="13"/>
      <c r="B128" s="54" t="s">
        <v>124</v>
      </c>
      <c r="C128" s="49" t="s">
        <v>214</v>
      </c>
      <c r="D128" s="39"/>
      <c r="E128" s="45"/>
      <c r="H128" s="13"/>
    </row>
    <row r="129" spans="1:8" hidden="1" x14ac:dyDescent="0.25">
      <c r="A129" s="13"/>
      <c r="B129" s="54" t="s">
        <v>56</v>
      </c>
      <c r="C129" s="49" t="s">
        <v>215</v>
      </c>
      <c r="D129" s="39"/>
      <c r="E129" s="45"/>
      <c r="H129" s="13"/>
    </row>
    <row r="130" spans="1:8" hidden="1" x14ac:dyDescent="0.25">
      <c r="A130" s="13"/>
      <c r="B130" s="54" t="s">
        <v>55</v>
      </c>
      <c r="C130" s="49" t="s">
        <v>216</v>
      </c>
      <c r="D130" s="39"/>
      <c r="E130" s="45"/>
      <c r="H130" s="13"/>
    </row>
    <row r="131" spans="1:8" hidden="1" x14ac:dyDescent="0.25">
      <c r="A131" s="13"/>
      <c r="B131" s="54" t="s">
        <v>153</v>
      </c>
      <c r="C131" s="49" t="s">
        <v>217</v>
      </c>
      <c r="D131" s="39"/>
      <c r="E131" s="45"/>
      <c r="H131" s="13"/>
    </row>
    <row r="132" spans="1:8" hidden="1" x14ac:dyDescent="0.25">
      <c r="A132" s="13"/>
      <c r="B132" s="54" t="s">
        <v>53</v>
      </c>
      <c r="C132" s="49" t="s">
        <v>218</v>
      </c>
      <c r="D132" s="39"/>
      <c r="E132" s="45"/>
      <c r="H132" s="13"/>
    </row>
    <row r="133" spans="1:8" hidden="1" x14ac:dyDescent="0.25">
      <c r="A133" s="13"/>
      <c r="B133" s="54" t="s">
        <v>125</v>
      </c>
      <c r="C133" s="49" t="s">
        <v>219</v>
      </c>
      <c r="D133" s="39"/>
      <c r="E133" s="45"/>
      <c r="H133" s="13"/>
    </row>
    <row r="134" spans="1:8" hidden="1" x14ac:dyDescent="0.25">
      <c r="A134" s="13"/>
      <c r="B134" s="54" t="s">
        <v>54</v>
      </c>
      <c r="C134" s="49" t="s">
        <v>220</v>
      </c>
      <c r="D134" s="39"/>
      <c r="E134" s="45"/>
      <c r="H134" s="13"/>
    </row>
    <row r="135" spans="1:8" hidden="1" x14ac:dyDescent="0.25">
      <c r="A135" s="39"/>
      <c r="B135" s="49"/>
      <c r="C135" s="49"/>
      <c r="D135" s="39"/>
      <c r="E135" s="45"/>
      <c r="H135" s="39"/>
    </row>
    <row r="136" spans="1:8" hidden="1" x14ac:dyDescent="0.25">
      <c r="A136" s="40" t="s">
        <v>57</v>
      </c>
      <c r="B136" s="50" t="s">
        <v>88</v>
      </c>
      <c r="C136" s="55" t="s">
        <v>294</v>
      </c>
      <c r="D136" s="44"/>
      <c r="E136" s="45"/>
      <c r="H136" s="40"/>
    </row>
    <row r="137" spans="1:8" hidden="1" x14ac:dyDescent="0.25">
      <c r="A137" s="13"/>
      <c r="B137" s="54" t="s">
        <v>59</v>
      </c>
      <c r="C137" s="49" t="s">
        <v>221</v>
      </c>
      <c r="D137" s="39"/>
      <c r="E137" s="45"/>
      <c r="H137" s="13"/>
    </row>
    <row r="138" spans="1:8" hidden="1" x14ac:dyDescent="0.25">
      <c r="A138" s="13"/>
      <c r="B138" s="54" t="s">
        <v>58</v>
      </c>
      <c r="C138" s="49" t="s">
        <v>222</v>
      </c>
      <c r="D138" s="39"/>
      <c r="E138" s="45"/>
      <c r="H138" s="13"/>
    </row>
    <row r="139" spans="1:8" hidden="1" x14ac:dyDescent="0.25">
      <c r="A139" s="13"/>
      <c r="B139" s="54" t="s">
        <v>154</v>
      </c>
      <c r="C139" s="49" t="s">
        <v>223</v>
      </c>
      <c r="D139" s="39"/>
      <c r="E139" s="45"/>
      <c r="H139" s="13"/>
    </row>
    <row r="140" spans="1:8" hidden="1" x14ac:dyDescent="0.25">
      <c r="A140" s="13"/>
      <c r="B140" s="54" t="s">
        <v>155</v>
      </c>
      <c r="C140" s="49" t="s">
        <v>224</v>
      </c>
      <c r="D140" s="39"/>
      <c r="E140" s="45"/>
      <c r="H140" s="13"/>
    </row>
    <row r="141" spans="1:8" hidden="1" x14ac:dyDescent="0.25">
      <c r="A141" s="13"/>
      <c r="B141" s="54" t="s">
        <v>60</v>
      </c>
      <c r="C141" s="49" t="s">
        <v>225</v>
      </c>
      <c r="D141" s="39"/>
      <c r="E141" s="45"/>
      <c r="H141" s="13"/>
    </row>
    <row r="142" spans="1:8" hidden="1" x14ac:dyDescent="0.25">
      <c r="A142" s="39"/>
      <c r="B142" s="49"/>
      <c r="C142" s="49"/>
      <c r="D142" s="39"/>
      <c r="E142" s="45"/>
      <c r="H142" s="39"/>
    </row>
    <row r="143" spans="1:8" hidden="1" x14ac:dyDescent="0.25">
      <c r="A143" s="38" t="s">
        <v>126</v>
      </c>
      <c r="B143" s="50" t="s">
        <v>88</v>
      </c>
      <c r="C143" s="55" t="s">
        <v>294</v>
      </c>
      <c r="D143" s="44"/>
      <c r="E143" s="45"/>
      <c r="H143" s="38"/>
    </row>
    <row r="144" spans="1:8" hidden="1" x14ac:dyDescent="0.25">
      <c r="A144" s="13"/>
      <c r="B144" s="54" t="s">
        <v>156</v>
      </c>
      <c r="C144" s="49" t="s">
        <v>226</v>
      </c>
      <c r="D144" s="39"/>
      <c r="E144" s="45"/>
      <c r="H144" s="13"/>
    </row>
    <row r="145" spans="1:8" hidden="1" x14ac:dyDescent="0.25">
      <c r="A145" s="13"/>
      <c r="B145" s="54" t="s">
        <v>157</v>
      </c>
      <c r="C145" s="49" t="s">
        <v>227</v>
      </c>
      <c r="D145" s="39"/>
      <c r="E145" s="45"/>
      <c r="H145" s="13"/>
    </row>
    <row r="146" spans="1:8" hidden="1" x14ac:dyDescent="0.25">
      <c r="A146" s="13"/>
      <c r="B146" s="54" t="s">
        <v>158</v>
      </c>
      <c r="C146" s="49" t="s">
        <v>228</v>
      </c>
      <c r="D146" s="39"/>
      <c r="E146" s="45"/>
      <c r="H146" s="13"/>
    </row>
    <row r="147" spans="1:8" hidden="1" x14ac:dyDescent="0.25">
      <c r="A147" s="13"/>
      <c r="B147" s="54" t="s">
        <v>42</v>
      </c>
      <c r="C147" s="49" t="s">
        <v>229</v>
      </c>
      <c r="D147" s="39"/>
      <c r="E147" s="45"/>
      <c r="H147" s="13"/>
    </row>
    <row r="148" spans="1:8" hidden="1" x14ac:dyDescent="0.25">
      <c r="A148" s="13"/>
      <c r="B148" s="54" t="s">
        <v>127</v>
      </c>
      <c r="C148" s="49" t="s">
        <v>230</v>
      </c>
      <c r="D148" s="39"/>
      <c r="E148" s="45"/>
      <c r="H148" s="13"/>
    </row>
    <row r="149" spans="1:8" hidden="1" x14ac:dyDescent="0.25">
      <c r="A149" s="13"/>
      <c r="B149" s="54" t="s">
        <v>128</v>
      </c>
      <c r="C149" s="49" t="s">
        <v>231</v>
      </c>
      <c r="D149" s="39"/>
      <c r="E149" s="45"/>
      <c r="H149" s="13"/>
    </row>
    <row r="150" spans="1:8" hidden="1" x14ac:dyDescent="0.25">
      <c r="A150" s="13"/>
      <c r="B150" s="54" t="s">
        <v>41</v>
      </c>
      <c r="C150" s="49" t="s">
        <v>232</v>
      </c>
      <c r="D150" s="39"/>
      <c r="E150" s="45"/>
      <c r="H150" s="13"/>
    </row>
    <row r="151" spans="1:8" hidden="1" x14ac:dyDescent="0.25">
      <c r="A151" s="13"/>
      <c r="B151" s="54" t="s">
        <v>129</v>
      </c>
      <c r="C151" s="49" t="s">
        <v>233</v>
      </c>
      <c r="D151" s="39"/>
      <c r="E151" s="45"/>
      <c r="H151" s="13"/>
    </row>
    <row r="152" spans="1:8" hidden="1" x14ac:dyDescent="0.25">
      <c r="A152" s="39"/>
      <c r="B152" s="49"/>
      <c r="C152" s="49"/>
      <c r="D152" s="39"/>
      <c r="E152" s="45"/>
      <c r="H152" s="39"/>
    </row>
    <row r="153" spans="1:8" hidden="1" x14ac:dyDescent="0.25">
      <c r="A153" s="40" t="s">
        <v>130</v>
      </c>
      <c r="B153" s="50" t="s">
        <v>88</v>
      </c>
      <c r="C153" s="55" t="s">
        <v>294</v>
      </c>
      <c r="D153" s="44"/>
      <c r="E153" s="45"/>
      <c r="H153" s="40"/>
    </row>
    <row r="154" spans="1:8" hidden="1" x14ac:dyDescent="0.25">
      <c r="A154" s="13"/>
      <c r="B154" s="54" t="s">
        <v>131</v>
      </c>
      <c r="C154" s="49" t="s">
        <v>234</v>
      </c>
      <c r="D154" s="39"/>
      <c r="E154" s="45"/>
      <c r="H154" s="13"/>
    </row>
    <row r="155" spans="1:8" hidden="1" x14ac:dyDescent="0.25">
      <c r="A155" s="13"/>
      <c r="B155" s="54" t="s">
        <v>159</v>
      </c>
      <c r="C155" s="49" t="s">
        <v>235</v>
      </c>
      <c r="D155" s="39"/>
      <c r="E155" s="45"/>
      <c r="H155" s="13"/>
    </row>
    <row r="156" spans="1:8" hidden="1" x14ac:dyDescent="0.25">
      <c r="A156" s="13"/>
      <c r="B156" s="54" t="s">
        <v>160</v>
      </c>
      <c r="C156" s="49" t="s">
        <v>236</v>
      </c>
      <c r="D156" s="39"/>
      <c r="E156" s="45"/>
      <c r="H156" s="13"/>
    </row>
    <row r="157" spans="1:8" hidden="1" x14ac:dyDescent="0.25">
      <c r="A157" s="13"/>
      <c r="B157" s="54" t="s">
        <v>161</v>
      </c>
      <c r="C157" s="49" t="s">
        <v>237</v>
      </c>
      <c r="D157" s="39"/>
      <c r="E157" s="45"/>
      <c r="H157" s="13"/>
    </row>
    <row r="158" spans="1:8" hidden="1" x14ac:dyDescent="0.25">
      <c r="A158" s="13"/>
      <c r="B158" s="54" t="s">
        <v>162</v>
      </c>
      <c r="C158" s="49" t="s">
        <v>238</v>
      </c>
      <c r="D158" s="39"/>
      <c r="E158" s="45"/>
      <c r="H158" s="13"/>
    </row>
    <row r="159" spans="1:8" hidden="1" x14ac:dyDescent="0.25">
      <c r="A159" s="13"/>
      <c r="B159" s="54" t="s">
        <v>163</v>
      </c>
      <c r="C159" s="54" t="s">
        <v>239</v>
      </c>
      <c r="D159" s="41"/>
      <c r="E159" s="45"/>
      <c r="H159" s="13"/>
    </row>
    <row r="160" spans="1:8" hidden="1" x14ac:dyDescent="0.25">
      <c r="A160" s="13"/>
      <c r="B160" s="54" t="s">
        <v>164</v>
      </c>
      <c r="C160" s="54" t="s">
        <v>240</v>
      </c>
      <c r="D160" s="41"/>
      <c r="E160" s="45"/>
      <c r="H160" s="13"/>
    </row>
    <row r="161" spans="1:8" hidden="1" x14ac:dyDescent="0.25">
      <c r="A161" s="13"/>
      <c r="B161" s="54" t="s">
        <v>43</v>
      </c>
      <c r="C161" s="49" t="s">
        <v>241</v>
      </c>
      <c r="D161" s="39"/>
      <c r="E161" s="45"/>
      <c r="H161" s="13"/>
    </row>
    <row r="162" spans="1:8" hidden="1" x14ac:dyDescent="0.25">
      <c r="A162" s="13"/>
      <c r="B162" s="54" t="s">
        <v>165</v>
      </c>
      <c r="C162" s="54" t="s">
        <v>242</v>
      </c>
      <c r="D162" s="41"/>
      <c r="E162" s="45"/>
      <c r="H162" s="13"/>
    </row>
    <row r="163" spans="1:8" hidden="1" x14ac:dyDescent="0.25">
      <c r="A163" s="13"/>
      <c r="B163" s="54" t="s">
        <v>166</v>
      </c>
      <c r="C163" s="54" t="s">
        <v>243</v>
      </c>
      <c r="D163" s="41"/>
      <c r="E163" s="45"/>
      <c r="H163" s="13"/>
    </row>
    <row r="164" spans="1:8" hidden="1" x14ac:dyDescent="0.25">
      <c r="A164" s="13"/>
      <c r="B164" s="54" t="s">
        <v>44</v>
      </c>
      <c r="C164" s="49" t="s">
        <v>244</v>
      </c>
      <c r="D164" s="39"/>
      <c r="E164" s="45"/>
      <c r="H164" s="13"/>
    </row>
    <row r="165" spans="1:8" hidden="1" x14ac:dyDescent="0.25">
      <c r="A165" s="13"/>
      <c r="B165" s="54" t="s">
        <v>45</v>
      </c>
      <c r="C165" s="54" t="s">
        <v>245</v>
      </c>
      <c r="D165" s="41"/>
      <c r="E165" s="45"/>
      <c r="H165" s="13"/>
    </row>
    <row r="166" spans="1:8" hidden="1" x14ac:dyDescent="0.25">
      <c r="A166" s="39"/>
      <c r="B166" s="49"/>
      <c r="C166" s="49"/>
      <c r="D166" s="39"/>
      <c r="E166" s="45"/>
      <c r="H166" s="39"/>
    </row>
    <row r="167" spans="1:8" hidden="1" x14ac:dyDescent="0.25">
      <c r="A167" s="38" t="s">
        <v>20</v>
      </c>
      <c r="B167" s="50" t="s">
        <v>88</v>
      </c>
      <c r="C167" s="55" t="s">
        <v>294</v>
      </c>
      <c r="D167" s="44"/>
      <c r="E167" s="45"/>
      <c r="H167" s="38"/>
    </row>
    <row r="168" spans="1:8" hidden="1" x14ac:dyDescent="0.25">
      <c r="A168" s="13"/>
      <c r="B168" s="54" t="s">
        <v>64</v>
      </c>
      <c r="C168" s="49" t="s">
        <v>246</v>
      </c>
      <c r="D168" s="39"/>
      <c r="E168" s="45"/>
      <c r="H168" s="13"/>
    </row>
    <row r="169" spans="1:8" hidden="1" x14ac:dyDescent="0.25">
      <c r="A169" s="13"/>
      <c r="B169" s="54" t="s">
        <v>167</v>
      </c>
      <c r="C169" s="49" t="s">
        <v>247</v>
      </c>
      <c r="D169" s="39"/>
      <c r="E169" s="45"/>
      <c r="H169" s="13"/>
    </row>
    <row r="170" spans="1:8" hidden="1" x14ac:dyDescent="0.25">
      <c r="A170" s="13"/>
      <c r="B170" s="54" t="s">
        <v>168</v>
      </c>
      <c r="C170" s="49" t="s">
        <v>248</v>
      </c>
      <c r="D170" s="39"/>
      <c r="E170" s="45"/>
      <c r="H170" s="13"/>
    </row>
    <row r="171" spans="1:8" hidden="1" x14ac:dyDescent="0.25">
      <c r="A171" s="13"/>
      <c r="B171" s="54" t="s">
        <v>65</v>
      </c>
      <c r="C171" s="49" t="s">
        <v>249</v>
      </c>
      <c r="D171" s="39"/>
      <c r="E171" s="45"/>
      <c r="H171" s="13"/>
    </row>
    <row r="172" spans="1:8" hidden="1" x14ac:dyDescent="0.25">
      <c r="A172" s="13"/>
      <c r="B172" s="54" t="s">
        <v>132</v>
      </c>
      <c r="C172" s="49" t="s">
        <v>250</v>
      </c>
      <c r="D172" s="39"/>
      <c r="E172" s="45"/>
      <c r="H172" s="13"/>
    </row>
    <row r="173" spans="1:8" hidden="1" x14ac:dyDescent="0.25">
      <c r="A173" s="13"/>
      <c r="B173" s="54" t="s">
        <v>68</v>
      </c>
      <c r="C173" s="49" t="s">
        <v>251</v>
      </c>
      <c r="D173" s="39"/>
      <c r="E173" s="45"/>
      <c r="H173" s="13"/>
    </row>
    <row r="174" spans="1:8" hidden="1" x14ac:dyDescent="0.25">
      <c r="A174" s="13"/>
      <c r="B174" s="54" t="s">
        <v>169</v>
      </c>
      <c r="C174" s="49" t="s">
        <v>252</v>
      </c>
      <c r="D174" s="39"/>
      <c r="E174" s="45"/>
      <c r="H174" s="13"/>
    </row>
    <row r="175" spans="1:8" hidden="1" x14ac:dyDescent="0.25">
      <c r="A175" s="13"/>
      <c r="B175" s="54"/>
      <c r="C175" s="49"/>
      <c r="D175" s="39"/>
      <c r="E175" s="45"/>
      <c r="H175" s="13"/>
    </row>
    <row r="176" spans="1:8" hidden="1" x14ac:dyDescent="0.25">
      <c r="A176" s="40" t="s">
        <v>108</v>
      </c>
      <c r="B176" s="50" t="s">
        <v>88</v>
      </c>
      <c r="C176" s="55" t="s">
        <v>294</v>
      </c>
      <c r="D176" s="44"/>
      <c r="E176" s="45"/>
      <c r="H176" s="40"/>
    </row>
    <row r="177" spans="1:8" hidden="1" x14ac:dyDescent="0.25">
      <c r="A177" s="13"/>
      <c r="B177" s="54" t="s">
        <v>66</v>
      </c>
      <c r="C177" s="49" t="s">
        <v>253</v>
      </c>
      <c r="D177" s="39"/>
      <c r="E177" s="45"/>
      <c r="H177" s="13"/>
    </row>
    <row r="178" spans="1:8" hidden="1" x14ac:dyDescent="0.25">
      <c r="A178" s="13"/>
      <c r="B178" s="54" t="s">
        <v>67</v>
      </c>
      <c r="C178" s="49" t="s">
        <v>254</v>
      </c>
      <c r="D178" s="39"/>
      <c r="E178" s="45"/>
      <c r="H178" s="13"/>
    </row>
    <row r="179" spans="1:8" hidden="1" x14ac:dyDescent="0.25">
      <c r="A179" s="13"/>
      <c r="B179" s="54" t="s">
        <v>133</v>
      </c>
      <c r="C179" s="49" t="s">
        <v>255</v>
      </c>
      <c r="D179" s="39"/>
      <c r="E179" s="45"/>
      <c r="H179" s="13"/>
    </row>
    <row r="180" spans="1:8" hidden="1" x14ac:dyDescent="0.25">
      <c r="A180" s="13"/>
      <c r="B180" s="54" t="s">
        <v>170</v>
      </c>
      <c r="C180" s="49" t="s">
        <v>256</v>
      </c>
      <c r="D180" s="39"/>
      <c r="E180" s="45"/>
      <c r="H180" s="13"/>
    </row>
    <row r="181" spans="1:8" hidden="1" x14ac:dyDescent="0.25">
      <c r="A181" s="13"/>
      <c r="B181" s="54" t="s">
        <v>70</v>
      </c>
      <c r="C181" s="49" t="s">
        <v>257</v>
      </c>
      <c r="D181" s="39"/>
      <c r="E181" s="45"/>
      <c r="H181" s="13"/>
    </row>
    <row r="182" spans="1:8" hidden="1" x14ac:dyDescent="0.25">
      <c r="A182" s="13"/>
      <c r="B182" s="54" t="s">
        <v>69</v>
      </c>
      <c r="C182" s="49" t="s">
        <v>258</v>
      </c>
      <c r="D182" s="39"/>
      <c r="E182" s="45"/>
      <c r="H182" s="13"/>
    </row>
    <row r="183" spans="1:8" hidden="1" x14ac:dyDescent="0.25">
      <c r="A183" s="13"/>
      <c r="B183" s="54" t="s">
        <v>134</v>
      </c>
      <c r="C183" s="49" t="s">
        <v>259</v>
      </c>
      <c r="D183" s="39"/>
      <c r="E183" s="45"/>
      <c r="H183" s="13"/>
    </row>
    <row r="184" spans="1:8" hidden="1" x14ac:dyDescent="0.25">
      <c r="A184" s="13"/>
      <c r="B184" s="54" t="s">
        <v>171</v>
      </c>
      <c r="C184" s="49" t="s">
        <v>260</v>
      </c>
      <c r="D184" s="39"/>
      <c r="E184" s="45"/>
      <c r="H184" s="13"/>
    </row>
    <row r="185" spans="1:8" hidden="1" x14ac:dyDescent="0.25">
      <c r="A185" s="39"/>
      <c r="B185" s="49"/>
      <c r="C185" s="49"/>
      <c r="D185" s="39"/>
      <c r="E185" s="45"/>
      <c r="H185" s="39"/>
    </row>
    <row r="186" spans="1:8" hidden="1" x14ac:dyDescent="0.25">
      <c r="A186" s="40" t="s">
        <v>107</v>
      </c>
      <c r="B186" s="50" t="s">
        <v>88</v>
      </c>
      <c r="C186" s="55" t="s">
        <v>294</v>
      </c>
      <c r="D186" s="44"/>
      <c r="E186" s="45"/>
      <c r="H186" s="40"/>
    </row>
    <row r="187" spans="1:8" hidden="1" x14ac:dyDescent="0.25">
      <c r="A187" s="13"/>
      <c r="B187" s="54" t="s">
        <v>135</v>
      </c>
      <c r="C187" s="49" t="s">
        <v>261</v>
      </c>
      <c r="D187" s="39"/>
      <c r="E187" s="45"/>
      <c r="H187" s="13"/>
    </row>
    <row r="188" spans="1:8" hidden="1" x14ac:dyDescent="0.25">
      <c r="A188" s="13"/>
      <c r="B188" s="54" t="s">
        <v>71</v>
      </c>
      <c r="C188" s="49" t="s">
        <v>262</v>
      </c>
      <c r="D188" s="39"/>
      <c r="E188" s="45"/>
      <c r="H188" s="13"/>
    </row>
    <row r="189" spans="1:8" hidden="1" x14ac:dyDescent="0.25">
      <c r="A189" s="13"/>
      <c r="B189" s="54" t="s">
        <v>72</v>
      </c>
      <c r="C189" s="49" t="s">
        <v>263</v>
      </c>
      <c r="D189" s="39"/>
      <c r="E189" s="45"/>
      <c r="H189" s="13"/>
    </row>
    <row r="190" spans="1:8" hidden="1" x14ac:dyDescent="0.25">
      <c r="A190" s="13"/>
      <c r="B190" s="54" t="s">
        <v>136</v>
      </c>
      <c r="C190" s="49" t="s">
        <v>264</v>
      </c>
      <c r="D190" s="39"/>
      <c r="E190" s="45"/>
      <c r="H190" s="13"/>
    </row>
    <row r="191" spans="1:8" hidden="1" x14ac:dyDescent="0.25">
      <c r="A191" s="13"/>
      <c r="B191" s="49"/>
      <c r="C191" s="49"/>
      <c r="D191" s="39"/>
      <c r="E191" s="45"/>
      <c r="H191" s="13"/>
    </row>
    <row r="192" spans="1:8" hidden="1" x14ac:dyDescent="0.25">
      <c r="A192" s="40" t="s">
        <v>106</v>
      </c>
      <c r="B192" s="50" t="s">
        <v>88</v>
      </c>
      <c r="C192" s="55" t="s">
        <v>294</v>
      </c>
      <c r="D192" s="44"/>
      <c r="E192" s="45"/>
      <c r="H192" s="40"/>
    </row>
    <row r="193" spans="1:8" hidden="1" x14ac:dyDescent="0.25">
      <c r="A193" s="13"/>
      <c r="B193" s="54" t="s">
        <v>172</v>
      </c>
      <c r="C193" s="49" t="s">
        <v>265</v>
      </c>
      <c r="D193" s="39"/>
      <c r="E193" s="45"/>
      <c r="H193" s="13"/>
    </row>
    <row r="194" spans="1:8" hidden="1" x14ac:dyDescent="0.25">
      <c r="A194" s="13"/>
      <c r="B194" s="54" t="s">
        <v>73</v>
      </c>
      <c r="C194" s="49" t="s">
        <v>266</v>
      </c>
      <c r="D194" s="39"/>
      <c r="E194" s="45"/>
      <c r="H194" s="13"/>
    </row>
    <row r="195" spans="1:8" hidden="1" x14ac:dyDescent="0.25">
      <c r="A195" s="13"/>
      <c r="B195" s="54" t="s">
        <v>137</v>
      </c>
      <c r="C195" s="49" t="s">
        <v>267</v>
      </c>
      <c r="D195" s="39"/>
      <c r="E195" s="45"/>
      <c r="H195" s="13"/>
    </row>
    <row r="196" spans="1:8" hidden="1" x14ac:dyDescent="0.25">
      <c r="A196" s="39"/>
      <c r="B196" s="49"/>
      <c r="C196" s="49"/>
      <c r="D196" s="39"/>
      <c r="E196" s="45"/>
      <c r="H196" s="39"/>
    </row>
    <row r="197" spans="1:8" hidden="1" x14ac:dyDescent="0.25">
      <c r="A197" s="40" t="s">
        <v>37</v>
      </c>
      <c r="B197" s="50" t="s">
        <v>88</v>
      </c>
      <c r="C197" s="55" t="s">
        <v>294</v>
      </c>
      <c r="D197" s="44"/>
      <c r="E197" s="45"/>
      <c r="H197" s="40"/>
    </row>
    <row r="198" spans="1:8" hidden="1" x14ac:dyDescent="0.25">
      <c r="A198" s="13"/>
      <c r="B198" s="54" t="s">
        <v>138</v>
      </c>
      <c r="C198" s="49" t="s">
        <v>268</v>
      </c>
      <c r="D198" s="39"/>
      <c r="E198" s="45"/>
      <c r="H198" s="13"/>
    </row>
    <row r="199" spans="1:8" hidden="1" x14ac:dyDescent="0.25">
      <c r="A199" s="13"/>
      <c r="B199" s="54" t="s">
        <v>38</v>
      </c>
      <c r="C199" s="49" t="s">
        <v>269</v>
      </c>
      <c r="D199" s="39"/>
      <c r="E199" s="45"/>
      <c r="H199" s="13"/>
    </row>
    <row r="200" spans="1:8" hidden="1" x14ac:dyDescent="0.25">
      <c r="A200" s="13"/>
      <c r="B200" s="54" t="s">
        <v>39</v>
      </c>
      <c r="C200" s="49" t="s">
        <v>270</v>
      </c>
      <c r="D200" s="39"/>
      <c r="E200" s="45"/>
      <c r="H200" s="13"/>
    </row>
    <row r="201" spans="1:8" hidden="1" x14ac:dyDescent="0.25">
      <c r="A201" s="13"/>
      <c r="B201" s="54" t="s">
        <v>139</v>
      </c>
      <c r="C201" s="49" t="s">
        <v>271</v>
      </c>
      <c r="D201" s="39"/>
      <c r="E201" s="45"/>
      <c r="H201" s="13"/>
    </row>
    <row r="202" spans="1:8" hidden="1" x14ac:dyDescent="0.25">
      <c r="A202" s="13"/>
      <c r="B202" s="54" t="s">
        <v>40</v>
      </c>
      <c r="C202" s="49" t="s">
        <v>272</v>
      </c>
      <c r="D202" s="39"/>
      <c r="E202" s="45"/>
      <c r="H202" s="13"/>
    </row>
    <row r="203" spans="1:8" hidden="1" x14ac:dyDescent="0.25">
      <c r="A203" s="13"/>
      <c r="B203" s="54" t="s">
        <v>140</v>
      </c>
      <c r="C203" s="49" t="s">
        <v>273</v>
      </c>
      <c r="D203" s="39"/>
      <c r="E203" s="45"/>
      <c r="H203" s="13"/>
    </row>
    <row r="204" spans="1:8" hidden="1" x14ac:dyDescent="0.25">
      <c r="A204" s="13"/>
      <c r="B204" s="54" t="s">
        <v>141</v>
      </c>
      <c r="C204" s="49" t="s">
        <v>274</v>
      </c>
      <c r="D204" s="39"/>
      <c r="E204" s="45"/>
      <c r="H204" s="13"/>
    </row>
    <row r="205" spans="1:8" hidden="1" x14ac:dyDescent="0.25">
      <c r="A205" s="39"/>
      <c r="B205" s="49"/>
      <c r="C205" s="49"/>
      <c r="D205" s="39"/>
      <c r="E205" s="45"/>
      <c r="H205" s="39"/>
    </row>
    <row r="206" spans="1:8" hidden="1" x14ac:dyDescent="0.25">
      <c r="A206" s="40" t="s">
        <v>22</v>
      </c>
      <c r="B206" s="50" t="s">
        <v>88</v>
      </c>
      <c r="C206" s="55" t="s">
        <v>294</v>
      </c>
      <c r="D206" s="44"/>
      <c r="E206" s="45"/>
      <c r="H206" s="40"/>
    </row>
    <row r="207" spans="1:8" hidden="1" x14ac:dyDescent="0.25">
      <c r="A207" s="13"/>
      <c r="B207" s="54" t="s">
        <v>23</v>
      </c>
      <c r="C207" s="49" t="s">
        <v>275</v>
      </c>
      <c r="D207" s="39"/>
      <c r="E207" s="45"/>
      <c r="H207" s="13"/>
    </row>
    <row r="208" spans="1:8" hidden="1" x14ac:dyDescent="0.25">
      <c r="A208" s="13"/>
      <c r="B208" s="54" t="s">
        <v>25</v>
      </c>
      <c r="C208" s="49" t="s">
        <v>276</v>
      </c>
      <c r="D208" s="39"/>
      <c r="E208" s="45"/>
      <c r="H208" s="13"/>
    </row>
    <row r="209" spans="1:8" hidden="1" x14ac:dyDescent="0.25">
      <c r="A209" s="13"/>
      <c r="B209" s="54" t="s">
        <v>142</v>
      </c>
      <c r="C209" s="49" t="s">
        <v>277</v>
      </c>
      <c r="D209" s="39"/>
      <c r="E209" s="45"/>
      <c r="H209" s="13"/>
    </row>
    <row r="210" spans="1:8" hidden="1" x14ac:dyDescent="0.25">
      <c r="A210" s="13"/>
      <c r="B210" s="54" t="s">
        <v>24</v>
      </c>
      <c r="C210" s="49" t="s">
        <v>278</v>
      </c>
      <c r="D210" s="39"/>
      <c r="E210" s="45"/>
      <c r="H210" s="13"/>
    </row>
    <row r="211" spans="1:8" hidden="1" x14ac:dyDescent="0.25">
      <c r="A211" s="13"/>
      <c r="B211" s="56" t="s">
        <v>173</v>
      </c>
      <c r="C211" s="52" t="s">
        <v>279</v>
      </c>
      <c r="D211" s="13"/>
      <c r="E211" s="45"/>
      <c r="H211" s="13"/>
    </row>
    <row r="212" spans="1:8" hidden="1" x14ac:dyDescent="0.25">
      <c r="A212" s="13"/>
      <c r="B212" s="54" t="s">
        <v>26</v>
      </c>
      <c r="C212" s="49" t="s">
        <v>280</v>
      </c>
      <c r="D212" s="39"/>
      <c r="E212" s="45"/>
      <c r="H212" s="13"/>
    </row>
    <row r="213" spans="1:8" hidden="1" x14ac:dyDescent="0.25">
      <c r="A213" s="13"/>
      <c r="B213" s="54" t="s">
        <v>27</v>
      </c>
      <c r="C213" s="49" t="s">
        <v>281</v>
      </c>
      <c r="D213" s="39"/>
      <c r="E213" s="45"/>
      <c r="H213" s="13"/>
    </row>
    <row r="214" spans="1:8" hidden="1" x14ac:dyDescent="0.25">
      <c r="A214" s="39"/>
      <c r="B214" s="49"/>
      <c r="C214" s="49"/>
      <c r="D214" s="39"/>
      <c r="E214" s="45"/>
      <c r="H214" s="39"/>
    </row>
    <row r="215" spans="1:8" hidden="1" x14ac:dyDescent="0.25">
      <c r="A215" s="40" t="s">
        <v>143</v>
      </c>
      <c r="B215" s="50" t="s">
        <v>88</v>
      </c>
      <c r="C215" s="55" t="s">
        <v>294</v>
      </c>
      <c r="D215" s="44"/>
      <c r="E215" s="45"/>
      <c r="H215" s="40"/>
    </row>
    <row r="216" spans="1:8" hidden="1" x14ac:dyDescent="0.25">
      <c r="A216" s="13"/>
      <c r="B216" s="54" t="s">
        <v>29</v>
      </c>
      <c r="C216" s="54" t="s">
        <v>282</v>
      </c>
      <c r="D216" s="41"/>
      <c r="E216" s="45"/>
      <c r="H216" s="13"/>
    </row>
    <row r="217" spans="1:8" hidden="1" x14ac:dyDescent="0.25">
      <c r="A217" s="13"/>
      <c r="B217" s="54" t="s">
        <v>31</v>
      </c>
      <c r="C217" s="49" t="s">
        <v>283</v>
      </c>
      <c r="D217" s="39"/>
      <c r="E217" s="45"/>
      <c r="H217" s="13"/>
    </row>
    <row r="218" spans="1:8" hidden="1" x14ac:dyDescent="0.25">
      <c r="A218" s="13"/>
      <c r="B218" s="54" t="s">
        <v>28</v>
      </c>
      <c r="C218" s="49" t="s">
        <v>284</v>
      </c>
      <c r="D218" s="39"/>
      <c r="E218" s="45"/>
      <c r="H218" s="13"/>
    </row>
    <row r="219" spans="1:8" hidden="1" x14ac:dyDescent="0.25">
      <c r="A219" s="13"/>
      <c r="B219" s="54" t="s">
        <v>36</v>
      </c>
      <c r="C219" s="49" t="s">
        <v>285</v>
      </c>
      <c r="D219" s="39"/>
      <c r="E219" s="45"/>
      <c r="H219" s="13"/>
    </row>
    <row r="220" spans="1:8" hidden="1" x14ac:dyDescent="0.25">
      <c r="A220" s="13"/>
      <c r="B220" s="54" t="s">
        <v>30</v>
      </c>
      <c r="C220" s="49" t="s">
        <v>286</v>
      </c>
      <c r="D220" s="39"/>
      <c r="E220" s="45"/>
      <c r="H220" s="13"/>
    </row>
    <row r="221" spans="1:8" hidden="1" x14ac:dyDescent="0.25">
      <c r="A221" s="13"/>
      <c r="B221" s="56" t="s">
        <v>144</v>
      </c>
      <c r="C221" s="52" t="s">
        <v>287</v>
      </c>
      <c r="D221" s="13"/>
      <c r="E221" s="45"/>
      <c r="H221" s="13"/>
    </row>
    <row r="222" spans="1:8" hidden="1" x14ac:dyDescent="0.25">
      <c r="A222" s="13"/>
      <c r="B222" s="54"/>
      <c r="C222" s="49"/>
      <c r="D222" s="39"/>
      <c r="E222" s="45"/>
      <c r="H222" s="13"/>
    </row>
    <row r="223" spans="1:8" hidden="1" x14ac:dyDescent="0.25">
      <c r="A223" s="40" t="s">
        <v>104</v>
      </c>
      <c r="B223" s="50" t="s">
        <v>88</v>
      </c>
      <c r="C223" s="55" t="s">
        <v>294</v>
      </c>
      <c r="D223" s="44"/>
      <c r="E223" s="45"/>
      <c r="H223" s="40"/>
    </row>
    <row r="224" spans="1:8" hidden="1" x14ac:dyDescent="0.25">
      <c r="A224" s="13"/>
      <c r="B224" s="54" t="s">
        <v>32</v>
      </c>
      <c r="C224" s="49" t="s">
        <v>288</v>
      </c>
      <c r="D224" s="39"/>
      <c r="E224" s="45"/>
      <c r="H224" s="13"/>
    </row>
    <row r="225" spans="1:9" hidden="1" x14ac:dyDescent="0.25">
      <c r="A225" s="13"/>
      <c r="B225" s="54" t="s">
        <v>34</v>
      </c>
      <c r="C225" s="49" t="s">
        <v>289</v>
      </c>
      <c r="D225" s="39"/>
      <c r="E225" s="45"/>
      <c r="H225" s="13"/>
    </row>
    <row r="226" spans="1:9" hidden="1" x14ac:dyDescent="0.25">
      <c r="A226" s="13"/>
      <c r="B226" s="54" t="s">
        <v>35</v>
      </c>
      <c r="C226" s="49" t="s">
        <v>290</v>
      </c>
      <c r="D226" s="39"/>
      <c r="E226" s="45"/>
      <c r="H226" s="13"/>
    </row>
    <row r="227" spans="1:9" hidden="1" x14ac:dyDescent="0.25">
      <c r="A227" s="13"/>
      <c r="B227" s="54" t="s">
        <v>174</v>
      </c>
      <c r="C227" s="49" t="s">
        <v>291</v>
      </c>
      <c r="D227" s="39"/>
      <c r="E227" s="45"/>
      <c r="H227" s="13"/>
    </row>
    <row r="228" spans="1:9" hidden="1" x14ac:dyDescent="0.25">
      <c r="A228" s="13"/>
      <c r="B228" s="56" t="s">
        <v>145</v>
      </c>
      <c r="C228" s="52" t="s">
        <v>292</v>
      </c>
      <c r="D228" s="13"/>
      <c r="E228" s="45"/>
      <c r="H228" s="13"/>
    </row>
    <row r="229" spans="1:9" hidden="1" x14ac:dyDescent="0.25">
      <c r="A229" s="13"/>
      <c r="B229" s="54" t="s">
        <v>33</v>
      </c>
      <c r="C229" s="49" t="s">
        <v>293</v>
      </c>
      <c r="D229" s="39"/>
      <c r="E229" s="45"/>
      <c r="H229" s="13"/>
    </row>
    <row r="230" spans="1:9" hidden="1" x14ac:dyDescent="0.25">
      <c r="B230" s="51"/>
      <c r="C230" s="51"/>
      <c r="E230" s="45"/>
    </row>
    <row r="231" spans="1:9" hidden="1" x14ac:dyDescent="0.25">
      <c r="B231" s="51"/>
      <c r="C231" s="51"/>
      <c r="E231" s="45"/>
    </row>
    <row r="232" spans="1:9" hidden="1" x14ac:dyDescent="0.25">
      <c r="A232" s="40" t="s">
        <v>17</v>
      </c>
      <c r="B232" s="50" t="s">
        <v>88</v>
      </c>
      <c r="C232" s="55" t="s">
        <v>294</v>
      </c>
      <c r="D232" s="44"/>
      <c r="E232" s="45"/>
    </row>
    <row r="233" spans="1:9" hidden="1" x14ac:dyDescent="0.25">
      <c r="B233" s="54" t="s">
        <v>152</v>
      </c>
      <c r="C233" s="49" t="s">
        <v>213</v>
      </c>
      <c r="D233" s="39"/>
      <c r="E233" s="45"/>
      <c r="I233" s="41"/>
    </row>
    <row r="234" spans="1:9" hidden="1" x14ac:dyDescent="0.25">
      <c r="B234" s="54" t="s">
        <v>59</v>
      </c>
      <c r="C234" s="49" t="s">
        <v>221</v>
      </c>
      <c r="D234" s="39"/>
      <c r="E234" s="45"/>
      <c r="I234" s="41"/>
    </row>
    <row r="235" spans="1:9" hidden="1" x14ac:dyDescent="0.25">
      <c r="B235" s="54" t="s">
        <v>124</v>
      </c>
      <c r="C235" s="49" t="s">
        <v>214</v>
      </c>
      <c r="D235" s="39"/>
      <c r="E235" s="45"/>
      <c r="I235" s="41"/>
    </row>
    <row r="236" spans="1:9" hidden="1" x14ac:dyDescent="0.25">
      <c r="B236" s="54" t="s">
        <v>58</v>
      </c>
      <c r="C236" s="49" t="s">
        <v>222</v>
      </c>
      <c r="D236" s="39"/>
      <c r="E236" s="45"/>
      <c r="I236" s="41"/>
    </row>
    <row r="237" spans="1:9" hidden="1" x14ac:dyDescent="0.25">
      <c r="B237" s="54" t="s">
        <v>56</v>
      </c>
      <c r="C237" s="49" t="s">
        <v>215</v>
      </c>
      <c r="D237" s="39"/>
      <c r="E237" s="45"/>
      <c r="I237" s="41"/>
    </row>
    <row r="238" spans="1:9" hidden="1" x14ac:dyDescent="0.25">
      <c r="B238" s="54" t="s">
        <v>154</v>
      </c>
      <c r="C238" s="49" t="s">
        <v>223</v>
      </c>
      <c r="D238" s="39"/>
      <c r="E238" s="45"/>
      <c r="I238" s="41"/>
    </row>
    <row r="239" spans="1:9" hidden="1" x14ac:dyDescent="0.25">
      <c r="B239" s="54" t="s">
        <v>55</v>
      </c>
      <c r="C239" s="49" t="s">
        <v>216</v>
      </c>
      <c r="D239" s="39"/>
      <c r="E239" s="45"/>
      <c r="I239" s="41"/>
    </row>
    <row r="240" spans="1:9" hidden="1" x14ac:dyDescent="0.25">
      <c r="B240" s="54" t="s">
        <v>155</v>
      </c>
      <c r="C240" s="49" t="s">
        <v>224</v>
      </c>
      <c r="D240" s="39"/>
      <c r="E240" s="45"/>
      <c r="I240" s="41"/>
    </row>
    <row r="241" spans="1:11" hidden="1" x14ac:dyDescent="0.25">
      <c r="B241" s="54" t="s">
        <v>153</v>
      </c>
      <c r="C241" s="49" t="s">
        <v>217</v>
      </c>
      <c r="D241" s="39"/>
      <c r="E241" s="45"/>
      <c r="I241" s="39"/>
      <c r="K241" s="39"/>
    </row>
    <row r="242" spans="1:11" hidden="1" x14ac:dyDescent="0.25">
      <c r="B242" s="54" t="s">
        <v>60</v>
      </c>
      <c r="C242" s="49" t="s">
        <v>225</v>
      </c>
      <c r="D242" s="39"/>
      <c r="E242" s="45"/>
      <c r="I242" s="39"/>
      <c r="K242" s="39"/>
    </row>
    <row r="243" spans="1:11" hidden="1" x14ac:dyDescent="0.25">
      <c r="B243" s="54" t="s">
        <v>53</v>
      </c>
      <c r="C243" s="49" t="s">
        <v>218</v>
      </c>
      <c r="D243" s="39"/>
      <c r="E243" s="45"/>
      <c r="I243" s="41"/>
    </row>
    <row r="244" spans="1:11" hidden="1" x14ac:dyDescent="0.25">
      <c r="B244" s="54" t="s">
        <v>125</v>
      </c>
      <c r="C244" s="49" t="s">
        <v>219</v>
      </c>
      <c r="D244" s="39"/>
      <c r="E244" s="45"/>
      <c r="I244" s="41"/>
    </row>
    <row r="245" spans="1:11" hidden="1" x14ac:dyDescent="0.25">
      <c r="B245" s="54" t="s">
        <v>54</v>
      </c>
      <c r="C245" s="49" t="s">
        <v>220</v>
      </c>
      <c r="D245" s="39"/>
      <c r="E245" s="45"/>
      <c r="I245" s="41"/>
    </row>
    <row r="246" spans="1:11" hidden="1" x14ac:dyDescent="0.25">
      <c r="B246" s="50" t="s">
        <v>88</v>
      </c>
      <c r="C246" s="55" t="s">
        <v>294</v>
      </c>
      <c r="D246" s="44"/>
      <c r="E246" s="45"/>
      <c r="I246" s="41"/>
    </row>
    <row r="247" spans="1:11" hidden="1" x14ac:dyDescent="0.25">
      <c r="A247" s="40" t="s">
        <v>176</v>
      </c>
      <c r="B247" s="54" t="s">
        <v>29</v>
      </c>
      <c r="C247" s="54" t="s">
        <v>282</v>
      </c>
      <c r="D247" s="41"/>
      <c r="E247" s="45"/>
      <c r="I247" s="41"/>
    </row>
    <row r="248" spans="1:11" hidden="1" x14ac:dyDescent="0.25">
      <c r="B248" s="54" t="s">
        <v>32</v>
      </c>
      <c r="C248" s="49" t="s">
        <v>288</v>
      </c>
      <c r="D248" s="39"/>
      <c r="E248" s="45"/>
      <c r="I248" s="41"/>
    </row>
    <row r="249" spans="1:11" hidden="1" x14ac:dyDescent="0.25">
      <c r="B249" s="54" t="s">
        <v>31</v>
      </c>
      <c r="C249" s="49" t="s">
        <v>283</v>
      </c>
      <c r="D249" s="39"/>
      <c r="E249" s="45"/>
      <c r="I249" s="41"/>
    </row>
    <row r="250" spans="1:11" hidden="1" x14ac:dyDescent="0.25">
      <c r="B250" s="54" t="s">
        <v>34</v>
      </c>
      <c r="C250" s="49" t="s">
        <v>289</v>
      </c>
      <c r="D250" s="39"/>
      <c r="E250" s="46"/>
      <c r="I250" s="41"/>
    </row>
    <row r="251" spans="1:11" hidden="1" x14ac:dyDescent="0.25">
      <c r="B251" s="54" t="s">
        <v>28</v>
      </c>
      <c r="C251" s="49" t="s">
        <v>284</v>
      </c>
      <c r="D251" s="39"/>
      <c r="E251" s="47"/>
      <c r="I251" s="41"/>
    </row>
    <row r="252" spans="1:11" hidden="1" x14ac:dyDescent="0.25">
      <c r="B252" s="54" t="s">
        <v>35</v>
      </c>
      <c r="C252" s="49" t="s">
        <v>290</v>
      </c>
      <c r="D252" s="39"/>
      <c r="E252" s="46"/>
      <c r="I252" s="42"/>
    </row>
    <row r="253" spans="1:11" hidden="1" x14ac:dyDescent="0.25">
      <c r="B253" s="54" t="s">
        <v>36</v>
      </c>
      <c r="C253" s="49" t="s">
        <v>285</v>
      </c>
      <c r="D253" s="39"/>
      <c r="E253" s="47"/>
      <c r="I253" s="41"/>
      <c r="K253" s="39"/>
    </row>
    <row r="254" spans="1:11" hidden="1" x14ac:dyDescent="0.25">
      <c r="B254" s="54" t="s">
        <v>174</v>
      </c>
      <c r="C254" s="49" t="s">
        <v>291</v>
      </c>
      <c r="D254" s="39"/>
      <c r="E254" s="45"/>
      <c r="I254" s="39"/>
      <c r="K254" s="39"/>
    </row>
    <row r="255" spans="1:11" hidden="1" x14ac:dyDescent="0.25">
      <c r="B255" s="54" t="s">
        <v>30</v>
      </c>
      <c r="C255" s="49" t="s">
        <v>286</v>
      </c>
      <c r="D255" s="39"/>
      <c r="E255" s="47"/>
      <c r="I255" s="41"/>
    </row>
    <row r="256" spans="1:11" hidden="1" x14ac:dyDescent="0.25">
      <c r="B256" s="56" t="s">
        <v>145</v>
      </c>
      <c r="C256" s="52" t="s">
        <v>292</v>
      </c>
      <c r="D256" s="13"/>
      <c r="E256" s="48"/>
      <c r="I256" s="41"/>
    </row>
    <row r="257" spans="1:9" hidden="1" x14ac:dyDescent="0.25">
      <c r="B257" s="56" t="s">
        <v>144</v>
      </c>
      <c r="C257" s="52" t="s">
        <v>287</v>
      </c>
      <c r="D257" s="13"/>
      <c r="E257" s="47"/>
      <c r="I257" s="41"/>
    </row>
    <row r="258" spans="1:9" hidden="1" x14ac:dyDescent="0.25">
      <c r="B258" s="54" t="s">
        <v>33</v>
      </c>
      <c r="C258" s="49" t="s">
        <v>293</v>
      </c>
      <c r="D258" s="39"/>
      <c r="E258" s="48"/>
      <c r="I258" s="41"/>
    </row>
    <row r="259" spans="1:9" hidden="1" x14ac:dyDescent="0.25">
      <c r="B259" s="50" t="s">
        <v>88</v>
      </c>
      <c r="C259" s="55" t="s">
        <v>294</v>
      </c>
      <c r="D259" s="44"/>
      <c r="E259" s="47"/>
      <c r="I259" s="42"/>
    </row>
    <row r="260" spans="1:9" hidden="1" x14ac:dyDescent="0.25">
      <c r="A260" s="40" t="s">
        <v>175</v>
      </c>
      <c r="B260" s="54" t="s">
        <v>138</v>
      </c>
      <c r="C260" s="49" t="s">
        <v>268</v>
      </c>
      <c r="D260" s="39"/>
      <c r="E260" s="48"/>
      <c r="I260" s="41"/>
    </row>
    <row r="261" spans="1:9" hidden="1" x14ac:dyDescent="0.25">
      <c r="B261" s="54" t="s">
        <v>152</v>
      </c>
      <c r="C261" s="49" t="s">
        <v>213</v>
      </c>
      <c r="D261" s="39"/>
      <c r="E261" s="47"/>
      <c r="I261" s="41"/>
    </row>
    <row r="262" spans="1:9" hidden="1" x14ac:dyDescent="0.25">
      <c r="B262" s="54" t="s">
        <v>38</v>
      </c>
      <c r="C262" s="49" t="s">
        <v>269</v>
      </c>
      <c r="D262" s="39"/>
      <c r="E262" s="48"/>
      <c r="I262" s="41"/>
    </row>
    <row r="263" spans="1:9" hidden="1" x14ac:dyDescent="0.25">
      <c r="B263" s="54" t="s">
        <v>59</v>
      </c>
      <c r="C263" s="49" t="s">
        <v>221</v>
      </c>
      <c r="D263" s="39"/>
      <c r="E263" s="47"/>
      <c r="I263" s="41"/>
    </row>
    <row r="264" spans="1:9" hidden="1" x14ac:dyDescent="0.25">
      <c r="B264" s="54" t="s">
        <v>39</v>
      </c>
      <c r="C264" s="49" t="s">
        <v>270</v>
      </c>
      <c r="D264" s="39"/>
      <c r="E264" s="48"/>
      <c r="I264" s="41"/>
    </row>
    <row r="265" spans="1:9" hidden="1" x14ac:dyDescent="0.25">
      <c r="B265" s="54" t="s">
        <v>124</v>
      </c>
      <c r="C265" s="49" t="s">
        <v>214</v>
      </c>
      <c r="D265" s="39"/>
      <c r="E265" s="47"/>
      <c r="I265" s="41"/>
    </row>
    <row r="266" spans="1:9" hidden="1" x14ac:dyDescent="0.25">
      <c r="B266" s="54" t="s">
        <v>139</v>
      </c>
      <c r="C266" s="49" t="s">
        <v>271</v>
      </c>
      <c r="D266" s="39"/>
      <c r="E266" s="48"/>
      <c r="I266" s="41"/>
    </row>
    <row r="267" spans="1:9" hidden="1" x14ac:dyDescent="0.25">
      <c r="B267" s="54" t="s">
        <v>58</v>
      </c>
      <c r="C267" s="49" t="s">
        <v>222</v>
      </c>
      <c r="D267" s="39"/>
      <c r="E267" s="47"/>
    </row>
    <row r="268" spans="1:9" hidden="1" x14ac:dyDescent="0.25">
      <c r="B268" s="54" t="s">
        <v>40</v>
      </c>
      <c r="C268" s="49" t="s">
        <v>272</v>
      </c>
      <c r="D268" s="39"/>
      <c r="E268" s="48"/>
    </row>
    <row r="269" spans="1:9" hidden="1" x14ac:dyDescent="0.25">
      <c r="B269" s="54" t="s">
        <v>56</v>
      </c>
      <c r="C269" s="49" t="s">
        <v>215</v>
      </c>
      <c r="D269" s="39"/>
      <c r="E269" s="47"/>
      <c r="I269" s="41"/>
    </row>
    <row r="270" spans="1:9" hidden="1" x14ac:dyDescent="0.25">
      <c r="B270" s="54" t="s">
        <v>140</v>
      </c>
      <c r="C270" s="49" t="s">
        <v>273</v>
      </c>
      <c r="D270" s="39"/>
      <c r="E270" s="48"/>
      <c r="I270" s="41"/>
    </row>
    <row r="271" spans="1:9" hidden="1" x14ac:dyDescent="0.25">
      <c r="B271" s="54" t="s">
        <v>154</v>
      </c>
      <c r="C271" s="49" t="s">
        <v>223</v>
      </c>
      <c r="D271" s="39"/>
      <c r="E271" s="47"/>
      <c r="I271" s="41"/>
    </row>
    <row r="272" spans="1:9" hidden="1" x14ac:dyDescent="0.25">
      <c r="B272" s="54" t="s">
        <v>141</v>
      </c>
      <c r="C272" s="49" t="s">
        <v>274</v>
      </c>
      <c r="D272" s="39"/>
      <c r="E272" s="48"/>
      <c r="I272" s="41"/>
    </row>
    <row r="273" spans="1:11" hidden="1" x14ac:dyDescent="0.25">
      <c r="B273" s="54" t="s">
        <v>55</v>
      </c>
      <c r="C273" s="49" t="s">
        <v>216</v>
      </c>
      <c r="D273" s="39"/>
      <c r="E273" s="47"/>
      <c r="I273" s="41"/>
    </row>
    <row r="274" spans="1:11" hidden="1" x14ac:dyDescent="0.25">
      <c r="B274" s="54" t="s">
        <v>155</v>
      </c>
      <c r="C274" s="49" t="s">
        <v>224</v>
      </c>
      <c r="D274" s="39"/>
      <c r="E274" s="48"/>
      <c r="I274" s="41"/>
    </row>
    <row r="275" spans="1:11" hidden="1" x14ac:dyDescent="0.25">
      <c r="B275" s="54" t="s">
        <v>153</v>
      </c>
      <c r="C275" s="49" t="s">
        <v>217</v>
      </c>
      <c r="D275" s="39"/>
      <c r="E275" s="47"/>
      <c r="I275" s="41"/>
    </row>
    <row r="276" spans="1:11" hidden="1" x14ac:dyDescent="0.25">
      <c r="B276" s="54" t="s">
        <v>60</v>
      </c>
      <c r="C276" s="49" t="s">
        <v>225</v>
      </c>
      <c r="D276" s="39"/>
      <c r="E276" s="48"/>
      <c r="I276" s="41"/>
    </row>
    <row r="277" spans="1:11" hidden="1" x14ac:dyDescent="0.25">
      <c r="B277" s="54" t="s">
        <v>53</v>
      </c>
      <c r="C277" s="49" t="s">
        <v>218</v>
      </c>
      <c r="D277" s="39"/>
      <c r="E277" s="47"/>
      <c r="I277" s="41"/>
    </row>
    <row r="278" spans="1:11" hidden="1" x14ac:dyDescent="0.25">
      <c r="B278" s="54" t="s">
        <v>125</v>
      </c>
      <c r="C278" s="49" t="s">
        <v>219</v>
      </c>
      <c r="D278" s="39"/>
      <c r="E278" s="48"/>
      <c r="I278" s="41"/>
    </row>
    <row r="279" spans="1:11" hidden="1" x14ac:dyDescent="0.25">
      <c r="B279" s="54" t="s">
        <v>54</v>
      </c>
      <c r="C279" s="49" t="s">
        <v>220</v>
      </c>
      <c r="D279" s="39"/>
      <c r="E279" s="47"/>
      <c r="I279" s="41"/>
    </row>
    <row r="280" spans="1:11" hidden="1" x14ac:dyDescent="0.25">
      <c r="B280" s="54"/>
      <c r="C280" s="49"/>
      <c r="D280" s="39"/>
      <c r="E280" s="47"/>
      <c r="I280" s="41"/>
    </row>
    <row r="281" spans="1:11" hidden="1" x14ac:dyDescent="0.25">
      <c r="B281" s="50" t="s">
        <v>88</v>
      </c>
      <c r="C281" s="55" t="s">
        <v>294</v>
      </c>
      <c r="D281" s="44"/>
      <c r="E281" s="48"/>
      <c r="I281" s="41"/>
    </row>
    <row r="282" spans="1:11" hidden="1" x14ac:dyDescent="0.25">
      <c r="A282" s="40" t="s">
        <v>177</v>
      </c>
      <c r="B282" s="54" t="s">
        <v>51</v>
      </c>
      <c r="C282" s="49" t="s">
        <v>200</v>
      </c>
      <c r="D282" s="39"/>
      <c r="E282" s="47"/>
      <c r="I282" s="39"/>
    </row>
    <row r="283" spans="1:11" hidden="1" x14ac:dyDescent="0.25">
      <c r="B283" s="54" t="s">
        <v>46</v>
      </c>
      <c r="C283" s="49" t="s">
        <v>204</v>
      </c>
      <c r="D283" s="39"/>
      <c r="E283" s="48"/>
      <c r="I283" s="41"/>
    </row>
    <row r="284" spans="1:11" hidden="1" x14ac:dyDescent="0.25">
      <c r="B284" s="54" t="s">
        <v>118</v>
      </c>
      <c r="C284" s="49" t="s">
        <v>201</v>
      </c>
      <c r="D284" s="39"/>
      <c r="E284" s="47"/>
      <c r="I284" s="41"/>
    </row>
    <row r="285" spans="1:11" hidden="1" x14ac:dyDescent="0.25">
      <c r="B285" s="54" t="s">
        <v>47</v>
      </c>
      <c r="C285" s="49" t="s">
        <v>205</v>
      </c>
      <c r="D285" s="39"/>
      <c r="E285" s="45"/>
      <c r="I285" s="41"/>
    </row>
    <row r="286" spans="1:11" hidden="1" x14ac:dyDescent="0.25">
      <c r="B286" s="54" t="s">
        <v>150</v>
      </c>
      <c r="C286" s="49" t="s">
        <v>202</v>
      </c>
      <c r="D286" s="39"/>
      <c r="E286" s="45"/>
      <c r="I286" s="41"/>
    </row>
    <row r="287" spans="1:11" hidden="1" x14ac:dyDescent="0.25">
      <c r="B287" s="54" t="s">
        <v>49</v>
      </c>
      <c r="C287" s="49" t="s">
        <v>206</v>
      </c>
      <c r="D287" s="39"/>
      <c r="E287" s="47"/>
      <c r="I287" s="39"/>
      <c r="K287" s="39"/>
    </row>
    <row r="288" spans="1:11" hidden="1" x14ac:dyDescent="0.25">
      <c r="B288" s="54" t="s">
        <v>50</v>
      </c>
      <c r="C288" s="49" t="s">
        <v>203</v>
      </c>
      <c r="D288" s="39"/>
      <c r="E288" s="47"/>
      <c r="I288" s="41"/>
      <c r="K288" s="39"/>
    </row>
    <row r="289" spans="2:9" hidden="1" x14ac:dyDescent="0.25">
      <c r="B289" s="54" t="s">
        <v>48</v>
      </c>
      <c r="C289" s="49" t="s">
        <v>207</v>
      </c>
      <c r="D289" s="39"/>
      <c r="E289" s="47"/>
      <c r="I289" s="41"/>
    </row>
    <row r="290" spans="2:9" hidden="1" x14ac:dyDescent="0.25">
      <c r="B290" s="54" t="s">
        <v>119</v>
      </c>
      <c r="C290" s="49" t="s">
        <v>208</v>
      </c>
      <c r="D290" s="39"/>
      <c r="E290" s="47"/>
      <c r="I290" s="41"/>
    </row>
    <row r="291" spans="2:9" hidden="1" x14ac:dyDescent="0.25"/>
    <row r="292" spans="2:9" hidden="1" x14ac:dyDescent="0.25">
      <c r="B292" t="s">
        <v>295</v>
      </c>
      <c r="C292" t="s">
        <v>296</v>
      </c>
      <c r="D292" t="s">
        <v>333</v>
      </c>
      <c r="E292" t="s">
        <v>335</v>
      </c>
    </row>
    <row r="293" spans="2:9" hidden="1" x14ac:dyDescent="0.25">
      <c r="B293" t="s">
        <v>77</v>
      </c>
      <c r="C293" s="39" t="s">
        <v>77</v>
      </c>
      <c r="D293" s="39" t="s">
        <v>312</v>
      </c>
      <c r="E293" s="39" t="str">
        <f>CONCATENATE(Table_Name28[[#This Row],[Table name]],"[Link]")</f>
        <v>Abs[Link]</v>
      </c>
    </row>
    <row r="294" spans="2:9" hidden="1" x14ac:dyDescent="0.25">
      <c r="B294" t="s">
        <v>19</v>
      </c>
      <c r="C294" s="39" t="s">
        <v>19</v>
      </c>
      <c r="D294" s="39" t="s">
        <v>313</v>
      </c>
      <c r="E294" s="39" t="str">
        <f>CONCATENATE(Table_Name28[[#This Row],[Table name]],"[Link]")</f>
        <v>Calves[Link]</v>
      </c>
    </row>
    <row r="295" spans="2:9" hidden="1" x14ac:dyDescent="0.25">
      <c r="B295" t="s">
        <v>18</v>
      </c>
      <c r="C295" s="39" t="s">
        <v>18</v>
      </c>
      <c r="D295" s="39" t="s">
        <v>314</v>
      </c>
      <c r="E295" s="39" t="str">
        <f>CONCATENATE(Table_Name28[[#This Row],[Table name]],"[Link]")</f>
        <v>Biceps[Link]</v>
      </c>
    </row>
    <row r="296" spans="2:9" hidden="1" x14ac:dyDescent="0.25">
      <c r="B296" t="s">
        <v>117</v>
      </c>
      <c r="C296" s="39" t="s">
        <v>297</v>
      </c>
      <c r="D296" s="39" t="s">
        <v>315</v>
      </c>
      <c r="E296" s="39" t="str">
        <f>CONCATENATE(Table_Name28[[#This Row],[Table name]],"[Link]")</f>
        <v>Rear_Delts[Link]</v>
      </c>
    </row>
    <row r="297" spans="2:9" hidden="1" x14ac:dyDescent="0.25">
      <c r="B297" t="s">
        <v>105</v>
      </c>
      <c r="C297" s="39" t="s">
        <v>298</v>
      </c>
      <c r="D297" s="39" t="s">
        <v>316</v>
      </c>
      <c r="E297" s="39" t="str">
        <f>CONCATENATE(Table_Name28[[#This Row],[Table name]],"[Link]")</f>
        <v>Side_Delts[Link]</v>
      </c>
    </row>
    <row r="298" spans="2:9" hidden="1" x14ac:dyDescent="0.25">
      <c r="B298" t="s">
        <v>120</v>
      </c>
      <c r="C298" s="39" t="s">
        <v>120</v>
      </c>
      <c r="D298" s="39" t="s">
        <v>317</v>
      </c>
      <c r="E298" s="39" t="str">
        <f>CONCATENATE(Table_Name28[[#This Row],[Table name]],"[Link]")</f>
        <v>Traps[Link]</v>
      </c>
    </row>
    <row r="299" spans="2:9" hidden="1" x14ac:dyDescent="0.25">
      <c r="B299" t="s">
        <v>52</v>
      </c>
      <c r="C299" s="39" t="s">
        <v>299</v>
      </c>
      <c r="D299" s="39" t="s">
        <v>318</v>
      </c>
      <c r="E299" s="39" t="str">
        <f>CONCATENATE(Table_Name28[[#This Row],[Table name]],"[Link]")</f>
        <v>Horizontal_Triceps[Link]</v>
      </c>
    </row>
    <row r="300" spans="2:9" hidden="1" x14ac:dyDescent="0.25">
      <c r="B300" t="s">
        <v>57</v>
      </c>
      <c r="C300" s="39" t="s">
        <v>300</v>
      </c>
      <c r="D300" s="39" t="s">
        <v>319</v>
      </c>
      <c r="E300" s="39" t="str">
        <f>CONCATENATE(Table_Name28[[#This Row],[Table name]],"[Link]")</f>
        <v>Vertical_Triceps[Link]</v>
      </c>
    </row>
    <row r="301" spans="2:9" hidden="1" x14ac:dyDescent="0.25">
      <c r="B301" t="s">
        <v>341</v>
      </c>
      <c r="C301" s="39" t="s">
        <v>301</v>
      </c>
      <c r="D301" s="39" t="s">
        <v>334</v>
      </c>
      <c r="E301" s="39" t="str">
        <f>CONCATENATE(Table_Name28[[#This Row],[Table name]],"[Link]")</f>
        <v>Horizonal_Back[Link]</v>
      </c>
    </row>
    <row r="302" spans="2:9" hidden="1" x14ac:dyDescent="0.25">
      <c r="B302" t="s">
        <v>342</v>
      </c>
      <c r="C302" s="39" t="s">
        <v>302</v>
      </c>
      <c r="D302" s="39" t="s">
        <v>320</v>
      </c>
      <c r="E302" s="39" t="str">
        <f>CONCATENATE(Table_Name28[[#This Row],[Table name]],"[Link]")</f>
        <v>Vertical_Back[Link]</v>
      </c>
    </row>
    <row r="303" spans="2:9" hidden="1" x14ac:dyDescent="0.25">
      <c r="B303" t="s">
        <v>20</v>
      </c>
      <c r="C303" s="39" t="s">
        <v>20</v>
      </c>
      <c r="D303" s="39" t="s">
        <v>321</v>
      </c>
      <c r="E303" s="39" t="str">
        <f>CONCATENATE(Table_Name28[[#This Row],[Table name]],"[Link]")</f>
        <v>Quads[Link]</v>
      </c>
    </row>
    <row r="304" spans="2:9" hidden="1" x14ac:dyDescent="0.25">
      <c r="B304" t="s">
        <v>108</v>
      </c>
      <c r="C304" s="39" t="s">
        <v>108</v>
      </c>
      <c r="D304" s="39" t="s">
        <v>322</v>
      </c>
      <c r="E304" s="39" t="str">
        <f>CONCATENATE(Table_Name28[[#This Row],[Table name]],"[Link]")</f>
        <v>Glutes[Link]</v>
      </c>
    </row>
    <row r="305" spans="2:5" hidden="1" x14ac:dyDescent="0.25">
      <c r="B305" t="s">
        <v>345</v>
      </c>
      <c r="C305" s="39" t="s">
        <v>303</v>
      </c>
      <c r="D305" s="39" t="s">
        <v>323</v>
      </c>
      <c r="E305" s="39" t="str">
        <f>CONCATENATE(Table_Name28[[#This Row],[Table name]],"[Link]")</f>
        <v>Hamstrings_Hip_Hinge[Link]</v>
      </c>
    </row>
    <row r="306" spans="2:5" hidden="1" x14ac:dyDescent="0.25">
      <c r="B306" t="s">
        <v>344</v>
      </c>
      <c r="C306" s="39" t="s">
        <v>304</v>
      </c>
      <c r="D306" s="39" t="s">
        <v>324</v>
      </c>
      <c r="E306" s="39" t="str">
        <f>CONCATENATE(Table_Name28[[#This Row],[Table name]],"[Link]")</f>
        <v>Hamstrings_Isolation[Link]</v>
      </c>
    </row>
    <row r="307" spans="2:5" hidden="1" x14ac:dyDescent="0.25">
      <c r="B307" t="s">
        <v>37</v>
      </c>
      <c r="C307" s="39" t="s">
        <v>305</v>
      </c>
      <c r="D307" s="39" t="s">
        <v>325</v>
      </c>
      <c r="E307" s="39" t="str">
        <f>CONCATENATE(Table_Name28[[#This Row],[Table name]],"[Link]")</f>
        <v>Chest_Isolation[Link]</v>
      </c>
    </row>
    <row r="308" spans="2:5" hidden="1" x14ac:dyDescent="0.25">
      <c r="B308" t="s">
        <v>22</v>
      </c>
      <c r="C308" s="39" t="s">
        <v>306</v>
      </c>
      <c r="D308" s="39" t="s">
        <v>326</v>
      </c>
      <c r="E308" s="39" t="str">
        <f>CONCATENATE(Table_Name28[[#This Row],[Table name]],"[Link]")</f>
        <v>Horizontal_Push[Link]</v>
      </c>
    </row>
    <row r="309" spans="2:5" hidden="1" x14ac:dyDescent="0.25">
      <c r="B309" t="s">
        <v>143</v>
      </c>
      <c r="C309" s="39" t="s">
        <v>307</v>
      </c>
      <c r="D309" s="39" t="s">
        <v>327</v>
      </c>
      <c r="E309" s="39" t="str">
        <f>CONCATENATE(Table_Name28[[#This Row],[Table name]],"[Link]")</f>
        <v>Incline_Push[Link]</v>
      </c>
    </row>
    <row r="310" spans="2:5" hidden="1" x14ac:dyDescent="0.25">
      <c r="B310" t="s">
        <v>104</v>
      </c>
      <c r="C310" s="39" t="s">
        <v>308</v>
      </c>
      <c r="D310" s="39" t="s">
        <v>328</v>
      </c>
      <c r="E310" s="39" t="str">
        <f>CONCATENATE(Table_Name28[[#This Row],[Table name]],"[Link]")</f>
        <v>Front_Delts[Link]</v>
      </c>
    </row>
    <row r="311" spans="2:5" hidden="1" x14ac:dyDescent="0.25">
      <c r="B311" t="s">
        <v>17</v>
      </c>
      <c r="C311" s="39" t="s">
        <v>17</v>
      </c>
      <c r="D311" s="39" t="s">
        <v>329</v>
      </c>
      <c r="E311" s="39" t="str">
        <f>CONCATENATE(Table_Name28[[#This Row],[Table name]],"[Link]")</f>
        <v>Triceps[Link]</v>
      </c>
    </row>
    <row r="312" spans="2:5" hidden="1" x14ac:dyDescent="0.25">
      <c r="B312" t="s">
        <v>176</v>
      </c>
      <c r="C312" s="39" t="s">
        <v>309</v>
      </c>
      <c r="D312" s="39" t="s">
        <v>330</v>
      </c>
      <c r="E312" s="39" t="str">
        <f>CONCATENATE(Table_Name28[[#This Row],[Table name]],"[Link]")</f>
        <v>Incline_Push_or_Front_Delts[Link]</v>
      </c>
    </row>
    <row r="313" spans="2:5" hidden="1" x14ac:dyDescent="0.25">
      <c r="B313" t="s">
        <v>175</v>
      </c>
      <c r="C313" s="39" t="s">
        <v>310</v>
      </c>
      <c r="D313" s="39" t="s">
        <v>331</v>
      </c>
      <c r="E313" s="39" t="str">
        <f>CONCATENATE(Table_Name28[[#This Row],[Table name]],"[Link]")</f>
        <v>Chest_Isolation_or_Triceps[Link]</v>
      </c>
    </row>
    <row r="314" spans="2:5" hidden="1" x14ac:dyDescent="0.25">
      <c r="B314" t="s">
        <v>343</v>
      </c>
      <c r="C314" s="39" t="s">
        <v>311</v>
      </c>
      <c r="D314" s="39" t="s">
        <v>332</v>
      </c>
      <c r="E314" s="39" t="str">
        <f>CONCATENATE(Table_Name28[[#This Row],[Table name]],"[Link]")</f>
        <v>Rear_or_Side_Delts[Link]</v>
      </c>
    </row>
    <row r="315" spans="2:5" hidden="1" x14ac:dyDescent="0.25"/>
    <row r="316" spans="2:5" hidden="1" x14ac:dyDescent="0.25">
      <c r="B316" s="9" t="s">
        <v>88</v>
      </c>
      <c r="C316" t="s">
        <v>294</v>
      </c>
      <c r="D316" s="9" t="s">
        <v>295</v>
      </c>
    </row>
    <row r="317" spans="2:5" hidden="1" x14ac:dyDescent="0.25">
      <c r="B317" s="39" t="s">
        <v>109</v>
      </c>
      <c r="C317" t="s">
        <v>178</v>
      </c>
      <c r="D317" t="s">
        <v>77</v>
      </c>
    </row>
    <row r="318" spans="2:5" hidden="1" x14ac:dyDescent="0.25">
      <c r="B318" s="39" t="s">
        <v>79</v>
      </c>
      <c r="C318" t="s">
        <v>179</v>
      </c>
      <c r="D318" t="s">
        <v>77</v>
      </c>
    </row>
    <row r="319" spans="2:5" hidden="1" x14ac:dyDescent="0.25">
      <c r="B319" s="39" t="s">
        <v>80</v>
      </c>
      <c r="C319" t="s">
        <v>180</v>
      </c>
      <c r="D319" t="s">
        <v>77</v>
      </c>
    </row>
    <row r="320" spans="2:5" hidden="1" x14ac:dyDescent="0.25">
      <c r="B320" s="39" t="s">
        <v>78</v>
      </c>
      <c r="C320" t="s">
        <v>181</v>
      </c>
      <c r="D320" t="s">
        <v>77</v>
      </c>
    </row>
    <row r="321" spans="2:4" hidden="1" x14ac:dyDescent="0.25">
      <c r="B321" s="41" t="s">
        <v>110</v>
      </c>
      <c r="C321" t="s">
        <v>182</v>
      </c>
      <c r="D321" t="s">
        <v>77</v>
      </c>
    </row>
    <row r="322" spans="2:4" hidden="1" x14ac:dyDescent="0.25">
      <c r="B322" s="39" t="s">
        <v>81</v>
      </c>
      <c r="C322" t="s">
        <v>183</v>
      </c>
      <c r="D322" t="s">
        <v>77</v>
      </c>
    </row>
    <row r="323" spans="2:4" hidden="1" x14ac:dyDescent="0.25">
      <c r="B323" s="39" t="s">
        <v>146</v>
      </c>
      <c r="C323" t="s">
        <v>184</v>
      </c>
      <c r="D323" t="s">
        <v>77</v>
      </c>
    </row>
    <row r="324" spans="2:4" hidden="1" x14ac:dyDescent="0.25">
      <c r="B324" s="39" t="s">
        <v>61</v>
      </c>
      <c r="C324" t="s">
        <v>189</v>
      </c>
      <c r="D324" t="s">
        <v>18</v>
      </c>
    </row>
    <row r="325" spans="2:4" hidden="1" x14ac:dyDescent="0.25">
      <c r="B325" s="39" t="s">
        <v>62</v>
      </c>
      <c r="C325" t="s">
        <v>190</v>
      </c>
      <c r="D325" t="s">
        <v>18</v>
      </c>
    </row>
    <row r="326" spans="2:4" hidden="1" x14ac:dyDescent="0.25">
      <c r="B326" s="39" t="s">
        <v>112</v>
      </c>
      <c r="C326" t="s">
        <v>191</v>
      </c>
      <c r="D326" t="s">
        <v>18</v>
      </c>
    </row>
    <row r="327" spans="2:4" hidden="1" x14ac:dyDescent="0.25">
      <c r="B327" s="39" t="s">
        <v>63</v>
      </c>
      <c r="C327" t="s">
        <v>192</v>
      </c>
      <c r="D327" t="s">
        <v>18</v>
      </c>
    </row>
    <row r="328" spans="2:4" hidden="1" x14ac:dyDescent="0.25">
      <c r="B328" s="39" t="s">
        <v>113</v>
      </c>
      <c r="C328" t="s">
        <v>193</v>
      </c>
      <c r="D328" t="s">
        <v>18</v>
      </c>
    </row>
    <row r="329" spans="2:4" hidden="1" x14ac:dyDescent="0.25">
      <c r="B329" s="39" t="s">
        <v>114</v>
      </c>
      <c r="C329" t="s">
        <v>194</v>
      </c>
      <c r="D329" t="s">
        <v>18</v>
      </c>
    </row>
    <row r="330" spans="2:4" hidden="1" x14ac:dyDescent="0.25">
      <c r="B330" s="39" t="s">
        <v>147</v>
      </c>
      <c r="C330" t="s">
        <v>195</v>
      </c>
      <c r="D330" t="s">
        <v>18</v>
      </c>
    </row>
    <row r="331" spans="2:4" hidden="1" x14ac:dyDescent="0.25">
      <c r="B331" s="39" t="s">
        <v>148</v>
      </c>
      <c r="C331" t="s">
        <v>196</v>
      </c>
      <c r="D331" t="s">
        <v>18</v>
      </c>
    </row>
    <row r="332" spans="2:4" hidden="1" x14ac:dyDescent="0.25">
      <c r="B332" s="41" t="s">
        <v>115</v>
      </c>
      <c r="C332" t="s">
        <v>197</v>
      </c>
      <c r="D332" t="s">
        <v>18</v>
      </c>
    </row>
    <row r="333" spans="2:4" hidden="1" x14ac:dyDescent="0.25">
      <c r="B333" s="39" t="s">
        <v>116</v>
      </c>
      <c r="C333" t="s">
        <v>198</v>
      </c>
      <c r="D333" t="s">
        <v>18</v>
      </c>
    </row>
    <row r="334" spans="2:4" hidden="1" x14ac:dyDescent="0.25">
      <c r="B334" s="39" t="s">
        <v>149</v>
      </c>
      <c r="C334" t="s">
        <v>199</v>
      </c>
      <c r="D334" t="s">
        <v>18</v>
      </c>
    </row>
    <row r="335" spans="2:4" hidden="1" x14ac:dyDescent="0.25">
      <c r="B335" s="39" t="s">
        <v>111</v>
      </c>
      <c r="C335" t="s">
        <v>185</v>
      </c>
      <c r="D335" t="s">
        <v>19</v>
      </c>
    </row>
    <row r="336" spans="2:4" hidden="1" x14ac:dyDescent="0.25">
      <c r="B336" s="39" t="s">
        <v>75</v>
      </c>
      <c r="C336" t="s">
        <v>186</v>
      </c>
      <c r="D336" t="s">
        <v>19</v>
      </c>
    </row>
    <row r="337" spans="2:4" hidden="1" x14ac:dyDescent="0.25">
      <c r="B337" s="39" t="s">
        <v>74</v>
      </c>
      <c r="C337" t="s">
        <v>187</v>
      </c>
      <c r="D337" t="s">
        <v>19</v>
      </c>
    </row>
    <row r="338" spans="2:4" hidden="1" x14ac:dyDescent="0.25">
      <c r="B338" s="39" t="s">
        <v>76</v>
      </c>
      <c r="C338" t="s">
        <v>188</v>
      </c>
      <c r="D338" t="s">
        <v>19</v>
      </c>
    </row>
    <row r="339" spans="2:4" hidden="1" x14ac:dyDescent="0.25">
      <c r="B339" s="39" t="s">
        <v>138</v>
      </c>
      <c r="C339" t="s">
        <v>268</v>
      </c>
      <c r="D339" t="s">
        <v>37</v>
      </c>
    </row>
    <row r="340" spans="2:4" hidden="1" x14ac:dyDescent="0.25">
      <c r="B340" s="39" t="s">
        <v>38</v>
      </c>
      <c r="C340" t="s">
        <v>269</v>
      </c>
      <c r="D340" t="s">
        <v>37</v>
      </c>
    </row>
    <row r="341" spans="2:4" hidden="1" x14ac:dyDescent="0.25">
      <c r="B341" s="39" t="s">
        <v>39</v>
      </c>
      <c r="C341" t="s">
        <v>270</v>
      </c>
      <c r="D341" t="s">
        <v>37</v>
      </c>
    </row>
    <row r="342" spans="2:4" hidden="1" x14ac:dyDescent="0.25">
      <c r="B342" s="39" t="s">
        <v>139</v>
      </c>
      <c r="C342" t="s">
        <v>271</v>
      </c>
      <c r="D342" t="s">
        <v>37</v>
      </c>
    </row>
    <row r="343" spans="2:4" hidden="1" x14ac:dyDescent="0.25">
      <c r="B343" s="39" t="s">
        <v>40</v>
      </c>
      <c r="C343" t="s">
        <v>272</v>
      </c>
      <c r="D343" t="s">
        <v>37</v>
      </c>
    </row>
    <row r="344" spans="2:4" hidden="1" x14ac:dyDescent="0.25">
      <c r="B344" s="39" t="s">
        <v>140</v>
      </c>
      <c r="C344" t="s">
        <v>273</v>
      </c>
      <c r="D344" t="s">
        <v>37</v>
      </c>
    </row>
    <row r="345" spans="2:4" hidden="1" x14ac:dyDescent="0.25">
      <c r="B345" s="39" t="s">
        <v>141</v>
      </c>
      <c r="C345" t="s">
        <v>274</v>
      </c>
      <c r="D345" t="s">
        <v>37</v>
      </c>
    </row>
    <row r="346" spans="2:4" hidden="1" x14ac:dyDescent="0.25">
      <c r="B346" s="39" t="s">
        <v>138</v>
      </c>
      <c r="C346" t="s">
        <v>268</v>
      </c>
      <c r="D346" t="s">
        <v>175</v>
      </c>
    </row>
    <row r="347" spans="2:4" hidden="1" x14ac:dyDescent="0.25">
      <c r="B347" s="39" t="s">
        <v>152</v>
      </c>
      <c r="C347" t="s">
        <v>213</v>
      </c>
      <c r="D347" t="s">
        <v>175</v>
      </c>
    </row>
    <row r="348" spans="2:4" hidden="1" x14ac:dyDescent="0.25">
      <c r="B348" s="39" t="s">
        <v>38</v>
      </c>
      <c r="C348" t="s">
        <v>269</v>
      </c>
      <c r="D348" t="s">
        <v>175</v>
      </c>
    </row>
    <row r="349" spans="2:4" hidden="1" x14ac:dyDescent="0.25">
      <c r="B349" s="39" t="s">
        <v>59</v>
      </c>
      <c r="C349" t="s">
        <v>221</v>
      </c>
      <c r="D349" t="s">
        <v>175</v>
      </c>
    </row>
    <row r="350" spans="2:4" hidden="1" x14ac:dyDescent="0.25">
      <c r="B350" s="39" t="s">
        <v>39</v>
      </c>
      <c r="C350" t="s">
        <v>270</v>
      </c>
      <c r="D350" t="s">
        <v>175</v>
      </c>
    </row>
    <row r="351" spans="2:4" hidden="1" x14ac:dyDescent="0.25">
      <c r="B351" s="39" t="s">
        <v>124</v>
      </c>
      <c r="C351" t="s">
        <v>214</v>
      </c>
      <c r="D351" t="s">
        <v>175</v>
      </c>
    </row>
    <row r="352" spans="2:4" hidden="1" x14ac:dyDescent="0.25">
      <c r="B352" s="39" t="s">
        <v>139</v>
      </c>
      <c r="C352" t="s">
        <v>271</v>
      </c>
      <c r="D352" t="s">
        <v>175</v>
      </c>
    </row>
    <row r="353" spans="2:4" hidden="1" x14ac:dyDescent="0.25">
      <c r="B353" s="39" t="s">
        <v>58</v>
      </c>
      <c r="C353" t="s">
        <v>222</v>
      </c>
      <c r="D353" t="s">
        <v>175</v>
      </c>
    </row>
    <row r="354" spans="2:4" hidden="1" x14ac:dyDescent="0.25">
      <c r="B354" s="39" t="s">
        <v>40</v>
      </c>
      <c r="C354" t="s">
        <v>272</v>
      </c>
      <c r="D354" t="s">
        <v>175</v>
      </c>
    </row>
    <row r="355" spans="2:4" hidden="1" x14ac:dyDescent="0.25">
      <c r="B355" s="39" t="s">
        <v>56</v>
      </c>
      <c r="C355" t="s">
        <v>215</v>
      </c>
      <c r="D355" t="s">
        <v>175</v>
      </c>
    </row>
    <row r="356" spans="2:4" hidden="1" x14ac:dyDescent="0.25">
      <c r="B356" s="39" t="s">
        <v>140</v>
      </c>
      <c r="C356" t="s">
        <v>273</v>
      </c>
      <c r="D356" t="s">
        <v>175</v>
      </c>
    </row>
    <row r="357" spans="2:4" hidden="1" x14ac:dyDescent="0.25">
      <c r="B357" s="39" t="s">
        <v>154</v>
      </c>
      <c r="C357" t="s">
        <v>223</v>
      </c>
      <c r="D357" t="s">
        <v>175</v>
      </c>
    </row>
    <row r="358" spans="2:4" hidden="1" x14ac:dyDescent="0.25">
      <c r="B358" s="39" t="s">
        <v>141</v>
      </c>
      <c r="C358" t="s">
        <v>274</v>
      </c>
      <c r="D358" t="s">
        <v>175</v>
      </c>
    </row>
    <row r="359" spans="2:4" hidden="1" x14ac:dyDescent="0.25">
      <c r="B359" s="39" t="s">
        <v>55</v>
      </c>
      <c r="C359" t="s">
        <v>216</v>
      </c>
      <c r="D359" t="s">
        <v>175</v>
      </c>
    </row>
    <row r="360" spans="2:4" hidden="1" x14ac:dyDescent="0.25">
      <c r="B360" s="39" t="s">
        <v>155</v>
      </c>
      <c r="C360" t="s">
        <v>224</v>
      </c>
      <c r="D360" t="s">
        <v>175</v>
      </c>
    </row>
    <row r="361" spans="2:4" hidden="1" x14ac:dyDescent="0.25">
      <c r="B361" s="39" t="s">
        <v>153</v>
      </c>
      <c r="C361" t="s">
        <v>217</v>
      </c>
      <c r="D361" t="s">
        <v>175</v>
      </c>
    </row>
    <row r="362" spans="2:4" hidden="1" x14ac:dyDescent="0.25">
      <c r="B362" s="39" t="s">
        <v>60</v>
      </c>
      <c r="C362" t="s">
        <v>225</v>
      </c>
      <c r="D362" t="s">
        <v>175</v>
      </c>
    </row>
    <row r="363" spans="2:4" hidden="1" x14ac:dyDescent="0.25">
      <c r="B363" s="39" t="s">
        <v>53</v>
      </c>
      <c r="C363" t="s">
        <v>218</v>
      </c>
      <c r="D363" t="s">
        <v>175</v>
      </c>
    </row>
    <row r="364" spans="2:4" hidden="1" x14ac:dyDescent="0.25">
      <c r="B364" s="39" t="s">
        <v>125</v>
      </c>
      <c r="C364" t="s">
        <v>219</v>
      </c>
      <c r="D364" t="s">
        <v>175</v>
      </c>
    </row>
    <row r="365" spans="2:4" hidden="1" x14ac:dyDescent="0.25">
      <c r="B365" s="39" t="s">
        <v>54</v>
      </c>
      <c r="C365" t="s">
        <v>220</v>
      </c>
      <c r="D365" t="s">
        <v>175</v>
      </c>
    </row>
    <row r="366" spans="2:4" hidden="1" x14ac:dyDescent="0.25">
      <c r="B366" s="39" t="s">
        <v>32</v>
      </c>
      <c r="C366" t="s">
        <v>288</v>
      </c>
      <c r="D366" t="s">
        <v>104</v>
      </c>
    </row>
    <row r="367" spans="2:4" hidden="1" x14ac:dyDescent="0.25">
      <c r="B367" s="39" t="s">
        <v>34</v>
      </c>
      <c r="C367" t="s">
        <v>289</v>
      </c>
      <c r="D367" t="s">
        <v>104</v>
      </c>
    </row>
    <row r="368" spans="2:4" hidden="1" x14ac:dyDescent="0.25">
      <c r="B368" s="39" t="s">
        <v>35</v>
      </c>
      <c r="C368" t="s">
        <v>290</v>
      </c>
      <c r="D368" t="s">
        <v>104</v>
      </c>
    </row>
    <row r="369" spans="2:4" hidden="1" x14ac:dyDescent="0.25">
      <c r="B369" s="39" t="s">
        <v>174</v>
      </c>
      <c r="C369" t="s">
        <v>291</v>
      </c>
      <c r="D369" t="s">
        <v>104</v>
      </c>
    </row>
    <row r="370" spans="2:4" hidden="1" x14ac:dyDescent="0.25">
      <c r="B370" s="13" t="s">
        <v>145</v>
      </c>
      <c r="C370" t="s">
        <v>292</v>
      </c>
      <c r="D370" t="s">
        <v>104</v>
      </c>
    </row>
    <row r="371" spans="2:4" hidden="1" x14ac:dyDescent="0.25">
      <c r="B371" s="39" t="s">
        <v>33</v>
      </c>
      <c r="C371" t="s">
        <v>293</v>
      </c>
      <c r="D371" t="s">
        <v>104</v>
      </c>
    </row>
    <row r="372" spans="2:4" hidden="1" x14ac:dyDescent="0.25">
      <c r="B372" s="39" t="s">
        <v>66</v>
      </c>
      <c r="C372" t="s">
        <v>253</v>
      </c>
      <c r="D372" t="s">
        <v>108</v>
      </c>
    </row>
    <row r="373" spans="2:4" hidden="1" x14ac:dyDescent="0.25">
      <c r="B373" s="39" t="s">
        <v>67</v>
      </c>
      <c r="C373" t="s">
        <v>254</v>
      </c>
      <c r="D373" t="s">
        <v>108</v>
      </c>
    </row>
    <row r="374" spans="2:4" hidden="1" x14ac:dyDescent="0.25">
      <c r="B374" s="39" t="s">
        <v>133</v>
      </c>
      <c r="C374" t="s">
        <v>255</v>
      </c>
      <c r="D374" t="s">
        <v>108</v>
      </c>
    </row>
    <row r="375" spans="2:4" hidden="1" x14ac:dyDescent="0.25">
      <c r="B375" s="39" t="s">
        <v>170</v>
      </c>
      <c r="C375" t="s">
        <v>256</v>
      </c>
      <c r="D375" t="s">
        <v>108</v>
      </c>
    </row>
    <row r="376" spans="2:4" hidden="1" x14ac:dyDescent="0.25">
      <c r="B376" s="39" t="s">
        <v>70</v>
      </c>
      <c r="C376" t="s">
        <v>257</v>
      </c>
      <c r="D376" t="s">
        <v>108</v>
      </c>
    </row>
    <row r="377" spans="2:4" hidden="1" x14ac:dyDescent="0.25">
      <c r="B377" s="39" t="s">
        <v>69</v>
      </c>
      <c r="C377" t="s">
        <v>258</v>
      </c>
      <c r="D377" t="s">
        <v>108</v>
      </c>
    </row>
    <row r="378" spans="2:4" hidden="1" x14ac:dyDescent="0.25">
      <c r="B378" s="39" t="s">
        <v>134</v>
      </c>
      <c r="C378" t="s">
        <v>259</v>
      </c>
      <c r="D378" t="s">
        <v>108</v>
      </c>
    </row>
    <row r="379" spans="2:4" hidden="1" x14ac:dyDescent="0.25">
      <c r="B379" s="39" t="s">
        <v>171</v>
      </c>
      <c r="C379" t="s">
        <v>260</v>
      </c>
      <c r="D379" t="s">
        <v>108</v>
      </c>
    </row>
    <row r="380" spans="2:4" hidden="1" x14ac:dyDescent="0.25">
      <c r="B380" s="39" t="s">
        <v>135</v>
      </c>
      <c r="C380" t="s">
        <v>261</v>
      </c>
      <c r="D380" t="s">
        <v>107</v>
      </c>
    </row>
    <row r="381" spans="2:4" hidden="1" x14ac:dyDescent="0.25">
      <c r="B381" s="39" t="s">
        <v>71</v>
      </c>
      <c r="C381" t="s">
        <v>262</v>
      </c>
      <c r="D381" t="s">
        <v>107</v>
      </c>
    </row>
    <row r="382" spans="2:4" hidden="1" x14ac:dyDescent="0.25">
      <c r="B382" s="39" t="s">
        <v>72</v>
      </c>
      <c r="C382" t="s">
        <v>263</v>
      </c>
      <c r="D382" t="s">
        <v>107</v>
      </c>
    </row>
    <row r="383" spans="2:4" hidden="1" x14ac:dyDescent="0.25">
      <c r="B383" s="39" t="s">
        <v>136</v>
      </c>
      <c r="C383" t="s">
        <v>264</v>
      </c>
      <c r="D383" t="s">
        <v>107</v>
      </c>
    </row>
    <row r="384" spans="2:4" hidden="1" x14ac:dyDescent="0.25">
      <c r="B384" s="39" t="s">
        <v>172</v>
      </c>
      <c r="C384" t="s">
        <v>265</v>
      </c>
      <c r="D384" t="s">
        <v>106</v>
      </c>
    </row>
    <row r="385" spans="2:4" hidden="1" x14ac:dyDescent="0.25">
      <c r="B385" s="39" t="s">
        <v>73</v>
      </c>
      <c r="C385" t="s">
        <v>266</v>
      </c>
      <c r="D385" t="s">
        <v>106</v>
      </c>
    </row>
    <row r="386" spans="2:4" hidden="1" x14ac:dyDescent="0.25">
      <c r="B386" s="39" t="s">
        <v>137</v>
      </c>
      <c r="C386" t="s">
        <v>267</v>
      </c>
      <c r="D386" t="s">
        <v>106</v>
      </c>
    </row>
    <row r="387" spans="2:4" hidden="1" x14ac:dyDescent="0.25">
      <c r="B387" s="39" t="s">
        <v>156</v>
      </c>
      <c r="C387" t="s">
        <v>226</v>
      </c>
      <c r="D387" t="s">
        <v>126</v>
      </c>
    </row>
    <row r="388" spans="2:4" hidden="1" x14ac:dyDescent="0.25">
      <c r="B388" s="39" t="s">
        <v>157</v>
      </c>
      <c r="C388" t="s">
        <v>227</v>
      </c>
      <c r="D388" t="s">
        <v>126</v>
      </c>
    </row>
    <row r="389" spans="2:4" hidden="1" x14ac:dyDescent="0.25">
      <c r="B389" s="39" t="s">
        <v>158</v>
      </c>
      <c r="C389" t="s">
        <v>228</v>
      </c>
      <c r="D389" t="s">
        <v>126</v>
      </c>
    </row>
    <row r="390" spans="2:4" hidden="1" x14ac:dyDescent="0.25">
      <c r="B390" s="39" t="s">
        <v>42</v>
      </c>
      <c r="C390" t="s">
        <v>229</v>
      </c>
      <c r="D390" t="s">
        <v>126</v>
      </c>
    </row>
    <row r="391" spans="2:4" hidden="1" x14ac:dyDescent="0.25">
      <c r="B391" s="39" t="s">
        <v>127</v>
      </c>
      <c r="C391" t="s">
        <v>230</v>
      </c>
      <c r="D391" t="s">
        <v>126</v>
      </c>
    </row>
    <row r="392" spans="2:4" hidden="1" x14ac:dyDescent="0.25">
      <c r="B392" s="39" t="s">
        <v>128</v>
      </c>
      <c r="C392" t="s">
        <v>231</v>
      </c>
      <c r="D392" t="s">
        <v>126</v>
      </c>
    </row>
    <row r="393" spans="2:4" hidden="1" x14ac:dyDescent="0.25">
      <c r="B393" s="39" t="s">
        <v>41</v>
      </c>
      <c r="C393" t="s">
        <v>232</v>
      </c>
      <c r="D393" t="s">
        <v>126</v>
      </c>
    </row>
    <row r="394" spans="2:4" hidden="1" x14ac:dyDescent="0.25">
      <c r="B394" s="39" t="s">
        <v>129</v>
      </c>
      <c r="C394" t="s">
        <v>233</v>
      </c>
      <c r="D394" t="s">
        <v>126</v>
      </c>
    </row>
    <row r="395" spans="2:4" hidden="1" x14ac:dyDescent="0.25">
      <c r="B395" s="39" t="s">
        <v>23</v>
      </c>
      <c r="C395" t="s">
        <v>275</v>
      </c>
      <c r="D395" t="s">
        <v>22</v>
      </c>
    </row>
    <row r="396" spans="2:4" hidden="1" x14ac:dyDescent="0.25">
      <c r="B396" s="39" t="s">
        <v>25</v>
      </c>
      <c r="C396" t="s">
        <v>276</v>
      </c>
      <c r="D396" t="s">
        <v>22</v>
      </c>
    </row>
    <row r="397" spans="2:4" hidden="1" x14ac:dyDescent="0.25">
      <c r="B397" s="39" t="s">
        <v>142</v>
      </c>
      <c r="C397" t="s">
        <v>277</v>
      </c>
      <c r="D397" t="s">
        <v>22</v>
      </c>
    </row>
    <row r="398" spans="2:4" hidden="1" x14ac:dyDescent="0.25">
      <c r="B398" s="39" t="s">
        <v>24</v>
      </c>
      <c r="C398" t="s">
        <v>278</v>
      </c>
      <c r="D398" t="s">
        <v>22</v>
      </c>
    </row>
    <row r="399" spans="2:4" hidden="1" x14ac:dyDescent="0.25">
      <c r="B399" s="13" t="s">
        <v>173</v>
      </c>
      <c r="C399" t="s">
        <v>279</v>
      </c>
      <c r="D399" t="s">
        <v>22</v>
      </c>
    </row>
    <row r="400" spans="2:4" hidden="1" x14ac:dyDescent="0.25">
      <c r="B400" s="39" t="s">
        <v>26</v>
      </c>
      <c r="C400" t="s">
        <v>280</v>
      </c>
      <c r="D400" t="s">
        <v>22</v>
      </c>
    </row>
    <row r="401" spans="2:4" hidden="1" x14ac:dyDescent="0.25">
      <c r="B401" s="39" t="s">
        <v>27</v>
      </c>
      <c r="C401" t="s">
        <v>281</v>
      </c>
      <c r="D401" t="s">
        <v>22</v>
      </c>
    </row>
    <row r="402" spans="2:4" hidden="1" x14ac:dyDescent="0.25">
      <c r="B402" s="39" t="s">
        <v>152</v>
      </c>
      <c r="C402" t="s">
        <v>213</v>
      </c>
      <c r="D402" t="s">
        <v>52</v>
      </c>
    </row>
    <row r="403" spans="2:4" hidden="1" x14ac:dyDescent="0.25">
      <c r="B403" s="39" t="s">
        <v>124</v>
      </c>
      <c r="C403" t="s">
        <v>214</v>
      </c>
      <c r="D403" t="s">
        <v>52</v>
      </c>
    </row>
    <row r="404" spans="2:4" hidden="1" x14ac:dyDescent="0.25">
      <c r="B404" s="39" t="s">
        <v>56</v>
      </c>
      <c r="C404" t="s">
        <v>215</v>
      </c>
      <c r="D404" t="s">
        <v>52</v>
      </c>
    </row>
    <row r="405" spans="2:4" hidden="1" x14ac:dyDescent="0.25">
      <c r="B405" s="39" t="s">
        <v>55</v>
      </c>
      <c r="C405" t="s">
        <v>216</v>
      </c>
      <c r="D405" t="s">
        <v>52</v>
      </c>
    </row>
    <row r="406" spans="2:4" hidden="1" x14ac:dyDescent="0.25">
      <c r="B406" s="39" t="s">
        <v>153</v>
      </c>
      <c r="C406" t="s">
        <v>217</v>
      </c>
      <c r="D406" t="s">
        <v>52</v>
      </c>
    </row>
    <row r="407" spans="2:4" hidden="1" x14ac:dyDescent="0.25">
      <c r="B407" s="39" t="s">
        <v>53</v>
      </c>
      <c r="C407" t="s">
        <v>218</v>
      </c>
      <c r="D407" t="s">
        <v>52</v>
      </c>
    </row>
    <row r="408" spans="2:4" hidden="1" x14ac:dyDescent="0.25">
      <c r="B408" s="39" t="s">
        <v>125</v>
      </c>
      <c r="C408" t="s">
        <v>219</v>
      </c>
      <c r="D408" t="s">
        <v>52</v>
      </c>
    </row>
    <row r="409" spans="2:4" hidden="1" x14ac:dyDescent="0.25">
      <c r="B409" s="39" t="s">
        <v>54</v>
      </c>
      <c r="C409" t="s">
        <v>220</v>
      </c>
      <c r="D409" t="s">
        <v>52</v>
      </c>
    </row>
    <row r="410" spans="2:4" hidden="1" x14ac:dyDescent="0.25">
      <c r="B410" s="41" t="s">
        <v>29</v>
      </c>
      <c r="C410" t="s">
        <v>282</v>
      </c>
      <c r="D410" t="s">
        <v>143</v>
      </c>
    </row>
    <row r="411" spans="2:4" hidden="1" x14ac:dyDescent="0.25">
      <c r="B411" s="39" t="s">
        <v>31</v>
      </c>
      <c r="C411" t="s">
        <v>283</v>
      </c>
      <c r="D411" t="s">
        <v>143</v>
      </c>
    </row>
    <row r="412" spans="2:4" hidden="1" x14ac:dyDescent="0.25">
      <c r="B412" s="39" t="s">
        <v>28</v>
      </c>
      <c r="C412" t="s">
        <v>284</v>
      </c>
      <c r="D412" t="s">
        <v>143</v>
      </c>
    </row>
    <row r="413" spans="2:4" hidden="1" x14ac:dyDescent="0.25">
      <c r="B413" s="39" t="s">
        <v>36</v>
      </c>
      <c r="C413" t="s">
        <v>285</v>
      </c>
      <c r="D413" t="s">
        <v>143</v>
      </c>
    </row>
    <row r="414" spans="2:4" hidden="1" x14ac:dyDescent="0.25">
      <c r="B414" s="39" t="s">
        <v>30</v>
      </c>
      <c r="C414" t="s">
        <v>286</v>
      </c>
      <c r="D414" t="s">
        <v>143</v>
      </c>
    </row>
    <row r="415" spans="2:4" hidden="1" x14ac:dyDescent="0.25">
      <c r="B415" s="13" t="s">
        <v>144</v>
      </c>
      <c r="C415" t="s">
        <v>287</v>
      </c>
      <c r="D415" t="s">
        <v>143</v>
      </c>
    </row>
    <row r="416" spans="2:4" hidden="1" x14ac:dyDescent="0.25">
      <c r="B416" s="41" t="s">
        <v>29</v>
      </c>
      <c r="C416" t="s">
        <v>282</v>
      </c>
      <c r="D416" t="s">
        <v>176</v>
      </c>
    </row>
    <row r="417" spans="2:4" hidden="1" x14ac:dyDescent="0.25">
      <c r="B417" s="39" t="s">
        <v>32</v>
      </c>
      <c r="C417" t="s">
        <v>288</v>
      </c>
      <c r="D417" t="s">
        <v>176</v>
      </c>
    </row>
    <row r="418" spans="2:4" hidden="1" x14ac:dyDescent="0.25">
      <c r="B418" s="39" t="s">
        <v>31</v>
      </c>
      <c r="C418" t="s">
        <v>283</v>
      </c>
      <c r="D418" t="s">
        <v>176</v>
      </c>
    </row>
    <row r="419" spans="2:4" hidden="1" x14ac:dyDescent="0.25">
      <c r="B419" s="39" t="s">
        <v>34</v>
      </c>
      <c r="C419" t="s">
        <v>289</v>
      </c>
      <c r="D419" t="s">
        <v>176</v>
      </c>
    </row>
    <row r="420" spans="2:4" hidden="1" x14ac:dyDescent="0.25">
      <c r="B420" s="39" t="s">
        <v>28</v>
      </c>
      <c r="C420" t="s">
        <v>284</v>
      </c>
      <c r="D420" t="s">
        <v>176</v>
      </c>
    </row>
    <row r="421" spans="2:4" hidden="1" x14ac:dyDescent="0.25">
      <c r="B421" s="39" t="s">
        <v>35</v>
      </c>
      <c r="C421" t="s">
        <v>290</v>
      </c>
      <c r="D421" t="s">
        <v>176</v>
      </c>
    </row>
    <row r="422" spans="2:4" hidden="1" x14ac:dyDescent="0.25">
      <c r="B422" s="39" t="s">
        <v>36</v>
      </c>
      <c r="C422" t="s">
        <v>285</v>
      </c>
      <c r="D422" t="s">
        <v>176</v>
      </c>
    </row>
    <row r="423" spans="2:4" hidden="1" x14ac:dyDescent="0.25">
      <c r="B423" s="39" t="s">
        <v>174</v>
      </c>
      <c r="C423" t="s">
        <v>291</v>
      </c>
      <c r="D423" t="s">
        <v>176</v>
      </c>
    </row>
    <row r="424" spans="2:4" hidden="1" x14ac:dyDescent="0.25">
      <c r="B424" s="39" t="s">
        <v>30</v>
      </c>
      <c r="C424" t="s">
        <v>286</v>
      </c>
      <c r="D424" t="s">
        <v>176</v>
      </c>
    </row>
    <row r="425" spans="2:4" hidden="1" x14ac:dyDescent="0.25">
      <c r="B425" s="13" t="s">
        <v>145</v>
      </c>
      <c r="C425" t="s">
        <v>292</v>
      </c>
      <c r="D425" t="s">
        <v>176</v>
      </c>
    </row>
    <row r="426" spans="2:4" hidden="1" x14ac:dyDescent="0.25">
      <c r="B426" s="13" t="s">
        <v>144</v>
      </c>
      <c r="C426" t="s">
        <v>287</v>
      </c>
      <c r="D426" t="s">
        <v>176</v>
      </c>
    </row>
    <row r="427" spans="2:4" hidden="1" x14ac:dyDescent="0.25">
      <c r="B427" s="39" t="s">
        <v>33</v>
      </c>
      <c r="C427" t="s">
        <v>293</v>
      </c>
      <c r="D427" t="s">
        <v>176</v>
      </c>
    </row>
    <row r="428" spans="2:4" hidden="1" x14ac:dyDescent="0.25">
      <c r="B428" s="39" t="s">
        <v>64</v>
      </c>
      <c r="C428" t="s">
        <v>246</v>
      </c>
      <c r="D428" t="s">
        <v>20</v>
      </c>
    </row>
    <row r="429" spans="2:4" hidden="1" x14ac:dyDescent="0.25">
      <c r="B429" s="39" t="s">
        <v>167</v>
      </c>
      <c r="C429" t="s">
        <v>247</v>
      </c>
      <c r="D429" t="s">
        <v>20</v>
      </c>
    </row>
    <row r="430" spans="2:4" hidden="1" x14ac:dyDescent="0.25">
      <c r="B430" s="39" t="s">
        <v>168</v>
      </c>
      <c r="C430" t="s">
        <v>248</v>
      </c>
      <c r="D430" t="s">
        <v>20</v>
      </c>
    </row>
    <row r="431" spans="2:4" hidden="1" x14ac:dyDescent="0.25">
      <c r="B431" s="39" t="s">
        <v>65</v>
      </c>
      <c r="C431" t="s">
        <v>249</v>
      </c>
      <c r="D431" t="s">
        <v>20</v>
      </c>
    </row>
    <row r="432" spans="2:4" hidden="1" x14ac:dyDescent="0.25">
      <c r="B432" s="39" t="s">
        <v>132</v>
      </c>
      <c r="C432" t="s">
        <v>250</v>
      </c>
      <c r="D432" t="s">
        <v>20</v>
      </c>
    </row>
    <row r="433" spans="2:4" hidden="1" x14ac:dyDescent="0.25">
      <c r="B433" s="39" t="s">
        <v>68</v>
      </c>
      <c r="C433" t="s">
        <v>251</v>
      </c>
      <c r="D433" t="s">
        <v>20</v>
      </c>
    </row>
    <row r="434" spans="2:4" hidden="1" x14ac:dyDescent="0.25">
      <c r="B434" s="39" t="s">
        <v>169</v>
      </c>
      <c r="C434" t="s">
        <v>252</v>
      </c>
      <c r="D434" t="s">
        <v>20</v>
      </c>
    </row>
    <row r="435" spans="2:4" hidden="1" x14ac:dyDescent="0.25">
      <c r="B435" s="39" t="s">
        <v>51</v>
      </c>
      <c r="C435" t="s">
        <v>200</v>
      </c>
      <c r="D435" t="s">
        <v>117</v>
      </c>
    </row>
    <row r="436" spans="2:4" hidden="1" x14ac:dyDescent="0.25">
      <c r="B436" s="39" t="s">
        <v>118</v>
      </c>
      <c r="C436" t="s">
        <v>201</v>
      </c>
      <c r="D436" t="s">
        <v>117</v>
      </c>
    </row>
    <row r="437" spans="2:4" hidden="1" x14ac:dyDescent="0.25">
      <c r="B437" s="39" t="s">
        <v>150</v>
      </c>
      <c r="C437" t="s">
        <v>202</v>
      </c>
      <c r="D437" t="s">
        <v>117</v>
      </c>
    </row>
    <row r="438" spans="2:4" hidden="1" x14ac:dyDescent="0.25">
      <c r="B438" s="39" t="s">
        <v>50</v>
      </c>
      <c r="C438" t="s">
        <v>203</v>
      </c>
      <c r="D438" t="s">
        <v>117</v>
      </c>
    </row>
    <row r="439" spans="2:4" hidden="1" x14ac:dyDescent="0.25">
      <c r="B439" s="39" t="s">
        <v>51</v>
      </c>
      <c r="C439" t="s">
        <v>200</v>
      </c>
      <c r="D439" t="s">
        <v>177</v>
      </c>
    </row>
    <row r="440" spans="2:4" hidden="1" x14ac:dyDescent="0.25">
      <c r="B440" s="39" t="s">
        <v>46</v>
      </c>
      <c r="C440" t="s">
        <v>204</v>
      </c>
      <c r="D440" t="s">
        <v>177</v>
      </c>
    </row>
    <row r="441" spans="2:4" hidden="1" x14ac:dyDescent="0.25">
      <c r="B441" s="39" t="s">
        <v>118</v>
      </c>
      <c r="C441" t="s">
        <v>201</v>
      </c>
      <c r="D441" t="s">
        <v>177</v>
      </c>
    </row>
    <row r="442" spans="2:4" hidden="1" x14ac:dyDescent="0.25">
      <c r="B442" s="39" t="s">
        <v>47</v>
      </c>
      <c r="C442" t="s">
        <v>205</v>
      </c>
      <c r="D442" t="s">
        <v>177</v>
      </c>
    </row>
    <row r="443" spans="2:4" hidden="1" x14ac:dyDescent="0.25">
      <c r="B443" s="39" t="s">
        <v>150</v>
      </c>
      <c r="C443" t="s">
        <v>202</v>
      </c>
      <c r="D443" t="s">
        <v>177</v>
      </c>
    </row>
    <row r="444" spans="2:4" hidden="1" x14ac:dyDescent="0.25">
      <c r="B444" s="39" t="s">
        <v>49</v>
      </c>
      <c r="C444" t="s">
        <v>206</v>
      </c>
      <c r="D444" t="s">
        <v>177</v>
      </c>
    </row>
    <row r="445" spans="2:4" hidden="1" x14ac:dyDescent="0.25">
      <c r="B445" s="39" t="s">
        <v>50</v>
      </c>
      <c r="C445" t="s">
        <v>203</v>
      </c>
      <c r="D445" t="s">
        <v>177</v>
      </c>
    </row>
    <row r="446" spans="2:4" hidden="1" x14ac:dyDescent="0.25">
      <c r="B446" s="39" t="s">
        <v>48</v>
      </c>
      <c r="C446" t="s">
        <v>207</v>
      </c>
      <c r="D446" t="s">
        <v>177</v>
      </c>
    </row>
    <row r="447" spans="2:4" hidden="1" x14ac:dyDescent="0.25">
      <c r="B447" s="39" t="s">
        <v>119</v>
      </c>
      <c r="C447" t="s">
        <v>208</v>
      </c>
      <c r="D447" t="s">
        <v>177</v>
      </c>
    </row>
    <row r="448" spans="2:4" hidden="1" x14ac:dyDescent="0.25">
      <c r="B448" s="39" t="s">
        <v>46</v>
      </c>
      <c r="C448" t="s">
        <v>204</v>
      </c>
      <c r="D448" s="40" t="s">
        <v>105</v>
      </c>
    </row>
    <row r="449" spans="2:4" hidden="1" x14ac:dyDescent="0.25">
      <c r="B449" s="39" t="s">
        <v>47</v>
      </c>
      <c r="C449" t="s">
        <v>205</v>
      </c>
      <c r="D449" s="40" t="s">
        <v>105</v>
      </c>
    </row>
    <row r="450" spans="2:4" hidden="1" x14ac:dyDescent="0.25">
      <c r="B450" s="39" t="s">
        <v>49</v>
      </c>
      <c r="C450" t="s">
        <v>206</v>
      </c>
      <c r="D450" s="40" t="s">
        <v>105</v>
      </c>
    </row>
    <row r="451" spans="2:4" hidden="1" x14ac:dyDescent="0.25">
      <c r="B451" s="39" t="s">
        <v>48</v>
      </c>
      <c r="C451" t="s">
        <v>207</v>
      </c>
      <c r="D451" s="40" t="s">
        <v>105</v>
      </c>
    </row>
    <row r="452" spans="2:4" hidden="1" x14ac:dyDescent="0.25">
      <c r="B452" s="39" t="s">
        <v>119</v>
      </c>
      <c r="C452" t="s">
        <v>208</v>
      </c>
      <c r="D452" s="40" t="s">
        <v>105</v>
      </c>
    </row>
    <row r="453" spans="2:4" hidden="1" x14ac:dyDescent="0.25">
      <c r="B453" s="39" t="s">
        <v>151</v>
      </c>
      <c r="C453" t="s">
        <v>209</v>
      </c>
      <c r="D453" t="s">
        <v>120</v>
      </c>
    </row>
    <row r="454" spans="2:4" hidden="1" x14ac:dyDescent="0.25">
      <c r="B454" s="39" t="s">
        <v>121</v>
      </c>
      <c r="C454" t="s">
        <v>210</v>
      </c>
      <c r="D454" t="s">
        <v>120</v>
      </c>
    </row>
    <row r="455" spans="2:4" hidden="1" x14ac:dyDescent="0.25">
      <c r="B455" s="39" t="s">
        <v>122</v>
      </c>
      <c r="C455" t="s">
        <v>211</v>
      </c>
      <c r="D455" t="s">
        <v>120</v>
      </c>
    </row>
    <row r="456" spans="2:4" hidden="1" x14ac:dyDescent="0.25">
      <c r="B456" s="39" t="s">
        <v>123</v>
      </c>
      <c r="C456" t="s">
        <v>212</v>
      </c>
      <c r="D456" t="s">
        <v>120</v>
      </c>
    </row>
    <row r="457" spans="2:4" hidden="1" x14ac:dyDescent="0.25">
      <c r="B457" s="39" t="s">
        <v>152</v>
      </c>
      <c r="C457" t="s">
        <v>213</v>
      </c>
      <c r="D457" t="s">
        <v>17</v>
      </c>
    </row>
    <row r="458" spans="2:4" hidden="1" x14ac:dyDescent="0.25">
      <c r="B458" s="39" t="s">
        <v>59</v>
      </c>
      <c r="C458" t="s">
        <v>221</v>
      </c>
      <c r="D458" t="s">
        <v>17</v>
      </c>
    </row>
    <row r="459" spans="2:4" hidden="1" x14ac:dyDescent="0.25">
      <c r="B459" s="39" t="s">
        <v>124</v>
      </c>
      <c r="C459" t="s">
        <v>214</v>
      </c>
      <c r="D459" t="s">
        <v>17</v>
      </c>
    </row>
    <row r="460" spans="2:4" hidden="1" x14ac:dyDescent="0.25">
      <c r="B460" s="39" t="s">
        <v>58</v>
      </c>
      <c r="C460" t="s">
        <v>222</v>
      </c>
      <c r="D460" t="s">
        <v>17</v>
      </c>
    </row>
    <row r="461" spans="2:4" hidden="1" x14ac:dyDescent="0.25">
      <c r="B461" s="39" t="s">
        <v>56</v>
      </c>
      <c r="C461" t="s">
        <v>215</v>
      </c>
      <c r="D461" t="s">
        <v>17</v>
      </c>
    </row>
    <row r="462" spans="2:4" hidden="1" x14ac:dyDescent="0.25">
      <c r="B462" s="39" t="s">
        <v>154</v>
      </c>
      <c r="C462" t="s">
        <v>223</v>
      </c>
      <c r="D462" t="s">
        <v>17</v>
      </c>
    </row>
    <row r="463" spans="2:4" hidden="1" x14ac:dyDescent="0.25">
      <c r="B463" s="39" t="s">
        <v>55</v>
      </c>
      <c r="C463" t="s">
        <v>216</v>
      </c>
      <c r="D463" t="s">
        <v>17</v>
      </c>
    </row>
    <row r="464" spans="2:4" hidden="1" x14ac:dyDescent="0.25">
      <c r="B464" s="39" t="s">
        <v>155</v>
      </c>
      <c r="C464" t="s">
        <v>224</v>
      </c>
      <c r="D464" t="s">
        <v>17</v>
      </c>
    </row>
    <row r="465" spans="2:4" hidden="1" x14ac:dyDescent="0.25">
      <c r="B465" s="39" t="s">
        <v>153</v>
      </c>
      <c r="C465" t="s">
        <v>217</v>
      </c>
      <c r="D465" t="s">
        <v>17</v>
      </c>
    </row>
    <row r="466" spans="2:4" hidden="1" x14ac:dyDescent="0.25">
      <c r="B466" s="39" t="s">
        <v>60</v>
      </c>
      <c r="C466" t="s">
        <v>225</v>
      </c>
      <c r="D466" t="s">
        <v>17</v>
      </c>
    </row>
    <row r="467" spans="2:4" hidden="1" x14ac:dyDescent="0.25">
      <c r="B467" s="39" t="s">
        <v>53</v>
      </c>
      <c r="C467" t="s">
        <v>218</v>
      </c>
      <c r="D467" t="s">
        <v>17</v>
      </c>
    </row>
    <row r="468" spans="2:4" hidden="1" x14ac:dyDescent="0.25">
      <c r="B468" s="39" t="s">
        <v>125</v>
      </c>
      <c r="C468" t="s">
        <v>219</v>
      </c>
      <c r="D468" t="s">
        <v>17</v>
      </c>
    </row>
    <row r="469" spans="2:4" hidden="1" x14ac:dyDescent="0.25">
      <c r="B469" s="39" t="s">
        <v>54</v>
      </c>
      <c r="C469" t="s">
        <v>220</v>
      </c>
      <c r="D469" t="s">
        <v>17</v>
      </c>
    </row>
    <row r="470" spans="2:4" hidden="1" x14ac:dyDescent="0.25">
      <c r="B470" s="39" t="s">
        <v>131</v>
      </c>
      <c r="C470" t="s">
        <v>234</v>
      </c>
      <c r="D470" t="s">
        <v>130</v>
      </c>
    </row>
    <row r="471" spans="2:4" hidden="1" x14ac:dyDescent="0.25">
      <c r="B471" s="39" t="s">
        <v>159</v>
      </c>
      <c r="C471" t="s">
        <v>235</v>
      </c>
      <c r="D471" t="s">
        <v>130</v>
      </c>
    </row>
    <row r="472" spans="2:4" hidden="1" x14ac:dyDescent="0.25">
      <c r="B472" s="39" t="s">
        <v>160</v>
      </c>
      <c r="C472" t="s">
        <v>236</v>
      </c>
      <c r="D472" t="s">
        <v>130</v>
      </c>
    </row>
    <row r="473" spans="2:4" hidden="1" x14ac:dyDescent="0.25">
      <c r="B473" s="39" t="s">
        <v>161</v>
      </c>
      <c r="C473" t="s">
        <v>237</v>
      </c>
      <c r="D473" t="s">
        <v>130</v>
      </c>
    </row>
    <row r="474" spans="2:4" hidden="1" x14ac:dyDescent="0.25">
      <c r="B474" s="39" t="s">
        <v>162</v>
      </c>
      <c r="C474" t="s">
        <v>238</v>
      </c>
      <c r="D474" t="s">
        <v>130</v>
      </c>
    </row>
    <row r="475" spans="2:4" hidden="1" x14ac:dyDescent="0.25">
      <c r="B475" s="41" t="s">
        <v>163</v>
      </c>
      <c r="C475" t="s">
        <v>239</v>
      </c>
      <c r="D475" t="s">
        <v>130</v>
      </c>
    </row>
    <row r="476" spans="2:4" hidden="1" x14ac:dyDescent="0.25">
      <c r="B476" s="41" t="s">
        <v>164</v>
      </c>
      <c r="C476" t="s">
        <v>240</v>
      </c>
      <c r="D476" t="s">
        <v>130</v>
      </c>
    </row>
    <row r="477" spans="2:4" hidden="1" x14ac:dyDescent="0.25">
      <c r="B477" s="39" t="s">
        <v>43</v>
      </c>
      <c r="C477" t="s">
        <v>241</v>
      </c>
      <c r="D477" t="s">
        <v>130</v>
      </c>
    </row>
    <row r="478" spans="2:4" hidden="1" x14ac:dyDescent="0.25">
      <c r="B478" s="41" t="s">
        <v>165</v>
      </c>
      <c r="C478" t="s">
        <v>242</v>
      </c>
      <c r="D478" t="s">
        <v>130</v>
      </c>
    </row>
    <row r="479" spans="2:4" hidden="1" x14ac:dyDescent="0.25">
      <c r="B479" s="41" t="s">
        <v>166</v>
      </c>
      <c r="C479" t="s">
        <v>243</v>
      </c>
      <c r="D479" t="s">
        <v>130</v>
      </c>
    </row>
    <row r="480" spans="2:4" hidden="1" x14ac:dyDescent="0.25">
      <c r="B480" s="39" t="s">
        <v>44</v>
      </c>
      <c r="C480" t="s">
        <v>244</v>
      </c>
      <c r="D480" t="s">
        <v>130</v>
      </c>
    </row>
    <row r="481" spans="2:4" hidden="1" x14ac:dyDescent="0.25">
      <c r="B481" s="41" t="s">
        <v>45</v>
      </c>
      <c r="C481" t="s">
        <v>245</v>
      </c>
      <c r="D481" t="s">
        <v>130</v>
      </c>
    </row>
    <row r="482" spans="2:4" hidden="1" x14ac:dyDescent="0.25">
      <c r="B482" s="39" t="s">
        <v>59</v>
      </c>
      <c r="C482" t="s">
        <v>221</v>
      </c>
      <c r="D482" t="s">
        <v>57</v>
      </c>
    </row>
    <row r="483" spans="2:4" hidden="1" x14ac:dyDescent="0.25">
      <c r="B483" s="39" t="s">
        <v>58</v>
      </c>
      <c r="C483" t="s">
        <v>222</v>
      </c>
      <c r="D483" t="s">
        <v>57</v>
      </c>
    </row>
    <row r="484" spans="2:4" hidden="1" x14ac:dyDescent="0.25">
      <c r="B484" s="39" t="s">
        <v>154</v>
      </c>
      <c r="C484" t="s">
        <v>223</v>
      </c>
      <c r="D484" t="s">
        <v>57</v>
      </c>
    </row>
    <row r="485" spans="2:4" hidden="1" x14ac:dyDescent="0.25">
      <c r="B485" s="39" t="s">
        <v>155</v>
      </c>
      <c r="C485" t="s">
        <v>224</v>
      </c>
      <c r="D485" t="s">
        <v>57</v>
      </c>
    </row>
    <row r="486" spans="2:4" hidden="1" x14ac:dyDescent="0.25">
      <c r="B486" s="39" t="s">
        <v>60</v>
      </c>
      <c r="C486" t="s">
        <v>225</v>
      </c>
      <c r="D486" t="s">
        <v>57</v>
      </c>
    </row>
  </sheetData>
  <mergeCells count="20">
    <mergeCell ref="AF19:AI19"/>
    <mergeCell ref="AF30:AI30"/>
    <mergeCell ref="AF41:AI41"/>
    <mergeCell ref="T19:Y19"/>
    <mergeCell ref="T30:Y30"/>
    <mergeCell ref="T41:Y41"/>
    <mergeCell ref="Z19:AE19"/>
    <mergeCell ref="Z30:AE30"/>
    <mergeCell ref="Z41:AE41"/>
    <mergeCell ref="H19:M19"/>
    <mergeCell ref="H30:M30"/>
    <mergeCell ref="H41:M41"/>
    <mergeCell ref="N19:S19"/>
    <mergeCell ref="N30:S30"/>
    <mergeCell ref="N41:S41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T36:T40 S44:S50 M44:M50 Y44:Y50 T44:T51 S22:T23 AE22:AE27 Y22:Y27 S36:S38 T11:T18 T24:T29 S24:S27 Y11:Y16 S11:S16 AE11:AE16 M33:M38 S33:T35 Y33:Y38">
      <formula1>$C$72:$C$74</formula1>
    </dataValidation>
    <dataValidation type="list" allowBlank="1" showInputMessage="1" showErrorMessage="1" sqref="C33:C40 C11:C18 C22:C29 C44:C51">
      <formula1>INDIRECT(D11)</formula1>
    </dataValidation>
  </dataValidations>
  <hyperlinks>
    <hyperlink ref="B216" r:id="rId1"/>
    <hyperlink ref="B165" r:id="rId2"/>
    <hyperlink ref="B163" r:id="rId3"/>
    <hyperlink ref="B162" r:id="rId4"/>
    <hyperlink ref="B159" r:id="rId5"/>
    <hyperlink ref="B160" r:id="rId6"/>
    <hyperlink ref="B103" r:id="rId7"/>
    <hyperlink ref="B84" r:id="rId8"/>
    <hyperlink ref="B83" r:id="rId9"/>
    <hyperlink ref="B81" r:id="rId10"/>
    <hyperlink ref="B82" r:id="rId11"/>
    <hyperlink ref="B85" r:id="rId12"/>
    <hyperlink ref="B86" r:id="rId13"/>
    <hyperlink ref="B80" r:id="rId14"/>
    <hyperlink ref="B91" r:id="rId15"/>
    <hyperlink ref="B89" r:id="rId16"/>
    <hyperlink ref="B90" r:id="rId17"/>
    <hyperlink ref="B92" r:id="rId18"/>
    <hyperlink ref="B95" r:id="rId19"/>
    <hyperlink ref="B96" r:id="rId20"/>
    <hyperlink ref="B98" r:id="rId21"/>
    <hyperlink ref="B97" r:id="rId22"/>
    <hyperlink ref="B99" r:id="rId23"/>
    <hyperlink ref="B100" r:id="rId24"/>
    <hyperlink ref="B101" r:id="rId25"/>
    <hyperlink ref="B102" r:id="rId26"/>
    <hyperlink ref="B105" r:id="rId27"/>
    <hyperlink ref="B104" r:id="rId28"/>
    <hyperlink ref="B114" r:id="rId29"/>
    <hyperlink ref="B117" r:id="rId30"/>
    <hyperlink ref="B118" r:id="rId31"/>
    <hyperlink ref="B116" r:id="rId32"/>
    <hyperlink ref="B115" r:id="rId33"/>
    <hyperlink ref="B110" r:id="rId34"/>
    <hyperlink ref="B111" r:id="rId35"/>
    <hyperlink ref="B109" r:id="rId36"/>
    <hyperlink ref="B108" r:id="rId37"/>
    <hyperlink ref="B145" r:id="rId38"/>
    <hyperlink ref="B144" r:id="rId39"/>
    <hyperlink ref="B147" r:id="rId40"/>
    <hyperlink ref="B150" r:id="rId41"/>
    <hyperlink ref="B157" r:id="rId42"/>
    <hyperlink ref="B154" r:id="rId43"/>
    <hyperlink ref="B155" r:id="rId44"/>
    <hyperlink ref="B156" r:id="rId45"/>
    <hyperlink ref="B164" r:id="rId46"/>
    <hyperlink ref="B158" r:id="rId47"/>
    <hyperlink ref="B161" r:id="rId48"/>
    <hyperlink ref="B148" r:id="rId49"/>
    <hyperlink ref="B146" r:id="rId50"/>
    <hyperlink ref="B122" r:id="rId51"/>
    <hyperlink ref="B121" r:id="rId52"/>
    <hyperlink ref="B123" r:id="rId53"/>
    <hyperlink ref="B149" r:id="rId54"/>
    <hyperlink ref="B124" r:id="rId55"/>
    <hyperlink ref="B151" r:id="rId56"/>
    <hyperlink ref="B168" r:id="rId57"/>
    <hyperlink ref="B173" r:id="rId58"/>
    <hyperlink ref="B174" r:id="rId59"/>
    <hyperlink ref="B170" r:id="rId60"/>
    <hyperlink ref="B179" r:id="rId61"/>
    <hyperlink ref="B169" r:id="rId62"/>
    <hyperlink ref="B180" r:id="rId63"/>
    <hyperlink ref="B187" r:id="rId64"/>
    <hyperlink ref="B183" r:id="rId65"/>
    <hyperlink ref="B181" r:id="rId66"/>
    <hyperlink ref="B182" r:id="rId67"/>
    <hyperlink ref="B171" r:id="rId68"/>
    <hyperlink ref="B172" r:id="rId69"/>
    <hyperlink ref="B177" r:id="rId70"/>
    <hyperlink ref="B178" r:id="rId71"/>
    <hyperlink ref="B188" r:id="rId72"/>
    <hyperlink ref="B189" r:id="rId73"/>
    <hyperlink ref="B190" r:id="rId74"/>
    <hyperlink ref="B184" r:id="rId75"/>
    <hyperlink ref="B194" r:id="rId76"/>
    <hyperlink ref="B193" r:id="rId77"/>
    <hyperlink ref="B195" r:id="rId78"/>
    <hyperlink ref="B207" r:id="rId79"/>
    <hyperlink ref="B210" r:id="rId80"/>
    <hyperlink ref="B208" r:id="rId81"/>
    <hyperlink ref="B220" r:id="rId82"/>
    <hyperlink ref="B217" r:id="rId83"/>
    <hyperlink ref="B224" r:id="rId84"/>
    <hyperlink ref="B229" r:id="rId85"/>
    <hyperlink ref="B212" r:id="rId86"/>
    <hyperlink ref="B213" r:id="rId87"/>
    <hyperlink ref="B218" r:id="rId88"/>
    <hyperlink ref="B219" r:id="rId89"/>
    <hyperlink ref="B227" r:id="rId90"/>
    <hyperlink ref="B209" r:id="rId91"/>
    <hyperlink ref="B199" r:id="rId92"/>
    <hyperlink ref="B198" r:id="rId93"/>
    <hyperlink ref="B202" r:id="rId94"/>
    <hyperlink ref="B200" r:id="rId95"/>
    <hyperlink ref="B201" r:id="rId96"/>
    <hyperlink ref="B203" r:id="rId97"/>
    <hyperlink ref="B204" r:id="rId98"/>
    <hyperlink ref="B129" r:id="rId99"/>
    <hyperlink ref="B130" r:id="rId100"/>
    <hyperlink ref="B225" r:id="rId101"/>
    <hyperlink ref="B226" r:id="rId102"/>
    <hyperlink ref="B211" r:id="rId103"/>
    <hyperlink ref="B228" r:id="rId104"/>
    <hyperlink ref="B221" r:id="rId105"/>
    <hyperlink ref="B132" r:id="rId106"/>
    <hyperlink ref="B133" r:id="rId107"/>
    <hyperlink ref="B134" r:id="rId108"/>
    <hyperlink ref="B127" r:id="rId109"/>
    <hyperlink ref="B131" r:id="rId110"/>
    <hyperlink ref="B141" r:id="rId111"/>
    <hyperlink ref="B137" r:id="rId112"/>
    <hyperlink ref="B138" r:id="rId113"/>
    <hyperlink ref="B139" r:id="rId114"/>
    <hyperlink ref="B140" r:id="rId115"/>
    <hyperlink ref="B128" r:id="rId116"/>
    <hyperlink ref="B237" r:id="rId117"/>
    <hyperlink ref="B239" r:id="rId118"/>
    <hyperlink ref="B243" r:id="rId119"/>
    <hyperlink ref="B244" r:id="rId120"/>
    <hyperlink ref="B245" r:id="rId121"/>
    <hyperlink ref="B233" r:id="rId122"/>
    <hyperlink ref="B241" r:id="rId123"/>
    <hyperlink ref="B242" r:id="rId124"/>
    <hyperlink ref="B234" r:id="rId125"/>
    <hyperlink ref="B236" r:id="rId126"/>
    <hyperlink ref="B238" r:id="rId127"/>
    <hyperlink ref="B240" r:id="rId128"/>
    <hyperlink ref="B235" r:id="rId129"/>
    <hyperlink ref="B247" r:id="rId130"/>
    <hyperlink ref="B255" r:id="rId131"/>
    <hyperlink ref="B249" r:id="rId132"/>
    <hyperlink ref="B251" r:id="rId133"/>
    <hyperlink ref="B253" r:id="rId134"/>
    <hyperlink ref="B257" r:id="rId135"/>
    <hyperlink ref="B248" r:id="rId136"/>
    <hyperlink ref="B258" r:id="rId137"/>
    <hyperlink ref="B254" r:id="rId138"/>
    <hyperlink ref="B250" r:id="rId139"/>
    <hyperlink ref="B252" r:id="rId140"/>
    <hyperlink ref="B256" r:id="rId141"/>
    <hyperlink ref="B269" r:id="rId142"/>
    <hyperlink ref="B273" r:id="rId143"/>
    <hyperlink ref="B277" r:id="rId144"/>
    <hyperlink ref="B278" r:id="rId145"/>
    <hyperlink ref="B279" r:id="rId146"/>
    <hyperlink ref="B261" r:id="rId147"/>
    <hyperlink ref="B275" r:id="rId148"/>
    <hyperlink ref="B276" r:id="rId149"/>
    <hyperlink ref="B263" r:id="rId150"/>
    <hyperlink ref="B267" r:id="rId151"/>
    <hyperlink ref="B271" r:id="rId152"/>
    <hyperlink ref="B274" r:id="rId153"/>
    <hyperlink ref="B265" r:id="rId154"/>
    <hyperlink ref="B262" r:id="rId155"/>
    <hyperlink ref="B260" r:id="rId156"/>
    <hyperlink ref="B268" r:id="rId157"/>
    <hyperlink ref="B264" r:id="rId158"/>
    <hyperlink ref="B266" r:id="rId159"/>
    <hyperlink ref="B270" r:id="rId160"/>
    <hyperlink ref="B272" r:id="rId161"/>
    <hyperlink ref="B283" r:id="rId162"/>
    <hyperlink ref="B289" r:id="rId163"/>
    <hyperlink ref="B290" r:id="rId164"/>
    <hyperlink ref="B287" r:id="rId165"/>
    <hyperlink ref="B285" r:id="rId166"/>
    <hyperlink ref="B286" r:id="rId167"/>
    <hyperlink ref="B288" r:id="rId168"/>
    <hyperlink ref="B284" r:id="rId169"/>
    <hyperlink ref="B282" r:id="rId170"/>
    <hyperlink ref="C216" r:id="rId171"/>
    <hyperlink ref="C165" r:id="rId172"/>
    <hyperlink ref="C163" r:id="rId173"/>
    <hyperlink ref="C162" r:id="rId174"/>
    <hyperlink ref="C159" r:id="rId175"/>
    <hyperlink ref="C160" r:id="rId176"/>
    <hyperlink ref="C103" r:id="rId177"/>
    <hyperlink ref="C84" r:id="rId178"/>
    <hyperlink ref="C247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6"/>
  <sheetViews>
    <sheetView showGridLines="0" workbookViewId="0">
      <selection activeCell="C46" sqref="C46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43.7109375" customWidth="1"/>
    <col min="9" max="9" width="8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3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20.140625" customWidth="1"/>
    <col min="26" max="26" width="17.7109375" bestFit="1" customWidth="1"/>
  </cols>
  <sheetData>
    <row r="1" spans="2:25" ht="19.5" thickBot="1" x14ac:dyDescent="0.35">
      <c r="C1" s="33" t="s">
        <v>87</v>
      </c>
      <c r="D1" s="43"/>
      <c r="E1" s="26"/>
      <c r="F1" s="31" t="s">
        <v>97</v>
      </c>
      <c r="G1" s="32" t="s">
        <v>100</v>
      </c>
      <c r="H1" s="34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21" t="s">
        <v>93</v>
      </c>
      <c r="U1" s="20"/>
      <c r="V1" s="22"/>
      <c r="W1" s="22"/>
      <c r="X1" s="22"/>
      <c r="Y1" s="6"/>
    </row>
    <row r="2" spans="2:25" ht="19.5" thickBot="1" x14ac:dyDescent="0.35">
      <c r="F2" s="27" t="s">
        <v>95</v>
      </c>
      <c r="G2" s="29" t="s">
        <v>98</v>
      </c>
      <c r="H2" s="35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4" t="s">
        <v>94</v>
      </c>
      <c r="U2" s="25"/>
      <c r="V2" s="23"/>
      <c r="W2" s="23"/>
      <c r="X2" s="23"/>
      <c r="Y2" s="7"/>
    </row>
    <row r="3" spans="2:25" ht="19.5" thickBot="1" x14ac:dyDescent="0.3">
      <c r="C3" t="s">
        <v>0</v>
      </c>
      <c r="F3" s="28" t="s">
        <v>96</v>
      </c>
      <c r="G3" s="30" t="s">
        <v>99</v>
      </c>
      <c r="H3" s="36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53" t="s">
        <v>1</v>
      </c>
      <c r="I8" s="154"/>
      <c r="J8" s="154"/>
      <c r="K8" s="154"/>
      <c r="L8" s="154"/>
      <c r="M8" s="155"/>
      <c r="N8" s="156" t="s">
        <v>2</v>
      </c>
      <c r="O8" s="157"/>
      <c r="P8" s="157"/>
      <c r="Q8" s="157"/>
      <c r="R8" s="157"/>
      <c r="S8" s="158"/>
      <c r="T8" s="165" t="s">
        <v>350</v>
      </c>
      <c r="U8" s="166"/>
      <c r="V8" s="166"/>
      <c r="W8" s="167"/>
    </row>
    <row r="9" spans="2:25" ht="15.75" thickBot="1" x14ac:dyDescent="0.3">
      <c r="B9" s="39"/>
      <c r="C9" s="39" t="s">
        <v>16</v>
      </c>
      <c r="D9" s="39"/>
      <c r="E9" s="39"/>
      <c r="F9" s="39"/>
      <c r="G9" s="69" t="s">
        <v>102</v>
      </c>
      <c r="H9" s="93" t="s">
        <v>88</v>
      </c>
      <c r="I9" s="94" t="s">
        <v>6</v>
      </c>
      <c r="J9" s="95" t="s">
        <v>7</v>
      </c>
      <c r="K9" s="64" t="s">
        <v>8</v>
      </c>
      <c r="L9" s="64" t="s">
        <v>9</v>
      </c>
      <c r="M9" s="96" t="s">
        <v>10</v>
      </c>
      <c r="N9" s="94" t="s">
        <v>88</v>
      </c>
      <c r="O9" s="94" t="s">
        <v>6</v>
      </c>
      <c r="P9" s="95" t="s">
        <v>7</v>
      </c>
      <c r="Q9" s="64" t="s">
        <v>8</v>
      </c>
      <c r="R9" s="64" t="s">
        <v>9</v>
      </c>
      <c r="S9" s="96" t="s">
        <v>10</v>
      </c>
      <c r="T9" s="94" t="s">
        <v>88</v>
      </c>
      <c r="U9" s="94" t="s">
        <v>6</v>
      </c>
      <c r="V9" s="95" t="s">
        <v>7</v>
      </c>
      <c r="W9" s="97" t="s">
        <v>8</v>
      </c>
    </row>
    <row r="10" spans="2:25" ht="15.75" thickBot="1" x14ac:dyDescent="0.3">
      <c r="B10" s="78" t="s">
        <v>346</v>
      </c>
      <c r="C10" s="82" t="s">
        <v>85</v>
      </c>
      <c r="D10" s="71"/>
      <c r="E10" s="71"/>
      <c r="F10" s="82" t="s">
        <v>351</v>
      </c>
      <c r="G10" s="82" t="s">
        <v>352</v>
      </c>
      <c r="H10" s="64" t="s">
        <v>85</v>
      </c>
      <c r="I10" s="98"/>
      <c r="J10" s="98"/>
      <c r="K10" s="98"/>
      <c r="L10" s="98"/>
      <c r="M10" s="67"/>
      <c r="N10" s="63" t="s">
        <v>85</v>
      </c>
      <c r="O10" s="98"/>
      <c r="P10" s="98"/>
      <c r="Q10" s="98"/>
      <c r="R10" s="98"/>
      <c r="S10" s="67"/>
      <c r="T10" s="63" t="s">
        <v>85</v>
      </c>
      <c r="U10" s="98"/>
      <c r="V10" s="98"/>
      <c r="W10" s="67"/>
    </row>
    <row r="11" spans="2:25" ht="15.75" thickBot="1" x14ac:dyDescent="0.3">
      <c r="B11" s="79" t="s">
        <v>52</v>
      </c>
      <c r="C11" s="83"/>
      <c r="D11" s="75" t="str">
        <f t="array" ref="D11">INDEX(Table_Name52[Name List],MATCH(B11,Table_Name52[Category],0))</f>
        <v>Horizontal_Triceps[Exercise]</v>
      </c>
      <c r="E11" s="70" t="e">
        <f t="array" ref="E11">INDEX(Links73[Link],MATCH(C11,Links73[Exercise],0))</f>
        <v>#N/A</v>
      </c>
      <c r="F11" s="86" t="e">
        <f t="shared" ref="F11:F16" si="0">HYPERLINK(E11,"Video")</f>
        <v>#N/A</v>
      </c>
      <c r="G11" s="89"/>
      <c r="H11" s="99">
        <f t="shared" ref="H11:H16" si="1">C11</f>
        <v>0</v>
      </c>
      <c r="I11" s="100">
        <v>3</v>
      </c>
      <c r="J11" s="100">
        <f t="shared" ref="J11:J16" si="2">MROUND(((G11)),5)</f>
        <v>0</v>
      </c>
      <c r="K11" s="100" t="s">
        <v>11</v>
      </c>
      <c r="L11" s="100"/>
      <c r="M11" s="69"/>
      <c r="N11" s="101">
        <f t="shared" ref="N11:N16" si="3">C11</f>
        <v>0</v>
      </c>
      <c r="O11" s="100">
        <f>I11+(M29)</f>
        <v>3</v>
      </c>
      <c r="P11" s="100">
        <f t="shared" ref="P11:P16" si="4">MROUND((J11*1.05),5)</f>
        <v>0</v>
      </c>
      <c r="Q11" s="100" t="s">
        <v>11</v>
      </c>
      <c r="R11" s="100"/>
      <c r="S11" s="102"/>
      <c r="T11" s="101">
        <f t="shared" ref="T11:T16" si="5">C11</f>
        <v>0</v>
      </c>
      <c r="U11" s="100">
        <v>2</v>
      </c>
      <c r="V11" s="103">
        <f t="shared" ref="V11:V16" si="6">J11</f>
        <v>0</v>
      </c>
      <c r="W11" s="69" t="s">
        <v>14</v>
      </c>
    </row>
    <row r="12" spans="2:25" ht="15.75" thickBot="1" x14ac:dyDescent="0.3">
      <c r="B12" s="80" t="s">
        <v>104</v>
      </c>
      <c r="C12" s="84"/>
      <c r="D12" s="76" t="str">
        <f t="array" ref="D12">INDEX(Table_Name52[Name List],MATCH(B12,Table_Name52[Category],0))</f>
        <v>Front_Delts[Exercise]</v>
      </c>
      <c r="E12" s="65" t="e">
        <f t="array" ref="E12">INDEX(Links73[Link],MATCH(C12,Links73[Exercise],0))</f>
        <v>#N/A</v>
      </c>
      <c r="F12" s="87" t="e">
        <f t="shared" si="0"/>
        <v>#N/A</v>
      </c>
      <c r="G12" s="90"/>
      <c r="H12" s="99">
        <f t="shared" si="1"/>
        <v>0</v>
      </c>
      <c r="I12" s="100">
        <v>3</v>
      </c>
      <c r="J12" s="100">
        <f t="shared" si="2"/>
        <v>0</v>
      </c>
      <c r="K12" s="100" t="s">
        <v>11</v>
      </c>
      <c r="L12" s="100"/>
      <c r="M12" s="69"/>
      <c r="N12" s="101">
        <f t="shared" si="3"/>
        <v>0</v>
      </c>
      <c r="O12" s="100">
        <f>I12+(M28)</f>
        <v>3</v>
      </c>
      <c r="P12" s="100">
        <f t="shared" si="4"/>
        <v>0</v>
      </c>
      <c r="Q12" s="100" t="s">
        <v>11</v>
      </c>
      <c r="R12" s="100"/>
      <c r="S12" s="102"/>
      <c r="T12" s="101">
        <f t="shared" si="5"/>
        <v>0</v>
      </c>
      <c r="U12" s="100">
        <v>2</v>
      </c>
      <c r="V12" s="103">
        <f t="shared" si="6"/>
        <v>0</v>
      </c>
      <c r="W12" s="69" t="s">
        <v>14</v>
      </c>
    </row>
    <row r="13" spans="2:25" ht="15.75" thickBot="1" x14ac:dyDescent="0.3">
      <c r="B13" s="80" t="s">
        <v>105</v>
      </c>
      <c r="C13" s="84"/>
      <c r="D13" s="76" t="str">
        <f t="array" ref="D13">INDEX(Table_Name52[Name List],MATCH(B13,Table_Name52[Category],0))</f>
        <v>Side_Delts[Exercise]</v>
      </c>
      <c r="E13" s="65" t="e">
        <f t="array" ref="E13">INDEX(Links73[Link],MATCH(C13,Links73[Exercise],0))</f>
        <v>#N/A</v>
      </c>
      <c r="F13" s="87" t="e">
        <f t="shared" si="0"/>
        <v>#N/A</v>
      </c>
      <c r="G13" s="90"/>
      <c r="H13" s="99">
        <f t="shared" si="1"/>
        <v>0</v>
      </c>
      <c r="I13" s="100">
        <v>3</v>
      </c>
      <c r="J13" s="100">
        <f t="shared" si="2"/>
        <v>0</v>
      </c>
      <c r="K13" s="100" t="s">
        <v>11</v>
      </c>
      <c r="L13" s="100"/>
      <c r="M13" s="69"/>
      <c r="N13" s="101">
        <f t="shared" si="3"/>
        <v>0</v>
      </c>
      <c r="O13" s="100">
        <f>I13+(M30)</f>
        <v>3</v>
      </c>
      <c r="P13" s="100">
        <f t="shared" si="4"/>
        <v>0</v>
      </c>
      <c r="Q13" s="100" t="s">
        <v>11</v>
      </c>
      <c r="R13" s="100"/>
      <c r="S13" s="102"/>
      <c r="T13" s="101">
        <f t="shared" si="5"/>
        <v>0</v>
      </c>
      <c r="U13" s="100">
        <v>2</v>
      </c>
      <c r="V13" s="103">
        <f t="shared" si="6"/>
        <v>0</v>
      </c>
      <c r="W13" s="69" t="s">
        <v>14</v>
      </c>
    </row>
    <row r="14" spans="2:25" ht="15.75" thickBot="1" x14ac:dyDescent="0.3">
      <c r="B14" s="80" t="s">
        <v>143</v>
      </c>
      <c r="C14" s="84"/>
      <c r="D14" s="76" t="str">
        <f t="array" ref="D14">INDEX(Table_Name52[Name List],MATCH(B14,Table_Name52[Category],0))</f>
        <v>Incline_Push[Exercise]</v>
      </c>
      <c r="E14" s="65" t="e">
        <f t="array" ref="E14">INDEX(Links73[Link],MATCH(C14,Links73[Exercise],0))</f>
        <v>#N/A</v>
      </c>
      <c r="F14" s="87" t="e">
        <f t="shared" si="0"/>
        <v>#N/A</v>
      </c>
      <c r="G14" s="90"/>
      <c r="H14" s="99">
        <f t="shared" si="1"/>
        <v>0</v>
      </c>
      <c r="I14" s="100">
        <v>2</v>
      </c>
      <c r="J14" s="100">
        <f t="shared" si="2"/>
        <v>0</v>
      </c>
      <c r="K14" s="100" t="s">
        <v>11</v>
      </c>
      <c r="L14" s="100"/>
      <c r="M14" s="69"/>
      <c r="N14" s="101">
        <f t="shared" si="3"/>
        <v>0</v>
      </c>
      <c r="O14" s="100">
        <f>I14+(M28)</f>
        <v>2</v>
      </c>
      <c r="P14" s="100">
        <f t="shared" si="4"/>
        <v>0</v>
      </c>
      <c r="Q14" s="100" t="s">
        <v>11</v>
      </c>
      <c r="R14" s="100"/>
      <c r="S14" s="102"/>
      <c r="T14" s="101">
        <f t="shared" si="5"/>
        <v>0</v>
      </c>
      <c r="U14" s="100">
        <v>2</v>
      </c>
      <c r="V14" s="103">
        <f t="shared" si="6"/>
        <v>0</v>
      </c>
      <c r="W14" s="69" t="s">
        <v>14</v>
      </c>
    </row>
    <row r="15" spans="2:25" x14ac:dyDescent="0.25">
      <c r="B15" s="80" t="s">
        <v>20</v>
      </c>
      <c r="C15" s="84"/>
      <c r="D15" s="76" t="str">
        <f t="array" ref="D15">INDEX(Table_Name52[Name List],MATCH(B15,Table_Name52[Category],0))</f>
        <v>Quads[Exercise]</v>
      </c>
      <c r="E15" s="65" t="e">
        <f t="array" ref="E15">INDEX(Links73[Link],MATCH(C15,Links73[Exercise],0))</f>
        <v>#N/A</v>
      </c>
      <c r="F15" s="87" t="e">
        <f t="shared" si="0"/>
        <v>#N/A</v>
      </c>
      <c r="G15" s="90"/>
      <c r="H15" s="99">
        <f t="shared" si="1"/>
        <v>0</v>
      </c>
      <c r="I15" s="100">
        <v>2</v>
      </c>
      <c r="J15" s="100">
        <f t="shared" si="2"/>
        <v>0</v>
      </c>
      <c r="K15" s="100" t="s">
        <v>11</v>
      </c>
      <c r="L15" s="100" t="s">
        <v>0</v>
      </c>
      <c r="M15" s="69"/>
      <c r="N15" s="101">
        <f t="shared" si="3"/>
        <v>0</v>
      </c>
      <c r="O15" s="100">
        <f>I15</f>
        <v>2</v>
      </c>
      <c r="P15" s="100">
        <f t="shared" si="4"/>
        <v>0</v>
      </c>
      <c r="Q15" s="100" t="s">
        <v>11</v>
      </c>
      <c r="R15" s="100"/>
      <c r="S15" s="69"/>
      <c r="T15" s="101">
        <f t="shared" si="5"/>
        <v>0</v>
      </c>
      <c r="U15" s="100">
        <v>2</v>
      </c>
      <c r="V15" s="103">
        <f t="shared" si="6"/>
        <v>0</v>
      </c>
      <c r="W15" s="69" t="s">
        <v>14</v>
      </c>
    </row>
    <row r="16" spans="2:25" ht="15.75" thickBot="1" x14ac:dyDescent="0.3">
      <c r="B16" s="81" t="s">
        <v>19</v>
      </c>
      <c r="C16" s="85"/>
      <c r="D16" s="77" t="str">
        <f t="array" ref="D16">INDEX(Table_Name52[Name List],MATCH(B16,Table_Name52[Category],0))</f>
        <v>Calves[Exercise]</v>
      </c>
      <c r="E16" s="66" t="e">
        <f t="array" ref="E16">INDEX(Links73[Link],MATCH(C16,Links73[Exercise],0))</f>
        <v>#N/A</v>
      </c>
      <c r="F16" s="88" t="e">
        <f t="shared" si="0"/>
        <v>#N/A</v>
      </c>
      <c r="G16" s="91"/>
      <c r="H16" s="104">
        <f t="shared" si="1"/>
        <v>0</v>
      </c>
      <c r="I16" s="105">
        <v>3</v>
      </c>
      <c r="J16" s="105">
        <f t="shared" si="2"/>
        <v>0</v>
      </c>
      <c r="K16" s="105" t="s">
        <v>11</v>
      </c>
      <c r="L16" s="105"/>
      <c r="M16" s="62"/>
      <c r="N16" s="106">
        <f t="shared" si="3"/>
        <v>0</v>
      </c>
      <c r="O16" s="105">
        <f>I16</f>
        <v>3</v>
      </c>
      <c r="P16" s="105">
        <f t="shared" si="4"/>
        <v>0</v>
      </c>
      <c r="Q16" s="105" t="s">
        <v>11</v>
      </c>
      <c r="R16" s="105"/>
      <c r="S16" s="62"/>
      <c r="T16" s="106">
        <f t="shared" si="5"/>
        <v>0</v>
      </c>
      <c r="U16" s="105">
        <v>2</v>
      </c>
      <c r="V16" s="108">
        <f t="shared" si="6"/>
        <v>0</v>
      </c>
      <c r="W16" s="62" t="s">
        <v>14</v>
      </c>
    </row>
    <row r="17" spans="2:23" ht="19.5" thickBot="1" x14ac:dyDescent="0.3">
      <c r="B17" s="68" t="s">
        <v>337</v>
      </c>
      <c r="C17" s="39"/>
      <c r="D17" s="39"/>
      <c r="E17" s="39"/>
      <c r="F17" s="39"/>
      <c r="G17" s="69"/>
      <c r="H17" s="153" t="s">
        <v>1</v>
      </c>
      <c r="I17" s="154"/>
      <c r="J17" s="154"/>
      <c r="K17" s="154"/>
      <c r="L17" s="154"/>
      <c r="M17" s="155"/>
      <c r="N17" s="156" t="s">
        <v>2</v>
      </c>
      <c r="O17" s="157"/>
      <c r="P17" s="157"/>
      <c r="Q17" s="157"/>
      <c r="R17" s="157"/>
      <c r="S17" s="158"/>
      <c r="T17" s="165" t="s">
        <v>350</v>
      </c>
      <c r="U17" s="166"/>
      <c r="V17" s="166"/>
      <c r="W17" s="167"/>
    </row>
    <row r="18" spans="2:23" ht="15.75" thickBot="1" x14ac:dyDescent="0.3">
      <c r="B18" s="39"/>
      <c r="C18" s="39"/>
      <c r="D18" s="39"/>
      <c r="E18" s="39"/>
      <c r="F18" s="39"/>
      <c r="G18" s="69"/>
      <c r="H18" s="63" t="s">
        <v>88</v>
      </c>
      <c r="I18" s="109" t="s">
        <v>6</v>
      </c>
      <c r="J18" s="95" t="s">
        <v>7</v>
      </c>
      <c r="K18" s="64" t="s">
        <v>8</v>
      </c>
      <c r="L18" s="64" t="s">
        <v>9</v>
      </c>
      <c r="M18" s="96" t="s">
        <v>10</v>
      </c>
      <c r="N18" s="94" t="s">
        <v>88</v>
      </c>
      <c r="O18" s="94" t="s">
        <v>6</v>
      </c>
      <c r="P18" s="95" t="s">
        <v>7</v>
      </c>
      <c r="Q18" s="64" t="s">
        <v>8</v>
      </c>
      <c r="R18" s="64" t="s">
        <v>9</v>
      </c>
      <c r="S18" s="96" t="s">
        <v>10</v>
      </c>
      <c r="T18" s="94" t="s">
        <v>88</v>
      </c>
      <c r="U18" s="94" t="s">
        <v>6</v>
      </c>
      <c r="V18" s="95" t="s">
        <v>7</v>
      </c>
      <c r="W18" s="97" t="s">
        <v>8</v>
      </c>
    </row>
    <row r="19" spans="2:23" ht="15.75" thickBot="1" x14ac:dyDescent="0.3">
      <c r="B19" s="78" t="s">
        <v>347</v>
      </c>
      <c r="C19" s="82" t="s">
        <v>86</v>
      </c>
      <c r="D19" s="71"/>
      <c r="E19" s="92"/>
      <c r="F19" s="82" t="s">
        <v>351</v>
      </c>
      <c r="G19" s="82" t="s">
        <v>352</v>
      </c>
      <c r="H19" s="64" t="s">
        <v>86</v>
      </c>
      <c r="I19" s="98"/>
      <c r="J19" s="98"/>
      <c r="K19" s="98"/>
      <c r="L19" s="98"/>
      <c r="M19" s="67"/>
      <c r="N19" s="63" t="s">
        <v>86</v>
      </c>
      <c r="O19" s="98"/>
      <c r="P19" s="98"/>
      <c r="Q19" s="98"/>
      <c r="R19" s="98"/>
      <c r="S19" s="67"/>
      <c r="T19" s="63" t="s">
        <v>86</v>
      </c>
      <c r="U19" s="98"/>
      <c r="V19" s="98"/>
      <c r="W19" s="67"/>
    </row>
    <row r="20" spans="2:23" ht="15.75" thickBot="1" x14ac:dyDescent="0.3">
      <c r="B20" s="79" t="s">
        <v>18</v>
      </c>
      <c r="C20" s="83"/>
      <c r="D20" s="75" t="str">
        <f t="array" ref="D20">INDEX(Table_Name52[Name List],MATCH(B20,Table_Name52[Category],0))</f>
        <v>Biceps[Exercise]</v>
      </c>
      <c r="E20" s="70" t="e">
        <f t="array" ref="E20">INDEX(Links73[Link],MATCH(C20,Links73[Exercise],0))</f>
        <v>#N/A</v>
      </c>
      <c r="F20" s="86" t="e">
        <f t="shared" ref="F20:F24" si="7">HYPERLINK(E20,"Video")</f>
        <v>#N/A</v>
      </c>
      <c r="G20" s="89"/>
      <c r="H20" s="99">
        <f t="shared" ref="H20:H24" si="8">C20</f>
        <v>0</v>
      </c>
      <c r="I20" s="100">
        <v>3</v>
      </c>
      <c r="J20" s="100">
        <f>MROUND(((G20)),5)</f>
        <v>0</v>
      </c>
      <c r="K20" s="100" t="s">
        <v>11</v>
      </c>
      <c r="L20" s="100"/>
      <c r="M20" s="69"/>
      <c r="N20" s="99">
        <f t="shared" ref="N20:N24" si="9">C20</f>
        <v>0</v>
      </c>
      <c r="O20" s="100">
        <f>I20+(M38)</f>
        <v>3</v>
      </c>
      <c r="P20" s="100">
        <f t="shared" ref="P20:P24" si="10">MROUND((J20*1.05),5)</f>
        <v>0</v>
      </c>
      <c r="Q20" s="100" t="s">
        <v>11</v>
      </c>
      <c r="R20" s="100"/>
      <c r="S20" s="102"/>
      <c r="T20" s="101">
        <f>C20</f>
        <v>0</v>
      </c>
      <c r="U20" s="100">
        <v>2</v>
      </c>
      <c r="V20" s="103">
        <f>J20</f>
        <v>0</v>
      </c>
      <c r="W20" s="69" t="s">
        <v>14</v>
      </c>
    </row>
    <row r="21" spans="2:23" ht="15.75" thickBot="1" x14ac:dyDescent="0.3">
      <c r="B21" s="80" t="s">
        <v>343</v>
      </c>
      <c r="C21" s="84"/>
      <c r="D21" s="76" t="str">
        <f t="array" ref="D21">INDEX(Table_Name52[Name List],MATCH(B21,Table_Name52[Category],0))</f>
        <v>Rear_or_Side_Delts[Exercise]</v>
      </c>
      <c r="E21" s="65" t="e">
        <f t="array" ref="E21">INDEX(Links73[Link],MATCH(C21,Links73[Exercise],0))</f>
        <v>#N/A</v>
      </c>
      <c r="F21" s="87" t="e">
        <f t="shared" si="7"/>
        <v>#N/A</v>
      </c>
      <c r="G21" s="90"/>
      <c r="H21" s="99">
        <f t="shared" si="8"/>
        <v>0</v>
      </c>
      <c r="I21" s="100">
        <v>3</v>
      </c>
      <c r="J21" s="100">
        <f>MROUND(((G21)),5)</f>
        <v>0</v>
      </c>
      <c r="K21" s="100" t="s">
        <v>11</v>
      </c>
      <c r="L21" s="100"/>
      <c r="M21" s="69"/>
      <c r="N21" s="99">
        <f t="shared" si="9"/>
        <v>0</v>
      </c>
      <c r="O21" s="100">
        <f>I21+(M37)</f>
        <v>3</v>
      </c>
      <c r="P21" s="100">
        <f t="shared" si="10"/>
        <v>0</v>
      </c>
      <c r="Q21" s="100" t="s">
        <v>11</v>
      </c>
      <c r="R21" s="100"/>
      <c r="S21" s="102"/>
      <c r="T21" s="101">
        <f>C21</f>
        <v>0</v>
      </c>
      <c r="U21" s="100">
        <v>2</v>
      </c>
      <c r="V21" s="103">
        <f>J21</f>
        <v>0</v>
      </c>
      <c r="W21" s="69" t="s">
        <v>14</v>
      </c>
    </row>
    <row r="22" spans="2:23" ht="15.75" thickBot="1" x14ac:dyDescent="0.3">
      <c r="B22" s="80" t="s">
        <v>342</v>
      </c>
      <c r="C22" s="84"/>
      <c r="D22" s="76" t="str">
        <f t="array" ref="D22">INDEX(Table_Name52[Name List],MATCH(B22,Table_Name52[Category],0))</f>
        <v>Vertical_Back[Exercise]</v>
      </c>
      <c r="E22" s="65" t="e">
        <f t="array" ref="E22">INDEX(Links73[Link],MATCH(C22,Links73[Exercise],0))</f>
        <v>#N/A</v>
      </c>
      <c r="F22" s="87" t="e">
        <f t="shared" si="7"/>
        <v>#N/A</v>
      </c>
      <c r="G22" s="90"/>
      <c r="H22" s="99">
        <f t="shared" si="8"/>
        <v>0</v>
      </c>
      <c r="I22" s="100">
        <v>2</v>
      </c>
      <c r="J22" s="100">
        <f>MROUND(((G22)),5)</f>
        <v>0</v>
      </c>
      <c r="K22" s="100" t="s">
        <v>11</v>
      </c>
      <c r="L22" s="100"/>
      <c r="M22" s="69"/>
      <c r="N22" s="99">
        <f t="shared" si="9"/>
        <v>0</v>
      </c>
      <c r="O22" s="100">
        <f>I22+(M40)</f>
        <v>2</v>
      </c>
      <c r="P22" s="100">
        <f t="shared" si="10"/>
        <v>0</v>
      </c>
      <c r="Q22" s="100" t="s">
        <v>11</v>
      </c>
      <c r="R22" s="100"/>
      <c r="S22" s="102"/>
      <c r="T22" s="101">
        <f>C22</f>
        <v>0</v>
      </c>
      <c r="U22" s="100">
        <v>2</v>
      </c>
      <c r="V22" s="103">
        <f>J22</f>
        <v>0</v>
      </c>
      <c r="W22" s="69" t="s">
        <v>14</v>
      </c>
    </row>
    <row r="23" spans="2:23" x14ac:dyDescent="0.25">
      <c r="B23" s="80" t="s">
        <v>108</v>
      </c>
      <c r="C23" s="84"/>
      <c r="D23" s="76" t="str">
        <f t="array" ref="D23">INDEX(Table_Name52[Name List],MATCH(B23,Table_Name52[Category],0))</f>
        <v>Glutes[Exercise]</v>
      </c>
      <c r="E23" s="65" t="e">
        <f t="array" ref="E23">INDEX(Links73[Link],MATCH(C23,Links73[Exercise],0))</f>
        <v>#N/A</v>
      </c>
      <c r="F23" s="87" t="e">
        <f t="shared" si="7"/>
        <v>#N/A</v>
      </c>
      <c r="G23" s="90"/>
      <c r="H23" s="99">
        <f t="shared" si="8"/>
        <v>0</v>
      </c>
      <c r="I23" s="100">
        <v>2</v>
      </c>
      <c r="J23" s="100">
        <f>MROUND(((G23)),5)</f>
        <v>0</v>
      </c>
      <c r="K23" s="100" t="s">
        <v>11</v>
      </c>
      <c r="L23" s="100"/>
      <c r="M23" s="69"/>
      <c r="N23" s="99">
        <f t="shared" si="9"/>
        <v>0</v>
      </c>
      <c r="O23" s="100">
        <f>I23</f>
        <v>2</v>
      </c>
      <c r="P23" s="100">
        <f t="shared" si="10"/>
        <v>0</v>
      </c>
      <c r="Q23" s="100" t="s">
        <v>11</v>
      </c>
      <c r="R23" s="100"/>
      <c r="S23" s="69"/>
      <c r="T23" s="101">
        <f>C23</f>
        <v>0</v>
      </c>
      <c r="U23" s="100">
        <v>2</v>
      </c>
      <c r="V23" s="103">
        <f>J23</f>
        <v>0</v>
      </c>
      <c r="W23" s="69" t="s">
        <v>14</v>
      </c>
    </row>
    <row r="24" spans="2:23" ht="15.75" thickBot="1" x14ac:dyDescent="0.3">
      <c r="B24" s="81" t="s">
        <v>344</v>
      </c>
      <c r="C24" s="85"/>
      <c r="D24" s="77" t="str">
        <f t="array" ref="D24">INDEX(Table_Name52[Name List],MATCH(B24,Table_Name52[Category],0))</f>
        <v>Hamstrings_Isolation[Exercise]</v>
      </c>
      <c r="E24" s="66" t="e">
        <f t="array" ref="E24">INDEX(Links73[Link],MATCH(C24,Links73[Exercise],0))</f>
        <v>#N/A</v>
      </c>
      <c r="F24" s="88" t="e">
        <f t="shared" si="7"/>
        <v>#N/A</v>
      </c>
      <c r="G24" s="91"/>
      <c r="H24" s="104">
        <f t="shared" si="8"/>
        <v>0</v>
      </c>
      <c r="I24" s="105">
        <v>2</v>
      </c>
      <c r="J24" s="105">
        <f>MROUND(((G24)),5)</f>
        <v>0</v>
      </c>
      <c r="K24" s="105" t="s">
        <v>11</v>
      </c>
      <c r="L24" s="105"/>
      <c r="M24" s="62"/>
      <c r="N24" s="106">
        <f t="shared" si="9"/>
        <v>0</v>
      </c>
      <c r="O24" s="105">
        <f>I24</f>
        <v>2</v>
      </c>
      <c r="P24" s="105">
        <f t="shared" si="10"/>
        <v>0</v>
      </c>
      <c r="Q24" s="105" t="s">
        <v>11</v>
      </c>
      <c r="R24" s="105"/>
      <c r="S24" s="62"/>
      <c r="T24" s="106">
        <f>C24</f>
        <v>0</v>
      </c>
      <c r="U24" s="105">
        <v>2</v>
      </c>
      <c r="V24" s="108">
        <f>J24</f>
        <v>0</v>
      </c>
      <c r="W24" s="62" t="s">
        <v>14</v>
      </c>
    </row>
    <row r="25" spans="2:23" ht="19.5" thickBot="1" x14ac:dyDescent="0.3">
      <c r="B25" s="68" t="s">
        <v>338</v>
      </c>
      <c r="C25" s="39"/>
      <c r="D25" s="39"/>
      <c r="E25" s="39"/>
      <c r="F25" s="39"/>
      <c r="G25" s="69"/>
      <c r="H25" s="153" t="s">
        <v>1</v>
      </c>
      <c r="I25" s="154"/>
      <c r="J25" s="154"/>
      <c r="K25" s="154"/>
      <c r="L25" s="154"/>
      <c r="M25" s="155"/>
      <c r="N25" s="156" t="s">
        <v>2</v>
      </c>
      <c r="O25" s="157"/>
      <c r="P25" s="157"/>
      <c r="Q25" s="157"/>
      <c r="R25" s="157"/>
      <c r="S25" s="158"/>
      <c r="T25" s="165" t="s">
        <v>350</v>
      </c>
      <c r="U25" s="166"/>
      <c r="V25" s="166"/>
      <c r="W25" s="167"/>
    </row>
    <row r="26" spans="2:23" ht="15.75" thickBot="1" x14ac:dyDescent="0.3">
      <c r="B26" s="39"/>
      <c r="C26" s="39"/>
      <c r="D26" s="39"/>
      <c r="E26" s="39"/>
      <c r="F26" s="39"/>
      <c r="G26" s="69"/>
      <c r="H26" s="93" t="s">
        <v>88</v>
      </c>
      <c r="I26" s="94" t="s">
        <v>6</v>
      </c>
      <c r="J26" s="95" t="s">
        <v>7</v>
      </c>
      <c r="K26" s="64" t="s">
        <v>8</v>
      </c>
      <c r="L26" s="64" t="s">
        <v>9</v>
      </c>
      <c r="M26" s="96" t="s">
        <v>10</v>
      </c>
      <c r="N26" s="94" t="s">
        <v>88</v>
      </c>
      <c r="O26" s="94" t="s">
        <v>6</v>
      </c>
      <c r="P26" s="95" t="s">
        <v>7</v>
      </c>
      <c r="Q26" s="64" t="s">
        <v>8</v>
      </c>
      <c r="R26" s="64" t="s">
        <v>9</v>
      </c>
      <c r="S26" s="96" t="s">
        <v>10</v>
      </c>
      <c r="T26" s="94" t="s">
        <v>88</v>
      </c>
      <c r="U26" s="94" t="s">
        <v>6</v>
      </c>
      <c r="V26" s="95" t="s">
        <v>7</v>
      </c>
      <c r="W26" s="97" t="s">
        <v>8</v>
      </c>
    </row>
    <row r="27" spans="2:23" ht="15.75" thickBot="1" x14ac:dyDescent="0.3">
      <c r="B27" s="78" t="s">
        <v>346</v>
      </c>
      <c r="C27" s="82" t="s">
        <v>103</v>
      </c>
      <c r="D27" s="71"/>
      <c r="E27" s="92"/>
      <c r="F27" s="82" t="s">
        <v>351</v>
      </c>
      <c r="G27" s="82" t="s">
        <v>352</v>
      </c>
      <c r="H27" s="64" t="s">
        <v>103</v>
      </c>
      <c r="I27" s="98"/>
      <c r="J27" s="98"/>
      <c r="K27" s="98"/>
      <c r="L27" s="98"/>
      <c r="M27" s="67"/>
      <c r="N27" s="63" t="s">
        <v>103</v>
      </c>
      <c r="O27" s="98"/>
      <c r="P27" s="98"/>
      <c r="Q27" s="98"/>
      <c r="R27" s="98"/>
      <c r="S27" s="67"/>
      <c r="T27" s="63" t="s">
        <v>103</v>
      </c>
      <c r="U27" s="98"/>
      <c r="V27" s="98"/>
      <c r="W27" s="67"/>
    </row>
    <row r="28" spans="2:23" ht="15.75" thickBot="1" x14ac:dyDescent="0.3">
      <c r="B28" s="79" t="s">
        <v>104</v>
      </c>
      <c r="C28" s="83"/>
      <c r="D28" s="75" t="str">
        <f t="array" ref="D28">INDEX(Table_Name52[Name List],MATCH(B28,Table_Name52[Category],0))</f>
        <v>Front_Delts[Exercise]</v>
      </c>
      <c r="E28" s="70" t="e">
        <f t="array" ref="E28">INDEX(Links73[Link],MATCH(C28,Links73[Exercise],0))</f>
        <v>#N/A</v>
      </c>
      <c r="F28" s="86" t="e">
        <f t="shared" ref="F28:F33" si="11">HYPERLINK(E28,"Video")</f>
        <v>#N/A</v>
      </c>
      <c r="G28" s="89"/>
      <c r="H28" s="99">
        <f t="shared" ref="H28:H33" si="12">C28</f>
        <v>0</v>
      </c>
      <c r="I28" s="100">
        <v>3</v>
      </c>
      <c r="J28" s="100">
        <f t="shared" ref="J28:J33" si="13">MROUND(((G28)),5)</f>
        <v>0</v>
      </c>
      <c r="K28" s="100" t="s">
        <v>11</v>
      </c>
      <c r="L28" s="100"/>
      <c r="M28" s="102"/>
      <c r="N28" s="99">
        <f t="shared" ref="N28:N33" si="14">C28</f>
        <v>0</v>
      </c>
      <c r="O28" s="100">
        <f>I28+(S12)</f>
        <v>3</v>
      </c>
      <c r="P28" s="100">
        <f t="shared" ref="P28:P33" si="15">MROUND((J28*1.05),5)</f>
        <v>0</v>
      </c>
      <c r="Q28" s="100" t="s">
        <v>11</v>
      </c>
      <c r="R28" s="100"/>
      <c r="S28" s="102"/>
      <c r="T28" s="101">
        <f t="shared" ref="T28:T33" si="16">C28</f>
        <v>0</v>
      </c>
      <c r="U28" s="100">
        <v>2</v>
      </c>
      <c r="V28" s="103">
        <f t="shared" ref="V28:V33" si="17">MROUND((J28*0.5),5)</f>
        <v>0</v>
      </c>
      <c r="W28" s="69" t="s">
        <v>14</v>
      </c>
    </row>
    <row r="29" spans="2:23" ht="15.75" thickBot="1" x14ac:dyDescent="0.3">
      <c r="B29" s="80" t="s">
        <v>17</v>
      </c>
      <c r="C29" s="84"/>
      <c r="D29" s="76" t="str">
        <f t="array" ref="D29">INDEX(Table_Name52[Name List],MATCH(B29,Table_Name52[Category],0))</f>
        <v>Triceps[Exercise]</v>
      </c>
      <c r="E29" s="65" t="e">
        <f t="array" ref="E29">INDEX(Links73[Link],MATCH(C29,Links73[Exercise],0))</f>
        <v>#N/A</v>
      </c>
      <c r="F29" s="87" t="e">
        <f t="shared" si="11"/>
        <v>#N/A</v>
      </c>
      <c r="G29" s="90"/>
      <c r="H29" s="99">
        <f t="shared" si="12"/>
        <v>0</v>
      </c>
      <c r="I29" s="100">
        <v>3</v>
      </c>
      <c r="J29" s="100">
        <f t="shared" si="13"/>
        <v>0</v>
      </c>
      <c r="K29" s="100" t="s">
        <v>11</v>
      </c>
      <c r="L29" s="100"/>
      <c r="M29" s="102"/>
      <c r="N29" s="99">
        <f t="shared" si="14"/>
        <v>0</v>
      </c>
      <c r="O29" s="100">
        <f>I29+(S11)</f>
        <v>3</v>
      </c>
      <c r="P29" s="100">
        <f t="shared" si="15"/>
        <v>0</v>
      </c>
      <c r="Q29" s="100" t="s">
        <v>11</v>
      </c>
      <c r="R29" s="100"/>
      <c r="S29" s="102"/>
      <c r="T29" s="101">
        <f t="shared" si="16"/>
        <v>0</v>
      </c>
      <c r="U29" s="100">
        <v>2</v>
      </c>
      <c r="V29" s="103">
        <f t="shared" si="17"/>
        <v>0</v>
      </c>
      <c r="W29" s="69" t="s">
        <v>14</v>
      </c>
    </row>
    <row r="30" spans="2:23" ht="15.75" thickBot="1" x14ac:dyDescent="0.3">
      <c r="B30" s="80" t="s">
        <v>105</v>
      </c>
      <c r="C30" s="84"/>
      <c r="D30" s="76" t="str">
        <f t="array" ref="D30">INDEX(Table_Name52[Name List],MATCH(B30,Table_Name52[Category],0))</f>
        <v>Side_Delts[Exercise]</v>
      </c>
      <c r="E30" s="65" t="e">
        <f t="array" ref="E30">INDEX(Links73[Link],MATCH(C30,Links73[Exercise],0))</f>
        <v>#N/A</v>
      </c>
      <c r="F30" s="87" t="e">
        <f t="shared" si="11"/>
        <v>#N/A</v>
      </c>
      <c r="G30" s="90"/>
      <c r="H30" s="99">
        <f t="shared" si="12"/>
        <v>0</v>
      </c>
      <c r="I30" s="100">
        <v>3</v>
      </c>
      <c r="J30" s="100">
        <f t="shared" si="13"/>
        <v>0</v>
      </c>
      <c r="K30" s="100" t="s">
        <v>11</v>
      </c>
      <c r="L30" s="100"/>
      <c r="M30" s="102"/>
      <c r="N30" s="99">
        <f t="shared" si="14"/>
        <v>0</v>
      </c>
      <c r="O30" s="100">
        <f>I30+(S13)</f>
        <v>3</v>
      </c>
      <c r="P30" s="100">
        <f t="shared" si="15"/>
        <v>0</v>
      </c>
      <c r="Q30" s="100" t="s">
        <v>11</v>
      </c>
      <c r="R30" s="100"/>
      <c r="S30" s="102"/>
      <c r="T30" s="101">
        <f t="shared" si="16"/>
        <v>0</v>
      </c>
      <c r="U30" s="100">
        <v>2</v>
      </c>
      <c r="V30" s="103">
        <f t="shared" si="17"/>
        <v>0</v>
      </c>
      <c r="W30" s="69" t="s">
        <v>14</v>
      </c>
    </row>
    <row r="31" spans="2:23" ht="15.75" thickBot="1" x14ac:dyDescent="0.3">
      <c r="B31" s="80" t="s">
        <v>22</v>
      </c>
      <c r="C31" s="84"/>
      <c r="D31" s="76" t="str">
        <f t="array" ref="D31">INDEX(Table_Name52[Name List],MATCH(B31,Table_Name52[Category],0))</f>
        <v>Horizontal_Push[Exercise]</v>
      </c>
      <c r="E31" s="65" t="e">
        <f t="array" ref="E31">INDEX(Links73[Link],MATCH(C31,Links73[Exercise],0))</f>
        <v>#N/A</v>
      </c>
      <c r="F31" s="87" t="e">
        <f t="shared" si="11"/>
        <v>#N/A</v>
      </c>
      <c r="G31" s="90"/>
      <c r="H31" s="99">
        <f t="shared" si="12"/>
        <v>0</v>
      </c>
      <c r="I31" s="100">
        <v>2</v>
      </c>
      <c r="J31" s="100">
        <f t="shared" si="13"/>
        <v>0</v>
      </c>
      <c r="K31" s="100" t="s">
        <v>11</v>
      </c>
      <c r="L31" s="100"/>
      <c r="M31" s="102"/>
      <c r="N31" s="99">
        <f t="shared" si="14"/>
        <v>0</v>
      </c>
      <c r="O31" s="100">
        <f>I31+(S14)</f>
        <v>2</v>
      </c>
      <c r="P31" s="100">
        <f t="shared" si="15"/>
        <v>0</v>
      </c>
      <c r="Q31" s="100" t="s">
        <v>11</v>
      </c>
      <c r="R31" s="100"/>
      <c r="S31" s="102"/>
      <c r="T31" s="101">
        <f t="shared" si="16"/>
        <v>0</v>
      </c>
      <c r="U31" s="100">
        <v>2</v>
      </c>
      <c r="V31" s="103">
        <f t="shared" si="17"/>
        <v>0</v>
      </c>
      <c r="W31" s="69" t="s">
        <v>14</v>
      </c>
    </row>
    <row r="32" spans="2:23" x14ac:dyDescent="0.25">
      <c r="B32" s="80" t="s">
        <v>20</v>
      </c>
      <c r="C32" s="84"/>
      <c r="D32" s="76" t="str">
        <f t="array" ref="D32">INDEX(Table_Name52[Name List],MATCH(B32,Table_Name52[Category],0))</f>
        <v>Quads[Exercise]</v>
      </c>
      <c r="E32" s="65" t="e">
        <f t="array" ref="E32">INDEX(Links73[Link],MATCH(C32,Links73[Exercise],0))</f>
        <v>#N/A</v>
      </c>
      <c r="F32" s="87" t="e">
        <f t="shared" si="11"/>
        <v>#N/A</v>
      </c>
      <c r="G32" s="90"/>
      <c r="H32" s="99">
        <f t="shared" si="12"/>
        <v>0</v>
      </c>
      <c r="I32" s="100">
        <v>2</v>
      </c>
      <c r="J32" s="100">
        <f t="shared" si="13"/>
        <v>0</v>
      </c>
      <c r="K32" s="100" t="s">
        <v>11</v>
      </c>
      <c r="L32" s="100"/>
      <c r="M32" s="69"/>
      <c r="N32" s="99">
        <f t="shared" si="14"/>
        <v>0</v>
      </c>
      <c r="O32" s="100">
        <f>I32</f>
        <v>2</v>
      </c>
      <c r="P32" s="100">
        <f t="shared" si="15"/>
        <v>0</v>
      </c>
      <c r="Q32" s="100" t="s">
        <v>11</v>
      </c>
      <c r="R32" s="100"/>
      <c r="S32" s="69"/>
      <c r="T32" s="101">
        <f t="shared" si="16"/>
        <v>0</v>
      </c>
      <c r="U32" s="100">
        <v>2</v>
      </c>
      <c r="V32" s="103">
        <f t="shared" si="17"/>
        <v>0</v>
      </c>
      <c r="W32" s="69" t="s">
        <v>14</v>
      </c>
    </row>
    <row r="33" spans="2:23" ht="15.75" thickBot="1" x14ac:dyDescent="0.3">
      <c r="B33" s="81" t="s">
        <v>19</v>
      </c>
      <c r="C33" s="85"/>
      <c r="D33" s="77" t="str">
        <f t="array" ref="D33">INDEX(Table_Name52[Name List],MATCH(B33,Table_Name52[Category],0))</f>
        <v>Calves[Exercise]</v>
      </c>
      <c r="E33" s="66" t="e">
        <f t="array" ref="E33">INDEX(Links73[Link],MATCH(C33,Links73[Exercise],0))</f>
        <v>#N/A</v>
      </c>
      <c r="F33" s="88" t="e">
        <f t="shared" si="11"/>
        <v>#N/A</v>
      </c>
      <c r="G33" s="91"/>
      <c r="H33" s="104">
        <f t="shared" si="12"/>
        <v>0</v>
      </c>
      <c r="I33" s="105">
        <v>3</v>
      </c>
      <c r="J33" s="105">
        <f t="shared" si="13"/>
        <v>0</v>
      </c>
      <c r="K33" s="105" t="s">
        <v>11</v>
      </c>
      <c r="L33" s="105"/>
      <c r="M33" s="62"/>
      <c r="N33" s="106">
        <f t="shared" si="14"/>
        <v>0</v>
      </c>
      <c r="O33" s="105">
        <f>I33</f>
        <v>3</v>
      </c>
      <c r="P33" s="105">
        <f t="shared" si="15"/>
        <v>0</v>
      </c>
      <c r="Q33" s="105" t="s">
        <v>11</v>
      </c>
      <c r="R33" s="105"/>
      <c r="S33" s="62"/>
      <c r="T33" s="106">
        <f t="shared" si="16"/>
        <v>0</v>
      </c>
      <c r="U33" s="105">
        <v>2</v>
      </c>
      <c r="V33" s="108">
        <f t="shared" si="17"/>
        <v>0</v>
      </c>
      <c r="W33" s="62" t="s">
        <v>14</v>
      </c>
    </row>
    <row r="34" spans="2:23" ht="19.5" thickBot="1" x14ac:dyDescent="0.3">
      <c r="B34" s="68" t="s">
        <v>339</v>
      </c>
      <c r="C34" s="39"/>
      <c r="D34" s="39"/>
      <c r="E34" s="39"/>
      <c r="F34" s="39"/>
      <c r="G34" s="69"/>
      <c r="H34" s="153" t="s">
        <v>1</v>
      </c>
      <c r="I34" s="154"/>
      <c r="J34" s="154"/>
      <c r="K34" s="154"/>
      <c r="L34" s="154"/>
      <c r="M34" s="155"/>
      <c r="N34" s="156" t="s">
        <v>2</v>
      </c>
      <c r="O34" s="157"/>
      <c r="P34" s="157"/>
      <c r="Q34" s="157"/>
      <c r="R34" s="157"/>
      <c r="S34" s="158"/>
      <c r="T34" s="165" t="s">
        <v>350</v>
      </c>
      <c r="U34" s="166"/>
      <c r="V34" s="166"/>
      <c r="W34" s="167"/>
    </row>
    <row r="35" spans="2:23" ht="15.75" thickBot="1" x14ac:dyDescent="0.3">
      <c r="B35" s="39"/>
      <c r="C35" s="39"/>
      <c r="D35" s="39"/>
      <c r="E35" s="39"/>
      <c r="F35" s="39"/>
      <c r="G35" s="39"/>
      <c r="H35" s="93" t="s">
        <v>88</v>
      </c>
      <c r="I35" s="94" t="s">
        <v>6</v>
      </c>
      <c r="J35" s="95" t="s">
        <v>7</v>
      </c>
      <c r="K35" s="64" t="s">
        <v>8</v>
      </c>
      <c r="L35" s="64" t="s">
        <v>9</v>
      </c>
      <c r="M35" s="96" t="s">
        <v>10</v>
      </c>
      <c r="N35" s="94" t="s">
        <v>88</v>
      </c>
      <c r="O35" s="94" t="s">
        <v>6</v>
      </c>
      <c r="P35" s="95" t="s">
        <v>7</v>
      </c>
      <c r="Q35" s="64" t="s">
        <v>8</v>
      </c>
      <c r="R35" s="64" t="s">
        <v>9</v>
      </c>
      <c r="S35" s="96" t="s">
        <v>10</v>
      </c>
      <c r="T35" s="94" t="s">
        <v>88</v>
      </c>
      <c r="U35" s="94" t="s">
        <v>6</v>
      </c>
      <c r="V35" s="95" t="s">
        <v>7</v>
      </c>
      <c r="W35" s="97" t="s">
        <v>8</v>
      </c>
    </row>
    <row r="36" spans="2:23" ht="15.75" thickBot="1" x14ac:dyDescent="0.3">
      <c r="B36" s="78" t="s">
        <v>347</v>
      </c>
      <c r="C36" s="82" t="s">
        <v>336</v>
      </c>
      <c r="D36" s="71"/>
      <c r="E36" s="92"/>
      <c r="F36" s="82" t="s">
        <v>351</v>
      </c>
      <c r="G36" s="82" t="s">
        <v>352</v>
      </c>
      <c r="H36" s="64" t="s">
        <v>336</v>
      </c>
      <c r="I36" s="98"/>
      <c r="J36" s="98"/>
      <c r="K36" s="98"/>
      <c r="L36" s="98"/>
      <c r="M36" s="67"/>
      <c r="N36" s="63" t="s">
        <v>336</v>
      </c>
      <c r="O36" s="98"/>
      <c r="P36" s="98"/>
      <c r="Q36" s="98"/>
      <c r="R36" s="98"/>
      <c r="S36" s="67"/>
      <c r="T36" s="63" t="s">
        <v>336</v>
      </c>
      <c r="U36" s="98"/>
      <c r="V36" s="98"/>
      <c r="W36" s="67"/>
    </row>
    <row r="37" spans="2:23" ht="15.75" thickBot="1" x14ac:dyDescent="0.3">
      <c r="B37" s="79" t="s">
        <v>343</v>
      </c>
      <c r="C37" s="83"/>
      <c r="D37" s="75" t="str">
        <f t="array" ref="D37">INDEX(Table_Name52[Name List],MATCH(B37,Table_Name52[Category],0))</f>
        <v>Rear_or_Side_Delts[Exercise]</v>
      </c>
      <c r="E37" s="70" t="e">
        <f t="array" ref="E37">INDEX(Links73[Link],MATCH(C37,Links73[Exercise],0))</f>
        <v>#N/A</v>
      </c>
      <c r="F37" s="86" t="e">
        <f t="shared" ref="F37:F41" si="18">HYPERLINK(E37,"Video")</f>
        <v>#N/A</v>
      </c>
      <c r="G37" s="89"/>
      <c r="H37" s="99">
        <f t="shared" ref="H37:H41" si="19">C37</f>
        <v>0</v>
      </c>
      <c r="I37" s="100">
        <v>3</v>
      </c>
      <c r="J37" s="100">
        <f>MROUND(((G37)),5)</f>
        <v>0</v>
      </c>
      <c r="K37" s="100" t="s">
        <v>11</v>
      </c>
      <c r="L37" s="100"/>
      <c r="M37" s="102"/>
      <c r="N37" s="99">
        <f t="shared" ref="N37:N41" si="20">C37</f>
        <v>0</v>
      </c>
      <c r="O37" s="100">
        <f>I37+(S21)</f>
        <v>3</v>
      </c>
      <c r="P37" s="100">
        <f t="shared" ref="P37:P41" si="21">MROUND((J37*1.05),5)</f>
        <v>0</v>
      </c>
      <c r="Q37" s="100" t="s">
        <v>11</v>
      </c>
      <c r="R37" s="100"/>
      <c r="S37" s="102"/>
      <c r="T37" s="101">
        <f>C37</f>
        <v>0</v>
      </c>
      <c r="U37" s="100">
        <v>2</v>
      </c>
      <c r="V37" s="103">
        <f>MROUND((J37*0.5),5)</f>
        <v>0</v>
      </c>
      <c r="W37" s="69" t="s">
        <v>14</v>
      </c>
    </row>
    <row r="38" spans="2:23" ht="15.75" thickBot="1" x14ac:dyDescent="0.3">
      <c r="B38" s="80" t="s">
        <v>18</v>
      </c>
      <c r="C38" s="84"/>
      <c r="D38" s="76" t="str">
        <f t="array" ref="D38">INDEX(Table_Name52[Name List],MATCH(B38,Table_Name52[Category],0))</f>
        <v>Biceps[Exercise]</v>
      </c>
      <c r="E38" s="65" t="e">
        <f t="array" ref="E38">INDEX(Links73[Link],MATCH(C38,Links73[Exercise],0))</f>
        <v>#N/A</v>
      </c>
      <c r="F38" s="87" t="e">
        <f t="shared" si="18"/>
        <v>#N/A</v>
      </c>
      <c r="G38" s="90"/>
      <c r="H38" s="99">
        <f t="shared" si="19"/>
        <v>0</v>
      </c>
      <c r="I38" s="100">
        <v>3</v>
      </c>
      <c r="J38" s="100">
        <f>MROUND(((G38)),5)</f>
        <v>0</v>
      </c>
      <c r="K38" s="100" t="s">
        <v>11</v>
      </c>
      <c r="L38" s="100"/>
      <c r="M38" s="102"/>
      <c r="N38" s="99">
        <f t="shared" si="20"/>
        <v>0</v>
      </c>
      <c r="O38" s="100">
        <f>I38+(S20)</f>
        <v>3</v>
      </c>
      <c r="P38" s="100">
        <f t="shared" si="21"/>
        <v>0</v>
      </c>
      <c r="Q38" s="100" t="s">
        <v>11</v>
      </c>
      <c r="R38" s="100"/>
      <c r="S38" s="102"/>
      <c r="T38" s="101">
        <f>C38</f>
        <v>0</v>
      </c>
      <c r="U38" s="100">
        <v>2</v>
      </c>
      <c r="V38" s="103">
        <f>MROUND((J38*0.5),5)</f>
        <v>0</v>
      </c>
      <c r="W38" s="69" t="s">
        <v>14</v>
      </c>
    </row>
    <row r="39" spans="2:23" ht="15.75" thickBot="1" x14ac:dyDescent="0.3">
      <c r="B39" s="80" t="s">
        <v>120</v>
      </c>
      <c r="C39" s="84"/>
      <c r="D39" s="76" t="str">
        <f t="array" ref="D39">INDEX(Table_Name52[Name List],MATCH(B39,Table_Name52[Category],0))</f>
        <v>Traps[Exercise]</v>
      </c>
      <c r="E39" s="65" t="e">
        <f t="array" ref="E39">INDEX(Links73[Link],MATCH(C39,Links73[Exercise],0))</f>
        <v>#N/A</v>
      </c>
      <c r="F39" s="87" t="e">
        <f t="shared" si="18"/>
        <v>#N/A</v>
      </c>
      <c r="G39" s="90"/>
      <c r="H39" s="99">
        <f t="shared" si="19"/>
        <v>0</v>
      </c>
      <c r="I39" s="100">
        <v>3</v>
      </c>
      <c r="J39" s="100">
        <f>MROUND(((G39)),5)</f>
        <v>0</v>
      </c>
      <c r="K39" s="100" t="s">
        <v>11</v>
      </c>
      <c r="L39" s="100"/>
      <c r="M39" s="102"/>
      <c r="N39" s="99">
        <f t="shared" si="20"/>
        <v>0</v>
      </c>
      <c r="O39" s="100">
        <f>I39+(S21)</f>
        <v>3</v>
      </c>
      <c r="P39" s="100">
        <f t="shared" si="21"/>
        <v>0</v>
      </c>
      <c r="Q39" s="100" t="s">
        <v>11</v>
      </c>
      <c r="R39" s="100"/>
      <c r="S39" s="102"/>
      <c r="T39" s="101">
        <f>C39</f>
        <v>0</v>
      </c>
      <c r="U39" s="100">
        <v>2</v>
      </c>
      <c r="V39" s="103">
        <f>MROUND((J39*0.5),5)</f>
        <v>0</v>
      </c>
      <c r="W39" s="69" t="s">
        <v>14</v>
      </c>
    </row>
    <row r="40" spans="2:23" ht="15.75" thickBot="1" x14ac:dyDescent="0.3">
      <c r="B40" s="80" t="s">
        <v>341</v>
      </c>
      <c r="C40" s="84"/>
      <c r="D40" s="76" t="str">
        <f t="array" ref="D40">INDEX(Table_Name52[Name List],MATCH(B40,Table_Name52[Category],0))</f>
        <v>Horizontal_Back[Exercise]</v>
      </c>
      <c r="E40" s="65" t="e">
        <f t="array" ref="E40">INDEX(Links73[Link],MATCH(C40,Links73[Exercise],0))</f>
        <v>#N/A</v>
      </c>
      <c r="F40" s="87" t="e">
        <f t="shared" si="18"/>
        <v>#N/A</v>
      </c>
      <c r="G40" s="90"/>
      <c r="H40" s="99">
        <f t="shared" si="19"/>
        <v>0</v>
      </c>
      <c r="I40" s="100">
        <v>2</v>
      </c>
      <c r="J40" s="100">
        <f>MROUND(((G40)),5)</f>
        <v>0</v>
      </c>
      <c r="K40" s="100" t="s">
        <v>11</v>
      </c>
      <c r="L40" s="100"/>
      <c r="M40" s="102"/>
      <c r="N40" s="99">
        <f t="shared" si="20"/>
        <v>0</v>
      </c>
      <c r="O40" s="100">
        <f>I40+(S22)</f>
        <v>2</v>
      </c>
      <c r="P40" s="100">
        <f t="shared" si="21"/>
        <v>0</v>
      </c>
      <c r="Q40" s="100" t="s">
        <v>11</v>
      </c>
      <c r="R40" s="100"/>
      <c r="S40" s="102"/>
      <c r="T40" s="101">
        <f>C40</f>
        <v>0</v>
      </c>
      <c r="U40" s="100">
        <v>2</v>
      </c>
      <c r="V40" s="103">
        <f>MROUND((J40*0.5),5)</f>
        <v>0</v>
      </c>
      <c r="W40" s="69" t="s">
        <v>14</v>
      </c>
    </row>
    <row r="41" spans="2:23" ht="15.75" thickBot="1" x14ac:dyDescent="0.3">
      <c r="B41" s="81" t="s">
        <v>345</v>
      </c>
      <c r="C41" s="85"/>
      <c r="D41" s="77" t="str">
        <f t="array" ref="D41">INDEX(Table_Name52[Name List],MATCH(B41,Table_Name52[Category],0))</f>
        <v>Hamstrings_Hip_Hinge[Exercise]</v>
      </c>
      <c r="E41" s="66" t="e">
        <f t="array" ref="E41">INDEX(Links73[Link],MATCH(C41,Links73[Exercise],0))</f>
        <v>#N/A</v>
      </c>
      <c r="F41" s="88" t="e">
        <f t="shared" si="18"/>
        <v>#N/A</v>
      </c>
      <c r="G41" s="91"/>
      <c r="H41" s="104">
        <f t="shared" si="19"/>
        <v>0</v>
      </c>
      <c r="I41" s="105">
        <v>2</v>
      </c>
      <c r="J41" s="105">
        <f>MROUND(((G41)),5)</f>
        <v>0</v>
      </c>
      <c r="K41" s="105" t="s">
        <v>11</v>
      </c>
      <c r="L41" s="105"/>
      <c r="M41" s="62"/>
      <c r="N41" s="106">
        <f t="shared" si="20"/>
        <v>0</v>
      </c>
      <c r="O41" s="105">
        <f>I41</f>
        <v>2</v>
      </c>
      <c r="P41" s="105">
        <f t="shared" si="21"/>
        <v>0</v>
      </c>
      <c r="Q41" s="105" t="s">
        <v>11</v>
      </c>
      <c r="R41" s="105"/>
      <c r="S41" s="62"/>
      <c r="T41" s="106">
        <f>C41</f>
        <v>0</v>
      </c>
      <c r="U41" s="105">
        <v>2</v>
      </c>
      <c r="V41" s="108">
        <f>MROUND((J41*0.5),5)</f>
        <v>0</v>
      </c>
      <c r="W41" s="62" t="s">
        <v>14</v>
      </c>
    </row>
    <row r="42" spans="2:23" s="45" customFormat="1" x14ac:dyDescent="0.25">
      <c r="B42"/>
      <c r="C42" s="37"/>
      <c r="D42" s="37"/>
      <c r="E42" s="58"/>
      <c r="F42" s="59"/>
      <c r="G42" s="60"/>
      <c r="H42" s="37"/>
      <c r="I42" s="4"/>
      <c r="J42" s="4"/>
      <c r="K42" s="4"/>
      <c r="L42" s="4"/>
      <c r="M42" s="4"/>
      <c r="N42" s="37"/>
      <c r="O42" s="4"/>
      <c r="P42" s="4"/>
      <c r="Q42" s="4"/>
      <c r="R42" s="4"/>
      <c r="S42" s="4"/>
      <c r="T42" s="37"/>
      <c r="U42" s="4"/>
      <c r="V42" s="4"/>
      <c r="W42" s="4"/>
    </row>
    <row r="43" spans="2:23" s="45" customFormat="1" x14ac:dyDescent="0.25">
      <c r="B43" s="19" t="s">
        <v>340</v>
      </c>
      <c r="C43" s="37"/>
      <c r="D43" s="37"/>
      <c r="E43" s="58"/>
      <c r="F43" s="59"/>
      <c r="G43" s="60"/>
      <c r="H43" s="37"/>
      <c r="I43" s="4"/>
      <c r="J43" s="4"/>
      <c r="K43" s="4"/>
      <c r="L43" s="4"/>
      <c r="M43" s="4"/>
      <c r="N43" s="37"/>
      <c r="O43" s="4"/>
      <c r="P43" s="4"/>
      <c r="Q43" s="4"/>
      <c r="R43" s="4"/>
      <c r="S43" s="4"/>
      <c r="T43" s="37"/>
      <c r="U43" s="4"/>
      <c r="V43" s="4"/>
      <c r="W43" s="4"/>
    </row>
    <row r="44" spans="2:23" s="45" customFormat="1" x14ac:dyDescent="0.25">
      <c r="B44" s="57"/>
      <c r="C44" s="37"/>
      <c r="D44" s="37"/>
      <c r="E44" s="58"/>
      <c r="F44" s="59"/>
      <c r="G44" s="60"/>
      <c r="H44" s="37"/>
      <c r="I44" s="4"/>
      <c r="J44" s="4"/>
      <c r="K44" s="4"/>
      <c r="L44" s="4"/>
      <c r="M44" s="4"/>
      <c r="N44" s="37"/>
      <c r="O44" s="4"/>
      <c r="P44" s="4"/>
      <c r="Q44" s="4"/>
      <c r="R44" s="4"/>
      <c r="S44" s="4"/>
      <c r="T44" s="37"/>
      <c r="U44" s="4"/>
      <c r="V44" s="4"/>
      <c r="W44" s="4"/>
    </row>
    <row r="45" spans="2:23" s="45" customFormat="1" x14ac:dyDescent="0.25">
      <c r="B45" s="57"/>
      <c r="C45" s="37"/>
      <c r="D45" s="37"/>
      <c r="E45" s="58"/>
      <c r="F45" s="59"/>
      <c r="G45" s="60"/>
      <c r="H45" s="37"/>
      <c r="I45" s="4"/>
      <c r="J45" s="4"/>
      <c r="K45" s="4"/>
      <c r="L45" s="4"/>
      <c r="M45" s="4"/>
      <c r="N45" s="37"/>
      <c r="O45" s="4"/>
      <c r="P45" s="4"/>
      <c r="Q45" s="4"/>
      <c r="R45" s="4"/>
      <c r="S45" s="4"/>
      <c r="T45" s="37"/>
      <c r="U45" s="4"/>
      <c r="V45" s="4"/>
      <c r="W45" s="4"/>
    </row>
    <row r="46" spans="2:23" s="45" customFormat="1" x14ac:dyDescent="0.25">
      <c r="B46" s="57"/>
      <c r="C46" s="37"/>
      <c r="D46" s="37"/>
      <c r="E46" s="58"/>
      <c r="F46" s="59"/>
      <c r="G46" s="60"/>
      <c r="H46" s="37"/>
      <c r="I46" s="4"/>
      <c r="J46" s="4"/>
      <c r="K46" s="4"/>
      <c r="L46" s="4"/>
      <c r="M46" s="4"/>
      <c r="N46" s="37"/>
      <c r="O46" s="4"/>
      <c r="P46" s="4"/>
      <c r="Q46" s="4"/>
      <c r="R46" s="4"/>
      <c r="S46" s="4"/>
      <c r="T46" s="37"/>
      <c r="U46" s="4"/>
      <c r="V46" s="4"/>
      <c r="W46" s="4"/>
    </row>
    <row r="47" spans="2:23" s="45" customFormat="1" x14ac:dyDescent="0.25">
      <c r="B47" s="57"/>
      <c r="C47" s="37"/>
      <c r="D47" s="37"/>
      <c r="E47" s="58"/>
      <c r="F47" s="59"/>
      <c r="G47" s="60"/>
      <c r="H47" s="37"/>
      <c r="I47" s="4"/>
      <c r="J47" s="4"/>
      <c r="K47" s="4"/>
      <c r="L47" s="4"/>
      <c r="M47" s="4"/>
      <c r="N47" s="37"/>
      <c r="O47" s="4"/>
      <c r="P47" s="4"/>
      <c r="Q47" s="4"/>
      <c r="R47" s="4"/>
      <c r="S47" s="4"/>
      <c r="T47" s="37"/>
      <c r="U47" s="4"/>
      <c r="V47" s="4"/>
      <c r="W47" s="4"/>
    </row>
    <row r="48" spans="2:23" s="45" customFormat="1" x14ac:dyDescent="0.25">
      <c r="B48" s="57"/>
      <c r="C48" s="37"/>
      <c r="D48" s="37"/>
      <c r="E48" s="58"/>
      <c r="F48" s="59"/>
      <c r="G48" s="60"/>
      <c r="H48" s="37"/>
      <c r="I48" s="4"/>
      <c r="J48" s="4"/>
      <c r="K48" s="4"/>
      <c r="L48" s="4"/>
      <c r="M48" s="4"/>
      <c r="N48" s="37"/>
      <c r="O48" s="4"/>
      <c r="P48" s="4"/>
      <c r="Q48" s="4"/>
      <c r="R48" s="4"/>
      <c r="S48" s="4"/>
      <c r="T48" s="37"/>
      <c r="U48" s="4"/>
      <c r="V48" s="4"/>
      <c r="W48" s="4"/>
    </row>
    <row r="49" spans="2:23" s="45" customFormat="1" x14ac:dyDescent="0.25">
      <c r="B49" s="57"/>
      <c r="C49" s="37"/>
      <c r="D49" s="37"/>
      <c r="E49" s="58"/>
      <c r="F49" s="59"/>
      <c r="G49" s="60"/>
      <c r="H49" s="37"/>
      <c r="I49" s="4"/>
      <c r="J49" s="4"/>
      <c r="K49" s="4"/>
      <c r="L49" s="4"/>
      <c r="M49" s="4"/>
      <c r="N49" s="37"/>
      <c r="O49" s="4"/>
      <c r="P49" s="4"/>
      <c r="Q49" s="4"/>
      <c r="R49" s="4"/>
      <c r="S49" s="4"/>
      <c r="T49" s="37"/>
      <c r="U49" s="4"/>
      <c r="V49" s="4"/>
      <c r="W49" s="4"/>
    </row>
    <row r="50" spans="2:23" s="45" customFormat="1" x14ac:dyDescent="0.25">
      <c r="B50" s="57"/>
      <c r="C50" s="37"/>
      <c r="D50" s="37"/>
      <c r="E50" s="58"/>
      <c r="F50" s="59"/>
      <c r="G50" s="60"/>
      <c r="H50" s="37"/>
      <c r="I50" s="4"/>
      <c r="J50" s="4"/>
      <c r="K50" s="4"/>
      <c r="L50" s="4"/>
      <c r="M50" s="4"/>
      <c r="N50" s="37"/>
      <c r="O50" s="4"/>
      <c r="P50" s="4"/>
      <c r="Q50" s="4"/>
      <c r="R50" s="4"/>
      <c r="S50" s="4"/>
      <c r="T50" s="37"/>
      <c r="U50" s="4"/>
      <c r="V50" s="4"/>
      <c r="W50" s="4"/>
    </row>
    <row r="51" spans="2:23" s="45" customFormat="1" x14ac:dyDescent="0.25">
      <c r="B51" s="57"/>
      <c r="C51" s="37"/>
      <c r="D51" s="37"/>
      <c r="E51" s="58"/>
      <c r="F51" s="59"/>
      <c r="G51" s="60"/>
      <c r="H51" s="37"/>
      <c r="I51" s="4"/>
      <c r="J51" s="4"/>
      <c r="K51" s="4"/>
      <c r="L51" s="4"/>
      <c r="M51" s="4"/>
      <c r="N51" s="37"/>
      <c r="O51" s="4"/>
      <c r="P51" s="4"/>
      <c r="Q51" s="4"/>
      <c r="R51" s="4"/>
      <c r="S51" s="4"/>
      <c r="T51" s="37"/>
      <c r="U51" s="4"/>
      <c r="V51" s="4"/>
      <c r="W51" s="4"/>
    </row>
    <row r="52" spans="2:23" s="45" customFormat="1" x14ac:dyDescent="0.25">
      <c r="B52" s="57"/>
      <c r="C52" s="37"/>
      <c r="D52" s="37"/>
      <c r="E52" s="58"/>
      <c r="F52" s="59"/>
      <c r="G52" s="60"/>
      <c r="H52" s="37"/>
      <c r="I52" s="4"/>
      <c r="J52" s="4"/>
      <c r="K52" s="4"/>
      <c r="L52" s="4"/>
      <c r="M52" s="4"/>
      <c r="N52" s="37"/>
      <c r="O52" s="4"/>
      <c r="P52" s="4"/>
      <c r="Q52" s="4"/>
      <c r="R52" s="4"/>
      <c r="S52" s="4"/>
      <c r="T52" s="37"/>
      <c r="U52" s="4"/>
      <c r="V52" s="4"/>
      <c r="W52" s="4"/>
    </row>
    <row r="53" spans="2:23" s="45" customFormat="1" x14ac:dyDescent="0.25">
      <c r="B53" s="57"/>
      <c r="C53" s="37"/>
      <c r="D53" s="37"/>
      <c r="E53" s="58"/>
      <c r="F53" s="59"/>
      <c r="G53" s="60"/>
      <c r="H53" s="37"/>
      <c r="I53" s="4"/>
      <c r="J53" s="4"/>
      <c r="K53" s="4"/>
      <c r="L53" s="4"/>
      <c r="M53" s="4"/>
      <c r="N53" s="37"/>
      <c r="O53" s="4"/>
      <c r="P53" s="4"/>
      <c r="Q53" s="4"/>
      <c r="R53" s="4"/>
      <c r="S53" s="4"/>
      <c r="T53" s="37"/>
      <c r="U53" s="4"/>
      <c r="V53" s="4"/>
      <c r="W53" s="4"/>
    </row>
    <row r="54" spans="2:23" s="45" customFormat="1" x14ac:dyDescent="0.25">
      <c r="B54" s="57"/>
      <c r="C54" s="37"/>
      <c r="D54" s="37"/>
      <c r="E54" s="58"/>
      <c r="F54" s="59"/>
      <c r="G54" s="60"/>
      <c r="H54" s="37"/>
      <c r="I54" s="4"/>
      <c r="J54" s="4"/>
      <c r="K54" s="4"/>
      <c r="L54" s="4"/>
      <c r="M54" s="4"/>
      <c r="N54" s="37"/>
      <c r="O54" s="4"/>
      <c r="P54" s="4"/>
      <c r="Q54" s="4"/>
      <c r="R54" s="4"/>
      <c r="S54" s="4"/>
      <c r="T54" s="37"/>
      <c r="U54" s="4"/>
      <c r="V54" s="4"/>
      <c r="W54" s="4"/>
    </row>
    <row r="55" spans="2:23" s="45" customFormat="1" x14ac:dyDescent="0.25">
      <c r="B55" s="57"/>
      <c r="C55" s="37"/>
      <c r="D55" s="37"/>
      <c r="E55" s="58"/>
      <c r="F55" s="59"/>
      <c r="G55" s="60"/>
      <c r="H55" s="37"/>
      <c r="I55" s="4"/>
      <c r="J55" s="4"/>
      <c r="K55" s="4"/>
      <c r="L55" s="4"/>
      <c r="M55" s="4"/>
      <c r="N55" s="37"/>
      <c r="O55" s="4"/>
      <c r="P55" s="4"/>
      <c r="Q55" s="4"/>
      <c r="R55" s="4"/>
      <c r="S55" s="4"/>
      <c r="T55" s="37"/>
      <c r="U55" s="4"/>
      <c r="V55" s="4"/>
      <c r="W55" s="4"/>
    </row>
    <row r="56" spans="2:23" s="45" customFormat="1" x14ac:dyDescent="0.25">
      <c r="B56" s="57"/>
      <c r="C56" s="37"/>
      <c r="D56" s="37"/>
      <c r="E56" s="58"/>
      <c r="F56" s="59"/>
      <c r="G56" s="60"/>
      <c r="H56" s="37"/>
      <c r="I56" s="4"/>
      <c r="J56" s="4"/>
      <c r="K56" s="4"/>
      <c r="L56" s="4"/>
      <c r="M56" s="4"/>
      <c r="N56" s="37"/>
      <c r="O56" s="4"/>
      <c r="P56" s="4"/>
      <c r="Q56" s="4"/>
      <c r="R56" s="4"/>
      <c r="S56" s="4"/>
      <c r="T56" s="37"/>
      <c r="U56" s="4"/>
      <c r="V56" s="4"/>
      <c r="W56" s="4"/>
    </row>
    <row r="57" spans="2:23" s="45" customFormat="1" x14ac:dyDescent="0.25">
      <c r="B57" s="57"/>
      <c r="C57" s="37"/>
      <c r="D57" s="37"/>
      <c r="E57" s="58"/>
      <c r="F57" s="59"/>
      <c r="G57" s="60"/>
      <c r="H57" s="37"/>
      <c r="I57" s="4"/>
      <c r="J57" s="4"/>
      <c r="K57" s="4"/>
      <c r="L57" s="4"/>
      <c r="M57" s="4"/>
      <c r="N57" s="37"/>
      <c r="O57" s="4"/>
      <c r="P57" s="4"/>
      <c r="Q57" s="4"/>
      <c r="R57" s="4"/>
      <c r="S57" s="4"/>
      <c r="T57" s="37"/>
      <c r="U57" s="4"/>
      <c r="V57" s="4"/>
      <c r="W57" s="4"/>
    </row>
    <row r="58" spans="2:23" s="45" customFormat="1" x14ac:dyDescent="0.25">
      <c r="B58" s="57"/>
      <c r="C58" s="37"/>
      <c r="D58" s="37"/>
      <c r="E58" s="58"/>
      <c r="F58" s="59"/>
      <c r="G58" s="60"/>
      <c r="H58" s="37"/>
      <c r="I58" s="4"/>
      <c r="J58" s="4"/>
      <c r="K58" s="4"/>
      <c r="L58" s="4"/>
      <c r="M58" s="4"/>
      <c r="N58" s="37"/>
      <c r="O58" s="4"/>
      <c r="P58" s="4"/>
      <c r="Q58" s="4"/>
      <c r="R58" s="4"/>
      <c r="S58" s="4"/>
      <c r="T58" s="37"/>
      <c r="U58" s="4"/>
      <c r="V58" s="4"/>
      <c r="W58" s="4"/>
    </row>
    <row r="59" spans="2:23" s="45" customFormat="1" x14ac:dyDescent="0.25">
      <c r="B59" s="57"/>
      <c r="C59" s="37"/>
      <c r="D59" s="37"/>
      <c r="E59" s="58"/>
      <c r="F59" s="59"/>
      <c r="G59" s="60"/>
      <c r="H59" s="37"/>
      <c r="I59" s="4"/>
      <c r="J59" s="4"/>
      <c r="K59" s="4"/>
      <c r="L59" s="4"/>
      <c r="M59" s="4"/>
      <c r="N59" s="37"/>
      <c r="O59" s="4"/>
      <c r="P59" s="4"/>
      <c r="Q59" s="4"/>
      <c r="R59" s="4"/>
      <c r="S59" s="4"/>
      <c r="T59" s="37"/>
      <c r="U59" s="4"/>
      <c r="V59" s="4"/>
      <c r="W59" s="4"/>
    </row>
    <row r="60" spans="2:23" x14ac:dyDescent="0.25">
      <c r="E60" s="45"/>
    </row>
    <row r="61" spans="2:23" hidden="1" x14ac:dyDescent="0.25">
      <c r="C61" t="s">
        <v>21</v>
      </c>
      <c r="E61" s="45"/>
    </row>
    <row r="62" spans="2:23" hidden="1" x14ac:dyDescent="0.25">
      <c r="C62">
        <v>1</v>
      </c>
      <c r="E62" s="45"/>
    </row>
    <row r="63" spans="2:23" hidden="1" x14ac:dyDescent="0.25">
      <c r="C63">
        <v>0</v>
      </c>
      <c r="E63" s="45"/>
    </row>
    <row r="64" spans="2:23" hidden="1" x14ac:dyDescent="0.25">
      <c r="C64">
        <v>-1</v>
      </c>
      <c r="E64" s="45"/>
    </row>
    <row r="65" spans="1:9" hidden="1" x14ac:dyDescent="0.25">
      <c r="E65" s="45"/>
    </row>
    <row r="66" spans="1:9" hidden="1" x14ac:dyDescent="0.25">
      <c r="E66" s="45"/>
    </row>
    <row r="67" spans="1:9" hidden="1" x14ac:dyDescent="0.25">
      <c r="E67" s="45"/>
    </row>
    <row r="68" spans="1:9" hidden="1" x14ac:dyDescent="0.25">
      <c r="E68" s="45"/>
      <c r="F68" s="9"/>
      <c r="G68" s="9"/>
      <c r="H68" s="9"/>
    </row>
    <row r="69" spans="1:9" hidden="1" x14ac:dyDescent="0.25">
      <c r="A69" s="38" t="s">
        <v>77</v>
      </c>
      <c r="B69" s="49" t="s">
        <v>88</v>
      </c>
      <c r="C69" s="53" t="s">
        <v>294</v>
      </c>
      <c r="D69" s="9"/>
      <c r="E69" s="45"/>
      <c r="H69" s="13"/>
    </row>
    <row r="70" spans="1:9" hidden="1" x14ac:dyDescent="0.25">
      <c r="A70" s="13"/>
      <c r="B70" s="54" t="s">
        <v>109</v>
      </c>
      <c r="C70" s="49" t="s">
        <v>178</v>
      </c>
      <c r="D70" s="39"/>
      <c r="E70" s="45"/>
      <c r="H70" s="13"/>
    </row>
    <row r="71" spans="1:9" hidden="1" x14ac:dyDescent="0.25">
      <c r="A71" s="13"/>
      <c r="B71" s="54" t="s">
        <v>79</v>
      </c>
      <c r="C71" s="49" t="s">
        <v>179</v>
      </c>
      <c r="D71" s="39"/>
      <c r="E71" s="45"/>
      <c r="H71" s="13"/>
    </row>
    <row r="72" spans="1:9" hidden="1" x14ac:dyDescent="0.25">
      <c r="A72" s="13"/>
      <c r="B72" s="54" t="s">
        <v>80</v>
      </c>
      <c r="C72" s="49" t="s">
        <v>180</v>
      </c>
      <c r="D72" s="39"/>
      <c r="E72" s="45"/>
      <c r="H72" s="13"/>
    </row>
    <row r="73" spans="1:9" hidden="1" x14ac:dyDescent="0.25">
      <c r="A73" s="13"/>
      <c r="B73" s="54" t="s">
        <v>78</v>
      </c>
      <c r="C73" s="49" t="s">
        <v>181</v>
      </c>
      <c r="D73" s="39"/>
      <c r="E73" s="45"/>
      <c r="H73" s="13"/>
    </row>
    <row r="74" spans="1:9" hidden="1" x14ac:dyDescent="0.25">
      <c r="A74" s="13"/>
      <c r="B74" s="54" t="s">
        <v>110</v>
      </c>
      <c r="C74" s="54" t="s">
        <v>182</v>
      </c>
      <c r="D74" s="41"/>
      <c r="E74" s="45"/>
      <c r="H74" s="13"/>
    </row>
    <row r="75" spans="1:9" hidden="1" x14ac:dyDescent="0.25">
      <c r="A75" s="13"/>
      <c r="B75" s="54" t="s">
        <v>81</v>
      </c>
      <c r="C75" s="49" t="s">
        <v>183</v>
      </c>
      <c r="D75" s="39"/>
      <c r="E75" s="45"/>
      <c r="H75" s="13"/>
    </row>
    <row r="76" spans="1:9" hidden="1" x14ac:dyDescent="0.25">
      <c r="A76" s="13"/>
      <c r="B76" s="54" t="s">
        <v>146</v>
      </c>
      <c r="C76" s="49" t="s">
        <v>184</v>
      </c>
      <c r="D76" s="39"/>
      <c r="E76" s="45"/>
      <c r="H76" s="39"/>
      <c r="I76" s="39"/>
    </row>
    <row r="77" spans="1:9" hidden="1" x14ac:dyDescent="0.25">
      <c r="A77" s="39"/>
      <c r="B77" s="49"/>
      <c r="C77" s="53"/>
      <c r="D77" s="9"/>
      <c r="E77" s="45"/>
    </row>
    <row r="78" spans="1:9" hidden="1" x14ac:dyDescent="0.25">
      <c r="A78" s="38" t="s">
        <v>19</v>
      </c>
      <c r="B78" s="50" t="s">
        <v>88</v>
      </c>
      <c r="C78" s="55" t="s">
        <v>294</v>
      </c>
      <c r="D78" s="44"/>
      <c r="E78" s="45"/>
      <c r="H78" s="38"/>
      <c r="I78" s="39"/>
    </row>
    <row r="79" spans="1:9" hidden="1" x14ac:dyDescent="0.25">
      <c r="A79" s="13"/>
      <c r="B79" s="54" t="s">
        <v>111</v>
      </c>
      <c r="C79" s="49" t="s">
        <v>185</v>
      </c>
      <c r="D79" s="39"/>
      <c r="E79" s="45"/>
      <c r="H79" s="13"/>
    </row>
    <row r="80" spans="1:9" hidden="1" x14ac:dyDescent="0.25">
      <c r="A80" s="13"/>
      <c r="B80" s="54" t="s">
        <v>75</v>
      </c>
      <c r="C80" s="49" t="s">
        <v>186</v>
      </c>
      <c r="D80" s="39"/>
      <c r="E80" s="45"/>
      <c r="H80" s="13"/>
    </row>
    <row r="81" spans="1:9" hidden="1" x14ac:dyDescent="0.25">
      <c r="A81" s="13"/>
      <c r="B81" s="54" t="s">
        <v>74</v>
      </c>
      <c r="C81" s="49" t="s">
        <v>187</v>
      </c>
      <c r="D81" s="39"/>
      <c r="E81" s="45"/>
      <c r="H81" s="13"/>
    </row>
    <row r="82" spans="1:9" hidden="1" x14ac:dyDescent="0.25">
      <c r="A82" s="13"/>
      <c r="B82" s="54" t="s">
        <v>76</v>
      </c>
      <c r="C82" s="49" t="s">
        <v>188</v>
      </c>
      <c r="D82" s="39"/>
      <c r="E82" s="45"/>
      <c r="H82" s="13"/>
    </row>
    <row r="83" spans="1:9" hidden="1" x14ac:dyDescent="0.25">
      <c r="A83" s="39"/>
      <c r="B83" s="49"/>
      <c r="C83" s="53"/>
      <c r="D83" s="9"/>
      <c r="E83" s="45"/>
      <c r="H83" s="39"/>
      <c r="I83" s="39"/>
    </row>
    <row r="84" spans="1:9" hidden="1" x14ac:dyDescent="0.25">
      <c r="A84" s="38" t="s">
        <v>18</v>
      </c>
      <c r="B84" s="50" t="s">
        <v>88</v>
      </c>
      <c r="C84" s="55" t="s">
        <v>294</v>
      </c>
      <c r="D84" s="44"/>
      <c r="E84" s="45"/>
      <c r="H84" s="38"/>
      <c r="I84" s="39"/>
    </row>
    <row r="85" spans="1:9" hidden="1" x14ac:dyDescent="0.25">
      <c r="A85" s="13"/>
      <c r="B85" s="54" t="s">
        <v>61</v>
      </c>
      <c r="C85" s="49" t="s">
        <v>189</v>
      </c>
      <c r="D85" s="39"/>
      <c r="E85" s="45"/>
      <c r="H85" s="13"/>
    </row>
    <row r="86" spans="1:9" hidden="1" x14ac:dyDescent="0.25">
      <c r="A86" s="13"/>
      <c r="B86" s="54" t="s">
        <v>62</v>
      </c>
      <c r="C86" s="49" t="s">
        <v>190</v>
      </c>
      <c r="D86" s="39"/>
      <c r="E86" s="45"/>
      <c r="H86" s="13"/>
    </row>
    <row r="87" spans="1:9" hidden="1" x14ac:dyDescent="0.25">
      <c r="A87" s="13"/>
      <c r="B87" s="54" t="s">
        <v>112</v>
      </c>
      <c r="C87" s="49" t="s">
        <v>191</v>
      </c>
      <c r="D87" s="39"/>
      <c r="E87" s="45"/>
      <c r="H87" s="13"/>
    </row>
    <row r="88" spans="1:9" hidden="1" x14ac:dyDescent="0.25">
      <c r="A88" s="13"/>
      <c r="B88" s="54" t="s">
        <v>63</v>
      </c>
      <c r="C88" s="49" t="s">
        <v>192</v>
      </c>
      <c r="D88" s="39"/>
      <c r="E88" s="45"/>
      <c r="H88" s="13"/>
    </row>
    <row r="89" spans="1:9" hidden="1" x14ac:dyDescent="0.25">
      <c r="A89" s="13"/>
      <c r="B89" s="54" t="s">
        <v>113</v>
      </c>
      <c r="C89" s="49" t="s">
        <v>193</v>
      </c>
      <c r="D89" s="39"/>
      <c r="E89" s="45"/>
      <c r="H89" s="13"/>
    </row>
    <row r="90" spans="1:9" hidden="1" x14ac:dyDescent="0.25">
      <c r="A90" s="13"/>
      <c r="B90" s="54" t="s">
        <v>114</v>
      </c>
      <c r="C90" s="49" t="s">
        <v>194</v>
      </c>
      <c r="D90" s="39"/>
      <c r="E90" s="45"/>
      <c r="H90" s="13"/>
    </row>
    <row r="91" spans="1:9" hidden="1" x14ac:dyDescent="0.25">
      <c r="A91" s="13"/>
      <c r="B91" s="54" t="s">
        <v>147</v>
      </c>
      <c r="C91" s="49" t="s">
        <v>195</v>
      </c>
      <c r="D91" s="39"/>
      <c r="E91" s="45"/>
      <c r="H91" s="13"/>
    </row>
    <row r="92" spans="1:9" hidden="1" x14ac:dyDescent="0.25">
      <c r="A92" s="13"/>
      <c r="B92" s="54" t="s">
        <v>148</v>
      </c>
      <c r="C92" s="49" t="s">
        <v>196</v>
      </c>
      <c r="D92" s="39"/>
      <c r="E92" s="45"/>
      <c r="H92" s="13"/>
    </row>
    <row r="93" spans="1:9" hidden="1" x14ac:dyDescent="0.25">
      <c r="A93" s="13"/>
      <c r="B93" s="54" t="s">
        <v>115</v>
      </c>
      <c r="C93" s="54" t="s">
        <v>197</v>
      </c>
      <c r="D93" s="41"/>
      <c r="E93" s="45"/>
      <c r="H93" s="13"/>
    </row>
    <row r="94" spans="1:9" hidden="1" x14ac:dyDescent="0.25">
      <c r="A94" s="13"/>
      <c r="B94" s="54" t="s">
        <v>116</v>
      </c>
      <c r="C94" s="49" t="s">
        <v>198</v>
      </c>
      <c r="D94" s="39"/>
      <c r="E94" s="45"/>
      <c r="H94" s="13"/>
    </row>
    <row r="95" spans="1:9" hidden="1" x14ac:dyDescent="0.25">
      <c r="A95" s="13"/>
      <c r="B95" s="54" t="s">
        <v>149</v>
      </c>
      <c r="C95" s="49" t="s">
        <v>199</v>
      </c>
      <c r="D95" s="39"/>
      <c r="E95" s="45"/>
      <c r="H95" s="13"/>
    </row>
    <row r="96" spans="1:9" hidden="1" x14ac:dyDescent="0.25">
      <c r="A96" s="39"/>
      <c r="B96" s="49"/>
      <c r="C96" s="51"/>
      <c r="E96" s="45"/>
      <c r="H96" s="39"/>
      <c r="I96" s="39"/>
    </row>
    <row r="97" spans="1:9" hidden="1" x14ac:dyDescent="0.25">
      <c r="A97" s="38" t="s">
        <v>117</v>
      </c>
      <c r="B97" s="50" t="s">
        <v>88</v>
      </c>
      <c r="C97" s="55" t="s">
        <v>294</v>
      </c>
      <c r="D97" s="44"/>
      <c r="E97" s="45"/>
      <c r="H97" s="38"/>
      <c r="I97" s="39"/>
    </row>
    <row r="98" spans="1:9" hidden="1" x14ac:dyDescent="0.25">
      <c r="A98" s="13"/>
      <c r="B98" s="54" t="s">
        <v>51</v>
      </c>
      <c r="C98" s="49" t="s">
        <v>200</v>
      </c>
      <c r="D98" s="39"/>
      <c r="E98" s="45"/>
      <c r="H98" s="13"/>
    </row>
    <row r="99" spans="1:9" hidden="1" x14ac:dyDescent="0.25">
      <c r="A99" s="13"/>
      <c r="B99" s="54" t="s">
        <v>118</v>
      </c>
      <c r="C99" s="49" t="s">
        <v>201</v>
      </c>
      <c r="D99" s="39"/>
      <c r="E99" s="45"/>
      <c r="H99" s="13"/>
    </row>
    <row r="100" spans="1:9" hidden="1" x14ac:dyDescent="0.25">
      <c r="A100" s="13"/>
      <c r="B100" s="54" t="s">
        <v>150</v>
      </c>
      <c r="C100" s="49" t="s">
        <v>202</v>
      </c>
      <c r="D100" s="39"/>
      <c r="E100" s="45"/>
      <c r="H100" s="13"/>
    </row>
    <row r="101" spans="1:9" hidden="1" x14ac:dyDescent="0.25">
      <c r="A101" s="13"/>
      <c r="B101" s="54" t="s">
        <v>50</v>
      </c>
      <c r="C101" s="49" t="s">
        <v>203</v>
      </c>
      <c r="D101" s="39"/>
      <c r="E101" s="45"/>
      <c r="H101" s="13"/>
    </row>
    <row r="102" spans="1:9" hidden="1" x14ac:dyDescent="0.25">
      <c r="A102" s="39"/>
      <c r="B102" s="49"/>
      <c r="C102" s="49"/>
      <c r="D102" s="39"/>
      <c r="E102" s="45"/>
      <c r="H102" s="39"/>
    </row>
    <row r="103" spans="1:9" hidden="1" x14ac:dyDescent="0.25">
      <c r="A103" s="40" t="s">
        <v>105</v>
      </c>
      <c r="B103" s="50" t="s">
        <v>88</v>
      </c>
      <c r="C103" s="55" t="s">
        <v>294</v>
      </c>
      <c r="D103" s="44"/>
      <c r="E103" s="45"/>
      <c r="H103" s="40"/>
    </row>
    <row r="104" spans="1:9" hidden="1" x14ac:dyDescent="0.25">
      <c r="A104" s="13"/>
      <c r="B104" s="54" t="s">
        <v>46</v>
      </c>
      <c r="C104" s="49" t="s">
        <v>204</v>
      </c>
      <c r="D104" s="39"/>
      <c r="E104" s="45"/>
      <c r="H104" s="13"/>
    </row>
    <row r="105" spans="1:9" hidden="1" x14ac:dyDescent="0.25">
      <c r="A105" s="13"/>
      <c r="B105" s="54" t="s">
        <v>47</v>
      </c>
      <c r="C105" s="49" t="s">
        <v>205</v>
      </c>
      <c r="D105" s="39"/>
      <c r="E105" s="45"/>
      <c r="H105" s="13"/>
    </row>
    <row r="106" spans="1:9" hidden="1" x14ac:dyDescent="0.25">
      <c r="A106" s="13"/>
      <c r="B106" s="54" t="s">
        <v>49</v>
      </c>
      <c r="C106" s="49" t="s">
        <v>206</v>
      </c>
      <c r="D106" s="39"/>
      <c r="E106" s="45"/>
      <c r="H106" s="13"/>
    </row>
    <row r="107" spans="1:9" hidden="1" x14ac:dyDescent="0.25">
      <c r="A107" s="13"/>
      <c r="B107" s="54" t="s">
        <v>48</v>
      </c>
      <c r="C107" s="49" t="s">
        <v>207</v>
      </c>
      <c r="D107" s="39"/>
      <c r="E107" s="45"/>
      <c r="H107" s="13"/>
    </row>
    <row r="108" spans="1:9" hidden="1" x14ac:dyDescent="0.25">
      <c r="A108" s="13"/>
      <c r="B108" s="54" t="s">
        <v>119</v>
      </c>
      <c r="C108" s="49" t="s">
        <v>208</v>
      </c>
      <c r="D108" s="39"/>
      <c r="E108" s="45"/>
      <c r="H108" s="13"/>
    </row>
    <row r="109" spans="1:9" hidden="1" x14ac:dyDescent="0.25">
      <c r="A109" s="39"/>
      <c r="B109" s="49"/>
      <c r="C109" s="49"/>
      <c r="D109" s="39"/>
      <c r="E109" s="45"/>
      <c r="H109" s="39"/>
    </row>
    <row r="110" spans="1:9" hidden="1" x14ac:dyDescent="0.25">
      <c r="A110" s="40" t="s">
        <v>120</v>
      </c>
      <c r="B110" s="50" t="s">
        <v>88</v>
      </c>
      <c r="C110" s="55" t="s">
        <v>294</v>
      </c>
      <c r="D110" s="44"/>
      <c r="E110" s="45"/>
      <c r="H110" s="40"/>
    </row>
    <row r="111" spans="1:9" hidden="1" x14ac:dyDescent="0.25">
      <c r="A111" s="13"/>
      <c r="B111" s="54" t="s">
        <v>151</v>
      </c>
      <c r="C111" s="49" t="s">
        <v>209</v>
      </c>
      <c r="D111" s="39"/>
      <c r="E111" s="45"/>
      <c r="H111" s="13"/>
    </row>
    <row r="112" spans="1:9" hidden="1" x14ac:dyDescent="0.25">
      <c r="A112" s="13"/>
      <c r="B112" s="54" t="s">
        <v>121</v>
      </c>
      <c r="C112" s="49" t="s">
        <v>210</v>
      </c>
      <c r="D112" s="39"/>
      <c r="E112" s="45"/>
      <c r="H112" s="13"/>
    </row>
    <row r="113" spans="1:8" hidden="1" x14ac:dyDescent="0.25">
      <c r="A113" s="13"/>
      <c r="B113" s="54" t="s">
        <v>122</v>
      </c>
      <c r="C113" s="49" t="s">
        <v>211</v>
      </c>
      <c r="D113" s="39"/>
      <c r="E113" s="45"/>
      <c r="H113" s="13"/>
    </row>
    <row r="114" spans="1:8" hidden="1" x14ac:dyDescent="0.25">
      <c r="A114" s="13"/>
      <c r="B114" s="54" t="s">
        <v>123</v>
      </c>
      <c r="C114" s="49" t="s">
        <v>212</v>
      </c>
      <c r="D114" s="39"/>
      <c r="E114" s="45"/>
      <c r="H114" s="13"/>
    </row>
    <row r="115" spans="1:8" hidden="1" x14ac:dyDescent="0.25">
      <c r="A115" s="13"/>
      <c r="B115" s="54"/>
      <c r="C115" s="49"/>
      <c r="D115" s="39"/>
      <c r="E115" s="45"/>
      <c r="H115" s="13"/>
    </row>
    <row r="116" spans="1:8" hidden="1" x14ac:dyDescent="0.25">
      <c r="A116" s="40" t="s">
        <v>52</v>
      </c>
      <c r="B116" s="50" t="s">
        <v>88</v>
      </c>
      <c r="C116" s="55" t="s">
        <v>294</v>
      </c>
      <c r="D116" s="44"/>
      <c r="E116" s="45"/>
      <c r="H116" s="40"/>
    </row>
    <row r="117" spans="1:8" hidden="1" x14ac:dyDescent="0.25">
      <c r="A117" s="13"/>
      <c r="B117" s="54" t="s">
        <v>152</v>
      </c>
      <c r="C117" s="49" t="s">
        <v>213</v>
      </c>
      <c r="D117" s="39"/>
      <c r="E117" s="45"/>
      <c r="H117" s="13"/>
    </row>
    <row r="118" spans="1:8" hidden="1" x14ac:dyDescent="0.25">
      <c r="A118" s="13"/>
      <c r="B118" s="54" t="s">
        <v>124</v>
      </c>
      <c r="C118" s="49" t="s">
        <v>214</v>
      </c>
      <c r="D118" s="39"/>
      <c r="E118" s="45"/>
      <c r="H118" s="13"/>
    </row>
    <row r="119" spans="1:8" hidden="1" x14ac:dyDescent="0.25">
      <c r="A119" s="13"/>
      <c r="B119" s="54" t="s">
        <v>56</v>
      </c>
      <c r="C119" s="49" t="s">
        <v>215</v>
      </c>
      <c r="D119" s="39"/>
      <c r="E119" s="45"/>
      <c r="H119" s="13"/>
    </row>
    <row r="120" spans="1:8" hidden="1" x14ac:dyDescent="0.25">
      <c r="A120" s="13"/>
      <c r="B120" s="54" t="s">
        <v>55</v>
      </c>
      <c r="C120" s="49" t="s">
        <v>216</v>
      </c>
      <c r="D120" s="39"/>
      <c r="E120" s="45"/>
      <c r="H120" s="13"/>
    </row>
    <row r="121" spans="1:8" hidden="1" x14ac:dyDescent="0.25">
      <c r="A121" s="13"/>
      <c r="B121" s="54" t="s">
        <v>153</v>
      </c>
      <c r="C121" s="49" t="s">
        <v>217</v>
      </c>
      <c r="D121" s="39"/>
      <c r="E121" s="45"/>
      <c r="H121" s="13"/>
    </row>
    <row r="122" spans="1:8" hidden="1" x14ac:dyDescent="0.25">
      <c r="A122" s="13"/>
      <c r="B122" s="54" t="s">
        <v>53</v>
      </c>
      <c r="C122" s="49" t="s">
        <v>218</v>
      </c>
      <c r="D122" s="39"/>
      <c r="E122" s="45"/>
      <c r="H122" s="13"/>
    </row>
    <row r="123" spans="1:8" hidden="1" x14ac:dyDescent="0.25">
      <c r="A123" s="13"/>
      <c r="B123" s="54" t="s">
        <v>125</v>
      </c>
      <c r="C123" s="49" t="s">
        <v>219</v>
      </c>
      <c r="D123" s="39"/>
      <c r="E123" s="45"/>
      <c r="H123" s="13"/>
    </row>
    <row r="124" spans="1:8" hidden="1" x14ac:dyDescent="0.25">
      <c r="A124" s="13"/>
      <c r="B124" s="54" t="s">
        <v>54</v>
      </c>
      <c r="C124" s="49" t="s">
        <v>220</v>
      </c>
      <c r="D124" s="39"/>
      <c r="E124" s="45"/>
      <c r="H124" s="13"/>
    </row>
    <row r="125" spans="1:8" hidden="1" x14ac:dyDescent="0.25">
      <c r="A125" s="39"/>
      <c r="B125" s="49"/>
      <c r="C125" s="49"/>
      <c r="D125" s="39"/>
      <c r="E125" s="45"/>
      <c r="H125" s="39"/>
    </row>
    <row r="126" spans="1:8" hidden="1" x14ac:dyDescent="0.25">
      <c r="A126" s="40" t="s">
        <v>57</v>
      </c>
      <c r="B126" s="50" t="s">
        <v>88</v>
      </c>
      <c r="C126" s="55" t="s">
        <v>294</v>
      </c>
      <c r="D126" s="44"/>
      <c r="E126" s="45"/>
      <c r="H126" s="40"/>
    </row>
    <row r="127" spans="1:8" hidden="1" x14ac:dyDescent="0.25">
      <c r="A127" s="13"/>
      <c r="B127" s="54" t="s">
        <v>59</v>
      </c>
      <c r="C127" s="49" t="s">
        <v>221</v>
      </c>
      <c r="D127" s="39"/>
      <c r="E127" s="45"/>
      <c r="H127" s="13"/>
    </row>
    <row r="128" spans="1:8" hidden="1" x14ac:dyDescent="0.25">
      <c r="A128" s="13"/>
      <c r="B128" s="54" t="s">
        <v>58</v>
      </c>
      <c r="C128" s="49" t="s">
        <v>222</v>
      </c>
      <c r="D128" s="39"/>
      <c r="E128" s="45"/>
      <c r="H128" s="13"/>
    </row>
    <row r="129" spans="1:8" hidden="1" x14ac:dyDescent="0.25">
      <c r="A129" s="13"/>
      <c r="B129" s="54" t="s">
        <v>154</v>
      </c>
      <c r="C129" s="49" t="s">
        <v>223</v>
      </c>
      <c r="D129" s="39"/>
      <c r="E129" s="45"/>
      <c r="H129" s="13"/>
    </row>
    <row r="130" spans="1:8" hidden="1" x14ac:dyDescent="0.25">
      <c r="A130" s="13"/>
      <c r="B130" s="54" t="s">
        <v>155</v>
      </c>
      <c r="C130" s="49" t="s">
        <v>224</v>
      </c>
      <c r="D130" s="39"/>
      <c r="E130" s="45"/>
      <c r="H130" s="13"/>
    </row>
    <row r="131" spans="1:8" hidden="1" x14ac:dyDescent="0.25">
      <c r="A131" s="13"/>
      <c r="B131" s="54" t="s">
        <v>60</v>
      </c>
      <c r="C131" s="49" t="s">
        <v>225</v>
      </c>
      <c r="D131" s="39"/>
      <c r="E131" s="45"/>
      <c r="H131" s="13"/>
    </row>
    <row r="132" spans="1:8" hidden="1" x14ac:dyDescent="0.25">
      <c r="A132" s="39"/>
      <c r="B132" s="49"/>
      <c r="C132" s="49"/>
      <c r="D132" s="39"/>
      <c r="E132" s="45"/>
      <c r="H132" s="39"/>
    </row>
    <row r="133" spans="1:8" hidden="1" x14ac:dyDescent="0.25">
      <c r="A133" s="38" t="s">
        <v>126</v>
      </c>
      <c r="B133" s="50" t="s">
        <v>88</v>
      </c>
      <c r="C133" s="55" t="s">
        <v>294</v>
      </c>
      <c r="D133" s="44"/>
      <c r="E133" s="45"/>
      <c r="H133" s="38"/>
    </row>
    <row r="134" spans="1:8" hidden="1" x14ac:dyDescent="0.25">
      <c r="A134" s="13"/>
      <c r="B134" s="54" t="s">
        <v>156</v>
      </c>
      <c r="C134" s="49" t="s">
        <v>226</v>
      </c>
      <c r="D134" s="39"/>
      <c r="E134" s="45"/>
      <c r="H134" s="13"/>
    </row>
    <row r="135" spans="1:8" hidden="1" x14ac:dyDescent="0.25">
      <c r="A135" s="13"/>
      <c r="B135" s="54" t="s">
        <v>157</v>
      </c>
      <c r="C135" s="49" t="s">
        <v>227</v>
      </c>
      <c r="D135" s="39"/>
      <c r="E135" s="45"/>
      <c r="H135" s="13"/>
    </row>
    <row r="136" spans="1:8" hidden="1" x14ac:dyDescent="0.25">
      <c r="A136" s="13"/>
      <c r="B136" s="54" t="s">
        <v>158</v>
      </c>
      <c r="C136" s="49" t="s">
        <v>228</v>
      </c>
      <c r="D136" s="39"/>
      <c r="E136" s="45"/>
      <c r="H136" s="13"/>
    </row>
    <row r="137" spans="1:8" hidden="1" x14ac:dyDescent="0.25">
      <c r="A137" s="13"/>
      <c r="B137" s="54" t="s">
        <v>42</v>
      </c>
      <c r="C137" s="49" t="s">
        <v>229</v>
      </c>
      <c r="D137" s="39"/>
      <c r="E137" s="45"/>
      <c r="H137" s="13"/>
    </row>
    <row r="138" spans="1:8" hidden="1" x14ac:dyDescent="0.25">
      <c r="A138" s="13"/>
      <c r="B138" s="54" t="s">
        <v>127</v>
      </c>
      <c r="C138" s="49" t="s">
        <v>230</v>
      </c>
      <c r="D138" s="39"/>
      <c r="E138" s="45"/>
      <c r="H138" s="13"/>
    </row>
    <row r="139" spans="1:8" hidden="1" x14ac:dyDescent="0.25">
      <c r="A139" s="13"/>
      <c r="B139" s="54" t="s">
        <v>128</v>
      </c>
      <c r="C139" s="49" t="s">
        <v>231</v>
      </c>
      <c r="D139" s="39"/>
      <c r="E139" s="45"/>
      <c r="H139" s="13"/>
    </row>
    <row r="140" spans="1:8" hidden="1" x14ac:dyDescent="0.25">
      <c r="A140" s="13"/>
      <c r="B140" s="54" t="s">
        <v>41</v>
      </c>
      <c r="C140" s="49" t="s">
        <v>232</v>
      </c>
      <c r="D140" s="39"/>
      <c r="E140" s="45"/>
      <c r="H140" s="13"/>
    </row>
    <row r="141" spans="1:8" hidden="1" x14ac:dyDescent="0.25">
      <c r="A141" s="13"/>
      <c r="B141" s="54" t="s">
        <v>129</v>
      </c>
      <c r="C141" s="49" t="s">
        <v>233</v>
      </c>
      <c r="D141" s="39"/>
      <c r="E141" s="45"/>
      <c r="H141" s="13"/>
    </row>
    <row r="142" spans="1:8" hidden="1" x14ac:dyDescent="0.25">
      <c r="A142" s="39"/>
      <c r="B142" s="49"/>
      <c r="C142" s="49"/>
      <c r="D142" s="39"/>
      <c r="E142" s="45"/>
      <c r="H142" s="39"/>
    </row>
    <row r="143" spans="1:8" hidden="1" x14ac:dyDescent="0.25">
      <c r="A143" s="40" t="s">
        <v>130</v>
      </c>
      <c r="B143" s="50" t="s">
        <v>88</v>
      </c>
      <c r="C143" s="55" t="s">
        <v>294</v>
      </c>
      <c r="D143" s="44"/>
      <c r="E143" s="45"/>
      <c r="H143" s="40"/>
    </row>
    <row r="144" spans="1:8" hidden="1" x14ac:dyDescent="0.25">
      <c r="A144" s="13"/>
      <c r="B144" s="54" t="s">
        <v>131</v>
      </c>
      <c r="C144" s="49" t="s">
        <v>234</v>
      </c>
      <c r="D144" s="39"/>
      <c r="E144" s="45"/>
      <c r="H144" s="13"/>
    </row>
    <row r="145" spans="1:8" hidden="1" x14ac:dyDescent="0.25">
      <c r="A145" s="13"/>
      <c r="B145" s="54" t="s">
        <v>159</v>
      </c>
      <c r="C145" s="49" t="s">
        <v>235</v>
      </c>
      <c r="D145" s="39"/>
      <c r="E145" s="45"/>
      <c r="H145" s="13"/>
    </row>
    <row r="146" spans="1:8" hidden="1" x14ac:dyDescent="0.25">
      <c r="A146" s="13"/>
      <c r="B146" s="54" t="s">
        <v>160</v>
      </c>
      <c r="C146" s="49" t="s">
        <v>236</v>
      </c>
      <c r="D146" s="39"/>
      <c r="E146" s="45"/>
      <c r="H146" s="13"/>
    </row>
    <row r="147" spans="1:8" hidden="1" x14ac:dyDescent="0.25">
      <c r="A147" s="13"/>
      <c r="B147" s="54" t="s">
        <v>161</v>
      </c>
      <c r="C147" s="49" t="s">
        <v>237</v>
      </c>
      <c r="D147" s="39"/>
      <c r="E147" s="45"/>
      <c r="H147" s="13"/>
    </row>
    <row r="148" spans="1:8" hidden="1" x14ac:dyDescent="0.25">
      <c r="A148" s="13"/>
      <c r="B148" s="54" t="s">
        <v>162</v>
      </c>
      <c r="C148" s="49" t="s">
        <v>238</v>
      </c>
      <c r="D148" s="39"/>
      <c r="E148" s="45"/>
      <c r="H148" s="13"/>
    </row>
    <row r="149" spans="1:8" hidden="1" x14ac:dyDescent="0.25">
      <c r="A149" s="13"/>
      <c r="B149" s="54" t="s">
        <v>163</v>
      </c>
      <c r="C149" s="54" t="s">
        <v>239</v>
      </c>
      <c r="D149" s="41"/>
      <c r="E149" s="45"/>
      <c r="H149" s="13"/>
    </row>
    <row r="150" spans="1:8" hidden="1" x14ac:dyDescent="0.25">
      <c r="A150" s="13"/>
      <c r="B150" s="54" t="s">
        <v>164</v>
      </c>
      <c r="C150" s="54" t="s">
        <v>240</v>
      </c>
      <c r="D150" s="41"/>
      <c r="E150" s="45"/>
      <c r="H150" s="13"/>
    </row>
    <row r="151" spans="1:8" hidden="1" x14ac:dyDescent="0.25">
      <c r="A151" s="13"/>
      <c r="B151" s="54" t="s">
        <v>43</v>
      </c>
      <c r="C151" s="49" t="s">
        <v>241</v>
      </c>
      <c r="D151" s="39"/>
      <c r="E151" s="45"/>
      <c r="H151" s="13"/>
    </row>
    <row r="152" spans="1:8" hidden="1" x14ac:dyDescent="0.25">
      <c r="A152" s="13"/>
      <c r="B152" s="54" t="s">
        <v>165</v>
      </c>
      <c r="C152" s="54" t="s">
        <v>242</v>
      </c>
      <c r="D152" s="41"/>
      <c r="E152" s="45"/>
      <c r="H152" s="13"/>
    </row>
    <row r="153" spans="1:8" hidden="1" x14ac:dyDescent="0.25">
      <c r="A153" s="13"/>
      <c r="B153" s="54" t="s">
        <v>166</v>
      </c>
      <c r="C153" s="54" t="s">
        <v>243</v>
      </c>
      <c r="D153" s="41"/>
      <c r="E153" s="45"/>
      <c r="H153" s="13"/>
    </row>
    <row r="154" spans="1:8" hidden="1" x14ac:dyDescent="0.25">
      <c r="A154" s="13"/>
      <c r="B154" s="54" t="s">
        <v>44</v>
      </c>
      <c r="C154" s="49" t="s">
        <v>244</v>
      </c>
      <c r="D154" s="39"/>
      <c r="E154" s="45"/>
      <c r="H154" s="13"/>
    </row>
    <row r="155" spans="1:8" hidden="1" x14ac:dyDescent="0.25">
      <c r="A155" s="13"/>
      <c r="B155" s="54" t="s">
        <v>45</v>
      </c>
      <c r="C155" s="54" t="s">
        <v>245</v>
      </c>
      <c r="D155" s="41"/>
      <c r="E155" s="45"/>
      <c r="H155" s="13"/>
    </row>
    <row r="156" spans="1:8" hidden="1" x14ac:dyDescent="0.25">
      <c r="A156" s="39"/>
      <c r="B156" s="49"/>
      <c r="C156" s="49"/>
      <c r="D156" s="39"/>
      <c r="E156" s="45"/>
      <c r="H156" s="39"/>
    </row>
    <row r="157" spans="1:8" hidden="1" x14ac:dyDescent="0.25">
      <c r="A157" s="38" t="s">
        <v>20</v>
      </c>
      <c r="B157" s="50" t="s">
        <v>88</v>
      </c>
      <c r="C157" s="55" t="s">
        <v>294</v>
      </c>
      <c r="D157" s="44"/>
      <c r="E157" s="45"/>
      <c r="H157" s="38"/>
    </row>
    <row r="158" spans="1:8" hidden="1" x14ac:dyDescent="0.25">
      <c r="A158" s="13"/>
      <c r="B158" s="54" t="s">
        <v>64</v>
      </c>
      <c r="C158" s="49" t="s">
        <v>246</v>
      </c>
      <c r="D158" s="39"/>
      <c r="E158" s="45"/>
      <c r="H158" s="13"/>
    </row>
    <row r="159" spans="1:8" hidden="1" x14ac:dyDescent="0.25">
      <c r="A159" s="13"/>
      <c r="B159" s="54" t="s">
        <v>167</v>
      </c>
      <c r="C159" s="49" t="s">
        <v>247</v>
      </c>
      <c r="D159" s="39"/>
      <c r="E159" s="45"/>
      <c r="H159" s="13"/>
    </row>
    <row r="160" spans="1:8" hidden="1" x14ac:dyDescent="0.25">
      <c r="A160" s="13"/>
      <c r="B160" s="54" t="s">
        <v>168</v>
      </c>
      <c r="C160" s="49" t="s">
        <v>248</v>
      </c>
      <c r="D160" s="39"/>
      <c r="E160" s="45"/>
      <c r="H160" s="13"/>
    </row>
    <row r="161" spans="1:8" hidden="1" x14ac:dyDescent="0.25">
      <c r="A161" s="13"/>
      <c r="B161" s="54" t="s">
        <v>65</v>
      </c>
      <c r="C161" s="49" t="s">
        <v>249</v>
      </c>
      <c r="D161" s="39"/>
      <c r="E161" s="45"/>
      <c r="H161" s="13"/>
    </row>
    <row r="162" spans="1:8" hidden="1" x14ac:dyDescent="0.25">
      <c r="A162" s="13"/>
      <c r="B162" s="54" t="s">
        <v>132</v>
      </c>
      <c r="C162" s="49" t="s">
        <v>250</v>
      </c>
      <c r="D162" s="39"/>
      <c r="E162" s="45"/>
      <c r="H162" s="13"/>
    </row>
    <row r="163" spans="1:8" hidden="1" x14ac:dyDescent="0.25">
      <c r="A163" s="13"/>
      <c r="B163" s="54" t="s">
        <v>68</v>
      </c>
      <c r="C163" s="49" t="s">
        <v>251</v>
      </c>
      <c r="D163" s="39"/>
      <c r="E163" s="45"/>
      <c r="H163" s="13"/>
    </row>
    <row r="164" spans="1:8" hidden="1" x14ac:dyDescent="0.25">
      <c r="A164" s="13"/>
      <c r="B164" s="54" t="s">
        <v>169</v>
      </c>
      <c r="C164" s="49" t="s">
        <v>252</v>
      </c>
      <c r="D164" s="39"/>
      <c r="E164" s="45"/>
      <c r="H164" s="13"/>
    </row>
    <row r="165" spans="1:8" hidden="1" x14ac:dyDescent="0.25">
      <c r="A165" s="13"/>
      <c r="B165" s="54"/>
      <c r="C165" s="49"/>
      <c r="D165" s="39"/>
      <c r="E165" s="45"/>
      <c r="H165" s="13"/>
    </row>
    <row r="166" spans="1:8" hidden="1" x14ac:dyDescent="0.25">
      <c r="A166" s="40" t="s">
        <v>108</v>
      </c>
      <c r="B166" s="50" t="s">
        <v>88</v>
      </c>
      <c r="C166" s="55" t="s">
        <v>294</v>
      </c>
      <c r="D166" s="44"/>
      <c r="E166" s="45"/>
      <c r="H166" s="40"/>
    </row>
    <row r="167" spans="1:8" hidden="1" x14ac:dyDescent="0.25">
      <c r="A167" s="13"/>
      <c r="B167" s="54" t="s">
        <v>66</v>
      </c>
      <c r="C167" s="49" t="s">
        <v>253</v>
      </c>
      <c r="D167" s="39"/>
      <c r="E167" s="45"/>
      <c r="H167" s="13"/>
    </row>
    <row r="168" spans="1:8" hidden="1" x14ac:dyDescent="0.25">
      <c r="A168" s="13"/>
      <c r="B168" s="54" t="s">
        <v>67</v>
      </c>
      <c r="C168" s="49" t="s">
        <v>254</v>
      </c>
      <c r="D168" s="39"/>
      <c r="E168" s="45"/>
      <c r="H168" s="13"/>
    </row>
    <row r="169" spans="1:8" hidden="1" x14ac:dyDescent="0.25">
      <c r="A169" s="13"/>
      <c r="B169" s="54" t="s">
        <v>133</v>
      </c>
      <c r="C169" s="49" t="s">
        <v>255</v>
      </c>
      <c r="D169" s="39"/>
      <c r="E169" s="45"/>
      <c r="H169" s="13"/>
    </row>
    <row r="170" spans="1:8" hidden="1" x14ac:dyDescent="0.25">
      <c r="A170" s="13"/>
      <c r="B170" s="54" t="s">
        <v>170</v>
      </c>
      <c r="C170" s="49" t="s">
        <v>256</v>
      </c>
      <c r="D170" s="39"/>
      <c r="E170" s="45"/>
      <c r="H170" s="13"/>
    </row>
    <row r="171" spans="1:8" hidden="1" x14ac:dyDescent="0.25">
      <c r="A171" s="13"/>
      <c r="B171" s="54" t="s">
        <v>70</v>
      </c>
      <c r="C171" s="49" t="s">
        <v>257</v>
      </c>
      <c r="D171" s="39"/>
      <c r="E171" s="45"/>
      <c r="H171" s="13"/>
    </row>
    <row r="172" spans="1:8" hidden="1" x14ac:dyDescent="0.25">
      <c r="A172" s="13"/>
      <c r="B172" s="54" t="s">
        <v>69</v>
      </c>
      <c r="C172" s="49" t="s">
        <v>258</v>
      </c>
      <c r="D172" s="39"/>
      <c r="E172" s="45"/>
      <c r="H172" s="13"/>
    </row>
    <row r="173" spans="1:8" hidden="1" x14ac:dyDescent="0.25">
      <c r="A173" s="13"/>
      <c r="B173" s="54" t="s">
        <v>134</v>
      </c>
      <c r="C173" s="49" t="s">
        <v>259</v>
      </c>
      <c r="D173" s="39"/>
      <c r="E173" s="45"/>
      <c r="H173" s="13"/>
    </row>
    <row r="174" spans="1:8" hidden="1" x14ac:dyDescent="0.25">
      <c r="A174" s="13"/>
      <c r="B174" s="54" t="s">
        <v>171</v>
      </c>
      <c r="C174" s="49" t="s">
        <v>260</v>
      </c>
      <c r="D174" s="39"/>
      <c r="E174" s="45"/>
      <c r="H174" s="13"/>
    </row>
    <row r="175" spans="1:8" hidden="1" x14ac:dyDescent="0.25">
      <c r="A175" s="39"/>
      <c r="B175" s="49"/>
      <c r="C175" s="49"/>
      <c r="D175" s="39"/>
      <c r="E175" s="45"/>
      <c r="H175" s="39"/>
    </row>
    <row r="176" spans="1:8" hidden="1" x14ac:dyDescent="0.25">
      <c r="A176" s="40" t="s">
        <v>107</v>
      </c>
      <c r="B176" s="50" t="s">
        <v>88</v>
      </c>
      <c r="C176" s="55" t="s">
        <v>294</v>
      </c>
      <c r="D176" s="44"/>
      <c r="E176" s="45"/>
      <c r="H176" s="40"/>
    </row>
    <row r="177" spans="1:8" hidden="1" x14ac:dyDescent="0.25">
      <c r="A177" s="13"/>
      <c r="B177" s="54" t="s">
        <v>135</v>
      </c>
      <c r="C177" s="49" t="s">
        <v>261</v>
      </c>
      <c r="D177" s="39"/>
      <c r="E177" s="45"/>
      <c r="H177" s="13"/>
    </row>
    <row r="178" spans="1:8" hidden="1" x14ac:dyDescent="0.25">
      <c r="A178" s="13"/>
      <c r="B178" s="54" t="s">
        <v>71</v>
      </c>
      <c r="C178" s="49" t="s">
        <v>262</v>
      </c>
      <c r="D178" s="39"/>
      <c r="E178" s="45"/>
      <c r="H178" s="13"/>
    </row>
    <row r="179" spans="1:8" hidden="1" x14ac:dyDescent="0.25">
      <c r="A179" s="13"/>
      <c r="B179" s="54" t="s">
        <v>72</v>
      </c>
      <c r="C179" s="49" t="s">
        <v>263</v>
      </c>
      <c r="D179" s="39"/>
      <c r="E179" s="45"/>
      <c r="H179" s="13"/>
    </row>
    <row r="180" spans="1:8" hidden="1" x14ac:dyDescent="0.25">
      <c r="A180" s="13"/>
      <c r="B180" s="54" t="s">
        <v>136</v>
      </c>
      <c r="C180" s="49" t="s">
        <v>264</v>
      </c>
      <c r="D180" s="39"/>
      <c r="E180" s="45"/>
      <c r="H180" s="13"/>
    </row>
    <row r="181" spans="1:8" hidden="1" x14ac:dyDescent="0.25">
      <c r="A181" s="13"/>
      <c r="B181" s="49"/>
      <c r="C181" s="49"/>
      <c r="D181" s="39"/>
      <c r="E181" s="45"/>
      <c r="H181" s="13"/>
    </row>
    <row r="182" spans="1:8" hidden="1" x14ac:dyDescent="0.25">
      <c r="A182" s="40" t="s">
        <v>106</v>
      </c>
      <c r="B182" s="50" t="s">
        <v>88</v>
      </c>
      <c r="C182" s="55" t="s">
        <v>294</v>
      </c>
      <c r="D182" s="44"/>
      <c r="E182" s="45"/>
      <c r="H182" s="40"/>
    </row>
    <row r="183" spans="1:8" hidden="1" x14ac:dyDescent="0.25">
      <c r="A183" s="13"/>
      <c r="B183" s="54" t="s">
        <v>172</v>
      </c>
      <c r="C183" s="49" t="s">
        <v>265</v>
      </c>
      <c r="D183" s="39"/>
      <c r="E183" s="45"/>
      <c r="H183" s="13"/>
    </row>
    <row r="184" spans="1:8" hidden="1" x14ac:dyDescent="0.25">
      <c r="A184" s="13"/>
      <c r="B184" s="54" t="s">
        <v>73</v>
      </c>
      <c r="C184" s="49" t="s">
        <v>266</v>
      </c>
      <c r="D184" s="39"/>
      <c r="E184" s="45"/>
      <c r="H184" s="13"/>
    </row>
    <row r="185" spans="1:8" hidden="1" x14ac:dyDescent="0.25">
      <c r="A185" s="13"/>
      <c r="B185" s="54" t="s">
        <v>137</v>
      </c>
      <c r="C185" s="49" t="s">
        <v>267</v>
      </c>
      <c r="D185" s="39"/>
      <c r="E185" s="45"/>
      <c r="H185" s="13"/>
    </row>
    <row r="186" spans="1:8" hidden="1" x14ac:dyDescent="0.25">
      <c r="A186" s="39"/>
      <c r="B186" s="49"/>
      <c r="C186" s="49"/>
      <c r="D186" s="39"/>
      <c r="E186" s="45"/>
      <c r="H186" s="39"/>
    </row>
    <row r="187" spans="1:8" hidden="1" x14ac:dyDescent="0.25">
      <c r="A187" s="40" t="s">
        <v>37</v>
      </c>
      <c r="B187" s="50" t="s">
        <v>88</v>
      </c>
      <c r="C187" s="55" t="s">
        <v>294</v>
      </c>
      <c r="D187" s="44"/>
      <c r="E187" s="45"/>
      <c r="H187" s="40"/>
    </row>
    <row r="188" spans="1:8" hidden="1" x14ac:dyDescent="0.25">
      <c r="A188" s="13"/>
      <c r="B188" s="54" t="s">
        <v>138</v>
      </c>
      <c r="C188" s="49" t="s">
        <v>268</v>
      </c>
      <c r="D188" s="39"/>
      <c r="E188" s="45"/>
      <c r="H188" s="13"/>
    </row>
    <row r="189" spans="1:8" hidden="1" x14ac:dyDescent="0.25">
      <c r="A189" s="13"/>
      <c r="B189" s="54" t="s">
        <v>38</v>
      </c>
      <c r="C189" s="49" t="s">
        <v>269</v>
      </c>
      <c r="D189" s="39"/>
      <c r="E189" s="45"/>
      <c r="H189" s="13"/>
    </row>
    <row r="190" spans="1:8" hidden="1" x14ac:dyDescent="0.25">
      <c r="A190" s="13"/>
      <c r="B190" s="54" t="s">
        <v>39</v>
      </c>
      <c r="C190" s="49" t="s">
        <v>270</v>
      </c>
      <c r="D190" s="39"/>
      <c r="E190" s="45"/>
      <c r="H190" s="13"/>
    </row>
    <row r="191" spans="1:8" hidden="1" x14ac:dyDescent="0.25">
      <c r="A191" s="13"/>
      <c r="B191" s="54" t="s">
        <v>139</v>
      </c>
      <c r="C191" s="49" t="s">
        <v>271</v>
      </c>
      <c r="D191" s="39"/>
      <c r="E191" s="45"/>
      <c r="H191" s="13"/>
    </row>
    <row r="192" spans="1:8" hidden="1" x14ac:dyDescent="0.25">
      <c r="A192" s="13"/>
      <c r="B192" s="54" t="s">
        <v>40</v>
      </c>
      <c r="C192" s="49" t="s">
        <v>272</v>
      </c>
      <c r="D192" s="39"/>
      <c r="E192" s="45"/>
      <c r="H192" s="13"/>
    </row>
    <row r="193" spans="1:8" hidden="1" x14ac:dyDescent="0.25">
      <c r="A193" s="13"/>
      <c r="B193" s="54" t="s">
        <v>140</v>
      </c>
      <c r="C193" s="49" t="s">
        <v>273</v>
      </c>
      <c r="D193" s="39"/>
      <c r="E193" s="45"/>
      <c r="H193" s="13"/>
    </row>
    <row r="194" spans="1:8" hidden="1" x14ac:dyDescent="0.25">
      <c r="A194" s="13"/>
      <c r="B194" s="54" t="s">
        <v>141</v>
      </c>
      <c r="C194" s="49" t="s">
        <v>274</v>
      </c>
      <c r="D194" s="39"/>
      <c r="E194" s="45"/>
      <c r="H194" s="13"/>
    </row>
    <row r="195" spans="1:8" hidden="1" x14ac:dyDescent="0.25">
      <c r="A195" s="39"/>
      <c r="B195" s="49"/>
      <c r="C195" s="49"/>
      <c r="D195" s="39"/>
      <c r="E195" s="45"/>
      <c r="H195" s="39"/>
    </row>
    <row r="196" spans="1:8" hidden="1" x14ac:dyDescent="0.25">
      <c r="A196" s="40" t="s">
        <v>22</v>
      </c>
      <c r="B196" s="50" t="s">
        <v>88</v>
      </c>
      <c r="C196" s="55" t="s">
        <v>294</v>
      </c>
      <c r="D196" s="44"/>
      <c r="E196" s="45"/>
      <c r="H196" s="40"/>
    </row>
    <row r="197" spans="1:8" hidden="1" x14ac:dyDescent="0.25">
      <c r="A197" s="13"/>
      <c r="B197" s="54" t="s">
        <v>23</v>
      </c>
      <c r="C197" s="49" t="s">
        <v>275</v>
      </c>
      <c r="D197" s="39"/>
      <c r="E197" s="45"/>
      <c r="H197" s="13"/>
    </row>
    <row r="198" spans="1:8" hidden="1" x14ac:dyDescent="0.25">
      <c r="A198" s="13"/>
      <c r="B198" s="54" t="s">
        <v>25</v>
      </c>
      <c r="C198" s="49" t="s">
        <v>276</v>
      </c>
      <c r="D198" s="39"/>
      <c r="E198" s="45"/>
      <c r="H198" s="13"/>
    </row>
    <row r="199" spans="1:8" hidden="1" x14ac:dyDescent="0.25">
      <c r="A199" s="13"/>
      <c r="B199" s="54" t="s">
        <v>142</v>
      </c>
      <c r="C199" s="49" t="s">
        <v>277</v>
      </c>
      <c r="D199" s="39"/>
      <c r="E199" s="45"/>
      <c r="H199" s="13"/>
    </row>
    <row r="200" spans="1:8" hidden="1" x14ac:dyDescent="0.25">
      <c r="A200" s="13"/>
      <c r="B200" s="54" t="s">
        <v>24</v>
      </c>
      <c r="C200" s="49" t="s">
        <v>278</v>
      </c>
      <c r="D200" s="39"/>
      <c r="E200" s="45"/>
      <c r="H200" s="13"/>
    </row>
    <row r="201" spans="1:8" hidden="1" x14ac:dyDescent="0.25">
      <c r="A201" s="13"/>
      <c r="B201" s="56" t="s">
        <v>173</v>
      </c>
      <c r="C201" s="52" t="s">
        <v>279</v>
      </c>
      <c r="D201" s="13"/>
      <c r="E201" s="45"/>
      <c r="H201" s="13"/>
    </row>
    <row r="202" spans="1:8" hidden="1" x14ac:dyDescent="0.25">
      <c r="A202" s="13"/>
      <c r="B202" s="54" t="s">
        <v>26</v>
      </c>
      <c r="C202" s="49" t="s">
        <v>280</v>
      </c>
      <c r="D202" s="39"/>
      <c r="E202" s="45"/>
      <c r="H202" s="13"/>
    </row>
    <row r="203" spans="1:8" hidden="1" x14ac:dyDescent="0.25">
      <c r="A203" s="13"/>
      <c r="B203" s="54" t="s">
        <v>27</v>
      </c>
      <c r="C203" s="49" t="s">
        <v>281</v>
      </c>
      <c r="D203" s="39"/>
      <c r="E203" s="45"/>
      <c r="H203" s="13"/>
    </row>
    <row r="204" spans="1:8" hidden="1" x14ac:dyDescent="0.25">
      <c r="A204" s="39"/>
      <c r="B204" s="49"/>
      <c r="C204" s="49"/>
      <c r="D204" s="39"/>
      <c r="E204" s="45"/>
      <c r="H204" s="39"/>
    </row>
    <row r="205" spans="1:8" hidden="1" x14ac:dyDescent="0.25">
      <c r="A205" s="40" t="s">
        <v>143</v>
      </c>
      <c r="B205" s="50" t="s">
        <v>88</v>
      </c>
      <c r="C205" s="55" t="s">
        <v>294</v>
      </c>
      <c r="D205" s="44"/>
      <c r="E205" s="45"/>
      <c r="H205" s="40"/>
    </row>
    <row r="206" spans="1:8" hidden="1" x14ac:dyDescent="0.25">
      <c r="A206" s="13"/>
      <c r="B206" s="54" t="s">
        <v>29</v>
      </c>
      <c r="C206" s="54" t="s">
        <v>282</v>
      </c>
      <c r="D206" s="41"/>
      <c r="E206" s="45"/>
      <c r="H206" s="13"/>
    </row>
    <row r="207" spans="1:8" hidden="1" x14ac:dyDescent="0.25">
      <c r="A207" s="13"/>
      <c r="B207" s="54" t="s">
        <v>31</v>
      </c>
      <c r="C207" s="49" t="s">
        <v>283</v>
      </c>
      <c r="D207" s="39"/>
      <c r="E207" s="45"/>
      <c r="H207" s="13"/>
    </row>
    <row r="208" spans="1:8" hidden="1" x14ac:dyDescent="0.25">
      <c r="A208" s="13"/>
      <c r="B208" s="54" t="s">
        <v>28</v>
      </c>
      <c r="C208" s="49" t="s">
        <v>284</v>
      </c>
      <c r="D208" s="39"/>
      <c r="E208" s="45"/>
      <c r="H208" s="13"/>
    </row>
    <row r="209" spans="1:9" hidden="1" x14ac:dyDescent="0.25">
      <c r="A209" s="13"/>
      <c r="B209" s="54" t="s">
        <v>36</v>
      </c>
      <c r="C209" s="49" t="s">
        <v>285</v>
      </c>
      <c r="D209" s="39"/>
      <c r="E209" s="45"/>
      <c r="H209" s="13"/>
    </row>
    <row r="210" spans="1:9" hidden="1" x14ac:dyDescent="0.25">
      <c r="A210" s="13"/>
      <c r="B210" s="54" t="s">
        <v>30</v>
      </c>
      <c r="C210" s="49" t="s">
        <v>286</v>
      </c>
      <c r="D210" s="39"/>
      <c r="E210" s="45"/>
      <c r="H210" s="13"/>
    </row>
    <row r="211" spans="1:9" hidden="1" x14ac:dyDescent="0.25">
      <c r="A211" s="13"/>
      <c r="B211" s="56" t="s">
        <v>144</v>
      </c>
      <c r="C211" s="52" t="s">
        <v>287</v>
      </c>
      <c r="D211" s="13"/>
      <c r="E211" s="45"/>
      <c r="H211" s="13"/>
    </row>
    <row r="212" spans="1:9" hidden="1" x14ac:dyDescent="0.25">
      <c r="A212" s="13"/>
      <c r="B212" s="54"/>
      <c r="C212" s="49"/>
      <c r="D212" s="39"/>
      <c r="E212" s="45"/>
      <c r="H212" s="13"/>
    </row>
    <row r="213" spans="1:9" hidden="1" x14ac:dyDescent="0.25">
      <c r="A213" s="40" t="s">
        <v>104</v>
      </c>
      <c r="B213" s="50" t="s">
        <v>88</v>
      </c>
      <c r="C213" s="55" t="s">
        <v>294</v>
      </c>
      <c r="D213" s="44"/>
      <c r="E213" s="45"/>
      <c r="H213" s="40"/>
    </row>
    <row r="214" spans="1:9" hidden="1" x14ac:dyDescent="0.25">
      <c r="A214" s="13"/>
      <c r="B214" s="54" t="s">
        <v>32</v>
      </c>
      <c r="C214" s="49" t="s">
        <v>288</v>
      </c>
      <c r="D214" s="39"/>
      <c r="E214" s="45"/>
      <c r="H214" s="13"/>
    </row>
    <row r="215" spans="1:9" hidden="1" x14ac:dyDescent="0.25">
      <c r="A215" s="13"/>
      <c r="B215" s="54" t="s">
        <v>34</v>
      </c>
      <c r="C215" s="49" t="s">
        <v>289</v>
      </c>
      <c r="D215" s="39"/>
      <c r="E215" s="45"/>
      <c r="H215" s="13"/>
    </row>
    <row r="216" spans="1:9" hidden="1" x14ac:dyDescent="0.25">
      <c r="A216" s="13"/>
      <c r="B216" s="54" t="s">
        <v>35</v>
      </c>
      <c r="C216" s="49" t="s">
        <v>290</v>
      </c>
      <c r="D216" s="39"/>
      <c r="E216" s="45"/>
      <c r="H216" s="13"/>
    </row>
    <row r="217" spans="1:9" hidden="1" x14ac:dyDescent="0.25">
      <c r="A217" s="13"/>
      <c r="B217" s="54" t="s">
        <v>174</v>
      </c>
      <c r="C217" s="49" t="s">
        <v>291</v>
      </c>
      <c r="D217" s="39"/>
      <c r="E217" s="45"/>
      <c r="H217" s="13"/>
    </row>
    <row r="218" spans="1:9" hidden="1" x14ac:dyDescent="0.25">
      <c r="A218" s="13"/>
      <c r="B218" s="56" t="s">
        <v>145</v>
      </c>
      <c r="C218" s="52" t="s">
        <v>292</v>
      </c>
      <c r="D218" s="13"/>
      <c r="E218" s="45"/>
      <c r="H218" s="13"/>
    </row>
    <row r="219" spans="1:9" hidden="1" x14ac:dyDescent="0.25">
      <c r="A219" s="13"/>
      <c r="B219" s="54" t="s">
        <v>33</v>
      </c>
      <c r="C219" s="49" t="s">
        <v>293</v>
      </c>
      <c r="D219" s="39"/>
      <c r="E219" s="45"/>
      <c r="H219" s="13"/>
    </row>
    <row r="220" spans="1:9" hidden="1" x14ac:dyDescent="0.25">
      <c r="B220" s="51"/>
      <c r="C220" s="51"/>
      <c r="E220" s="45"/>
    </row>
    <row r="221" spans="1:9" hidden="1" x14ac:dyDescent="0.25">
      <c r="B221" s="51"/>
      <c r="C221" s="51"/>
      <c r="E221" s="45"/>
    </row>
    <row r="222" spans="1:9" hidden="1" x14ac:dyDescent="0.25">
      <c r="A222" s="40" t="s">
        <v>17</v>
      </c>
      <c r="B222" s="50" t="s">
        <v>88</v>
      </c>
      <c r="C222" s="55" t="s">
        <v>294</v>
      </c>
      <c r="D222" s="44"/>
      <c r="E222" s="45"/>
    </row>
    <row r="223" spans="1:9" hidden="1" x14ac:dyDescent="0.25">
      <c r="B223" s="54" t="s">
        <v>152</v>
      </c>
      <c r="C223" s="49" t="s">
        <v>213</v>
      </c>
      <c r="D223" s="39"/>
      <c r="E223" s="45"/>
      <c r="I223" s="41"/>
    </row>
    <row r="224" spans="1:9" hidden="1" x14ac:dyDescent="0.25">
      <c r="B224" s="54" t="s">
        <v>59</v>
      </c>
      <c r="C224" s="49" t="s">
        <v>221</v>
      </c>
      <c r="D224" s="39"/>
      <c r="E224" s="45"/>
      <c r="I224" s="41"/>
    </row>
    <row r="225" spans="1:11" hidden="1" x14ac:dyDescent="0.25">
      <c r="B225" s="54" t="s">
        <v>124</v>
      </c>
      <c r="C225" s="49" t="s">
        <v>214</v>
      </c>
      <c r="D225" s="39"/>
      <c r="E225" s="45"/>
      <c r="I225" s="41"/>
    </row>
    <row r="226" spans="1:11" hidden="1" x14ac:dyDescent="0.25">
      <c r="B226" s="54" t="s">
        <v>58</v>
      </c>
      <c r="C226" s="49" t="s">
        <v>222</v>
      </c>
      <c r="D226" s="39"/>
      <c r="E226" s="45"/>
      <c r="I226" s="41"/>
    </row>
    <row r="227" spans="1:11" hidden="1" x14ac:dyDescent="0.25">
      <c r="B227" s="54" t="s">
        <v>56</v>
      </c>
      <c r="C227" s="49" t="s">
        <v>215</v>
      </c>
      <c r="D227" s="39"/>
      <c r="E227" s="45"/>
      <c r="I227" s="41"/>
    </row>
    <row r="228" spans="1:11" hidden="1" x14ac:dyDescent="0.25">
      <c r="B228" s="54" t="s">
        <v>154</v>
      </c>
      <c r="C228" s="49" t="s">
        <v>223</v>
      </c>
      <c r="D228" s="39"/>
      <c r="E228" s="45"/>
      <c r="I228" s="41"/>
    </row>
    <row r="229" spans="1:11" hidden="1" x14ac:dyDescent="0.25">
      <c r="B229" s="54" t="s">
        <v>55</v>
      </c>
      <c r="C229" s="49" t="s">
        <v>216</v>
      </c>
      <c r="D229" s="39"/>
      <c r="E229" s="45"/>
      <c r="I229" s="41"/>
    </row>
    <row r="230" spans="1:11" hidden="1" x14ac:dyDescent="0.25">
      <c r="B230" s="54" t="s">
        <v>155</v>
      </c>
      <c r="C230" s="49" t="s">
        <v>224</v>
      </c>
      <c r="D230" s="39"/>
      <c r="E230" s="45"/>
      <c r="I230" s="41"/>
    </row>
    <row r="231" spans="1:11" hidden="1" x14ac:dyDescent="0.25">
      <c r="B231" s="54" t="s">
        <v>153</v>
      </c>
      <c r="C231" s="49" t="s">
        <v>217</v>
      </c>
      <c r="D231" s="39"/>
      <c r="E231" s="45"/>
      <c r="I231" s="39"/>
      <c r="K231" s="39"/>
    </row>
    <row r="232" spans="1:11" hidden="1" x14ac:dyDescent="0.25">
      <c r="B232" s="54" t="s">
        <v>60</v>
      </c>
      <c r="C232" s="49" t="s">
        <v>225</v>
      </c>
      <c r="D232" s="39"/>
      <c r="E232" s="45"/>
      <c r="I232" s="39"/>
      <c r="K232" s="39"/>
    </row>
    <row r="233" spans="1:11" hidden="1" x14ac:dyDescent="0.25">
      <c r="B233" s="54" t="s">
        <v>53</v>
      </c>
      <c r="C233" s="49" t="s">
        <v>218</v>
      </c>
      <c r="D233" s="39"/>
      <c r="E233" s="45"/>
      <c r="I233" s="41"/>
    </row>
    <row r="234" spans="1:11" hidden="1" x14ac:dyDescent="0.25">
      <c r="B234" s="54" t="s">
        <v>125</v>
      </c>
      <c r="C234" s="49" t="s">
        <v>219</v>
      </c>
      <c r="D234" s="39"/>
      <c r="E234" s="45"/>
      <c r="I234" s="41"/>
    </row>
    <row r="235" spans="1:11" hidden="1" x14ac:dyDescent="0.25">
      <c r="B235" s="54" t="s">
        <v>54</v>
      </c>
      <c r="C235" s="49" t="s">
        <v>220</v>
      </c>
      <c r="D235" s="39"/>
      <c r="E235" s="45"/>
      <c r="I235" s="41"/>
    </row>
    <row r="236" spans="1:11" hidden="1" x14ac:dyDescent="0.25">
      <c r="B236" s="50" t="s">
        <v>88</v>
      </c>
      <c r="C236" s="55" t="s">
        <v>294</v>
      </c>
      <c r="D236" s="44"/>
      <c r="E236" s="45"/>
      <c r="I236" s="41"/>
    </row>
    <row r="237" spans="1:11" hidden="1" x14ac:dyDescent="0.25">
      <c r="A237" s="40" t="s">
        <v>176</v>
      </c>
      <c r="B237" s="54" t="s">
        <v>29</v>
      </c>
      <c r="C237" s="54" t="s">
        <v>282</v>
      </c>
      <c r="D237" s="41"/>
      <c r="E237" s="45"/>
      <c r="I237" s="41"/>
    </row>
    <row r="238" spans="1:11" hidden="1" x14ac:dyDescent="0.25">
      <c r="B238" s="54" t="s">
        <v>32</v>
      </c>
      <c r="C238" s="49" t="s">
        <v>288</v>
      </c>
      <c r="D238" s="39"/>
      <c r="E238" s="45"/>
      <c r="I238" s="41"/>
    </row>
    <row r="239" spans="1:11" hidden="1" x14ac:dyDescent="0.25">
      <c r="B239" s="54" t="s">
        <v>31</v>
      </c>
      <c r="C239" s="49" t="s">
        <v>283</v>
      </c>
      <c r="D239" s="39"/>
      <c r="E239" s="45"/>
      <c r="I239" s="41"/>
    </row>
    <row r="240" spans="1:11" hidden="1" x14ac:dyDescent="0.25">
      <c r="B240" s="54" t="s">
        <v>34</v>
      </c>
      <c r="C240" s="49" t="s">
        <v>289</v>
      </c>
      <c r="D240" s="39"/>
      <c r="E240" s="46"/>
      <c r="I240" s="41"/>
    </row>
    <row r="241" spans="1:11" hidden="1" x14ac:dyDescent="0.25">
      <c r="B241" s="54" t="s">
        <v>28</v>
      </c>
      <c r="C241" s="49" t="s">
        <v>284</v>
      </c>
      <c r="D241" s="39"/>
      <c r="E241" s="47"/>
      <c r="I241" s="41"/>
    </row>
    <row r="242" spans="1:11" hidden="1" x14ac:dyDescent="0.25">
      <c r="B242" s="54" t="s">
        <v>35</v>
      </c>
      <c r="C242" s="49" t="s">
        <v>290</v>
      </c>
      <c r="D242" s="39"/>
      <c r="E242" s="46"/>
      <c r="I242" s="42"/>
    </row>
    <row r="243" spans="1:11" hidden="1" x14ac:dyDescent="0.25">
      <c r="B243" s="54" t="s">
        <v>36</v>
      </c>
      <c r="C243" s="49" t="s">
        <v>285</v>
      </c>
      <c r="D243" s="39"/>
      <c r="E243" s="47"/>
      <c r="I243" s="41"/>
      <c r="K243" s="39"/>
    </row>
    <row r="244" spans="1:11" hidden="1" x14ac:dyDescent="0.25">
      <c r="B244" s="54" t="s">
        <v>174</v>
      </c>
      <c r="C244" s="49" t="s">
        <v>291</v>
      </c>
      <c r="D244" s="39"/>
      <c r="E244" s="45"/>
      <c r="I244" s="39"/>
      <c r="K244" s="39"/>
    </row>
    <row r="245" spans="1:11" hidden="1" x14ac:dyDescent="0.25">
      <c r="B245" s="54" t="s">
        <v>30</v>
      </c>
      <c r="C245" s="49" t="s">
        <v>286</v>
      </c>
      <c r="D245" s="39"/>
      <c r="E245" s="47"/>
      <c r="I245" s="41"/>
    </row>
    <row r="246" spans="1:11" hidden="1" x14ac:dyDescent="0.25">
      <c r="B246" s="56" t="s">
        <v>145</v>
      </c>
      <c r="C246" s="52" t="s">
        <v>292</v>
      </c>
      <c r="D246" s="13"/>
      <c r="E246" s="48"/>
      <c r="I246" s="41"/>
    </row>
    <row r="247" spans="1:11" hidden="1" x14ac:dyDescent="0.25">
      <c r="B247" s="56" t="s">
        <v>144</v>
      </c>
      <c r="C247" s="52" t="s">
        <v>287</v>
      </c>
      <c r="D247" s="13"/>
      <c r="E247" s="47"/>
      <c r="I247" s="41"/>
    </row>
    <row r="248" spans="1:11" hidden="1" x14ac:dyDescent="0.25">
      <c r="B248" s="54" t="s">
        <v>33</v>
      </c>
      <c r="C248" s="49" t="s">
        <v>293</v>
      </c>
      <c r="D248" s="39"/>
      <c r="E248" s="48"/>
      <c r="I248" s="41"/>
    </row>
    <row r="249" spans="1:11" hidden="1" x14ac:dyDescent="0.25">
      <c r="B249" s="50" t="s">
        <v>88</v>
      </c>
      <c r="C249" s="55" t="s">
        <v>294</v>
      </c>
      <c r="D249" s="44"/>
      <c r="E249" s="47"/>
      <c r="I249" s="42"/>
    </row>
    <row r="250" spans="1:11" hidden="1" x14ac:dyDescent="0.25">
      <c r="A250" s="40" t="s">
        <v>175</v>
      </c>
      <c r="B250" s="54" t="s">
        <v>138</v>
      </c>
      <c r="C250" s="49" t="s">
        <v>268</v>
      </c>
      <c r="D250" s="39"/>
      <c r="E250" s="48"/>
      <c r="I250" s="41"/>
    </row>
    <row r="251" spans="1:11" hidden="1" x14ac:dyDescent="0.25">
      <c r="B251" s="54" t="s">
        <v>152</v>
      </c>
      <c r="C251" s="49" t="s">
        <v>213</v>
      </c>
      <c r="D251" s="39"/>
      <c r="E251" s="47"/>
      <c r="I251" s="41"/>
    </row>
    <row r="252" spans="1:11" hidden="1" x14ac:dyDescent="0.25">
      <c r="B252" s="54" t="s">
        <v>38</v>
      </c>
      <c r="C252" s="49" t="s">
        <v>269</v>
      </c>
      <c r="D252" s="39"/>
      <c r="E252" s="48"/>
      <c r="I252" s="41"/>
    </row>
    <row r="253" spans="1:11" hidden="1" x14ac:dyDescent="0.25">
      <c r="B253" s="54" t="s">
        <v>59</v>
      </c>
      <c r="C253" s="49" t="s">
        <v>221</v>
      </c>
      <c r="D253" s="39"/>
      <c r="E253" s="47"/>
      <c r="I253" s="41"/>
    </row>
    <row r="254" spans="1:11" hidden="1" x14ac:dyDescent="0.25">
      <c r="B254" s="54" t="s">
        <v>39</v>
      </c>
      <c r="C254" s="49" t="s">
        <v>270</v>
      </c>
      <c r="D254" s="39"/>
      <c r="E254" s="48"/>
      <c r="I254" s="41"/>
    </row>
    <row r="255" spans="1:11" hidden="1" x14ac:dyDescent="0.25">
      <c r="B255" s="54" t="s">
        <v>124</v>
      </c>
      <c r="C255" s="49" t="s">
        <v>214</v>
      </c>
      <c r="D255" s="39"/>
      <c r="E255" s="47"/>
      <c r="I255" s="41"/>
    </row>
    <row r="256" spans="1:11" hidden="1" x14ac:dyDescent="0.25">
      <c r="B256" s="54" t="s">
        <v>139</v>
      </c>
      <c r="C256" s="49" t="s">
        <v>271</v>
      </c>
      <c r="D256" s="39"/>
      <c r="E256" s="48"/>
      <c r="I256" s="41"/>
    </row>
    <row r="257" spans="1:9" hidden="1" x14ac:dyDescent="0.25">
      <c r="B257" s="54" t="s">
        <v>58</v>
      </c>
      <c r="C257" s="49" t="s">
        <v>222</v>
      </c>
      <c r="D257" s="39"/>
      <c r="E257" s="47"/>
    </row>
    <row r="258" spans="1:9" hidden="1" x14ac:dyDescent="0.25">
      <c r="B258" s="54" t="s">
        <v>40</v>
      </c>
      <c r="C258" s="49" t="s">
        <v>272</v>
      </c>
      <c r="D258" s="39"/>
      <c r="E258" s="48"/>
    </row>
    <row r="259" spans="1:9" hidden="1" x14ac:dyDescent="0.25">
      <c r="B259" s="54" t="s">
        <v>56</v>
      </c>
      <c r="C259" s="49" t="s">
        <v>215</v>
      </c>
      <c r="D259" s="39"/>
      <c r="E259" s="47"/>
      <c r="I259" s="41"/>
    </row>
    <row r="260" spans="1:9" hidden="1" x14ac:dyDescent="0.25">
      <c r="B260" s="54" t="s">
        <v>140</v>
      </c>
      <c r="C260" s="49" t="s">
        <v>273</v>
      </c>
      <c r="D260" s="39"/>
      <c r="E260" s="48"/>
      <c r="I260" s="41"/>
    </row>
    <row r="261" spans="1:9" hidden="1" x14ac:dyDescent="0.25">
      <c r="B261" s="54" t="s">
        <v>154</v>
      </c>
      <c r="C261" s="49" t="s">
        <v>223</v>
      </c>
      <c r="D261" s="39"/>
      <c r="E261" s="47"/>
      <c r="I261" s="41"/>
    </row>
    <row r="262" spans="1:9" hidden="1" x14ac:dyDescent="0.25">
      <c r="B262" s="54" t="s">
        <v>141</v>
      </c>
      <c r="C262" s="49" t="s">
        <v>274</v>
      </c>
      <c r="D262" s="39"/>
      <c r="E262" s="48"/>
      <c r="I262" s="41"/>
    </row>
    <row r="263" spans="1:9" hidden="1" x14ac:dyDescent="0.25">
      <c r="B263" s="54" t="s">
        <v>55</v>
      </c>
      <c r="C263" s="49" t="s">
        <v>216</v>
      </c>
      <c r="D263" s="39"/>
      <c r="E263" s="47"/>
      <c r="I263" s="41"/>
    </row>
    <row r="264" spans="1:9" hidden="1" x14ac:dyDescent="0.25">
      <c r="B264" s="54" t="s">
        <v>155</v>
      </c>
      <c r="C264" s="49" t="s">
        <v>224</v>
      </c>
      <c r="D264" s="39"/>
      <c r="E264" s="48"/>
      <c r="I264" s="41"/>
    </row>
    <row r="265" spans="1:9" hidden="1" x14ac:dyDescent="0.25">
      <c r="B265" s="54" t="s">
        <v>153</v>
      </c>
      <c r="C265" s="49" t="s">
        <v>217</v>
      </c>
      <c r="D265" s="39"/>
      <c r="E265" s="47"/>
      <c r="I265" s="41"/>
    </row>
    <row r="266" spans="1:9" hidden="1" x14ac:dyDescent="0.25">
      <c r="B266" s="54" t="s">
        <v>60</v>
      </c>
      <c r="C266" s="49" t="s">
        <v>225</v>
      </c>
      <c r="D266" s="39"/>
      <c r="E266" s="48"/>
      <c r="I266" s="41"/>
    </row>
    <row r="267" spans="1:9" hidden="1" x14ac:dyDescent="0.25">
      <c r="B267" s="54" t="s">
        <v>53</v>
      </c>
      <c r="C267" s="49" t="s">
        <v>218</v>
      </c>
      <c r="D267" s="39"/>
      <c r="E267" s="47"/>
      <c r="I267" s="41"/>
    </row>
    <row r="268" spans="1:9" hidden="1" x14ac:dyDescent="0.25">
      <c r="B268" s="54" t="s">
        <v>125</v>
      </c>
      <c r="C268" s="49" t="s">
        <v>219</v>
      </c>
      <c r="D268" s="39"/>
      <c r="E268" s="48"/>
      <c r="I268" s="41"/>
    </row>
    <row r="269" spans="1:9" hidden="1" x14ac:dyDescent="0.25">
      <c r="B269" s="54" t="s">
        <v>54</v>
      </c>
      <c r="C269" s="49" t="s">
        <v>220</v>
      </c>
      <c r="D269" s="39"/>
      <c r="E269" s="47"/>
      <c r="I269" s="41"/>
    </row>
    <row r="270" spans="1:9" hidden="1" x14ac:dyDescent="0.25">
      <c r="B270" s="54"/>
      <c r="C270" s="49"/>
      <c r="D270" s="39"/>
      <c r="E270" s="47"/>
      <c r="I270" s="41"/>
    </row>
    <row r="271" spans="1:9" hidden="1" x14ac:dyDescent="0.25">
      <c r="B271" s="50" t="s">
        <v>88</v>
      </c>
      <c r="C271" s="55" t="s">
        <v>294</v>
      </c>
      <c r="D271" s="44"/>
      <c r="E271" s="48"/>
      <c r="I271" s="41"/>
    </row>
    <row r="272" spans="1:9" hidden="1" x14ac:dyDescent="0.25">
      <c r="A272" s="40" t="s">
        <v>177</v>
      </c>
      <c r="B272" s="54" t="s">
        <v>51</v>
      </c>
      <c r="C272" s="49" t="s">
        <v>200</v>
      </c>
      <c r="D272" s="39"/>
      <c r="E272" s="47"/>
      <c r="I272" s="39"/>
    </row>
    <row r="273" spans="2:11" hidden="1" x14ac:dyDescent="0.25">
      <c r="B273" s="54" t="s">
        <v>46</v>
      </c>
      <c r="C273" s="49" t="s">
        <v>204</v>
      </c>
      <c r="D273" s="39"/>
      <c r="E273" s="48"/>
      <c r="I273" s="41"/>
    </row>
    <row r="274" spans="2:11" hidden="1" x14ac:dyDescent="0.25">
      <c r="B274" s="54" t="s">
        <v>118</v>
      </c>
      <c r="C274" s="49" t="s">
        <v>201</v>
      </c>
      <c r="D274" s="39"/>
      <c r="E274" s="47"/>
      <c r="I274" s="41"/>
    </row>
    <row r="275" spans="2:11" hidden="1" x14ac:dyDescent="0.25">
      <c r="B275" s="54" t="s">
        <v>47</v>
      </c>
      <c r="C275" s="49" t="s">
        <v>205</v>
      </c>
      <c r="D275" s="39"/>
      <c r="E275" s="45"/>
      <c r="I275" s="41"/>
    </row>
    <row r="276" spans="2:11" hidden="1" x14ac:dyDescent="0.25">
      <c r="B276" s="54" t="s">
        <v>150</v>
      </c>
      <c r="C276" s="49" t="s">
        <v>202</v>
      </c>
      <c r="D276" s="39"/>
      <c r="E276" s="45"/>
      <c r="I276" s="41"/>
    </row>
    <row r="277" spans="2:11" hidden="1" x14ac:dyDescent="0.25">
      <c r="B277" s="54" t="s">
        <v>49</v>
      </c>
      <c r="C277" s="49" t="s">
        <v>206</v>
      </c>
      <c r="D277" s="39"/>
      <c r="E277" s="47"/>
      <c r="I277" s="39"/>
      <c r="K277" s="39"/>
    </row>
    <row r="278" spans="2:11" hidden="1" x14ac:dyDescent="0.25">
      <c r="B278" s="54" t="s">
        <v>50</v>
      </c>
      <c r="C278" s="49" t="s">
        <v>203</v>
      </c>
      <c r="D278" s="39"/>
      <c r="E278" s="47"/>
      <c r="I278" s="41"/>
      <c r="K278" s="39"/>
    </row>
    <row r="279" spans="2:11" hidden="1" x14ac:dyDescent="0.25">
      <c r="B279" s="54" t="s">
        <v>48</v>
      </c>
      <c r="C279" s="49" t="s">
        <v>207</v>
      </c>
      <c r="D279" s="39"/>
      <c r="E279" s="47"/>
      <c r="I279" s="41"/>
    </row>
    <row r="280" spans="2:11" hidden="1" x14ac:dyDescent="0.25">
      <c r="B280" s="54" t="s">
        <v>119</v>
      </c>
      <c r="C280" s="49" t="s">
        <v>208</v>
      </c>
      <c r="D280" s="39"/>
      <c r="E280" s="47"/>
      <c r="I280" s="41"/>
    </row>
    <row r="281" spans="2:11" hidden="1" x14ac:dyDescent="0.25"/>
    <row r="282" spans="2:11" hidden="1" x14ac:dyDescent="0.25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5">
      <c r="B283" t="s">
        <v>77</v>
      </c>
      <c r="C283" s="39" t="s">
        <v>77</v>
      </c>
      <c r="D283" s="39" t="s">
        <v>312</v>
      </c>
      <c r="E283" s="39" t="str">
        <f>CONCATENATE(Table_Name52[[#This Row],[Table name]],"[Link]")</f>
        <v>Abs[Link]</v>
      </c>
    </row>
    <row r="284" spans="2:11" hidden="1" x14ac:dyDescent="0.25">
      <c r="B284" t="s">
        <v>19</v>
      </c>
      <c r="C284" s="39" t="s">
        <v>19</v>
      </c>
      <c r="D284" s="39" t="s">
        <v>313</v>
      </c>
      <c r="E284" s="39" t="str">
        <f>CONCATENATE(Table_Name52[[#This Row],[Table name]],"[Link]")</f>
        <v>Calves[Link]</v>
      </c>
    </row>
    <row r="285" spans="2:11" hidden="1" x14ac:dyDescent="0.25">
      <c r="B285" t="s">
        <v>18</v>
      </c>
      <c r="C285" s="39" t="s">
        <v>18</v>
      </c>
      <c r="D285" s="39" t="s">
        <v>314</v>
      </c>
      <c r="E285" s="39" t="str">
        <f>CONCATENATE(Table_Name52[[#This Row],[Table name]],"[Link]")</f>
        <v>Biceps[Link]</v>
      </c>
    </row>
    <row r="286" spans="2:11" hidden="1" x14ac:dyDescent="0.25">
      <c r="B286" t="s">
        <v>117</v>
      </c>
      <c r="C286" s="39" t="s">
        <v>297</v>
      </c>
      <c r="D286" s="39" t="s">
        <v>315</v>
      </c>
      <c r="E286" s="39" t="str">
        <f>CONCATENATE(Table_Name52[[#This Row],[Table name]],"[Link]")</f>
        <v>Rear_Delts[Link]</v>
      </c>
    </row>
    <row r="287" spans="2:11" hidden="1" x14ac:dyDescent="0.25">
      <c r="B287" t="s">
        <v>105</v>
      </c>
      <c r="C287" s="39" t="s">
        <v>298</v>
      </c>
      <c r="D287" s="39" t="s">
        <v>316</v>
      </c>
      <c r="E287" s="39" t="str">
        <f>CONCATENATE(Table_Name52[[#This Row],[Table name]],"[Link]")</f>
        <v>Side_Delts[Link]</v>
      </c>
    </row>
    <row r="288" spans="2:11" hidden="1" x14ac:dyDescent="0.25">
      <c r="B288" t="s">
        <v>120</v>
      </c>
      <c r="C288" s="39" t="s">
        <v>120</v>
      </c>
      <c r="D288" s="39" t="s">
        <v>317</v>
      </c>
      <c r="E288" s="39" t="str">
        <f>CONCATENATE(Table_Name52[[#This Row],[Table name]],"[Link]")</f>
        <v>Traps[Link]</v>
      </c>
    </row>
    <row r="289" spans="2:5" hidden="1" x14ac:dyDescent="0.25">
      <c r="B289" t="s">
        <v>52</v>
      </c>
      <c r="C289" s="39" t="s">
        <v>299</v>
      </c>
      <c r="D289" s="39" t="s">
        <v>318</v>
      </c>
      <c r="E289" s="39" t="str">
        <f>CONCATENATE(Table_Name52[[#This Row],[Table name]],"[Link]")</f>
        <v>Horizontal_Triceps[Link]</v>
      </c>
    </row>
    <row r="290" spans="2:5" hidden="1" x14ac:dyDescent="0.25">
      <c r="B290" t="s">
        <v>57</v>
      </c>
      <c r="C290" s="39" t="s">
        <v>300</v>
      </c>
      <c r="D290" s="39" t="s">
        <v>319</v>
      </c>
      <c r="E290" s="39" t="str">
        <f>CONCATENATE(Table_Name52[[#This Row],[Table name]],"[Link]")</f>
        <v>Vertical_Triceps[Link]</v>
      </c>
    </row>
    <row r="291" spans="2:5" hidden="1" x14ac:dyDescent="0.25">
      <c r="B291" t="s">
        <v>341</v>
      </c>
      <c r="C291" s="39" t="s">
        <v>301</v>
      </c>
      <c r="D291" s="39" t="s">
        <v>334</v>
      </c>
      <c r="E291" s="39" t="str">
        <f>CONCATENATE(Table_Name52[[#This Row],[Table name]],"[Link]")</f>
        <v>Horizonal_Back[Link]</v>
      </c>
    </row>
    <row r="292" spans="2:5" hidden="1" x14ac:dyDescent="0.25">
      <c r="B292" t="s">
        <v>342</v>
      </c>
      <c r="C292" s="39" t="s">
        <v>302</v>
      </c>
      <c r="D292" s="39" t="s">
        <v>320</v>
      </c>
      <c r="E292" s="39" t="str">
        <f>CONCATENATE(Table_Name52[[#This Row],[Table name]],"[Link]")</f>
        <v>Vertical_Back[Link]</v>
      </c>
    </row>
    <row r="293" spans="2:5" hidden="1" x14ac:dyDescent="0.25">
      <c r="B293" t="s">
        <v>20</v>
      </c>
      <c r="C293" s="39" t="s">
        <v>20</v>
      </c>
      <c r="D293" s="39" t="s">
        <v>321</v>
      </c>
      <c r="E293" s="39" t="str">
        <f>CONCATENATE(Table_Name52[[#This Row],[Table name]],"[Link]")</f>
        <v>Quads[Link]</v>
      </c>
    </row>
    <row r="294" spans="2:5" hidden="1" x14ac:dyDescent="0.25">
      <c r="B294" t="s">
        <v>108</v>
      </c>
      <c r="C294" s="39" t="s">
        <v>108</v>
      </c>
      <c r="D294" s="39" t="s">
        <v>322</v>
      </c>
      <c r="E294" s="39" t="str">
        <f>CONCATENATE(Table_Name52[[#This Row],[Table name]],"[Link]")</f>
        <v>Glutes[Link]</v>
      </c>
    </row>
    <row r="295" spans="2:5" hidden="1" x14ac:dyDescent="0.25">
      <c r="B295" t="s">
        <v>345</v>
      </c>
      <c r="C295" s="39" t="s">
        <v>303</v>
      </c>
      <c r="D295" s="39" t="s">
        <v>323</v>
      </c>
      <c r="E295" s="39" t="str">
        <f>CONCATENATE(Table_Name52[[#This Row],[Table name]],"[Link]")</f>
        <v>Hamstrings_Hip_Hinge[Link]</v>
      </c>
    </row>
    <row r="296" spans="2:5" hidden="1" x14ac:dyDescent="0.25">
      <c r="B296" t="s">
        <v>344</v>
      </c>
      <c r="C296" s="39" t="s">
        <v>304</v>
      </c>
      <c r="D296" s="39" t="s">
        <v>324</v>
      </c>
      <c r="E296" s="39" t="str">
        <f>CONCATENATE(Table_Name52[[#This Row],[Table name]],"[Link]")</f>
        <v>Hamstrings_Isolation[Link]</v>
      </c>
    </row>
    <row r="297" spans="2:5" hidden="1" x14ac:dyDescent="0.25">
      <c r="B297" t="s">
        <v>37</v>
      </c>
      <c r="C297" s="39" t="s">
        <v>305</v>
      </c>
      <c r="D297" s="39" t="s">
        <v>325</v>
      </c>
      <c r="E297" s="39" t="str">
        <f>CONCATENATE(Table_Name52[[#This Row],[Table name]],"[Link]")</f>
        <v>Chest_Isolation[Link]</v>
      </c>
    </row>
    <row r="298" spans="2:5" hidden="1" x14ac:dyDescent="0.25">
      <c r="B298" t="s">
        <v>22</v>
      </c>
      <c r="C298" s="39" t="s">
        <v>306</v>
      </c>
      <c r="D298" s="39" t="s">
        <v>326</v>
      </c>
      <c r="E298" s="39" t="str">
        <f>CONCATENATE(Table_Name52[[#This Row],[Table name]],"[Link]")</f>
        <v>Horizontal_Push[Link]</v>
      </c>
    </row>
    <row r="299" spans="2:5" hidden="1" x14ac:dyDescent="0.25">
      <c r="B299" t="s">
        <v>143</v>
      </c>
      <c r="C299" s="39" t="s">
        <v>307</v>
      </c>
      <c r="D299" s="39" t="s">
        <v>327</v>
      </c>
      <c r="E299" s="39" t="str">
        <f>CONCATENATE(Table_Name52[[#This Row],[Table name]],"[Link]")</f>
        <v>Incline_Push[Link]</v>
      </c>
    </row>
    <row r="300" spans="2:5" hidden="1" x14ac:dyDescent="0.25">
      <c r="B300" t="s">
        <v>104</v>
      </c>
      <c r="C300" s="39" t="s">
        <v>308</v>
      </c>
      <c r="D300" s="39" t="s">
        <v>328</v>
      </c>
      <c r="E300" s="39" t="str">
        <f>CONCATENATE(Table_Name52[[#This Row],[Table name]],"[Link]")</f>
        <v>Front_Delts[Link]</v>
      </c>
    </row>
    <row r="301" spans="2:5" hidden="1" x14ac:dyDescent="0.25">
      <c r="B301" t="s">
        <v>17</v>
      </c>
      <c r="C301" s="39" t="s">
        <v>17</v>
      </c>
      <c r="D301" s="39" t="s">
        <v>329</v>
      </c>
      <c r="E301" s="39" t="str">
        <f>CONCATENATE(Table_Name52[[#This Row],[Table name]],"[Link]")</f>
        <v>Triceps[Link]</v>
      </c>
    </row>
    <row r="302" spans="2:5" hidden="1" x14ac:dyDescent="0.25">
      <c r="B302" t="s">
        <v>176</v>
      </c>
      <c r="C302" s="39" t="s">
        <v>309</v>
      </c>
      <c r="D302" s="39" t="s">
        <v>330</v>
      </c>
      <c r="E302" s="39" t="str">
        <f>CONCATENATE(Table_Name52[[#This Row],[Table name]],"[Link]")</f>
        <v>Incline_Push_or_Front_Delts[Link]</v>
      </c>
    </row>
    <row r="303" spans="2:5" hidden="1" x14ac:dyDescent="0.25">
      <c r="B303" t="s">
        <v>175</v>
      </c>
      <c r="C303" s="39" t="s">
        <v>310</v>
      </c>
      <c r="D303" s="39" t="s">
        <v>331</v>
      </c>
      <c r="E303" s="39" t="str">
        <f>CONCATENATE(Table_Name52[[#This Row],[Table name]],"[Link]")</f>
        <v>Chest_Isolation_or_Triceps[Link]</v>
      </c>
    </row>
    <row r="304" spans="2:5" hidden="1" x14ac:dyDescent="0.25">
      <c r="B304" t="s">
        <v>343</v>
      </c>
      <c r="C304" s="39" t="s">
        <v>311</v>
      </c>
      <c r="D304" s="39" t="s">
        <v>332</v>
      </c>
      <c r="E304" s="39" t="str">
        <f>CONCATENATE(Table_Name52[[#This Row],[Table name]],"[Link]")</f>
        <v>Rear_or_Side_Delts[Link]</v>
      </c>
    </row>
    <row r="305" spans="2:4" hidden="1" x14ac:dyDescent="0.25"/>
    <row r="306" spans="2:4" hidden="1" x14ac:dyDescent="0.25">
      <c r="B306" s="9" t="s">
        <v>88</v>
      </c>
      <c r="C306" t="s">
        <v>294</v>
      </c>
      <c r="D306" s="9" t="s">
        <v>295</v>
      </c>
    </row>
    <row r="307" spans="2:4" hidden="1" x14ac:dyDescent="0.25">
      <c r="B307" s="39" t="s">
        <v>109</v>
      </c>
      <c r="C307" t="s">
        <v>178</v>
      </c>
      <c r="D307" t="s">
        <v>77</v>
      </c>
    </row>
    <row r="308" spans="2:4" hidden="1" x14ac:dyDescent="0.25">
      <c r="B308" s="39" t="s">
        <v>79</v>
      </c>
      <c r="C308" t="s">
        <v>179</v>
      </c>
      <c r="D308" t="s">
        <v>77</v>
      </c>
    </row>
    <row r="309" spans="2:4" hidden="1" x14ac:dyDescent="0.25">
      <c r="B309" s="39" t="s">
        <v>80</v>
      </c>
      <c r="C309" t="s">
        <v>180</v>
      </c>
      <c r="D309" t="s">
        <v>77</v>
      </c>
    </row>
    <row r="310" spans="2:4" hidden="1" x14ac:dyDescent="0.25">
      <c r="B310" s="39" t="s">
        <v>78</v>
      </c>
      <c r="C310" t="s">
        <v>181</v>
      </c>
      <c r="D310" t="s">
        <v>77</v>
      </c>
    </row>
    <row r="311" spans="2:4" hidden="1" x14ac:dyDescent="0.25">
      <c r="B311" s="41" t="s">
        <v>110</v>
      </c>
      <c r="C311" t="s">
        <v>182</v>
      </c>
      <c r="D311" t="s">
        <v>77</v>
      </c>
    </row>
    <row r="312" spans="2:4" hidden="1" x14ac:dyDescent="0.25">
      <c r="B312" s="39" t="s">
        <v>81</v>
      </c>
      <c r="C312" t="s">
        <v>183</v>
      </c>
      <c r="D312" t="s">
        <v>77</v>
      </c>
    </row>
    <row r="313" spans="2:4" hidden="1" x14ac:dyDescent="0.25">
      <c r="B313" s="39" t="s">
        <v>146</v>
      </c>
      <c r="C313" t="s">
        <v>184</v>
      </c>
      <c r="D313" t="s">
        <v>77</v>
      </c>
    </row>
    <row r="314" spans="2:4" hidden="1" x14ac:dyDescent="0.25">
      <c r="B314" s="39" t="s">
        <v>61</v>
      </c>
      <c r="C314" t="s">
        <v>189</v>
      </c>
      <c r="D314" t="s">
        <v>18</v>
      </c>
    </row>
    <row r="315" spans="2:4" hidden="1" x14ac:dyDescent="0.25">
      <c r="B315" s="39" t="s">
        <v>62</v>
      </c>
      <c r="C315" t="s">
        <v>190</v>
      </c>
      <c r="D315" t="s">
        <v>18</v>
      </c>
    </row>
    <row r="316" spans="2:4" hidden="1" x14ac:dyDescent="0.25">
      <c r="B316" s="39" t="s">
        <v>112</v>
      </c>
      <c r="C316" t="s">
        <v>191</v>
      </c>
      <c r="D316" t="s">
        <v>18</v>
      </c>
    </row>
    <row r="317" spans="2:4" hidden="1" x14ac:dyDescent="0.25">
      <c r="B317" s="39" t="s">
        <v>63</v>
      </c>
      <c r="C317" t="s">
        <v>192</v>
      </c>
      <c r="D317" t="s">
        <v>18</v>
      </c>
    </row>
    <row r="318" spans="2:4" hidden="1" x14ac:dyDescent="0.25">
      <c r="B318" s="39" t="s">
        <v>113</v>
      </c>
      <c r="C318" t="s">
        <v>193</v>
      </c>
      <c r="D318" t="s">
        <v>18</v>
      </c>
    </row>
    <row r="319" spans="2:4" hidden="1" x14ac:dyDescent="0.25">
      <c r="B319" s="39" t="s">
        <v>114</v>
      </c>
      <c r="C319" t="s">
        <v>194</v>
      </c>
      <c r="D319" t="s">
        <v>18</v>
      </c>
    </row>
    <row r="320" spans="2:4" hidden="1" x14ac:dyDescent="0.25">
      <c r="B320" s="39" t="s">
        <v>147</v>
      </c>
      <c r="C320" t="s">
        <v>195</v>
      </c>
      <c r="D320" t="s">
        <v>18</v>
      </c>
    </row>
    <row r="321" spans="2:4" hidden="1" x14ac:dyDescent="0.25">
      <c r="B321" s="39" t="s">
        <v>148</v>
      </c>
      <c r="C321" t="s">
        <v>196</v>
      </c>
      <c r="D321" t="s">
        <v>18</v>
      </c>
    </row>
    <row r="322" spans="2:4" hidden="1" x14ac:dyDescent="0.25">
      <c r="B322" s="41" t="s">
        <v>115</v>
      </c>
      <c r="C322" t="s">
        <v>197</v>
      </c>
      <c r="D322" t="s">
        <v>18</v>
      </c>
    </row>
    <row r="323" spans="2:4" hidden="1" x14ac:dyDescent="0.25">
      <c r="B323" s="39" t="s">
        <v>116</v>
      </c>
      <c r="C323" t="s">
        <v>198</v>
      </c>
      <c r="D323" t="s">
        <v>18</v>
      </c>
    </row>
    <row r="324" spans="2:4" hidden="1" x14ac:dyDescent="0.25">
      <c r="B324" s="39" t="s">
        <v>149</v>
      </c>
      <c r="C324" t="s">
        <v>199</v>
      </c>
      <c r="D324" t="s">
        <v>18</v>
      </c>
    </row>
    <row r="325" spans="2:4" hidden="1" x14ac:dyDescent="0.25">
      <c r="B325" s="39" t="s">
        <v>111</v>
      </c>
      <c r="C325" t="s">
        <v>185</v>
      </c>
      <c r="D325" t="s">
        <v>19</v>
      </c>
    </row>
    <row r="326" spans="2:4" hidden="1" x14ac:dyDescent="0.25">
      <c r="B326" s="39" t="s">
        <v>75</v>
      </c>
      <c r="C326" t="s">
        <v>186</v>
      </c>
      <c r="D326" t="s">
        <v>19</v>
      </c>
    </row>
    <row r="327" spans="2:4" hidden="1" x14ac:dyDescent="0.25">
      <c r="B327" s="39" t="s">
        <v>74</v>
      </c>
      <c r="C327" t="s">
        <v>187</v>
      </c>
      <c r="D327" t="s">
        <v>19</v>
      </c>
    </row>
    <row r="328" spans="2:4" hidden="1" x14ac:dyDescent="0.25">
      <c r="B328" s="39" t="s">
        <v>76</v>
      </c>
      <c r="C328" t="s">
        <v>188</v>
      </c>
      <c r="D328" t="s">
        <v>19</v>
      </c>
    </row>
    <row r="329" spans="2:4" hidden="1" x14ac:dyDescent="0.25">
      <c r="B329" s="39" t="s">
        <v>138</v>
      </c>
      <c r="C329" t="s">
        <v>268</v>
      </c>
      <c r="D329" t="s">
        <v>37</v>
      </c>
    </row>
    <row r="330" spans="2:4" hidden="1" x14ac:dyDescent="0.25">
      <c r="B330" s="39" t="s">
        <v>38</v>
      </c>
      <c r="C330" t="s">
        <v>269</v>
      </c>
      <c r="D330" t="s">
        <v>37</v>
      </c>
    </row>
    <row r="331" spans="2:4" hidden="1" x14ac:dyDescent="0.25">
      <c r="B331" s="39" t="s">
        <v>39</v>
      </c>
      <c r="C331" t="s">
        <v>270</v>
      </c>
      <c r="D331" t="s">
        <v>37</v>
      </c>
    </row>
    <row r="332" spans="2:4" hidden="1" x14ac:dyDescent="0.25">
      <c r="B332" s="39" t="s">
        <v>139</v>
      </c>
      <c r="C332" t="s">
        <v>271</v>
      </c>
      <c r="D332" t="s">
        <v>37</v>
      </c>
    </row>
    <row r="333" spans="2:4" hidden="1" x14ac:dyDescent="0.25">
      <c r="B333" s="39" t="s">
        <v>40</v>
      </c>
      <c r="C333" t="s">
        <v>272</v>
      </c>
      <c r="D333" t="s">
        <v>37</v>
      </c>
    </row>
    <row r="334" spans="2:4" hidden="1" x14ac:dyDescent="0.25">
      <c r="B334" s="39" t="s">
        <v>140</v>
      </c>
      <c r="C334" t="s">
        <v>273</v>
      </c>
      <c r="D334" t="s">
        <v>37</v>
      </c>
    </row>
    <row r="335" spans="2:4" hidden="1" x14ac:dyDescent="0.25">
      <c r="B335" s="39" t="s">
        <v>141</v>
      </c>
      <c r="C335" t="s">
        <v>274</v>
      </c>
      <c r="D335" t="s">
        <v>37</v>
      </c>
    </row>
    <row r="336" spans="2:4" hidden="1" x14ac:dyDescent="0.25">
      <c r="B336" s="39" t="s">
        <v>138</v>
      </c>
      <c r="C336" t="s">
        <v>268</v>
      </c>
      <c r="D336" t="s">
        <v>175</v>
      </c>
    </row>
    <row r="337" spans="2:4" hidden="1" x14ac:dyDescent="0.25">
      <c r="B337" s="39" t="s">
        <v>152</v>
      </c>
      <c r="C337" t="s">
        <v>213</v>
      </c>
      <c r="D337" t="s">
        <v>175</v>
      </c>
    </row>
    <row r="338" spans="2:4" hidden="1" x14ac:dyDescent="0.25">
      <c r="B338" s="39" t="s">
        <v>38</v>
      </c>
      <c r="C338" t="s">
        <v>269</v>
      </c>
      <c r="D338" t="s">
        <v>175</v>
      </c>
    </row>
    <row r="339" spans="2:4" hidden="1" x14ac:dyDescent="0.25">
      <c r="B339" s="39" t="s">
        <v>59</v>
      </c>
      <c r="C339" t="s">
        <v>221</v>
      </c>
      <c r="D339" t="s">
        <v>175</v>
      </c>
    </row>
    <row r="340" spans="2:4" hidden="1" x14ac:dyDescent="0.25">
      <c r="B340" s="39" t="s">
        <v>39</v>
      </c>
      <c r="C340" t="s">
        <v>270</v>
      </c>
      <c r="D340" t="s">
        <v>175</v>
      </c>
    </row>
    <row r="341" spans="2:4" hidden="1" x14ac:dyDescent="0.25">
      <c r="B341" s="39" t="s">
        <v>124</v>
      </c>
      <c r="C341" t="s">
        <v>214</v>
      </c>
      <c r="D341" t="s">
        <v>175</v>
      </c>
    </row>
    <row r="342" spans="2:4" hidden="1" x14ac:dyDescent="0.25">
      <c r="B342" s="39" t="s">
        <v>139</v>
      </c>
      <c r="C342" t="s">
        <v>271</v>
      </c>
      <c r="D342" t="s">
        <v>175</v>
      </c>
    </row>
    <row r="343" spans="2:4" hidden="1" x14ac:dyDescent="0.25">
      <c r="B343" s="39" t="s">
        <v>58</v>
      </c>
      <c r="C343" t="s">
        <v>222</v>
      </c>
      <c r="D343" t="s">
        <v>175</v>
      </c>
    </row>
    <row r="344" spans="2:4" hidden="1" x14ac:dyDescent="0.25">
      <c r="B344" s="39" t="s">
        <v>40</v>
      </c>
      <c r="C344" t="s">
        <v>272</v>
      </c>
      <c r="D344" t="s">
        <v>175</v>
      </c>
    </row>
    <row r="345" spans="2:4" hidden="1" x14ac:dyDescent="0.25">
      <c r="B345" s="39" t="s">
        <v>56</v>
      </c>
      <c r="C345" t="s">
        <v>215</v>
      </c>
      <c r="D345" t="s">
        <v>175</v>
      </c>
    </row>
    <row r="346" spans="2:4" hidden="1" x14ac:dyDescent="0.25">
      <c r="B346" s="39" t="s">
        <v>140</v>
      </c>
      <c r="C346" t="s">
        <v>273</v>
      </c>
      <c r="D346" t="s">
        <v>175</v>
      </c>
    </row>
    <row r="347" spans="2:4" hidden="1" x14ac:dyDescent="0.25">
      <c r="B347" s="39" t="s">
        <v>154</v>
      </c>
      <c r="C347" t="s">
        <v>223</v>
      </c>
      <c r="D347" t="s">
        <v>175</v>
      </c>
    </row>
    <row r="348" spans="2:4" hidden="1" x14ac:dyDescent="0.25">
      <c r="B348" s="39" t="s">
        <v>141</v>
      </c>
      <c r="C348" t="s">
        <v>274</v>
      </c>
      <c r="D348" t="s">
        <v>175</v>
      </c>
    </row>
    <row r="349" spans="2:4" hidden="1" x14ac:dyDescent="0.25">
      <c r="B349" s="39" t="s">
        <v>55</v>
      </c>
      <c r="C349" t="s">
        <v>216</v>
      </c>
      <c r="D349" t="s">
        <v>175</v>
      </c>
    </row>
    <row r="350" spans="2:4" hidden="1" x14ac:dyDescent="0.25">
      <c r="B350" s="39" t="s">
        <v>155</v>
      </c>
      <c r="C350" t="s">
        <v>224</v>
      </c>
      <c r="D350" t="s">
        <v>175</v>
      </c>
    </row>
    <row r="351" spans="2:4" hidden="1" x14ac:dyDescent="0.25">
      <c r="B351" s="39" t="s">
        <v>153</v>
      </c>
      <c r="C351" t="s">
        <v>217</v>
      </c>
      <c r="D351" t="s">
        <v>175</v>
      </c>
    </row>
    <row r="352" spans="2:4" hidden="1" x14ac:dyDescent="0.25">
      <c r="B352" s="39" t="s">
        <v>60</v>
      </c>
      <c r="C352" t="s">
        <v>225</v>
      </c>
      <c r="D352" t="s">
        <v>175</v>
      </c>
    </row>
    <row r="353" spans="2:4" hidden="1" x14ac:dyDescent="0.25">
      <c r="B353" s="39" t="s">
        <v>53</v>
      </c>
      <c r="C353" t="s">
        <v>218</v>
      </c>
      <c r="D353" t="s">
        <v>175</v>
      </c>
    </row>
    <row r="354" spans="2:4" hidden="1" x14ac:dyDescent="0.25">
      <c r="B354" s="39" t="s">
        <v>125</v>
      </c>
      <c r="C354" t="s">
        <v>219</v>
      </c>
      <c r="D354" t="s">
        <v>175</v>
      </c>
    </row>
    <row r="355" spans="2:4" hidden="1" x14ac:dyDescent="0.25">
      <c r="B355" s="39" t="s">
        <v>54</v>
      </c>
      <c r="C355" t="s">
        <v>220</v>
      </c>
      <c r="D355" t="s">
        <v>175</v>
      </c>
    </row>
    <row r="356" spans="2:4" hidden="1" x14ac:dyDescent="0.25">
      <c r="B356" s="39" t="s">
        <v>32</v>
      </c>
      <c r="C356" t="s">
        <v>288</v>
      </c>
      <c r="D356" t="s">
        <v>104</v>
      </c>
    </row>
    <row r="357" spans="2:4" hidden="1" x14ac:dyDescent="0.25">
      <c r="B357" s="39" t="s">
        <v>34</v>
      </c>
      <c r="C357" t="s">
        <v>289</v>
      </c>
      <c r="D357" t="s">
        <v>104</v>
      </c>
    </row>
    <row r="358" spans="2:4" hidden="1" x14ac:dyDescent="0.25">
      <c r="B358" s="39" t="s">
        <v>35</v>
      </c>
      <c r="C358" t="s">
        <v>290</v>
      </c>
      <c r="D358" t="s">
        <v>104</v>
      </c>
    </row>
    <row r="359" spans="2:4" hidden="1" x14ac:dyDescent="0.25">
      <c r="B359" s="39" t="s">
        <v>174</v>
      </c>
      <c r="C359" t="s">
        <v>291</v>
      </c>
      <c r="D359" t="s">
        <v>104</v>
      </c>
    </row>
    <row r="360" spans="2:4" hidden="1" x14ac:dyDescent="0.25">
      <c r="B360" s="13" t="s">
        <v>145</v>
      </c>
      <c r="C360" t="s">
        <v>292</v>
      </c>
      <c r="D360" t="s">
        <v>104</v>
      </c>
    </row>
    <row r="361" spans="2:4" hidden="1" x14ac:dyDescent="0.25">
      <c r="B361" s="39" t="s">
        <v>33</v>
      </c>
      <c r="C361" t="s">
        <v>293</v>
      </c>
      <c r="D361" t="s">
        <v>104</v>
      </c>
    </row>
    <row r="362" spans="2:4" hidden="1" x14ac:dyDescent="0.25">
      <c r="B362" s="39" t="s">
        <v>66</v>
      </c>
      <c r="C362" t="s">
        <v>253</v>
      </c>
      <c r="D362" t="s">
        <v>108</v>
      </c>
    </row>
    <row r="363" spans="2:4" hidden="1" x14ac:dyDescent="0.25">
      <c r="B363" s="39" t="s">
        <v>67</v>
      </c>
      <c r="C363" t="s">
        <v>254</v>
      </c>
      <c r="D363" t="s">
        <v>108</v>
      </c>
    </row>
    <row r="364" spans="2:4" hidden="1" x14ac:dyDescent="0.25">
      <c r="B364" s="39" t="s">
        <v>133</v>
      </c>
      <c r="C364" t="s">
        <v>255</v>
      </c>
      <c r="D364" t="s">
        <v>108</v>
      </c>
    </row>
    <row r="365" spans="2:4" hidden="1" x14ac:dyDescent="0.25">
      <c r="B365" s="39" t="s">
        <v>170</v>
      </c>
      <c r="C365" t="s">
        <v>256</v>
      </c>
      <c r="D365" t="s">
        <v>108</v>
      </c>
    </row>
    <row r="366" spans="2:4" hidden="1" x14ac:dyDescent="0.25">
      <c r="B366" s="39" t="s">
        <v>70</v>
      </c>
      <c r="C366" t="s">
        <v>257</v>
      </c>
      <c r="D366" t="s">
        <v>108</v>
      </c>
    </row>
    <row r="367" spans="2:4" hidden="1" x14ac:dyDescent="0.25">
      <c r="B367" s="39" t="s">
        <v>69</v>
      </c>
      <c r="C367" t="s">
        <v>258</v>
      </c>
      <c r="D367" t="s">
        <v>108</v>
      </c>
    </row>
    <row r="368" spans="2:4" hidden="1" x14ac:dyDescent="0.25">
      <c r="B368" s="39" t="s">
        <v>134</v>
      </c>
      <c r="C368" t="s">
        <v>259</v>
      </c>
      <c r="D368" t="s">
        <v>108</v>
      </c>
    </row>
    <row r="369" spans="2:4" hidden="1" x14ac:dyDescent="0.25">
      <c r="B369" s="39" t="s">
        <v>171</v>
      </c>
      <c r="C369" t="s">
        <v>260</v>
      </c>
      <c r="D369" t="s">
        <v>108</v>
      </c>
    </row>
    <row r="370" spans="2:4" hidden="1" x14ac:dyDescent="0.25">
      <c r="B370" s="39" t="s">
        <v>135</v>
      </c>
      <c r="C370" t="s">
        <v>261</v>
      </c>
      <c r="D370" t="s">
        <v>107</v>
      </c>
    </row>
    <row r="371" spans="2:4" hidden="1" x14ac:dyDescent="0.25">
      <c r="B371" s="39" t="s">
        <v>71</v>
      </c>
      <c r="C371" t="s">
        <v>262</v>
      </c>
      <c r="D371" t="s">
        <v>107</v>
      </c>
    </row>
    <row r="372" spans="2:4" hidden="1" x14ac:dyDescent="0.25">
      <c r="B372" s="39" t="s">
        <v>72</v>
      </c>
      <c r="C372" t="s">
        <v>263</v>
      </c>
      <c r="D372" t="s">
        <v>107</v>
      </c>
    </row>
    <row r="373" spans="2:4" hidden="1" x14ac:dyDescent="0.25">
      <c r="B373" s="39" t="s">
        <v>136</v>
      </c>
      <c r="C373" t="s">
        <v>264</v>
      </c>
      <c r="D373" t="s">
        <v>107</v>
      </c>
    </row>
    <row r="374" spans="2:4" hidden="1" x14ac:dyDescent="0.25">
      <c r="B374" s="39" t="s">
        <v>172</v>
      </c>
      <c r="C374" t="s">
        <v>265</v>
      </c>
      <c r="D374" t="s">
        <v>106</v>
      </c>
    </row>
    <row r="375" spans="2:4" hidden="1" x14ac:dyDescent="0.25">
      <c r="B375" s="39" t="s">
        <v>73</v>
      </c>
      <c r="C375" t="s">
        <v>266</v>
      </c>
      <c r="D375" t="s">
        <v>106</v>
      </c>
    </row>
    <row r="376" spans="2:4" hidden="1" x14ac:dyDescent="0.25">
      <c r="B376" s="39" t="s">
        <v>137</v>
      </c>
      <c r="C376" t="s">
        <v>267</v>
      </c>
      <c r="D376" t="s">
        <v>106</v>
      </c>
    </row>
    <row r="377" spans="2:4" hidden="1" x14ac:dyDescent="0.25">
      <c r="B377" s="39" t="s">
        <v>156</v>
      </c>
      <c r="C377" t="s">
        <v>226</v>
      </c>
      <c r="D377" t="s">
        <v>126</v>
      </c>
    </row>
    <row r="378" spans="2:4" hidden="1" x14ac:dyDescent="0.25">
      <c r="B378" s="39" t="s">
        <v>157</v>
      </c>
      <c r="C378" t="s">
        <v>227</v>
      </c>
      <c r="D378" t="s">
        <v>126</v>
      </c>
    </row>
    <row r="379" spans="2:4" hidden="1" x14ac:dyDescent="0.25">
      <c r="B379" s="39" t="s">
        <v>158</v>
      </c>
      <c r="C379" t="s">
        <v>228</v>
      </c>
      <c r="D379" t="s">
        <v>126</v>
      </c>
    </row>
    <row r="380" spans="2:4" hidden="1" x14ac:dyDescent="0.25">
      <c r="B380" s="39" t="s">
        <v>42</v>
      </c>
      <c r="C380" t="s">
        <v>229</v>
      </c>
      <c r="D380" t="s">
        <v>126</v>
      </c>
    </row>
    <row r="381" spans="2:4" hidden="1" x14ac:dyDescent="0.25">
      <c r="B381" s="39" t="s">
        <v>127</v>
      </c>
      <c r="C381" t="s">
        <v>230</v>
      </c>
      <c r="D381" t="s">
        <v>126</v>
      </c>
    </row>
    <row r="382" spans="2:4" hidden="1" x14ac:dyDescent="0.25">
      <c r="B382" s="39" t="s">
        <v>128</v>
      </c>
      <c r="C382" t="s">
        <v>231</v>
      </c>
      <c r="D382" t="s">
        <v>126</v>
      </c>
    </row>
    <row r="383" spans="2:4" hidden="1" x14ac:dyDescent="0.25">
      <c r="B383" s="39" t="s">
        <v>41</v>
      </c>
      <c r="C383" t="s">
        <v>232</v>
      </c>
      <c r="D383" t="s">
        <v>126</v>
      </c>
    </row>
    <row r="384" spans="2:4" hidden="1" x14ac:dyDescent="0.25">
      <c r="B384" s="39" t="s">
        <v>129</v>
      </c>
      <c r="C384" t="s">
        <v>233</v>
      </c>
      <c r="D384" t="s">
        <v>126</v>
      </c>
    </row>
    <row r="385" spans="2:4" hidden="1" x14ac:dyDescent="0.25">
      <c r="B385" s="39" t="s">
        <v>23</v>
      </c>
      <c r="C385" t="s">
        <v>275</v>
      </c>
      <c r="D385" t="s">
        <v>22</v>
      </c>
    </row>
    <row r="386" spans="2:4" hidden="1" x14ac:dyDescent="0.25">
      <c r="B386" s="39" t="s">
        <v>25</v>
      </c>
      <c r="C386" t="s">
        <v>276</v>
      </c>
      <c r="D386" t="s">
        <v>22</v>
      </c>
    </row>
    <row r="387" spans="2:4" hidden="1" x14ac:dyDescent="0.25">
      <c r="B387" s="39" t="s">
        <v>142</v>
      </c>
      <c r="C387" t="s">
        <v>277</v>
      </c>
      <c r="D387" t="s">
        <v>22</v>
      </c>
    </row>
    <row r="388" spans="2:4" hidden="1" x14ac:dyDescent="0.25">
      <c r="B388" s="39" t="s">
        <v>24</v>
      </c>
      <c r="C388" t="s">
        <v>278</v>
      </c>
      <c r="D388" t="s">
        <v>22</v>
      </c>
    </row>
    <row r="389" spans="2:4" hidden="1" x14ac:dyDescent="0.25">
      <c r="B389" s="13" t="s">
        <v>173</v>
      </c>
      <c r="C389" t="s">
        <v>279</v>
      </c>
      <c r="D389" t="s">
        <v>22</v>
      </c>
    </row>
    <row r="390" spans="2:4" hidden="1" x14ac:dyDescent="0.25">
      <c r="B390" s="39" t="s">
        <v>26</v>
      </c>
      <c r="C390" t="s">
        <v>280</v>
      </c>
      <c r="D390" t="s">
        <v>22</v>
      </c>
    </row>
    <row r="391" spans="2:4" hidden="1" x14ac:dyDescent="0.25">
      <c r="B391" s="39" t="s">
        <v>27</v>
      </c>
      <c r="C391" t="s">
        <v>281</v>
      </c>
      <c r="D391" t="s">
        <v>22</v>
      </c>
    </row>
    <row r="392" spans="2:4" hidden="1" x14ac:dyDescent="0.25">
      <c r="B392" s="39" t="s">
        <v>152</v>
      </c>
      <c r="C392" t="s">
        <v>213</v>
      </c>
      <c r="D392" t="s">
        <v>52</v>
      </c>
    </row>
    <row r="393" spans="2:4" hidden="1" x14ac:dyDescent="0.25">
      <c r="B393" s="39" t="s">
        <v>124</v>
      </c>
      <c r="C393" t="s">
        <v>214</v>
      </c>
      <c r="D393" t="s">
        <v>52</v>
      </c>
    </row>
    <row r="394" spans="2:4" hidden="1" x14ac:dyDescent="0.25">
      <c r="B394" s="39" t="s">
        <v>56</v>
      </c>
      <c r="C394" t="s">
        <v>215</v>
      </c>
      <c r="D394" t="s">
        <v>52</v>
      </c>
    </row>
    <row r="395" spans="2:4" hidden="1" x14ac:dyDescent="0.25">
      <c r="B395" s="39" t="s">
        <v>55</v>
      </c>
      <c r="C395" t="s">
        <v>216</v>
      </c>
      <c r="D395" t="s">
        <v>52</v>
      </c>
    </row>
    <row r="396" spans="2:4" hidden="1" x14ac:dyDescent="0.25">
      <c r="B396" s="39" t="s">
        <v>153</v>
      </c>
      <c r="C396" t="s">
        <v>217</v>
      </c>
      <c r="D396" t="s">
        <v>52</v>
      </c>
    </row>
    <row r="397" spans="2:4" hidden="1" x14ac:dyDescent="0.25">
      <c r="B397" s="39" t="s">
        <v>53</v>
      </c>
      <c r="C397" t="s">
        <v>218</v>
      </c>
      <c r="D397" t="s">
        <v>52</v>
      </c>
    </row>
    <row r="398" spans="2:4" hidden="1" x14ac:dyDescent="0.25">
      <c r="B398" s="39" t="s">
        <v>125</v>
      </c>
      <c r="C398" t="s">
        <v>219</v>
      </c>
      <c r="D398" t="s">
        <v>52</v>
      </c>
    </row>
    <row r="399" spans="2:4" hidden="1" x14ac:dyDescent="0.25">
      <c r="B399" s="39" t="s">
        <v>54</v>
      </c>
      <c r="C399" t="s">
        <v>220</v>
      </c>
      <c r="D399" t="s">
        <v>52</v>
      </c>
    </row>
    <row r="400" spans="2:4" hidden="1" x14ac:dyDescent="0.25">
      <c r="B400" s="41" t="s">
        <v>29</v>
      </c>
      <c r="C400" t="s">
        <v>282</v>
      </c>
      <c r="D400" t="s">
        <v>143</v>
      </c>
    </row>
    <row r="401" spans="2:4" hidden="1" x14ac:dyDescent="0.25">
      <c r="B401" s="39" t="s">
        <v>31</v>
      </c>
      <c r="C401" t="s">
        <v>283</v>
      </c>
      <c r="D401" t="s">
        <v>143</v>
      </c>
    </row>
    <row r="402" spans="2:4" hidden="1" x14ac:dyDescent="0.25">
      <c r="B402" s="39" t="s">
        <v>28</v>
      </c>
      <c r="C402" t="s">
        <v>284</v>
      </c>
      <c r="D402" t="s">
        <v>143</v>
      </c>
    </row>
    <row r="403" spans="2:4" hidden="1" x14ac:dyDescent="0.25">
      <c r="B403" s="39" t="s">
        <v>36</v>
      </c>
      <c r="C403" t="s">
        <v>285</v>
      </c>
      <c r="D403" t="s">
        <v>143</v>
      </c>
    </row>
    <row r="404" spans="2:4" hidden="1" x14ac:dyDescent="0.25">
      <c r="B404" s="39" t="s">
        <v>30</v>
      </c>
      <c r="C404" t="s">
        <v>286</v>
      </c>
      <c r="D404" t="s">
        <v>143</v>
      </c>
    </row>
    <row r="405" spans="2:4" hidden="1" x14ac:dyDescent="0.25">
      <c r="B405" s="13" t="s">
        <v>144</v>
      </c>
      <c r="C405" t="s">
        <v>287</v>
      </c>
      <c r="D405" t="s">
        <v>143</v>
      </c>
    </row>
    <row r="406" spans="2:4" hidden="1" x14ac:dyDescent="0.25">
      <c r="B406" s="41" t="s">
        <v>29</v>
      </c>
      <c r="C406" t="s">
        <v>282</v>
      </c>
      <c r="D406" t="s">
        <v>176</v>
      </c>
    </row>
    <row r="407" spans="2:4" hidden="1" x14ac:dyDescent="0.25">
      <c r="B407" s="39" t="s">
        <v>32</v>
      </c>
      <c r="C407" t="s">
        <v>288</v>
      </c>
      <c r="D407" t="s">
        <v>176</v>
      </c>
    </row>
    <row r="408" spans="2:4" hidden="1" x14ac:dyDescent="0.25">
      <c r="B408" s="39" t="s">
        <v>31</v>
      </c>
      <c r="C408" t="s">
        <v>283</v>
      </c>
      <c r="D408" t="s">
        <v>176</v>
      </c>
    </row>
    <row r="409" spans="2:4" hidden="1" x14ac:dyDescent="0.25">
      <c r="B409" s="39" t="s">
        <v>34</v>
      </c>
      <c r="C409" t="s">
        <v>289</v>
      </c>
      <c r="D409" t="s">
        <v>176</v>
      </c>
    </row>
    <row r="410" spans="2:4" hidden="1" x14ac:dyDescent="0.25">
      <c r="B410" s="39" t="s">
        <v>28</v>
      </c>
      <c r="C410" t="s">
        <v>284</v>
      </c>
      <c r="D410" t="s">
        <v>176</v>
      </c>
    </row>
    <row r="411" spans="2:4" hidden="1" x14ac:dyDescent="0.25">
      <c r="B411" s="39" t="s">
        <v>35</v>
      </c>
      <c r="C411" t="s">
        <v>290</v>
      </c>
      <c r="D411" t="s">
        <v>176</v>
      </c>
    </row>
    <row r="412" spans="2:4" hidden="1" x14ac:dyDescent="0.25">
      <c r="B412" s="39" t="s">
        <v>36</v>
      </c>
      <c r="C412" t="s">
        <v>285</v>
      </c>
      <c r="D412" t="s">
        <v>176</v>
      </c>
    </row>
    <row r="413" spans="2:4" hidden="1" x14ac:dyDescent="0.25">
      <c r="B413" s="39" t="s">
        <v>174</v>
      </c>
      <c r="C413" t="s">
        <v>291</v>
      </c>
      <c r="D413" t="s">
        <v>176</v>
      </c>
    </row>
    <row r="414" spans="2:4" hidden="1" x14ac:dyDescent="0.25">
      <c r="B414" s="39" t="s">
        <v>30</v>
      </c>
      <c r="C414" t="s">
        <v>286</v>
      </c>
      <c r="D414" t="s">
        <v>176</v>
      </c>
    </row>
    <row r="415" spans="2:4" hidden="1" x14ac:dyDescent="0.25">
      <c r="B415" s="13" t="s">
        <v>145</v>
      </c>
      <c r="C415" t="s">
        <v>292</v>
      </c>
      <c r="D415" t="s">
        <v>176</v>
      </c>
    </row>
    <row r="416" spans="2:4" hidden="1" x14ac:dyDescent="0.25">
      <c r="B416" s="13" t="s">
        <v>144</v>
      </c>
      <c r="C416" t="s">
        <v>287</v>
      </c>
      <c r="D416" t="s">
        <v>176</v>
      </c>
    </row>
    <row r="417" spans="2:4" hidden="1" x14ac:dyDescent="0.25">
      <c r="B417" s="39" t="s">
        <v>33</v>
      </c>
      <c r="C417" t="s">
        <v>293</v>
      </c>
      <c r="D417" t="s">
        <v>176</v>
      </c>
    </row>
    <row r="418" spans="2:4" hidden="1" x14ac:dyDescent="0.25">
      <c r="B418" s="39" t="s">
        <v>64</v>
      </c>
      <c r="C418" t="s">
        <v>246</v>
      </c>
      <c r="D418" t="s">
        <v>20</v>
      </c>
    </row>
    <row r="419" spans="2:4" hidden="1" x14ac:dyDescent="0.25">
      <c r="B419" s="39" t="s">
        <v>167</v>
      </c>
      <c r="C419" t="s">
        <v>247</v>
      </c>
      <c r="D419" t="s">
        <v>20</v>
      </c>
    </row>
    <row r="420" spans="2:4" hidden="1" x14ac:dyDescent="0.25">
      <c r="B420" s="39" t="s">
        <v>168</v>
      </c>
      <c r="C420" t="s">
        <v>248</v>
      </c>
      <c r="D420" t="s">
        <v>20</v>
      </c>
    </row>
    <row r="421" spans="2:4" hidden="1" x14ac:dyDescent="0.25">
      <c r="B421" s="39" t="s">
        <v>65</v>
      </c>
      <c r="C421" t="s">
        <v>249</v>
      </c>
      <c r="D421" t="s">
        <v>20</v>
      </c>
    </row>
    <row r="422" spans="2:4" hidden="1" x14ac:dyDescent="0.25">
      <c r="B422" s="39" t="s">
        <v>132</v>
      </c>
      <c r="C422" t="s">
        <v>250</v>
      </c>
      <c r="D422" t="s">
        <v>20</v>
      </c>
    </row>
    <row r="423" spans="2:4" hidden="1" x14ac:dyDescent="0.25">
      <c r="B423" s="39" t="s">
        <v>68</v>
      </c>
      <c r="C423" t="s">
        <v>251</v>
      </c>
      <c r="D423" t="s">
        <v>20</v>
      </c>
    </row>
    <row r="424" spans="2:4" hidden="1" x14ac:dyDescent="0.25">
      <c r="B424" s="39" t="s">
        <v>169</v>
      </c>
      <c r="C424" t="s">
        <v>252</v>
      </c>
      <c r="D424" t="s">
        <v>20</v>
      </c>
    </row>
    <row r="425" spans="2:4" hidden="1" x14ac:dyDescent="0.25">
      <c r="B425" s="39" t="s">
        <v>51</v>
      </c>
      <c r="C425" t="s">
        <v>200</v>
      </c>
      <c r="D425" t="s">
        <v>117</v>
      </c>
    </row>
    <row r="426" spans="2:4" hidden="1" x14ac:dyDescent="0.25">
      <c r="B426" s="39" t="s">
        <v>118</v>
      </c>
      <c r="C426" t="s">
        <v>201</v>
      </c>
      <c r="D426" t="s">
        <v>117</v>
      </c>
    </row>
    <row r="427" spans="2:4" hidden="1" x14ac:dyDescent="0.25">
      <c r="B427" s="39" t="s">
        <v>150</v>
      </c>
      <c r="C427" t="s">
        <v>202</v>
      </c>
      <c r="D427" t="s">
        <v>117</v>
      </c>
    </row>
    <row r="428" spans="2:4" hidden="1" x14ac:dyDescent="0.25">
      <c r="B428" s="39" t="s">
        <v>50</v>
      </c>
      <c r="C428" t="s">
        <v>203</v>
      </c>
      <c r="D428" t="s">
        <v>117</v>
      </c>
    </row>
    <row r="429" spans="2:4" hidden="1" x14ac:dyDescent="0.25">
      <c r="B429" s="39" t="s">
        <v>51</v>
      </c>
      <c r="C429" t="s">
        <v>200</v>
      </c>
      <c r="D429" t="s">
        <v>177</v>
      </c>
    </row>
    <row r="430" spans="2:4" hidden="1" x14ac:dyDescent="0.25">
      <c r="B430" s="39" t="s">
        <v>46</v>
      </c>
      <c r="C430" t="s">
        <v>204</v>
      </c>
      <c r="D430" t="s">
        <v>177</v>
      </c>
    </row>
    <row r="431" spans="2:4" hidden="1" x14ac:dyDescent="0.25">
      <c r="B431" s="39" t="s">
        <v>118</v>
      </c>
      <c r="C431" t="s">
        <v>201</v>
      </c>
      <c r="D431" t="s">
        <v>177</v>
      </c>
    </row>
    <row r="432" spans="2:4" hidden="1" x14ac:dyDescent="0.25">
      <c r="B432" s="39" t="s">
        <v>47</v>
      </c>
      <c r="C432" t="s">
        <v>205</v>
      </c>
      <c r="D432" t="s">
        <v>177</v>
      </c>
    </row>
    <row r="433" spans="2:4" hidden="1" x14ac:dyDescent="0.25">
      <c r="B433" s="39" t="s">
        <v>150</v>
      </c>
      <c r="C433" t="s">
        <v>202</v>
      </c>
      <c r="D433" t="s">
        <v>177</v>
      </c>
    </row>
    <row r="434" spans="2:4" hidden="1" x14ac:dyDescent="0.25">
      <c r="B434" s="39" t="s">
        <v>49</v>
      </c>
      <c r="C434" t="s">
        <v>206</v>
      </c>
      <c r="D434" t="s">
        <v>177</v>
      </c>
    </row>
    <row r="435" spans="2:4" hidden="1" x14ac:dyDescent="0.25">
      <c r="B435" s="39" t="s">
        <v>50</v>
      </c>
      <c r="C435" t="s">
        <v>203</v>
      </c>
      <c r="D435" t="s">
        <v>177</v>
      </c>
    </row>
    <row r="436" spans="2:4" hidden="1" x14ac:dyDescent="0.25">
      <c r="B436" s="39" t="s">
        <v>48</v>
      </c>
      <c r="C436" t="s">
        <v>207</v>
      </c>
      <c r="D436" t="s">
        <v>177</v>
      </c>
    </row>
    <row r="437" spans="2:4" hidden="1" x14ac:dyDescent="0.25">
      <c r="B437" s="39" t="s">
        <v>119</v>
      </c>
      <c r="C437" t="s">
        <v>208</v>
      </c>
      <c r="D437" t="s">
        <v>177</v>
      </c>
    </row>
    <row r="438" spans="2:4" hidden="1" x14ac:dyDescent="0.25">
      <c r="B438" s="39" t="s">
        <v>46</v>
      </c>
      <c r="C438" t="s">
        <v>204</v>
      </c>
      <c r="D438" s="40" t="s">
        <v>105</v>
      </c>
    </row>
    <row r="439" spans="2:4" hidden="1" x14ac:dyDescent="0.25">
      <c r="B439" s="39" t="s">
        <v>47</v>
      </c>
      <c r="C439" t="s">
        <v>205</v>
      </c>
      <c r="D439" s="40" t="s">
        <v>105</v>
      </c>
    </row>
    <row r="440" spans="2:4" hidden="1" x14ac:dyDescent="0.25">
      <c r="B440" s="39" t="s">
        <v>49</v>
      </c>
      <c r="C440" t="s">
        <v>206</v>
      </c>
      <c r="D440" s="40" t="s">
        <v>105</v>
      </c>
    </row>
    <row r="441" spans="2:4" hidden="1" x14ac:dyDescent="0.25">
      <c r="B441" s="39" t="s">
        <v>48</v>
      </c>
      <c r="C441" t="s">
        <v>207</v>
      </c>
      <c r="D441" s="40" t="s">
        <v>105</v>
      </c>
    </row>
    <row r="442" spans="2:4" hidden="1" x14ac:dyDescent="0.25">
      <c r="B442" s="39" t="s">
        <v>119</v>
      </c>
      <c r="C442" t="s">
        <v>208</v>
      </c>
      <c r="D442" s="40" t="s">
        <v>105</v>
      </c>
    </row>
    <row r="443" spans="2:4" hidden="1" x14ac:dyDescent="0.25">
      <c r="B443" s="39" t="s">
        <v>151</v>
      </c>
      <c r="C443" t="s">
        <v>209</v>
      </c>
      <c r="D443" t="s">
        <v>120</v>
      </c>
    </row>
    <row r="444" spans="2:4" hidden="1" x14ac:dyDescent="0.25">
      <c r="B444" s="39" t="s">
        <v>121</v>
      </c>
      <c r="C444" t="s">
        <v>210</v>
      </c>
      <c r="D444" t="s">
        <v>120</v>
      </c>
    </row>
    <row r="445" spans="2:4" hidden="1" x14ac:dyDescent="0.25">
      <c r="B445" s="39" t="s">
        <v>122</v>
      </c>
      <c r="C445" t="s">
        <v>211</v>
      </c>
      <c r="D445" t="s">
        <v>120</v>
      </c>
    </row>
    <row r="446" spans="2:4" hidden="1" x14ac:dyDescent="0.25">
      <c r="B446" s="39" t="s">
        <v>123</v>
      </c>
      <c r="C446" t="s">
        <v>212</v>
      </c>
      <c r="D446" t="s">
        <v>120</v>
      </c>
    </row>
    <row r="447" spans="2:4" hidden="1" x14ac:dyDescent="0.25">
      <c r="B447" s="39" t="s">
        <v>152</v>
      </c>
      <c r="C447" t="s">
        <v>213</v>
      </c>
      <c r="D447" t="s">
        <v>17</v>
      </c>
    </row>
    <row r="448" spans="2:4" hidden="1" x14ac:dyDescent="0.25">
      <c r="B448" s="39" t="s">
        <v>59</v>
      </c>
      <c r="C448" t="s">
        <v>221</v>
      </c>
      <c r="D448" t="s">
        <v>17</v>
      </c>
    </row>
    <row r="449" spans="2:4" hidden="1" x14ac:dyDescent="0.25">
      <c r="B449" s="39" t="s">
        <v>124</v>
      </c>
      <c r="C449" t="s">
        <v>214</v>
      </c>
      <c r="D449" t="s">
        <v>17</v>
      </c>
    </row>
    <row r="450" spans="2:4" hidden="1" x14ac:dyDescent="0.25">
      <c r="B450" s="39" t="s">
        <v>58</v>
      </c>
      <c r="C450" t="s">
        <v>222</v>
      </c>
      <c r="D450" t="s">
        <v>17</v>
      </c>
    </row>
    <row r="451" spans="2:4" hidden="1" x14ac:dyDescent="0.25">
      <c r="B451" s="39" t="s">
        <v>56</v>
      </c>
      <c r="C451" t="s">
        <v>215</v>
      </c>
      <c r="D451" t="s">
        <v>17</v>
      </c>
    </row>
    <row r="452" spans="2:4" hidden="1" x14ac:dyDescent="0.25">
      <c r="B452" s="39" t="s">
        <v>154</v>
      </c>
      <c r="C452" t="s">
        <v>223</v>
      </c>
      <c r="D452" t="s">
        <v>17</v>
      </c>
    </row>
    <row r="453" spans="2:4" hidden="1" x14ac:dyDescent="0.25">
      <c r="B453" s="39" t="s">
        <v>55</v>
      </c>
      <c r="C453" t="s">
        <v>216</v>
      </c>
      <c r="D453" t="s">
        <v>17</v>
      </c>
    </row>
    <row r="454" spans="2:4" hidden="1" x14ac:dyDescent="0.25">
      <c r="B454" s="39" t="s">
        <v>155</v>
      </c>
      <c r="C454" t="s">
        <v>224</v>
      </c>
      <c r="D454" t="s">
        <v>17</v>
      </c>
    </row>
    <row r="455" spans="2:4" hidden="1" x14ac:dyDescent="0.25">
      <c r="B455" s="39" t="s">
        <v>153</v>
      </c>
      <c r="C455" t="s">
        <v>217</v>
      </c>
      <c r="D455" t="s">
        <v>17</v>
      </c>
    </row>
    <row r="456" spans="2:4" hidden="1" x14ac:dyDescent="0.25">
      <c r="B456" s="39" t="s">
        <v>60</v>
      </c>
      <c r="C456" t="s">
        <v>225</v>
      </c>
      <c r="D456" t="s">
        <v>17</v>
      </c>
    </row>
    <row r="457" spans="2:4" hidden="1" x14ac:dyDescent="0.25">
      <c r="B457" s="39" t="s">
        <v>53</v>
      </c>
      <c r="C457" t="s">
        <v>218</v>
      </c>
      <c r="D457" t="s">
        <v>17</v>
      </c>
    </row>
    <row r="458" spans="2:4" hidden="1" x14ac:dyDescent="0.25">
      <c r="B458" s="39" t="s">
        <v>125</v>
      </c>
      <c r="C458" t="s">
        <v>219</v>
      </c>
      <c r="D458" t="s">
        <v>17</v>
      </c>
    </row>
    <row r="459" spans="2:4" hidden="1" x14ac:dyDescent="0.25">
      <c r="B459" s="39" t="s">
        <v>54</v>
      </c>
      <c r="C459" t="s">
        <v>220</v>
      </c>
      <c r="D459" t="s">
        <v>17</v>
      </c>
    </row>
    <row r="460" spans="2:4" hidden="1" x14ac:dyDescent="0.25">
      <c r="B460" s="39" t="s">
        <v>131</v>
      </c>
      <c r="C460" t="s">
        <v>234</v>
      </c>
      <c r="D460" t="s">
        <v>130</v>
      </c>
    </row>
    <row r="461" spans="2:4" hidden="1" x14ac:dyDescent="0.25">
      <c r="B461" s="39" t="s">
        <v>159</v>
      </c>
      <c r="C461" t="s">
        <v>235</v>
      </c>
      <c r="D461" t="s">
        <v>130</v>
      </c>
    </row>
    <row r="462" spans="2:4" hidden="1" x14ac:dyDescent="0.25">
      <c r="B462" s="39" t="s">
        <v>160</v>
      </c>
      <c r="C462" t="s">
        <v>236</v>
      </c>
      <c r="D462" t="s">
        <v>130</v>
      </c>
    </row>
    <row r="463" spans="2:4" hidden="1" x14ac:dyDescent="0.25">
      <c r="B463" s="39" t="s">
        <v>161</v>
      </c>
      <c r="C463" t="s">
        <v>237</v>
      </c>
      <c r="D463" t="s">
        <v>130</v>
      </c>
    </row>
    <row r="464" spans="2:4" hidden="1" x14ac:dyDescent="0.25">
      <c r="B464" s="39" t="s">
        <v>162</v>
      </c>
      <c r="C464" t="s">
        <v>238</v>
      </c>
      <c r="D464" t="s">
        <v>130</v>
      </c>
    </row>
    <row r="465" spans="2:4" hidden="1" x14ac:dyDescent="0.25">
      <c r="B465" s="41" t="s">
        <v>163</v>
      </c>
      <c r="C465" t="s">
        <v>239</v>
      </c>
      <c r="D465" t="s">
        <v>130</v>
      </c>
    </row>
    <row r="466" spans="2:4" hidden="1" x14ac:dyDescent="0.25">
      <c r="B466" s="41" t="s">
        <v>164</v>
      </c>
      <c r="C466" t="s">
        <v>240</v>
      </c>
      <c r="D466" t="s">
        <v>130</v>
      </c>
    </row>
    <row r="467" spans="2:4" hidden="1" x14ac:dyDescent="0.25">
      <c r="B467" s="39" t="s">
        <v>43</v>
      </c>
      <c r="C467" t="s">
        <v>241</v>
      </c>
      <c r="D467" t="s">
        <v>130</v>
      </c>
    </row>
    <row r="468" spans="2:4" hidden="1" x14ac:dyDescent="0.25">
      <c r="B468" s="41" t="s">
        <v>165</v>
      </c>
      <c r="C468" t="s">
        <v>242</v>
      </c>
      <c r="D468" t="s">
        <v>130</v>
      </c>
    </row>
    <row r="469" spans="2:4" hidden="1" x14ac:dyDescent="0.25">
      <c r="B469" s="41" t="s">
        <v>166</v>
      </c>
      <c r="C469" t="s">
        <v>243</v>
      </c>
      <c r="D469" t="s">
        <v>130</v>
      </c>
    </row>
    <row r="470" spans="2:4" hidden="1" x14ac:dyDescent="0.25">
      <c r="B470" s="39" t="s">
        <v>44</v>
      </c>
      <c r="C470" t="s">
        <v>244</v>
      </c>
      <c r="D470" t="s">
        <v>130</v>
      </c>
    </row>
    <row r="471" spans="2:4" hidden="1" x14ac:dyDescent="0.25">
      <c r="B471" s="41" t="s">
        <v>45</v>
      </c>
      <c r="C471" t="s">
        <v>245</v>
      </c>
      <c r="D471" t="s">
        <v>130</v>
      </c>
    </row>
    <row r="472" spans="2:4" hidden="1" x14ac:dyDescent="0.25">
      <c r="B472" s="39" t="s">
        <v>59</v>
      </c>
      <c r="C472" t="s">
        <v>221</v>
      </c>
      <c r="D472" t="s">
        <v>57</v>
      </c>
    </row>
    <row r="473" spans="2:4" hidden="1" x14ac:dyDescent="0.25">
      <c r="B473" s="39" t="s">
        <v>58</v>
      </c>
      <c r="C473" t="s">
        <v>222</v>
      </c>
      <c r="D473" t="s">
        <v>57</v>
      </c>
    </row>
    <row r="474" spans="2:4" hidden="1" x14ac:dyDescent="0.25">
      <c r="B474" s="39" t="s">
        <v>154</v>
      </c>
      <c r="C474" t="s">
        <v>223</v>
      </c>
      <c r="D474" t="s">
        <v>57</v>
      </c>
    </row>
    <row r="475" spans="2:4" hidden="1" x14ac:dyDescent="0.25">
      <c r="B475" s="39" t="s">
        <v>155</v>
      </c>
      <c r="C475" t="s">
        <v>224</v>
      </c>
      <c r="D475" t="s">
        <v>57</v>
      </c>
    </row>
    <row r="476" spans="2:4" hidden="1" x14ac:dyDescent="0.25">
      <c r="B476" s="39" t="s">
        <v>60</v>
      </c>
      <c r="C476" t="s">
        <v>225</v>
      </c>
      <c r="D476" t="s">
        <v>57</v>
      </c>
    </row>
  </sheetData>
  <mergeCells count="12">
    <mergeCell ref="H34:M34"/>
    <mergeCell ref="N17:S17"/>
    <mergeCell ref="N25:S25"/>
    <mergeCell ref="N34:S34"/>
    <mergeCell ref="T17:W17"/>
    <mergeCell ref="T25:W25"/>
    <mergeCell ref="T34:W34"/>
    <mergeCell ref="H8:M8"/>
    <mergeCell ref="N8:S8"/>
    <mergeCell ref="T8:W8"/>
    <mergeCell ref="H17:M17"/>
    <mergeCell ref="H25:M25"/>
  </mergeCells>
  <dataValidations count="2">
    <dataValidation type="list" allowBlank="1" showInputMessage="1" showErrorMessage="1" sqref="S37:S40 S28:S31 M28:M31 S11:S14 S20:S22 M37:M40">
      <formula1>$C$62:$C$64</formula1>
    </dataValidation>
    <dataValidation type="list" allowBlank="1" showInputMessage="1" showErrorMessage="1" sqref="C11:C16 C20:C24 C28:C33 C37:C41">
      <formula1>INDIRECT(D11)</formula1>
    </dataValidation>
  </dataValidations>
  <hyperlinks>
    <hyperlink ref="B206" r:id="rId1"/>
    <hyperlink ref="B155" r:id="rId2"/>
    <hyperlink ref="B153" r:id="rId3"/>
    <hyperlink ref="B152" r:id="rId4"/>
    <hyperlink ref="B149" r:id="rId5"/>
    <hyperlink ref="B150" r:id="rId6"/>
    <hyperlink ref="B93" r:id="rId7"/>
    <hyperlink ref="B74" r:id="rId8"/>
    <hyperlink ref="B73" r:id="rId9"/>
    <hyperlink ref="B71" r:id="rId10"/>
    <hyperlink ref="B72" r:id="rId11"/>
    <hyperlink ref="B75" r:id="rId12"/>
    <hyperlink ref="B76" r:id="rId13"/>
    <hyperlink ref="B70" r:id="rId14"/>
    <hyperlink ref="B81" r:id="rId15"/>
    <hyperlink ref="B79" r:id="rId16"/>
    <hyperlink ref="B80" r:id="rId17"/>
    <hyperlink ref="B82" r:id="rId18"/>
    <hyperlink ref="B85" r:id="rId19"/>
    <hyperlink ref="B86" r:id="rId20"/>
    <hyperlink ref="B88" r:id="rId21"/>
    <hyperlink ref="B87" r:id="rId22"/>
    <hyperlink ref="B89" r:id="rId23"/>
    <hyperlink ref="B90" r:id="rId24"/>
    <hyperlink ref="B91" r:id="rId25"/>
    <hyperlink ref="B92" r:id="rId26"/>
    <hyperlink ref="B95" r:id="rId27"/>
    <hyperlink ref="B94" r:id="rId28"/>
    <hyperlink ref="B104" r:id="rId29"/>
    <hyperlink ref="B107" r:id="rId30"/>
    <hyperlink ref="B108" r:id="rId31"/>
    <hyperlink ref="B106" r:id="rId32"/>
    <hyperlink ref="B105" r:id="rId33"/>
    <hyperlink ref="B100" r:id="rId34"/>
    <hyperlink ref="B101" r:id="rId35"/>
    <hyperlink ref="B99" r:id="rId36"/>
    <hyperlink ref="B98" r:id="rId37"/>
    <hyperlink ref="B135" r:id="rId38"/>
    <hyperlink ref="B134" r:id="rId39"/>
    <hyperlink ref="B137" r:id="rId40"/>
    <hyperlink ref="B140" r:id="rId41"/>
    <hyperlink ref="B147" r:id="rId42"/>
    <hyperlink ref="B144" r:id="rId43"/>
    <hyperlink ref="B145" r:id="rId44"/>
    <hyperlink ref="B146" r:id="rId45"/>
    <hyperlink ref="B154" r:id="rId46"/>
    <hyperlink ref="B148" r:id="rId47"/>
    <hyperlink ref="B151" r:id="rId48"/>
    <hyperlink ref="B138" r:id="rId49"/>
    <hyperlink ref="B136" r:id="rId50"/>
    <hyperlink ref="B112" r:id="rId51"/>
    <hyperlink ref="B111" r:id="rId52"/>
    <hyperlink ref="B113" r:id="rId53"/>
    <hyperlink ref="B139" r:id="rId54"/>
    <hyperlink ref="B114" r:id="rId55"/>
    <hyperlink ref="B141" r:id="rId56"/>
    <hyperlink ref="B158" r:id="rId57"/>
    <hyperlink ref="B163" r:id="rId58"/>
    <hyperlink ref="B164" r:id="rId59"/>
    <hyperlink ref="B160" r:id="rId60"/>
    <hyperlink ref="B169" r:id="rId61"/>
    <hyperlink ref="B159" r:id="rId62"/>
    <hyperlink ref="B170" r:id="rId63"/>
    <hyperlink ref="B177" r:id="rId64"/>
    <hyperlink ref="B173" r:id="rId65"/>
    <hyperlink ref="B171" r:id="rId66"/>
    <hyperlink ref="B172" r:id="rId67"/>
    <hyperlink ref="B161" r:id="rId68"/>
    <hyperlink ref="B162" r:id="rId69"/>
    <hyperlink ref="B167" r:id="rId70"/>
    <hyperlink ref="B168" r:id="rId71"/>
    <hyperlink ref="B178" r:id="rId72"/>
    <hyperlink ref="B179" r:id="rId73"/>
    <hyperlink ref="B180" r:id="rId74"/>
    <hyperlink ref="B174" r:id="rId75"/>
    <hyperlink ref="B184" r:id="rId76"/>
    <hyperlink ref="B183" r:id="rId77"/>
    <hyperlink ref="B185" r:id="rId78"/>
    <hyperlink ref="B197" r:id="rId79"/>
    <hyperlink ref="B200" r:id="rId80"/>
    <hyperlink ref="B198" r:id="rId81"/>
    <hyperlink ref="B210" r:id="rId82"/>
    <hyperlink ref="B207" r:id="rId83"/>
    <hyperlink ref="B214" r:id="rId84"/>
    <hyperlink ref="B219" r:id="rId85"/>
    <hyperlink ref="B202" r:id="rId86"/>
    <hyperlink ref="B203" r:id="rId87"/>
    <hyperlink ref="B208" r:id="rId88"/>
    <hyperlink ref="B209" r:id="rId89"/>
    <hyperlink ref="B217" r:id="rId90"/>
    <hyperlink ref="B199" r:id="rId91"/>
    <hyperlink ref="B189" r:id="rId92"/>
    <hyperlink ref="B188" r:id="rId93"/>
    <hyperlink ref="B192" r:id="rId94"/>
    <hyperlink ref="B190" r:id="rId95"/>
    <hyperlink ref="B191" r:id="rId96"/>
    <hyperlink ref="B193" r:id="rId97"/>
    <hyperlink ref="B194" r:id="rId98"/>
    <hyperlink ref="B119" r:id="rId99"/>
    <hyperlink ref="B120" r:id="rId100"/>
    <hyperlink ref="B215" r:id="rId101"/>
    <hyperlink ref="B216" r:id="rId102"/>
    <hyperlink ref="B201" r:id="rId103"/>
    <hyperlink ref="B218" r:id="rId104"/>
    <hyperlink ref="B211" r:id="rId105"/>
    <hyperlink ref="B122" r:id="rId106"/>
    <hyperlink ref="B123" r:id="rId107"/>
    <hyperlink ref="B124" r:id="rId108"/>
    <hyperlink ref="B117" r:id="rId109"/>
    <hyperlink ref="B121" r:id="rId110"/>
    <hyperlink ref="B131" r:id="rId111"/>
    <hyperlink ref="B127" r:id="rId112"/>
    <hyperlink ref="B128" r:id="rId113"/>
    <hyperlink ref="B129" r:id="rId114"/>
    <hyperlink ref="B130" r:id="rId115"/>
    <hyperlink ref="B118" r:id="rId116"/>
    <hyperlink ref="B227" r:id="rId117"/>
    <hyperlink ref="B229" r:id="rId118"/>
    <hyperlink ref="B233" r:id="rId119"/>
    <hyperlink ref="B234" r:id="rId120"/>
    <hyperlink ref="B235" r:id="rId121"/>
    <hyperlink ref="B223" r:id="rId122"/>
    <hyperlink ref="B231" r:id="rId123"/>
    <hyperlink ref="B232" r:id="rId124"/>
    <hyperlink ref="B224" r:id="rId125"/>
    <hyperlink ref="B226" r:id="rId126"/>
    <hyperlink ref="B228" r:id="rId127"/>
    <hyperlink ref="B230" r:id="rId128"/>
    <hyperlink ref="B225" r:id="rId129"/>
    <hyperlink ref="B237" r:id="rId130"/>
    <hyperlink ref="B245" r:id="rId131"/>
    <hyperlink ref="B239" r:id="rId132"/>
    <hyperlink ref="B241" r:id="rId133"/>
    <hyperlink ref="B243" r:id="rId134"/>
    <hyperlink ref="B247" r:id="rId135"/>
    <hyperlink ref="B238" r:id="rId136"/>
    <hyperlink ref="B248" r:id="rId137"/>
    <hyperlink ref="B244" r:id="rId138"/>
    <hyperlink ref="B240" r:id="rId139"/>
    <hyperlink ref="B242" r:id="rId140"/>
    <hyperlink ref="B246" r:id="rId141"/>
    <hyperlink ref="B259" r:id="rId142"/>
    <hyperlink ref="B263" r:id="rId143"/>
    <hyperlink ref="B267" r:id="rId144"/>
    <hyperlink ref="B268" r:id="rId145"/>
    <hyperlink ref="B269" r:id="rId146"/>
    <hyperlink ref="B251" r:id="rId147"/>
    <hyperlink ref="B265" r:id="rId148"/>
    <hyperlink ref="B266" r:id="rId149"/>
    <hyperlink ref="B253" r:id="rId150"/>
    <hyperlink ref="B257" r:id="rId151"/>
    <hyperlink ref="B261" r:id="rId152"/>
    <hyperlink ref="B264" r:id="rId153"/>
    <hyperlink ref="B255" r:id="rId154"/>
    <hyperlink ref="B252" r:id="rId155"/>
    <hyperlink ref="B250" r:id="rId156"/>
    <hyperlink ref="B258" r:id="rId157"/>
    <hyperlink ref="B254" r:id="rId158"/>
    <hyperlink ref="B256" r:id="rId159"/>
    <hyperlink ref="B260" r:id="rId160"/>
    <hyperlink ref="B262" r:id="rId161"/>
    <hyperlink ref="B273" r:id="rId162"/>
    <hyperlink ref="B279" r:id="rId163"/>
    <hyperlink ref="B280" r:id="rId164"/>
    <hyperlink ref="B277" r:id="rId165"/>
    <hyperlink ref="B275" r:id="rId166"/>
    <hyperlink ref="B276" r:id="rId167"/>
    <hyperlink ref="B278" r:id="rId168"/>
    <hyperlink ref="B274" r:id="rId169"/>
    <hyperlink ref="B272" r:id="rId170"/>
    <hyperlink ref="C206" r:id="rId171"/>
    <hyperlink ref="C155" r:id="rId172"/>
    <hyperlink ref="C153" r:id="rId173"/>
    <hyperlink ref="C152" r:id="rId174"/>
    <hyperlink ref="C149" r:id="rId175"/>
    <hyperlink ref="C150" r:id="rId176"/>
    <hyperlink ref="C93" r:id="rId177"/>
    <hyperlink ref="C74" r:id="rId178"/>
    <hyperlink ref="C237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2016-12-05T20:35:48Z</dcterms:modified>
</cp:coreProperties>
</file>