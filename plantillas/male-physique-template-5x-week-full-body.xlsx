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2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drawings/drawing3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435"/>
  </bookViews>
  <sheets>
    <sheet name="Mesocycle 1 Basic Hypertrophy" sheetId="1" r:id="rId1"/>
    <sheet name="Mesocycle 2 Metabolite Focus" sheetId="2" r:id="rId2"/>
    <sheet name="Mesocycle 3 Resensitization" sheetId="3" r:id="rId3"/>
  </sheets>
  <definedNames>
    <definedName name="_xlnm.Print_Area" localSheetId="0">'Mesocycle 1 Basic Hypertrophy'!$H$8:$AI$50</definedName>
    <definedName name="_xlnm.Print_Area" localSheetId="1">'Mesocycle 2 Metabolite Focus'!$H$8:$AI$54</definedName>
    <definedName name="_xlnm.Print_Area" localSheetId="2">'Mesocycle 3 Resensitization'!$H$8:$W$46</definedName>
  </definedNames>
  <calcPr calcId="152511"/>
</workbook>
</file>

<file path=xl/calcChain.xml><?xml version="1.0" encoding="utf-8"?>
<calcChain xmlns="http://schemas.openxmlformats.org/spreadsheetml/2006/main">
  <c r="H16" i="2" l="1"/>
  <c r="J49" i="2"/>
  <c r="J47" i="2"/>
  <c r="J33" i="2"/>
  <c r="J13" i="2"/>
  <c r="J17" i="2"/>
  <c r="J24" i="2"/>
  <c r="J34" i="2"/>
  <c r="J42" i="2"/>
  <c r="J54" i="2"/>
  <c r="J53" i="2"/>
  <c r="J52" i="2"/>
  <c r="J51" i="2"/>
  <c r="J50" i="2"/>
  <c r="J48" i="2"/>
  <c r="J46" i="2"/>
  <c r="J41" i="2"/>
  <c r="J40" i="2"/>
  <c r="J39" i="2"/>
  <c r="J38" i="2"/>
  <c r="J32" i="2"/>
  <c r="J31" i="2"/>
  <c r="J30" i="2"/>
  <c r="J29" i="2"/>
  <c r="J28" i="2"/>
  <c r="J23" i="2"/>
  <c r="J22" i="2"/>
  <c r="J21" i="2"/>
  <c r="J16" i="2"/>
  <c r="J15" i="2"/>
  <c r="J14" i="2"/>
  <c r="J12" i="2"/>
  <c r="J11" i="2"/>
  <c r="T23" i="1" l="1"/>
  <c r="U23" i="1"/>
  <c r="V23" i="1"/>
  <c r="J46" i="3" l="1"/>
  <c r="J36" i="3"/>
  <c r="J29" i="3"/>
  <c r="J21" i="3"/>
  <c r="J45" i="3"/>
  <c r="V45" i="3" s="1"/>
  <c r="J44" i="3"/>
  <c r="J43" i="3"/>
  <c r="V43" i="3" s="1"/>
  <c r="J42" i="3"/>
  <c r="J41" i="3"/>
  <c r="J40" i="3"/>
  <c r="J35" i="3"/>
  <c r="J34" i="3"/>
  <c r="V34" i="3" s="1"/>
  <c r="J33" i="3"/>
  <c r="J28" i="3"/>
  <c r="J27" i="3"/>
  <c r="J26" i="3"/>
  <c r="J25" i="3"/>
  <c r="J20" i="3"/>
  <c r="J19" i="3"/>
  <c r="J14" i="3"/>
  <c r="J13" i="3"/>
  <c r="J12" i="3"/>
  <c r="J15" i="3"/>
  <c r="J11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T46" i="3"/>
  <c r="O46" i="3"/>
  <c r="N46" i="3"/>
  <c r="H46" i="3"/>
  <c r="E46" i="3" a="1"/>
  <c r="E46" i="3" s="1"/>
  <c r="F46" i="3" s="1"/>
  <c r="D46" i="3" a="1"/>
  <c r="D46" i="3" s="1"/>
  <c r="T45" i="3"/>
  <c r="O45" i="3"/>
  <c r="N45" i="3"/>
  <c r="H45" i="3"/>
  <c r="E45" i="3" a="1"/>
  <c r="E45" i="3" s="1"/>
  <c r="F45" i="3" s="1"/>
  <c r="D45" i="3" a="1"/>
  <c r="D45" i="3" s="1"/>
  <c r="T44" i="3"/>
  <c r="O44" i="3"/>
  <c r="N44" i="3"/>
  <c r="H44" i="3"/>
  <c r="E44" i="3" a="1"/>
  <c r="E44" i="3" s="1"/>
  <c r="F44" i="3" s="1"/>
  <c r="D44" i="3" a="1"/>
  <c r="D44" i="3" s="1"/>
  <c r="T43" i="3"/>
  <c r="O43" i="3"/>
  <c r="N43" i="3"/>
  <c r="H43" i="3"/>
  <c r="E43" i="3" a="1"/>
  <c r="E43" i="3" s="1"/>
  <c r="F43" i="3" s="1"/>
  <c r="D43" i="3" a="1"/>
  <c r="D43" i="3" s="1"/>
  <c r="T42" i="3"/>
  <c r="O42" i="3"/>
  <c r="N42" i="3"/>
  <c r="H42" i="3"/>
  <c r="E42" i="3" a="1"/>
  <c r="E42" i="3" s="1"/>
  <c r="F42" i="3" s="1"/>
  <c r="D42" i="3" a="1"/>
  <c r="D42" i="3" s="1"/>
  <c r="T41" i="3"/>
  <c r="O41" i="3"/>
  <c r="N41" i="3"/>
  <c r="V41" i="3"/>
  <c r="H41" i="3"/>
  <c r="E41" i="3" a="1"/>
  <c r="E41" i="3" s="1"/>
  <c r="F41" i="3" s="1"/>
  <c r="D41" i="3" a="1"/>
  <c r="D41" i="3" s="1"/>
  <c r="T40" i="3"/>
  <c r="O40" i="3"/>
  <c r="N40" i="3"/>
  <c r="H40" i="3"/>
  <c r="E40" i="3" a="1"/>
  <c r="E40" i="3" s="1"/>
  <c r="F40" i="3" s="1"/>
  <c r="D40" i="3" a="1"/>
  <c r="D40" i="3" s="1"/>
  <c r="T36" i="3"/>
  <c r="O36" i="3"/>
  <c r="N36" i="3"/>
  <c r="H36" i="3"/>
  <c r="E36" i="3" a="1"/>
  <c r="E36" i="3" s="1"/>
  <c r="F36" i="3" s="1"/>
  <c r="D36" i="3" a="1"/>
  <c r="D36" i="3" s="1"/>
  <c r="T35" i="3"/>
  <c r="O35" i="3"/>
  <c r="N35" i="3"/>
  <c r="H35" i="3"/>
  <c r="E35" i="3" a="1"/>
  <c r="E35" i="3" s="1"/>
  <c r="F35" i="3" s="1"/>
  <c r="D35" i="3" a="1"/>
  <c r="D35" i="3" s="1"/>
  <c r="T34" i="3"/>
  <c r="O34" i="3"/>
  <c r="N34" i="3"/>
  <c r="H34" i="3"/>
  <c r="E34" i="3" a="1"/>
  <c r="E34" i="3" s="1"/>
  <c r="F34" i="3" s="1"/>
  <c r="D34" i="3" a="1"/>
  <c r="D34" i="3" s="1"/>
  <c r="T33" i="3"/>
  <c r="O33" i="3"/>
  <c r="N33" i="3"/>
  <c r="H33" i="3"/>
  <c r="E33" i="3" a="1"/>
  <c r="E33" i="3" s="1"/>
  <c r="F33" i="3" s="1"/>
  <c r="D33" i="3" a="1"/>
  <c r="D33" i="3" s="1"/>
  <c r="T29" i="3"/>
  <c r="O29" i="3"/>
  <c r="N29" i="3"/>
  <c r="H29" i="3"/>
  <c r="E29" i="3" a="1"/>
  <c r="E29" i="3" s="1"/>
  <c r="F29" i="3" s="1"/>
  <c r="D29" i="3" a="1"/>
  <c r="D29" i="3" s="1"/>
  <c r="T28" i="3"/>
  <c r="O28" i="3"/>
  <c r="N28" i="3"/>
  <c r="H28" i="3"/>
  <c r="E28" i="3" a="1"/>
  <c r="E28" i="3" s="1"/>
  <c r="F28" i="3" s="1"/>
  <c r="D28" i="3" a="1"/>
  <c r="D28" i="3" s="1"/>
  <c r="T27" i="3"/>
  <c r="O27" i="3"/>
  <c r="N27" i="3"/>
  <c r="H27" i="3"/>
  <c r="E27" i="3" a="1"/>
  <c r="E27" i="3" s="1"/>
  <c r="F27" i="3" s="1"/>
  <c r="D27" i="3" a="1"/>
  <c r="D27" i="3" s="1"/>
  <c r="T26" i="3"/>
  <c r="O26" i="3"/>
  <c r="N26" i="3"/>
  <c r="H26" i="3"/>
  <c r="E26" i="3" a="1"/>
  <c r="E26" i="3" s="1"/>
  <c r="F26" i="3" s="1"/>
  <c r="D26" i="3" a="1"/>
  <c r="D26" i="3" s="1"/>
  <c r="T25" i="3"/>
  <c r="O25" i="3"/>
  <c r="N25" i="3"/>
  <c r="H25" i="3"/>
  <c r="E25" i="3" a="1"/>
  <c r="E25" i="3" s="1"/>
  <c r="F25" i="3" s="1"/>
  <c r="D25" i="3" a="1"/>
  <c r="D25" i="3" s="1"/>
  <c r="T21" i="3"/>
  <c r="O21" i="3"/>
  <c r="N21" i="3"/>
  <c r="H21" i="3"/>
  <c r="E21" i="3" a="1"/>
  <c r="E21" i="3" s="1"/>
  <c r="F21" i="3" s="1"/>
  <c r="D21" i="3" a="1"/>
  <c r="D21" i="3" s="1"/>
  <c r="T20" i="3"/>
  <c r="O20" i="3"/>
  <c r="N20" i="3"/>
  <c r="H20" i="3"/>
  <c r="E20" i="3" a="1"/>
  <c r="E20" i="3" s="1"/>
  <c r="F20" i="3" s="1"/>
  <c r="D20" i="3" a="1"/>
  <c r="D20" i="3" s="1"/>
  <c r="T19" i="3"/>
  <c r="O19" i="3"/>
  <c r="N19" i="3"/>
  <c r="H19" i="3"/>
  <c r="E19" i="3" a="1"/>
  <c r="E19" i="3" s="1"/>
  <c r="F19" i="3" s="1"/>
  <c r="D19" i="3" a="1"/>
  <c r="D19" i="3" s="1"/>
  <c r="T15" i="3"/>
  <c r="O15" i="3"/>
  <c r="N15" i="3"/>
  <c r="H15" i="3"/>
  <c r="E15" i="3" a="1"/>
  <c r="E15" i="3" s="1"/>
  <c r="F15" i="3" s="1"/>
  <c r="D15" i="3" a="1"/>
  <c r="D15" i="3" s="1"/>
  <c r="T14" i="3"/>
  <c r="O14" i="3"/>
  <c r="N14" i="3"/>
  <c r="H14" i="3"/>
  <c r="E14" i="3" a="1"/>
  <c r="E14" i="3" s="1"/>
  <c r="F14" i="3" s="1"/>
  <c r="D14" i="3" a="1"/>
  <c r="D14" i="3" s="1"/>
  <c r="T13" i="3"/>
  <c r="O13" i="3"/>
  <c r="N13" i="3"/>
  <c r="H13" i="3"/>
  <c r="E13" i="3" a="1"/>
  <c r="E13" i="3" s="1"/>
  <c r="F13" i="3" s="1"/>
  <c r="D13" i="3" a="1"/>
  <c r="D13" i="3" s="1"/>
  <c r="T12" i="3"/>
  <c r="O12" i="3"/>
  <c r="N12" i="3"/>
  <c r="H12" i="3"/>
  <c r="E12" i="3" a="1"/>
  <c r="E12" i="3" s="1"/>
  <c r="F12" i="3" s="1"/>
  <c r="D12" i="3" a="1"/>
  <c r="D12" i="3" s="1"/>
  <c r="T11" i="3"/>
  <c r="O11" i="3"/>
  <c r="N11" i="3"/>
  <c r="H11" i="3"/>
  <c r="E11" i="3" a="1"/>
  <c r="E11" i="3" s="1"/>
  <c r="F11" i="3" s="1"/>
  <c r="D11" i="3" a="1"/>
  <c r="D11" i="3" s="1"/>
  <c r="V36" i="3" l="1"/>
  <c r="P42" i="3"/>
  <c r="V42" i="3"/>
  <c r="P13" i="3"/>
  <c r="V46" i="3"/>
  <c r="P44" i="3"/>
  <c r="V44" i="3"/>
  <c r="P46" i="3"/>
  <c r="V13" i="3"/>
  <c r="V21" i="3"/>
  <c r="P40" i="3"/>
  <c r="V40" i="3"/>
  <c r="V27" i="3"/>
  <c r="P29" i="3"/>
  <c r="V15" i="3"/>
  <c r="P35" i="3"/>
  <c r="V35" i="3"/>
  <c r="V11" i="3"/>
  <c r="P11" i="3"/>
  <c r="V26" i="3"/>
  <c r="P26" i="3"/>
  <c r="V33" i="3"/>
  <c r="P33" i="3"/>
  <c r="V14" i="3"/>
  <c r="P14" i="3"/>
  <c r="V12" i="3"/>
  <c r="P12" i="3"/>
  <c r="P15" i="3"/>
  <c r="V19" i="3"/>
  <c r="P19" i="3"/>
  <c r="P21" i="3"/>
  <c r="V25" i="3"/>
  <c r="P25" i="3"/>
  <c r="P27" i="3"/>
  <c r="V28" i="3"/>
  <c r="P28" i="3"/>
  <c r="V29" i="3"/>
  <c r="V20" i="3"/>
  <c r="P20" i="3"/>
  <c r="P34" i="3"/>
  <c r="P36" i="3"/>
  <c r="P41" i="3"/>
  <c r="P43" i="3"/>
  <c r="P45" i="3"/>
  <c r="O47" i="2"/>
  <c r="O46" i="2"/>
  <c r="U47" i="2" s="1"/>
  <c r="O49" i="2"/>
  <c r="O48" i="2"/>
  <c r="U49" i="2" s="1"/>
  <c r="O33" i="2"/>
  <c r="O32" i="2"/>
  <c r="U33" i="2" s="1"/>
  <c r="O13" i="2"/>
  <c r="O12" i="2"/>
  <c r="U13" i="2" s="1"/>
  <c r="E49" i="2" l="1" a="1"/>
  <c r="E49" i="2" s="1"/>
  <c r="F49" i="2" s="1"/>
  <c r="D49" i="2" a="1"/>
  <c r="D49" i="2" s="1"/>
  <c r="E47" i="2" a="1"/>
  <c r="E47" i="2" s="1"/>
  <c r="F47" i="2" s="1"/>
  <c r="D47" i="2" a="1"/>
  <c r="D47" i="2" s="1"/>
  <c r="Z49" i="2"/>
  <c r="T49" i="2"/>
  <c r="P49" i="2"/>
  <c r="N49" i="2"/>
  <c r="H49" i="2"/>
  <c r="AF48" i="2"/>
  <c r="Z48" i="2"/>
  <c r="T48" i="2"/>
  <c r="U48" i="2"/>
  <c r="N48" i="2"/>
  <c r="AB48" i="2"/>
  <c r="H48" i="2"/>
  <c r="E48" i="2" a="1"/>
  <c r="E48" i="2" s="1"/>
  <c r="F48" i="2" s="1"/>
  <c r="D48" i="2" a="1"/>
  <c r="D48" i="2" s="1"/>
  <c r="AB33" i="2"/>
  <c r="Z33" i="2"/>
  <c r="V33" i="2"/>
  <c r="T33" i="2"/>
  <c r="P33" i="2"/>
  <c r="N33" i="2"/>
  <c r="H33" i="2"/>
  <c r="E33" i="2" a="1"/>
  <c r="E33" i="2" s="1"/>
  <c r="F33" i="2" s="1"/>
  <c r="D33" i="2" a="1"/>
  <c r="D33" i="2" s="1"/>
  <c r="AF14" i="2"/>
  <c r="Z14" i="2"/>
  <c r="T14" i="2"/>
  <c r="P14" i="2"/>
  <c r="O14" i="2"/>
  <c r="U14" i="2" s="1"/>
  <c r="AA14" i="2" s="1"/>
  <c r="N14" i="2"/>
  <c r="V14" i="2"/>
  <c r="H14" i="2"/>
  <c r="E14" i="2" a="1"/>
  <c r="E14" i="2" s="1"/>
  <c r="F14" i="2" s="1"/>
  <c r="D14" i="2" a="1"/>
  <c r="D14" i="2" s="1"/>
  <c r="AB14" i="2" l="1"/>
  <c r="AA48" i="2"/>
  <c r="AA49" i="2"/>
  <c r="AH14" i="2"/>
  <c r="P48" i="2"/>
  <c r="V48" i="2"/>
  <c r="AH48" i="2"/>
  <c r="AB49" i="2"/>
  <c r="V49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AF54" i="2"/>
  <c r="Z54" i="2"/>
  <c r="T54" i="2"/>
  <c r="P54" i="2"/>
  <c r="O54" i="2"/>
  <c r="U54" i="2" s="1"/>
  <c r="AA54" i="2" s="1"/>
  <c r="N54" i="2"/>
  <c r="AB54" i="2"/>
  <c r="H54" i="2"/>
  <c r="E54" i="2" a="1"/>
  <c r="E54" i="2" s="1"/>
  <c r="F54" i="2" s="1"/>
  <c r="D54" i="2" a="1"/>
  <c r="D54" i="2" s="1"/>
  <c r="AF53" i="2"/>
  <c r="Z53" i="2"/>
  <c r="U53" i="2"/>
  <c r="AA53" i="2" s="1"/>
  <c r="T53" i="2"/>
  <c r="O53" i="2"/>
  <c r="N53" i="2"/>
  <c r="AH53" i="2"/>
  <c r="H53" i="2"/>
  <c r="E53" i="2" a="1"/>
  <c r="E53" i="2" s="1"/>
  <c r="F53" i="2" s="1"/>
  <c r="D53" i="2" a="1"/>
  <c r="D53" i="2" s="1"/>
  <c r="AF52" i="2"/>
  <c r="Z52" i="2"/>
  <c r="T52" i="2"/>
  <c r="O52" i="2"/>
  <c r="U52" i="2" s="1"/>
  <c r="AA52" i="2" s="1"/>
  <c r="N52" i="2"/>
  <c r="AB52" i="2"/>
  <c r="H52" i="2"/>
  <c r="E52" i="2" a="1"/>
  <c r="E52" i="2" s="1"/>
  <c r="F52" i="2" s="1"/>
  <c r="D52" i="2" a="1"/>
  <c r="D52" i="2" s="1"/>
  <c r="AF51" i="2"/>
  <c r="Z51" i="2"/>
  <c r="U51" i="2"/>
  <c r="AA51" i="2" s="1"/>
  <c r="T51" i="2"/>
  <c r="O51" i="2"/>
  <c r="N51" i="2"/>
  <c r="AH51" i="2"/>
  <c r="H51" i="2"/>
  <c r="E51" i="2" a="1"/>
  <c r="E51" i="2" s="1"/>
  <c r="F51" i="2" s="1"/>
  <c r="D51" i="2" a="1"/>
  <c r="D51" i="2" s="1"/>
  <c r="AF50" i="2"/>
  <c r="Z50" i="2"/>
  <c r="T50" i="2"/>
  <c r="O50" i="2"/>
  <c r="U50" i="2" s="1"/>
  <c r="AA50" i="2" s="1"/>
  <c r="N50" i="2"/>
  <c r="AB50" i="2"/>
  <c r="H50" i="2"/>
  <c r="E50" i="2" a="1"/>
  <c r="E50" i="2" s="1"/>
  <c r="F50" i="2" s="1"/>
  <c r="D50" i="2" a="1"/>
  <c r="D50" i="2" s="1"/>
  <c r="Z47" i="2"/>
  <c r="V47" i="2"/>
  <c r="T47" i="2"/>
  <c r="N47" i="2"/>
  <c r="H47" i="2"/>
  <c r="AF46" i="2"/>
  <c r="Z46" i="2"/>
  <c r="T46" i="2"/>
  <c r="U46" i="2"/>
  <c r="N46" i="2"/>
  <c r="AH46" i="2"/>
  <c r="H46" i="2"/>
  <c r="E46" i="2" a="1"/>
  <c r="E46" i="2" s="1"/>
  <c r="F46" i="2" s="1"/>
  <c r="D46" i="2" a="1"/>
  <c r="D46" i="2" s="1"/>
  <c r="AF42" i="2"/>
  <c r="Z42" i="2"/>
  <c r="T42" i="2"/>
  <c r="O42" i="2"/>
  <c r="U42" i="2" s="1"/>
  <c r="AA42" i="2" s="1"/>
  <c r="N42" i="2"/>
  <c r="AH42" i="2"/>
  <c r="H42" i="2"/>
  <c r="E42" i="2" a="1"/>
  <c r="E42" i="2" s="1"/>
  <c r="F42" i="2" s="1"/>
  <c r="D42" i="2" a="1"/>
  <c r="D42" i="2" s="1"/>
  <c r="AF41" i="2"/>
  <c r="Z41" i="2"/>
  <c r="T41" i="2"/>
  <c r="O41" i="2"/>
  <c r="U41" i="2" s="1"/>
  <c r="AA41" i="2" s="1"/>
  <c r="N41" i="2"/>
  <c r="AB41" i="2"/>
  <c r="H41" i="2"/>
  <c r="E41" i="2" a="1"/>
  <c r="E41" i="2" s="1"/>
  <c r="F41" i="2" s="1"/>
  <c r="D41" i="2" a="1"/>
  <c r="D41" i="2" s="1"/>
  <c r="AF40" i="2"/>
  <c r="Z40" i="2"/>
  <c r="T40" i="2"/>
  <c r="O40" i="2"/>
  <c r="U40" i="2" s="1"/>
  <c r="AA40" i="2" s="1"/>
  <c r="N40" i="2"/>
  <c r="V40" i="2"/>
  <c r="H40" i="2"/>
  <c r="E40" i="2" a="1"/>
  <c r="E40" i="2" s="1"/>
  <c r="F40" i="2" s="1"/>
  <c r="D40" i="2" a="1"/>
  <c r="D40" i="2" s="1"/>
  <c r="AF39" i="2"/>
  <c r="Z39" i="2"/>
  <c r="T39" i="2"/>
  <c r="O39" i="2"/>
  <c r="U39" i="2" s="1"/>
  <c r="AA39" i="2" s="1"/>
  <c r="N39" i="2"/>
  <c r="AB39" i="2"/>
  <c r="H39" i="2"/>
  <c r="E39" i="2" a="1"/>
  <c r="E39" i="2" s="1"/>
  <c r="F39" i="2" s="1"/>
  <c r="D39" i="2" a="1"/>
  <c r="D39" i="2" s="1"/>
  <c r="AF38" i="2"/>
  <c r="Z38" i="2"/>
  <c r="T38" i="2"/>
  <c r="O38" i="2"/>
  <c r="U38" i="2" s="1"/>
  <c r="AA38" i="2" s="1"/>
  <c r="N38" i="2"/>
  <c r="H38" i="2"/>
  <c r="E38" i="2" a="1"/>
  <c r="E38" i="2" s="1"/>
  <c r="F38" i="2" s="1"/>
  <c r="D38" i="2" a="1"/>
  <c r="D38" i="2" s="1"/>
  <c r="AF34" i="2"/>
  <c r="Z34" i="2"/>
  <c r="T34" i="2"/>
  <c r="O34" i="2"/>
  <c r="U34" i="2" s="1"/>
  <c r="AA34" i="2" s="1"/>
  <c r="N34" i="2"/>
  <c r="AB34" i="2"/>
  <c r="H34" i="2"/>
  <c r="E34" i="2" a="1"/>
  <c r="E34" i="2" s="1"/>
  <c r="F34" i="2" s="1"/>
  <c r="D34" i="2" a="1"/>
  <c r="D34" i="2" s="1"/>
  <c r="AF32" i="2"/>
  <c r="Z32" i="2"/>
  <c r="T32" i="2"/>
  <c r="U32" i="2"/>
  <c r="N32" i="2"/>
  <c r="V32" i="2"/>
  <c r="H32" i="2"/>
  <c r="E32" i="2" a="1"/>
  <c r="E32" i="2" s="1"/>
  <c r="F32" i="2" s="1"/>
  <c r="D32" i="2" a="1"/>
  <c r="D32" i="2" s="1"/>
  <c r="AF31" i="2"/>
  <c r="Z31" i="2"/>
  <c r="T31" i="2"/>
  <c r="O31" i="2"/>
  <c r="U31" i="2" s="1"/>
  <c r="AA31" i="2" s="1"/>
  <c r="N31" i="2"/>
  <c r="AB31" i="2"/>
  <c r="H31" i="2"/>
  <c r="E31" i="2" a="1"/>
  <c r="E31" i="2" s="1"/>
  <c r="F31" i="2" s="1"/>
  <c r="D31" i="2" a="1"/>
  <c r="D31" i="2" s="1"/>
  <c r="AF30" i="2"/>
  <c r="Z30" i="2"/>
  <c r="T30" i="2"/>
  <c r="O30" i="2"/>
  <c r="U30" i="2" s="1"/>
  <c r="AA30" i="2" s="1"/>
  <c r="N30" i="2"/>
  <c r="H30" i="2"/>
  <c r="E30" i="2" a="1"/>
  <c r="E30" i="2" s="1"/>
  <c r="F30" i="2" s="1"/>
  <c r="D30" i="2" a="1"/>
  <c r="D30" i="2" s="1"/>
  <c r="AF29" i="2"/>
  <c r="Z29" i="2"/>
  <c r="T29" i="2"/>
  <c r="O29" i="2"/>
  <c r="U29" i="2" s="1"/>
  <c r="AA29" i="2" s="1"/>
  <c r="N29" i="2"/>
  <c r="AB29" i="2"/>
  <c r="H29" i="2"/>
  <c r="E29" i="2" a="1"/>
  <c r="E29" i="2" s="1"/>
  <c r="F29" i="2" s="1"/>
  <c r="D29" i="2" a="1"/>
  <c r="D29" i="2" s="1"/>
  <c r="AF28" i="2"/>
  <c r="Z28" i="2"/>
  <c r="T28" i="2"/>
  <c r="O28" i="2"/>
  <c r="U28" i="2" s="1"/>
  <c r="AA28" i="2" s="1"/>
  <c r="N28" i="2"/>
  <c r="V28" i="2"/>
  <c r="H28" i="2"/>
  <c r="E28" i="2" a="1"/>
  <c r="E28" i="2" s="1"/>
  <c r="F28" i="2" s="1"/>
  <c r="D28" i="2" a="1"/>
  <c r="D28" i="2" s="1"/>
  <c r="AF24" i="2"/>
  <c r="Z24" i="2"/>
  <c r="T24" i="2"/>
  <c r="O24" i="2"/>
  <c r="U24" i="2" s="1"/>
  <c r="AA24" i="2" s="1"/>
  <c r="N24" i="2"/>
  <c r="AB24" i="2"/>
  <c r="H24" i="2"/>
  <c r="E24" i="2" a="1"/>
  <c r="E24" i="2" s="1"/>
  <c r="F24" i="2" s="1"/>
  <c r="D24" i="2" a="1"/>
  <c r="D24" i="2" s="1"/>
  <c r="AF23" i="2"/>
  <c r="Z23" i="2"/>
  <c r="T23" i="2"/>
  <c r="O23" i="2"/>
  <c r="U23" i="2" s="1"/>
  <c r="AA23" i="2" s="1"/>
  <c r="N23" i="2"/>
  <c r="H23" i="2"/>
  <c r="E23" i="2" a="1"/>
  <c r="E23" i="2" s="1"/>
  <c r="F23" i="2" s="1"/>
  <c r="D23" i="2" a="1"/>
  <c r="D23" i="2" s="1"/>
  <c r="AF22" i="2"/>
  <c r="Z22" i="2"/>
  <c r="T22" i="2"/>
  <c r="O22" i="2"/>
  <c r="U22" i="2" s="1"/>
  <c r="AA22" i="2" s="1"/>
  <c r="N22" i="2"/>
  <c r="AB22" i="2"/>
  <c r="H22" i="2"/>
  <c r="E22" i="2" a="1"/>
  <c r="E22" i="2" s="1"/>
  <c r="F22" i="2" s="1"/>
  <c r="D22" i="2" a="1"/>
  <c r="D22" i="2" s="1"/>
  <c r="AF21" i="2"/>
  <c r="Z21" i="2"/>
  <c r="T21" i="2"/>
  <c r="O21" i="2"/>
  <c r="U21" i="2" s="1"/>
  <c r="AA21" i="2" s="1"/>
  <c r="N21" i="2"/>
  <c r="V21" i="2"/>
  <c r="H21" i="2"/>
  <c r="E21" i="2" a="1"/>
  <c r="E21" i="2" s="1"/>
  <c r="F21" i="2" s="1"/>
  <c r="D21" i="2" a="1"/>
  <c r="D21" i="2" s="1"/>
  <c r="AF17" i="2"/>
  <c r="Z17" i="2"/>
  <c r="T17" i="2"/>
  <c r="O17" i="2"/>
  <c r="U17" i="2" s="1"/>
  <c r="AA17" i="2" s="1"/>
  <c r="N17" i="2"/>
  <c r="AB17" i="2"/>
  <c r="H17" i="2"/>
  <c r="E17" i="2" a="1"/>
  <c r="E17" i="2" s="1"/>
  <c r="F17" i="2" s="1"/>
  <c r="D17" i="2" a="1"/>
  <c r="D17" i="2" s="1"/>
  <c r="AF16" i="2"/>
  <c r="Z16" i="2"/>
  <c r="T16" i="2"/>
  <c r="O16" i="2"/>
  <c r="U16" i="2" s="1"/>
  <c r="AA16" i="2" s="1"/>
  <c r="N16" i="2"/>
  <c r="E16" i="2" a="1"/>
  <c r="E16" i="2" s="1"/>
  <c r="F16" i="2" s="1"/>
  <c r="D16" i="2" a="1"/>
  <c r="D16" i="2" s="1"/>
  <c r="AF15" i="2"/>
  <c r="Z15" i="2"/>
  <c r="T15" i="2"/>
  <c r="O15" i="2"/>
  <c r="U15" i="2" s="1"/>
  <c r="AA15" i="2" s="1"/>
  <c r="N15" i="2"/>
  <c r="AB15" i="2"/>
  <c r="H15" i="2"/>
  <c r="E15" i="2" a="1"/>
  <c r="E15" i="2" s="1"/>
  <c r="F15" i="2" s="1"/>
  <c r="D15" i="2" a="1"/>
  <c r="D15" i="2" s="1"/>
  <c r="Z13" i="2"/>
  <c r="V13" i="2"/>
  <c r="T13" i="2"/>
  <c r="N13" i="2"/>
  <c r="H13" i="2"/>
  <c r="E13" i="2" a="1"/>
  <c r="E13" i="2" s="1"/>
  <c r="F13" i="2" s="1"/>
  <c r="D13" i="2" a="1"/>
  <c r="D13" i="2" s="1"/>
  <c r="AF12" i="2"/>
  <c r="Z12" i="2"/>
  <c r="T12" i="2"/>
  <c r="U12" i="2"/>
  <c r="AA13" i="2" s="1"/>
  <c r="N12" i="2"/>
  <c r="AB12" i="2"/>
  <c r="H12" i="2"/>
  <c r="E12" i="2" a="1"/>
  <c r="E12" i="2" s="1"/>
  <c r="F12" i="2" s="1"/>
  <c r="D12" i="2" a="1"/>
  <c r="D12" i="2" s="1"/>
  <c r="AF11" i="2"/>
  <c r="Z11" i="2"/>
  <c r="T11" i="2"/>
  <c r="O11" i="2"/>
  <c r="U11" i="2" s="1"/>
  <c r="AA11" i="2" s="1"/>
  <c r="N11" i="2"/>
  <c r="H11" i="2"/>
  <c r="E11" i="2" a="1"/>
  <c r="E11" i="2" s="1"/>
  <c r="F11" i="2" s="1"/>
  <c r="D11" i="2" a="1"/>
  <c r="D11" i="2" s="1"/>
  <c r="AB51" i="2" l="1"/>
  <c r="V42" i="2"/>
  <c r="AA12" i="2"/>
  <c r="P41" i="2"/>
  <c r="P50" i="2"/>
  <c r="V51" i="2"/>
  <c r="AB42" i="2"/>
  <c r="P46" i="2"/>
  <c r="AH52" i="2"/>
  <c r="AH22" i="2"/>
  <c r="AH54" i="2"/>
  <c r="P29" i="2"/>
  <c r="V34" i="2"/>
  <c r="AA46" i="2"/>
  <c r="AA47" i="2"/>
  <c r="V53" i="2"/>
  <c r="P22" i="2"/>
  <c r="V29" i="2"/>
  <c r="AA32" i="2"/>
  <c r="AA33" i="2"/>
  <c r="P52" i="2"/>
  <c r="AB53" i="2"/>
  <c r="AH15" i="2"/>
  <c r="AH34" i="2"/>
  <c r="P15" i="2"/>
  <c r="V22" i="2"/>
  <c r="AH29" i="2"/>
  <c r="AH50" i="2"/>
  <c r="V15" i="2"/>
  <c r="P34" i="2"/>
  <c r="AB47" i="2"/>
  <c r="AH11" i="2"/>
  <c r="P11" i="2"/>
  <c r="V12" i="2"/>
  <c r="AH16" i="2"/>
  <c r="P16" i="2"/>
  <c r="AB16" i="2"/>
  <c r="P12" i="2"/>
  <c r="P13" i="2"/>
  <c r="AB13" i="2"/>
  <c r="P17" i="2"/>
  <c r="AH21" i="2"/>
  <c r="P21" i="2"/>
  <c r="AB21" i="2"/>
  <c r="P24" i="2"/>
  <c r="AH28" i="2"/>
  <c r="P28" i="2"/>
  <c r="AB28" i="2"/>
  <c r="P31" i="2"/>
  <c r="AH32" i="2"/>
  <c r="P32" i="2"/>
  <c r="AB32" i="2"/>
  <c r="P39" i="2"/>
  <c r="AH40" i="2"/>
  <c r="P40" i="2"/>
  <c r="AB40" i="2"/>
  <c r="V41" i="2"/>
  <c r="AH41" i="2"/>
  <c r="AB11" i="2"/>
  <c r="V24" i="2"/>
  <c r="AH24" i="2"/>
  <c r="AH30" i="2"/>
  <c r="P30" i="2"/>
  <c r="AB30" i="2"/>
  <c r="AH38" i="2"/>
  <c r="P38" i="2"/>
  <c r="AB38" i="2"/>
  <c r="V39" i="2"/>
  <c r="AH12" i="2"/>
  <c r="V17" i="2"/>
  <c r="AH17" i="2"/>
  <c r="AH23" i="2"/>
  <c r="P23" i="2"/>
  <c r="AB23" i="2"/>
  <c r="V31" i="2"/>
  <c r="AH31" i="2"/>
  <c r="AH39" i="2"/>
  <c r="V11" i="2"/>
  <c r="V16" i="2"/>
  <c r="V23" i="2"/>
  <c r="V30" i="2"/>
  <c r="V38" i="2"/>
  <c r="AB46" i="2"/>
  <c r="V46" i="2"/>
  <c r="V50" i="2"/>
  <c r="V52" i="2"/>
  <c r="V54" i="2"/>
  <c r="P42" i="2"/>
  <c r="P47" i="2"/>
  <c r="P51" i="2"/>
  <c r="P53" i="2"/>
  <c r="AA23" i="1"/>
  <c r="O50" i="1"/>
  <c r="U50" i="1" s="1"/>
  <c r="AA50" i="1" s="1"/>
  <c r="O49" i="1"/>
  <c r="U49" i="1" s="1"/>
  <c r="AA49" i="1" s="1"/>
  <c r="O48" i="1"/>
  <c r="U48" i="1" s="1"/>
  <c r="AA48" i="1" s="1"/>
  <c r="O47" i="1"/>
  <c r="U47" i="1" s="1"/>
  <c r="AA47" i="1" s="1"/>
  <c r="O46" i="1"/>
  <c r="U46" i="1" s="1"/>
  <c r="AA46" i="1" s="1"/>
  <c r="O45" i="1"/>
  <c r="U45" i="1" s="1"/>
  <c r="AA45" i="1" s="1"/>
  <c r="O44" i="1"/>
  <c r="U44" i="1" s="1"/>
  <c r="AA44" i="1" s="1"/>
  <c r="O40" i="1"/>
  <c r="U40" i="1" s="1"/>
  <c r="AA40" i="1" s="1"/>
  <c r="O39" i="1"/>
  <c r="U39" i="1" s="1"/>
  <c r="AA39" i="1" s="1"/>
  <c r="O38" i="1"/>
  <c r="U38" i="1" s="1"/>
  <c r="AA38" i="1" s="1"/>
  <c r="O37" i="1"/>
  <c r="U37" i="1" s="1"/>
  <c r="AA37" i="1" s="1"/>
  <c r="O36" i="1"/>
  <c r="U36" i="1" s="1"/>
  <c r="AA36" i="1" s="1"/>
  <c r="O32" i="1"/>
  <c r="U32" i="1" s="1"/>
  <c r="AA32" i="1" s="1"/>
  <c r="O31" i="1"/>
  <c r="U31" i="1" s="1"/>
  <c r="AA31" i="1" s="1"/>
  <c r="O30" i="1"/>
  <c r="U30" i="1" s="1"/>
  <c r="AA30" i="1" s="1"/>
  <c r="O29" i="1"/>
  <c r="U29" i="1" s="1"/>
  <c r="AA29" i="1" s="1"/>
  <c r="O28" i="1"/>
  <c r="U28" i="1" s="1"/>
  <c r="AA28" i="1" s="1"/>
  <c r="O27" i="1"/>
  <c r="U27" i="1" s="1"/>
  <c r="AA27" i="1" s="1"/>
  <c r="O23" i="1"/>
  <c r="O22" i="1"/>
  <c r="U22" i="1" s="1"/>
  <c r="AA22" i="1" s="1"/>
  <c r="O21" i="1"/>
  <c r="U21" i="1" s="1"/>
  <c r="AA21" i="1" s="1"/>
  <c r="O20" i="1"/>
  <c r="U20" i="1" s="1"/>
  <c r="AA20" i="1" s="1"/>
  <c r="O16" i="1"/>
  <c r="U16" i="1" s="1"/>
  <c r="AA16" i="1" s="1"/>
  <c r="O15" i="1"/>
  <c r="U15" i="1" s="1"/>
  <c r="AA15" i="1" s="1"/>
  <c r="O14" i="1"/>
  <c r="U14" i="1" s="1"/>
  <c r="AA14" i="1" s="1"/>
  <c r="O13" i="1"/>
  <c r="U13" i="1" s="1"/>
  <c r="AA13" i="1" s="1"/>
  <c r="O12" i="1"/>
  <c r="U12" i="1" s="1"/>
  <c r="AA12" i="1" s="1"/>
  <c r="O11" i="1"/>
  <c r="U11" i="1" s="1"/>
  <c r="AA11" i="1" s="1"/>
  <c r="AF50" i="1" l="1"/>
  <c r="Z50" i="1"/>
  <c r="T50" i="1"/>
  <c r="N50" i="1"/>
  <c r="J50" i="1"/>
  <c r="AH50" i="1" s="1"/>
  <c r="H50" i="1"/>
  <c r="AF49" i="1"/>
  <c r="Z49" i="1"/>
  <c r="T49" i="1"/>
  <c r="N49" i="1"/>
  <c r="J49" i="1"/>
  <c r="V49" i="1" s="1"/>
  <c r="H49" i="1"/>
  <c r="AF48" i="1"/>
  <c r="Z48" i="1"/>
  <c r="T48" i="1"/>
  <c r="N48" i="1"/>
  <c r="J48" i="1"/>
  <c r="AH48" i="1" s="1"/>
  <c r="H48" i="1"/>
  <c r="AF47" i="1"/>
  <c r="Z47" i="1"/>
  <c r="T47" i="1"/>
  <c r="N47" i="1"/>
  <c r="J47" i="1"/>
  <c r="AB47" i="1" s="1"/>
  <c r="H47" i="1"/>
  <c r="AF46" i="1"/>
  <c r="Z46" i="1"/>
  <c r="T46" i="1"/>
  <c r="N46" i="1"/>
  <c r="J46" i="1"/>
  <c r="V46" i="1" s="1"/>
  <c r="H46" i="1"/>
  <c r="AF45" i="1"/>
  <c r="Z45" i="1"/>
  <c r="T45" i="1"/>
  <c r="N45" i="1"/>
  <c r="J45" i="1"/>
  <c r="AH45" i="1" s="1"/>
  <c r="H45" i="1"/>
  <c r="AF44" i="1"/>
  <c r="Z44" i="1"/>
  <c r="T44" i="1"/>
  <c r="N44" i="1"/>
  <c r="J44" i="1"/>
  <c r="AB44" i="1" s="1"/>
  <c r="H44" i="1"/>
  <c r="AF40" i="1"/>
  <c r="Z40" i="1"/>
  <c r="T40" i="1"/>
  <c r="N40" i="1"/>
  <c r="J40" i="1"/>
  <c r="AB40" i="1" s="1"/>
  <c r="H40" i="1"/>
  <c r="AF39" i="1"/>
  <c r="Z39" i="1"/>
  <c r="T39" i="1"/>
  <c r="N39" i="1"/>
  <c r="J39" i="1"/>
  <c r="AH39" i="1" s="1"/>
  <c r="H39" i="1"/>
  <c r="AF38" i="1"/>
  <c r="Z38" i="1"/>
  <c r="T38" i="1"/>
  <c r="N38" i="1"/>
  <c r="J38" i="1"/>
  <c r="V38" i="1" s="1"/>
  <c r="H38" i="1"/>
  <c r="AF37" i="1"/>
  <c r="Z37" i="1"/>
  <c r="T37" i="1"/>
  <c r="N37" i="1"/>
  <c r="J37" i="1"/>
  <c r="AH37" i="1" s="1"/>
  <c r="H37" i="1"/>
  <c r="AF36" i="1"/>
  <c r="Z36" i="1"/>
  <c r="T36" i="1"/>
  <c r="N36" i="1"/>
  <c r="J36" i="1"/>
  <c r="AB36" i="1" s="1"/>
  <c r="H36" i="1"/>
  <c r="AF32" i="1"/>
  <c r="Z32" i="1"/>
  <c r="T32" i="1"/>
  <c r="N32" i="1"/>
  <c r="J32" i="1"/>
  <c r="V32" i="1" s="1"/>
  <c r="H32" i="1"/>
  <c r="AF31" i="1"/>
  <c r="Z31" i="1"/>
  <c r="T31" i="1"/>
  <c r="N31" i="1"/>
  <c r="J31" i="1"/>
  <c r="AH31" i="1" s="1"/>
  <c r="H31" i="1"/>
  <c r="AF30" i="1"/>
  <c r="Z30" i="1"/>
  <c r="T30" i="1"/>
  <c r="N30" i="1"/>
  <c r="J30" i="1"/>
  <c r="AH30" i="1" s="1"/>
  <c r="H30" i="1"/>
  <c r="AF29" i="1"/>
  <c r="Z29" i="1"/>
  <c r="T29" i="1"/>
  <c r="N29" i="1"/>
  <c r="J29" i="1"/>
  <c r="V29" i="1" s="1"/>
  <c r="H29" i="1"/>
  <c r="AF28" i="1"/>
  <c r="Z28" i="1"/>
  <c r="T28" i="1"/>
  <c r="N28" i="1"/>
  <c r="J28" i="1"/>
  <c r="AH28" i="1" s="1"/>
  <c r="H28" i="1"/>
  <c r="AF27" i="1"/>
  <c r="Z27" i="1"/>
  <c r="T27" i="1"/>
  <c r="N27" i="1"/>
  <c r="J27" i="1"/>
  <c r="V27" i="1" s="1"/>
  <c r="H27" i="1"/>
  <c r="AF23" i="1"/>
  <c r="Z23" i="1"/>
  <c r="N23" i="1"/>
  <c r="J23" i="1"/>
  <c r="AH23" i="1" s="1"/>
  <c r="H23" i="1"/>
  <c r="AF22" i="1"/>
  <c r="Z22" i="1"/>
  <c r="T22" i="1"/>
  <c r="N22" i="1"/>
  <c r="J22" i="1"/>
  <c r="AB22" i="1" s="1"/>
  <c r="H22" i="1"/>
  <c r="AF21" i="1"/>
  <c r="Z21" i="1"/>
  <c r="T21" i="1"/>
  <c r="N21" i="1"/>
  <c r="J21" i="1"/>
  <c r="V21" i="1" s="1"/>
  <c r="H21" i="1"/>
  <c r="AF20" i="1"/>
  <c r="Z20" i="1"/>
  <c r="T20" i="1"/>
  <c r="N20" i="1"/>
  <c r="J20" i="1"/>
  <c r="AH20" i="1" s="1"/>
  <c r="H20" i="1"/>
  <c r="AF16" i="1"/>
  <c r="Z16" i="1"/>
  <c r="T16" i="1"/>
  <c r="N16" i="1"/>
  <c r="J16" i="1"/>
  <c r="AH16" i="1" s="1"/>
  <c r="H16" i="1"/>
  <c r="AF15" i="1"/>
  <c r="Z15" i="1"/>
  <c r="T15" i="1"/>
  <c r="N15" i="1"/>
  <c r="J15" i="1"/>
  <c r="AB15" i="1" s="1"/>
  <c r="H15" i="1"/>
  <c r="AF14" i="1"/>
  <c r="Z14" i="1"/>
  <c r="T14" i="1"/>
  <c r="N14" i="1"/>
  <c r="J14" i="1"/>
  <c r="AH14" i="1" s="1"/>
  <c r="H14" i="1"/>
  <c r="AF13" i="1"/>
  <c r="Z13" i="1"/>
  <c r="T13" i="1"/>
  <c r="N13" i="1"/>
  <c r="J13" i="1"/>
  <c r="V13" i="1" s="1"/>
  <c r="H13" i="1"/>
  <c r="AF12" i="1"/>
  <c r="Z12" i="1"/>
  <c r="T12" i="1"/>
  <c r="N12" i="1"/>
  <c r="J12" i="1"/>
  <c r="AH12" i="1" s="1"/>
  <c r="H12" i="1"/>
  <c r="AF11" i="1"/>
  <c r="Z11" i="1"/>
  <c r="T11" i="1"/>
  <c r="N11" i="1"/>
  <c r="J11" i="1"/>
  <c r="AB11" i="1" s="1"/>
  <c r="H11" i="1"/>
  <c r="E50" i="1" a="1"/>
  <c r="E50" i="1" s="1"/>
  <c r="F50" i="1" s="1"/>
  <c r="D50" i="1" a="1"/>
  <c r="D50" i="1" s="1"/>
  <c r="AB30" i="1" l="1"/>
  <c r="AH36" i="1"/>
  <c r="V30" i="1"/>
  <c r="AH47" i="1"/>
  <c r="AB27" i="1"/>
  <c r="V40" i="1"/>
  <c r="AB23" i="1"/>
  <c r="AB12" i="1"/>
  <c r="P15" i="1"/>
  <c r="AB49" i="1"/>
  <c r="P40" i="1"/>
  <c r="AH11" i="1"/>
  <c r="V22" i="1"/>
  <c r="AB29" i="1"/>
  <c r="AB48" i="1"/>
  <c r="P11" i="1"/>
  <c r="AH29" i="1"/>
  <c r="P36" i="1"/>
  <c r="V44" i="1"/>
  <c r="V15" i="1"/>
  <c r="V16" i="1"/>
  <c r="AH22" i="1"/>
  <c r="V11" i="1"/>
  <c r="P29" i="1"/>
  <c r="V36" i="1"/>
  <c r="V37" i="1"/>
  <c r="P47" i="1"/>
  <c r="V12" i="1"/>
  <c r="AB16" i="1"/>
  <c r="AB38" i="1"/>
  <c r="AH40" i="1"/>
  <c r="AB13" i="1"/>
  <c r="AH15" i="1"/>
  <c r="P22" i="1"/>
  <c r="AB37" i="1"/>
  <c r="V47" i="1"/>
  <c r="V48" i="1"/>
  <c r="P16" i="1"/>
  <c r="V20" i="1"/>
  <c r="AB21" i="1"/>
  <c r="P30" i="1"/>
  <c r="V31" i="1"/>
  <c r="AB32" i="1"/>
  <c r="P44" i="1"/>
  <c r="AH44" i="1"/>
  <c r="V45" i="1"/>
  <c r="AB46" i="1"/>
  <c r="P13" i="1"/>
  <c r="AH13" i="1"/>
  <c r="V14" i="1"/>
  <c r="P27" i="1"/>
  <c r="AH27" i="1"/>
  <c r="V28" i="1"/>
  <c r="P38" i="1"/>
  <c r="AH38" i="1"/>
  <c r="V39" i="1"/>
  <c r="P49" i="1"/>
  <c r="AH49" i="1"/>
  <c r="V50" i="1"/>
  <c r="P21" i="1"/>
  <c r="AH21" i="1"/>
  <c r="P32" i="1"/>
  <c r="AH32" i="1"/>
  <c r="P46" i="1"/>
  <c r="AH46" i="1"/>
  <c r="AB20" i="1"/>
  <c r="AB31" i="1"/>
  <c r="AB45" i="1"/>
  <c r="P12" i="1"/>
  <c r="AB14" i="1"/>
  <c r="P23" i="1"/>
  <c r="AB28" i="1"/>
  <c r="P37" i="1"/>
  <c r="AB39" i="1"/>
  <c r="P48" i="1"/>
  <c r="AB50" i="1"/>
  <c r="P20" i="1"/>
  <c r="P31" i="1"/>
  <c r="P45" i="1"/>
  <c r="P14" i="1"/>
  <c r="P28" i="1"/>
  <c r="P39" i="1"/>
  <c r="P50" i="1"/>
  <c r="E21" i="1" l="1" a="1"/>
  <c r="E21" i="1" s="1"/>
  <c r="F21" i="1" s="1"/>
  <c r="D21" i="1" a="1"/>
  <c r="D21" i="1" s="1"/>
  <c r="D22" i="1" a="1"/>
  <c r="D22" i="1" s="1"/>
  <c r="E22" i="1" a="1"/>
  <c r="E22" i="1" s="1"/>
  <c r="F22" i="1" s="1"/>
  <c r="E49" i="1" l="1" a="1"/>
  <c r="E49" i="1" s="1"/>
  <c r="F49" i="1" s="1"/>
  <c r="D49" i="1" a="1"/>
  <c r="D49" i="1" s="1"/>
  <c r="E48" i="1" a="1"/>
  <c r="E48" i="1" s="1"/>
  <c r="F48" i="1" s="1"/>
  <c r="D48" i="1" a="1"/>
  <c r="D48" i="1" s="1"/>
  <c r="E47" i="1" a="1"/>
  <c r="E47" i="1" s="1"/>
  <c r="F47" i="1" s="1"/>
  <c r="D47" i="1" a="1"/>
  <c r="D47" i="1" s="1"/>
  <c r="E46" i="1" a="1"/>
  <c r="E46" i="1" s="1"/>
  <c r="F46" i="1" s="1"/>
  <c r="D46" i="1" a="1"/>
  <c r="D46" i="1" s="1"/>
  <c r="E45" i="1" a="1"/>
  <c r="E45" i="1" s="1"/>
  <c r="F45" i="1" s="1"/>
  <c r="D45" i="1" a="1"/>
  <c r="D45" i="1" s="1"/>
  <c r="E44" i="1" a="1"/>
  <c r="E44" i="1" s="1"/>
  <c r="F44" i="1" s="1"/>
  <c r="D44" i="1" a="1"/>
  <c r="D44" i="1" s="1"/>
  <c r="E40" i="1" a="1"/>
  <c r="E40" i="1" s="1"/>
  <c r="F40" i="1" s="1"/>
  <c r="D40" i="1" a="1"/>
  <c r="D40" i="1" s="1"/>
  <c r="E39" i="1" a="1"/>
  <c r="E39" i="1" s="1"/>
  <c r="F39" i="1" s="1"/>
  <c r="D39" i="1" a="1"/>
  <c r="D39" i="1" s="1"/>
  <c r="E38" i="1" a="1"/>
  <c r="E38" i="1" s="1"/>
  <c r="F38" i="1" s="1"/>
  <c r="D38" i="1" a="1"/>
  <c r="D38" i="1" s="1"/>
  <c r="E37" i="1" a="1"/>
  <c r="E37" i="1" s="1"/>
  <c r="F37" i="1" s="1"/>
  <c r="D37" i="1" a="1"/>
  <c r="D37" i="1" s="1"/>
  <c r="E36" i="1" a="1"/>
  <c r="E36" i="1" s="1"/>
  <c r="F36" i="1" s="1"/>
  <c r="D36" i="1" a="1"/>
  <c r="D36" i="1" s="1"/>
  <c r="E32" i="1" a="1"/>
  <c r="E32" i="1" s="1"/>
  <c r="F32" i="1" s="1"/>
  <c r="D32" i="1" a="1"/>
  <c r="D32" i="1" s="1"/>
  <c r="E31" i="1" a="1"/>
  <c r="E31" i="1" s="1"/>
  <c r="F31" i="1" s="1"/>
  <c r="D31" i="1" a="1"/>
  <c r="D31" i="1" s="1"/>
  <c r="E30" i="1" a="1"/>
  <c r="E30" i="1" s="1"/>
  <c r="F30" i="1" s="1"/>
  <c r="D30" i="1" a="1"/>
  <c r="D30" i="1" s="1"/>
  <c r="E29" i="1" a="1"/>
  <c r="E29" i="1" s="1"/>
  <c r="F29" i="1" s="1"/>
  <c r="D29" i="1" a="1"/>
  <c r="D29" i="1" s="1"/>
  <c r="E28" i="1" a="1"/>
  <c r="E28" i="1" s="1"/>
  <c r="F28" i="1" s="1"/>
  <c r="D28" i="1" a="1"/>
  <c r="D28" i="1" s="1"/>
  <c r="E27" i="1" a="1"/>
  <c r="E27" i="1" s="1"/>
  <c r="F27" i="1" s="1"/>
  <c r="D27" i="1" a="1"/>
  <c r="D27" i="1" s="1"/>
  <c r="E23" i="1" a="1"/>
  <c r="E23" i="1" s="1"/>
  <c r="F23" i="1" s="1"/>
  <c r="D23" i="1" a="1"/>
  <c r="D23" i="1" s="1"/>
  <c r="E20" i="1" a="1"/>
  <c r="E20" i="1" s="1"/>
  <c r="F20" i="1" s="1"/>
  <c r="D20" i="1" a="1"/>
  <c r="D20" i="1" s="1"/>
  <c r="E16" i="1" l="1" a="1"/>
  <c r="E16" i="1" s="1"/>
  <c r="F16" i="1" s="1"/>
  <c r="D16" i="1" a="1"/>
  <c r="D16" i="1" s="1"/>
  <c r="E15" i="1" a="1"/>
  <c r="E15" i="1" s="1"/>
  <c r="F15" i="1" s="1"/>
  <c r="D15" i="1" a="1"/>
  <c r="D15" i="1" s="1"/>
  <c r="E14" i="1" a="1"/>
  <c r="E14" i="1" s="1"/>
  <c r="F14" i="1" s="1"/>
  <c r="D14" i="1" a="1"/>
  <c r="D14" i="1" s="1"/>
  <c r="E13" i="1" a="1"/>
  <c r="E13" i="1" s="1"/>
  <c r="F13" i="1" s="1"/>
  <c r="D13" i="1" a="1"/>
  <c r="D13" i="1" s="1"/>
  <c r="E12" i="1" a="1"/>
  <c r="E12" i="1" s="1"/>
  <c r="F12" i="1" s="1"/>
  <c r="D12" i="1" a="1"/>
  <c r="D12" i="1" s="1"/>
  <c r="E11" i="1" l="1" a="1"/>
  <c r="E11" i="1" s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D11" i="1" l="1" a="1"/>
  <c r="D11" i="1" s="1"/>
  <c r="F11" i="1" s="1"/>
</calcChain>
</file>

<file path=xl/sharedStrings.xml><?xml version="1.0" encoding="utf-8"?>
<sst xmlns="http://schemas.openxmlformats.org/spreadsheetml/2006/main" count="4069" uniqueCount="358">
  <si>
    <t xml:space="preserve"> </t>
  </si>
  <si>
    <t>Week 1</t>
  </si>
  <si>
    <t>Week 2</t>
  </si>
  <si>
    <t>Week 3</t>
  </si>
  <si>
    <t>Week 4</t>
  </si>
  <si>
    <t>Week 5: Deload</t>
  </si>
  <si>
    <t>Sets</t>
  </si>
  <si>
    <t>Weight</t>
  </si>
  <si>
    <t>Rep Goal</t>
  </si>
  <si>
    <t>Rep Results</t>
  </si>
  <si>
    <t>*Rating</t>
  </si>
  <si>
    <t>3/fail</t>
  </si>
  <si>
    <t>2/fail</t>
  </si>
  <si>
    <t>1/fail</t>
  </si>
  <si>
    <t>1/2 reps of Week 1</t>
  </si>
  <si>
    <t>Reps</t>
  </si>
  <si>
    <t>(Select from drop-down menus)</t>
  </si>
  <si>
    <t>Triceps</t>
  </si>
  <si>
    <t>Biceps</t>
  </si>
  <si>
    <t>Calves</t>
  </si>
  <si>
    <t>Quads</t>
  </si>
  <si>
    <t>Exercise Rating Menu:</t>
  </si>
  <si>
    <t>Horizontal Push</t>
  </si>
  <si>
    <t>Medium Grip Bench Press</t>
  </si>
  <si>
    <t>Close Grip Bench Press</t>
  </si>
  <si>
    <t>Wide Grip Bench Press</t>
  </si>
  <si>
    <t>Pushup</t>
  </si>
  <si>
    <t>Close Grip Pushup</t>
  </si>
  <si>
    <t>Low Incline Dumbbell Press</t>
  </si>
  <si>
    <t>Incline Medium Grip Bench Press</t>
  </si>
  <si>
    <t>Incline Close Grip Bench Press</t>
  </si>
  <si>
    <t>Incline Wide Grip Bench Press</t>
  </si>
  <si>
    <t>Standing Barbell Shoulder Press</t>
  </si>
  <si>
    <t>Standing Dumbbell Shoulder Press</t>
  </si>
  <si>
    <t>Seated Barbell Shoulder Press</t>
  </si>
  <si>
    <t>Seated Dumbbell Shoulder Press</t>
  </si>
  <si>
    <t>Incline Dumbbell Press</t>
  </si>
  <si>
    <t>Chest Isolation</t>
  </si>
  <si>
    <t>Incline Dumbbell Flye</t>
  </si>
  <si>
    <t>Cable Flye</t>
  </si>
  <si>
    <t>Machine Chest Flye</t>
  </si>
  <si>
    <t>2-Arm Dumbbell Row</t>
  </si>
  <si>
    <t>1-Arm Dumbbell Row</t>
  </si>
  <si>
    <t>Normal Grip Pulldown</t>
  </si>
  <si>
    <t>Wide-Grip Pulldown</t>
  </si>
  <si>
    <t>Narrow Grip Pulldown</t>
  </si>
  <si>
    <t>Barbell Upright Row</t>
  </si>
  <si>
    <t>Dumbbell Upright Row</t>
  </si>
  <si>
    <t>Dumbbell Side Lateral Raise</t>
  </si>
  <si>
    <t>Cable Upright Row</t>
  </si>
  <si>
    <t>Dumbbell Rear Lateral Raise</t>
  </si>
  <si>
    <t>Barbell Facepull</t>
  </si>
  <si>
    <t>Horizontal Triceps</t>
  </si>
  <si>
    <t>Cable Tricep Pushdown</t>
  </si>
  <si>
    <t>Bar Skull</t>
  </si>
  <si>
    <t>Assisted Dips</t>
  </si>
  <si>
    <t>Dips</t>
  </si>
  <si>
    <t>Vertical Triceps</t>
  </si>
  <si>
    <t>Barbell Overhead Tricep Extension</t>
  </si>
  <si>
    <t>EZ Bar Overhead Tricep Extension</t>
  </si>
  <si>
    <t>Cable Overhead Tricep Extension</t>
  </si>
  <si>
    <t>Barbell Curl</t>
  </si>
  <si>
    <t xml:space="preserve">EZ Curl </t>
  </si>
  <si>
    <t>2-Arm Dumbbell Curl</t>
  </si>
  <si>
    <t>High Bar Squat</t>
  </si>
  <si>
    <t>Leg Press</t>
  </si>
  <si>
    <t>Barbell Walking Lunge</t>
  </si>
  <si>
    <t>Dumbbell Walking Lunge</t>
  </si>
  <si>
    <t xml:space="preserve">Front Squat </t>
  </si>
  <si>
    <t>Sumo Deadlift</t>
  </si>
  <si>
    <t>25's Deadlift</t>
  </si>
  <si>
    <t>Low Bar Good Morning</t>
  </si>
  <si>
    <t>High Bar Good Morning</t>
  </si>
  <si>
    <t>Seated Leg Curl</t>
  </si>
  <si>
    <t>Calves on Leg Press</t>
  </si>
  <si>
    <t>Stair Calves</t>
  </si>
  <si>
    <t>Smith Machine Calves</t>
  </si>
  <si>
    <t>Abs</t>
  </si>
  <si>
    <t>V-Up</t>
  </si>
  <si>
    <t>Slant Board Sit-Up</t>
  </si>
  <si>
    <t>Reaching Sit-Up</t>
  </si>
  <si>
    <t>Hanging Knee Raise</t>
  </si>
  <si>
    <t>(-1 = I was very sore and tight in the muscles worked in this exercise (from the last time I trained them), and the reps were very tough to complete.)</t>
  </si>
  <si>
    <t>(0 = I was noticeably sore and tight in the muscles worked in this exercise (from the last time I trained them), and the reps were tough but manageable to complete.)</t>
  </si>
  <si>
    <t>(1 = I wasn't very sore or tight in the muscles worked in this exercise (from the last time I trained them), and the reps were no major struggle to complete.)</t>
  </si>
  <si>
    <t>Day 1:</t>
  </si>
  <si>
    <t>Day 2:</t>
  </si>
  <si>
    <t>1.) Choose Your Exercises Below</t>
  </si>
  <si>
    <t>Exercise</t>
  </si>
  <si>
    <t xml:space="preserve">4.) Begin Training Using The </t>
  </si>
  <si>
    <t>Exercises, Sets, and Rep Goals</t>
  </si>
  <si>
    <t>of Each Week</t>
  </si>
  <si>
    <r>
      <rPr>
        <b/>
        <sz val="14"/>
        <color theme="1"/>
        <rFont val="Calibri"/>
        <family val="2"/>
        <scheme val="minor"/>
      </rPr>
      <t>5.) *Rating Guide:</t>
    </r>
    <r>
      <rPr>
        <sz val="11"/>
        <color theme="1"/>
        <rFont val="Calibri"/>
        <family val="2"/>
        <scheme val="minor"/>
      </rPr>
      <t xml:space="preserve">     (select this from the blue drop down boxes  below as you train and rate each exercise)</t>
    </r>
  </si>
  <si>
    <t xml:space="preserve">6.) Deload by Following the Instructions For Lighter and Easier Training Below </t>
  </si>
  <si>
    <t xml:space="preserve">So That You Can Recover For the Next Round of Great Training! </t>
  </si>
  <si>
    <t>Instructions For Each</t>
  </si>
  <si>
    <t>Exercise You Chose</t>
  </si>
  <si>
    <t xml:space="preserve">2.) Watch Video </t>
  </si>
  <si>
    <t>Your 10RMs</t>
  </si>
  <si>
    <t>Below</t>
  </si>
  <si>
    <t>3.) Estimate</t>
  </si>
  <si>
    <t>(Type in the weight</t>
  </si>
  <si>
    <t xml:space="preserve"> for each exercise)</t>
  </si>
  <si>
    <t>Day 3:</t>
  </si>
  <si>
    <t>Front Delts</t>
  </si>
  <si>
    <t>Side Delts</t>
  </si>
  <si>
    <t>Hamstrings Isolation</t>
  </si>
  <si>
    <t>Hamstrings Hip Hinge</t>
  </si>
  <si>
    <t>Glutes</t>
  </si>
  <si>
    <t>Machine Crunch</t>
  </si>
  <si>
    <t>Modified Candlestick</t>
  </si>
  <si>
    <t>Calves on Calf Machine</t>
  </si>
  <si>
    <t>Close Grip Barbell Curl</t>
  </si>
  <si>
    <t>Cable Curl</t>
  </si>
  <si>
    <t>Incline Dumbbell Curl</t>
  </si>
  <si>
    <t>Dumbbell Spider Curl</t>
  </si>
  <si>
    <t>Alternating Dumbbell Curl</t>
  </si>
  <si>
    <t>Rear Delts</t>
  </si>
  <si>
    <t>Dumbbell Facepull</t>
  </si>
  <si>
    <t>Thumbs Down Lateral Raise</t>
  </si>
  <si>
    <t>Traps</t>
  </si>
  <si>
    <t>Barbell Bent Over Shrug</t>
  </si>
  <si>
    <t>Dumbbell Shrug</t>
  </si>
  <si>
    <t>Dumbbell Bent Over Shrug</t>
  </si>
  <si>
    <t>JM Press</t>
  </si>
  <si>
    <t>Cable Rope Pushdown</t>
  </si>
  <si>
    <t>Horizonal Back</t>
  </si>
  <si>
    <t>Chest Supported Row</t>
  </si>
  <si>
    <t>Row Machine</t>
  </si>
  <si>
    <t>Cable Row</t>
  </si>
  <si>
    <t>Vertical Back</t>
  </si>
  <si>
    <t>Overhand Pullup</t>
  </si>
  <si>
    <t>Hack Squat</t>
  </si>
  <si>
    <t>Sumo Squat</t>
  </si>
  <si>
    <t>Deadlift</t>
  </si>
  <si>
    <t>Stiff-Legged Deadlift</t>
  </si>
  <si>
    <t>45 Degree Back Raise</t>
  </si>
  <si>
    <t>Single-Leg Leg Curl</t>
  </si>
  <si>
    <t>Flat Dumbbell Flye</t>
  </si>
  <si>
    <t>High Cable Flye</t>
  </si>
  <si>
    <t>Cable Incline Flye</t>
  </si>
  <si>
    <t>Pec Dec Flye</t>
  </si>
  <si>
    <t>Flat Dumbbell Bench Press</t>
  </si>
  <si>
    <t>Incline Push</t>
  </si>
  <si>
    <t>Incline Machine Bench Press</t>
  </si>
  <si>
    <t>Shoulder Press Machine</t>
  </si>
  <si>
    <t>Hanging Strait Leg Raise</t>
  </si>
  <si>
    <t>Dummbell Twist Curl</t>
  </si>
  <si>
    <t>Hammer Curl</t>
  </si>
  <si>
    <t>Cable Rope Twist Curl</t>
  </si>
  <si>
    <t>Cable Facepull</t>
  </si>
  <si>
    <t>Barbell Shrug</t>
  </si>
  <si>
    <t>Skullcrusher</t>
  </si>
  <si>
    <t>Dumbbell Skullcrusher</t>
  </si>
  <si>
    <t>Seated EZ Bar Overhead Tricep Extension</t>
  </si>
  <si>
    <t>Seated Barbell Overhead Tricep Extension</t>
  </si>
  <si>
    <t>Barbell Bent Over Row</t>
  </si>
  <si>
    <t>Underhand EZ Bar Row</t>
  </si>
  <si>
    <t>Row to Chest</t>
  </si>
  <si>
    <t>Parallel Pullup</t>
  </si>
  <si>
    <t>Underhand Pullup</t>
  </si>
  <si>
    <t>Wide Grip Pullup</t>
  </si>
  <si>
    <t>Assisted Overhand Pullup</t>
  </si>
  <si>
    <t>Assisted Parallel Pullup</t>
  </si>
  <si>
    <t>Assisted Underhand Pullup</t>
  </si>
  <si>
    <t>Parallel Pulldown</t>
  </si>
  <si>
    <t>Underhand Pulldown</t>
  </si>
  <si>
    <t>Close Stance Feet Forward Squats</t>
  </si>
  <si>
    <t>Machine Feet Forward Squat</t>
  </si>
  <si>
    <t>Front Squat (Alernate Grip)</t>
  </si>
  <si>
    <t xml:space="preserve">Deficit Deadlift </t>
  </si>
  <si>
    <t>Hex Bar Deadlift</t>
  </si>
  <si>
    <t>Lying Leg Curl</t>
  </si>
  <si>
    <t>Flat Machine Bench Press</t>
  </si>
  <si>
    <t>High Incline Dumbbell Press</t>
  </si>
  <si>
    <t>Chest Isolation or Triceps</t>
  </si>
  <si>
    <t>Incline Push or Front Delts</t>
  </si>
  <si>
    <t>Rear Delts or Side Delts</t>
  </si>
  <si>
    <t>https://youtu.be/GWeVF2aVk8g</t>
  </si>
  <si>
    <t>https://youtu.be/JYiWXFIikW4</t>
  </si>
  <si>
    <t>https://youtu.be/ENaZCLrz8_c</t>
  </si>
  <si>
    <t>https://youtu.be/vz97voWk3jU</t>
  </si>
  <si>
    <t>https://youtu.be/sPIBL43Ds48</t>
  </si>
  <si>
    <t>https://youtu.be/dmwMfjPQIP8</t>
  </si>
  <si>
    <t>https://youtu.be/5p-vP_XyNaA</t>
  </si>
  <si>
    <t>https://youtu.be/wrPN51LyOUE</t>
  </si>
  <si>
    <t>https://youtu.be/mucRuC4sEjQ</t>
  </si>
  <si>
    <t>https://youtu.be/oRRs1bGzimM</t>
  </si>
  <si>
    <t>https://youtu.be/IkrC1u5e-RQ</t>
  </si>
  <si>
    <t>https://youtu.be/tYpquedo9e0</t>
  </si>
  <si>
    <t>https://youtu.be/MCjBeB844rU</t>
  </si>
  <si>
    <t>https://youtu.be/GztM7atVgd8</t>
  </si>
  <si>
    <t>https://youtu.be/yYB76DOBPsM</t>
  </si>
  <si>
    <t>https://youtu.be/nW7w5vG6IIc</t>
  </si>
  <si>
    <t>https://youtu.be/2jsTYbOkx1U</t>
  </si>
  <si>
    <t>https://youtu.be/DcRJ3bLJuVw</t>
  </si>
  <si>
    <t>https://youtu.be/xsOm9xn83-8</t>
  </si>
  <si>
    <t>https://youtu.be/y_GK6fn7raU</t>
  </si>
  <si>
    <t>https://youtu.be/S97e09rLmEU</t>
  </si>
  <si>
    <t>https://youtu.be/sR_EdrSruyQ</t>
  </si>
  <si>
    <t>https://youtu.be/BvX7g1yr1pY</t>
  </si>
  <si>
    <t>https://youtu.be/d90AskSQcDc</t>
  </si>
  <si>
    <t>https://youtu.be/Ana4dJbCvxE</t>
  </si>
  <si>
    <t>https://youtu.be/c32OxRaEhxM</t>
  </si>
  <si>
    <t>https://youtu.be/fbFISuP7Ezk</t>
  </si>
  <si>
    <t>https://youtu.be/KkpCTyjGlZo</t>
  </si>
  <si>
    <t>https://youtu.be/FoZM6vuuKBc</t>
  </si>
  <si>
    <t>https://youtu.be/pg3hz43P09w</t>
  </si>
  <si>
    <t>https://youtu.be/7P2LTF73EOM</t>
  </si>
  <si>
    <t>https://youtu.be/hR8aOS5LZjU</t>
  </si>
  <si>
    <t>https://youtu.be/6DiJh6_jeoo</t>
  </si>
  <si>
    <t>https://youtu.be/z3yCDRGrQTM</t>
  </si>
  <si>
    <t>https://youtu.be/S3NIBLmlKaU</t>
  </si>
  <si>
    <t>https://youtu.be/hJLXuvZd05w</t>
  </si>
  <si>
    <t>https://youtu.be/daSL236nYZs</t>
  </si>
  <si>
    <t>https://youtu.be/B48xWtzMHxk</t>
  </si>
  <si>
    <t>https://youtu.be/a5_JKN7j7Ug</t>
  </si>
  <si>
    <t>https://youtu.be/TtXlapucVxM</t>
  </si>
  <si>
    <t>https://youtu.be/B33bKk_r5PU</t>
  </si>
  <si>
    <t>https://youtu.be/tu2Q82-HMg0</t>
  </si>
  <si>
    <t>https://youtu.be/gYbmiluG5Ho</t>
  </si>
  <si>
    <t>https://youtu.be/U3SkMY6jw5M</t>
  </si>
  <si>
    <t>https://youtu.be/He-GN_4MAY4</t>
  </si>
  <si>
    <t>https://youtu.be/pOX1m37rOWo</t>
  </si>
  <si>
    <t>https://youtu.be/aNzU6AYZiEs</t>
  </si>
  <si>
    <t>https://youtu.be/B21LHpkamJM</t>
  </si>
  <si>
    <t>https://youtu.be/o2qSVwxiFk4</t>
  </si>
  <si>
    <t>https://youtu.be/ROIrNQJBKZ0</t>
  </si>
  <si>
    <t>https://youtu.be/tRT-cLlXJZ0</t>
  </si>
  <si>
    <t>https://youtu.be/Wdv_3ojsPhU</t>
  </si>
  <si>
    <t>https://youtu.be/4Idz7uwm3OU</t>
  </si>
  <si>
    <t>https://youtu.be/J44yAQ_LXXU</t>
  </si>
  <si>
    <t>https://youtu.be/o1yPuXatVRs</t>
  </si>
  <si>
    <t>https://youtu.be/y47HOtqxZkg</t>
  </si>
  <si>
    <t>https://youtu.be/NF4nbNsqreQ</t>
  </si>
  <si>
    <t>https://youtu.be/lFyDmuDjRts</t>
  </si>
  <si>
    <t>https://youtu.be/SmRa30Jci54</t>
  </si>
  <si>
    <t>https://youtu.be/HOWPPDueZY8</t>
  </si>
  <si>
    <t>https://youtu.be/ghHW6sETs-I</t>
  </si>
  <si>
    <t>https://youtu.be/UNo4yBbidG4</t>
  </si>
  <si>
    <t>https://youtu.be/2PC8eYTte5w</t>
  </si>
  <si>
    <t>https://youtu.be/gQ179IUjMsQ</t>
  </si>
  <si>
    <t>https://youtu.be/uMjeHo2_EwM</t>
  </si>
  <si>
    <t>https://youtu.be/bxfHw1LvH24</t>
  </si>
  <si>
    <t>https://youtu.be/xyoFXl-k644</t>
  </si>
  <si>
    <t>https://youtu.be/QzjjwxZOVdE</t>
  </si>
  <si>
    <t>https://youtu.be/2-o_-HTPhv8</t>
  </si>
  <si>
    <t>https://youtu.be/ppluAD4MHK8</t>
  </si>
  <si>
    <t>https://youtu.be/SYji94GabJg</t>
  </si>
  <si>
    <t>https://youtu.be/mJSsWpuyiCM</t>
  </si>
  <si>
    <t>https://youtu.be/SOyO4LHjhX4</t>
  </si>
  <si>
    <t>https://youtu.be/lNYA35p8XJQ</t>
  </si>
  <si>
    <t>https://youtu.be/uFEPuNtHoOU</t>
  </si>
  <si>
    <t>https://youtu.be/vNgwqFsVstY</t>
  </si>
  <si>
    <t>https://youtu.be/LRgZFHceZGo</t>
  </si>
  <si>
    <t>https://youtu.be/wjw-4R5VR20</t>
  </si>
  <si>
    <t>https://youtu.be/WWS1rPFPyiQ</t>
  </si>
  <si>
    <t>https://youtu.be/7If7L0lAur8</t>
  </si>
  <si>
    <t>https://youtu.be/xp1IeyTOB4U</t>
  </si>
  <si>
    <t>https://youtu.be/euEPxA3gsDo</t>
  </si>
  <si>
    <t>https://youtu.be/f-_q_3tN6Yo</t>
  </si>
  <si>
    <t>https://youtu.be/zbYgjREbdb0</t>
  </si>
  <si>
    <t>https://youtu.be/Z3AC4mmiKhw</t>
  </si>
  <si>
    <t>https://youtu.be/hzHJugCcT6g</t>
  </si>
  <si>
    <t>https://youtu.be/OMUGU1Vh8Ao</t>
  </si>
  <si>
    <t>https://youtu.be/m4KB9-Uo4Kc</t>
  </si>
  <si>
    <t>https://youtu.be/BHxrogNaKoo</t>
  </si>
  <si>
    <t>https://youtu.be/SMln-yOUKSA</t>
  </si>
  <si>
    <t>https://youtu.be/t2Kk-TOhq14</t>
  </si>
  <si>
    <t>https://youtu.be/_GBEHrc_V5U</t>
  </si>
  <si>
    <t>https://youtu.be/60Ai9_c60xg</t>
  </si>
  <si>
    <t>https://youtu.be/ipoTKasbDyQ</t>
  </si>
  <si>
    <t>https://youtu.be/6L7xI3jO_GU</t>
  </si>
  <si>
    <t>https://youtu.be/UPGRju60F60</t>
  </si>
  <si>
    <t>https://youtu.be/ZYM1mNayaeI</t>
  </si>
  <si>
    <t>https://youtu.be/Dl-by6_vATQ</t>
  </si>
  <si>
    <t>https://youtu.be/ILToidt_G0U</t>
  </si>
  <si>
    <t>https://youtu.be/20_pP7oaH34</t>
  </si>
  <si>
    <t>https://youtu.be/3s_QUA4HcxI</t>
  </si>
  <si>
    <t>https://youtu.be/cg4tsxQ1BP4</t>
  </si>
  <si>
    <t>https://youtu.be/TM_PeJIdQwE</t>
  </si>
  <si>
    <t>https://youtu.be/PFtO-p5VLO0</t>
  </si>
  <si>
    <t>https://youtu.be/zWRCV_td3I8</t>
  </si>
  <si>
    <t>https://youtu.be/MDuOnEyof1w</t>
  </si>
  <si>
    <t>https://youtu.be/efDlxayx234</t>
  </si>
  <si>
    <t>https://youtu.be/LYZDsNv8kJ8</t>
  </si>
  <si>
    <t>https://youtu.be/2JIPv1E5a0I</t>
  </si>
  <si>
    <t>https://youtu.be/eaI0E6ZcwM4</t>
  </si>
  <si>
    <t>https://youtu.be/n9RZ6FEthGU</t>
  </si>
  <si>
    <t>https://youtu.be/dF9Pm_-2zmg</t>
  </si>
  <si>
    <t>https://youtu.be/RGFdTZznnRs</t>
  </si>
  <si>
    <t>https://youtu.be/YIqmLutlM1g</t>
  </si>
  <si>
    <t>https://youtu.be/W6kJbZeFssU</t>
  </si>
  <si>
    <t>https://youtu.be/Ax_6UXGQo7o</t>
  </si>
  <si>
    <t>Link</t>
  </si>
  <si>
    <t>Category</t>
  </si>
  <si>
    <t>Table name</t>
  </si>
  <si>
    <t>Rear_Delts</t>
  </si>
  <si>
    <t>Side_Delts</t>
  </si>
  <si>
    <t>Horizontal_Triceps</t>
  </si>
  <si>
    <t>Vertical_Triceps</t>
  </si>
  <si>
    <t>Horizonal_Back</t>
  </si>
  <si>
    <t>Vertical_Back</t>
  </si>
  <si>
    <t>Hamstrings_Hip_Hinge</t>
  </si>
  <si>
    <t>Hamstrings_Isolation</t>
  </si>
  <si>
    <t>Chest_Isolation</t>
  </si>
  <si>
    <t>Horizontal_Push</t>
  </si>
  <si>
    <t>Incline_Push</t>
  </si>
  <si>
    <t>Front_Delts</t>
  </si>
  <si>
    <t>Incline_Push_or_Front_Delts</t>
  </si>
  <si>
    <t>Chest_Isolation_or_Triceps</t>
  </si>
  <si>
    <t>Rear_or_Side_Delts</t>
  </si>
  <si>
    <t>Abs[Exercise]</t>
  </si>
  <si>
    <t>Calves[Exercise]</t>
  </si>
  <si>
    <t>Biceps[Exercise]</t>
  </si>
  <si>
    <t>Rear_Delts[Exercise]</t>
  </si>
  <si>
    <t>Side_Delts[Exercise]</t>
  </si>
  <si>
    <t>Traps[Exercise]</t>
  </si>
  <si>
    <t>Horizontal_Triceps[Exercise]</t>
  </si>
  <si>
    <t>Vertical_Triceps[Exercise]</t>
  </si>
  <si>
    <t>Vertical_Back[Exercise]</t>
  </si>
  <si>
    <t>Quads[Exercise]</t>
  </si>
  <si>
    <t>Glutes[Exercise]</t>
  </si>
  <si>
    <t>Hamstrings_Hip_Hinge[Exercise]</t>
  </si>
  <si>
    <t>Hamstrings_Isolation[Exercise]</t>
  </si>
  <si>
    <t>Chest_Isolation[Exercise]</t>
  </si>
  <si>
    <t>Horizontal_Push[Exercise]</t>
  </si>
  <si>
    <t>Incline_Push[Exercise]</t>
  </si>
  <si>
    <t>Front_Delts[Exercise]</t>
  </si>
  <si>
    <t>Triceps[Exercise]</t>
  </si>
  <si>
    <t>Incline_Push_or_Front_Delts[Exercise]</t>
  </si>
  <si>
    <t>Chest_Isolation_or_Triceps[Exercise]</t>
  </si>
  <si>
    <t>Rear_or_Side_Delts[Exercise]</t>
  </si>
  <si>
    <t>Name List</t>
  </si>
  <si>
    <t>Horizontal_Back[Exercise]</t>
  </si>
  <si>
    <t>Link List</t>
  </si>
  <si>
    <t>Day 4:</t>
  </si>
  <si>
    <t>No Rest between days 1 and 2</t>
  </si>
  <si>
    <t>Horizontal Pull</t>
  </si>
  <si>
    <t>Vertical Pull</t>
  </si>
  <si>
    <t>Rear or Side Delts</t>
  </si>
  <si>
    <t>Day 5:</t>
  </si>
  <si>
    <t>Chest Upper</t>
  </si>
  <si>
    <t>Incline Chest</t>
  </si>
  <si>
    <t>Horizontal Chest</t>
  </si>
  <si>
    <t>Quads Focused Legs</t>
  </si>
  <si>
    <t>Rest one day between days 2 and 3</t>
  </si>
  <si>
    <t>Back Upper</t>
  </si>
  <si>
    <t>No Rest between days 3 and 4</t>
  </si>
  <si>
    <t>Glute/Ham Focused Legs</t>
  </si>
  <si>
    <t>No Rest between days 4 and 5</t>
  </si>
  <si>
    <t>Shoulders/Arms Upper</t>
  </si>
  <si>
    <t>Rest one day between day 5 and the next week's day 1</t>
  </si>
  <si>
    <t>Super set this exercise</t>
  </si>
  <si>
    <t>with this one</t>
  </si>
  <si>
    <t>Week 3: Deload</t>
  </si>
  <si>
    <t>Instructional Video</t>
  </si>
  <si>
    <t>10RM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</si>
</sst>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sz val="11"/>
      <color theme="10"/>
      <name val="Calibri"/>
      <family val="2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theme="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indexed="64"/>
      </right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medium">
        <color indexed="64"/>
      </bottom>
      <diagonal/>
    </border>
    <border>
      <left style="medium">
        <color indexed="64"/>
      </left>
      <right style="medium">
        <color rgb="FFFF0000"/>
      </right>
      <top style="medium">
        <color rgb="FFFF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rgb="FFFF0000"/>
      </right>
      <top style="medium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FF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83">
    <xf numFmtId="0" fontId="0" fillId="0" borderId="0" xfId="0"/>
    <xf numFmtId="0" fontId="0" fillId="0" borderId="8" xfId="0" applyBorder="1"/>
    <xf numFmtId="0" fontId="0" fillId="7" borderId="9" xfId="0" applyFill="1" applyBorder="1"/>
    <xf numFmtId="0" fontId="0" fillId="7" borderId="0" xfId="0" applyFill="1" applyBorder="1"/>
    <xf numFmtId="0" fontId="0" fillId="0" borderId="0" xfId="0" applyFill="1" applyBorder="1"/>
    <xf numFmtId="0" fontId="0" fillId="0" borderId="9" xfId="0" applyBorder="1"/>
    <xf numFmtId="0" fontId="0" fillId="6" borderId="3" xfId="0" applyFill="1" applyBorder="1"/>
    <xf numFmtId="0" fontId="0" fillId="6" borderId="12" xfId="0" applyFill="1" applyBorder="1"/>
    <xf numFmtId="0" fontId="0" fillId="7" borderId="1" xfId="0" applyFill="1" applyBorder="1"/>
    <xf numFmtId="0" fontId="2" fillId="0" borderId="0" xfId="1" applyAlignment="1" applyProtection="1"/>
    <xf numFmtId="0" fontId="0" fillId="7" borderId="2" xfId="0" applyFill="1" applyBorder="1"/>
    <xf numFmtId="0" fontId="0" fillId="7" borderId="12" xfId="0" applyFill="1" applyBorder="1"/>
    <xf numFmtId="0" fontId="0" fillId="6" borderId="19" xfId="0" applyFill="1" applyBorder="1"/>
    <xf numFmtId="0" fontId="0" fillId="0" borderId="0" xfId="0" applyAlignment="1">
      <alignment horizontal="center" vertical="center"/>
    </xf>
    <xf numFmtId="0" fontId="0" fillId="7" borderId="3" xfId="0" applyFill="1" applyBorder="1"/>
    <xf numFmtId="0" fontId="0" fillId="7" borderId="11" xfId="0" applyFill="1" applyBorder="1"/>
    <xf numFmtId="0" fontId="0" fillId="6" borderId="17" xfId="0" applyFill="1" applyBorder="1"/>
    <xf numFmtId="0" fontId="0" fillId="0" borderId="0" xfId="0" applyFont="1" applyFill="1" applyBorder="1"/>
    <xf numFmtId="0" fontId="0" fillId="6" borderId="1" xfId="0" applyFill="1" applyBorder="1"/>
    <xf numFmtId="0" fontId="3" fillId="6" borderId="13" xfId="0" applyFont="1" applyFill="1" applyBorder="1"/>
    <xf numFmtId="0" fontId="0" fillId="6" borderId="2" xfId="0" applyFill="1" applyBorder="1"/>
    <xf numFmtId="0" fontId="0" fillId="6" borderId="11" xfId="0" applyFill="1" applyBorder="1"/>
    <xf numFmtId="0" fontId="3" fillId="6" borderId="10" xfId="0" applyFont="1" applyFill="1" applyBorder="1"/>
    <xf numFmtId="0" fontId="3" fillId="6" borderId="11" xfId="0" applyFont="1" applyFill="1" applyBorder="1"/>
    <xf numFmtId="0" fontId="3" fillId="8" borderId="18" xfId="0" applyFont="1" applyFill="1" applyBorder="1"/>
    <xf numFmtId="0" fontId="3" fillId="11" borderId="14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left" vertical="center"/>
    </xf>
    <xf numFmtId="0" fontId="3" fillId="10" borderId="13" xfId="0" applyFont="1" applyFill="1" applyBorder="1" applyAlignment="1">
      <alignment horizontal="left" vertical="center"/>
    </xf>
    <xf numFmtId="0" fontId="3" fillId="8" borderId="16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 applyAlignment="1" applyProtection="1">
      <alignment horizontal="center"/>
    </xf>
    <xf numFmtId="0" fontId="2" fillId="0" borderId="0" xfId="1" applyAlignment="1" applyProtection="1">
      <alignment horizontal="center" vertical="center"/>
    </xf>
    <xf numFmtId="0" fontId="3" fillId="8" borderId="18" xfId="0" applyFont="1" applyFill="1" applyBorder="1" applyAlignment="1">
      <alignment horizontal="left" vertical="center"/>
    </xf>
    <xf numFmtId="0" fontId="5" fillId="12" borderId="0" xfId="1" applyFont="1" applyFill="1" applyBorder="1" applyAlignment="1" applyProtection="1"/>
    <xf numFmtId="0" fontId="0" fillId="0" borderId="0" xfId="0" applyFill="1"/>
    <xf numFmtId="0" fontId="2" fillId="0" borderId="0" xfId="1" applyFill="1" applyAlignment="1" applyProtection="1"/>
    <xf numFmtId="0" fontId="5" fillId="0" borderId="0" xfId="1" applyFont="1" applyFill="1" applyBorder="1" applyAlignment="1" applyProtection="1"/>
    <xf numFmtId="0" fontId="0" fillId="0" borderId="0" xfId="0" applyFill="1" applyAlignment="1">
      <alignment horizontal="center"/>
    </xf>
    <xf numFmtId="0" fontId="0" fillId="0" borderId="0" xfId="0" applyFont="1" applyAlignment="1">
      <alignment horizontal="center"/>
    </xf>
    <xf numFmtId="0" fontId="4" fillId="12" borderId="20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6" fillId="0" borderId="0" xfId="1" applyFont="1" applyAlignment="1" applyProtection="1"/>
    <xf numFmtId="0" fontId="6" fillId="0" borderId="0" xfId="1" applyFont="1" applyAlignment="1" applyProtection="1">
      <alignment horizontal="center"/>
    </xf>
    <xf numFmtId="0" fontId="6" fillId="12" borderId="21" xfId="1" applyFont="1" applyFill="1" applyBorder="1" applyAlignment="1" applyProtection="1"/>
    <xf numFmtId="0" fontId="6" fillId="0" borderId="0" xfId="1" applyFont="1" applyAlignment="1" applyProtection="1">
      <alignment horizontal="center" vertical="center"/>
    </xf>
    <xf numFmtId="0" fontId="2" fillId="0" borderId="0" xfId="1" applyFill="1" applyBorder="1" applyAlignment="1" applyProtection="1"/>
    <xf numFmtId="0" fontId="2" fillId="0" borderId="0" xfId="1" applyFill="1" applyBorder="1" applyAlignment="1" applyProtection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7" borderId="8" xfId="0" applyFill="1" applyBorder="1" applyAlignment="1">
      <alignment vertical="center"/>
    </xf>
    <xf numFmtId="0" fontId="0" fillId="7" borderId="10" xfId="0" applyFill="1" applyBorder="1" applyAlignment="1">
      <alignment vertical="center"/>
    </xf>
    <xf numFmtId="0" fontId="0" fillId="0" borderId="2" xfId="0" applyFill="1" applyBorder="1" applyAlignment="1">
      <alignment horizontal="right" vertical="center"/>
    </xf>
    <xf numFmtId="0" fontId="0" fillId="0" borderId="2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1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9" borderId="22" xfId="1" applyFill="1" applyBorder="1" applyAlignment="1" applyProtection="1">
      <alignment horizont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9" borderId="24" xfId="1" applyFill="1" applyBorder="1" applyAlignment="1" applyProtection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2" fillId="0" borderId="0" xfId="1" applyFill="1" applyBorder="1" applyAlignment="1" applyProtection="1">
      <alignment horizontal="center"/>
    </xf>
    <xf numFmtId="0" fontId="0" fillId="0" borderId="0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2" fillId="9" borderId="27" xfId="1" applyFill="1" applyBorder="1" applyAlignment="1" applyProtection="1">
      <alignment horizontal="center"/>
    </xf>
    <xf numFmtId="0" fontId="1" fillId="0" borderId="17" xfId="0" applyFont="1" applyBorder="1" applyAlignment="1">
      <alignment horizontal="center"/>
    </xf>
    <xf numFmtId="0" fontId="0" fillId="9" borderId="44" xfId="0" applyFill="1" applyBorder="1" applyAlignment="1">
      <alignment horizontal="center" vertical="center"/>
    </xf>
    <xf numFmtId="0" fontId="0" fillId="9" borderId="45" xfId="0" applyFill="1" applyBorder="1" applyAlignment="1">
      <alignment horizontal="center" vertical="center"/>
    </xf>
    <xf numFmtId="0" fontId="0" fillId="9" borderId="46" xfId="0" applyFill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9" borderId="47" xfId="0" applyFill="1" applyBorder="1" applyAlignment="1">
      <alignment horizontal="center" vertical="center"/>
    </xf>
    <xf numFmtId="0" fontId="0" fillId="9" borderId="48" xfId="0" applyFill="1" applyBorder="1" applyAlignment="1">
      <alignment horizontal="center" vertical="center"/>
    </xf>
    <xf numFmtId="0" fontId="0" fillId="9" borderId="49" xfId="0" applyFill="1" applyBorder="1" applyAlignment="1">
      <alignment horizontal="center" vertical="center"/>
    </xf>
    <xf numFmtId="0" fontId="2" fillId="9" borderId="50" xfId="1" applyFill="1" applyBorder="1" applyAlignment="1" applyProtection="1">
      <alignment horizontal="center"/>
    </xf>
    <xf numFmtId="0" fontId="2" fillId="9" borderId="51" xfId="1" applyFill="1" applyBorder="1" applyAlignment="1" applyProtection="1">
      <alignment horizontal="center"/>
    </xf>
    <xf numFmtId="0" fontId="2" fillId="9" borderId="52" xfId="1" applyFill="1" applyBorder="1" applyAlignment="1" applyProtection="1">
      <alignment horizontal="center"/>
    </xf>
    <xf numFmtId="0" fontId="2" fillId="11" borderId="47" xfId="1" applyFill="1" applyBorder="1" applyAlignment="1" applyProtection="1">
      <alignment horizontal="center" vertical="center"/>
    </xf>
    <xf numFmtId="0" fontId="2" fillId="11" borderId="48" xfId="1" applyFill="1" applyBorder="1" applyAlignment="1" applyProtection="1">
      <alignment horizontal="center" vertical="center"/>
    </xf>
    <xf numFmtId="0" fontId="2" fillId="11" borderId="49" xfId="1" applyFill="1" applyBorder="1" applyAlignment="1" applyProtection="1">
      <alignment horizontal="center" vertical="center"/>
    </xf>
    <xf numFmtId="0" fontId="0" fillId="10" borderId="47" xfId="0" applyFill="1" applyBorder="1" applyAlignment="1">
      <alignment horizontal="center" vertical="center"/>
    </xf>
    <xf numFmtId="0" fontId="0" fillId="10" borderId="48" xfId="0" applyFill="1" applyBorder="1" applyAlignment="1">
      <alignment horizontal="center" vertical="center"/>
    </xf>
    <xf numFmtId="0" fontId="0" fillId="10" borderId="49" xfId="0" applyFill="1" applyBorder="1" applyAlignment="1">
      <alignment horizontal="center" vertical="center"/>
    </xf>
    <xf numFmtId="0" fontId="0" fillId="9" borderId="53" xfId="0" applyFill="1" applyBorder="1" applyAlignment="1">
      <alignment horizontal="center" vertical="center"/>
    </xf>
    <xf numFmtId="0" fontId="2" fillId="9" borderId="23" xfId="1" applyFill="1" applyBorder="1" applyAlignment="1" applyProtection="1">
      <alignment horizontal="center"/>
    </xf>
    <xf numFmtId="0" fontId="0" fillId="7" borderId="13" xfId="0" applyFill="1" applyBorder="1" applyAlignment="1">
      <alignment horizontal="center"/>
    </xf>
    <xf numFmtId="0" fontId="2" fillId="9" borderId="28" xfId="1" applyFill="1" applyBorder="1" applyAlignment="1" applyProtection="1">
      <alignment horizont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0" borderId="30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/>
    </xf>
    <xf numFmtId="0" fontId="2" fillId="9" borderId="34" xfId="1" applyFill="1" applyBorder="1" applyAlignment="1" applyProtection="1">
      <alignment horizont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0" borderId="36" xfId="0" applyFill="1" applyBorder="1" applyAlignment="1">
      <alignment horizontal="center" vertical="center"/>
    </xf>
    <xf numFmtId="0" fontId="0" fillId="7" borderId="39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" fillId="9" borderId="40" xfId="1" applyFill="1" applyBorder="1" applyAlignment="1" applyProtection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2" fillId="9" borderId="43" xfId="1" applyFill="1" applyBorder="1" applyAlignment="1" applyProtection="1">
      <alignment horizontal="center"/>
    </xf>
    <xf numFmtId="0" fontId="0" fillId="9" borderId="54" xfId="0" applyFill="1" applyBorder="1" applyAlignment="1">
      <alignment horizontal="center" vertical="center"/>
    </xf>
    <xf numFmtId="0" fontId="0" fillId="9" borderId="55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9" borderId="56" xfId="0" applyFill="1" applyBorder="1" applyAlignment="1">
      <alignment horizontal="center" vertical="center"/>
    </xf>
    <xf numFmtId="0" fontId="2" fillId="9" borderId="57" xfId="1" applyFill="1" applyBorder="1" applyAlignment="1" applyProtection="1">
      <alignment horizontal="center"/>
    </xf>
    <xf numFmtId="0" fontId="1" fillId="0" borderId="14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0" fillId="9" borderId="14" xfId="0" applyFill="1" applyBorder="1" applyAlignment="1">
      <alignment horizontal="center" vertical="center"/>
    </xf>
    <xf numFmtId="0" fontId="0" fillId="9" borderId="58" xfId="0" applyFill="1" applyBorder="1" applyAlignment="1">
      <alignment horizontal="center" vertical="center"/>
    </xf>
    <xf numFmtId="0" fontId="0" fillId="9" borderId="59" xfId="0" applyFill="1" applyBorder="1" applyAlignment="1">
      <alignment horizontal="center" vertical="center"/>
    </xf>
    <xf numFmtId="0" fontId="2" fillId="11" borderId="14" xfId="1" applyFill="1" applyBorder="1" applyAlignment="1" applyProtection="1">
      <alignment horizontal="center" vertical="center"/>
    </xf>
    <xf numFmtId="0" fontId="2" fillId="11" borderId="58" xfId="1" applyFill="1" applyBorder="1" applyAlignment="1" applyProtection="1">
      <alignment horizontal="center" vertical="center"/>
    </xf>
    <xf numFmtId="0" fontId="2" fillId="11" borderId="59" xfId="1" applyFill="1" applyBorder="1" applyAlignment="1" applyProtection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58" xfId="0" applyFill="1" applyBorder="1" applyAlignment="1">
      <alignment horizontal="center" vertical="center"/>
    </xf>
    <xf numFmtId="0" fontId="0" fillId="10" borderId="59" xfId="0" applyFill="1" applyBorder="1" applyAlignment="1">
      <alignment horizontal="center" vertical="center"/>
    </xf>
    <xf numFmtId="0" fontId="0" fillId="9" borderId="60" xfId="0" applyFill="1" applyBorder="1" applyAlignment="1">
      <alignment horizontal="center" vertical="center"/>
    </xf>
    <xf numFmtId="0" fontId="1" fillId="0" borderId="6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9" borderId="61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2" fillId="11" borderId="61" xfId="1" applyFill="1" applyBorder="1" applyAlignment="1" applyProtection="1">
      <alignment horizontal="center" vertical="center"/>
    </xf>
    <xf numFmtId="0" fontId="2" fillId="11" borderId="15" xfId="1" applyFill="1" applyBorder="1" applyAlignment="1" applyProtection="1">
      <alignment horizontal="center" vertical="center"/>
    </xf>
    <xf numFmtId="0" fontId="0" fillId="10" borderId="61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9" borderId="62" xfId="0" applyFill="1" applyBorder="1" applyAlignment="1">
      <alignment horizontal="center" vertical="center"/>
    </xf>
    <xf numFmtId="0" fontId="0" fillId="9" borderId="63" xfId="0" applyFill="1" applyBorder="1" applyAlignment="1">
      <alignment horizontal="center" vertical="center"/>
    </xf>
    <xf numFmtId="0" fontId="2" fillId="11" borderId="63" xfId="1" applyFill="1" applyBorder="1" applyAlignment="1" applyProtection="1">
      <alignment horizontal="center" vertical="center"/>
    </xf>
    <xf numFmtId="0" fontId="0" fillId="10" borderId="63" xfId="0" applyFill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02"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2381250</xdr:colOff>
      <xdr:row>7</xdr:row>
      <xdr:rowOff>47625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2981325" cy="1571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>
        <a:xfrm>
          <a:off x="30765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/>
      </xdr:nvSpPr>
      <xdr:spPr>
        <a:xfrm>
          <a:off x="736282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/>
      </xdr:nvSpPr>
      <xdr:spPr>
        <a:xfrm>
          <a:off x="583882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>
        <a:xfrm>
          <a:off x="11430000" y="762000"/>
          <a:ext cx="12453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/>
      </xdr:nvSpPr>
      <xdr:spPr>
        <a:xfrm>
          <a:off x="1534477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/>
      </xdr:nvSpPr>
      <xdr:spPr>
        <a:xfrm>
          <a:off x="10079355" y="720090"/>
          <a:ext cx="1121501" cy="70104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775335</xdr:colOff>
      <xdr:row>1</xdr:row>
      <xdr:rowOff>9525</xdr:rowOff>
    </xdr:from>
    <xdr:to>
      <xdr:col>32</xdr:col>
      <xdr:colOff>197576</xdr:colOff>
      <xdr:row>6</xdr:row>
      <xdr:rowOff>152400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/>
      </xdr:nvSpPr>
      <xdr:spPr>
        <a:xfrm>
          <a:off x="30874335" y="245745"/>
          <a:ext cx="862421" cy="115633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/>
      </xdr:nvSpPr>
      <xdr:spPr>
        <a:xfrm>
          <a:off x="13314045" y="90297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24" name="Down Arrow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6" name="Down Arrow 25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0" name="Down Arrow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21" name="Down Arrow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3" name="Down Arrow 22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27" name="Down Arrow 26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9" name="Down Arrow 28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0</xdr:colOff>
      <xdr:row>7</xdr:row>
      <xdr:rowOff>234950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4124325" cy="17081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775335</xdr:colOff>
      <xdr:row>1</xdr:row>
      <xdr:rowOff>9525</xdr:rowOff>
    </xdr:from>
    <xdr:to>
      <xdr:col>32</xdr:col>
      <xdr:colOff>197576</xdr:colOff>
      <xdr:row>6</xdr:row>
      <xdr:rowOff>152400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SpPr/>
      </xdr:nvSpPr>
      <xdr:spPr>
        <a:xfrm>
          <a:off x="29255085" y="257175"/>
          <a:ext cx="1470116" cy="1219200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3" name="Down Arrow 12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4" name="Down Arrow 13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6" name="Down Arrow 15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9" name="Down Arrow 18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0" name="Down Arrow 19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2381250</xdr:colOff>
      <xdr:row>7</xdr:row>
      <xdr:rowOff>47625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2981325" cy="1571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19</xdr:col>
      <xdr:colOff>1432560</xdr:colOff>
      <xdr:row>1</xdr:row>
      <xdr:rowOff>247649</xdr:rowOff>
    </xdr:from>
    <xdr:to>
      <xdr:col>22</xdr:col>
      <xdr:colOff>35651</xdr:colOff>
      <xdr:row>6</xdr:row>
      <xdr:rowOff>152399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SpPr/>
      </xdr:nvSpPr>
      <xdr:spPr>
        <a:xfrm>
          <a:off x="22187535" y="495299"/>
          <a:ext cx="1470116" cy="98107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xmlns="" id="{00000000-0008-0000-0200-00000A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xmlns="" id="{00000000-0008-0000-0200-00000B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xmlns="" id="{00000000-0008-0000-0200-00000C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3" name="Down Arrow 12">
          <a:extLst>
            <a:ext uri="{FF2B5EF4-FFF2-40B4-BE49-F238E27FC236}">
              <a16:creationId xmlns:a16="http://schemas.microsoft.com/office/drawing/2014/main" xmlns="" id="{00000000-0008-0000-0200-00000D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4" name="Down Arrow 13">
          <a:extLst>
            <a:ext uri="{FF2B5EF4-FFF2-40B4-BE49-F238E27FC236}">
              <a16:creationId xmlns:a16="http://schemas.microsoft.com/office/drawing/2014/main" xmlns="" id="{00000000-0008-0000-0200-00000E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xmlns="" id="{00000000-0008-0000-0200-00000F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6" name="Down Arrow 15">
          <a:extLst>
            <a:ext uri="{FF2B5EF4-FFF2-40B4-BE49-F238E27FC236}">
              <a16:creationId xmlns:a16="http://schemas.microsoft.com/office/drawing/2014/main" xmlns="" id="{00000000-0008-0000-0200-000010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xmlns="" id="{00000000-0008-0000-0200-000011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xmlns="" id="{00000000-0008-0000-0200-000012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9" name="Down Arrow 18">
          <a:extLst>
            <a:ext uri="{FF2B5EF4-FFF2-40B4-BE49-F238E27FC236}">
              <a16:creationId xmlns:a16="http://schemas.microsoft.com/office/drawing/2014/main" xmlns="" id="{00000000-0008-0000-0200-000013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0" name="Down Arrow 19">
          <a:extLst>
            <a:ext uri="{FF2B5EF4-FFF2-40B4-BE49-F238E27FC236}">
              <a16:creationId xmlns:a16="http://schemas.microsoft.com/office/drawing/2014/main" xmlns="" id="{00000000-0008-0000-0200-000014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tables/table1.xml><?xml version="1.0" encoding="utf-8"?>
<table xmlns="http://schemas.openxmlformats.org/spreadsheetml/2006/main" id="1" name="Abs" displayName="Abs" ref="B65:C72" totalsRowShown="0" headerRowDxfId="401" dataDxfId="400">
  <autoFilter ref="B65:C72"/>
  <tableColumns count="2">
    <tableColumn id="1" name="Exercise" dataDxfId="399" dataCellStyle="Hyperlink"/>
    <tableColumn id="2" name="Link" dataDxfId="39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ar_or_Side_Delts" displayName="Rear_or_Side_Delts" ref="B267:C276" totalsRowShown="0" headerRowDxfId="397" dataDxfId="395" headerRowBorderDxfId="396" tableBorderDxfId="394">
  <autoFilter ref="B267:C276"/>
  <tableColumns count="2">
    <tableColumn id="1" name="Exercise" dataDxfId="393" dataCellStyle="Hyperlink"/>
    <tableColumn id="2" name="Link" dataDxfId="39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Name" displayName="Table_Name" ref="B278:E300" totalsRowShown="0">
  <autoFilter ref="B278:E300"/>
  <tableColumns count="4">
    <tableColumn id="1" name="Category"/>
    <tableColumn id="2" name="Table name" dataDxfId="391"/>
    <tableColumn id="3" name="Name List" dataDxfId="390"/>
    <tableColumn id="4" name="Link List" dataDxfId="389">
      <calculatedColumnFormula>CONCATENATE(Table_Name[[#This Row],[Table name]],"[Link]")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est_Isolation_or_Triceps" displayName="Chest_Isolation_or_Triceps" ref="B245:C265" totalsRowShown="0" headerRowDxfId="388" dataDxfId="386" headerRowBorderDxfId="387" tableBorderDxfId="385">
  <autoFilter ref="B245:C265"/>
  <tableColumns count="2">
    <tableColumn id="1" name="Exercise" dataDxfId="384" dataCellStyle="Hyperlink"/>
    <tableColumn id="2" name="Link" dataDxfId="38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cline_Push_or_front_Delts" displayName="Incline_Push_or_front_Delts" ref="B232:C244" totalsRowShown="0" headerRowDxfId="382" dataDxfId="380" headerRowBorderDxfId="381" tableBorderDxfId="379">
  <autoFilter ref="B232:C244"/>
  <tableColumns count="2">
    <tableColumn id="1" name="Exercise" dataDxfId="378" dataCellStyle="Hyperlink"/>
    <tableColumn id="2" name="Link" dataDxfId="37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riceps" displayName="Triceps" ref="B218:C231" totalsRowShown="0" headerRowDxfId="376" dataDxfId="374" headerRowBorderDxfId="375" tableBorderDxfId="373">
  <autoFilter ref="B218:C231"/>
  <tableColumns count="2">
    <tableColumn id="1" name="Exercise" dataDxfId="372" dataCellStyle="Hyperlink"/>
    <tableColumn id="2" name="Link" dataDxfId="37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ront_Delts" displayName="Front_Delts" ref="B209:C215" totalsRowShown="0" headerRowDxfId="370" dataDxfId="368" headerRowBorderDxfId="369" tableBorderDxfId="367">
  <autoFilter ref="B209:C215"/>
  <tableColumns count="2">
    <tableColumn id="1" name="Exercise" dataDxfId="366" dataCellStyle="Hyperlink"/>
    <tableColumn id="2" name="Link" dataDxfId="36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Incline_Push" displayName="Incline_Push" ref="B201:C207" totalsRowShown="0" headerRowDxfId="364" dataDxfId="362" headerRowBorderDxfId="363" tableBorderDxfId="361">
  <autoFilter ref="B201:C207"/>
  <tableColumns count="2">
    <tableColumn id="1" name="Exercise" dataDxfId="360" dataCellStyle="Hyperlink"/>
    <tableColumn id="2" name="Link" dataDxfId="35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Horizontal_Push" displayName="Horizontal_Push" ref="B192:C199" totalsRowShown="0" headerRowDxfId="358" dataDxfId="356" headerRowBorderDxfId="357" tableBorderDxfId="355">
  <autoFilter ref="B192:C199"/>
  <tableColumns count="2">
    <tableColumn id="1" name="Exercise" dataDxfId="354" dataCellStyle="Hyperlink"/>
    <tableColumn id="2" name="Link" dataDxfId="35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hest_Isolation" displayName="Chest_Isolation" ref="B183:C190" totalsRowShown="0" headerRowDxfId="352" dataDxfId="350" headerRowBorderDxfId="351" tableBorderDxfId="349">
  <autoFilter ref="B183:C190"/>
  <tableColumns count="2">
    <tableColumn id="1" name="Exercise" dataDxfId="348" dataCellStyle="Hyperlink"/>
    <tableColumn id="2" name="Link" dataDxfId="34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Hamstrings_Isolation" displayName="Hamstrings_Isolation" ref="B178:C181" totalsRowShown="0" headerRowDxfId="346" dataDxfId="344" headerRowBorderDxfId="345" tableBorderDxfId="343">
  <autoFilter ref="B178:C181"/>
  <tableColumns count="2">
    <tableColumn id="1" name="Exercise" dataDxfId="342" dataCellStyle="Hyperlink"/>
    <tableColumn id="2" name="Link" dataDxfId="34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Hamstrings_Hip_Hinge" displayName="Hamstrings_Hip_Hinge" ref="B172:C176" totalsRowShown="0" headerRowDxfId="340" dataDxfId="338" headerRowBorderDxfId="339" tableBorderDxfId="337">
  <autoFilter ref="B172:C176"/>
  <tableColumns count="2">
    <tableColumn id="1" name="Exercise" dataDxfId="336" dataCellStyle="Hyperlink"/>
    <tableColumn id="2" name="Link" dataDxfId="33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Glutes" displayName="Glutes" ref="B162:C170" totalsRowShown="0" headerRowDxfId="334" dataDxfId="332" headerRowBorderDxfId="333" tableBorderDxfId="331">
  <autoFilter ref="B162:C170"/>
  <tableColumns count="2">
    <tableColumn id="1" name="Exercise" dataDxfId="330" dataCellStyle="Hyperlink"/>
    <tableColumn id="2" name="Link" dataDxfId="32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Quads" displayName="Quads" ref="B153:C160" totalsRowShown="0" headerRowDxfId="328" dataDxfId="326" headerRowBorderDxfId="327" tableBorderDxfId="325">
  <autoFilter ref="B153:C160"/>
  <tableColumns count="2">
    <tableColumn id="1" name="Exercise" dataDxfId="324" dataCellStyle="Hyperlink"/>
    <tableColumn id="2" name="Link" dataDxfId="32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Vertical_Back" displayName="Vertical_Back" ref="B139:C151" totalsRowShown="0" headerRowDxfId="322" dataDxfId="320" headerRowBorderDxfId="321" tableBorderDxfId="319" dataCellStyle="Hyperlink">
  <autoFilter ref="B139:C151"/>
  <tableColumns count="2">
    <tableColumn id="1" name="Exercise" dataDxfId="318" dataCellStyle="Hyperlink"/>
    <tableColumn id="2" name="Link" dataDxfId="317" dataCellStyle="Hyperlink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Horizontal_Back" displayName="Horizontal_Back" ref="B129:C137" totalsRowShown="0" headerRowDxfId="316" dataDxfId="314" headerRowBorderDxfId="315" tableBorderDxfId="313">
  <autoFilter ref="B129:C137"/>
  <tableColumns count="2">
    <tableColumn id="1" name="Exercise" dataDxfId="312" dataCellStyle="Hyperlink"/>
    <tableColumn id="2" name="Link" dataDxfId="31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Vertical_Triceps" displayName="Vertical_Triceps" ref="B122:C127" totalsRowShown="0" headerRowDxfId="310" dataDxfId="308" headerRowBorderDxfId="309" tableBorderDxfId="307">
  <autoFilter ref="B122:C127"/>
  <tableColumns count="2">
    <tableColumn id="1" name="Exercise" dataDxfId="306" dataCellStyle="Hyperlink"/>
    <tableColumn id="2" name="Link" dataDxfId="30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Horizontal_Triceps" displayName="Horizontal_Triceps" ref="B112:C120" totalsRowShown="0" headerRowDxfId="304" dataDxfId="302" headerRowBorderDxfId="303" tableBorderDxfId="301">
  <autoFilter ref="B112:C120"/>
  <tableColumns count="2">
    <tableColumn id="1" name="Exercise" dataDxfId="300" dataCellStyle="Hyperlink"/>
    <tableColumn id="2" name="Link" dataDxfId="299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raps" displayName="Traps" ref="B106:C110" totalsRowShown="0" headerRowDxfId="298" dataDxfId="296" headerRowBorderDxfId="297" tableBorderDxfId="295">
  <autoFilter ref="B106:C110"/>
  <tableColumns count="2">
    <tableColumn id="1" name="Exercise" dataDxfId="294" dataCellStyle="Hyperlink"/>
    <tableColumn id="2" name="Link" dataDxfId="293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Side_Delts" displayName="Side_Delts" ref="B99:C104" totalsRowShown="0" headerRowDxfId="292" dataDxfId="290" headerRowBorderDxfId="291" tableBorderDxfId="289">
  <autoFilter ref="B99:C104"/>
  <tableColumns count="2">
    <tableColumn id="1" name="Exercise" dataDxfId="288" dataCellStyle="Hyperlink"/>
    <tableColumn id="2" name="Link" dataDxfId="28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Rear_Delts" displayName="Rear_Delts" ref="B93:C97" totalsRowShown="0" headerRowDxfId="286" dataDxfId="284" headerRowBorderDxfId="285" tableBorderDxfId="283">
  <autoFilter ref="B93:C97"/>
  <tableColumns count="2">
    <tableColumn id="1" name="Exercise" dataDxfId="282" dataCellStyle="Hyperlink"/>
    <tableColumn id="2" name="Link" dataDxfId="28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Biceps" displayName="Biceps" ref="B80:C91" totalsRowShown="0" headerRowDxfId="280" dataDxfId="278" headerRowBorderDxfId="279" tableBorderDxfId="277">
  <autoFilter ref="B80:C91"/>
  <tableColumns count="2">
    <tableColumn id="1" name="Exercise" dataDxfId="276" dataCellStyle="Hyperlink"/>
    <tableColumn id="2" name="Link" dataDxfId="275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Calves" displayName="Calves" ref="B74:C78" totalsRowShown="0" headerRowDxfId="274" dataDxfId="272" headerRowBorderDxfId="273" tableBorderDxfId="271">
  <autoFilter ref="B74:C78"/>
  <tableColumns count="2">
    <tableColumn id="1" name="Exercise" dataDxfId="270" dataCellStyle="Hyperlink"/>
    <tableColumn id="2" name="Link" dataDxfId="269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Links" displayName="Links" ref="B302:D472" totalsRowShown="0">
  <autoFilter ref="B302:D472"/>
  <sortState ref="B331:D540">
    <sortCondition ref="C94:C304"/>
  </sortState>
  <tableColumns count="3">
    <tableColumn id="1" name="Exercise" dataDxfId="268"/>
    <tableColumn id="2" name="Link"/>
    <tableColumn id="3" name="Category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Abs_26" displayName="Abs_26" ref="B69:C76" totalsRowShown="0" headerRowDxfId="267" dataDxfId="266">
  <autoFilter ref="B69:C76"/>
  <tableColumns count="2">
    <tableColumn id="1" name="Exercise" dataDxfId="265" dataCellStyle="Hyperlink"/>
    <tableColumn id="2" name="Link" dataDxfId="264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Rear_or_Side_Delts27" displayName="Rear_or_Side_Delts27" ref="B271:C280" totalsRowShown="0" headerRowDxfId="263" dataDxfId="261" headerRowBorderDxfId="262" tableBorderDxfId="260">
  <autoFilter ref="B271:C280"/>
  <tableColumns count="2">
    <tableColumn id="1" name="Exercise" dataDxfId="259" dataCellStyle="Hyperlink"/>
    <tableColumn id="2" name="Link" dataDxfId="258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able_Name28" displayName="Table_Name28" ref="B282:E304" totalsRowShown="0">
  <autoFilter ref="B282:E304"/>
  <tableColumns count="4">
    <tableColumn id="1" name="Category"/>
    <tableColumn id="2" name="Table name" dataDxfId="257"/>
    <tableColumn id="3" name="Name List" dataDxfId="256"/>
    <tableColumn id="4" name="Link List" dataDxfId="255">
      <calculatedColumnFormula>CONCATENATE(Table_Name28[[#This Row],[Table name]],"[Link]")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Chest_Isolation_or_Triceps29" displayName="Chest_Isolation_or_Triceps29" ref="B249:C269" totalsRowShown="0" headerRowDxfId="254" dataDxfId="252" headerRowBorderDxfId="253" tableBorderDxfId="251">
  <autoFilter ref="B249:C269"/>
  <tableColumns count="2">
    <tableColumn id="1" name="Exercise" dataDxfId="250" dataCellStyle="Hyperlink"/>
    <tableColumn id="2" name="Link" dataDxfId="249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Incline_Push_or_front_Delts30" displayName="Incline_Push_or_front_Delts30" ref="B236:C248" totalsRowShown="0" headerRowDxfId="248" dataDxfId="246" headerRowBorderDxfId="247" tableBorderDxfId="245">
  <autoFilter ref="B236:C248"/>
  <tableColumns count="2">
    <tableColumn id="1" name="Exercise" dataDxfId="244" dataCellStyle="Hyperlink"/>
    <tableColumn id="2" name="Link" dataDxfId="243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riceps31" displayName="Triceps31" ref="B222:C235" totalsRowShown="0" headerRowDxfId="242" dataDxfId="240" headerRowBorderDxfId="241" tableBorderDxfId="239">
  <autoFilter ref="B222:C235"/>
  <tableColumns count="2">
    <tableColumn id="1" name="Exercise" dataDxfId="238" dataCellStyle="Hyperlink"/>
    <tableColumn id="2" name="Link" dataDxfId="237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Front_Delts32" displayName="Front_Delts32" ref="B213:C219" totalsRowShown="0" headerRowDxfId="236" dataDxfId="234" headerRowBorderDxfId="235" tableBorderDxfId="233">
  <autoFilter ref="B213:C219"/>
  <tableColumns count="2">
    <tableColumn id="1" name="Exercise" dataDxfId="232" dataCellStyle="Hyperlink"/>
    <tableColumn id="2" name="Link" dataDxfId="231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Incline_Push33" displayName="Incline_Push33" ref="B205:C211" totalsRowShown="0" headerRowDxfId="230" dataDxfId="228" headerRowBorderDxfId="229" tableBorderDxfId="227">
  <autoFilter ref="B205:C211"/>
  <tableColumns count="2">
    <tableColumn id="1" name="Exercise" dataDxfId="226" dataCellStyle="Hyperlink"/>
    <tableColumn id="2" name="Link" dataDxfId="225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Horizontal_Push34" displayName="Horizontal_Push34" ref="B196:C203" totalsRowShown="0" headerRowDxfId="224" dataDxfId="222" headerRowBorderDxfId="223" tableBorderDxfId="221">
  <autoFilter ref="B196:C203"/>
  <tableColumns count="2">
    <tableColumn id="1" name="Exercise" dataDxfId="220" dataCellStyle="Hyperlink"/>
    <tableColumn id="2" name="Link" dataDxfId="219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Chest_Isolation35" displayName="Chest_Isolation35" ref="B187:C194" totalsRowShown="0" headerRowDxfId="218" dataDxfId="216" headerRowBorderDxfId="217" tableBorderDxfId="215">
  <autoFilter ref="B187:C194"/>
  <tableColumns count="2">
    <tableColumn id="1" name="Exercise" dataDxfId="214" dataCellStyle="Hyperlink"/>
    <tableColumn id="2" name="Link" dataDxfId="213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Hamstrings_Isolation36" displayName="Hamstrings_Isolation36" ref="B182:C185" totalsRowShown="0" headerRowDxfId="212" dataDxfId="210" headerRowBorderDxfId="211" tableBorderDxfId="209">
  <autoFilter ref="B182:C185"/>
  <tableColumns count="2">
    <tableColumn id="1" name="Exercise" dataDxfId="208" dataCellStyle="Hyperlink"/>
    <tableColumn id="2" name="Link" dataDxfId="207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Hamstrings_Hip_Hinge37" displayName="Hamstrings_Hip_Hinge37" ref="B176:C180" totalsRowShown="0" headerRowDxfId="206" dataDxfId="204" headerRowBorderDxfId="205" tableBorderDxfId="203">
  <autoFilter ref="B176:C180"/>
  <tableColumns count="2">
    <tableColumn id="1" name="Exercise" dataDxfId="202" dataCellStyle="Hyperlink"/>
    <tableColumn id="2" name="Link" dataDxfId="201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Glutes38" displayName="Glutes38" ref="B166:C174" totalsRowShown="0" headerRowDxfId="200" dataDxfId="198" headerRowBorderDxfId="199" tableBorderDxfId="197">
  <autoFilter ref="B166:C174"/>
  <tableColumns count="2">
    <tableColumn id="1" name="Exercise" dataDxfId="196" dataCellStyle="Hyperlink"/>
    <tableColumn id="2" name="Link" dataDxfId="195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Quads39" displayName="Quads39" ref="B157:C164" totalsRowShown="0" headerRowDxfId="194" dataDxfId="192" headerRowBorderDxfId="193" tableBorderDxfId="191">
  <autoFilter ref="B157:C164"/>
  <tableColumns count="2">
    <tableColumn id="1" name="Exercise" dataDxfId="190" dataCellStyle="Hyperlink"/>
    <tableColumn id="2" name="Link" dataDxfId="18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Vertical_Back40" displayName="Vertical_Back40" ref="B143:C155" totalsRowShown="0" headerRowDxfId="188" dataDxfId="186" headerRowBorderDxfId="187" tableBorderDxfId="185" dataCellStyle="Hyperlink">
  <autoFilter ref="B143:C155"/>
  <tableColumns count="2">
    <tableColumn id="1" name="Exercise" dataDxfId="184" dataCellStyle="Hyperlink"/>
    <tableColumn id="2" name="Link" dataDxfId="183" dataCellStyle="Hyperlink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Horizontal_Back41" displayName="Horizontal_Back41" ref="B133:C141" totalsRowShown="0" headerRowDxfId="182" dataDxfId="180" headerRowBorderDxfId="181" tableBorderDxfId="179">
  <autoFilter ref="B133:C141"/>
  <tableColumns count="2">
    <tableColumn id="1" name="Exercise" dataDxfId="178" dataCellStyle="Hyperlink"/>
    <tableColumn id="2" name="Link" dataDxfId="177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Vertical_Triceps42" displayName="Vertical_Triceps42" ref="B126:C131" totalsRowShown="0" headerRowDxfId="176" dataDxfId="174" headerRowBorderDxfId="175" tableBorderDxfId="173">
  <autoFilter ref="B126:C131"/>
  <tableColumns count="2">
    <tableColumn id="1" name="Exercise" dataDxfId="172" dataCellStyle="Hyperlink"/>
    <tableColumn id="2" name="Link" dataDxfId="17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Horizontal_Triceps43" displayName="Horizontal_Triceps43" ref="B116:C124" totalsRowShown="0" headerRowDxfId="170" dataDxfId="168" headerRowBorderDxfId="169" tableBorderDxfId="167">
  <autoFilter ref="B116:C124"/>
  <tableColumns count="2">
    <tableColumn id="1" name="Exercise" dataDxfId="166" dataCellStyle="Hyperlink"/>
    <tableColumn id="2" name="Link" dataDxfId="165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raps44" displayName="Traps44" ref="B110:C114" totalsRowShown="0" headerRowDxfId="164" dataDxfId="162" headerRowBorderDxfId="163" tableBorderDxfId="161">
  <autoFilter ref="B110:C114"/>
  <tableColumns count="2">
    <tableColumn id="1" name="Exercise" dataDxfId="160" dataCellStyle="Hyperlink"/>
    <tableColumn id="2" name="Link" dataDxfId="159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Side_Delts45" displayName="Side_Delts45" ref="B103:C108" totalsRowShown="0" headerRowDxfId="158" dataDxfId="156" headerRowBorderDxfId="157" tableBorderDxfId="155">
  <autoFilter ref="B103:C108"/>
  <tableColumns count="2">
    <tableColumn id="1" name="Exercise" dataDxfId="154" dataCellStyle="Hyperlink"/>
    <tableColumn id="2" name="Link" dataDxfId="153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Rear_Delts46" displayName="Rear_Delts46" ref="B97:C101" totalsRowShown="0" headerRowDxfId="152" dataDxfId="150" headerRowBorderDxfId="151" tableBorderDxfId="149">
  <autoFilter ref="B97:C101"/>
  <tableColumns count="2">
    <tableColumn id="1" name="Exercise" dataDxfId="148" dataCellStyle="Hyperlink"/>
    <tableColumn id="2" name="Link" dataDxfId="147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Biceps47" displayName="Biceps47" ref="B84:C95" totalsRowShown="0" headerRowDxfId="146" dataDxfId="144" headerRowBorderDxfId="145" tableBorderDxfId="143">
  <autoFilter ref="B84:C95"/>
  <tableColumns count="2">
    <tableColumn id="1" name="Exercise" dataDxfId="142" dataCellStyle="Hyperlink"/>
    <tableColumn id="2" name="Link" dataDxfId="141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Calves48" displayName="Calves48" ref="B78:C82" totalsRowShown="0" headerRowDxfId="140" dataDxfId="138" headerRowBorderDxfId="139" tableBorderDxfId="137">
  <autoFilter ref="B78:C82"/>
  <tableColumns count="2">
    <tableColumn id="1" name="Exercise" dataDxfId="136" dataCellStyle="Hyperlink"/>
    <tableColumn id="2" name="Link" dataDxfId="135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Links49" displayName="Links49" ref="B306:D476" totalsRowShown="0">
  <autoFilter ref="B306:D476"/>
  <sortState ref="B307:D516">
    <sortCondition ref="C94:C304"/>
  </sortState>
  <tableColumns count="3">
    <tableColumn id="1" name="Exercise" dataDxfId="134"/>
    <tableColumn id="2" name="Link"/>
    <tableColumn id="3" name="Category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Abs_50" displayName="Abs_50" ref="B61:C68" totalsRowShown="0" headerRowDxfId="133" dataDxfId="132">
  <autoFilter ref="B61:C68"/>
  <tableColumns count="2">
    <tableColumn id="1" name="Exercise" dataDxfId="131" dataCellStyle="Hyperlink"/>
    <tableColumn id="2" name="Link" dataDxfId="130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Rear_or_Side_Delts51" displayName="Rear_or_Side_Delts51" ref="B263:C272" totalsRowShown="0" headerRowDxfId="129" dataDxfId="127" headerRowBorderDxfId="128" tableBorderDxfId="126">
  <autoFilter ref="B263:C272"/>
  <tableColumns count="2">
    <tableColumn id="1" name="Exercise" dataDxfId="125" dataCellStyle="Hyperlink"/>
    <tableColumn id="2" name="Link" dataDxfId="124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able_Name52" displayName="Table_Name52" ref="B274:E296" totalsRowShown="0">
  <autoFilter ref="B274:E296"/>
  <tableColumns count="4">
    <tableColumn id="1" name="Category"/>
    <tableColumn id="2" name="Table name" dataDxfId="123"/>
    <tableColumn id="3" name="Name List" dataDxfId="122"/>
    <tableColumn id="4" name="Link List" dataDxfId="121">
      <calculatedColumnFormula>CONCATENATE(Table_Name52[[#This Row],[Table name]],"[Link]")</calculatedColumnFormula>
    </tableColumn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Chest_Isolation_or_Triceps53" displayName="Chest_Isolation_or_Triceps53" ref="B241:C261" totalsRowShown="0" headerRowDxfId="120" dataDxfId="118" headerRowBorderDxfId="119" tableBorderDxfId="117">
  <autoFilter ref="B241:C261"/>
  <tableColumns count="2">
    <tableColumn id="1" name="Exercise" dataDxfId="116" dataCellStyle="Hyperlink"/>
    <tableColumn id="2" name="Link" dataDxfId="11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Incline_Push_or_front_Delts54" displayName="Incline_Push_or_front_Delts54" ref="B228:C240" totalsRowShown="0" headerRowDxfId="114" dataDxfId="112" headerRowBorderDxfId="113" tableBorderDxfId="111">
  <autoFilter ref="B228:C240"/>
  <tableColumns count="2">
    <tableColumn id="1" name="Exercise" dataDxfId="110" dataCellStyle="Hyperlink"/>
    <tableColumn id="2" name="Link" dataDxfId="109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Triceps55" displayName="Triceps55" ref="B214:C227" totalsRowShown="0" headerRowDxfId="108" dataDxfId="106" headerRowBorderDxfId="107" tableBorderDxfId="105">
  <autoFilter ref="B214:C227"/>
  <tableColumns count="2">
    <tableColumn id="1" name="Exercise" dataDxfId="104" dataCellStyle="Hyperlink"/>
    <tableColumn id="2" name="Link" dataDxfId="103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55" name="Front_Delts56" displayName="Front_Delts56" ref="B205:C211" totalsRowShown="0" headerRowDxfId="102" dataDxfId="100" headerRowBorderDxfId="101" tableBorderDxfId="99">
  <autoFilter ref="B205:C211"/>
  <tableColumns count="2">
    <tableColumn id="1" name="Exercise" dataDxfId="98" dataCellStyle="Hyperlink"/>
    <tableColumn id="2" name="Link" dataDxfId="97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6" name="Incline_Push57" displayName="Incline_Push57" ref="B197:C203" totalsRowShown="0" headerRowDxfId="96" dataDxfId="94" headerRowBorderDxfId="95" tableBorderDxfId="93">
  <autoFilter ref="B197:C203"/>
  <tableColumns count="2">
    <tableColumn id="1" name="Exercise" dataDxfId="92" dataCellStyle="Hyperlink"/>
    <tableColumn id="2" name="Link" dataDxfId="91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57" name="Horizontal_Push58" displayName="Horizontal_Push58" ref="B188:C195" totalsRowShown="0" headerRowDxfId="90" dataDxfId="88" headerRowBorderDxfId="89" tableBorderDxfId="87">
  <autoFilter ref="B188:C195"/>
  <tableColumns count="2">
    <tableColumn id="1" name="Exercise" dataDxfId="86" dataCellStyle="Hyperlink"/>
    <tableColumn id="2" name="Link" dataDxfId="85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58" name="Chest_Isolation59" displayName="Chest_Isolation59" ref="B179:C186" totalsRowShown="0" headerRowDxfId="84" dataDxfId="82" headerRowBorderDxfId="83" tableBorderDxfId="81">
  <autoFilter ref="B179:C186"/>
  <tableColumns count="2">
    <tableColumn id="1" name="Exercise" dataDxfId="80" dataCellStyle="Hyperlink"/>
    <tableColumn id="2" name="Link" dataDxfId="79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id="59" name="Hamstrings_Isolation60" displayName="Hamstrings_Isolation60" ref="B174:C177" totalsRowShown="0" headerRowDxfId="78" dataDxfId="76" headerRowBorderDxfId="77" tableBorderDxfId="75">
  <autoFilter ref="B174:C177"/>
  <tableColumns count="2">
    <tableColumn id="1" name="Exercise" dataDxfId="74" dataCellStyle="Hyperlink"/>
    <tableColumn id="2" name="Link" dataDxfId="73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60" name="Hamstrings_Hip_Hinge61" displayName="Hamstrings_Hip_Hinge61" ref="B168:C172" totalsRowShown="0" headerRowDxfId="72" dataDxfId="70" headerRowBorderDxfId="71" tableBorderDxfId="69">
  <autoFilter ref="B168:C172"/>
  <tableColumns count="2">
    <tableColumn id="1" name="Exercise" dataDxfId="68" dataCellStyle="Hyperlink"/>
    <tableColumn id="2" name="Link" dataDxfId="67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id="61" name="Glutes62" displayName="Glutes62" ref="B158:C166" totalsRowShown="0" headerRowDxfId="66" dataDxfId="64" headerRowBorderDxfId="65" tableBorderDxfId="63">
  <autoFilter ref="B158:C166"/>
  <tableColumns count="2">
    <tableColumn id="1" name="Exercise" dataDxfId="62" dataCellStyle="Hyperlink"/>
    <tableColumn id="2" name="Link" dataDxfId="61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id="62" name="Quads63" displayName="Quads63" ref="B149:C156" totalsRowShown="0" headerRowDxfId="60" dataDxfId="58" headerRowBorderDxfId="59" tableBorderDxfId="57">
  <autoFilter ref="B149:C156"/>
  <tableColumns count="2">
    <tableColumn id="1" name="Exercise" dataDxfId="56" dataCellStyle="Hyperlink"/>
    <tableColumn id="2" name="Link" dataDxfId="55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id="63" name="Vertical_Back64" displayName="Vertical_Back64" ref="B135:C147" totalsRowShown="0" headerRowDxfId="54" dataDxfId="52" headerRowBorderDxfId="53" tableBorderDxfId="51" dataCellStyle="Hyperlink">
  <autoFilter ref="B135:C147"/>
  <tableColumns count="2">
    <tableColumn id="1" name="Exercise" dataDxfId="50" dataCellStyle="Hyperlink"/>
    <tableColumn id="2" name="Link" dataDxfId="49" dataCellStyle="Hyperlink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id="64" name="Horizontal_Back65" displayName="Horizontal_Back65" ref="B125:C133" totalsRowShown="0" headerRowDxfId="48" dataDxfId="46" headerRowBorderDxfId="47" tableBorderDxfId="45">
  <autoFilter ref="B125:C133"/>
  <tableColumns count="2">
    <tableColumn id="1" name="Exercise" dataDxfId="44" dataCellStyle="Hyperlink"/>
    <tableColumn id="2" name="Link" dataDxfId="43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id="65" name="Vertical_Triceps66" displayName="Vertical_Triceps66" ref="B118:C123" totalsRowShown="0" headerRowDxfId="42" dataDxfId="40" headerRowBorderDxfId="41" tableBorderDxfId="39">
  <autoFilter ref="B118:C123"/>
  <tableColumns count="2">
    <tableColumn id="1" name="Exercise" dataDxfId="38" dataCellStyle="Hyperlink"/>
    <tableColumn id="2" name="Link" dataDxfId="37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id="66" name="Horizontal_Triceps67" displayName="Horizontal_Triceps67" ref="B108:C116" totalsRowShown="0" headerRowDxfId="36" dataDxfId="34" headerRowBorderDxfId="35" tableBorderDxfId="33">
  <autoFilter ref="B108:C116"/>
  <tableColumns count="2">
    <tableColumn id="1" name="Exercise" dataDxfId="32" dataCellStyle="Hyperlink"/>
    <tableColumn id="2" name="Link" dataDxfId="31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id="67" name="Traps68" displayName="Traps68" ref="B102:C106" totalsRowShown="0" headerRowDxfId="30" dataDxfId="28" headerRowBorderDxfId="29" tableBorderDxfId="27">
  <autoFilter ref="B102:C106"/>
  <tableColumns count="2">
    <tableColumn id="1" name="Exercise" dataDxfId="26" dataCellStyle="Hyperlink"/>
    <tableColumn id="2" name="Link" dataDxfId="25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id="68" name="Side_Delts69" displayName="Side_Delts69" ref="B95:C100" totalsRowShown="0" headerRowDxfId="24" dataDxfId="22" headerRowBorderDxfId="23" tableBorderDxfId="21">
  <autoFilter ref="B95:C100"/>
  <tableColumns count="2">
    <tableColumn id="1" name="Exercise" dataDxfId="20" dataCellStyle="Hyperlink"/>
    <tableColumn id="2" name="Link" dataDxfId="19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id="69" name="Rear_Delts70" displayName="Rear_Delts70" ref="B89:C93" totalsRowShown="0" headerRowDxfId="18" dataDxfId="16" headerRowBorderDxfId="17" tableBorderDxfId="15">
  <autoFilter ref="B89:C93"/>
  <tableColumns count="2">
    <tableColumn id="1" name="Exercise" dataDxfId="14" dataCellStyle="Hyperlink"/>
    <tableColumn id="2" name="Link" dataDxfId="13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id="70" name="Biceps71" displayName="Biceps71" ref="B76:C87" totalsRowShown="0" headerRowDxfId="12" dataDxfId="10" headerRowBorderDxfId="11" tableBorderDxfId="9">
  <autoFilter ref="B76:C87"/>
  <tableColumns count="2">
    <tableColumn id="1" name="Exercise" dataDxfId="8" dataCellStyle="Hyperlink"/>
    <tableColumn id="2" name="Link" dataDxfId="7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id="71" name="Calves72" displayName="Calves72" ref="B70:C74" totalsRowShown="0" headerRowDxfId="6" dataDxfId="4" headerRowBorderDxfId="5" tableBorderDxfId="3">
  <autoFilter ref="B70:C74"/>
  <tableColumns count="2">
    <tableColumn id="1" name="Exercise" dataDxfId="2" dataCellStyle="Hyperlink"/>
    <tableColumn id="2" name="Link" dataDxfId="1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id="72" name="Links73" displayName="Links73" ref="B298:D468" totalsRowShown="0">
  <autoFilter ref="B298:D468"/>
  <sortState ref="B307:D516">
    <sortCondition ref="C94:C304"/>
  </sortState>
  <tableColumns count="3">
    <tableColumn id="1" name="Exercise" dataDxfId="0"/>
    <tableColumn id="2" name="Link"/>
    <tableColumn id="3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10.xml"/><Relationship Id="rId205" Type="http://schemas.openxmlformats.org/officeDocument/2006/relationships/table" Target="../tables/table24.xml"/><Relationship Id="rId16" Type="http://schemas.openxmlformats.org/officeDocument/2006/relationships/hyperlink" Target="https://youtu.be/wrPN51LyOUE" TargetMode="Externa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37" Type="http://schemas.openxmlformats.org/officeDocument/2006/relationships/hyperlink" Target="https://youtu.be/BvX7g1yr1pY" TargetMode="External"/><Relationship Id="rId53" Type="http://schemas.openxmlformats.org/officeDocument/2006/relationships/hyperlink" Target="https://youtu.be/z3yCDRGrQTM" TargetMode="External"/><Relationship Id="rId58" Type="http://schemas.openxmlformats.org/officeDocument/2006/relationships/hyperlink" Target="https://youtu.be/lNYA35p8XJQ" TargetMode="External"/><Relationship Id="rId74" Type="http://schemas.openxmlformats.org/officeDocument/2006/relationships/hyperlink" Target="https://youtu.be/OMUGU1Vh8Ao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28" Type="http://schemas.openxmlformats.org/officeDocument/2006/relationships/hyperlink" Target="https://youtu.be/aNzU6AYZiEs" TargetMode="External"/><Relationship Id="rId144" Type="http://schemas.openxmlformats.org/officeDocument/2006/relationships/hyperlink" Target="https://youtu.be/B33bKk_r5PU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0" Type="http://schemas.openxmlformats.org/officeDocument/2006/relationships/hyperlink" Target="https://youtu.be/YIqmLutlM1g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65" Type="http://schemas.openxmlformats.org/officeDocument/2006/relationships/hyperlink" Target="https://youtu.be/FoZM6vuuKBc" TargetMode="External"/><Relationship Id="rId181" Type="http://schemas.openxmlformats.org/officeDocument/2006/relationships/drawing" Target="../drawings/drawing1.xml"/><Relationship Id="rId186" Type="http://schemas.openxmlformats.org/officeDocument/2006/relationships/table" Target="../tables/table5.xml"/><Relationship Id="rId22" Type="http://schemas.openxmlformats.org/officeDocument/2006/relationships/hyperlink" Target="https://youtu.be/GztM7atVgd8" TargetMode="External"/><Relationship Id="rId27" Type="http://schemas.openxmlformats.org/officeDocument/2006/relationships/hyperlink" Target="https://youtu.be/sR_EdrSruyQ" TargetMode="External"/><Relationship Id="rId43" Type="http://schemas.openxmlformats.org/officeDocument/2006/relationships/hyperlink" Target="https://youtu.be/NF4nbNsqreQ" TargetMode="External"/><Relationship Id="rId48" Type="http://schemas.openxmlformats.org/officeDocument/2006/relationships/hyperlink" Target="https://youtu.be/gQ179IUjMsQ" TargetMode="External"/><Relationship Id="rId64" Type="http://schemas.openxmlformats.org/officeDocument/2006/relationships/hyperlink" Target="https://youtu.be/zbYgjREbdb0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18" Type="http://schemas.openxmlformats.org/officeDocument/2006/relationships/hyperlink" Target="https://youtu.be/a5_JKN7j7Ug" TargetMode="External"/><Relationship Id="rId134" Type="http://schemas.openxmlformats.org/officeDocument/2006/relationships/hyperlink" Target="https://youtu.be/LYZDsNv8kJ8" TargetMode="External"/><Relationship Id="rId139" Type="http://schemas.openxmlformats.org/officeDocument/2006/relationships/hyperlink" Target="https://youtu.be/dF9Pm_-2zmg" TargetMode="External"/><Relationship Id="rId80" Type="http://schemas.openxmlformats.org/officeDocument/2006/relationships/hyperlink" Target="https://youtu.be/3s_QUA4HcxI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55" Type="http://schemas.openxmlformats.org/officeDocument/2006/relationships/hyperlink" Target="https://youtu.be/_GBEHrc_V5U" TargetMode="External"/><Relationship Id="rId171" Type="http://schemas.openxmlformats.org/officeDocument/2006/relationships/hyperlink" Target="https://youtu.be/zWRCV_td3I8" TargetMode="External"/><Relationship Id="rId176" Type="http://schemas.openxmlformats.org/officeDocument/2006/relationships/hyperlink" Target="https://youtu.be/2PC8eYTte5w" TargetMode="External"/><Relationship Id="rId192" Type="http://schemas.openxmlformats.org/officeDocument/2006/relationships/table" Target="../tables/table11.xml"/><Relationship Id="rId197" Type="http://schemas.openxmlformats.org/officeDocument/2006/relationships/table" Target="../tables/table16.xml"/><Relationship Id="rId201" Type="http://schemas.openxmlformats.org/officeDocument/2006/relationships/table" Target="../tables/table20.xml"/><Relationship Id="rId12" Type="http://schemas.openxmlformats.org/officeDocument/2006/relationships/hyperlink" Target="https://youtu.be/dmwMfjPQIP8" TargetMode="External"/><Relationship Id="rId17" Type="http://schemas.openxmlformats.org/officeDocument/2006/relationships/hyperlink" Target="https://youtu.be/mucRuC4sEjQ" TargetMode="External"/><Relationship Id="rId33" Type="http://schemas.openxmlformats.org/officeDocument/2006/relationships/hyperlink" Target="https://youtu.be/KkpCTyjGlZo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08" Type="http://schemas.openxmlformats.org/officeDocument/2006/relationships/hyperlink" Target="https://youtu.be/gYbmiluG5Ho" TargetMode="External"/><Relationship Id="rId124" Type="http://schemas.openxmlformats.org/officeDocument/2006/relationships/hyperlink" Target="https://youtu.be/B21LHpkamJM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0" Type="http://schemas.openxmlformats.org/officeDocument/2006/relationships/hyperlink" Target="https://youtu.be/vNgwqFsVstY" TargetMode="External"/><Relationship Id="rId75" Type="http://schemas.openxmlformats.org/officeDocument/2006/relationships/hyperlink" Target="https://youtu.be/f-_q_3tN6Yo" TargetMode="External"/><Relationship Id="rId91" Type="http://schemas.openxmlformats.org/officeDocument/2006/relationships/hyperlink" Target="https://youtu.be/20_pP7oaH34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45" Type="http://schemas.openxmlformats.org/officeDocument/2006/relationships/hyperlink" Target="https://youtu.be/tu2Q82-HMg0" TargetMode="External"/><Relationship Id="rId161" Type="http://schemas.openxmlformats.org/officeDocument/2006/relationships/hyperlink" Target="https://youtu.be/ZYM1mNayaeI" TargetMode="External"/><Relationship Id="rId166" Type="http://schemas.openxmlformats.org/officeDocument/2006/relationships/hyperlink" Target="https://youtu.be/KkpCTyjGlZo" TargetMode="External"/><Relationship Id="rId182" Type="http://schemas.openxmlformats.org/officeDocument/2006/relationships/table" Target="../tables/table1.xml"/><Relationship Id="rId187" Type="http://schemas.openxmlformats.org/officeDocument/2006/relationships/table" Target="../tables/table6.xml"/><Relationship Id="rId1" Type="http://schemas.openxmlformats.org/officeDocument/2006/relationships/hyperlink" Target="https://youtu.be/zWRCV_td3I8" TargetMode="Externa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0" Type="http://schemas.openxmlformats.org/officeDocument/2006/relationships/hyperlink" Target="https://youtu.be/SYji94GabJg" TargetMode="External"/><Relationship Id="rId65" Type="http://schemas.openxmlformats.org/officeDocument/2006/relationships/hyperlink" Target="https://youtu.be/euEPxA3gsDo" TargetMode="External"/><Relationship Id="rId81" Type="http://schemas.openxmlformats.org/officeDocument/2006/relationships/hyperlink" Target="https://youtu.be/ILToidt_G0U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35" Type="http://schemas.openxmlformats.org/officeDocument/2006/relationships/hyperlink" Target="https://youtu.be/eaI0E6ZcwM4" TargetMode="External"/><Relationship Id="rId151" Type="http://schemas.openxmlformats.org/officeDocument/2006/relationships/hyperlink" Target="https://youtu.be/He-GN_4MAY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17.xm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12.xml"/><Relationship Id="rId202" Type="http://schemas.openxmlformats.org/officeDocument/2006/relationships/table" Target="../tables/table21.xml"/><Relationship Id="rId13" Type="http://schemas.openxmlformats.org/officeDocument/2006/relationships/hyperlink" Target="https://youtu.be/5p-vP_XyNaA" TargetMode="Externa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0" Type="http://schemas.openxmlformats.org/officeDocument/2006/relationships/hyperlink" Target="https://youtu.be/tRT-cLlXJZ0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04" Type="http://schemas.openxmlformats.org/officeDocument/2006/relationships/hyperlink" Target="https://youtu.be/W6kJbZeFssU" TargetMode="External"/><Relationship Id="rId120" Type="http://schemas.openxmlformats.org/officeDocument/2006/relationships/hyperlink" Target="https://youtu.be/tu2Q82-HMg0" TargetMode="External"/><Relationship Id="rId125" Type="http://schemas.openxmlformats.org/officeDocument/2006/relationships/hyperlink" Target="https://youtu.be/U3SkMY6jw5M" TargetMode="External"/><Relationship Id="rId141" Type="http://schemas.openxmlformats.org/officeDocument/2006/relationships/hyperlink" Target="https://youtu.be/W6kJbZeFssU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7.xml"/><Relationship Id="rId7" Type="http://schemas.openxmlformats.org/officeDocument/2006/relationships/hyperlink" Target="https://youtu.be/y_GK6fn7raU" TargetMode="Externa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2.xm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13.xml"/><Relationship Id="rId199" Type="http://schemas.openxmlformats.org/officeDocument/2006/relationships/table" Target="../tables/table18.xml"/><Relationship Id="rId203" Type="http://schemas.openxmlformats.org/officeDocument/2006/relationships/table" Target="../tables/table22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3.xml"/><Relationship Id="rId189" Type="http://schemas.openxmlformats.org/officeDocument/2006/relationships/table" Target="../tables/table8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14.xml"/><Relationship Id="rId190" Type="http://schemas.openxmlformats.org/officeDocument/2006/relationships/table" Target="../tables/table9.xml"/><Relationship Id="rId204" Type="http://schemas.openxmlformats.org/officeDocument/2006/relationships/table" Target="../tables/table23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4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1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15.xml"/><Relationship Id="rId200" Type="http://schemas.openxmlformats.org/officeDocument/2006/relationships/table" Target="../tables/table19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34.xml"/><Relationship Id="rId205" Type="http://schemas.openxmlformats.org/officeDocument/2006/relationships/table" Target="../tables/table48.xml"/><Relationship Id="rId16" Type="http://schemas.openxmlformats.org/officeDocument/2006/relationships/hyperlink" Target="https://youtu.be/wrPN51LyOUE" TargetMode="Externa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37" Type="http://schemas.openxmlformats.org/officeDocument/2006/relationships/hyperlink" Target="https://youtu.be/BvX7g1yr1pY" TargetMode="External"/><Relationship Id="rId53" Type="http://schemas.openxmlformats.org/officeDocument/2006/relationships/hyperlink" Target="https://youtu.be/z3yCDRGrQTM" TargetMode="External"/><Relationship Id="rId58" Type="http://schemas.openxmlformats.org/officeDocument/2006/relationships/hyperlink" Target="https://youtu.be/lNYA35p8XJQ" TargetMode="External"/><Relationship Id="rId74" Type="http://schemas.openxmlformats.org/officeDocument/2006/relationships/hyperlink" Target="https://youtu.be/OMUGU1Vh8Ao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28" Type="http://schemas.openxmlformats.org/officeDocument/2006/relationships/hyperlink" Target="https://youtu.be/aNzU6AYZiEs" TargetMode="External"/><Relationship Id="rId144" Type="http://schemas.openxmlformats.org/officeDocument/2006/relationships/hyperlink" Target="https://youtu.be/B33bKk_r5PU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0" Type="http://schemas.openxmlformats.org/officeDocument/2006/relationships/hyperlink" Target="https://youtu.be/YIqmLutlM1g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65" Type="http://schemas.openxmlformats.org/officeDocument/2006/relationships/hyperlink" Target="https://youtu.be/FoZM6vuuKBc" TargetMode="External"/><Relationship Id="rId181" Type="http://schemas.openxmlformats.org/officeDocument/2006/relationships/drawing" Target="../drawings/drawing2.xml"/><Relationship Id="rId186" Type="http://schemas.openxmlformats.org/officeDocument/2006/relationships/table" Target="../tables/table29.xml"/><Relationship Id="rId22" Type="http://schemas.openxmlformats.org/officeDocument/2006/relationships/hyperlink" Target="https://youtu.be/GztM7atVgd8" TargetMode="External"/><Relationship Id="rId27" Type="http://schemas.openxmlformats.org/officeDocument/2006/relationships/hyperlink" Target="https://youtu.be/sR_EdrSruyQ" TargetMode="External"/><Relationship Id="rId43" Type="http://schemas.openxmlformats.org/officeDocument/2006/relationships/hyperlink" Target="https://youtu.be/NF4nbNsqreQ" TargetMode="External"/><Relationship Id="rId48" Type="http://schemas.openxmlformats.org/officeDocument/2006/relationships/hyperlink" Target="https://youtu.be/gQ179IUjMsQ" TargetMode="External"/><Relationship Id="rId64" Type="http://schemas.openxmlformats.org/officeDocument/2006/relationships/hyperlink" Target="https://youtu.be/zbYgjREbdb0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18" Type="http://schemas.openxmlformats.org/officeDocument/2006/relationships/hyperlink" Target="https://youtu.be/a5_JKN7j7Ug" TargetMode="External"/><Relationship Id="rId134" Type="http://schemas.openxmlformats.org/officeDocument/2006/relationships/hyperlink" Target="https://youtu.be/LYZDsNv8kJ8" TargetMode="External"/><Relationship Id="rId139" Type="http://schemas.openxmlformats.org/officeDocument/2006/relationships/hyperlink" Target="https://youtu.be/dF9Pm_-2zmg" TargetMode="External"/><Relationship Id="rId80" Type="http://schemas.openxmlformats.org/officeDocument/2006/relationships/hyperlink" Target="https://youtu.be/3s_QUA4HcxI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55" Type="http://schemas.openxmlformats.org/officeDocument/2006/relationships/hyperlink" Target="https://youtu.be/_GBEHrc_V5U" TargetMode="External"/><Relationship Id="rId171" Type="http://schemas.openxmlformats.org/officeDocument/2006/relationships/hyperlink" Target="https://youtu.be/zWRCV_td3I8" TargetMode="External"/><Relationship Id="rId176" Type="http://schemas.openxmlformats.org/officeDocument/2006/relationships/hyperlink" Target="https://youtu.be/2PC8eYTte5w" TargetMode="External"/><Relationship Id="rId192" Type="http://schemas.openxmlformats.org/officeDocument/2006/relationships/table" Target="../tables/table35.xml"/><Relationship Id="rId197" Type="http://schemas.openxmlformats.org/officeDocument/2006/relationships/table" Target="../tables/table40.xml"/><Relationship Id="rId201" Type="http://schemas.openxmlformats.org/officeDocument/2006/relationships/table" Target="../tables/table44.xml"/><Relationship Id="rId12" Type="http://schemas.openxmlformats.org/officeDocument/2006/relationships/hyperlink" Target="https://youtu.be/dmwMfjPQIP8" TargetMode="External"/><Relationship Id="rId17" Type="http://schemas.openxmlformats.org/officeDocument/2006/relationships/hyperlink" Target="https://youtu.be/mucRuC4sEjQ" TargetMode="External"/><Relationship Id="rId33" Type="http://schemas.openxmlformats.org/officeDocument/2006/relationships/hyperlink" Target="https://youtu.be/KkpCTyjGlZo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08" Type="http://schemas.openxmlformats.org/officeDocument/2006/relationships/hyperlink" Target="https://youtu.be/gYbmiluG5Ho" TargetMode="External"/><Relationship Id="rId124" Type="http://schemas.openxmlformats.org/officeDocument/2006/relationships/hyperlink" Target="https://youtu.be/B21LHpkamJM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0" Type="http://schemas.openxmlformats.org/officeDocument/2006/relationships/hyperlink" Target="https://youtu.be/vNgwqFsVstY" TargetMode="External"/><Relationship Id="rId75" Type="http://schemas.openxmlformats.org/officeDocument/2006/relationships/hyperlink" Target="https://youtu.be/f-_q_3tN6Yo" TargetMode="External"/><Relationship Id="rId91" Type="http://schemas.openxmlformats.org/officeDocument/2006/relationships/hyperlink" Target="https://youtu.be/20_pP7oaH34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45" Type="http://schemas.openxmlformats.org/officeDocument/2006/relationships/hyperlink" Target="https://youtu.be/tu2Q82-HMg0" TargetMode="External"/><Relationship Id="rId161" Type="http://schemas.openxmlformats.org/officeDocument/2006/relationships/hyperlink" Target="https://youtu.be/ZYM1mNayaeI" TargetMode="External"/><Relationship Id="rId166" Type="http://schemas.openxmlformats.org/officeDocument/2006/relationships/hyperlink" Target="https://youtu.be/KkpCTyjGlZo" TargetMode="External"/><Relationship Id="rId182" Type="http://schemas.openxmlformats.org/officeDocument/2006/relationships/table" Target="../tables/table25.xml"/><Relationship Id="rId187" Type="http://schemas.openxmlformats.org/officeDocument/2006/relationships/table" Target="../tables/table30.xml"/><Relationship Id="rId1" Type="http://schemas.openxmlformats.org/officeDocument/2006/relationships/hyperlink" Target="https://youtu.be/zWRCV_td3I8" TargetMode="Externa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0" Type="http://schemas.openxmlformats.org/officeDocument/2006/relationships/hyperlink" Target="https://youtu.be/SYji94GabJg" TargetMode="External"/><Relationship Id="rId65" Type="http://schemas.openxmlformats.org/officeDocument/2006/relationships/hyperlink" Target="https://youtu.be/euEPxA3gsDo" TargetMode="External"/><Relationship Id="rId81" Type="http://schemas.openxmlformats.org/officeDocument/2006/relationships/hyperlink" Target="https://youtu.be/ILToidt_G0U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35" Type="http://schemas.openxmlformats.org/officeDocument/2006/relationships/hyperlink" Target="https://youtu.be/eaI0E6ZcwM4" TargetMode="External"/><Relationship Id="rId151" Type="http://schemas.openxmlformats.org/officeDocument/2006/relationships/hyperlink" Target="https://youtu.be/He-GN_4MAY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41.xm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36.xml"/><Relationship Id="rId202" Type="http://schemas.openxmlformats.org/officeDocument/2006/relationships/table" Target="../tables/table45.xml"/><Relationship Id="rId13" Type="http://schemas.openxmlformats.org/officeDocument/2006/relationships/hyperlink" Target="https://youtu.be/5p-vP_XyNaA" TargetMode="Externa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0" Type="http://schemas.openxmlformats.org/officeDocument/2006/relationships/hyperlink" Target="https://youtu.be/tRT-cLlXJZ0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04" Type="http://schemas.openxmlformats.org/officeDocument/2006/relationships/hyperlink" Target="https://youtu.be/W6kJbZeFssU" TargetMode="External"/><Relationship Id="rId120" Type="http://schemas.openxmlformats.org/officeDocument/2006/relationships/hyperlink" Target="https://youtu.be/tu2Q82-HMg0" TargetMode="External"/><Relationship Id="rId125" Type="http://schemas.openxmlformats.org/officeDocument/2006/relationships/hyperlink" Target="https://youtu.be/U3SkMY6jw5M" TargetMode="External"/><Relationship Id="rId141" Type="http://schemas.openxmlformats.org/officeDocument/2006/relationships/hyperlink" Target="https://youtu.be/W6kJbZeFssU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31.xml"/><Relationship Id="rId7" Type="http://schemas.openxmlformats.org/officeDocument/2006/relationships/hyperlink" Target="https://youtu.be/y_GK6fn7raU" TargetMode="Externa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26.xm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37.xml"/><Relationship Id="rId199" Type="http://schemas.openxmlformats.org/officeDocument/2006/relationships/table" Target="../tables/table42.xml"/><Relationship Id="rId203" Type="http://schemas.openxmlformats.org/officeDocument/2006/relationships/table" Target="../tables/table46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27.xml"/><Relationship Id="rId189" Type="http://schemas.openxmlformats.org/officeDocument/2006/relationships/table" Target="../tables/table32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38.xml"/><Relationship Id="rId190" Type="http://schemas.openxmlformats.org/officeDocument/2006/relationships/table" Target="../tables/table33.xml"/><Relationship Id="rId204" Type="http://schemas.openxmlformats.org/officeDocument/2006/relationships/table" Target="../tables/table47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28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2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39.xml"/><Relationship Id="rId200" Type="http://schemas.openxmlformats.org/officeDocument/2006/relationships/table" Target="../tables/table43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58.xml"/><Relationship Id="rId205" Type="http://schemas.openxmlformats.org/officeDocument/2006/relationships/table" Target="../tables/table72.xml"/><Relationship Id="rId16" Type="http://schemas.openxmlformats.org/officeDocument/2006/relationships/hyperlink" Target="https://youtu.be/wrPN51LyOUE" TargetMode="Externa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37" Type="http://schemas.openxmlformats.org/officeDocument/2006/relationships/hyperlink" Target="https://youtu.be/BvX7g1yr1pY" TargetMode="External"/><Relationship Id="rId53" Type="http://schemas.openxmlformats.org/officeDocument/2006/relationships/hyperlink" Target="https://youtu.be/z3yCDRGrQTM" TargetMode="External"/><Relationship Id="rId58" Type="http://schemas.openxmlformats.org/officeDocument/2006/relationships/hyperlink" Target="https://youtu.be/lNYA35p8XJQ" TargetMode="External"/><Relationship Id="rId74" Type="http://schemas.openxmlformats.org/officeDocument/2006/relationships/hyperlink" Target="https://youtu.be/OMUGU1Vh8Ao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28" Type="http://schemas.openxmlformats.org/officeDocument/2006/relationships/hyperlink" Target="https://youtu.be/aNzU6AYZiEs" TargetMode="External"/><Relationship Id="rId144" Type="http://schemas.openxmlformats.org/officeDocument/2006/relationships/hyperlink" Target="https://youtu.be/B33bKk_r5PU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0" Type="http://schemas.openxmlformats.org/officeDocument/2006/relationships/hyperlink" Target="https://youtu.be/YIqmLutlM1g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65" Type="http://schemas.openxmlformats.org/officeDocument/2006/relationships/hyperlink" Target="https://youtu.be/FoZM6vuuKBc" TargetMode="External"/><Relationship Id="rId181" Type="http://schemas.openxmlformats.org/officeDocument/2006/relationships/drawing" Target="../drawings/drawing3.xml"/><Relationship Id="rId186" Type="http://schemas.openxmlformats.org/officeDocument/2006/relationships/table" Target="../tables/table53.xml"/><Relationship Id="rId22" Type="http://schemas.openxmlformats.org/officeDocument/2006/relationships/hyperlink" Target="https://youtu.be/GztM7atVgd8" TargetMode="External"/><Relationship Id="rId27" Type="http://schemas.openxmlformats.org/officeDocument/2006/relationships/hyperlink" Target="https://youtu.be/sR_EdrSruyQ" TargetMode="External"/><Relationship Id="rId43" Type="http://schemas.openxmlformats.org/officeDocument/2006/relationships/hyperlink" Target="https://youtu.be/NF4nbNsqreQ" TargetMode="External"/><Relationship Id="rId48" Type="http://schemas.openxmlformats.org/officeDocument/2006/relationships/hyperlink" Target="https://youtu.be/gQ179IUjMsQ" TargetMode="External"/><Relationship Id="rId64" Type="http://schemas.openxmlformats.org/officeDocument/2006/relationships/hyperlink" Target="https://youtu.be/zbYgjREbdb0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18" Type="http://schemas.openxmlformats.org/officeDocument/2006/relationships/hyperlink" Target="https://youtu.be/a5_JKN7j7Ug" TargetMode="External"/><Relationship Id="rId134" Type="http://schemas.openxmlformats.org/officeDocument/2006/relationships/hyperlink" Target="https://youtu.be/LYZDsNv8kJ8" TargetMode="External"/><Relationship Id="rId139" Type="http://schemas.openxmlformats.org/officeDocument/2006/relationships/hyperlink" Target="https://youtu.be/dF9Pm_-2zmg" TargetMode="External"/><Relationship Id="rId80" Type="http://schemas.openxmlformats.org/officeDocument/2006/relationships/hyperlink" Target="https://youtu.be/3s_QUA4HcxI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55" Type="http://schemas.openxmlformats.org/officeDocument/2006/relationships/hyperlink" Target="https://youtu.be/_GBEHrc_V5U" TargetMode="External"/><Relationship Id="rId171" Type="http://schemas.openxmlformats.org/officeDocument/2006/relationships/hyperlink" Target="https://youtu.be/zWRCV_td3I8" TargetMode="External"/><Relationship Id="rId176" Type="http://schemas.openxmlformats.org/officeDocument/2006/relationships/hyperlink" Target="https://youtu.be/2PC8eYTte5w" TargetMode="External"/><Relationship Id="rId192" Type="http://schemas.openxmlformats.org/officeDocument/2006/relationships/table" Target="../tables/table59.xml"/><Relationship Id="rId197" Type="http://schemas.openxmlformats.org/officeDocument/2006/relationships/table" Target="../tables/table64.xml"/><Relationship Id="rId201" Type="http://schemas.openxmlformats.org/officeDocument/2006/relationships/table" Target="../tables/table68.xml"/><Relationship Id="rId12" Type="http://schemas.openxmlformats.org/officeDocument/2006/relationships/hyperlink" Target="https://youtu.be/dmwMfjPQIP8" TargetMode="External"/><Relationship Id="rId17" Type="http://schemas.openxmlformats.org/officeDocument/2006/relationships/hyperlink" Target="https://youtu.be/mucRuC4sEjQ" TargetMode="External"/><Relationship Id="rId33" Type="http://schemas.openxmlformats.org/officeDocument/2006/relationships/hyperlink" Target="https://youtu.be/KkpCTyjGlZo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08" Type="http://schemas.openxmlformats.org/officeDocument/2006/relationships/hyperlink" Target="https://youtu.be/gYbmiluG5Ho" TargetMode="External"/><Relationship Id="rId124" Type="http://schemas.openxmlformats.org/officeDocument/2006/relationships/hyperlink" Target="https://youtu.be/B21LHpkamJM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0" Type="http://schemas.openxmlformats.org/officeDocument/2006/relationships/hyperlink" Target="https://youtu.be/vNgwqFsVstY" TargetMode="External"/><Relationship Id="rId75" Type="http://schemas.openxmlformats.org/officeDocument/2006/relationships/hyperlink" Target="https://youtu.be/f-_q_3tN6Yo" TargetMode="External"/><Relationship Id="rId91" Type="http://schemas.openxmlformats.org/officeDocument/2006/relationships/hyperlink" Target="https://youtu.be/20_pP7oaH34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45" Type="http://schemas.openxmlformats.org/officeDocument/2006/relationships/hyperlink" Target="https://youtu.be/tu2Q82-HMg0" TargetMode="External"/><Relationship Id="rId161" Type="http://schemas.openxmlformats.org/officeDocument/2006/relationships/hyperlink" Target="https://youtu.be/ZYM1mNayaeI" TargetMode="External"/><Relationship Id="rId166" Type="http://schemas.openxmlformats.org/officeDocument/2006/relationships/hyperlink" Target="https://youtu.be/KkpCTyjGlZo" TargetMode="External"/><Relationship Id="rId182" Type="http://schemas.openxmlformats.org/officeDocument/2006/relationships/table" Target="../tables/table49.xml"/><Relationship Id="rId187" Type="http://schemas.openxmlformats.org/officeDocument/2006/relationships/table" Target="../tables/table54.xml"/><Relationship Id="rId1" Type="http://schemas.openxmlformats.org/officeDocument/2006/relationships/hyperlink" Target="https://youtu.be/zWRCV_td3I8" TargetMode="Externa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0" Type="http://schemas.openxmlformats.org/officeDocument/2006/relationships/hyperlink" Target="https://youtu.be/SYji94GabJg" TargetMode="External"/><Relationship Id="rId65" Type="http://schemas.openxmlformats.org/officeDocument/2006/relationships/hyperlink" Target="https://youtu.be/euEPxA3gsDo" TargetMode="External"/><Relationship Id="rId81" Type="http://schemas.openxmlformats.org/officeDocument/2006/relationships/hyperlink" Target="https://youtu.be/ILToidt_G0U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35" Type="http://schemas.openxmlformats.org/officeDocument/2006/relationships/hyperlink" Target="https://youtu.be/eaI0E6ZcwM4" TargetMode="External"/><Relationship Id="rId151" Type="http://schemas.openxmlformats.org/officeDocument/2006/relationships/hyperlink" Target="https://youtu.be/He-GN_4MAY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65.xm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60.xml"/><Relationship Id="rId202" Type="http://schemas.openxmlformats.org/officeDocument/2006/relationships/table" Target="../tables/table69.xml"/><Relationship Id="rId13" Type="http://schemas.openxmlformats.org/officeDocument/2006/relationships/hyperlink" Target="https://youtu.be/5p-vP_XyNaA" TargetMode="Externa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0" Type="http://schemas.openxmlformats.org/officeDocument/2006/relationships/hyperlink" Target="https://youtu.be/tRT-cLlXJZ0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04" Type="http://schemas.openxmlformats.org/officeDocument/2006/relationships/hyperlink" Target="https://youtu.be/W6kJbZeFssU" TargetMode="External"/><Relationship Id="rId120" Type="http://schemas.openxmlformats.org/officeDocument/2006/relationships/hyperlink" Target="https://youtu.be/tu2Q82-HMg0" TargetMode="External"/><Relationship Id="rId125" Type="http://schemas.openxmlformats.org/officeDocument/2006/relationships/hyperlink" Target="https://youtu.be/U3SkMY6jw5M" TargetMode="External"/><Relationship Id="rId141" Type="http://schemas.openxmlformats.org/officeDocument/2006/relationships/hyperlink" Target="https://youtu.be/W6kJbZeFssU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55.xml"/><Relationship Id="rId7" Type="http://schemas.openxmlformats.org/officeDocument/2006/relationships/hyperlink" Target="https://youtu.be/y_GK6fn7raU" TargetMode="Externa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50.xm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61.xml"/><Relationship Id="rId199" Type="http://schemas.openxmlformats.org/officeDocument/2006/relationships/table" Target="../tables/table66.xml"/><Relationship Id="rId203" Type="http://schemas.openxmlformats.org/officeDocument/2006/relationships/table" Target="../tables/table70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51.xml"/><Relationship Id="rId189" Type="http://schemas.openxmlformats.org/officeDocument/2006/relationships/table" Target="../tables/table56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62.xml"/><Relationship Id="rId190" Type="http://schemas.openxmlformats.org/officeDocument/2006/relationships/table" Target="../tables/table57.xml"/><Relationship Id="rId204" Type="http://schemas.openxmlformats.org/officeDocument/2006/relationships/table" Target="../tables/table71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52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3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63.xml"/><Relationship Id="rId200" Type="http://schemas.openxmlformats.org/officeDocument/2006/relationships/table" Target="../tables/table6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472"/>
  <sheetViews>
    <sheetView showGridLines="0" tabSelected="1" workbookViewId="0">
      <selection activeCell="I48" sqref="I48"/>
    </sheetView>
  </sheetViews>
  <sheetFormatPr defaultRowHeight="15" x14ac:dyDescent="0.25"/>
  <cols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36.140625" bestFit="1" customWidth="1"/>
    <col min="9" max="9" width="11.28515625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36.7109375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7.5703125" bestFit="1" customWidth="1"/>
    <col min="20" max="20" width="37" customWidth="1"/>
    <col min="21" max="21" width="8.85546875" customWidth="1"/>
    <col min="22" max="22" width="7.5703125" bestFit="1" customWidth="1"/>
    <col min="23" max="23" width="9" bestFit="1" customWidth="1"/>
    <col min="24" max="24" width="11.28515625" bestFit="1" customWidth="1"/>
    <col min="25" max="25" width="7.5703125" bestFit="1" customWidth="1"/>
    <col min="26" max="26" width="36.7109375" customWidth="1"/>
    <col min="27" max="27" width="4.7109375" bestFit="1" customWidth="1"/>
    <col min="28" max="28" width="7.5703125" bestFit="1" customWidth="1"/>
    <col min="29" max="29" width="9" bestFit="1" customWidth="1"/>
    <col min="30" max="30" width="11.28515625" bestFit="1" customWidth="1"/>
    <col min="31" max="31" width="7.5703125" bestFit="1" customWidth="1"/>
    <col min="32" max="32" width="36.42578125" customWidth="1"/>
    <col min="33" max="33" width="4.7109375" bestFit="1" customWidth="1"/>
    <col min="34" max="34" width="7.5703125" bestFit="1" customWidth="1"/>
    <col min="35" max="36" width="17.7109375" bestFit="1" customWidth="1"/>
    <col min="37" max="37" width="15.140625" bestFit="1" customWidth="1"/>
    <col min="38" max="38" width="17.7109375" bestFit="1" customWidth="1"/>
  </cols>
  <sheetData>
    <row r="1" spans="2:35" ht="19.5" thickBot="1" x14ac:dyDescent="0.35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19" t="s">
        <v>93</v>
      </c>
      <c r="V1" s="18"/>
      <c r="W1" s="20"/>
      <c r="X1" s="20"/>
      <c r="Y1" s="20"/>
      <c r="Z1" s="20"/>
      <c r="AA1" s="16"/>
      <c r="AB1" s="16"/>
      <c r="AC1" s="16"/>
      <c r="AD1" s="16"/>
      <c r="AE1" s="16"/>
      <c r="AF1" s="16"/>
      <c r="AG1" s="12"/>
      <c r="AH1" s="1"/>
    </row>
    <row r="2" spans="2:35" ht="19.5" thickBot="1" x14ac:dyDescent="0.35">
      <c r="F2" s="25" t="s">
        <v>95</v>
      </c>
      <c r="G2" s="27" t="s">
        <v>98</v>
      </c>
      <c r="H2" s="33" t="s">
        <v>90</v>
      </c>
      <c r="I2" s="58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2" t="s">
        <v>94</v>
      </c>
      <c r="V2" s="23"/>
      <c r="W2" s="21"/>
      <c r="X2" s="21"/>
      <c r="Y2" s="21"/>
      <c r="Z2" s="7"/>
      <c r="AA2" s="4"/>
      <c r="AB2" s="4"/>
      <c r="AC2" s="4"/>
    </row>
    <row r="3" spans="2:35" ht="19.5" thickBot="1" x14ac:dyDescent="0.3">
      <c r="C3" t="s">
        <v>0</v>
      </c>
      <c r="F3" s="26" t="s">
        <v>96</v>
      </c>
      <c r="G3" s="28" t="s">
        <v>99</v>
      </c>
      <c r="H3" s="34" t="s">
        <v>91</v>
      </c>
      <c r="I3" s="58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AA3" s="4"/>
      <c r="AB3" s="4"/>
      <c r="AC3" s="4"/>
    </row>
    <row r="4" spans="2:35" ht="15.75" thickBot="1" x14ac:dyDescent="0.3">
      <c r="G4" t="s">
        <v>0</v>
      </c>
      <c r="I4" s="59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1"/>
      <c r="U4" s="4"/>
      <c r="V4" s="4"/>
      <c r="W4" s="4"/>
      <c r="X4" s="4"/>
      <c r="Y4" s="4"/>
      <c r="Z4" s="4"/>
      <c r="AA4" s="4"/>
      <c r="AB4" s="4"/>
      <c r="AC4" s="4"/>
    </row>
    <row r="7" spans="2:35" ht="15.75" thickBot="1" x14ac:dyDescent="0.3"/>
    <row r="8" spans="2:35" ht="19.5" thickBot="1" x14ac:dyDescent="0.3">
      <c r="G8" s="5" t="s">
        <v>101</v>
      </c>
      <c r="H8" s="168" t="s">
        <v>1</v>
      </c>
      <c r="I8" s="169"/>
      <c r="J8" s="169"/>
      <c r="K8" s="169"/>
      <c r="L8" s="169"/>
      <c r="M8" s="170"/>
      <c r="N8" s="171" t="s">
        <v>2</v>
      </c>
      <c r="O8" s="172"/>
      <c r="P8" s="172"/>
      <c r="Q8" s="172"/>
      <c r="R8" s="172"/>
      <c r="S8" s="173"/>
      <c r="T8" s="174" t="s">
        <v>3</v>
      </c>
      <c r="U8" s="175"/>
      <c r="V8" s="175"/>
      <c r="W8" s="175"/>
      <c r="X8" s="175"/>
      <c r="Y8" s="176"/>
      <c r="Z8" s="177" t="s">
        <v>4</v>
      </c>
      <c r="AA8" s="178"/>
      <c r="AB8" s="178"/>
      <c r="AC8" s="178"/>
      <c r="AD8" s="178"/>
      <c r="AE8" s="179"/>
      <c r="AF8" s="180" t="s">
        <v>5</v>
      </c>
      <c r="AG8" s="181"/>
      <c r="AH8" s="181"/>
      <c r="AI8" s="182"/>
    </row>
    <row r="9" spans="2:35" ht="15.75" thickBot="1" x14ac:dyDescent="0.3">
      <c r="B9" s="37"/>
      <c r="C9" s="37" t="s">
        <v>16</v>
      </c>
      <c r="D9" s="37"/>
      <c r="E9" s="37"/>
      <c r="F9" s="37"/>
      <c r="G9" s="77" t="s">
        <v>102</v>
      </c>
      <c r="H9" s="65" t="s">
        <v>88</v>
      </c>
      <c r="I9" s="66" t="s">
        <v>6</v>
      </c>
      <c r="J9" s="67" t="s">
        <v>7</v>
      </c>
      <c r="K9" s="68" t="s">
        <v>8</v>
      </c>
      <c r="L9" s="68" t="s">
        <v>9</v>
      </c>
      <c r="M9" s="69" t="s">
        <v>10</v>
      </c>
      <c r="N9" s="70" t="s">
        <v>88</v>
      </c>
      <c r="O9" s="70" t="s">
        <v>6</v>
      </c>
      <c r="P9" s="67" t="s">
        <v>7</v>
      </c>
      <c r="Q9" s="68" t="s">
        <v>8</v>
      </c>
      <c r="R9" s="68" t="s">
        <v>9</v>
      </c>
      <c r="S9" s="69" t="s">
        <v>10</v>
      </c>
      <c r="T9" s="70" t="s">
        <v>88</v>
      </c>
      <c r="U9" s="70" t="s">
        <v>6</v>
      </c>
      <c r="V9" s="67" t="s">
        <v>7</v>
      </c>
      <c r="W9" s="68" t="s">
        <v>8</v>
      </c>
      <c r="X9" s="68" t="s">
        <v>9</v>
      </c>
      <c r="Y9" s="69" t="s">
        <v>10</v>
      </c>
      <c r="Z9" s="70" t="s">
        <v>88</v>
      </c>
      <c r="AA9" s="70" t="s">
        <v>6</v>
      </c>
      <c r="AB9" s="67" t="s">
        <v>7</v>
      </c>
      <c r="AC9" s="68" t="s">
        <v>8</v>
      </c>
      <c r="AD9" s="68" t="s">
        <v>9</v>
      </c>
      <c r="AE9" s="69" t="s">
        <v>10</v>
      </c>
      <c r="AF9" s="70" t="s">
        <v>88</v>
      </c>
      <c r="AG9" s="70" t="s">
        <v>6</v>
      </c>
      <c r="AH9" s="67" t="s">
        <v>7</v>
      </c>
      <c r="AI9" s="71" t="s">
        <v>8</v>
      </c>
    </row>
    <row r="10" spans="2:35" ht="15.75" thickBot="1" x14ac:dyDescent="0.3">
      <c r="B10" s="95" t="s">
        <v>342</v>
      </c>
      <c r="C10" s="99" t="s">
        <v>85</v>
      </c>
      <c r="D10" s="91"/>
      <c r="E10" s="91"/>
      <c r="F10" s="99" t="s">
        <v>356</v>
      </c>
      <c r="G10" s="99" t="s">
        <v>357</v>
      </c>
      <c r="H10" s="65" t="s">
        <v>85</v>
      </c>
      <c r="I10" s="72"/>
      <c r="J10" s="72" t="s">
        <v>0</v>
      </c>
      <c r="K10" s="72"/>
      <c r="L10" s="72"/>
      <c r="M10" s="73"/>
      <c r="N10" s="65" t="s">
        <v>85</v>
      </c>
      <c r="O10" s="72"/>
      <c r="P10" s="72"/>
      <c r="Q10" s="72"/>
      <c r="R10" s="72"/>
      <c r="S10" s="73"/>
      <c r="T10" s="65" t="s">
        <v>85</v>
      </c>
      <c r="U10" s="72"/>
      <c r="V10" s="72"/>
      <c r="W10" s="72"/>
      <c r="X10" s="72"/>
      <c r="Y10" s="73"/>
      <c r="Z10" s="65" t="s">
        <v>85</v>
      </c>
      <c r="AA10" s="72"/>
      <c r="AB10" s="72"/>
      <c r="AC10" s="72"/>
      <c r="AD10" s="72"/>
      <c r="AE10" s="72"/>
      <c r="AF10" s="65" t="s">
        <v>85</v>
      </c>
      <c r="AG10" s="72"/>
      <c r="AH10" s="72"/>
      <c r="AI10" s="73"/>
    </row>
    <row r="11" spans="2:35" ht="15.75" thickBot="1" x14ac:dyDescent="0.3">
      <c r="B11" s="96" t="s">
        <v>343</v>
      </c>
      <c r="C11" s="100"/>
      <c r="D11" s="92" t="str">
        <f t="array" ref="D11">INDEX(Table_Name[Name List],MATCH(B11,Table_Name[Category],0))</f>
        <v>Incline_Push[Exercise]</v>
      </c>
      <c r="E11" s="103" t="e">
        <f t="array" ref="E11">INDEX(Links[Link],MATCH(C11,Links[Exercise],0))</f>
        <v>#N/A</v>
      </c>
      <c r="F11" s="106" t="e">
        <f t="shared" ref="F11:F16" si="0">HYPERLINK(E11,"Video")</f>
        <v>#N/A</v>
      </c>
      <c r="G11" s="109"/>
      <c r="H11" s="75">
        <f t="shared" ref="H11:H16" si="1">C11</f>
        <v>0</v>
      </c>
      <c r="I11" s="76">
        <v>3</v>
      </c>
      <c r="J11" s="76">
        <f t="shared" ref="J11:J16" si="2">MROUND(((G11)*0.85),5)</f>
        <v>0</v>
      </c>
      <c r="K11" s="76" t="s">
        <v>11</v>
      </c>
      <c r="L11" s="76"/>
      <c r="M11" s="77"/>
      <c r="N11" s="75">
        <f t="shared" ref="N11:N16" si="3">C11</f>
        <v>0</v>
      </c>
      <c r="O11" s="76">
        <f>I11+(M30)</f>
        <v>3</v>
      </c>
      <c r="P11" s="76">
        <f t="shared" ref="P11:P16" si="4">MROUND((J11*1.05),5)</f>
        <v>0</v>
      </c>
      <c r="Q11" s="76" t="s">
        <v>11</v>
      </c>
      <c r="R11" s="76"/>
      <c r="S11" s="78"/>
      <c r="T11" s="57">
        <f t="shared" ref="T11:T16" si="5">C11</f>
        <v>0</v>
      </c>
      <c r="U11" s="76">
        <f>O11+(S30)</f>
        <v>3</v>
      </c>
      <c r="V11" s="76">
        <f t="shared" ref="V11:V16" si="6">MROUND((J11*1.075),5)</f>
        <v>0</v>
      </c>
      <c r="W11" s="76" t="s">
        <v>12</v>
      </c>
      <c r="X11" s="76"/>
      <c r="Y11" s="78"/>
      <c r="Z11" s="75">
        <f t="shared" ref="Z11:Z16" si="7">C11</f>
        <v>0</v>
      </c>
      <c r="AA11" s="76">
        <f>U11+(Y30)</f>
        <v>3</v>
      </c>
      <c r="AB11" s="76">
        <f t="shared" ref="AB11:AB16" si="8">MROUND((J11*1.1),5)</f>
        <v>0</v>
      </c>
      <c r="AC11" s="76" t="s">
        <v>13</v>
      </c>
      <c r="AD11" s="76"/>
      <c r="AE11" s="78"/>
      <c r="AF11" s="75">
        <f t="shared" ref="AF11:AF16" si="9">C11</f>
        <v>0</v>
      </c>
      <c r="AG11" s="76">
        <v>2</v>
      </c>
      <c r="AH11" s="79">
        <f>J11</f>
        <v>0</v>
      </c>
      <c r="AI11" s="77" t="s">
        <v>14</v>
      </c>
    </row>
    <row r="12" spans="2:35" ht="15.75" thickBot="1" x14ac:dyDescent="0.3">
      <c r="B12" s="97" t="s">
        <v>37</v>
      </c>
      <c r="C12" s="101"/>
      <c r="D12" s="93" t="str">
        <f t="array" ref="D12">INDEX(Table_Name[Name List],MATCH(B12,Table_Name[Category],0))</f>
        <v>Chest_Isolation[Exercise]</v>
      </c>
      <c r="E12" s="104" t="e">
        <f t="array" ref="E12">INDEX(Links[Link],MATCH(C12,Links[Exercise],0))</f>
        <v>#N/A</v>
      </c>
      <c r="F12" s="107" t="e">
        <f t="shared" si="0"/>
        <v>#N/A</v>
      </c>
      <c r="G12" s="110"/>
      <c r="H12" s="75">
        <f t="shared" si="1"/>
        <v>0</v>
      </c>
      <c r="I12" s="76">
        <v>3</v>
      </c>
      <c r="J12" s="76">
        <f t="shared" si="2"/>
        <v>0</v>
      </c>
      <c r="K12" s="76" t="s">
        <v>11</v>
      </c>
      <c r="L12" s="76"/>
      <c r="M12" s="77"/>
      <c r="N12" s="75">
        <f t="shared" si="3"/>
        <v>0</v>
      </c>
      <c r="O12" s="76">
        <f>I12+(M30)</f>
        <v>3</v>
      </c>
      <c r="P12" s="76">
        <f t="shared" si="4"/>
        <v>0</v>
      </c>
      <c r="Q12" s="76" t="s">
        <v>11</v>
      </c>
      <c r="R12" s="76"/>
      <c r="S12" s="78"/>
      <c r="T12" s="57">
        <f t="shared" si="5"/>
        <v>0</v>
      </c>
      <c r="U12" s="76">
        <f>O12+(S30)</f>
        <v>3</v>
      </c>
      <c r="V12" s="76">
        <f t="shared" si="6"/>
        <v>0</v>
      </c>
      <c r="W12" s="76" t="s">
        <v>12</v>
      </c>
      <c r="X12" s="76"/>
      <c r="Y12" s="78"/>
      <c r="Z12" s="75">
        <f t="shared" si="7"/>
        <v>0</v>
      </c>
      <c r="AA12" s="76">
        <f>U12+(Y30)</f>
        <v>3</v>
      </c>
      <c r="AB12" s="76">
        <f t="shared" si="8"/>
        <v>0</v>
      </c>
      <c r="AC12" s="76" t="s">
        <v>13</v>
      </c>
      <c r="AD12" s="76"/>
      <c r="AE12" s="78"/>
      <c r="AF12" s="75">
        <f t="shared" si="9"/>
        <v>0</v>
      </c>
      <c r="AG12" s="76">
        <v>2</v>
      </c>
      <c r="AH12" s="79">
        <f t="shared" ref="AH12:AH16" si="10">J12</f>
        <v>0</v>
      </c>
      <c r="AI12" s="77" t="s">
        <v>14</v>
      </c>
    </row>
    <row r="13" spans="2:35" ht="15.75" thickBot="1" x14ac:dyDescent="0.3">
      <c r="B13" s="97" t="s">
        <v>344</v>
      </c>
      <c r="C13" s="101"/>
      <c r="D13" s="93" t="str">
        <f t="array" ref="D13">INDEX(Table_Name[Name List],MATCH(B13,Table_Name[Category],0))</f>
        <v>Horizontal_Push[Exercise]</v>
      </c>
      <c r="E13" s="104" t="e">
        <f t="array" ref="E13">INDEX(Links[Link],MATCH(C13,Links[Exercise],0))</f>
        <v>#N/A</v>
      </c>
      <c r="F13" s="107" t="e">
        <f t="shared" si="0"/>
        <v>#N/A</v>
      </c>
      <c r="G13" s="110"/>
      <c r="H13" s="75">
        <f t="shared" si="1"/>
        <v>0</v>
      </c>
      <c r="I13" s="76">
        <v>2</v>
      </c>
      <c r="J13" s="76">
        <f t="shared" si="2"/>
        <v>0</v>
      </c>
      <c r="K13" s="76" t="s">
        <v>11</v>
      </c>
      <c r="L13" s="76"/>
      <c r="M13" s="77"/>
      <c r="N13" s="75">
        <f t="shared" si="3"/>
        <v>0</v>
      </c>
      <c r="O13" s="76">
        <f>I13+(M30)</f>
        <v>2</v>
      </c>
      <c r="P13" s="76">
        <f t="shared" si="4"/>
        <v>0</v>
      </c>
      <c r="Q13" s="76" t="s">
        <v>11</v>
      </c>
      <c r="R13" s="76"/>
      <c r="S13" s="78"/>
      <c r="T13" s="57">
        <f t="shared" si="5"/>
        <v>0</v>
      </c>
      <c r="U13" s="76">
        <f>O13+(S30)</f>
        <v>2</v>
      </c>
      <c r="V13" s="76">
        <f t="shared" si="6"/>
        <v>0</v>
      </c>
      <c r="W13" s="76" t="s">
        <v>12</v>
      </c>
      <c r="X13" s="76"/>
      <c r="Y13" s="78"/>
      <c r="Z13" s="75">
        <f t="shared" si="7"/>
        <v>0</v>
      </c>
      <c r="AA13" s="76">
        <f>U13+(Y30)</f>
        <v>2</v>
      </c>
      <c r="AB13" s="76">
        <f t="shared" si="8"/>
        <v>0</v>
      </c>
      <c r="AC13" s="76" t="s">
        <v>13</v>
      </c>
      <c r="AD13" s="76"/>
      <c r="AE13" s="78"/>
      <c r="AF13" s="75">
        <f t="shared" si="9"/>
        <v>0</v>
      </c>
      <c r="AG13" s="76">
        <v>2</v>
      </c>
      <c r="AH13" s="79">
        <f t="shared" si="10"/>
        <v>0</v>
      </c>
      <c r="AI13" s="77" t="s">
        <v>14</v>
      </c>
    </row>
    <row r="14" spans="2:35" ht="15.75" thickBot="1" x14ac:dyDescent="0.3">
      <c r="B14" s="97" t="s">
        <v>338</v>
      </c>
      <c r="C14" s="101"/>
      <c r="D14" s="93" t="str">
        <f t="array" ref="D14">INDEX(Table_Name[Name List],MATCH(B14,Table_Name[Category],0))</f>
        <v>Horizontal_Back[Exercise]</v>
      </c>
      <c r="E14" s="104" t="e">
        <f t="array" ref="E14">INDEX(Links[Link],MATCH(C14,Links[Exercise],0))</f>
        <v>#N/A</v>
      </c>
      <c r="F14" s="107" t="e">
        <f t="shared" si="0"/>
        <v>#N/A</v>
      </c>
      <c r="G14" s="110"/>
      <c r="H14" s="75">
        <f t="shared" si="1"/>
        <v>0</v>
      </c>
      <c r="I14" s="76">
        <v>3</v>
      </c>
      <c r="J14" s="76">
        <f t="shared" si="2"/>
        <v>0</v>
      </c>
      <c r="K14" s="76" t="s">
        <v>11</v>
      </c>
      <c r="L14" s="76" t="s">
        <v>0</v>
      </c>
      <c r="M14" s="77"/>
      <c r="N14" s="75">
        <f t="shared" si="3"/>
        <v>0</v>
      </c>
      <c r="O14" s="76">
        <f>I14+(M29)</f>
        <v>3</v>
      </c>
      <c r="P14" s="76">
        <f t="shared" si="4"/>
        <v>0</v>
      </c>
      <c r="Q14" s="76" t="s">
        <v>11</v>
      </c>
      <c r="R14" s="76"/>
      <c r="S14" s="78"/>
      <c r="T14" s="57">
        <f t="shared" si="5"/>
        <v>0</v>
      </c>
      <c r="U14" s="76">
        <f>O14+(S29)</f>
        <v>3</v>
      </c>
      <c r="V14" s="76">
        <f t="shared" si="6"/>
        <v>0</v>
      </c>
      <c r="W14" s="76" t="s">
        <v>12</v>
      </c>
      <c r="X14" s="76"/>
      <c r="Y14" s="78"/>
      <c r="Z14" s="75">
        <f t="shared" si="7"/>
        <v>0</v>
      </c>
      <c r="AA14" s="76">
        <f>U14+(Y29)</f>
        <v>3</v>
      </c>
      <c r="AB14" s="76">
        <f t="shared" si="8"/>
        <v>0</v>
      </c>
      <c r="AC14" s="76" t="s">
        <v>13</v>
      </c>
      <c r="AD14" s="76"/>
      <c r="AE14" s="78"/>
      <c r="AF14" s="75">
        <f t="shared" si="9"/>
        <v>0</v>
      </c>
      <c r="AG14" s="76">
        <v>2</v>
      </c>
      <c r="AH14" s="79">
        <f t="shared" si="10"/>
        <v>0</v>
      </c>
      <c r="AI14" s="77" t="s">
        <v>14</v>
      </c>
    </row>
    <row r="15" spans="2:35" ht="15.75" thickBot="1" x14ac:dyDescent="0.3">
      <c r="B15" s="97" t="s">
        <v>340</v>
      </c>
      <c r="C15" s="101"/>
      <c r="D15" s="93" t="str">
        <f t="array" ref="D15">INDEX(Table_Name[Name List],MATCH(B15,Table_Name[Category],0))</f>
        <v>Rear_or_Side_Delts[Exercise]</v>
      </c>
      <c r="E15" s="104" t="e">
        <f t="array" ref="E15">INDEX(Links[Link],MATCH(C15,Links[Exercise],0))</f>
        <v>#N/A</v>
      </c>
      <c r="F15" s="107" t="e">
        <f t="shared" si="0"/>
        <v>#N/A</v>
      </c>
      <c r="G15" s="110"/>
      <c r="H15" s="75">
        <f t="shared" si="1"/>
        <v>0</v>
      </c>
      <c r="I15" s="76">
        <v>3</v>
      </c>
      <c r="J15" s="76">
        <f t="shared" si="2"/>
        <v>0</v>
      </c>
      <c r="K15" s="76" t="s">
        <v>11</v>
      </c>
      <c r="L15" s="76" t="s">
        <v>0</v>
      </c>
      <c r="M15" s="77"/>
      <c r="N15" s="75">
        <f t="shared" si="3"/>
        <v>0</v>
      </c>
      <c r="O15" s="76">
        <f>I15+(M31)</f>
        <v>3</v>
      </c>
      <c r="P15" s="76">
        <f t="shared" si="4"/>
        <v>0</v>
      </c>
      <c r="Q15" s="76" t="s">
        <v>11</v>
      </c>
      <c r="R15" s="76"/>
      <c r="S15" s="78"/>
      <c r="T15" s="57">
        <f t="shared" si="5"/>
        <v>0</v>
      </c>
      <c r="U15" s="76">
        <f>O15+(S31)</f>
        <v>3</v>
      </c>
      <c r="V15" s="76">
        <f t="shared" si="6"/>
        <v>0</v>
      </c>
      <c r="W15" s="76" t="s">
        <v>12</v>
      </c>
      <c r="X15" s="76"/>
      <c r="Y15" s="78"/>
      <c r="Z15" s="75">
        <f t="shared" si="7"/>
        <v>0</v>
      </c>
      <c r="AA15" s="76">
        <f>U15+(Y31)</f>
        <v>3</v>
      </c>
      <c r="AB15" s="76">
        <f t="shared" si="8"/>
        <v>0</v>
      </c>
      <c r="AC15" s="76" t="s">
        <v>13</v>
      </c>
      <c r="AD15" s="76"/>
      <c r="AE15" s="78"/>
      <c r="AF15" s="75">
        <f t="shared" si="9"/>
        <v>0</v>
      </c>
      <c r="AG15" s="76">
        <v>2</v>
      </c>
      <c r="AH15" s="79">
        <f t="shared" si="10"/>
        <v>0</v>
      </c>
      <c r="AI15" s="77" t="s">
        <v>14</v>
      </c>
    </row>
    <row r="16" spans="2:35" ht="15.75" thickBot="1" x14ac:dyDescent="0.3">
      <c r="B16" s="98" t="s">
        <v>77</v>
      </c>
      <c r="C16" s="102"/>
      <c r="D16" s="94" t="str">
        <f t="array" ref="D16">INDEX(Table_Name[Name List],MATCH(B16,Table_Name[Category],0))</f>
        <v>Abs[Exercise]</v>
      </c>
      <c r="E16" s="105" t="e">
        <f t="array" ref="E16">INDEX(Links[Link],MATCH(C16,Links[Exercise],0))</f>
        <v>#N/A</v>
      </c>
      <c r="F16" s="108" t="e">
        <f t="shared" si="0"/>
        <v>#N/A</v>
      </c>
      <c r="G16" s="111"/>
      <c r="H16" s="81">
        <f t="shared" si="1"/>
        <v>0</v>
      </c>
      <c r="I16" s="82">
        <v>3</v>
      </c>
      <c r="J16" s="82">
        <f t="shared" si="2"/>
        <v>0</v>
      </c>
      <c r="K16" s="82" t="s">
        <v>11</v>
      </c>
      <c r="L16" s="82"/>
      <c r="M16" s="64"/>
      <c r="N16" s="81">
        <f t="shared" si="3"/>
        <v>0</v>
      </c>
      <c r="O16" s="82">
        <f>I16+(M32)</f>
        <v>3</v>
      </c>
      <c r="P16" s="82">
        <f t="shared" si="4"/>
        <v>0</v>
      </c>
      <c r="Q16" s="82" t="s">
        <v>11</v>
      </c>
      <c r="R16" s="82"/>
      <c r="S16" s="78"/>
      <c r="T16" s="83">
        <f t="shared" si="5"/>
        <v>0</v>
      </c>
      <c r="U16" s="82">
        <f>O16+(S32)</f>
        <v>3</v>
      </c>
      <c r="V16" s="82">
        <f t="shared" si="6"/>
        <v>0</v>
      </c>
      <c r="W16" s="82" t="s">
        <v>12</v>
      </c>
      <c r="X16" s="82"/>
      <c r="Y16" s="78"/>
      <c r="Z16" s="81">
        <f t="shared" si="7"/>
        <v>0</v>
      </c>
      <c r="AA16" s="82">
        <f>U16+(Y32)</f>
        <v>3</v>
      </c>
      <c r="AB16" s="82">
        <f t="shared" si="8"/>
        <v>0</v>
      </c>
      <c r="AC16" s="82" t="s">
        <v>13</v>
      </c>
      <c r="AD16" s="82"/>
      <c r="AE16" s="78"/>
      <c r="AF16" s="81">
        <f t="shared" si="9"/>
        <v>0</v>
      </c>
      <c r="AG16" s="82">
        <v>2</v>
      </c>
      <c r="AH16" s="84">
        <f t="shared" si="10"/>
        <v>0</v>
      </c>
      <c r="AI16" s="64" t="s">
        <v>14</v>
      </c>
    </row>
    <row r="17" spans="2:35" s="43" customFormat="1" ht="19.5" thickBot="1" x14ac:dyDescent="0.3">
      <c r="B17" s="86" t="s">
        <v>337</v>
      </c>
      <c r="C17" s="57"/>
      <c r="D17" s="57"/>
      <c r="E17" s="85"/>
      <c r="F17" s="56"/>
      <c r="G17" s="62"/>
      <c r="H17" s="168" t="s">
        <v>1</v>
      </c>
      <c r="I17" s="169"/>
      <c r="J17" s="169"/>
      <c r="K17" s="169"/>
      <c r="L17" s="169"/>
      <c r="M17" s="170"/>
      <c r="N17" s="171" t="s">
        <v>2</v>
      </c>
      <c r="O17" s="172"/>
      <c r="P17" s="172"/>
      <c r="Q17" s="172"/>
      <c r="R17" s="172"/>
      <c r="S17" s="173"/>
      <c r="T17" s="174" t="s">
        <v>3</v>
      </c>
      <c r="U17" s="175"/>
      <c r="V17" s="175"/>
      <c r="W17" s="175"/>
      <c r="X17" s="175"/>
      <c r="Y17" s="176"/>
      <c r="Z17" s="177" t="s">
        <v>4</v>
      </c>
      <c r="AA17" s="178"/>
      <c r="AB17" s="178"/>
      <c r="AC17" s="178"/>
      <c r="AD17" s="178"/>
      <c r="AE17" s="179"/>
      <c r="AF17" s="180" t="s">
        <v>5</v>
      </c>
      <c r="AG17" s="181"/>
      <c r="AH17" s="181"/>
      <c r="AI17" s="182"/>
    </row>
    <row r="18" spans="2:35" s="43" customFormat="1" ht="15.75" thickBot="1" x14ac:dyDescent="0.3">
      <c r="B18" s="37"/>
      <c r="C18" s="57"/>
      <c r="D18" s="57"/>
      <c r="E18" s="85"/>
      <c r="F18" s="56"/>
      <c r="G18" s="57"/>
      <c r="H18" s="65" t="s">
        <v>88</v>
      </c>
      <c r="I18" s="66" t="s">
        <v>6</v>
      </c>
      <c r="J18" s="67" t="s">
        <v>7</v>
      </c>
      <c r="K18" s="68" t="s">
        <v>8</v>
      </c>
      <c r="L18" s="68" t="s">
        <v>9</v>
      </c>
      <c r="M18" s="69" t="s">
        <v>10</v>
      </c>
      <c r="N18" s="70" t="s">
        <v>88</v>
      </c>
      <c r="O18" s="70" t="s">
        <v>6</v>
      </c>
      <c r="P18" s="67" t="s">
        <v>7</v>
      </c>
      <c r="Q18" s="68" t="s">
        <v>8</v>
      </c>
      <c r="R18" s="68" t="s">
        <v>9</v>
      </c>
      <c r="S18" s="69" t="s">
        <v>10</v>
      </c>
      <c r="T18" s="70" t="s">
        <v>88</v>
      </c>
      <c r="U18" s="70" t="s">
        <v>6</v>
      </c>
      <c r="V18" s="67" t="s">
        <v>7</v>
      </c>
      <c r="W18" s="68" t="s">
        <v>8</v>
      </c>
      <c r="X18" s="68" t="s">
        <v>9</v>
      </c>
      <c r="Y18" s="69" t="s">
        <v>10</v>
      </c>
      <c r="Z18" s="70" t="s">
        <v>88</v>
      </c>
      <c r="AA18" s="70" t="s">
        <v>6</v>
      </c>
      <c r="AB18" s="67" t="s">
        <v>7</v>
      </c>
      <c r="AC18" s="87" t="s">
        <v>15</v>
      </c>
      <c r="AD18" s="68" t="s">
        <v>9</v>
      </c>
      <c r="AE18" s="69" t="s">
        <v>10</v>
      </c>
      <c r="AF18" s="70" t="s">
        <v>88</v>
      </c>
      <c r="AG18" s="70" t="s">
        <v>6</v>
      </c>
      <c r="AH18" s="67" t="s">
        <v>7</v>
      </c>
      <c r="AI18" s="71" t="s">
        <v>8</v>
      </c>
    </row>
    <row r="19" spans="2:35" s="43" customFormat="1" ht="15.75" thickBot="1" x14ac:dyDescent="0.3">
      <c r="B19" s="95" t="s">
        <v>345</v>
      </c>
      <c r="C19" s="99" t="s">
        <v>86</v>
      </c>
      <c r="D19" s="91"/>
      <c r="E19" s="91"/>
      <c r="F19" s="99" t="s">
        <v>356</v>
      </c>
      <c r="G19" s="99" t="s">
        <v>357</v>
      </c>
      <c r="H19" s="65" t="s">
        <v>86</v>
      </c>
      <c r="I19" s="72"/>
      <c r="J19" s="72"/>
      <c r="K19" s="72"/>
      <c r="L19" s="72"/>
      <c r="M19" s="73"/>
      <c r="N19" s="65" t="s">
        <v>86</v>
      </c>
      <c r="O19" s="72"/>
      <c r="P19" s="72"/>
      <c r="Q19" s="72"/>
      <c r="R19" s="72"/>
      <c r="S19" s="73"/>
      <c r="T19" s="65" t="s">
        <v>86</v>
      </c>
      <c r="U19" s="72"/>
      <c r="V19" s="72"/>
      <c r="W19" s="72"/>
      <c r="X19" s="72"/>
      <c r="Y19" s="72"/>
      <c r="Z19" s="65" t="s">
        <v>86</v>
      </c>
      <c r="AA19" s="72"/>
      <c r="AB19" s="72"/>
      <c r="AC19" s="72"/>
      <c r="AD19" s="72"/>
      <c r="AE19" s="72"/>
      <c r="AF19" s="65" t="s">
        <v>86</v>
      </c>
      <c r="AG19" s="72"/>
      <c r="AH19" s="72"/>
      <c r="AI19" s="73"/>
    </row>
    <row r="20" spans="2:35" s="43" customFormat="1" ht="15.75" thickBot="1" x14ac:dyDescent="0.3">
      <c r="B20" s="96" t="s">
        <v>20</v>
      </c>
      <c r="C20" s="100"/>
      <c r="D20" s="92" t="str">
        <f t="array" ref="D20">INDEX(Table_Name[Name List],MATCH(B20,Table_Name[Category],0))</f>
        <v>Quads[Exercise]</v>
      </c>
      <c r="E20" s="103" t="e">
        <f t="array" ref="E20">INDEX(Links[Link],MATCH(C20,Links[Exercise],0))</f>
        <v>#N/A</v>
      </c>
      <c r="F20" s="106" t="e">
        <f t="shared" ref="F20:F23" si="11">HYPERLINK(E20,"Video")</f>
        <v>#N/A</v>
      </c>
      <c r="G20" s="109"/>
      <c r="H20" s="75">
        <f t="shared" ref="H20:H23" si="12">C20</f>
        <v>0</v>
      </c>
      <c r="I20" s="76">
        <v>3</v>
      </c>
      <c r="J20" s="76">
        <f t="shared" ref="J20:J23" si="13">MROUND(((G20)*0.85),5)</f>
        <v>0</v>
      </c>
      <c r="K20" s="76" t="s">
        <v>11</v>
      </c>
      <c r="L20" s="76"/>
      <c r="M20" s="77"/>
      <c r="N20" s="88">
        <f t="shared" ref="N20:N23" si="14">C20</f>
        <v>0</v>
      </c>
      <c r="O20" s="76">
        <f>I20+(M39)</f>
        <v>3</v>
      </c>
      <c r="P20" s="76">
        <f t="shared" ref="P20:P23" si="15">MROUND((J20*1.05),5)</f>
        <v>0</v>
      </c>
      <c r="Q20" s="76" t="s">
        <v>11</v>
      </c>
      <c r="R20" s="76"/>
      <c r="S20" s="78"/>
      <c r="T20" s="57">
        <f t="shared" ref="T20:T23" si="16">C20</f>
        <v>0</v>
      </c>
      <c r="U20" s="76">
        <f>O20+(S39)</f>
        <v>3</v>
      </c>
      <c r="V20" s="76">
        <f t="shared" ref="V20:V23" si="17">MROUND((J20*1.075),5)</f>
        <v>0</v>
      </c>
      <c r="W20" s="76" t="s">
        <v>12</v>
      </c>
      <c r="X20" s="76"/>
      <c r="Y20" s="78"/>
      <c r="Z20" s="75">
        <f t="shared" ref="Z20:Z23" si="18">C20</f>
        <v>0</v>
      </c>
      <c r="AA20" s="76">
        <f>U20+(Y39)</f>
        <v>3</v>
      </c>
      <c r="AB20" s="76">
        <f t="shared" ref="AB20:AB23" si="19">MROUND((J20*1.1),5)</f>
        <v>0</v>
      </c>
      <c r="AC20" s="76" t="s">
        <v>13</v>
      </c>
      <c r="AD20" s="76"/>
      <c r="AE20" s="78"/>
      <c r="AF20" s="75">
        <f t="shared" ref="AF20:AF23" si="20">C20</f>
        <v>0</v>
      </c>
      <c r="AG20" s="76">
        <v>2</v>
      </c>
      <c r="AH20" s="79">
        <f t="shared" ref="AH20:AH23" si="21">J20</f>
        <v>0</v>
      </c>
      <c r="AI20" s="77" t="s">
        <v>14</v>
      </c>
    </row>
    <row r="21" spans="2:35" s="43" customFormat="1" ht="15.75" thickBot="1" x14ac:dyDescent="0.3">
      <c r="B21" s="97" t="s">
        <v>20</v>
      </c>
      <c r="C21" s="101"/>
      <c r="D21" s="93" t="str">
        <f t="array" ref="D21">INDEX(Table_Name[Name List],MATCH(B21,Table_Name[Category],0))</f>
        <v>Quads[Exercise]</v>
      </c>
      <c r="E21" s="104" t="e">
        <f t="array" ref="E21">INDEX(Links[Link],MATCH(C21,Links[Exercise],0))</f>
        <v>#N/A</v>
      </c>
      <c r="F21" s="107" t="e">
        <f t="shared" ref="F21" si="22">HYPERLINK(E21,"Video")</f>
        <v>#N/A</v>
      </c>
      <c r="G21" s="110"/>
      <c r="H21" s="75">
        <f t="shared" si="12"/>
        <v>0</v>
      </c>
      <c r="I21" s="76">
        <v>3</v>
      </c>
      <c r="J21" s="76">
        <f t="shared" si="13"/>
        <v>0</v>
      </c>
      <c r="K21" s="76" t="s">
        <v>11</v>
      </c>
      <c r="L21" s="76"/>
      <c r="M21" s="77"/>
      <c r="N21" s="88">
        <f t="shared" si="14"/>
        <v>0</v>
      </c>
      <c r="O21" s="76">
        <f>I21+(M39)</f>
        <v>3</v>
      </c>
      <c r="P21" s="76">
        <f t="shared" si="15"/>
        <v>0</v>
      </c>
      <c r="Q21" s="76" t="s">
        <v>11</v>
      </c>
      <c r="R21" s="76"/>
      <c r="S21" s="78"/>
      <c r="T21" s="57">
        <f t="shared" si="16"/>
        <v>0</v>
      </c>
      <c r="U21" s="76">
        <f>O21+(S39)</f>
        <v>3</v>
      </c>
      <c r="V21" s="76">
        <f t="shared" si="17"/>
        <v>0</v>
      </c>
      <c r="W21" s="76" t="s">
        <v>12</v>
      </c>
      <c r="X21" s="76"/>
      <c r="Y21" s="78"/>
      <c r="Z21" s="75">
        <f t="shared" si="18"/>
        <v>0</v>
      </c>
      <c r="AA21" s="76">
        <f>U21+(Y39)</f>
        <v>3</v>
      </c>
      <c r="AB21" s="76">
        <f t="shared" si="19"/>
        <v>0</v>
      </c>
      <c r="AC21" s="76" t="s">
        <v>13</v>
      </c>
      <c r="AD21" s="76"/>
      <c r="AE21" s="78"/>
      <c r="AF21" s="75">
        <f t="shared" si="20"/>
        <v>0</v>
      </c>
      <c r="AG21" s="76">
        <v>2</v>
      </c>
      <c r="AH21" s="79">
        <f t="shared" si="21"/>
        <v>0</v>
      </c>
      <c r="AI21" s="77" t="s">
        <v>14</v>
      </c>
    </row>
    <row r="22" spans="2:35" s="43" customFormat="1" ht="15.75" thickBot="1" x14ac:dyDescent="0.3">
      <c r="B22" s="97" t="s">
        <v>106</v>
      </c>
      <c r="C22" s="101"/>
      <c r="D22" s="93" t="str">
        <f t="array" ref="D22">INDEX(Table_Name[Name List],MATCH(B22,Table_Name[Category],0))</f>
        <v>Hamstrings_Isolation[Exercise]</v>
      </c>
      <c r="E22" s="104" t="e">
        <f t="array" ref="E22">INDEX(Links[Link],MATCH(C22,Links[Exercise],0))</f>
        <v>#N/A</v>
      </c>
      <c r="F22" s="107" t="e">
        <f t="shared" si="11"/>
        <v>#N/A</v>
      </c>
      <c r="G22" s="110"/>
      <c r="H22" s="75">
        <f t="shared" si="12"/>
        <v>0</v>
      </c>
      <c r="I22" s="76">
        <v>3</v>
      </c>
      <c r="J22" s="76">
        <f t="shared" si="13"/>
        <v>0</v>
      </c>
      <c r="K22" s="76" t="s">
        <v>11</v>
      </c>
      <c r="L22" s="76"/>
      <c r="M22" s="77"/>
      <c r="N22" s="88">
        <f t="shared" si="14"/>
        <v>0</v>
      </c>
      <c r="O22" s="76">
        <f>I22+(M38)</f>
        <v>3</v>
      </c>
      <c r="P22" s="76">
        <f t="shared" si="15"/>
        <v>0</v>
      </c>
      <c r="Q22" s="76" t="s">
        <v>11</v>
      </c>
      <c r="R22" s="76"/>
      <c r="S22" s="78"/>
      <c r="T22" s="57">
        <f t="shared" si="16"/>
        <v>0</v>
      </c>
      <c r="U22" s="76">
        <f>O22+(S38)</f>
        <v>3</v>
      </c>
      <c r="V22" s="76">
        <f t="shared" si="17"/>
        <v>0</v>
      </c>
      <c r="W22" s="76" t="s">
        <v>12</v>
      </c>
      <c r="X22" s="76"/>
      <c r="Y22" s="78"/>
      <c r="Z22" s="75">
        <f t="shared" si="18"/>
        <v>0</v>
      </c>
      <c r="AA22" s="76">
        <f>U22+(Y38)</f>
        <v>3</v>
      </c>
      <c r="AB22" s="76">
        <f t="shared" si="19"/>
        <v>0</v>
      </c>
      <c r="AC22" s="76" t="s">
        <v>13</v>
      </c>
      <c r="AD22" s="76"/>
      <c r="AE22" s="78"/>
      <c r="AF22" s="75">
        <f t="shared" si="20"/>
        <v>0</v>
      </c>
      <c r="AG22" s="76">
        <v>2</v>
      </c>
      <c r="AH22" s="79">
        <f t="shared" si="21"/>
        <v>0</v>
      </c>
      <c r="AI22" s="77" t="s">
        <v>14</v>
      </c>
    </row>
    <row r="23" spans="2:35" s="43" customFormat="1" ht="15.75" thickBot="1" x14ac:dyDescent="0.3">
      <c r="B23" s="98" t="s">
        <v>19</v>
      </c>
      <c r="C23" s="102"/>
      <c r="D23" s="94" t="str">
        <f t="array" ref="D23">INDEX(Table_Name[Name List],MATCH(B23,Table_Name[Category],0))</f>
        <v>Calves[Exercise]</v>
      </c>
      <c r="E23" s="105" t="e">
        <f t="array" ref="E23">INDEX(Links[Link],MATCH(C23,Links[Exercise],0))</f>
        <v>#N/A</v>
      </c>
      <c r="F23" s="108" t="e">
        <f t="shared" si="11"/>
        <v>#N/A</v>
      </c>
      <c r="G23" s="111"/>
      <c r="H23" s="81">
        <f t="shared" si="12"/>
        <v>0</v>
      </c>
      <c r="I23" s="82">
        <v>6</v>
      </c>
      <c r="J23" s="82">
        <f t="shared" si="13"/>
        <v>0</v>
      </c>
      <c r="K23" s="82" t="s">
        <v>11</v>
      </c>
      <c r="L23" s="82"/>
      <c r="M23" s="64"/>
      <c r="N23" s="81">
        <f t="shared" si="14"/>
        <v>0</v>
      </c>
      <c r="O23" s="82">
        <f>I23+(M40)</f>
        <v>6</v>
      </c>
      <c r="P23" s="82">
        <f t="shared" si="15"/>
        <v>0</v>
      </c>
      <c r="Q23" s="82" t="s">
        <v>11</v>
      </c>
      <c r="R23" s="82"/>
      <c r="S23" s="78"/>
      <c r="T23" s="83">
        <f t="shared" si="16"/>
        <v>0</v>
      </c>
      <c r="U23" s="82">
        <f>O23+(S40)</f>
        <v>6</v>
      </c>
      <c r="V23" s="82">
        <f t="shared" si="17"/>
        <v>0</v>
      </c>
      <c r="W23" s="82" t="s">
        <v>12</v>
      </c>
      <c r="X23" s="82"/>
      <c r="Y23" s="78"/>
      <c r="Z23" s="81">
        <f t="shared" si="18"/>
        <v>0</v>
      </c>
      <c r="AA23" s="82">
        <f>U23+(Y40)</f>
        <v>6</v>
      </c>
      <c r="AB23" s="82">
        <f t="shared" si="19"/>
        <v>0</v>
      </c>
      <c r="AC23" s="82" t="s">
        <v>13</v>
      </c>
      <c r="AD23" s="82"/>
      <c r="AE23" s="78"/>
      <c r="AF23" s="81">
        <f t="shared" si="20"/>
        <v>0</v>
      </c>
      <c r="AG23" s="82">
        <v>2</v>
      </c>
      <c r="AH23" s="84">
        <f t="shared" si="21"/>
        <v>0</v>
      </c>
      <c r="AI23" s="64" t="s">
        <v>14</v>
      </c>
    </row>
    <row r="24" spans="2:35" s="43" customFormat="1" ht="19.5" thickBot="1" x14ac:dyDescent="0.3">
      <c r="B24" s="86" t="s">
        <v>346</v>
      </c>
      <c r="C24" s="57"/>
      <c r="D24" s="57"/>
      <c r="E24" s="85"/>
      <c r="F24" s="56"/>
      <c r="G24" s="62"/>
      <c r="H24" s="168" t="s">
        <v>1</v>
      </c>
      <c r="I24" s="169"/>
      <c r="J24" s="169"/>
      <c r="K24" s="169"/>
      <c r="L24" s="169"/>
      <c r="M24" s="170"/>
      <c r="N24" s="171" t="s">
        <v>2</v>
      </c>
      <c r="O24" s="172"/>
      <c r="P24" s="172"/>
      <c r="Q24" s="172"/>
      <c r="R24" s="172"/>
      <c r="S24" s="173"/>
      <c r="T24" s="174" t="s">
        <v>3</v>
      </c>
      <c r="U24" s="175"/>
      <c r="V24" s="175"/>
      <c r="W24" s="175"/>
      <c r="X24" s="175"/>
      <c r="Y24" s="176"/>
      <c r="Z24" s="177" t="s">
        <v>4</v>
      </c>
      <c r="AA24" s="178"/>
      <c r="AB24" s="178"/>
      <c r="AC24" s="178"/>
      <c r="AD24" s="178"/>
      <c r="AE24" s="179"/>
      <c r="AF24" s="180" t="s">
        <v>5</v>
      </c>
      <c r="AG24" s="181"/>
      <c r="AH24" s="181"/>
      <c r="AI24" s="182"/>
    </row>
    <row r="25" spans="2:35" s="43" customFormat="1" ht="15.75" thickBot="1" x14ac:dyDescent="0.3">
      <c r="B25" s="37"/>
      <c r="C25" s="57"/>
      <c r="D25" s="57"/>
      <c r="E25" s="85"/>
      <c r="F25" s="56"/>
      <c r="G25" s="57"/>
      <c r="H25" s="89" t="s">
        <v>88</v>
      </c>
      <c r="I25" s="70" t="s">
        <v>6</v>
      </c>
      <c r="J25" s="67" t="s">
        <v>7</v>
      </c>
      <c r="K25" s="68" t="s">
        <v>8</v>
      </c>
      <c r="L25" s="68" t="s">
        <v>9</v>
      </c>
      <c r="M25" s="69" t="s">
        <v>10</v>
      </c>
      <c r="N25" s="70" t="s">
        <v>88</v>
      </c>
      <c r="O25" s="70" t="s">
        <v>6</v>
      </c>
      <c r="P25" s="67" t="s">
        <v>7</v>
      </c>
      <c r="Q25" s="68" t="s">
        <v>8</v>
      </c>
      <c r="R25" s="68" t="s">
        <v>9</v>
      </c>
      <c r="S25" s="69" t="s">
        <v>10</v>
      </c>
      <c r="T25" s="70" t="s">
        <v>88</v>
      </c>
      <c r="U25" s="70" t="s">
        <v>6</v>
      </c>
      <c r="V25" s="67" t="s">
        <v>7</v>
      </c>
      <c r="W25" s="68" t="s">
        <v>8</v>
      </c>
      <c r="X25" s="68" t="s">
        <v>9</v>
      </c>
      <c r="Y25" s="69" t="s">
        <v>10</v>
      </c>
      <c r="Z25" s="70" t="s">
        <v>88</v>
      </c>
      <c r="AA25" s="70" t="s">
        <v>6</v>
      </c>
      <c r="AB25" s="67" t="s">
        <v>7</v>
      </c>
      <c r="AC25" s="87" t="s">
        <v>15</v>
      </c>
      <c r="AD25" s="68" t="s">
        <v>9</v>
      </c>
      <c r="AE25" s="69" t="s">
        <v>10</v>
      </c>
      <c r="AF25" s="70" t="s">
        <v>88</v>
      </c>
      <c r="AG25" s="70" t="s">
        <v>6</v>
      </c>
      <c r="AH25" s="67" t="s">
        <v>7</v>
      </c>
      <c r="AI25" s="71" t="s">
        <v>8</v>
      </c>
    </row>
    <row r="26" spans="2:35" s="43" customFormat="1" ht="15.75" thickBot="1" x14ac:dyDescent="0.3">
      <c r="B26" s="95" t="s">
        <v>347</v>
      </c>
      <c r="C26" s="99" t="s">
        <v>103</v>
      </c>
      <c r="D26" s="91"/>
      <c r="E26" s="91"/>
      <c r="F26" s="99" t="s">
        <v>356</v>
      </c>
      <c r="G26" s="99" t="s">
        <v>357</v>
      </c>
      <c r="H26" s="65" t="s">
        <v>103</v>
      </c>
      <c r="I26" s="72"/>
      <c r="J26" s="72"/>
      <c r="K26" s="72"/>
      <c r="L26" s="72"/>
      <c r="M26" s="73"/>
      <c r="N26" s="65" t="s">
        <v>103</v>
      </c>
      <c r="O26" s="72"/>
      <c r="P26" s="72"/>
      <c r="Q26" s="72"/>
      <c r="R26" s="72"/>
      <c r="S26" s="73"/>
      <c r="T26" s="65" t="s">
        <v>103</v>
      </c>
      <c r="U26" s="72"/>
      <c r="V26" s="72"/>
      <c r="W26" s="72"/>
      <c r="X26" s="72"/>
      <c r="Y26" s="72"/>
      <c r="Z26" s="65" t="s">
        <v>103</v>
      </c>
      <c r="AA26" s="72"/>
      <c r="AB26" s="72"/>
      <c r="AC26" s="72"/>
      <c r="AD26" s="72"/>
      <c r="AE26" s="72"/>
      <c r="AF26" s="65" t="s">
        <v>103</v>
      </c>
      <c r="AG26" s="72"/>
      <c r="AH26" s="72"/>
      <c r="AI26" s="73"/>
    </row>
    <row r="27" spans="2:35" s="43" customFormat="1" ht="15.75" thickBot="1" x14ac:dyDescent="0.3">
      <c r="B27" s="96" t="s">
        <v>339</v>
      </c>
      <c r="C27" s="100"/>
      <c r="D27" s="92" t="str">
        <f t="array" ref="D27">INDEX(Table_Name[Name List],MATCH(B27,Table_Name[Category],0))</f>
        <v>Vertical_Back[Exercise]</v>
      </c>
      <c r="E27" s="103" t="e">
        <f t="array" ref="E27">INDEX(Links[Link],MATCH(C27,Links[Exercise],0))</f>
        <v>#N/A</v>
      </c>
      <c r="F27" s="106" t="e">
        <f t="shared" ref="F27:F32" si="23">HYPERLINK(E27,"Video")</f>
        <v>#N/A</v>
      </c>
      <c r="G27" s="109"/>
      <c r="H27" s="75">
        <f t="shared" ref="H27:H32" si="24">C27</f>
        <v>0</v>
      </c>
      <c r="I27" s="76">
        <v>3</v>
      </c>
      <c r="J27" s="76">
        <f t="shared" ref="J27:J32" si="25">MROUND(((G27)*0.85),5)</f>
        <v>0</v>
      </c>
      <c r="K27" s="76" t="s">
        <v>11</v>
      </c>
      <c r="L27" s="76"/>
      <c r="M27" s="78"/>
      <c r="N27" s="88">
        <f t="shared" ref="N27:N32" si="26">C27</f>
        <v>0</v>
      </c>
      <c r="O27" s="76">
        <f>I27+(M48)</f>
        <v>3</v>
      </c>
      <c r="P27" s="76">
        <f t="shared" ref="P27:P32" si="27">MROUND((J27*1.05),5)</f>
        <v>0</v>
      </c>
      <c r="Q27" s="76" t="s">
        <v>11</v>
      </c>
      <c r="R27" s="76"/>
      <c r="S27" s="78"/>
      <c r="T27" s="57">
        <f t="shared" ref="T27:T32" si="28">C27</f>
        <v>0</v>
      </c>
      <c r="U27" s="76">
        <f>O27+(S48)</f>
        <v>3</v>
      </c>
      <c r="V27" s="76">
        <f t="shared" ref="V27:V32" si="29">MROUND((J27*1.075),5)</f>
        <v>0</v>
      </c>
      <c r="W27" s="76" t="s">
        <v>12</v>
      </c>
      <c r="X27" s="76"/>
      <c r="Y27" s="78"/>
      <c r="Z27" s="75">
        <f t="shared" ref="Z27:Z32" si="30">C27</f>
        <v>0</v>
      </c>
      <c r="AA27" s="76">
        <f>U27+(Y48)</f>
        <v>3</v>
      </c>
      <c r="AB27" s="76">
        <f t="shared" ref="AB27:AB32" si="31">MROUND((J27*1.1),5)</f>
        <v>0</v>
      </c>
      <c r="AC27" s="76" t="s">
        <v>13</v>
      </c>
      <c r="AD27" s="76"/>
      <c r="AE27" s="78"/>
      <c r="AF27" s="75">
        <f t="shared" ref="AF27:AF32" si="32">C27</f>
        <v>0</v>
      </c>
      <c r="AG27" s="76">
        <v>2</v>
      </c>
      <c r="AH27" s="79">
        <f t="shared" ref="AH27:AH32" si="33">J27</f>
        <v>0</v>
      </c>
      <c r="AI27" s="77" t="s">
        <v>14</v>
      </c>
    </row>
    <row r="28" spans="2:35" s="43" customFormat="1" ht="15.75" thickBot="1" x14ac:dyDescent="0.3">
      <c r="B28" s="97" t="s">
        <v>339</v>
      </c>
      <c r="C28" s="101"/>
      <c r="D28" s="93" t="str">
        <f t="array" ref="D28">INDEX(Table_Name[Name List],MATCH(B28,Table_Name[Category],0))</f>
        <v>Vertical_Back[Exercise]</v>
      </c>
      <c r="E28" s="104" t="e">
        <f t="array" ref="E28">INDEX(Links[Link],MATCH(C28,Links[Exercise],0))</f>
        <v>#N/A</v>
      </c>
      <c r="F28" s="107" t="e">
        <f t="shared" si="23"/>
        <v>#N/A</v>
      </c>
      <c r="G28" s="110"/>
      <c r="H28" s="75">
        <f t="shared" si="24"/>
        <v>0</v>
      </c>
      <c r="I28" s="76">
        <v>3</v>
      </c>
      <c r="J28" s="76">
        <f t="shared" si="25"/>
        <v>0</v>
      </c>
      <c r="K28" s="76" t="s">
        <v>11</v>
      </c>
      <c r="L28" s="76"/>
      <c r="M28" s="78"/>
      <c r="N28" s="88">
        <f t="shared" si="26"/>
        <v>0</v>
      </c>
      <c r="O28" s="76">
        <f>I28+(M48)</f>
        <v>3</v>
      </c>
      <c r="P28" s="76">
        <f t="shared" si="27"/>
        <v>0</v>
      </c>
      <c r="Q28" s="76" t="s">
        <v>11</v>
      </c>
      <c r="R28" s="76"/>
      <c r="S28" s="78"/>
      <c r="T28" s="57">
        <f t="shared" si="28"/>
        <v>0</v>
      </c>
      <c r="U28" s="76">
        <f>O28+(S48)</f>
        <v>3</v>
      </c>
      <c r="V28" s="76">
        <f t="shared" si="29"/>
        <v>0</v>
      </c>
      <c r="W28" s="76" t="s">
        <v>12</v>
      </c>
      <c r="X28" s="76"/>
      <c r="Y28" s="78"/>
      <c r="Z28" s="75">
        <f t="shared" si="30"/>
        <v>0</v>
      </c>
      <c r="AA28" s="76">
        <f>U28+(Y48)</f>
        <v>3</v>
      </c>
      <c r="AB28" s="76">
        <f t="shared" si="31"/>
        <v>0</v>
      </c>
      <c r="AC28" s="76" t="s">
        <v>13</v>
      </c>
      <c r="AD28" s="76"/>
      <c r="AE28" s="78"/>
      <c r="AF28" s="75">
        <f t="shared" si="32"/>
        <v>0</v>
      </c>
      <c r="AG28" s="76">
        <v>2</v>
      </c>
      <c r="AH28" s="79">
        <f t="shared" si="33"/>
        <v>0</v>
      </c>
      <c r="AI28" s="77" t="s">
        <v>14</v>
      </c>
    </row>
    <row r="29" spans="2:35" s="43" customFormat="1" ht="15.75" thickBot="1" x14ac:dyDescent="0.3">
      <c r="B29" s="97" t="s">
        <v>338</v>
      </c>
      <c r="C29" s="101"/>
      <c r="D29" s="93" t="str">
        <f t="array" ref="D29">INDEX(Table_Name[Name List],MATCH(B29,Table_Name[Category],0))</f>
        <v>Horizontal_Back[Exercise]</v>
      </c>
      <c r="E29" s="104" t="e">
        <f t="array" ref="E29">INDEX(Links[Link],MATCH(C29,Links[Exercise],0))</f>
        <v>#N/A</v>
      </c>
      <c r="F29" s="107" t="e">
        <f t="shared" si="23"/>
        <v>#N/A</v>
      </c>
      <c r="G29" s="110"/>
      <c r="H29" s="75">
        <f t="shared" si="24"/>
        <v>0</v>
      </c>
      <c r="I29" s="76">
        <v>3</v>
      </c>
      <c r="J29" s="76">
        <f t="shared" si="25"/>
        <v>0</v>
      </c>
      <c r="K29" s="76" t="s">
        <v>11</v>
      </c>
      <c r="L29" s="76"/>
      <c r="M29" s="78"/>
      <c r="N29" s="88">
        <f t="shared" si="26"/>
        <v>0</v>
      </c>
      <c r="O29" s="76">
        <f>I29+(M48)</f>
        <v>3</v>
      </c>
      <c r="P29" s="76">
        <f t="shared" si="27"/>
        <v>0</v>
      </c>
      <c r="Q29" s="76" t="s">
        <v>11</v>
      </c>
      <c r="R29" s="76"/>
      <c r="S29" s="78"/>
      <c r="T29" s="57">
        <f t="shared" si="28"/>
        <v>0</v>
      </c>
      <c r="U29" s="76">
        <f>O29+(S48)</f>
        <v>3</v>
      </c>
      <c r="V29" s="76">
        <f t="shared" si="29"/>
        <v>0</v>
      </c>
      <c r="W29" s="76" t="s">
        <v>12</v>
      </c>
      <c r="X29" s="76"/>
      <c r="Y29" s="78"/>
      <c r="Z29" s="75">
        <f t="shared" si="30"/>
        <v>0</v>
      </c>
      <c r="AA29" s="76">
        <f>U29+(Y48)</f>
        <v>3</v>
      </c>
      <c r="AB29" s="76">
        <f t="shared" si="31"/>
        <v>0</v>
      </c>
      <c r="AC29" s="76" t="s">
        <v>13</v>
      </c>
      <c r="AD29" s="76"/>
      <c r="AE29" s="78"/>
      <c r="AF29" s="75">
        <f t="shared" si="32"/>
        <v>0</v>
      </c>
      <c r="AG29" s="76">
        <v>2</v>
      </c>
      <c r="AH29" s="79">
        <f t="shared" si="33"/>
        <v>0</v>
      </c>
      <c r="AI29" s="77" t="s">
        <v>14</v>
      </c>
    </row>
    <row r="30" spans="2:35" s="43" customFormat="1" ht="15.75" thickBot="1" x14ac:dyDescent="0.3">
      <c r="B30" s="97" t="s">
        <v>344</v>
      </c>
      <c r="C30" s="101"/>
      <c r="D30" s="93" t="str">
        <f t="array" ref="D30">INDEX(Table_Name[Name List],MATCH(B30,Table_Name[Category],0))</f>
        <v>Horizontal_Push[Exercise]</v>
      </c>
      <c r="E30" s="104" t="e">
        <f t="array" ref="E30">INDEX(Links[Link],MATCH(C30,Links[Exercise],0))</f>
        <v>#N/A</v>
      </c>
      <c r="F30" s="107" t="e">
        <f t="shared" si="23"/>
        <v>#N/A</v>
      </c>
      <c r="G30" s="110"/>
      <c r="H30" s="75">
        <f t="shared" si="24"/>
        <v>0</v>
      </c>
      <c r="I30" s="76">
        <v>3</v>
      </c>
      <c r="J30" s="76">
        <f t="shared" si="25"/>
        <v>0</v>
      </c>
      <c r="K30" s="76" t="s">
        <v>11</v>
      </c>
      <c r="L30" s="76"/>
      <c r="M30" s="78"/>
      <c r="N30" s="88">
        <f t="shared" si="26"/>
        <v>0</v>
      </c>
      <c r="O30" s="76">
        <f>I30+(M49)</f>
        <v>3</v>
      </c>
      <c r="P30" s="76">
        <f t="shared" si="27"/>
        <v>0</v>
      </c>
      <c r="Q30" s="76" t="s">
        <v>11</v>
      </c>
      <c r="R30" s="76"/>
      <c r="S30" s="78"/>
      <c r="T30" s="57">
        <f t="shared" si="28"/>
        <v>0</v>
      </c>
      <c r="U30" s="76">
        <f>O30+(S49)</f>
        <v>3</v>
      </c>
      <c r="V30" s="76">
        <f t="shared" si="29"/>
        <v>0</v>
      </c>
      <c r="W30" s="76" t="s">
        <v>12</v>
      </c>
      <c r="X30" s="76"/>
      <c r="Y30" s="78"/>
      <c r="Z30" s="75">
        <f t="shared" si="30"/>
        <v>0</v>
      </c>
      <c r="AA30" s="76">
        <f>U30+(Y49)</f>
        <v>3</v>
      </c>
      <c r="AB30" s="76">
        <f t="shared" si="31"/>
        <v>0</v>
      </c>
      <c r="AC30" s="76" t="s">
        <v>13</v>
      </c>
      <c r="AD30" s="76"/>
      <c r="AE30" s="78"/>
      <c r="AF30" s="75">
        <f t="shared" si="32"/>
        <v>0</v>
      </c>
      <c r="AG30" s="76">
        <v>2</v>
      </c>
      <c r="AH30" s="79">
        <f t="shared" si="33"/>
        <v>0</v>
      </c>
      <c r="AI30" s="77" t="s">
        <v>14</v>
      </c>
    </row>
    <row r="31" spans="2:35" s="43" customFormat="1" ht="15.75" thickBot="1" x14ac:dyDescent="0.3">
      <c r="B31" s="97" t="s">
        <v>340</v>
      </c>
      <c r="C31" s="101"/>
      <c r="D31" s="93" t="str">
        <f t="array" ref="D31">INDEX(Table_Name[Name List],MATCH(B31,Table_Name[Category],0))</f>
        <v>Rear_or_Side_Delts[Exercise]</v>
      </c>
      <c r="E31" s="104" t="e">
        <f t="array" ref="E31">INDEX(Links[Link],MATCH(C31,Links[Exercise],0))</f>
        <v>#N/A</v>
      </c>
      <c r="F31" s="107" t="e">
        <f t="shared" si="23"/>
        <v>#N/A</v>
      </c>
      <c r="G31" s="110"/>
      <c r="H31" s="75">
        <f t="shared" si="24"/>
        <v>0</v>
      </c>
      <c r="I31" s="76">
        <v>3</v>
      </c>
      <c r="J31" s="76">
        <f t="shared" si="25"/>
        <v>0</v>
      </c>
      <c r="K31" s="76" t="s">
        <v>11</v>
      </c>
      <c r="L31" s="76"/>
      <c r="M31" s="78"/>
      <c r="N31" s="88">
        <f t="shared" si="26"/>
        <v>0</v>
      </c>
      <c r="O31" s="76">
        <f>I31+(S15)</f>
        <v>3</v>
      </c>
      <c r="P31" s="76">
        <f t="shared" si="27"/>
        <v>0</v>
      </c>
      <c r="Q31" s="76" t="s">
        <v>11</v>
      </c>
      <c r="R31" s="76"/>
      <c r="S31" s="78"/>
      <c r="T31" s="57">
        <f t="shared" si="28"/>
        <v>0</v>
      </c>
      <c r="U31" s="76">
        <f>O31+(Y15)</f>
        <v>3</v>
      </c>
      <c r="V31" s="76">
        <f t="shared" si="29"/>
        <v>0</v>
      </c>
      <c r="W31" s="76" t="s">
        <v>12</v>
      </c>
      <c r="X31" s="76"/>
      <c r="Y31" s="78"/>
      <c r="Z31" s="75">
        <f t="shared" si="30"/>
        <v>0</v>
      </c>
      <c r="AA31" s="76">
        <f>U31+(AE15)</f>
        <v>3</v>
      </c>
      <c r="AB31" s="76">
        <f t="shared" si="31"/>
        <v>0</v>
      </c>
      <c r="AC31" s="76" t="s">
        <v>13</v>
      </c>
      <c r="AD31" s="76"/>
      <c r="AE31" s="78"/>
      <c r="AF31" s="75">
        <f t="shared" si="32"/>
        <v>0</v>
      </c>
      <c r="AG31" s="76">
        <v>2</v>
      </c>
      <c r="AH31" s="79">
        <f t="shared" si="33"/>
        <v>0</v>
      </c>
      <c r="AI31" s="77" t="s">
        <v>14</v>
      </c>
    </row>
    <row r="32" spans="2:35" s="43" customFormat="1" ht="15.75" thickBot="1" x14ac:dyDescent="0.3">
      <c r="B32" s="98" t="s">
        <v>77</v>
      </c>
      <c r="C32" s="102"/>
      <c r="D32" s="94" t="str">
        <f t="array" ref="D32">INDEX(Table_Name[Name List],MATCH(B32,Table_Name[Category],0))</f>
        <v>Abs[Exercise]</v>
      </c>
      <c r="E32" s="105" t="e">
        <f t="array" ref="E32">INDEX(Links[Link],MATCH(C32,Links[Exercise],0))</f>
        <v>#N/A</v>
      </c>
      <c r="F32" s="108" t="e">
        <f t="shared" si="23"/>
        <v>#N/A</v>
      </c>
      <c r="G32" s="111"/>
      <c r="H32" s="81">
        <f t="shared" si="24"/>
        <v>0</v>
      </c>
      <c r="I32" s="82">
        <v>3</v>
      </c>
      <c r="J32" s="82">
        <f t="shared" si="25"/>
        <v>0</v>
      </c>
      <c r="K32" s="82" t="s">
        <v>11</v>
      </c>
      <c r="L32" s="82"/>
      <c r="M32" s="78"/>
      <c r="N32" s="81">
        <f t="shared" si="26"/>
        <v>0</v>
      </c>
      <c r="O32" s="82">
        <f>I32+(M50)</f>
        <v>3</v>
      </c>
      <c r="P32" s="82">
        <f t="shared" si="27"/>
        <v>0</v>
      </c>
      <c r="Q32" s="82" t="s">
        <v>11</v>
      </c>
      <c r="R32" s="82"/>
      <c r="S32" s="78"/>
      <c r="T32" s="83">
        <f t="shared" si="28"/>
        <v>0</v>
      </c>
      <c r="U32" s="82">
        <f>O32+(S50)</f>
        <v>3</v>
      </c>
      <c r="V32" s="82">
        <f t="shared" si="29"/>
        <v>0</v>
      </c>
      <c r="W32" s="82" t="s">
        <v>12</v>
      </c>
      <c r="X32" s="82"/>
      <c r="Y32" s="78"/>
      <c r="Z32" s="81">
        <f t="shared" si="30"/>
        <v>0</v>
      </c>
      <c r="AA32" s="82">
        <f>U32+(Y50)</f>
        <v>3</v>
      </c>
      <c r="AB32" s="82">
        <f t="shared" si="31"/>
        <v>0</v>
      </c>
      <c r="AC32" s="82" t="s">
        <v>13</v>
      </c>
      <c r="AD32" s="82"/>
      <c r="AE32" s="78"/>
      <c r="AF32" s="81">
        <f t="shared" si="32"/>
        <v>0</v>
      </c>
      <c r="AG32" s="82">
        <v>2</v>
      </c>
      <c r="AH32" s="84">
        <f t="shared" si="33"/>
        <v>0</v>
      </c>
      <c r="AI32" s="64" t="s">
        <v>14</v>
      </c>
    </row>
    <row r="33" spans="2:35" s="43" customFormat="1" ht="19.5" thickBot="1" x14ac:dyDescent="0.3">
      <c r="B33" s="86" t="s">
        <v>348</v>
      </c>
      <c r="C33" s="57"/>
      <c r="D33" s="57"/>
      <c r="E33" s="85"/>
      <c r="F33" s="56"/>
      <c r="G33" s="62"/>
      <c r="H33" s="168" t="s">
        <v>1</v>
      </c>
      <c r="I33" s="169"/>
      <c r="J33" s="169"/>
      <c r="K33" s="169"/>
      <c r="L33" s="169"/>
      <c r="M33" s="170"/>
      <c r="N33" s="171" t="s">
        <v>2</v>
      </c>
      <c r="O33" s="172"/>
      <c r="P33" s="172"/>
      <c r="Q33" s="172"/>
      <c r="R33" s="172"/>
      <c r="S33" s="173"/>
      <c r="T33" s="174" t="s">
        <v>3</v>
      </c>
      <c r="U33" s="175"/>
      <c r="V33" s="175"/>
      <c r="W33" s="175"/>
      <c r="X33" s="175"/>
      <c r="Y33" s="176"/>
      <c r="Z33" s="177" t="s">
        <v>4</v>
      </c>
      <c r="AA33" s="178"/>
      <c r="AB33" s="178"/>
      <c r="AC33" s="178"/>
      <c r="AD33" s="178"/>
      <c r="AE33" s="179"/>
      <c r="AF33" s="180" t="s">
        <v>5</v>
      </c>
      <c r="AG33" s="181"/>
      <c r="AH33" s="181"/>
      <c r="AI33" s="182"/>
    </row>
    <row r="34" spans="2:35" s="43" customFormat="1" ht="15.75" thickBot="1" x14ac:dyDescent="0.3">
      <c r="B34" s="37"/>
      <c r="C34" s="57"/>
      <c r="D34" s="57"/>
      <c r="E34" s="85"/>
      <c r="F34" s="56"/>
      <c r="G34" s="57"/>
      <c r="H34" s="65" t="s">
        <v>88</v>
      </c>
      <c r="I34" s="66" t="s">
        <v>6</v>
      </c>
      <c r="J34" s="67" t="s">
        <v>7</v>
      </c>
      <c r="K34" s="68" t="s">
        <v>8</v>
      </c>
      <c r="L34" s="68" t="s">
        <v>9</v>
      </c>
      <c r="M34" s="69" t="s">
        <v>10</v>
      </c>
      <c r="N34" s="70" t="s">
        <v>88</v>
      </c>
      <c r="O34" s="70" t="s">
        <v>6</v>
      </c>
      <c r="P34" s="67" t="s">
        <v>7</v>
      </c>
      <c r="Q34" s="68" t="s">
        <v>8</v>
      </c>
      <c r="R34" s="68" t="s">
        <v>9</v>
      </c>
      <c r="S34" s="69" t="s">
        <v>10</v>
      </c>
      <c r="T34" s="70" t="s">
        <v>88</v>
      </c>
      <c r="U34" s="70" t="s">
        <v>6</v>
      </c>
      <c r="V34" s="67" t="s">
        <v>7</v>
      </c>
      <c r="W34" s="68" t="s">
        <v>8</v>
      </c>
      <c r="X34" s="68" t="s">
        <v>9</v>
      </c>
      <c r="Y34" s="69" t="s">
        <v>10</v>
      </c>
      <c r="Z34" s="70" t="s">
        <v>88</v>
      </c>
      <c r="AA34" s="70" t="s">
        <v>6</v>
      </c>
      <c r="AB34" s="67" t="s">
        <v>7</v>
      </c>
      <c r="AC34" s="87" t="s">
        <v>15</v>
      </c>
      <c r="AD34" s="68" t="s">
        <v>9</v>
      </c>
      <c r="AE34" s="69" t="s">
        <v>10</v>
      </c>
      <c r="AF34" s="70" t="s">
        <v>88</v>
      </c>
      <c r="AG34" s="70" t="s">
        <v>6</v>
      </c>
      <c r="AH34" s="67" t="s">
        <v>7</v>
      </c>
      <c r="AI34" s="71" t="s">
        <v>8</v>
      </c>
    </row>
    <row r="35" spans="2:35" s="43" customFormat="1" ht="15.75" thickBot="1" x14ac:dyDescent="0.3">
      <c r="B35" s="95" t="s">
        <v>349</v>
      </c>
      <c r="C35" s="99" t="s">
        <v>336</v>
      </c>
      <c r="D35" s="91"/>
      <c r="E35" s="91"/>
      <c r="F35" s="99" t="s">
        <v>356</v>
      </c>
      <c r="G35" s="99" t="s">
        <v>357</v>
      </c>
      <c r="H35" s="65" t="s">
        <v>336</v>
      </c>
      <c r="I35" s="72"/>
      <c r="J35" s="72"/>
      <c r="K35" s="72"/>
      <c r="L35" s="72"/>
      <c r="M35" s="73"/>
      <c r="N35" s="65" t="s">
        <v>336</v>
      </c>
      <c r="O35" s="72"/>
      <c r="P35" s="72"/>
      <c r="Q35" s="72"/>
      <c r="R35" s="72"/>
      <c r="S35" s="73"/>
      <c r="T35" s="65" t="s">
        <v>336</v>
      </c>
      <c r="U35" s="72"/>
      <c r="V35" s="72"/>
      <c r="W35" s="72"/>
      <c r="X35" s="72"/>
      <c r="Y35" s="72"/>
      <c r="Z35" s="65" t="s">
        <v>336</v>
      </c>
      <c r="AA35" s="72"/>
      <c r="AB35" s="72"/>
      <c r="AC35" s="72"/>
      <c r="AD35" s="72"/>
      <c r="AE35" s="72"/>
      <c r="AF35" s="65" t="s">
        <v>336</v>
      </c>
      <c r="AG35" s="72"/>
      <c r="AH35" s="72"/>
      <c r="AI35" s="73"/>
    </row>
    <row r="36" spans="2:35" s="43" customFormat="1" ht="15.75" thickBot="1" x14ac:dyDescent="0.3">
      <c r="B36" s="96" t="s">
        <v>108</v>
      </c>
      <c r="C36" s="100"/>
      <c r="D36" s="92" t="str">
        <f t="array" ref="D36">INDEX(Table_Name[Name List],MATCH(B36,Table_Name[Category],0))</f>
        <v>Glutes[Exercise]</v>
      </c>
      <c r="E36" s="103" t="e">
        <f t="array" ref="E36">INDEX(Links[Link],MATCH(C36,Links[Exercise],0))</f>
        <v>#N/A</v>
      </c>
      <c r="F36" s="106" t="e">
        <f t="shared" ref="F36:F40" si="34">HYPERLINK(E36,"Video")</f>
        <v>#N/A</v>
      </c>
      <c r="G36" s="109"/>
      <c r="H36" s="75">
        <f t="shared" ref="H36:H40" si="35">C36</f>
        <v>0</v>
      </c>
      <c r="I36" s="76">
        <v>3</v>
      </c>
      <c r="J36" s="76">
        <f t="shared" ref="J36:J40" si="36">MROUND(((G36)*0.85),5)</f>
        <v>0</v>
      </c>
      <c r="K36" s="76" t="s">
        <v>11</v>
      </c>
      <c r="L36" s="76"/>
      <c r="M36" s="78"/>
      <c r="N36" s="88">
        <f t="shared" ref="N36:N40" si="37">C36</f>
        <v>0</v>
      </c>
      <c r="O36" s="76">
        <f>I36+(S20)</f>
        <v>3</v>
      </c>
      <c r="P36" s="76">
        <f t="shared" ref="P36:P40" si="38">MROUND((J36*1.05),5)</f>
        <v>0</v>
      </c>
      <c r="Q36" s="76" t="s">
        <v>11</v>
      </c>
      <c r="R36" s="76"/>
      <c r="S36" s="78"/>
      <c r="T36" s="57">
        <f t="shared" ref="T36:T40" si="39">C36</f>
        <v>0</v>
      </c>
      <c r="U36" s="76">
        <f>O36+(Y20)</f>
        <v>3</v>
      </c>
      <c r="V36" s="76">
        <f t="shared" ref="V36:V40" si="40">MROUND((J36*1.075),5)</f>
        <v>0</v>
      </c>
      <c r="W36" s="76" t="s">
        <v>12</v>
      </c>
      <c r="X36" s="76"/>
      <c r="Y36" s="78"/>
      <c r="Z36" s="75">
        <f t="shared" ref="Z36:Z40" si="41">C36</f>
        <v>0</v>
      </c>
      <c r="AA36" s="76">
        <f>U36+(AE20)</f>
        <v>3</v>
      </c>
      <c r="AB36" s="76">
        <f t="shared" ref="AB36:AB40" si="42">MROUND((J36*1.1),5)</f>
        <v>0</v>
      </c>
      <c r="AC36" s="76" t="s">
        <v>13</v>
      </c>
      <c r="AD36" s="76"/>
      <c r="AE36" s="78"/>
      <c r="AF36" s="75">
        <f t="shared" ref="AF36:AF40" si="43">C36</f>
        <v>0</v>
      </c>
      <c r="AG36" s="76">
        <v>2</v>
      </c>
      <c r="AH36" s="79">
        <f t="shared" ref="AH36:AH40" si="44">MROUND((J36*0.5),5)</f>
        <v>0</v>
      </c>
      <c r="AI36" s="77" t="s">
        <v>14</v>
      </c>
    </row>
    <row r="37" spans="2:35" s="43" customFormat="1" ht="15.75" thickBot="1" x14ac:dyDescent="0.3">
      <c r="B37" s="97" t="s">
        <v>108</v>
      </c>
      <c r="C37" s="101"/>
      <c r="D37" s="93" t="str">
        <f t="array" ref="D37">INDEX(Table_Name[Name List],MATCH(B37,Table_Name[Category],0))</f>
        <v>Glutes[Exercise]</v>
      </c>
      <c r="E37" s="104" t="e">
        <f t="array" ref="E37">INDEX(Links[Link],MATCH(C37,Links[Exercise],0))</f>
        <v>#N/A</v>
      </c>
      <c r="F37" s="107" t="e">
        <f t="shared" si="34"/>
        <v>#N/A</v>
      </c>
      <c r="G37" s="110"/>
      <c r="H37" s="75">
        <f t="shared" si="35"/>
        <v>0</v>
      </c>
      <c r="I37" s="76">
        <v>3</v>
      </c>
      <c r="J37" s="76">
        <f t="shared" si="36"/>
        <v>0</v>
      </c>
      <c r="K37" s="76" t="s">
        <v>11</v>
      </c>
      <c r="L37" s="76"/>
      <c r="M37" s="78"/>
      <c r="N37" s="88">
        <f t="shared" si="37"/>
        <v>0</v>
      </c>
      <c r="O37" s="76">
        <f>I37+(S20)</f>
        <v>3</v>
      </c>
      <c r="P37" s="76">
        <f t="shared" si="38"/>
        <v>0</v>
      </c>
      <c r="Q37" s="76" t="s">
        <v>11</v>
      </c>
      <c r="R37" s="76"/>
      <c r="S37" s="78"/>
      <c r="T37" s="57">
        <f t="shared" si="39"/>
        <v>0</v>
      </c>
      <c r="U37" s="76">
        <f>O37+(Y20)</f>
        <v>3</v>
      </c>
      <c r="V37" s="76">
        <f t="shared" si="40"/>
        <v>0</v>
      </c>
      <c r="W37" s="76" t="s">
        <v>12</v>
      </c>
      <c r="X37" s="76"/>
      <c r="Y37" s="78"/>
      <c r="Z37" s="75">
        <f t="shared" si="41"/>
        <v>0</v>
      </c>
      <c r="AA37" s="76">
        <f>U37+(AE20)</f>
        <v>3</v>
      </c>
      <c r="AB37" s="76">
        <f t="shared" si="42"/>
        <v>0</v>
      </c>
      <c r="AC37" s="76" t="s">
        <v>13</v>
      </c>
      <c r="AD37" s="76"/>
      <c r="AE37" s="78"/>
      <c r="AF37" s="75">
        <f t="shared" si="43"/>
        <v>0</v>
      </c>
      <c r="AG37" s="76">
        <v>2</v>
      </c>
      <c r="AH37" s="79">
        <f t="shared" si="44"/>
        <v>0</v>
      </c>
      <c r="AI37" s="77" t="s">
        <v>14</v>
      </c>
    </row>
    <row r="38" spans="2:35" s="43" customFormat="1" ht="15.75" thickBot="1" x14ac:dyDescent="0.3">
      <c r="B38" s="97" t="s">
        <v>107</v>
      </c>
      <c r="C38" s="101"/>
      <c r="D38" s="93" t="str">
        <f t="array" ref="D38">INDEX(Table_Name[Name List],MATCH(B38,Table_Name[Category],0))</f>
        <v>Hamstrings_Hip_Hinge[Exercise]</v>
      </c>
      <c r="E38" s="104" t="e">
        <f t="array" ref="E38">INDEX(Links[Link],MATCH(C38,Links[Exercise],0))</f>
        <v>#N/A</v>
      </c>
      <c r="F38" s="107" t="e">
        <f t="shared" si="34"/>
        <v>#N/A</v>
      </c>
      <c r="G38" s="110"/>
      <c r="H38" s="75">
        <f t="shared" si="35"/>
        <v>0</v>
      </c>
      <c r="I38" s="76">
        <v>3</v>
      </c>
      <c r="J38" s="76">
        <f t="shared" si="36"/>
        <v>0</v>
      </c>
      <c r="K38" s="76" t="s">
        <v>11</v>
      </c>
      <c r="L38" s="76"/>
      <c r="M38" s="78"/>
      <c r="N38" s="88">
        <f t="shared" si="37"/>
        <v>0</v>
      </c>
      <c r="O38" s="76">
        <f>I38+(S22)</f>
        <v>3</v>
      </c>
      <c r="P38" s="76">
        <f t="shared" si="38"/>
        <v>0</v>
      </c>
      <c r="Q38" s="76" t="s">
        <v>11</v>
      </c>
      <c r="R38" s="76"/>
      <c r="S38" s="78"/>
      <c r="T38" s="57">
        <f t="shared" si="39"/>
        <v>0</v>
      </c>
      <c r="U38" s="76">
        <f>O38+(Y22)</f>
        <v>3</v>
      </c>
      <c r="V38" s="76">
        <f t="shared" si="40"/>
        <v>0</v>
      </c>
      <c r="W38" s="76" t="s">
        <v>12</v>
      </c>
      <c r="X38" s="76"/>
      <c r="Y38" s="78"/>
      <c r="Z38" s="75">
        <f t="shared" si="41"/>
        <v>0</v>
      </c>
      <c r="AA38" s="76">
        <f>U38+(AE22)</f>
        <v>3</v>
      </c>
      <c r="AB38" s="76">
        <f t="shared" si="42"/>
        <v>0</v>
      </c>
      <c r="AC38" s="76" t="s">
        <v>13</v>
      </c>
      <c r="AD38" s="76"/>
      <c r="AE38" s="78"/>
      <c r="AF38" s="75">
        <f t="shared" si="43"/>
        <v>0</v>
      </c>
      <c r="AG38" s="76">
        <v>2</v>
      </c>
      <c r="AH38" s="79">
        <f t="shared" si="44"/>
        <v>0</v>
      </c>
      <c r="AI38" s="77" t="s">
        <v>14</v>
      </c>
    </row>
    <row r="39" spans="2:35" s="43" customFormat="1" ht="15.75" thickBot="1" x14ac:dyDescent="0.3">
      <c r="B39" s="97" t="s">
        <v>20</v>
      </c>
      <c r="C39" s="101"/>
      <c r="D39" s="93" t="str">
        <f t="array" ref="D39">INDEX(Table_Name[Name List],MATCH(B39,Table_Name[Category],0))</f>
        <v>Quads[Exercise]</v>
      </c>
      <c r="E39" s="104" t="e">
        <f t="array" ref="E39">INDEX(Links[Link],MATCH(C39,Links[Exercise],0))</f>
        <v>#N/A</v>
      </c>
      <c r="F39" s="107" t="e">
        <f t="shared" si="34"/>
        <v>#N/A</v>
      </c>
      <c r="G39" s="110"/>
      <c r="H39" s="75">
        <f t="shared" si="35"/>
        <v>0</v>
      </c>
      <c r="I39" s="76">
        <v>3</v>
      </c>
      <c r="J39" s="76">
        <f t="shared" si="36"/>
        <v>0</v>
      </c>
      <c r="K39" s="76" t="s">
        <v>11</v>
      </c>
      <c r="L39" s="76"/>
      <c r="M39" s="78"/>
      <c r="N39" s="88">
        <f t="shared" si="37"/>
        <v>0</v>
      </c>
      <c r="O39" s="76">
        <f>I39+(S20)</f>
        <v>3</v>
      </c>
      <c r="P39" s="76">
        <f t="shared" si="38"/>
        <v>0</v>
      </c>
      <c r="Q39" s="76" t="s">
        <v>11</v>
      </c>
      <c r="R39" s="76"/>
      <c r="S39" s="78"/>
      <c r="T39" s="57">
        <f t="shared" si="39"/>
        <v>0</v>
      </c>
      <c r="U39" s="76">
        <f>O39+(Y20)</f>
        <v>3</v>
      </c>
      <c r="V39" s="76">
        <f t="shared" si="40"/>
        <v>0</v>
      </c>
      <c r="W39" s="76" t="s">
        <v>12</v>
      </c>
      <c r="X39" s="76"/>
      <c r="Y39" s="78"/>
      <c r="Z39" s="75">
        <f t="shared" si="41"/>
        <v>0</v>
      </c>
      <c r="AA39" s="76">
        <f>U39+(AE20)</f>
        <v>3</v>
      </c>
      <c r="AB39" s="76">
        <f t="shared" si="42"/>
        <v>0</v>
      </c>
      <c r="AC39" s="76" t="s">
        <v>13</v>
      </c>
      <c r="AD39" s="76"/>
      <c r="AE39" s="78"/>
      <c r="AF39" s="75">
        <f t="shared" si="43"/>
        <v>0</v>
      </c>
      <c r="AG39" s="76">
        <v>2</v>
      </c>
      <c r="AH39" s="79">
        <f t="shared" si="44"/>
        <v>0</v>
      </c>
      <c r="AI39" s="77" t="s">
        <v>14</v>
      </c>
    </row>
    <row r="40" spans="2:35" s="43" customFormat="1" ht="15.75" thickBot="1" x14ac:dyDescent="0.3">
      <c r="B40" s="98" t="s">
        <v>19</v>
      </c>
      <c r="C40" s="102"/>
      <c r="D40" s="94" t="str">
        <f t="array" ref="D40">INDEX(Table_Name[Name List],MATCH(B40,Table_Name[Category],0))</f>
        <v>Calves[Exercise]</v>
      </c>
      <c r="E40" s="105" t="e">
        <f t="array" ref="E40">INDEX(Links[Link],MATCH(C40,Links[Exercise],0))</f>
        <v>#N/A</v>
      </c>
      <c r="F40" s="108" t="e">
        <f t="shared" si="34"/>
        <v>#N/A</v>
      </c>
      <c r="G40" s="111"/>
      <c r="H40" s="81">
        <f t="shared" si="35"/>
        <v>0</v>
      </c>
      <c r="I40" s="82">
        <v>6</v>
      </c>
      <c r="J40" s="82">
        <f t="shared" si="36"/>
        <v>0</v>
      </c>
      <c r="K40" s="82" t="s">
        <v>11</v>
      </c>
      <c r="L40" s="82"/>
      <c r="M40" s="78"/>
      <c r="N40" s="81">
        <f t="shared" si="37"/>
        <v>0</v>
      </c>
      <c r="O40" s="82">
        <f>I40+(S23)</f>
        <v>6</v>
      </c>
      <c r="P40" s="82">
        <f t="shared" si="38"/>
        <v>0</v>
      </c>
      <c r="Q40" s="82" t="s">
        <v>11</v>
      </c>
      <c r="R40" s="82"/>
      <c r="S40" s="78"/>
      <c r="T40" s="83">
        <f t="shared" si="39"/>
        <v>0</v>
      </c>
      <c r="U40" s="82">
        <f>O40+(Y23)</f>
        <v>6</v>
      </c>
      <c r="V40" s="82">
        <f t="shared" si="40"/>
        <v>0</v>
      </c>
      <c r="W40" s="82" t="s">
        <v>12</v>
      </c>
      <c r="X40" s="82"/>
      <c r="Y40" s="78"/>
      <c r="Z40" s="81">
        <f t="shared" si="41"/>
        <v>0</v>
      </c>
      <c r="AA40" s="82">
        <f>U40+(AE23)</f>
        <v>6</v>
      </c>
      <c r="AB40" s="82">
        <f t="shared" si="42"/>
        <v>0</v>
      </c>
      <c r="AC40" s="82" t="s">
        <v>13</v>
      </c>
      <c r="AD40" s="82"/>
      <c r="AE40" s="78"/>
      <c r="AF40" s="81">
        <f t="shared" si="43"/>
        <v>0</v>
      </c>
      <c r="AG40" s="82">
        <v>2</v>
      </c>
      <c r="AH40" s="84">
        <f t="shared" si="44"/>
        <v>0</v>
      </c>
      <c r="AI40" s="64" t="s">
        <v>14</v>
      </c>
    </row>
    <row r="41" spans="2:35" s="43" customFormat="1" ht="19.5" thickBot="1" x14ac:dyDescent="0.3">
      <c r="B41" s="86" t="s">
        <v>350</v>
      </c>
      <c r="C41" s="57"/>
      <c r="D41" s="57"/>
      <c r="E41" s="85"/>
      <c r="F41" s="56"/>
      <c r="G41" s="62"/>
      <c r="H41" s="168" t="s">
        <v>1</v>
      </c>
      <c r="I41" s="169"/>
      <c r="J41" s="169"/>
      <c r="K41" s="169"/>
      <c r="L41" s="169"/>
      <c r="M41" s="170"/>
      <c r="N41" s="171" t="s">
        <v>2</v>
      </c>
      <c r="O41" s="172"/>
      <c r="P41" s="172"/>
      <c r="Q41" s="172"/>
      <c r="R41" s="172"/>
      <c r="S41" s="173"/>
      <c r="T41" s="174" t="s">
        <v>3</v>
      </c>
      <c r="U41" s="175"/>
      <c r="V41" s="175"/>
      <c r="W41" s="175"/>
      <c r="X41" s="175"/>
      <c r="Y41" s="176"/>
      <c r="Z41" s="177" t="s">
        <v>4</v>
      </c>
      <c r="AA41" s="178"/>
      <c r="AB41" s="178"/>
      <c r="AC41" s="178"/>
      <c r="AD41" s="178"/>
      <c r="AE41" s="179"/>
      <c r="AF41" s="180" t="s">
        <v>5</v>
      </c>
      <c r="AG41" s="181"/>
      <c r="AH41" s="181"/>
      <c r="AI41" s="182"/>
    </row>
    <row r="42" spans="2:35" s="43" customFormat="1" ht="15.75" thickBot="1" x14ac:dyDescent="0.3">
      <c r="B42" s="37"/>
      <c r="C42" s="57"/>
      <c r="D42" s="57"/>
      <c r="E42" s="85"/>
      <c r="F42" s="56"/>
      <c r="G42" s="57"/>
      <c r="H42" s="65" t="s">
        <v>88</v>
      </c>
      <c r="I42" s="66" t="s">
        <v>6</v>
      </c>
      <c r="J42" s="67" t="s">
        <v>7</v>
      </c>
      <c r="K42" s="68" t="s">
        <v>8</v>
      </c>
      <c r="L42" s="68" t="s">
        <v>9</v>
      </c>
      <c r="M42" s="69" t="s">
        <v>10</v>
      </c>
      <c r="N42" s="70" t="s">
        <v>88</v>
      </c>
      <c r="O42" s="70" t="s">
        <v>6</v>
      </c>
      <c r="P42" s="67" t="s">
        <v>7</v>
      </c>
      <c r="Q42" s="68" t="s">
        <v>8</v>
      </c>
      <c r="R42" s="68" t="s">
        <v>9</v>
      </c>
      <c r="S42" s="69" t="s">
        <v>10</v>
      </c>
      <c r="T42" s="70" t="s">
        <v>88</v>
      </c>
      <c r="U42" s="70" t="s">
        <v>6</v>
      </c>
      <c r="V42" s="67" t="s">
        <v>7</v>
      </c>
      <c r="W42" s="68" t="s">
        <v>8</v>
      </c>
      <c r="X42" s="68" t="s">
        <v>9</v>
      </c>
      <c r="Y42" s="69" t="s">
        <v>10</v>
      </c>
      <c r="Z42" s="70" t="s">
        <v>88</v>
      </c>
      <c r="AA42" s="70" t="s">
        <v>6</v>
      </c>
      <c r="AB42" s="67" t="s">
        <v>7</v>
      </c>
      <c r="AC42" s="87" t="s">
        <v>15</v>
      </c>
      <c r="AD42" s="68" t="s">
        <v>9</v>
      </c>
      <c r="AE42" s="69" t="s">
        <v>10</v>
      </c>
      <c r="AF42" s="70" t="s">
        <v>88</v>
      </c>
      <c r="AG42" s="70" t="s">
        <v>6</v>
      </c>
      <c r="AH42" s="67" t="s">
        <v>7</v>
      </c>
      <c r="AI42" s="71" t="s">
        <v>8</v>
      </c>
    </row>
    <row r="43" spans="2:35" s="43" customFormat="1" ht="15.75" thickBot="1" x14ac:dyDescent="0.3">
      <c r="B43" s="95" t="s">
        <v>351</v>
      </c>
      <c r="C43" s="99" t="s">
        <v>341</v>
      </c>
      <c r="D43" s="91"/>
      <c r="E43" s="91"/>
      <c r="F43" s="99" t="s">
        <v>356</v>
      </c>
      <c r="G43" s="99" t="s">
        <v>357</v>
      </c>
      <c r="H43" s="65" t="s">
        <v>341</v>
      </c>
      <c r="I43" s="72"/>
      <c r="J43" s="72"/>
      <c r="K43" s="72"/>
      <c r="L43" s="72"/>
      <c r="M43" s="73"/>
      <c r="N43" s="65" t="s">
        <v>341</v>
      </c>
      <c r="O43" s="72"/>
      <c r="P43" s="72"/>
      <c r="Q43" s="72"/>
      <c r="R43" s="72"/>
      <c r="S43" s="73"/>
      <c r="T43" s="65" t="s">
        <v>341</v>
      </c>
      <c r="U43" s="72"/>
      <c r="V43" s="72"/>
      <c r="W43" s="72"/>
      <c r="X43" s="72"/>
      <c r="Y43" s="72"/>
      <c r="Z43" s="65" t="s">
        <v>341</v>
      </c>
      <c r="AA43" s="72"/>
      <c r="AB43" s="72"/>
      <c r="AC43" s="72"/>
      <c r="AD43" s="72"/>
      <c r="AE43" s="72"/>
      <c r="AF43" s="65" t="s">
        <v>341</v>
      </c>
      <c r="AG43" s="72"/>
      <c r="AH43" s="72"/>
      <c r="AI43" s="73"/>
    </row>
    <row r="44" spans="2:35" s="43" customFormat="1" ht="15.75" thickBot="1" x14ac:dyDescent="0.3">
      <c r="B44" s="96" t="s">
        <v>18</v>
      </c>
      <c r="C44" s="100"/>
      <c r="D44" s="92" t="str">
        <f t="array" ref="D44">INDEX(Table_Name[Name List],MATCH(B44,Table_Name[Category],0))</f>
        <v>Biceps[Exercise]</v>
      </c>
      <c r="E44" s="103" t="e">
        <f t="array" ref="E44">INDEX(Links[Link],MATCH(C44,Links[Exercise],0))</f>
        <v>#N/A</v>
      </c>
      <c r="F44" s="106" t="e">
        <f t="shared" ref="F44:F50" si="45">HYPERLINK(E44,"Video")</f>
        <v>#N/A</v>
      </c>
      <c r="G44" s="109"/>
      <c r="H44" s="75">
        <f t="shared" ref="H44:H50" si="46">C44</f>
        <v>0</v>
      </c>
      <c r="I44" s="76">
        <v>3</v>
      </c>
      <c r="J44" s="76">
        <f t="shared" ref="J44:J50" si="47">MROUND(((G44)*0.85),5)</f>
        <v>0</v>
      </c>
      <c r="K44" s="76" t="s">
        <v>11</v>
      </c>
      <c r="L44" s="76"/>
      <c r="M44" s="78"/>
      <c r="N44" s="88">
        <f t="shared" ref="N44:N50" si="48">C44</f>
        <v>0</v>
      </c>
      <c r="O44" s="76">
        <f>I44+(S14)</f>
        <v>3</v>
      </c>
      <c r="P44" s="76">
        <f t="shared" ref="P44:P50" si="49">MROUND((J44*1.05),5)</f>
        <v>0</v>
      </c>
      <c r="Q44" s="76" t="s">
        <v>11</v>
      </c>
      <c r="R44" s="76"/>
      <c r="S44" s="78"/>
      <c r="T44" s="57">
        <f t="shared" ref="T44:T50" si="50">C44</f>
        <v>0</v>
      </c>
      <c r="U44" s="76">
        <f>O44+(Y14)</f>
        <v>3</v>
      </c>
      <c r="V44" s="76">
        <f t="shared" ref="V44:V50" si="51">MROUND((J44*1.075),5)</f>
        <v>0</v>
      </c>
      <c r="W44" s="76" t="s">
        <v>12</v>
      </c>
      <c r="X44" s="76"/>
      <c r="Y44" s="78"/>
      <c r="Z44" s="75">
        <f t="shared" ref="Z44:Z50" si="52">C44</f>
        <v>0</v>
      </c>
      <c r="AA44" s="76">
        <f>U44+(AE14)</f>
        <v>3</v>
      </c>
      <c r="AB44" s="76">
        <f t="shared" ref="AB44:AB50" si="53">MROUND((J44*1.1),5)</f>
        <v>0</v>
      </c>
      <c r="AC44" s="76" t="s">
        <v>13</v>
      </c>
      <c r="AD44" s="76"/>
      <c r="AE44" s="77"/>
      <c r="AF44" s="75">
        <f t="shared" ref="AF44:AF50" si="54">C44</f>
        <v>0</v>
      </c>
      <c r="AG44" s="76">
        <v>2</v>
      </c>
      <c r="AH44" s="79">
        <f t="shared" ref="AH44:AH50" si="55">MROUND((J44*0.5),5)</f>
        <v>0</v>
      </c>
      <c r="AI44" s="77" t="s">
        <v>14</v>
      </c>
    </row>
    <row r="45" spans="2:35" s="43" customFormat="1" ht="15.75" thickBot="1" x14ac:dyDescent="0.3">
      <c r="B45" s="97" t="s">
        <v>17</v>
      </c>
      <c r="C45" s="101"/>
      <c r="D45" s="93" t="str">
        <f t="array" ref="D45">INDEX(Table_Name[Name List],MATCH(B45,Table_Name[Category],0))</f>
        <v>Triceps[Exercise]</v>
      </c>
      <c r="E45" s="104" t="e">
        <f t="array" ref="E45">INDEX(Links[Link],MATCH(C45,Links[Exercise],0))</f>
        <v>#N/A</v>
      </c>
      <c r="F45" s="107" t="e">
        <f t="shared" si="45"/>
        <v>#N/A</v>
      </c>
      <c r="G45" s="110"/>
      <c r="H45" s="75">
        <f t="shared" si="46"/>
        <v>0</v>
      </c>
      <c r="I45" s="76">
        <v>3</v>
      </c>
      <c r="J45" s="76">
        <f t="shared" si="47"/>
        <v>0</v>
      </c>
      <c r="K45" s="76" t="s">
        <v>11</v>
      </c>
      <c r="L45" s="76"/>
      <c r="M45" s="78"/>
      <c r="N45" s="88">
        <f t="shared" si="48"/>
        <v>0</v>
      </c>
      <c r="O45" s="76">
        <f>I45+(S11)</f>
        <v>3</v>
      </c>
      <c r="P45" s="76">
        <f t="shared" si="49"/>
        <v>0</v>
      </c>
      <c r="Q45" s="76" t="s">
        <v>11</v>
      </c>
      <c r="R45" s="76"/>
      <c r="S45" s="78"/>
      <c r="T45" s="57">
        <f t="shared" si="50"/>
        <v>0</v>
      </c>
      <c r="U45" s="76">
        <f>O45+(Y11)</f>
        <v>3</v>
      </c>
      <c r="V45" s="76">
        <f t="shared" si="51"/>
        <v>0</v>
      </c>
      <c r="W45" s="76" t="s">
        <v>12</v>
      </c>
      <c r="X45" s="76"/>
      <c r="Y45" s="78"/>
      <c r="Z45" s="75">
        <f t="shared" si="52"/>
        <v>0</v>
      </c>
      <c r="AA45" s="76">
        <f>U45+(AE11)</f>
        <v>3</v>
      </c>
      <c r="AB45" s="76">
        <f t="shared" si="53"/>
        <v>0</v>
      </c>
      <c r="AC45" s="76" t="s">
        <v>13</v>
      </c>
      <c r="AD45" s="76"/>
      <c r="AE45" s="77"/>
      <c r="AF45" s="75">
        <f t="shared" si="54"/>
        <v>0</v>
      </c>
      <c r="AG45" s="76">
        <v>2</v>
      </c>
      <c r="AH45" s="79">
        <f t="shared" si="55"/>
        <v>0</v>
      </c>
      <c r="AI45" s="77" t="s">
        <v>14</v>
      </c>
    </row>
    <row r="46" spans="2:35" s="43" customFormat="1" ht="15.75" thickBot="1" x14ac:dyDescent="0.3">
      <c r="B46" s="97" t="s">
        <v>104</v>
      </c>
      <c r="C46" s="101"/>
      <c r="D46" s="93" t="str">
        <f t="array" ref="D46">INDEX(Table_Name[Name List],MATCH(B46,Table_Name[Category],0))</f>
        <v>Front_Delts[Exercise]</v>
      </c>
      <c r="E46" s="104" t="e">
        <f t="array" ref="E46">INDEX(Links[Link],MATCH(C46,Links[Exercise],0))</f>
        <v>#N/A</v>
      </c>
      <c r="F46" s="107" t="e">
        <f t="shared" si="45"/>
        <v>#N/A</v>
      </c>
      <c r="G46" s="110"/>
      <c r="H46" s="75">
        <f t="shared" si="46"/>
        <v>0</v>
      </c>
      <c r="I46" s="76">
        <v>3</v>
      </c>
      <c r="J46" s="76">
        <f t="shared" si="47"/>
        <v>0</v>
      </c>
      <c r="K46" s="76" t="s">
        <v>11</v>
      </c>
      <c r="L46" s="76"/>
      <c r="M46" s="78"/>
      <c r="N46" s="88">
        <f t="shared" si="48"/>
        <v>0</v>
      </c>
      <c r="O46" s="76">
        <f>I46+(S11)</f>
        <v>3</v>
      </c>
      <c r="P46" s="76">
        <f t="shared" si="49"/>
        <v>0</v>
      </c>
      <c r="Q46" s="76" t="s">
        <v>11</v>
      </c>
      <c r="R46" s="76"/>
      <c r="S46" s="78"/>
      <c r="T46" s="57">
        <f t="shared" si="50"/>
        <v>0</v>
      </c>
      <c r="U46" s="76">
        <f>O46+(Y11)</f>
        <v>3</v>
      </c>
      <c r="V46" s="76">
        <f t="shared" si="51"/>
        <v>0</v>
      </c>
      <c r="W46" s="76" t="s">
        <v>12</v>
      </c>
      <c r="X46" s="76"/>
      <c r="Y46" s="78"/>
      <c r="Z46" s="75">
        <f t="shared" si="52"/>
        <v>0</v>
      </c>
      <c r="AA46" s="76">
        <f>U46+(AE11)</f>
        <v>3</v>
      </c>
      <c r="AB46" s="76">
        <f t="shared" si="53"/>
        <v>0</v>
      </c>
      <c r="AC46" s="76" t="s">
        <v>13</v>
      </c>
      <c r="AD46" s="76"/>
      <c r="AE46" s="77"/>
      <c r="AF46" s="75">
        <f t="shared" si="54"/>
        <v>0</v>
      </c>
      <c r="AG46" s="76">
        <v>2</v>
      </c>
      <c r="AH46" s="79">
        <f t="shared" si="55"/>
        <v>0</v>
      </c>
      <c r="AI46" s="77" t="s">
        <v>14</v>
      </c>
    </row>
    <row r="47" spans="2:35" s="43" customFormat="1" ht="15.75" thickBot="1" x14ac:dyDescent="0.3">
      <c r="B47" s="97" t="s">
        <v>120</v>
      </c>
      <c r="C47" s="101"/>
      <c r="D47" s="93" t="str">
        <f t="array" ref="D47">INDEX(Table_Name[Name List],MATCH(B47,Table_Name[Category],0))</f>
        <v>Traps[Exercise]</v>
      </c>
      <c r="E47" s="104" t="e">
        <f t="array" ref="E47">INDEX(Links[Link],MATCH(C47,Links[Exercise],0))</f>
        <v>#N/A</v>
      </c>
      <c r="F47" s="107" t="e">
        <f t="shared" si="45"/>
        <v>#N/A</v>
      </c>
      <c r="G47" s="110"/>
      <c r="H47" s="75">
        <f t="shared" si="46"/>
        <v>0</v>
      </c>
      <c r="I47" s="76">
        <v>3</v>
      </c>
      <c r="J47" s="76">
        <f t="shared" si="47"/>
        <v>0</v>
      </c>
      <c r="K47" s="76" t="s">
        <v>11</v>
      </c>
      <c r="L47" s="76"/>
      <c r="M47" s="78"/>
      <c r="N47" s="88">
        <f t="shared" si="48"/>
        <v>0</v>
      </c>
      <c r="O47" s="76">
        <f>I47+(S15)</f>
        <v>3</v>
      </c>
      <c r="P47" s="76">
        <f t="shared" si="49"/>
        <v>0</v>
      </c>
      <c r="Q47" s="76" t="s">
        <v>11</v>
      </c>
      <c r="R47" s="76"/>
      <c r="S47" s="78"/>
      <c r="T47" s="57">
        <f t="shared" si="50"/>
        <v>0</v>
      </c>
      <c r="U47" s="76">
        <f>O47+(Y15)</f>
        <v>3</v>
      </c>
      <c r="V47" s="76">
        <f t="shared" si="51"/>
        <v>0</v>
      </c>
      <c r="W47" s="76" t="s">
        <v>12</v>
      </c>
      <c r="X47" s="76"/>
      <c r="Y47" s="78"/>
      <c r="Z47" s="75">
        <f t="shared" si="52"/>
        <v>0</v>
      </c>
      <c r="AA47" s="76">
        <f>U47+(AE15)</f>
        <v>3</v>
      </c>
      <c r="AB47" s="76">
        <f t="shared" si="53"/>
        <v>0</v>
      </c>
      <c r="AC47" s="76" t="s">
        <v>13</v>
      </c>
      <c r="AD47" s="76"/>
      <c r="AE47" s="77"/>
      <c r="AF47" s="75">
        <f t="shared" si="54"/>
        <v>0</v>
      </c>
      <c r="AG47" s="76">
        <v>2</v>
      </c>
      <c r="AH47" s="79">
        <f t="shared" si="55"/>
        <v>0</v>
      </c>
      <c r="AI47" s="77" t="s">
        <v>14</v>
      </c>
    </row>
    <row r="48" spans="2:35" s="43" customFormat="1" ht="15.75" thickBot="1" x14ac:dyDescent="0.3">
      <c r="B48" s="97" t="s">
        <v>339</v>
      </c>
      <c r="C48" s="101"/>
      <c r="D48" s="93" t="str">
        <f t="array" ref="D48">INDEX(Table_Name[Name List],MATCH(B48,Table_Name[Category],0))</f>
        <v>Vertical_Back[Exercise]</v>
      </c>
      <c r="E48" s="104" t="e">
        <f t="array" ref="E48">INDEX(Links[Link],MATCH(C48,Links[Exercise],0))</f>
        <v>#N/A</v>
      </c>
      <c r="F48" s="107" t="e">
        <f t="shared" si="45"/>
        <v>#N/A</v>
      </c>
      <c r="G48" s="110"/>
      <c r="H48" s="75">
        <f t="shared" si="46"/>
        <v>0</v>
      </c>
      <c r="I48" s="76">
        <v>3</v>
      </c>
      <c r="J48" s="76">
        <f t="shared" si="47"/>
        <v>0</v>
      </c>
      <c r="K48" s="76" t="s">
        <v>11</v>
      </c>
      <c r="L48" s="76"/>
      <c r="M48" s="78"/>
      <c r="N48" s="88">
        <f t="shared" si="48"/>
        <v>0</v>
      </c>
      <c r="O48" s="76">
        <f>I48+(S14)</f>
        <v>3</v>
      </c>
      <c r="P48" s="76">
        <f t="shared" si="49"/>
        <v>0</v>
      </c>
      <c r="Q48" s="76" t="s">
        <v>11</v>
      </c>
      <c r="R48" s="76"/>
      <c r="S48" s="78"/>
      <c r="T48" s="57">
        <f t="shared" si="50"/>
        <v>0</v>
      </c>
      <c r="U48" s="76">
        <f>O48+(Y14)</f>
        <v>3</v>
      </c>
      <c r="V48" s="76">
        <f t="shared" si="51"/>
        <v>0</v>
      </c>
      <c r="W48" s="76" t="s">
        <v>12</v>
      </c>
      <c r="X48" s="76"/>
      <c r="Y48" s="78"/>
      <c r="Z48" s="75">
        <f t="shared" si="52"/>
        <v>0</v>
      </c>
      <c r="AA48" s="76">
        <f>U48+(AE14)</f>
        <v>3</v>
      </c>
      <c r="AB48" s="76">
        <f t="shared" si="53"/>
        <v>0</v>
      </c>
      <c r="AC48" s="76" t="s">
        <v>13</v>
      </c>
      <c r="AD48" s="76"/>
      <c r="AE48" s="77"/>
      <c r="AF48" s="75">
        <f t="shared" si="54"/>
        <v>0</v>
      </c>
      <c r="AG48" s="76">
        <v>2</v>
      </c>
      <c r="AH48" s="79">
        <f t="shared" si="55"/>
        <v>0</v>
      </c>
      <c r="AI48" s="77" t="s">
        <v>14</v>
      </c>
    </row>
    <row r="49" spans="2:35" s="43" customFormat="1" ht="15.75" thickBot="1" x14ac:dyDescent="0.3">
      <c r="B49" s="97" t="s">
        <v>343</v>
      </c>
      <c r="C49" s="101"/>
      <c r="D49" s="93" t="str">
        <f t="array" ref="D49">INDEX(Table_Name[Name List],MATCH(B49,Table_Name[Category],0))</f>
        <v>Incline_Push[Exercise]</v>
      </c>
      <c r="E49" s="104" t="e">
        <f t="array" ref="E49">INDEX(Links[Link],MATCH(C49,Links[Exercise],0))</f>
        <v>#N/A</v>
      </c>
      <c r="F49" s="107" t="e">
        <f t="shared" si="45"/>
        <v>#N/A</v>
      </c>
      <c r="G49" s="110"/>
      <c r="H49" s="75">
        <f t="shared" si="46"/>
        <v>0</v>
      </c>
      <c r="I49" s="76">
        <v>3</v>
      </c>
      <c r="J49" s="76">
        <f t="shared" si="47"/>
        <v>0</v>
      </c>
      <c r="K49" s="76" t="s">
        <v>11</v>
      </c>
      <c r="L49" s="76"/>
      <c r="M49" s="78"/>
      <c r="N49" s="88">
        <f t="shared" si="48"/>
        <v>0</v>
      </c>
      <c r="O49" s="76">
        <f>I49+(S11)</f>
        <v>3</v>
      </c>
      <c r="P49" s="76">
        <f t="shared" si="49"/>
        <v>0</v>
      </c>
      <c r="Q49" s="76" t="s">
        <v>11</v>
      </c>
      <c r="R49" s="76"/>
      <c r="S49" s="78"/>
      <c r="T49" s="57">
        <f t="shared" si="50"/>
        <v>0</v>
      </c>
      <c r="U49" s="76">
        <f>O49+(Y11)</f>
        <v>3</v>
      </c>
      <c r="V49" s="76">
        <f t="shared" si="51"/>
        <v>0</v>
      </c>
      <c r="W49" s="76" t="s">
        <v>12</v>
      </c>
      <c r="X49" s="76"/>
      <c r="Y49" s="78"/>
      <c r="Z49" s="75">
        <f t="shared" si="52"/>
        <v>0</v>
      </c>
      <c r="AA49" s="76">
        <f>U49+(AE11)</f>
        <v>3</v>
      </c>
      <c r="AB49" s="76">
        <f t="shared" si="53"/>
        <v>0</v>
      </c>
      <c r="AC49" s="76" t="s">
        <v>13</v>
      </c>
      <c r="AD49" s="76"/>
      <c r="AE49" s="77"/>
      <c r="AF49" s="75">
        <f t="shared" si="54"/>
        <v>0</v>
      </c>
      <c r="AG49" s="76">
        <v>2</v>
      </c>
      <c r="AH49" s="79">
        <f t="shared" si="55"/>
        <v>0</v>
      </c>
      <c r="AI49" s="77" t="s">
        <v>14</v>
      </c>
    </row>
    <row r="50" spans="2:35" s="43" customFormat="1" ht="15.75" thickBot="1" x14ac:dyDescent="0.3">
      <c r="B50" s="98" t="s">
        <v>77</v>
      </c>
      <c r="C50" s="102"/>
      <c r="D50" s="93" t="str">
        <f t="array" ref="D50">INDEX(Table_Name[Name List],MATCH(B50,Table_Name[Category],0))</f>
        <v>Abs[Exercise]</v>
      </c>
      <c r="E50" s="104" t="e">
        <f t="array" ref="E50">INDEX(Links[Link],MATCH(C50,Links[Exercise],0))</f>
        <v>#N/A</v>
      </c>
      <c r="F50" s="108" t="e">
        <f t="shared" si="45"/>
        <v>#N/A</v>
      </c>
      <c r="G50" s="111"/>
      <c r="H50" s="81">
        <f t="shared" si="46"/>
        <v>0</v>
      </c>
      <c r="I50" s="82">
        <v>3</v>
      </c>
      <c r="J50" s="82">
        <f t="shared" si="47"/>
        <v>0</v>
      </c>
      <c r="K50" s="82" t="s">
        <v>11</v>
      </c>
      <c r="L50" s="82"/>
      <c r="M50" s="78"/>
      <c r="N50" s="81">
        <f t="shared" si="48"/>
        <v>0</v>
      </c>
      <c r="O50" s="82">
        <f>I50+(S16)</f>
        <v>3</v>
      </c>
      <c r="P50" s="82">
        <f t="shared" si="49"/>
        <v>0</v>
      </c>
      <c r="Q50" s="82" t="s">
        <v>11</v>
      </c>
      <c r="R50" s="82"/>
      <c r="S50" s="78"/>
      <c r="T50" s="83">
        <f t="shared" si="50"/>
        <v>0</v>
      </c>
      <c r="U50" s="82">
        <f>O50+(Y16)</f>
        <v>3</v>
      </c>
      <c r="V50" s="82">
        <f t="shared" si="51"/>
        <v>0</v>
      </c>
      <c r="W50" s="82" t="s">
        <v>12</v>
      </c>
      <c r="X50" s="82"/>
      <c r="Y50" s="78"/>
      <c r="Z50" s="81">
        <f t="shared" si="52"/>
        <v>0</v>
      </c>
      <c r="AA50" s="82">
        <f>U50+(AE16)</f>
        <v>3</v>
      </c>
      <c r="AB50" s="82">
        <f t="shared" si="53"/>
        <v>0</v>
      </c>
      <c r="AC50" s="82" t="s">
        <v>13</v>
      </c>
      <c r="AD50" s="82"/>
      <c r="AE50" s="64"/>
      <c r="AF50" s="81">
        <f t="shared" si="54"/>
        <v>0</v>
      </c>
      <c r="AG50" s="82">
        <v>2</v>
      </c>
      <c r="AH50" s="84">
        <f t="shared" si="55"/>
        <v>0</v>
      </c>
      <c r="AI50" s="64" t="s">
        <v>14</v>
      </c>
    </row>
    <row r="51" spans="2:35" s="43" customFormat="1" x14ac:dyDescent="0.25">
      <c r="B51"/>
      <c r="C51" s="60"/>
      <c r="D51" s="35"/>
      <c r="E51" s="55"/>
      <c r="F51" s="56"/>
      <c r="G51" s="61"/>
      <c r="H51" s="35"/>
      <c r="I51" s="4"/>
      <c r="J51" s="4"/>
      <c r="K51" s="4"/>
      <c r="L51" s="4"/>
      <c r="M51" s="4"/>
      <c r="N51" s="35"/>
      <c r="O51" s="4"/>
      <c r="P51" s="4"/>
      <c r="Q51" s="4"/>
      <c r="R51" s="4"/>
      <c r="S51" s="4"/>
      <c r="T51" s="35"/>
      <c r="U51" s="4"/>
      <c r="V51" s="4"/>
      <c r="W51" s="4"/>
      <c r="X51" s="4"/>
      <c r="Y51" s="4"/>
      <c r="Z51" s="35"/>
      <c r="AA51" s="4"/>
      <c r="AB51" s="4"/>
      <c r="AC51" s="4"/>
      <c r="AD51" s="4"/>
      <c r="AE51" s="4"/>
      <c r="AF51" s="35"/>
      <c r="AG51" s="4"/>
      <c r="AH51" s="4"/>
      <c r="AI51" s="4"/>
    </row>
    <row r="52" spans="2:35" s="43" customFormat="1" x14ac:dyDescent="0.25">
      <c r="B52" s="17" t="s">
        <v>352</v>
      </c>
      <c r="C52" s="35"/>
      <c r="D52" s="35"/>
      <c r="E52" s="55"/>
      <c r="F52" s="56"/>
      <c r="G52" s="57"/>
      <c r="H52" s="35"/>
      <c r="I52" s="4"/>
      <c r="J52" s="4"/>
      <c r="K52" s="4"/>
      <c r="L52" s="4"/>
      <c r="M52" s="4"/>
      <c r="N52" s="35"/>
      <c r="O52" s="4"/>
      <c r="P52" s="4"/>
      <c r="Q52" s="4"/>
      <c r="R52" s="4"/>
      <c r="S52" s="4"/>
      <c r="T52" s="35"/>
      <c r="U52" s="4"/>
      <c r="V52" s="4"/>
      <c r="W52" s="4"/>
      <c r="X52" s="4"/>
      <c r="Y52" s="4"/>
      <c r="Z52" s="35"/>
      <c r="AA52" s="4"/>
      <c r="AB52" s="4"/>
      <c r="AC52" s="4"/>
      <c r="AD52" s="4"/>
      <c r="AE52" s="4"/>
      <c r="AF52" s="35"/>
      <c r="AG52" s="4"/>
      <c r="AH52" s="4"/>
      <c r="AI52" s="4"/>
    </row>
    <row r="53" spans="2:35" s="43" customFormat="1" x14ac:dyDescent="0.25">
      <c r="B53" s="17"/>
      <c r="C53" s="35"/>
      <c r="D53" s="35"/>
      <c r="E53" s="55"/>
      <c r="F53" s="56"/>
      <c r="G53" s="57"/>
      <c r="H53" s="35"/>
      <c r="I53" s="4"/>
      <c r="J53" s="4"/>
      <c r="K53" s="4"/>
      <c r="L53" s="4"/>
      <c r="M53" s="4"/>
      <c r="N53" s="35"/>
      <c r="O53" s="4"/>
      <c r="P53" s="4"/>
      <c r="Q53" s="4"/>
      <c r="R53" s="4"/>
      <c r="S53" s="4"/>
      <c r="T53" s="35"/>
      <c r="U53" s="4"/>
      <c r="V53" s="4"/>
      <c r="W53" s="4"/>
      <c r="X53" s="4"/>
      <c r="Y53" s="4"/>
      <c r="Z53" s="35"/>
      <c r="AA53" s="4"/>
      <c r="AB53" s="4"/>
      <c r="AC53" s="4"/>
      <c r="AD53" s="4"/>
      <c r="AE53" s="4"/>
      <c r="AF53" s="35"/>
      <c r="AG53" s="4"/>
      <c r="AH53" s="4"/>
      <c r="AI53" s="4"/>
    </row>
    <row r="54" spans="2:35" s="43" customFormat="1" x14ac:dyDescent="0.25">
      <c r="B54" s="17"/>
      <c r="C54" s="35"/>
      <c r="D54" s="35"/>
      <c r="E54" s="55"/>
      <c r="F54" s="56"/>
      <c r="G54" s="57"/>
      <c r="H54" s="35"/>
      <c r="I54" s="4"/>
      <c r="J54" s="4"/>
      <c r="K54" s="4"/>
      <c r="L54" s="4"/>
      <c r="M54" s="4"/>
      <c r="N54" s="35"/>
      <c r="O54" s="4"/>
      <c r="P54" s="4"/>
      <c r="Q54" s="4"/>
      <c r="R54" s="4"/>
      <c r="S54" s="4"/>
      <c r="T54" s="35"/>
      <c r="U54" s="4"/>
      <c r="V54" s="4"/>
      <c r="W54" s="4"/>
      <c r="X54" s="4"/>
      <c r="Y54" s="4"/>
      <c r="Z54" s="35"/>
      <c r="AA54" s="4"/>
      <c r="AB54" s="4"/>
      <c r="AC54" s="4"/>
      <c r="AD54" s="4"/>
      <c r="AE54" s="4"/>
      <c r="AF54" s="35"/>
      <c r="AG54" s="4"/>
      <c r="AH54" s="4"/>
      <c r="AI54" s="4"/>
    </row>
    <row r="55" spans="2:35" s="43" customFormat="1" x14ac:dyDescent="0.25">
      <c r="B55" s="17"/>
      <c r="C55" s="35"/>
      <c r="D55" s="35"/>
      <c r="E55" s="55"/>
      <c r="F55" s="56"/>
      <c r="G55" s="57"/>
      <c r="H55" s="35"/>
      <c r="I55" s="4"/>
      <c r="J55" s="4"/>
      <c r="K55" s="4"/>
      <c r="L55" s="4"/>
      <c r="M55" s="4"/>
      <c r="N55" s="35"/>
      <c r="O55" s="4"/>
      <c r="P55" s="4"/>
      <c r="Q55" s="4"/>
      <c r="R55" s="4"/>
      <c r="S55" s="4"/>
      <c r="T55" s="35"/>
      <c r="U55" s="4"/>
      <c r="V55" s="4"/>
      <c r="W55" s="4"/>
      <c r="X55" s="4"/>
      <c r="Y55" s="4"/>
      <c r="Z55" s="35"/>
      <c r="AA55" s="4"/>
      <c r="AB55" s="4"/>
      <c r="AC55" s="4"/>
      <c r="AD55" s="4"/>
      <c r="AE55" s="4"/>
      <c r="AF55" s="35"/>
      <c r="AG55" s="4"/>
      <c r="AH55" s="4"/>
      <c r="AI55" s="4"/>
    </row>
    <row r="56" spans="2:35" s="43" customFormat="1" x14ac:dyDescent="0.25">
      <c r="B56" s="17"/>
      <c r="C56" s="35"/>
      <c r="D56" s="35"/>
      <c r="E56" s="55"/>
      <c r="F56" s="56"/>
      <c r="G56" s="57"/>
      <c r="H56" s="35"/>
      <c r="I56" s="4"/>
      <c r="J56" s="4"/>
      <c r="K56" s="4"/>
      <c r="L56" s="4"/>
      <c r="M56" s="4"/>
      <c r="N56" s="35"/>
      <c r="O56" s="4"/>
      <c r="P56" s="4"/>
      <c r="Q56" s="4"/>
      <c r="R56" s="4"/>
      <c r="S56" s="4"/>
      <c r="T56" s="35"/>
      <c r="U56" s="4"/>
      <c r="V56" s="4"/>
      <c r="W56" s="4"/>
      <c r="X56" s="4"/>
      <c r="Y56" s="4"/>
      <c r="Z56" s="35"/>
      <c r="AA56" s="4"/>
      <c r="AB56" s="4"/>
      <c r="AC56" s="4"/>
      <c r="AD56" s="4"/>
      <c r="AE56" s="4"/>
      <c r="AF56" s="35"/>
      <c r="AG56" s="4"/>
      <c r="AH56" s="4"/>
      <c r="AI56" s="4"/>
    </row>
    <row r="57" spans="2:35" hidden="1" x14ac:dyDescent="0.25">
      <c r="C57" t="s">
        <v>21</v>
      </c>
      <c r="E57" s="43"/>
    </row>
    <row r="58" spans="2:35" hidden="1" x14ac:dyDescent="0.25">
      <c r="C58">
        <v>1</v>
      </c>
      <c r="E58" s="43"/>
    </row>
    <row r="59" spans="2:35" hidden="1" x14ac:dyDescent="0.25">
      <c r="C59">
        <v>0</v>
      </c>
      <c r="E59" s="43"/>
    </row>
    <row r="60" spans="2:35" hidden="1" x14ac:dyDescent="0.25">
      <c r="C60">
        <v>-1</v>
      </c>
      <c r="E60" s="43"/>
    </row>
    <row r="61" spans="2:35" hidden="1" x14ac:dyDescent="0.25">
      <c r="E61" s="43"/>
    </row>
    <row r="62" spans="2:35" hidden="1" x14ac:dyDescent="0.25">
      <c r="E62" s="43"/>
    </row>
    <row r="63" spans="2:35" hidden="1" x14ac:dyDescent="0.25">
      <c r="E63" s="43"/>
    </row>
    <row r="64" spans="2:35" hidden="1" x14ac:dyDescent="0.25">
      <c r="E64" s="43"/>
      <c r="F64" s="9"/>
      <c r="G64" s="9"/>
      <c r="H64" s="9"/>
    </row>
    <row r="65" spans="1:9" hidden="1" x14ac:dyDescent="0.25">
      <c r="A65" s="36" t="s">
        <v>77</v>
      </c>
      <c r="B65" s="47" t="s">
        <v>88</v>
      </c>
      <c r="C65" s="51" t="s">
        <v>294</v>
      </c>
      <c r="D65" s="9"/>
      <c r="E65" s="43"/>
      <c r="H65" s="13"/>
    </row>
    <row r="66" spans="1:9" hidden="1" x14ac:dyDescent="0.25">
      <c r="A66" s="13"/>
      <c r="B66" s="52" t="s">
        <v>109</v>
      </c>
      <c r="C66" s="47" t="s">
        <v>178</v>
      </c>
      <c r="D66" s="37"/>
      <c r="E66" s="43"/>
      <c r="H66" s="13"/>
    </row>
    <row r="67" spans="1:9" hidden="1" x14ac:dyDescent="0.25">
      <c r="A67" s="13"/>
      <c r="B67" s="52" t="s">
        <v>79</v>
      </c>
      <c r="C67" s="47" t="s">
        <v>179</v>
      </c>
      <c r="D67" s="37"/>
      <c r="E67" s="43"/>
      <c r="H67" s="13"/>
    </row>
    <row r="68" spans="1:9" hidden="1" x14ac:dyDescent="0.25">
      <c r="A68" s="13"/>
      <c r="B68" s="52" t="s">
        <v>80</v>
      </c>
      <c r="C68" s="47" t="s">
        <v>180</v>
      </c>
      <c r="D68" s="37"/>
      <c r="E68" s="43"/>
      <c r="H68" s="13"/>
    </row>
    <row r="69" spans="1:9" hidden="1" x14ac:dyDescent="0.25">
      <c r="A69" s="13"/>
      <c r="B69" s="52" t="s">
        <v>78</v>
      </c>
      <c r="C69" s="47" t="s">
        <v>181</v>
      </c>
      <c r="D69" s="37"/>
      <c r="E69" s="43"/>
      <c r="H69" s="13"/>
    </row>
    <row r="70" spans="1:9" hidden="1" x14ac:dyDescent="0.25">
      <c r="A70" s="13"/>
      <c r="B70" s="52" t="s">
        <v>110</v>
      </c>
      <c r="C70" s="52" t="s">
        <v>182</v>
      </c>
      <c r="D70" s="39"/>
      <c r="E70" s="43"/>
      <c r="H70" s="13"/>
    </row>
    <row r="71" spans="1:9" hidden="1" x14ac:dyDescent="0.25">
      <c r="A71" s="13"/>
      <c r="B71" s="52" t="s">
        <v>81</v>
      </c>
      <c r="C71" s="47" t="s">
        <v>183</v>
      </c>
      <c r="D71" s="37"/>
      <c r="E71" s="43"/>
      <c r="H71" s="13"/>
    </row>
    <row r="72" spans="1:9" hidden="1" x14ac:dyDescent="0.25">
      <c r="A72" s="13"/>
      <c r="B72" s="52" t="s">
        <v>146</v>
      </c>
      <c r="C72" s="47" t="s">
        <v>184</v>
      </c>
      <c r="D72" s="37"/>
      <c r="E72" s="43"/>
      <c r="H72" s="37"/>
      <c r="I72" s="37"/>
    </row>
    <row r="73" spans="1:9" hidden="1" x14ac:dyDescent="0.25">
      <c r="A73" s="37"/>
      <c r="B73" s="47"/>
      <c r="C73" s="51"/>
      <c r="D73" s="9"/>
      <c r="E73" s="43"/>
    </row>
    <row r="74" spans="1:9" hidden="1" x14ac:dyDescent="0.25">
      <c r="A74" s="36" t="s">
        <v>19</v>
      </c>
      <c r="B74" s="48" t="s">
        <v>88</v>
      </c>
      <c r="C74" s="53" t="s">
        <v>294</v>
      </c>
      <c r="D74" s="42"/>
      <c r="E74" s="43"/>
      <c r="H74" s="36"/>
      <c r="I74" s="37"/>
    </row>
    <row r="75" spans="1:9" hidden="1" x14ac:dyDescent="0.25">
      <c r="A75" s="13"/>
      <c r="B75" s="52" t="s">
        <v>111</v>
      </c>
      <c r="C75" s="47" t="s">
        <v>185</v>
      </c>
      <c r="D75" s="37"/>
      <c r="E75" s="43"/>
      <c r="H75" s="13"/>
    </row>
    <row r="76" spans="1:9" hidden="1" x14ac:dyDescent="0.25">
      <c r="A76" s="13"/>
      <c r="B76" s="52" t="s">
        <v>75</v>
      </c>
      <c r="C76" s="47" t="s">
        <v>186</v>
      </c>
      <c r="D76" s="37"/>
      <c r="E76" s="43"/>
      <c r="H76" s="13"/>
    </row>
    <row r="77" spans="1:9" hidden="1" x14ac:dyDescent="0.25">
      <c r="A77" s="13"/>
      <c r="B77" s="52" t="s">
        <v>74</v>
      </c>
      <c r="C77" s="47" t="s">
        <v>187</v>
      </c>
      <c r="D77" s="37"/>
      <c r="E77" s="43"/>
      <c r="H77" s="13"/>
    </row>
    <row r="78" spans="1:9" hidden="1" x14ac:dyDescent="0.25">
      <c r="A78" s="13"/>
      <c r="B78" s="52" t="s">
        <v>76</v>
      </c>
      <c r="C78" s="47" t="s">
        <v>188</v>
      </c>
      <c r="D78" s="37"/>
      <c r="E78" s="43"/>
      <c r="H78" s="13"/>
    </row>
    <row r="79" spans="1:9" hidden="1" x14ac:dyDescent="0.25">
      <c r="A79" s="37"/>
      <c r="B79" s="47"/>
      <c r="C79" s="51"/>
      <c r="D79" s="9"/>
      <c r="E79" s="43"/>
      <c r="H79" s="37"/>
      <c r="I79" s="37"/>
    </row>
    <row r="80" spans="1:9" hidden="1" x14ac:dyDescent="0.25">
      <c r="A80" s="36" t="s">
        <v>18</v>
      </c>
      <c r="B80" s="48" t="s">
        <v>88</v>
      </c>
      <c r="C80" s="53" t="s">
        <v>294</v>
      </c>
      <c r="D80" s="42"/>
      <c r="E80" s="43"/>
      <c r="H80" s="36"/>
      <c r="I80" s="37"/>
    </row>
    <row r="81" spans="1:9" hidden="1" x14ac:dyDescent="0.25">
      <c r="A81" s="13"/>
      <c r="B81" s="52" t="s">
        <v>61</v>
      </c>
      <c r="C81" s="47" t="s">
        <v>189</v>
      </c>
      <c r="D81" s="37"/>
      <c r="E81" s="43"/>
      <c r="H81" s="13"/>
    </row>
    <row r="82" spans="1:9" hidden="1" x14ac:dyDescent="0.25">
      <c r="A82" s="13"/>
      <c r="B82" s="52" t="s">
        <v>62</v>
      </c>
      <c r="C82" s="47" t="s">
        <v>190</v>
      </c>
      <c r="D82" s="37"/>
      <c r="E82" s="43"/>
      <c r="H82" s="13"/>
    </row>
    <row r="83" spans="1:9" hidden="1" x14ac:dyDescent="0.25">
      <c r="A83" s="13"/>
      <c r="B83" s="52" t="s">
        <v>112</v>
      </c>
      <c r="C83" s="47" t="s">
        <v>191</v>
      </c>
      <c r="D83" s="37"/>
      <c r="E83" s="43"/>
      <c r="H83" s="13"/>
    </row>
    <row r="84" spans="1:9" hidden="1" x14ac:dyDescent="0.25">
      <c r="A84" s="13"/>
      <c r="B84" s="52" t="s">
        <v>63</v>
      </c>
      <c r="C84" s="47" t="s">
        <v>192</v>
      </c>
      <c r="D84" s="37"/>
      <c r="E84" s="43"/>
      <c r="H84" s="13"/>
    </row>
    <row r="85" spans="1:9" hidden="1" x14ac:dyDescent="0.25">
      <c r="A85" s="13"/>
      <c r="B85" s="52" t="s">
        <v>113</v>
      </c>
      <c r="C85" s="47" t="s">
        <v>193</v>
      </c>
      <c r="D85" s="37"/>
      <c r="E85" s="43"/>
      <c r="H85" s="13"/>
    </row>
    <row r="86" spans="1:9" hidden="1" x14ac:dyDescent="0.25">
      <c r="A86" s="13"/>
      <c r="B86" s="52" t="s">
        <v>114</v>
      </c>
      <c r="C86" s="47" t="s">
        <v>194</v>
      </c>
      <c r="D86" s="37"/>
      <c r="E86" s="43"/>
      <c r="H86" s="13"/>
    </row>
    <row r="87" spans="1:9" hidden="1" x14ac:dyDescent="0.25">
      <c r="A87" s="13"/>
      <c r="B87" s="52" t="s">
        <v>147</v>
      </c>
      <c r="C87" s="47" t="s">
        <v>195</v>
      </c>
      <c r="D87" s="37"/>
      <c r="E87" s="43"/>
      <c r="H87" s="13"/>
    </row>
    <row r="88" spans="1:9" hidden="1" x14ac:dyDescent="0.25">
      <c r="A88" s="13"/>
      <c r="B88" s="52" t="s">
        <v>148</v>
      </c>
      <c r="C88" s="47" t="s">
        <v>196</v>
      </c>
      <c r="D88" s="37"/>
      <c r="E88" s="43"/>
      <c r="H88" s="13"/>
    </row>
    <row r="89" spans="1:9" hidden="1" x14ac:dyDescent="0.25">
      <c r="A89" s="13"/>
      <c r="B89" s="52" t="s">
        <v>115</v>
      </c>
      <c r="C89" s="52" t="s">
        <v>197</v>
      </c>
      <c r="D89" s="39"/>
      <c r="E89" s="43"/>
      <c r="H89" s="13"/>
    </row>
    <row r="90" spans="1:9" hidden="1" x14ac:dyDescent="0.25">
      <c r="A90" s="13"/>
      <c r="B90" s="52" t="s">
        <v>116</v>
      </c>
      <c r="C90" s="47" t="s">
        <v>198</v>
      </c>
      <c r="D90" s="37"/>
      <c r="E90" s="43"/>
      <c r="H90" s="13"/>
    </row>
    <row r="91" spans="1:9" hidden="1" x14ac:dyDescent="0.25">
      <c r="A91" s="13"/>
      <c r="B91" s="52" t="s">
        <v>149</v>
      </c>
      <c r="C91" s="47" t="s">
        <v>199</v>
      </c>
      <c r="D91" s="37"/>
      <c r="E91" s="43"/>
      <c r="H91" s="13"/>
    </row>
    <row r="92" spans="1:9" hidden="1" x14ac:dyDescent="0.25">
      <c r="A92" s="37"/>
      <c r="B92" s="47"/>
      <c r="C92" s="49"/>
      <c r="E92" s="43"/>
      <c r="H92" s="37"/>
      <c r="I92" s="37"/>
    </row>
    <row r="93" spans="1:9" hidden="1" x14ac:dyDescent="0.25">
      <c r="A93" s="36" t="s">
        <v>117</v>
      </c>
      <c r="B93" s="48" t="s">
        <v>88</v>
      </c>
      <c r="C93" s="53" t="s">
        <v>294</v>
      </c>
      <c r="D93" s="42"/>
      <c r="E93" s="43"/>
      <c r="H93" s="36"/>
      <c r="I93" s="37"/>
    </row>
    <row r="94" spans="1:9" hidden="1" x14ac:dyDescent="0.25">
      <c r="A94" s="13"/>
      <c r="B94" s="52" t="s">
        <v>51</v>
      </c>
      <c r="C94" s="47" t="s">
        <v>200</v>
      </c>
      <c r="D94" s="37"/>
      <c r="E94" s="43"/>
      <c r="H94" s="13"/>
    </row>
    <row r="95" spans="1:9" hidden="1" x14ac:dyDescent="0.25">
      <c r="A95" s="13"/>
      <c r="B95" s="52" t="s">
        <v>118</v>
      </c>
      <c r="C95" s="47" t="s">
        <v>201</v>
      </c>
      <c r="D95" s="37"/>
      <c r="E95" s="43"/>
      <c r="H95" s="13"/>
    </row>
    <row r="96" spans="1:9" hidden="1" x14ac:dyDescent="0.25">
      <c r="A96" s="13"/>
      <c r="B96" s="52" t="s">
        <v>150</v>
      </c>
      <c r="C96" s="47" t="s">
        <v>202</v>
      </c>
      <c r="D96" s="37"/>
      <c r="E96" s="43"/>
      <c r="H96" s="13"/>
    </row>
    <row r="97" spans="1:8" hidden="1" x14ac:dyDescent="0.25">
      <c r="A97" s="13"/>
      <c r="B97" s="52" t="s">
        <v>50</v>
      </c>
      <c r="C97" s="47" t="s">
        <v>203</v>
      </c>
      <c r="D97" s="37"/>
      <c r="E97" s="43"/>
      <c r="H97" s="13"/>
    </row>
    <row r="98" spans="1:8" hidden="1" x14ac:dyDescent="0.25">
      <c r="A98" s="37"/>
      <c r="B98" s="47"/>
      <c r="C98" s="47"/>
      <c r="D98" s="37"/>
      <c r="E98" s="43"/>
      <c r="H98" s="37"/>
    </row>
    <row r="99" spans="1:8" hidden="1" x14ac:dyDescent="0.25">
      <c r="A99" s="38" t="s">
        <v>105</v>
      </c>
      <c r="B99" s="48" t="s">
        <v>88</v>
      </c>
      <c r="C99" s="53" t="s">
        <v>294</v>
      </c>
      <c r="D99" s="42"/>
      <c r="E99" s="43"/>
      <c r="H99" s="38"/>
    </row>
    <row r="100" spans="1:8" hidden="1" x14ac:dyDescent="0.25">
      <c r="A100" s="13"/>
      <c r="B100" s="52" t="s">
        <v>46</v>
      </c>
      <c r="C100" s="47" t="s">
        <v>204</v>
      </c>
      <c r="D100" s="37"/>
      <c r="E100" s="43"/>
      <c r="H100" s="13"/>
    </row>
    <row r="101" spans="1:8" hidden="1" x14ac:dyDescent="0.25">
      <c r="A101" s="13"/>
      <c r="B101" s="52" t="s">
        <v>47</v>
      </c>
      <c r="C101" s="47" t="s">
        <v>205</v>
      </c>
      <c r="D101" s="37"/>
      <c r="E101" s="43"/>
      <c r="H101" s="13"/>
    </row>
    <row r="102" spans="1:8" hidden="1" x14ac:dyDescent="0.25">
      <c r="A102" s="13"/>
      <c r="B102" s="52" t="s">
        <v>49</v>
      </c>
      <c r="C102" s="47" t="s">
        <v>206</v>
      </c>
      <c r="D102" s="37"/>
      <c r="E102" s="43"/>
      <c r="H102" s="13"/>
    </row>
    <row r="103" spans="1:8" hidden="1" x14ac:dyDescent="0.25">
      <c r="A103" s="13"/>
      <c r="B103" s="52" t="s">
        <v>48</v>
      </c>
      <c r="C103" s="47" t="s">
        <v>207</v>
      </c>
      <c r="D103" s="37"/>
      <c r="E103" s="43"/>
      <c r="H103" s="13"/>
    </row>
    <row r="104" spans="1:8" hidden="1" x14ac:dyDescent="0.25">
      <c r="A104" s="13"/>
      <c r="B104" s="52" t="s">
        <v>119</v>
      </c>
      <c r="C104" s="47" t="s">
        <v>208</v>
      </c>
      <c r="D104" s="37"/>
      <c r="E104" s="43"/>
      <c r="H104" s="13"/>
    </row>
    <row r="105" spans="1:8" hidden="1" x14ac:dyDescent="0.25">
      <c r="A105" s="37"/>
      <c r="B105" s="47"/>
      <c r="C105" s="47"/>
      <c r="D105" s="37"/>
      <c r="E105" s="43"/>
      <c r="H105" s="37"/>
    </row>
    <row r="106" spans="1:8" hidden="1" x14ac:dyDescent="0.25">
      <c r="A106" s="38" t="s">
        <v>120</v>
      </c>
      <c r="B106" s="48" t="s">
        <v>88</v>
      </c>
      <c r="C106" s="53" t="s">
        <v>294</v>
      </c>
      <c r="D106" s="42"/>
      <c r="E106" s="43"/>
      <c r="H106" s="38"/>
    </row>
    <row r="107" spans="1:8" hidden="1" x14ac:dyDescent="0.25">
      <c r="A107" s="13"/>
      <c r="B107" s="52" t="s">
        <v>151</v>
      </c>
      <c r="C107" s="47" t="s">
        <v>209</v>
      </c>
      <c r="D107" s="37"/>
      <c r="E107" s="43"/>
      <c r="H107" s="13"/>
    </row>
    <row r="108" spans="1:8" hidden="1" x14ac:dyDescent="0.25">
      <c r="A108" s="13"/>
      <c r="B108" s="52" t="s">
        <v>121</v>
      </c>
      <c r="C108" s="47" t="s">
        <v>210</v>
      </c>
      <c r="D108" s="37"/>
      <c r="E108" s="43"/>
      <c r="H108" s="13"/>
    </row>
    <row r="109" spans="1:8" hidden="1" x14ac:dyDescent="0.25">
      <c r="A109" s="13"/>
      <c r="B109" s="52" t="s">
        <v>122</v>
      </c>
      <c r="C109" s="47" t="s">
        <v>211</v>
      </c>
      <c r="D109" s="37"/>
      <c r="E109" s="43"/>
      <c r="H109" s="13"/>
    </row>
    <row r="110" spans="1:8" hidden="1" x14ac:dyDescent="0.25">
      <c r="A110" s="13"/>
      <c r="B110" s="52" t="s">
        <v>123</v>
      </c>
      <c r="C110" s="47" t="s">
        <v>212</v>
      </c>
      <c r="D110" s="37"/>
      <c r="E110" s="43"/>
      <c r="H110" s="13"/>
    </row>
    <row r="111" spans="1:8" hidden="1" x14ac:dyDescent="0.25">
      <c r="A111" s="13"/>
      <c r="B111" s="52"/>
      <c r="C111" s="47"/>
      <c r="D111" s="37"/>
      <c r="E111" s="43"/>
      <c r="H111" s="13"/>
    </row>
    <row r="112" spans="1:8" hidden="1" x14ac:dyDescent="0.25">
      <c r="A112" s="38" t="s">
        <v>52</v>
      </c>
      <c r="B112" s="48" t="s">
        <v>88</v>
      </c>
      <c r="C112" s="53" t="s">
        <v>294</v>
      </c>
      <c r="D112" s="42"/>
      <c r="E112" s="43"/>
      <c r="H112" s="38"/>
    </row>
    <row r="113" spans="1:8" hidden="1" x14ac:dyDescent="0.25">
      <c r="A113" s="13"/>
      <c r="B113" s="52" t="s">
        <v>152</v>
      </c>
      <c r="C113" s="47" t="s">
        <v>213</v>
      </c>
      <c r="D113" s="37"/>
      <c r="E113" s="43"/>
      <c r="H113" s="13"/>
    </row>
    <row r="114" spans="1:8" hidden="1" x14ac:dyDescent="0.25">
      <c r="A114" s="13"/>
      <c r="B114" s="52" t="s">
        <v>124</v>
      </c>
      <c r="C114" s="47" t="s">
        <v>214</v>
      </c>
      <c r="D114" s="37"/>
      <c r="E114" s="43"/>
      <c r="H114" s="13"/>
    </row>
    <row r="115" spans="1:8" hidden="1" x14ac:dyDescent="0.25">
      <c r="A115" s="13"/>
      <c r="B115" s="52" t="s">
        <v>56</v>
      </c>
      <c r="C115" s="47" t="s">
        <v>215</v>
      </c>
      <c r="D115" s="37"/>
      <c r="E115" s="43"/>
      <c r="H115" s="13"/>
    </row>
    <row r="116" spans="1:8" hidden="1" x14ac:dyDescent="0.25">
      <c r="A116" s="13"/>
      <c r="B116" s="52" t="s">
        <v>55</v>
      </c>
      <c r="C116" s="47" t="s">
        <v>216</v>
      </c>
      <c r="D116" s="37"/>
      <c r="E116" s="43"/>
      <c r="H116" s="13"/>
    </row>
    <row r="117" spans="1:8" hidden="1" x14ac:dyDescent="0.25">
      <c r="A117" s="13"/>
      <c r="B117" s="52" t="s">
        <v>153</v>
      </c>
      <c r="C117" s="47" t="s">
        <v>217</v>
      </c>
      <c r="D117" s="37"/>
      <c r="E117" s="43"/>
      <c r="H117" s="13"/>
    </row>
    <row r="118" spans="1:8" hidden="1" x14ac:dyDescent="0.25">
      <c r="A118" s="13"/>
      <c r="B118" s="52" t="s">
        <v>53</v>
      </c>
      <c r="C118" s="47" t="s">
        <v>218</v>
      </c>
      <c r="D118" s="37"/>
      <c r="E118" s="43"/>
      <c r="H118" s="13"/>
    </row>
    <row r="119" spans="1:8" hidden="1" x14ac:dyDescent="0.25">
      <c r="A119" s="13"/>
      <c r="B119" s="52" t="s">
        <v>125</v>
      </c>
      <c r="C119" s="47" t="s">
        <v>219</v>
      </c>
      <c r="D119" s="37"/>
      <c r="E119" s="43"/>
      <c r="H119" s="13"/>
    </row>
    <row r="120" spans="1:8" hidden="1" x14ac:dyDescent="0.25">
      <c r="A120" s="13"/>
      <c r="B120" s="52" t="s">
        <v>54</v>
      </c>
      <c r="C120" s="47" t="s">
        <v>220</v>
      </c>
      <c r="D120" s="37"/>
      <c r="E120" s="43"/>
      <c r="H120" s="13"/>
    </row>
    <row r="121" spans="1:8" hidden="1" x14ac:dyDescent="0.25">
      <c r="A121" s="37"/>
      <c r="B121" s="47"/>
      <c r="C121" s="47"/>
      <c r="D121" s="37"/>
      <c r="E121" s="43"/>
      <c r="H121" s="37"/>
    </row>
    <row r="122" spans="1:8" hidden="1" x14ac:dyDescent="0.25">
      <c r="A122" s="38" t="s">
        <v>57</v>
      </c>
      <c r="B122" s="48" t="s">
        <v>88</v>
      </c>
      <c r="C122" s="53" t="s">
        <v>294</v>
      </c>
      <c r="D122" s="42"/>
      <c r="E122" s="43"/>
      <c r="H122" s="38"/>
    </row>
    <row r="123" spans="1:8" hidden="1" x14ac:dyDescent="0.25">
      <c r="A123" s="13"/>
      <c r="B123" s="52" t="s">
        <v>59</v>
      </c>
      <c r="C123" s="47" t="s">
        <v>221</v>
      </c>
      <c r="D123" s="37"/>
      <c r="E123" s="43"/>
      <c r="H123" s="13"/>
    </row>
    <row r="124" spans="1:8" hidden="1" x14ac:dyDescent="0.25">
      <c r="A124" s="13"/>
      <c r="B124" s="52" t="s">
        <v>58</v>
      </c>
      <c r="C124" s="47" t="s">
        <v>222</v>
      </c>
      <c r="D124" s="37"/>
      <c r="E124" s="43"/>
      <c r="H124" s="13"/>
    </row>
    <row r="125" spans="1:8" hidden="1" x14ac:dyDescent="0.25">
      <c r="A125" s="13"/>
      <c r="B125" s="52" t="s">
        <v>154</v>
      </c>
      <c r="C125" s="47" t="s">
        <v>223</v>
      </c>
      <c r="D125" s="37"/>
      <c r="E125" s="43"/>
      <c r="H125" s="13"/>
    </row>
    <row r="126" spans="1:8" hidden="1" x14ac:dyDescent="0.25">
      <c r="A126" s="13"/>
      <c r="B126" s="52" t="s">
        <v>155</v>
      </c>
      <c r="C126" s="47" t="s">
        <v>224</v>
      </c>
      <c r="D126" s="37"/>
      <c r="E126" s="43"/>
      <c r="H126" s="13"/>
    </row>
    <row r="127" spans="1:8" hidden="1" x14ac:dyDescent="0.25">
      <c r="A127" s="13"/>
      <c r="B127" s="52" t="s">
        <v>60</v>
      </c>
      <c r="C127" s="47" t="s">
        <v>225</v>
      </c>
      <c r="D127" s="37"/>
      <c r="E127" s="43"/>
      <c r="H127" s="13"/>
    </row>
    <row r="128" spans="1:8" hidden="1" x14ac:dyDescent="0.25">
      <c r="A128" s="37"/>
      <c r="B128" s="47"/>
      <c r="C128" s="47"/>
      <c r="D128" s="37"/>
      <c r="E128" s="43"/>
      <c r="H128" s="37"/>
    </row>
    <row r="129" spans="1:8" hidden="1" x14ac:dyDescent="0.25">
      <c r="A129" s="36" t="s">
        <v>126</v>
      </c>
      <c r="B129" s="48" t="s">
        <v>88</v>
      </c>
      <c r="C129" s="53" t="s">
        <v>294</v>
      </c>
      <c r="D129" s="42"/>
      <c r="E129" s="43"/>
      <c r="H129" s="36"/>
    </row>
    <row r="130" spans="1:8" hidden="1" x14ac:dyDescent="0.25">
      <c r="A130" s="13"/>
      <c r="B130" s="52" t="s">
        <v>156</v>
      </c>
      <c r="C130" s="47" t="s">
        <v>226</v>
      </c>
      <c r="D130" s="37"/>
      <c r="E130" s="43"/>
      <c r="H130" s="13"/>
    </row>
    <row r="131" spans="1:8" hidden="1" x14ac:dyDescent="0.25">
      <c r="A131" s="13"/>
      <c r="B131" s="52" t="s">
        <v>157</v>
      </c>
      <c r="C131" s="47" t="s">
        <v>227</v>
      </c>
      <c r="D131" s="37"/>
      <c r="E131" s="43"/>
      <c r="H131" s="13"/>
    </row>
    <row r="132" spans="1:8" hidden="1" x14ac:dyDescent="0.25">
      <c r="A132" s="13"/>
      <c r="B132" s="52" t="s">
        <v>158</v>
      </c>
      <c r="C132" s="47" t="s">
        <v>228</v>
      </c>
      <c r="D132" s="37"/>
      <c r="E132" s="43"/>
      <c r="H132" s="13"/>
    </row>
    <row r="133" spans="1:8" hidden="1" x14ac:dyDescent="0.25">
      <c r="A133" s="13"/>
      <c r="B133" s="52" t="s">
        <v>42</v>
      </c>
      <c r="C133" s="47" t="s">
        <v>229</v>
      </c>
      <c r="D133" s="37"/>
      <c r="E133" s="43"/>
      <c r="H133" s="13"/>
    </row>
    <row r="134" spans="1:8" hidden="1" x14ac:dyDescent="0.25">
      <c r="A134" s="13"/>
      <c r="B134" s="52" t="s">
        <v>127</v>
      </c>
      <c r="C134" s="47" t="s">
        <v>230</v>
      </c>
      <c r="D134" s="37"/>
      <c r="E134" s="43"/>
      <c r="H134" s="13"/>
    </row>
    <row r="135" spans="1:8" hidden="1" x14ac:dyDescent="0.25">
      <c r="A135" s="13"/>
      <c r="B135" s="52" t="s">
        <v>128</v>
      </c>
      <c r="C135" s="47" t="s">
        <v>231</v>
      </c>
      <c r="D135" s="37"/>
      <c r="E135" s="43"/>
      <c r="H135" s="13"/>
    </row>
    <row r="136" spans="1:8" hidden="1" x14ac:dyDescent="0.25">
      <c r="A136" s="13"/>
      <c r="B136" s="52" t="s">
        <v>41</v>
      </c>
      <c r="C136" s="47" t="s">
        <v>232</v>
      </c>
      <c r="D136" s="37"/>
      <c r="E136" s="43"/>
      <c r="H136" s="13"/>
    </row>
    <row r="137" spans="1:8" hidden="1" x14ac:dyDescent="0.25">
      <c r="A137" s="13"/>
      <c r="B137" s="52" t="s">
        <v>129</v>
      </c>
      <c r="C137" s="47" t="s">
        <v>233</v>
      </c>
      <c r="D137" s="37"/>
      <c r="E137" s="43"/>
      <c r="H137" s="13"/>
    </row>
    <row r="138" spans="1:8" hidden="1" x14ac:dyDescent="0.25">
      <c r="A138" s="37"/>
      <c r="B138" s="47"/>
      <c r="C138" s="47"/>
      <c r="D138" s="37"/>
      <c r="E138" s="43"/>
      <c r="H138" s="37"/>
    </row>
    <row r="139" spans="1:8" hidden="1" x14ac:dyDescent="0.25">
      <c r="A139" s="38" t="s">
        <v>130</v>
      </c>
      <c r="B139" s="48" t="s">
        <v>88</v>
      </c>
      <c r="C139" s="53" t="s">
        <v>294</v>
      </c>
      <c r="D139" s="42"/>
      <c r="E139" s="43"/>
      <c r="H139" s="38"/>
    </row>
    <row r="140" spans="1:8" hidden="1" x14ac:dyDescent="0.25">
      <c r="A140" s="13"/>
      <c r="B140" s="52" t="s">
        <v>131</v>
      </c>
      <c r="C140" s="47" t="s">
        <v>234</v>
      </c>
      <c r="D140" s="37"/>
      <c r="E140" s="43"/>
      <c r="H140" s="13"/>
    </row>
    <row r="141" spans="1:8" hidden="1" x14ac:dyDescent="0.25">
      <c r="A141" s="13"/>
      <c r="B141" s="52" t="s">
        <v>159</v>
      </c>
      <c r="C141" s="47" t="s">
        <v>235</v>
      </c>
      <c r="D141" s="37"/>
      <c r="E141" s="43"/>
      <c r="H141" s="13"/>
    </row>
    <row r="142" spans="1:8" hidden="1" x14ac:dyDescent="0.25">
      <c r="A142" s="13"/>
      <c r="B142" s="52" t="s">
        <v>160</v>
      </c>
      <c r="C142" s="47" t="s">
        <v>236</v>
      </c>
      <c r="D142" s="37"/>
      <c r="E142" s="43"/>
      <c r="H142" s="13"/>
    </row>
    <row r="143" spans="1:8" hidden="1" x14ac:dyDescent="0.25">
      <c r="A143" s="13"/>
      <c r="B143" s="52" t="s">
        <v>161</v>
      </c>
      <c r="C143" s="47" t="s">
        <v>237</v>
      </c>
      <c r="D143" s="37"/>
      <c r="E143" s="43"/>
      <c r="H143" s="13"/>
    </row>
    <row r="144" spans="1:8" hidden="1" x14ac:dyDescent="0.25">
      <c r="A144" s="13"/>
      <c r="B144" s="52" t="s">
        <v>162</v>
      </c>
      <c r="C144" s="47" t="s">
        <v>238</v>
      </c>
      <c r="D144" s="37"/>
      <c r="E144" s="43"/>
      <c r="H144" s="13"/>
    </row>
    <row r="145" spans="1:8" hidden="1" x14ac:dyDescent="0.25">
      <c r="A145" s="13"/>
      <c r="B145" s="52" t="s">
        <v>163</v>
      </c>
      <c r="C145" s="52" t="s">
        <v>239</v>
      </c>
      <c r="D145" s="39"/>
      <c r="E145" s="43"/>
      <c r="H145" s="13"/>
    </row>
    <row r="146" spans="1:8" hidden="1" x14ac:dyDescent="0.25">
      <c r="A146" s="13"/>
      <c r="B146" s="52" t="s">
        <v>164</v>
      </c>
      <c r="C146" s="52" t="s">
        <v>240</v>
      </c>
      <c r="D146" s="39"/>
      <c r="E146" s="43"/>
      <c r="H146" s="13"/>
    </row>
    <row r="147" spans="1:8" hidden="1" x14ac:dyDescent="0.25">
      <c r="A147" s="13"/>
      <c r="B147" s="52" t="s">
        <v>43</v>
      </c>
      <c r="C147" s="47" t="s">
        <v>241</v>
      </c>
      <c r="D147" s="37"/>
      <c r="E147" s="43"/>
      <c r="H147" s="13"/>
    </row>
    <row r="148" spans="1:8" hidden="1" x14ac:dyDescent="0.25">
      <c r="A148" s="13"/>
      <c r="B148" s="52" t="s">
        <v>165</v>
      </c>
      <c r="C148" s="52" t="s">
        <v>242</v>
      </c>
      <c r="D148" s="39"/>
      <c r="E148" s="43"/>
      <c r="H148" s="13"/>
    </row>
    <row r="149" spans="1:8" hidden="1" x14ac:dyDescent="0.25">
      <c r="A149" s="13"/>
      <c r="B149" s="52" t="s">
        <v>166</v>
      </c>
      <c r="C149" s="52" t="s">
        <v>243</v>
      </c>
      <c r="D149" s="39"/>
      <c r="E149" s="43"/>
      <c r="H149" s="13"/>
    </row>
    <row r="150" spans="1:8" hidden="1" x14ac:dyDescent="0.25">
      <c r="A150" s="13"/>
      <c r="B150" s="52" t="s">
        <v>44</v>
      </c>
      <c r="C150" s="47" t="s">
        <v>244</v>
      </c>
      <c r="D150" s="37"/>
      <c r="E150" s="43"/>
      <c r="H150" s="13"/>
    </row>
    <row r="151" spans="1:8" hidden="1" x14ac:dyDescent="0.25">
      <c r="A151" s="13"/>
      <c r="B151" s="52" t="s">
        <v>45</v>
      </c>
      <c r="C151" s="52" t="s">
        <v>245</v>
      </c>
      <c r="D151" s="39"/>
      <c r="E151" s="43"/>
      <c r="H151" s="13"/>
    </row>
    <row r="152" spans="1:8" hidden="1" x14ac:dyDescent="0.25">
      <c r="A152" s="37"/>
      <c r="B152" s="47"/>
      <c r="C152" s="47"/>
      <c r="D152" s="37"/>
      <c r="E152" s="43"/>
      <c r="H152" s="37"/>
    </row>
    <row r="153" spans="1:8" hidden="1" x14ac:dyDescent="0.25">
      <c r="A153" s="36" t="s">
        <v>20</v>
      </c>
      <c r="B153" s="48" t="s">
        <v>88</v>
      </c>
      <c r="C153" s="53" t="s">
        <v>294</v>
      </c>
      <c r="D153" s="42"/>
      <c r="E153" s="43"/>
      <c r="H153" s="36"/>
    </row>
    <row r="154" spans="1:8" hidden="1" x14ac:dyDescent="0.25">
      <c r="A154" s="13"/>
      <c r="B154" s="52" t="s">
        <v>64</v>
      </c>
      <c r="C154" s="47" t="s">
        <v>246</v>
      </c>
      <c r="D154" s="37"/>
      <c r="E154" s="43"/>
      <c r="H154" s="13"/>
    </row>
    <row r="155" spans="1:8" hidden="1" x14ac:dyDescent="0.25">
      <c r="A155" s="13"/>
      <c r="B155" s="52" t="s">
        <v>167</v>
      </c>
      <c r="C155" s="47" t="s">
        <v>247</v>
      </c>
      <c r="D155" s="37"/>
      <c r="E155" s="43"/>
      <c r="H155" s="13"/>
    </row>
    <row r="156" spans="1:8" hidden="1" x14ac:dyDescent="0.25">
      <c r="A156" s="13"/>
      <c r="B156" s="52" t="s">
        <v>168</v>
      </c>
      <c r="C156" s="47" t="s">
        <v>248</v>
      </c>
      <c r="D156" s="37"/>
      <c r="E156" s="43"/>
      <c r="H156" s="13"/>
    </row>
    <row r="157" spans="1:8" hidden="1" x14ac:dyDescent="0.25">
      <c r="A157" s="13"/>
      <c r="B157" s="52" t="s">
        <v>65</v>
      </c>
      <c r="C157" s="47" t="s">
        <v>249</v>
      </c>
      <c r="D157" s="37"/>
      <c r="E157" s="43"/>
      <c r="H157" s="13"/>
    </row>
    <row r="158" spans="1:8" hidden="1" x14ac:dyDescent="0.25">
      <c r="A158" s="13"/>
      <c r="B158" s="52" t="s">
        <v>132</v>
      </c>
      <c r="C158" s="47" t="s">
        <v>250</v>
      </c>
      <c r="D158" s="37"/>
      <c r="E158" s="43"/>
      <c r="H158" s="13"/>
    </row>
    <row r="159" spans="1:8" hidden="1" x14ac:dyDescent="0.25">
      <c r="A159" s="13"/>
      <c r="B159" s="52" t="s">
        <v>68</v>
      </c>
      <c r="C159" s="47" t="s">
        <v>251</v>
      </c>
      <c r="D159" s="37"/>
      <c r="E159" s="43"/>
      <c r="H159" s="13"/>
    </row>
    <row r="160" spans="1:8" hidden="1" x14ac:dyDescent="0.25">
      <c r="A160" s="13"/>
      <c r="B160" s="52" t="s">
        <v>169</v>
      </c>
      <c r="C160" s="47" t="s">
        <v>252</v>
      </c>
      <c r="D160" s="37"/>
      <c r="E160" s="43"/>
      <c r="H160" s="13"/>
    </row>
    <row r="161" spans="1:8" hidden="1" x14ac:dyDescent="0.25">
      <c r="A161" s="13"/>
      <c r="B161" s="52"/>
      <c r="C161" s="47"/>
      <c r="D161" s="37"/>
      <c r="E161" s="43"/>
      <c r="H161" s="13"/>
    </row>
    <row r="162" spans="1:8" hidden="1" x14ac:dyDescent="0.25">
      <c r="A162" s="38" t="s">
        <v>108</v>
      </c>
      <c r="B162" s="48" t="s">
        <v>88</v>
      </c>
      <c r="C162" s="53" t="s">
        <v>294</v>
      </c>
      <c r="D162" s="42"/>
      <c r="E162" s="43"/>
      <c r="H162" s="38"/>
    </row>
    <row r="163" spans="1:8" hidden="1" x14ac:dyDescent="0.25">
      <c r="A163" s="13"/>
      <c r="B163" s="52" t="s">
        <v>66</v>
      </c>
      <c r="C163" s="47" t="s">
        <v>253</v>
      </c>
      <c r="D163" s="37"/>
      <c r="E163" s="43"/>
      <c r="H163" s="13"/>
    </row>
    <row r="164" spans="1:8" hidden="1" x14ac:dyDescent="0.25">
      <c r="A164" s="13"/>
      <c r="B164" s="52" t="s">
        <v>67</v>
      </c>
      <c r="C164" s="47" t="s">
        <v>254</v>
      </c>
      <c r="D164" s="37"/>
      <c r="E164" s="43"/>
      <c r="H164" s="13"/>
    </row>
    <row r="165" spans="1:8" hidden="1" x14ac:dyDescent="0.25">
      <c r="A165" s="13"/>
      <c r="B165" s="52" t="s">
        <v>133</v>
      </c>
      <c r="C165" s="47" t="s">
        <v>255</v>
      </c>
      <c r="D165" s="37"/>
      <c r="E165" s="43"/>
      <c r="H165" s="13"/>
    </row>
    <row r="166" spans="1:8" hidden="1" x14ac:dyDescent="0.25">
      <c r="A166" s="13"/>
      <c r="B166" s="52" t="s">
        <v>170</v>
      </c>
      <c r="C166" s="47" t="s">
        <v>256</v>
      </c>
      <c r="D166" s="37"/>
      <c r="E166" s="43"/>
      <c r="H166" s="13"/>
    </row>
    <row r="167" spans="1:8" hidden="1" x14ac:dyDescent="0.25">
      <c r="A167" s="13"/>
      <c r="B167" s="52" t="s">
        <v>70</v>
      </c>
      <c r="C167" s="47" t="s">
        <v>257</v>
      </c>
      <c r="D167" s="37"/>
      <c r="E167" s="43"/>
      <c r="H167" s="13"/>
    </row>
    <row r="168" spans="1:8" hidden="1" x14ac:dyDescent="0.25">
      <c r="A168" s="13"/>
      <c r="B168" s="52" t="s">
        <v>69</v>
      </c>
      <c r="C168" s="47" t="s">
        <v>258</v>
      </c>
      <c r="D168" s="37"/>
      <c r="E168" s="43"/>
      <c r="H168" s="13"/>
    </row>
    <row r="169" spans="1:8" hidden="1" x14ac:dyDescent="0.25">
      <c r="A169" s="13"/>
      <c r="B169" s="52" t="s">
        <v>134</v>
      </c>
      <c r="C169" s="47" t="s">
        <v>259</v>
      </c>
      <c r="D169" s="37"/>
      <c r="E169" s="43"/>
      <c r="H169" s="13"/>
    </row>
    <row r="170" spans="1:8" hidden="1" x14ac:dyDescent="0.25">
      <c r="A170" s="13"/>
      <c r="B170" s="52" t="s">
        <v>171</v>
      </c>
      <c r="C170" s="47" t="s">
        <v>260</v>
      </c>
      <c r="D170" s="37"/>
      <c r="E170" s="43"/>
      <c r="H170" s="13"/>
    </row>
    <row r="171" spans="1:8" hidden="1" x14ac:dyDescent="0.25">
      <c r="A171" s="37"/>
      <c r="B171" s="47"/>
      <c r="C171" s="47"/>
      <c r="D171" s="37"/>
      <c r="E171" s="43"/>
      <c r="H171" s="37"/>
    </row>
    <row r="172" spans="1:8" hidden="1" x14ac:dyDescent="0.25">
      <c r="A172" s="38" t="s">
        <v>107</v>
      </c>
      <c r="B172" s="48" t="s">
        <v>88</v>
      </c>
      <c r="C172" s="53" t="s">
        <v>294</v>
      </c>
      <c r="D172" s="42"/>
      <c r="E172" s="43"/>
      <c r="H172" s="38"/>
    </row>
    <row r="173" spans="1:8" hidden="1" x14ac:dyDescent="0.25">
      <c r="A173" s="13"/>
      <c r="B173" s="52" t="s">
        <v>135</v>
      </c>
      <c r="C173" s="47" t="s">
        <v>261</v>
      </c>
      <c r="D173" s="37"/>
      <c r="E173" s="43"/>
      <c r="H173" s="13"/>
    </row>
    <row r="174" spans="1:8" hidden="1" x14ac:dyDescent="0.25">
      <c r="A174" s="13"/>
      <c r="B174" s="52" t="s">
        <v>71</v>
      </c>
      <c r="C174" s="47" t="s">
        <v>262</v>
      </c>
      <c r="D174" s="37"/>
      <c r="E174" s="43"/>
      <c r="H174" s="13"/>
    </row>
    <row r="175" spans="1:8" hidden="1" x14ac:dyDescent="0.25">
      <c r="A175" s="13"/>
      <c r="B175" s="52" t="s">
        <v>72</v>
      </c>
      <c r="C175" s="47" t="s">
        <v>263</v>
      </c>
      <c r="D175" s="37"/>
      <c r="E175" s="43"/>
      <c r="H175" s="13"/>
    </row>
    <row r="176" spans="1:8" hidden="1" x14ac:dyDescent="0.25">
      <c r="A176" s="13"/>
      <c r="B176" s="52" t="s">
        <v>136</v>
      </c>
      <c r="C176" s="47" t="s">
        <v>264</v>
      </c>
      <c r="D176" s="37"/>
      <c r="E176" s="43"/>
      <c r="H176" s="13"/>
    </row>
    <row r="177" spans="1:8" hidden="1" x14ac:dyDescent="0.25">
      <c r="A177" s="13"/>
      <c r="B177" s="47"/>
      <c r="C177" s="47"/>
      <c r="D177" s="37"/>
      <c r="E177" s="43"/>
      <c r="H177" s="13"/>
    </row>
    <row r="178" spans="1:8" hidden="1" x14ac:dyDescent="0.25">
      <c r="A178" s="38" t="s">
        <v>106</v>
      </c>
      <c r="B178" s="48" t="s">
        <v>88</v>
      </c>
      <c r="C178" s="53" t="s">
        <v>294</v>
      </c>
      <c r="D178" s="42"/>
      <c r="E178" s="43"/>
      <c r="H178" s="38"/>
    </row>
    <row r="179" spans="1:8" hidden="1" x14ac:dyDescent="0.25">
      <c r="A179" s="13"/>
      <c r="B179" s="52" t="s">
        <v>172</v>
      </c>
      <c r="C179" s="47" t="s">
        <v>265</v>
      </c>
      <c r="D179" s="37"/>
      <c r="E179" s="43"/>
      <c r="H179" s="13"/>
    </row>
    <row r="180" spans="1:8" hidden="1" x14ac:dyDescent="0.25">
      <c r="A180" s="13"/>
      <c r="B180" s="52" t="s">
        <v>73</v>
      </c>
      <c r="C180" s="47" t="s">
        <v>266</v>
      </c>
      <c r="D180" s="37"/>
      <c r="E180" s="43"/>
      <c r="H180" s="13"/>
    </row>
    <row r="181" spans="1:8" hidden="1" x14ac:dyDescent="0.25">
      <c r="A181" s="13"/>
      <c r="B181" s="52" t="s">
        <v>137</v>
      </c>
      <c r="C181" s="47" t="s">
        <v>267</v>
      </c>
      <c r="D181" s="37"/>
      <c r="E181" s="43"/>
      <c r="H181" s="13"/>
    </row>
    <row r="182" spans="1:8" hidden="1" x14ac:dyDescent="0.25">
      <c r="A182" s="37"/>
      <c r="B182" s="47"/>
      <c r="C182" s="47"/>
      <c r="D182" s="37"/>
      <c r="E182" s="43"/>
      <c r="H182" s="37"/>
    </row>
    <row r="183" spans="1:8" hidden="1" x14ac:dyDescent="0.25">
      <c r="A183" s="38" t="s">
        <v>37</v>
      </c>
      <c r="B183" s="48" t="s">
        <v>88</v>
      </c>
      <c r="C183" s="53" t="s">
        <v>294</v>
      </c>
      <c r="D183" s="42"/>
      <c r="E183" s="43"/>
      <c r="H183" s="38"/>
    </row>
    <row r="184" spans="1:8" hidden="1" x14ac:dyDescent="0.25">
      <c r="A184" s="13"/>
      <c r="B184" s="52" t="s">
        <v>138</v>
      </c>
      <c r="C184" s="47" t="s">
        <v>268</v>
      </c>
      <c r="D184" s="37"/>
      <c r="E184" s="43"/>
      <c r="H184" s="13"/>
    </row>
    <row r="185" spans="1:8" hidden="1" x14ac:dyDescent="0.25">
      <c r="A185" s="13"/>
      <c r="B185" s="52" t="s">
        <v>38</v>
      </c>
      <c r="C185" s="47" t="s">
        <v>269</v>
      </c>
      <c r="D185" s="37"/>
      <c r="E185" s="43"/>
      <c r="H185" s="13"/>
    </row>
    <row r="186" spans="1:8" hidden="1" x14ac:dyDescent="0.25">
      <c r="A186" s="13"/>
      <c r="B186" s="52" t="s">
        <v>39</v>
      </c>
      <c r="C186" s="47" t="s">
        <v>270</v>
      </c>
      <c r="D186" s="37"/>
      <c r="E186" s="43"/>
      <c r="H186" s="13"/>
    </row>
    <row r="187" spans="1:8" hidden="1" x14ac:dyDescent="0.25">
      <c r="A187" s="13"/>
      <c r="B187" s="52" t="s">
        <v>139</v>
      </c>
      <c r="C187" s="47" t="s">
        <v>271</v>
      </c>
      <c r="D187" s="37"/>
      <c r="E187" s="43"/>
      <c r="H187" s="13"/>
    </row>
    <row r="188" spans="1:8" hidden="1" x14ac:dyDescent="0.25">
      <c r="A188" s="13"/>
      <c r="B188" s="52" t="s">
        <v>40</v>
      </c>
      <c r="C188" s="47" t="s">
        <v>272</v>
      </c>
      <c r="D188" s="37"/>
      <c r="E188" s="43"/>
      <c r="H188" s="13"/>
    </row>
    <row r="189" spans="1:8" hidden="1" x14ac:dyDescent="0.25">
      <c r="A189" s="13"/>
      <c r="B189" s="52" t="s">
        <v>140</v>
      </c>
      <c r="C189" s="47" t="s">
        <v>273</v>
      </c>
      <c r="D189" s="37"/>
      <c r="E189" s="43"/>
      <c r="H189" s="13"/>
    </row>
    <row r="190" spans="1:8" hidden="1" x14ac:dyDescent="0.25">
      <c r="A190" s="13"/>
      <c r="B190" s="52" t="s">
        <v>141</v>
      </c>
      <c r="C190" s="47" t="s">
        <v>274</v>
      </c>
      <c r="D190" s="37"/>
      <c r="E190" s="43"/>
      <c r="H190" s="13"/>
    </row>
    <row r="191" spans="1:8" hidden="1" x14ac:dyDescent="0.25">
      <c r="A191" s="37"/>
      <c r="B191" s="47"/>
      <c r="C191" s="47"/>
      <c r="D191" s="37"/>
      <c r="E191" s="43"/>
      <c r="H191" s="37"/>
    </row>
    <row r="192" spans="1:8" hidden="1" x14ac:dyDescent="0.25">
      <c r="A192" s="38" t="s">
        <v>22</v>
      </c>
      <c r="B192" s="48" t="s">
        <v>88</v>
      </c>
      <c r="C192" s="53" t="s">
        <v>294</v>
      </c>
      <c r="D192" s="42"/>
      <c r="E192" s="43"/>
      <c r="H192" s="38"/>
    </row>
    <row r="193" spans="1:8" hidden="1" x14ac:dyDescent="0.25">
      <c r="A193" s="13"/>
      <c r="B193" s="52" t="s">
        <v>23</v>
      </c>
      <c r="C193" s="47" t="s">
        <v>275</v>
      </c>
      <c r="D193" s="37"/>
      <c r="E193" s="43"/>
      <c r="H193" s="13"/>
    </row>
    <row r="194" spans="1:8" hidden="1" x14ac:dyDescent="0.25">
      <c r="A194" s="13"/>
      <c r="B194" s="52" t="s">
        <v>25</v>
      </c>
      <c r="C194" s="47" t="s">
        <v>276</v>
      </c>
      <c r="D194" s="37"/>
      <c r="E194" s="43"/>
      <c r="H194" s="13"/>
    </row>
    <row r="195" spans="1:8" hidden="1" x14ac:dyDescent="0.25">
      <c r="A195" s="13"/>
      <c r="B195" s="52" t="s">
        <v>142</v>
      </c>
      <c r="C195" s="47" t="s">
        <v>277</v>
      </c>
      <c r="D195" s="37"/>
      <c r="E195" s="43"/>
      <c r="H195" s="13"/>
    </row>
    <row r="196" spans="1:8" hidden="1" x14ac:dyDescent="0.25">
      <c r="A196" s="13"/>
      <c r="B196" s="52" t="s">
        <v>24</v>
      </c>
      <c r="C196" s="47" t="s">
        <v>278</v>
      </c>
      <c r="D196" s="37"/>
      <c r="E196" s="43"/>
      <c r="H196" s="13"/>
    </row>
    <row r="197" spans="1:8" hidden="1" x14ac:dyDescent="0.25">
      <c r="A197" s="13"/>
      <c r="B197" s="54" t="s">
        <v>173</v>
      </c>
      <c r="C197" s="50" t="s">
        <v>279</v>
      </c>
      <c r="D197" s="13"/>
      <c r="E197" s="43"/>
      <c r="H197" s="13"/>
    </row>
    <row r="198" spans="1:8" hidden="1" x14ac:dyDescent="0.25">
      <c r="A198" s="13"/>
      <c r="B198" s="52" t="s">
        <v>26</v>
      </c>
      <c r="C198" s="47" t="s">
        <v>280</v>
      </c>
      <c r="D198" s="37"/>
      <c r="E198" s="43"/>
      <c r="H198" s="13"/>
    </row>
    <row r="199" spans="1:8" hidden="1" x14ac:dyDescent="0.25">
      <c r="A199" s="13"/>
      <c r="B199" s="52" t="s">
        <v>27</v>
      </c>
      <c r="C199" s="47" t="s">
        <v>281</v>
      </c>
      <c r="D199" s="37"/>
      <c r="E199" s="43"/>
      <c r="H199" s="13"/>
    </row>
    <row r="200" spans="1:8" hidden="1" x14ac:dyDescent="0.25">
      <c r="A200" s="37"/>
      <c r="B200" s="47"/>
      <c r="C200" s="47"/>
      <c r="D200" s="37"/>
      <c r="E200" s="43"/>
      <c r="H200" s="37"/>
    </row>
    <row r="201" spans="1:8" hidden="1" x14ac:dyDescent="0.25">
      <c r="A201" s="38" t="s">
        <v>143</v>
      </c>
      <c r="B201" s="48" t="s">
        <v>88</v>
      </c>
      <c r="C201" s="53" t="s">
        <v>294</v>
      </c>
      <c r="D201" s="42"/>
      <c r="E201" s="43"/>
      <c r="H201" s="38"/>
    </row>
    <row r="202" spans="1:8" hidden="1" x14ac:dyDescent="0.25">
      <c r="A202" s="13"/>
      <c r="B202" s="52" t="s">
        <v>29</v>
      </c>
      <c r="C202" s="52" t="s">
        <v>282</v>
      </c>
      <c r="D202" s="39"/>
      <c r="E202" s="43"/>
      <c r="H202" s="13"/>
    </row>
    <row r="203" spans="1:8" hidden="1" x14ac:dyDescent="0.25">
      <c r="A203" s="13"/>
      <c r="B203" s="52" t="s">
        <v>31</v>
      </c>
      <c r="C203" s="47" t="s">
        <v>283</v>
      </c>
      <c r="D203" s="37"/>
      <c r="E203" s="43"/>
      <c r="H203" s="13"/>
    </row>
    <row r="204" spans="1:8" hidden="1" x14ac:dyDescent="0.25">
      <c r="A204" s="13"/>
      <c r="B204" s="52" t="s">
        <v>28</v>
      </c>
      <c r="C204" s="47" t="s">
        <v>284</v>
      </c>
      <c r="D204" s="37"/>
      <c r="E204" s="43"/>
      <c r="H204" s="13"/>
    </row>
    <row r="205" spans="1:8" hidden="1" x14ac:dyDescent="0.25">
      <c r="A205" s="13"/>
      <c r="B205" s="52" t="s">
        <v>36</v>
      </c>
      <c r="C205" s="47" t="s">
        <v>285</v>
      </c>
      <c r="D205" s="37"/>
      <c r="E205" s="43"/>
      <c r="H205" s="13"/>
    </row>
    <row r="206" spans="1:8" hidden="1" x14ac:dyDescent="0.25">
      <c r="A206" s="13"/>
      <c r="B206" s="52" t="s">
        <v>30</v>
      </c>
      <c r="C206" s="47" t="s">
        <v>286</v>
      </c>
      <c r="D206" s="37"/>
      <c r="E206" s="43"/>
      <c r="H206" s="13"/>
    </row>
    <row r="207" spans="1:8" hidden="1" x14ac:dyDescent="0.25">
      <c r="A207" s="13"/>
      <c r="B207" s="54" t="s">
        <v>144</v>
      </c>
      <c r="C207" s="50" t="s">
        <v>287</v>
      </c>
      <c r="D207" s="13"/>
      <c r="E207" s="43"/>
      <c r="H207" s="13"/>
    </row>
    <row r="208" spans="1:8" hidden="1" x14ac:dyDescent="0.25">
      <c r="A208" s="13"/>
      <c r="B208" s="52"/>
      <c r="C208" s="47"/>
      <c r="D208" s="37"/>
      <c r="E208" s="43"/>
      <c r="H208" s="13"/>
    </row>
    <row r="209" spans="1:9" hidden="1" x14ac:dyDescent="0.25">
      <c r="A209" s="38" t="s">
        <v>104</v>
      </c>
      <c r="B209" s="48" t="s">
        <v>88</v>
      </c>
      <c r="C209" s="53" t="s">
        <v>294</v>
      </c>
      <c r="D209" s="42"/>
      <c r="E209" s="43"/>
      <c r="H209" s="38"/>
    </row>
    <row r="210" spans="1:9" hidden="1" x14ac:dyDescent="0.25">
      <c r="A210" s="13"/>
      <c r="B210" s="52" t="s">
        <v>32</v>
      </c>
      <c r="C210" s="47" t="s">
        <v>288</v>
      </c>
      <c r="D210" s="37"/>
      <c r="E210" s="43"/>
      <c r="H210" s="13"/>
    </row>
    <row r="211" spans="1:9" hidden="1" x14ac:dyDescent="0.25">
      <c r="A211" s="13"/>
      <c r="B211" s="52" t="s">
        <v>34</v>
      </c>
      <c r="C211" s="47" t="s">
        <v>289</v>
      </c>
      <c r="D211" s="37"/>
      <c r="E211" s="43"/>
      <c r="H211" s="13"/>
    </row>
    <row r="212" spans="1:9" hidden="1" x14ac:dyDescent="0.25">
      <c r="A212" s="13"/>
      <c r="B212" s="52" t="s">
        <v>35</v>
      </c>
      <c r="C212" s="47" t="s">
        <v>290</v>
      </c>
      <c r="D212" s="37"/>
      <c r="E212" s="43"/>
      <c r="H212" s="13"/>
    </row>
    <row r="213" spans="1:9" hidden="1" x14ac:dyDescent="0.25">
      <c r="A213" s="13"/>
      <c r="B213" s="52" t="s">
        <v>174</v>
      </c>
      <c r="C213" s="47" t="s">
        <v>291</v>
      </c>
      <c r="D213" s="37"/>
      <c r="E213" s="43"/>
      <c r="H213" s="13"/>
    </row>
    <row r="214" spans="1:9" hidden="1" x14ac:dyDescent="0.25">
      <c r="A214" s="13"/>
      <c r="B214" s="54" t="s">
        <v>145</v>
      </c>
      <c r="C214" s="50" t="s">
        <v>292</v>
      </c>
      <c r="D214" s="13"/>
      <c r="E214" s="43"/>
      <c r="H214" s="13"/>
    </row>
    <row r="215" spans="1:9" hidden="1" x14ac:dyDescent="0.25">
      <c r="A215" s="13"/>
      <c r="B215" s="52" t="s">
        <v>33</v>
      </c>
      <c r="C215" s="47" t="s">
        <v>293</v>
      </c>
      <c r="D215" s="37"/>
      <c r="E215" s="43"/>
      <c r="H215" s="13"/>
    </row>
    <row r="216" spans="1:9" hidden="1" x14ac:dyDescent="0.25">
      <c r="B216" s="49"/>
      <c r="C216" s="49"/>
      <c r="E216" s="43"/>
    </row>
    <row r="217" spans="1:9" hidden="1" x14ac:dyDescent="0.25">
      <c r="B217" s="49"/>
      <c r="C217" s="49"/>
      <c r="E217" s="43"/>
    </row>
    <row r="218" spans="1:9" hidden="1" x14ac:dyDescent="0.25">
      <c r="A218" s="38" t="s">
        <v>17</v>
      </c>
      <c r="B218" s="48" t="s">
        <v>88</v>
      </c>
      <c r="C218" s="53" t="s">
        <v>294</v>
      </c>
      <c r="D218" s="42"/>
      <c r="E218" s="43"/>
    </row>
    <row r="219" spans="1:9" hidden="1" x14ac:dyDescent="0.25">
      <c r="B219" s="52" t="s">
        <v>152</v>
      </c>
      <c r="C219" s="47" t="s">
        <v>213</v>
      </c>
      <c r="D219" s="37"/>
      <c r="E219" s="43"/>
      <c r="I219" s="39"/>
    </row>
    <row r="220" spans="1:9" hidden="1" x14ac:dyDescent="0.25">
      <c r="B220" s="52" t="s">
        <v>59</v>
      </c>
      <c r="C220" s="47" t="s">
        <v>221</v>
      </c>
      <c r="D220" s="37"/>
      <c r="E220" s="43"/>
      <c r="I220" s="39"/>
    </row>
    <row r="221" spans="1:9" hidden="1" x14ac:dyDescent="0.25">
      <c r="B221" s="52" t="s">
        <v>124</v>
      </c>
      <c r="C221" s="47" t="s">
        <v>214</v>
      </c>
      <c r="D221" s="37"/>
      <c r="E221" s="43"/>
      <c r="I221" s="39"/>
    </row>
    <row r="222" spans="1:9" hidden="1" x14ac:dyDescent="0.25">
      <c r="B222" s="52" t="s">
        <v>58</v>
      </c>
      <c r="C222" s="47" t="s">
        <v>222</v>
      </c>
      <c r="D222" s="37"/>
      <c r="E222" s="43"/>
      <c r="I222" s="39"/>
    </row>
    <row r="223" spans="1:9" hidden="1" x14ac:dyDescent="0.25">
      <c r="B223" s="52" t="s">
        <v>56</v>
      </c>
      <c r="C223" s="47" t="s">
        <v>215</v>
      </c>
      <c r="D223" s="37"/>
      <c r="E223" s="43"/>
      <c r="I223" s="39"/>
    </row>
    <row r="224" spans="1:9" hidden="1" x14ac:dyDescent="0.25">
      <c r="B224" s="52" t="s">
        <v>154</v>
      </c>
      <c r="C224" s="47" t="s">
        <v>223</v>
      </c>
      <c r="D224" s="37"/>
      <c r="E224" s="43"/>
      <c r="I224" s="39"/>
    </row>
    <row r="225" spans="1:11" hidden="1" x14ac:dyDescent="0.25">
      <c r="B225" s="52" t="s">
        <v>55</v>
      </c>
      <c r="C225" s="47" t="s">
        <v>216</v>
      </c>
      <c r="D225" s="37"/>
      <c r="E225" s="43"/>
      <c r="I225" s="39"/>
    </row>
    <row r="226" spans="1:11" hidden="1" x14ac:dyDescent="0.25">
      <c r="B226" s="52" t="s">
        <v>155</v>
      </c>
      <c r="C226" s="47" t="s">
        <v>224</v>
      </c>
      <c r="D226" s="37"/>
      <c r="E226" s="43"/>
      <c r="I226" s="39"/>
    </row>
    <row r="227" spans="1:11" hidden="1" x14ac:dyDescent="0.25">
      <c r="B227" s="52" t="s">
        <v>153</v>
      </c>
      <c r="C227" s="47" t="s">
        <v>217</v>
      </c>
      <c r="D227" s="37"/>
      <c r="E227" s="43"/>
      <c r="I227" s="37"/>
      <c r="K227" s="37"/>
    </row>
    <row r="228" spans="1:11" hidden="1" x14ac:dyDescent="0.25">
      <c r="B228" s="52" t="s">
        <v>60</v>
      </c>
      <c r="C228" s="47" t="s">
        <v>225</v>
      </c>
      <c r="D228" s="37"/>
      <c r="E228" s="43"/>
      <c r="I228" s="37"/>
      <c r="K228" s="37"/>
    </row>
    <row r="229" spans="1:11" hidden="1" x14ac:dyDescent="0.25">
      <c r="B229" s="52" t="s">
        <v>53</v>
      </c>
      <c r="C229" s="47" t="s">
        <v>218</v>
      </c>
      <c r="D229" s="37"/>
      <c r="E229" s="43"/>
      <c r="I229" s="39"/>
    </row>
    <row r="230" spans="1:11" hidden="1" x14ac:dyDescent="0.25">
      <c r="B230" s="52" t="s">
        <v>125</v>
      </c>
      <c r="C230" s="47" t="s">
        <v>219</v>
      </c>
      <c r="D230" s="37"/>
      <c r="E230" s="43"/>
      <c r="I230" s="39"/>
    </row>
    <row r="231" spans="1:11" hidden="1" x14ac:dyDescent="0.25">
      <c r="B231" s="52" t="s">
        <v>54</v>
      </c>
      <c r="C231" s="47" t="s">
        <v>220</v>
      </c>
      <c r="D231" s="37"/>
      <c r="E231" s="43"/>
      <c r="I231" s="39"/>
    </row>
    <row r="232" spans="1:11" hidden="1" x14ac:dyDescent="0.25">
      <c r="B232" s="48" t="s">
        <v>88</v>
      </c>
      <c r="C232" s="53" t="s">
        <v>294</v>
      </c>
      <c r="D232" s="42"/>
      <c r="E232" s="43"/>
      <c r="I232" s="39"/>
    </row>
    <row r="233" spans="1:11" hidden="1" x14ac:dyDescent="0.25">
      <c r="A233" s="38" t="s">
        <v>176</v>
      </c>
      <c r="B233" s="52" t="s">
        <v>29</v>
      </c>
      <c r="C233" s="52" t="s">
        <v>282</v>
      </c>
      <c r="D233" s="39"/>
      <c r="E233" s="43"/>
      <c r="I233" s="39"/>
    </row>
    <row r="234" spans="1:11" hidden="1" x14ac:dyDescent="0.25">
      <c r="B234" s="52" t="s">
        <v>32</v>
      </c>
      <c r="C234" s="47" t="s">
        <v>288</v>
      </c>
      <c r="D234" s="37"/>
      <c r="E234" s="43"/>
      <c r="I234" s="39"/>
    </row>
    <row r="235" spans="1:11" hidden="1" x14ac:dyDescent="0.25">
      <c r="B235" s="52" t="s">
        <v>31</v>
      </c>
      <c r="C235" s="47" t="s">
        <v>283</v>
      </c>
      <c r="D235" s="37"/>
      <c r="E235" s="43"/>
      <c r="I235" s="39"/>
    </row>
    <row r="236" spans="1:11" hidden="1" x14ac:dyDescent="0.25">
      <c r="B236" s="52" t="s">
        <v>34</v>
      </c>
      <c r="C236" s="47" t="s">
        <v>289</v>
      </c>
      <c r="D236" s="37"/>
      <c r="E236" s="44"/>
      <c r="I236" s="39"/>
    </row>
    <row r="237" spans="1:11" hidden="1" x14ac:dyDescent="0.25">
      <c r="B237" s="52" t="s">
        <v>28</v>
      </c>
      <c r="C237" s="47" t="s">
        <v>284</v>
      </c>
      <c r="D237" s="37"/>
      <c r="E237" s="45"/>
      <c r="I237" s="39"/>
    </row>
    <row r="238" spans="1:11" hidden="1" x14ac:dyDescent="0.25">
      <c r="B238" s="52" t="s">
        <v>35</v>
      </c>
      <c r="C238" s="47" t="s">
        <v>290</v>
      </c>
      <c r="D238" s="37"/>
      <c r="E238" s="44"/>
      <c r="I238" s="40"/>
    </row>
    <row r="239" spans="1:11" hidden="1" x14ac:dyDescent="0.25">
      <c r="B239" s="52" t="s">
        <v>36</v>
      </c>
      <c r="C239" s="47" t="s">
        <v>285</v>
      </c>
      <c r="D239" s="37"/>
      <c r="E239" s="45"/>
      <c r="I239" s="39"/>
      <c r="K239" s="37"/>
    </row>
    <row r="240" spans="1:11" hidden="1" x14ac:dyDescent="0.25">
      <c r="B240" s="52" t="s">
        <v>174</v>
      </c>
      <c r="C240" s="47" t="s">
        <v>291</v>
      </c>
      <c r="D240" s="37"/>
      <c r="E240" s="43"/>
      <c r="I240" s="37"/>
      <c r="K240" s="37"/>
    </row>
    <row r="241" spans="1:9" hidden="1" x14ac:dyDescent="0.25">
      <c r="B241" s="52" t="s">
        <v>30</v>
      </c>
      <c r="C241" s="47" t="s">
        <v>286</v>
      </c>
      <c r="D241" s="37"/>
      <c r="E241" s="45"/>
      <c r="I241" s="39"/>
    </row>
    <row r="242" spans="1:9" hidden="1" x14ac:dyDescent="0.25">
      <c r="B242" s="54" t="s">
        <v>145</v>
      </c>
      <c r="C242" s="50" t="s">
        <v>292</v>
      </c>
      <c r="D242" s="13"/>
      <c r="E242" s="46"/>
      <c r="I242" s="39"/>
    </row>
    <row r="243" spans="1:9" hidden="1" x14ac:dyDescent="0.25">
      <c r="B243" s="54" t="s">
        <v>144</v>
      </c>
      <c r="C243" s="50" t="s">
        <v>287</v>
      </c>
      <c r="D243" s="13"/>
      <c r="E243" s="45"/>
      <c r="I243" s="39"/>
    </row>
    <row r="244" spans="1:9" hidden="1" x14ac:dyDescent="0.25">
      <c r="B244" s="52" t="s">
        <v>33</v>
      </c>
      <c r="C244" s="47" t="s">
        <v>293</v>
      </c>
      <c r="D244" s="37"/>
      <c r="E244" s="46"/>
      <c r="I244" s="39"/>
    </row>
    <row r="245" spans="1:9" hidden="1" x14ac:dyDescent="0.25">
      <c r="B245" s="48" t="s">
        <v>88</v>
      </c>
      <c r="C245" s="53" t="s">
        <v>294</v>
      </c>
      <c r="D245" s="42"/>
      <c r="E245" s="45"/>
      <c r="I245" s="40"/>
    </row>
    <row r="246" spans="1:9" hidden="1" x14ac:dyDescent="0.25">
      <c r="A246" s="38" t="s">
        <v>175</v>
      </c>
      <c r="B246" s="52" t="s">
        <v>138</v>
      </c>
      <c r="C246" s="47" t="s">
        <v>268</v>
      </c>
      <c r="D246" s="37"/>
      <c r="E246" s="46"/>
      <c r="I246" s="39"/>
    </row>
    <row r="247" spans="1:9" hidden="1" x14ac:dyDescent="0.25">
      <c r="B247" s="52" t="s">
        <v>152</v>
      </c>
      <c r="C247" s="47" t="s">
        <v>213</v>
      </c>
      <c r="D247" s="37"/>
      <c r="E247" s="45"/>
      <c r="I247" s="39"/>
    </row>
    <row r="248" spans="1:9" hidden="1" x14ac:dyDescent="0.25">
      <c r="B248" s="52" t="s">
        <v>38</v>
      </c>
      <c r="C248" s="47" t="s">
        <v>269</v>
      </c>
      <c r="D248" s="37"/>
      <c r="E248" s="46"/>
      <c r="I248" s="39"/>
    </row>
    <row r="249" spans="1:9" hidden="1" x14ac:dyDescent="0.25">
      <c r="B249" s="52" t="s">
        <v>59</v>
      </c>
      <c r="C249" s="47" t="s">
        <v>221</v>
      </c>
      <c r="D249" s="37"/>
      <c r="E249" s="45"/>
      <c r="I249" s="39"/>
    </row>
    <row r="250" spans="1:9" hidden="1" x14ac:dyDescent="0.25">
      <c r="B250" s="52" t="s">
        <v>39</v>
      </c>
      <c r="C250" s="47" t="s">
        <v>270</v>
      </c>
      <c r="D250" s="37"/>
      <c r="E250" s="46"/>
      <c r="I250" s="39"/>
    </row>
    <row r="251" spans="1:9" hidden="1" x14ac:dyDescent="0.25">
      <c r="B251" s="52" t="s">
        <v>124</v>
      </c>
      <c r="C251" s="47" t="s">
        <v>214</v>
      </c>
      <c r="D251" s="37"/>
      <c r="E251" s="45"/>
      <c r="I251" s="39"/>
    </row>
    <row r="252" spans="1:9" hidden="1" x14ac:dyDescent="0.25">
      <c r="B252" s="52" t="s">
        <v>139</v>
      </c>
      <c r="C252" s="47" t="s">
        <v>271</v>
      </c>
      <c r="D252" s="37"/>
      <c r="E252" s="46"/>
      <c r="I252" s="39"/>
    </row>
    <row r="253" spans="1:9" hidden="1" x14ac:dyDescent="0.25">
      <c r="B253" s="52" t="s">
        <v>58</v>
      </c>
      <c r="C253" s="47" t="s">
        <v>222</v>
      </c>
      <c r="D253" s="37"/>
      <c r="E253" s="45"/>
    </row>
    <row r="254" spans="1:9" hidden="1" x14ac:dyDescent="0.25">
      <c r="B254" s="52" t="s">
        <v>40</v>
      </c>
      <c r="C254" s="47" t="s">
        <v>272</v>
      </c>
      <c r="D254" s="37"/>
      <c r="E254" s="46"/>
    </row>
    <row r="255" spans="1:9" hidden="1" x14ac:dyDescent="0.25">
      <c r="B255" s="52" t="s">
        <v>56</v>
      </c>
      <c r="C255" s="47" t="s">
        <v>215</v>
      </c>
      <c r="D255" s="37"/>
      <c r="E255" s="45"/>
      <c r="I255" s="39"/>
    </row>
    <row r="256" spans="1:9" hidden="1" x14ac:dyDescent="0.25">
      <c r="B256" s="52" t="s">
        <v>140</v>
      </c>
      <c r="C256" s="47" t="s">
        <v>273</v>
      </c>
      <c r="D256" s="37"/>
      <c r="E256" s="46"/>
      <c r="I256" s="39"/>
    </row>
    <row r="257" spans="1:9" hidden="1" x14ac:dyDescent="0.25">
      <c r="B257" s="52" t="s">
        <v>154</v>
      </c>
      <c r="C257" s="47" t="s">
        <v>223</v>
      </c>
      <c r="D257" s="37"/>
      <c r="E257" s="45"/>
      <c r="I257" s="39"/>
    </row>
    <row r="258" spans="1:9" hidden="1" x14ac:dyDescent="0.25">
      <c r="B258" s="52" t="s">
        <v>141</v>
      </c>
      <c r="C258" s="47" t="s">
        <v>274</v>
      </c>
      <c r="D258" s="37"/>
      <c r="E258" s="46"/>
      <c r="I258" s="39"/>
    </row>
    <row r="259" spans="1:9" hidden="1" x14ac:dyDescent="0.25">
      <c r="B259" s="52" t="s">
        <v>55</v>
      </c>
      <c r="C259" s="47" t="s">
        <v>216</v>
      </c>
      <c r="D259" s="37"/>
      <c r="E259" s="45"/>
      <c r="I259" s="39"/>
    </row>
    <row r="260" spans="1:9" hidden="1" x14ac:dyDescent="0.25">
      <c r="B260" s="52" t="s">
        <v>155</v>
      </c>
      <c r="C260" s="47" t="s">
        <v>224</v>
      </c>
      <c r="D260" s="37"/>
      <c r="E260" s="46"/>
      <c r="I260" s="39"/>
    </row>
    <row r="261" spans="1:9" hidden="1" x14ac:dyDescent="0.25">
      <c r="B261" s="52" t="s">
        <v>153</v>
      </c>
      <c r="C261" s="47" t="s">
        <v>217</v>
      </c>
      <c r="D261" s="37"/>
      <c r="E261" s="45"/>
      <c r="I261" s="39"/>
    </row>
    <row r="262" spans="1:9" hidden="1" x14ac:dyDescent="0.25">
      <c r="B262" s="52" t="s">
        <v>60</v>
      </c>
      <c r="C262" s="47" t="s">
        <v>225</v>
      </c>
      <c r="D262" s="37"/>
      <c r="E262" s="46"/>
      <c r="I262" s="39"/>
    </row>
    <row r="263" spans="1:9" hidden="1" x14ac:dyDescent="0.25">
      <c r="B263" s="52" t="s">
        <v>53</v>
      </c>
      <c r="C263" s="47" t="s">
        <v>218</v>
      </c>
      <c r="D263" s="37"/>
      <c r="E263" s="45"/>
      <c r="I263" s="39"/>
    </row>
    <row r="264" spans="1:9" hidden="1" x14ac:dyDescent="0.25">
      <c r="B264" s="52" t="s">
        <v>125</v>
      </c>
      <c r="C264" s="47" t="s">
        <v>219</v>
      </c>
      <c r="D264" s="37"/>
      <c r="E264" s="46"/>
      <c r="I264" s="39"/>
    </row>
    <row r="265" spans="1:9" hidden="1" x14ac:dyDescent="0.25">
      <c r="B265" s="52" t="s">
        <v>54</v>
      </c>
      <c r="C265" s="47" t="s">
        <v>220</v>
      </c>
      <c r="D265" s="37"/>
      <c r="E265" s="45"/>
      <c r="I265" s="39"/>
    </row>
    <row r="266" spans="1:9" hidden="1" x14ac:dyDescent="0.25">
      <c r="B266" s="52"/>
      <c r="C266" s="47"/>
      <c r="D266" s="37"/>
      <c r="E266" s="45"/>
      <c r="I266" s="39"/>
    </row>
    <row r="267" spans="1:9" hidden="1" x14ac:dyDescent="0.25">
      <c r="B267" s="48" t="s">
        <v>88</v>
      </c>
      <c r="C267" s="53" t="s">
        <v>294</v>
      </c>
      <c r="D267" s="42"/>
      <c r="E267" s="46"/>
      <c r="I267" s="39"/>
    </row>
    <row r="268" spans="1:9" hidden="1" x14ac:dyDescent="0.25">
      <c r="A268" s="38" t="s">
        <v>177</v>
      </c>
      <c r="B268" s="52" t="s">
        <v>51</v>
      </c>
      <c r="C268" s="47" t="s">
        <v>200</v>
      </c>
      <c r="D268" s="37"/>
      <c r="E268" s="45"/>
      <c r="I268" s="37"/>
    </row>
    <row r="269" spans="1:9" hidden="1" x14ac:dyDescent="0.25">
      <c r="B269" s="52" t="s">
        <v>46</v>
      </c>
      <c r="C269" s="47" t="s">
        <v>204</v>
      </c>
      <c r="D269" s="37"/>
      <c r="E269" s="46"/>
      <c r="I269" s="39"/>
    </row>
    <row r="270" spans="1:9" hidden="1" x14ac:dyDescent="0.25">
      <c r="B270" s="52" t="s">
        <v>118</v>
      </c>
      <c r="C270" s="47" t="s">
        <v>201</v>
      </c>
      <c r="D270" s="37"/>
      <c r="E270" s="45"/>
      <c r="I270" s="39"/>
    </row>
    <row r="271" spans="1:9" hidden="1" x14ac:dyDescent="0.25">
      <c r="B271" s="52" t="s">
        <v>47</v>
      </c>
      <c r="C271" s="47" t="s">
        <v>205</v>
      </c>
      <c r="D271" s="37"/>
      <c r="E271" s="43"/>
      <c r="I271" s="39"/>
    </row>
    <row r="272" spans="1:9" hidden="1" x14ac:dyDescent="0.25">
      <c r="B272" s="52" t="s">
        <v>150</v>
      </c>
      <c r="C272" s="47" t="s">
        <v>202</v>
      </c>
      <c r="D272" s="37"/>
      <c r="E272" s="43"/>
      <c r="I272" s="39"/>
    </row>
    <row r="273" spans="2:11" hidden="1" x14ac:dyDescent="0.25">
      <c r="B273" s="52" t="s">
        <v>49</v>
      </c>
      <c r="C273" s="47" t="s">
        <v>206</v>
      </c>
      <c r="D273" s="37"/>
      <c r="E273" s="45"/>
      <c r="I273" s="37"/>
      <c r="K273" s="37"/>
    </row>
    <row r="274" spans="2:11" hidden="1" x14ac:dyDescent="0.25">
      <c r="B274" s="52" t="s">
        <v>50</v>
      </c>
      <c r="C274" s="47" t="s">
        <v>203</v>
      </c>
      <c r="D274" s="37"/>
      <c r="E274" s="45"/>
      <c r="I274" s="39"/>
      <c r="K274" s="37"/>
    </row>
    <row r="275" spans="2:11" hidden="1" x14ac:dyDescent="0.25">
      <c r="B275" s="52" t="s">
        <v>48</v>
      </c>
      <c r="C275" s="47" t="s">
        <v>207</v>
      </c>
      <c r="D275" s="37"/>
      <c r="E275" s="45"/>
      <c r="I275" s="39"/>
    </row>
    <row r="276" spans="2:11" hidden="1" x14ac:dyDescent="0.25">
      <c r="B276" s="52" t="s">
        <v>119</v>
      </c>
      <c r="C276" s="47" t="s">
        <v>208</v>
      </c>
      <c r="D276" s="37"/>
      <c r="E276" s="45"/>
      <c r="I276" s="39"/>
    </row>
    <row r="277" spans="2:11" hidden="1" x14ac:dyDescent="0.25"/>
    <row r="278" spans="2:11" hidden="1" x14ac:dyDescent="0.25">
      <c r="B278" t="s">
        <v>295</v>
      </c>
      <c r="C278" t="s">
        <v>296</v>
      </c>
      <c r="D278" t="s">
        <v>333</v>
      </c>
      <c r="E278" t="s">
        <v>335</v>
      </c>
    </row>
    <row r="279" spans="2:11" hidden="1" x14ac:dyDescent="0.25">
      <c r="B279" t="s">
        <v>77</v>
      </c>
      <c r="C279" s="37" t="s">
        <v>77</v>
      </c>
      <c r="D279" s="37" t="s">
        <v>312</v>
      </c>
      <c r="E279" s="37" t="str">
        <f>CONCATENATE(Table_Name[[#This Row],[Table name]],"[Link]")</f>
        <v>Abs[Link]</v>
      </c>
    </row>
    <row r="280" spans="2:11" hidden="1" x14ac:dyDescent="0.25">
      <c r="B280" t="s">
        <v>19</v>
      </c>
      <c r="C280" s="37" t="s">
        <v>19</v>
      </c>
      <c r="D280" s="37" t="s">
        <v>313</v>
      </c>
      <c r="E280" s="37" t="str">
        <f>CONCATENATE(Table_Name[[#This Row],[Table name]],"[Link]")</f>
        <v>Calves[Link]</v>
      </c>
    </row>
    <row r="281" spans="2:11" hidden="1" x14ac:dyDescent="0.25">
      <c r="B281" t="s">
        <v>18</v>
      </c>
      <c r="C281" s="37" t="s">
        <v>18</v>
      </c>
      <c r="D281" s="37" t="s">
        <v>314</v>
      </c>
      <c r="E281" s="37" t="str">
        <f>CONCATENATE(Table_Name[[#This Row],[Table name]],"[Link]")</f>
        <v>Biceps[Link]</v>
      </c>
    </row>
    <row r="282" spans="2:11" hidden="1" x14ac:dyDescent="0.25">
      <c r="B282" t="s">
        <v>117</v>
      </c>
      <c r="C282" s="37" t="s">
        <v>297</v>
      </c>
      <c r="D282" s="37" t="s">
        <v>315</v>
      </c>
      <c r="E282" s="37" t="str">
        <f>CONCATENATE(Table_Name[[#This Row],[Table name]],"[Link]")</f>
        <v>Rear_Delts[Link]</v>
      </c>
    </row>
    <row r="283" spans="2:11" hidden="1" x14ac:dyDescent="0.25">
      <c r="B283" t="s">
        <v>105</v>
      </c>
      <c r="C283" s="37" t="s">
        <v>298</v>
      </c>
      <c r="D283" s="37" t="s">
        <v>316</v>
      </c>
      <c r="E283" s="37" t="str">
        <f>CONCATENATE(Table_Name[[#This Row],[Table name]],"[Link]")</f>
        <v>Side_Delts[Link]</v>
      </c>
    </row>
    <row r="284" spans="2:11" hidden="1" x14ac:dyDescent="0.25">
      <c r="B284" t="s">
        <v>120</v>
      </c>
      <c r="C284" s="37" t="s">
        <v>120</v>
      </c>
      <c r="D284" s="37" t="s">
        <v>317</v>
      </c>
      <c r="E284" s="37" t="str">
        <f>CONCATENATE(Table_Name[[#This Row],[Table name]],"[Link]")</f>
        <v>Traps[Link]</v>
      </c>
    </row>
    <row r="285" spans="2:11" hidden="1" x14ac:dyDescent="0.25">
      <c r="B285" t="s">
        <v>52</v>
      </c>
      <c r="C285" s="37" t="s">
        <v>299</v>
      </c>
      <c r="D285" s="37" t="s">
        <v>318</v>
      </c>
      <c r="E285" s="37" t="str">
        <f>CONCATENATE(Table_Name[[#This Row],[Table name]],"[Link]")</f>
        <v>Horizontal_Triceps[Link]</v>
      </c>
    </row>
    <row r="286" spans="2:11" hidden="1" x14ac:dyDescent="0.25">
      <c r="B286" t="s">
        <v>57</v>
      </c>
      <c r="C286" s="37" t="s">
        <v>300</v>
      </c>
      <c r="D286" s="37" t="s">
        <v>319</v>
      </c>
      <c r="E286" s="37" t="str">
        <f>CONCATENATE(Table_Name[[#This Row],[Table name]],"[Link]")</f>
        <v>Vertical_Triceps[Link]</v>
      </c>
    </row>
    <row r="287" spans="2:11" hidden="1" x14ac:dyDescent="0.25">
      <c r="B287" t="s">
        <v>338</v>
      </c>
      <c r="C287" s="37" t="s">
        <v>301</v>
      </c>
      <c r="D287" s="37" t="s">
        <v>334</v>
      </c>
      <c r="E287" s="37" t="str">
        <f>CONCATENATE(Table_Name[[#This Row],[Table name]],"[Link]")</f>
        <v>Horizonal_Back[Link]</v>
      </c>
    </row>
    <row r="288" spans="2:11" hidden="1" x14ac:dyDescent="0.25">
      <c r="B288" t="s">
        <v>339</v>
      </c>
      <c r="C288" s="37" t="s">
        <v>302</v>
      </c>
      <c r="D288" s="37" t="s">
        <v>320</v>
      </c>
      <c r="E288" s="37" t="str">
        <f>CONCATENATE(Table_Name[[#This Row],[Table name]],"[Link]")</f>
        <v>Vertical_Back[Link]</v>
      </c>
    </row>
    <row r="289" spans="2:5" hidden="1" x14ac:dyDescent="0.25">
      <c r="B289" t="s">
        <v>20</v>
      </c>
      <c r="C289" s="37" t="s">
        <v>20</v>
      </c>
      <c r="D289" s="37" t="s">
        <v>321</v>
      </c>
      <c r="E289" s="37" t="str">
        <f>CONCATENATE(Table_Name[[#This Row],[Table name]],"[Link]")</f>
        <v>Quads[Link]</v>
      </c>
    </row>
    <row r="290" spans="2:5" hidden="1" x14ac:dyDescent="0.25">
      <c r="B290" t="s">
        <v>108</v>
      </c>
      <c r="C290" s="37" t="s">
        <v>108</v>
      </c>
      <c r="D290" s="37" t="s">
        <v>322</v>
      </c>
      <c r="E290" s="37" t="str">
        <f>CONCATENATE(Table_Name[[#This Row],[Table name]],"[Link]")</f>
        <v>Glutes[Link]</v>
      </c>
    </row>
    <row r="291" spans="2:5" hidden="1" x14ac:dyDescent="0.25">
      <c r="B291" t="s">
        <v>107</v>
      </c>
      <c r="C291" s="37" t="s">
        <v>303</v>
      </c>
      <c r="D291" s="37" t="s">
        <v>323</v>
      </c>
      <c r="E291" s="37" t="str">
        <f>CONCATENATE(Table_Name[[#This Row],[Table name]],"[Link]")</f>
        <v>Hamstrings_Hip_Hinge[Link]</v>
      </c>
    </row>
    <row r="292" spans="2:5" hidden="1" x14ac:dyDescent="0.25">
      <c r="B292" t="s">
        <v>106</v>
      </c>
      <c r="C292" s="37" t="s">
        <v>304</v>
      </c>
      <c r="D292" s="37" t="s">
        <v>324</v>
      </c>
      <c r="E292" s="37" t="str">
        <f>CONCATENATE(Table_Name[[#This Row],[Table name]],"[Link]")</f>
        <v>Hamstrings_Isolation[Link]</v>
      </c>
    </row>
    <row r="293" spans="2:5" hidden="1" x14ac:dyDescent="0.25">
      <c r="B293" t="s">
        <v>37</v>
      </c>
      <c r="C293" s="37" t="s">
        <v>305</v>
      </c>
      <c r="D293" s="37" t="s">
        <v>325</v>
      </c>
      <c r="E293" s="37" t="str">
        <f>CONCATENATE(Table_Name[[#This Row],[Table name]],"[Link]")</f>
        <v>Chest_Isolation[Link]</v>
      </c>
    </row>
    <row r="294" spans="2:5" hidden="1" x14ac:dyDescent="0.25">
      <c r="B294" t="s">
        <v>344</v>
      </c>
      <c r="C294" s="37" t="s">
        <v>306</v>
      </c>
      <c r="D294" s="37" t="s">
        <v>326</v>
      </c>
      <c r="E294" s="37" t="str">
        <f>CONCATENATE(Table_Name[[#This Row],[Table name]],"[Link]")</f>
        <v>Horizontal_Push[Link]</v>
      </c>
    </row>
    <row r="295" spans="2:5" hidden="1" x14ac:dyDescent="0.25">
      <c r="B295" t="s">
        <v>343</v>
      </c>
      <c r="C295" s="37" t="s">
        <v>307</v>
      </c>
      <c r="D295" s="37" t="s">
        <v>327</v>
      </c>
      <c r="E295" s="37" t="str">
        <f>CONCATENATE(Table_Name[[#This Row],[Table name]],"[Link]")</f>
        <v>Incline_Push[Link]</v>
      </c>
    </row>
    <row r="296" spans="2:5" hidden="1" x14ac:dyDescent="0.25">
      <c r="B296" t="s">
        <v>104</v>
      </c>
      <c r="C296" s="37" t="s">
        <v>308</v>
      </c>
      <c r="D296" s="37" t="s">
        <v>328</v>
      </c>
      <c r="E296" s="37" t="str">
        <f>CONCATENATE(Table_Name[[#This Row],[Table name]],"[Link]")</f>
        <v>Front_Delts[Link]</v>
      </c>
    </row>
    <row r="297" spans="2:5" hidden="1" x14ac:dyDescent="0.25">
      <c r="B297" t="s">
        <v>17</v>
      </c>
      <c r="C297" s="37" t="s">
        <v>17</v>
      </c>
      <c r="D297" s="37" t="s">
        <v>329</v>
      </c>
      <c r="E297" s="37" t="str">
        <f>CONCATENATE(Table_Name[[#This Row],[Table name]],"[Link]")</f>
        <v>Triceps[Link]</v>
      </c>
    </row>
    <row r="298" spans="2:5" hidden="1" x14ac:dyDescent="0.25">
      <c r="B298" t="s">
        <v>176</v>
      </c>
      <c r="C298" s="37" t="s">
        <v>309</v>
      </c>
      <c r="D298" s="37" t="s">
        <v>330</v>
      </c>
      <c r="E298" s="37" t="str">
        <f>CONCATENATE(Table_Name[[#This Row],[Table name]],"[Link]")</f>
        <v>Incline_Push_or_Front_Delts[Link]</v>
      </c>
    </row>
    <row r="299" spans="2:5" hidden="1" x14ac:dyDescent="0.25">
      <c r="B299" t="s">
        <v>175</v>
      </c>
      <c r="C299" s="37" t="s">
        <v>310</v>
      </c>
      <c r="D299" s="37" t="s">
        <v>331</v>
      </c>
      <c r="E299" s="37" t="str">
        <f>CONCATENATE(Table_Name[[#This Row],[Table name]],"[Link]")</f>
        <v>Chest_Isolation_or_Triceps[Link]</v>
      </c>
    </row>
    <row r="300" spans="2:5" hidden="1" x14ac:dyDescent="0.25">
      <c r="B300" t="s">
        <v>340</v>
      </c>
      <c r="C300" s="37" t="s">
        <v>311</v>
      </c>
      <c r="D300" s="37" t="s">
        <v>332</v>
      </c>
      <c r="E300" s="37" t="str">
        <f>CONCATENATE(Table_Name[[#This Row],[Table name]],"[Link]")</f>
        <v>Rear_or_Side_Delts[Link]</v>
      </c>
    </row>
    <row r="301" spans="2:5" hidden="1" x14ac:dyDescent="0.25"/>
    <row r="302" spans="2:5" hidden="1" x14ac:dyDescent="0.25">
      <c r="B302" s="9" t="s">
        <v>88</v>
      </c>
      <c r="C302" t="s">
        <v>294</v>
      </c>
      <c r="D302" s="9" t="s">
        <v>295</v>
      </c>
    </row>
    <row r="303" spans="2:5" hidden="1" x14ac:dyDescent="0.25">
      <c r="B303" s="37" t="s">
        <v>109</v>
      </c>
      <c r="C303" t="s">
        <v>178</v>
      </c>
      <c r="D303" t="s">
        <v>77</v>
      </c>
    </row>
    <row r="304" spans="2:5" hidden="1" x14ac:dyDescent="0.25">
      <c r="B304" s="37" t="s">
        <v>79</v>
      </c>
      <c r="C304" t="s">
        <v>179</v>
      </c>
      <c r="D304" t="s">
        <v>77</v>
      </c>
    </row>
    <row r="305" spans="2:4" hidden="1" x14ac:dyDescent="0.25">
      <c r="B305" s="37" t="s">
        <v>80</v>
      </c>
      <c r="C305" t="s">
        <v>180</v>
      </c>
      <c r="D305" t="s">
        <v>77</v>
      </c>
    </row>
    <row r="306" spans="2:4" hidden="1" x14ac:dyDescent="0.25">
      <c r="B306" s="37" t="s">
        <v>78</v>
      </c>
      <c r="C306" t="s">
        <v>181</v>
      </c>
      <c r="D306" t="s">
        <v>77</v>
      </c>
    </row>
    <row r="307" spans="2:4" hidden="1" x14ac:dyDescent="0.25">
      <c r="B307" s="39" t="s">
        <v>110</v>
      </c>
      <c r="C307" t="s">
        <v>182</v>
      </c>
      <c r="D307" t="s">
        <v>77</v>
      </c>
    </row>
    <row r="308" spans="2:4" hidden="1" x14ac:dyDescent="0.25">
      <c r="B308" s="37" t="s">
        <v>81</v>
      </c>
      <c r="C308" t="s">
        <v>183</v>
      </c>
      <c r="D308" t="s">
        <v>77</v>
      </c>
    </row>
    <row r="309" spans="2:4" hidden="1" x14ac:dyDescent="0.25">
      <c r="B309" s="37" t="s">
        <v>146</v>
      </c>
      <c r="C309" t="s">
        <v>184</v>
      </c>
      <c r="D309" t="s">
        <v>77</v>
      </c>
    </row>
    <row r="310" spans="2:4" hidden="1" x14ac:dyDescent="0.25">
      <c r="B310" s="37" t="s">
        <v>61</v>
      </c>
      <c r="C310" t="s">
        <v>189</v>
      </c>
      <c r="D310" t="s">
        <v>18</v>
      </c>
    </row>
    <row r="311" spans="2:4" hidden="1" x14ac:dyDescent="0.25">
      <c r="B311" s="37" t="s">
        <v>62</v>
      </c>
      <c r="C311" t="s">
        <v>190</v>
      </c>
      <c r="D311" t="s">
        <v>18</v>
      </c>
    </row>
    <row r="312" spans="2:4" hidden="1" x14ac:dyDescent="0.25">
      <c r="B312" s="37" t="s">
        <v>112</v>
      </c>
      <c r="C312" t="s">
        <v>191</v>
      </c>
      <c r="D312" t="s">
        <v>18</v>
      </c>
    </row>
    <row r="313" spans="2:4" hidden="1" x14ac:dyDescent="0.25">
      <c r="B313" s="37" t="s">
        <v>63</v>
      </c>
      <c r="C313" t="s">
        <v>192</v>
      </c>
      <c r="D313" t="s">
        <v>18</v>
      </c>
    </row>
    <row r="314" spans="2:4" hidden="1" x14ac:dyDescent="0.25">
      <c r="B314" s="37" t="s">
        <v>113</v>
      </c>
      <c r="C314" t="s">
        <v>193</v>
      </c>
      <c r="D314" t="s">
        <v>18</v>
      </c>
    </row>
    <row r="315" spans="2:4" hidden="1" x14ac:dyDescent="0.25">
      <c r="B315" s="37" t="s">
        <v>114</v>
      </c>
      <c r="C315" t="s">
        <v>194</v>
      </c>
      <c r="D315" t="s">
        <v>18</v>
      </c>
    </row>
    <row r="316" spans="2:4" hidden="1" x14ac:dyDescent="0.25">
      <c r="B316" s="37" t="s">
        <v>147</v>
      </c>
      <c r="C316" t="s">
        <v>195</v>
      </c>
      <c r="D316" t="s">
        <v>18</v>
      </c>
    </row>
    <row r="317" spans="2:4" hidden="1" x14ac:dyDescent="0.25">
      <c r="B317" s="37" t="s">
        <v>148</v>
      </c>
      <c r="C317" t="s">
        <v>196</v>
      </c>
      <c r="D317" t="s">
        <v>18</v>
      </c>
    </row>
    <row r="318" spans="2:4" hidden="1" x14ac:dyDescent="0.25">
      <c r="B318" s="39" t="s">
        <v>115</v>
      </c>
      <c r="C318" t="s">
        <v>197</v>
      </c>
      <c r="D318" t="s">
        <v>18</v>
      </c>
    </row>
    <row r="319" spans="2:4" hidden="1" x14ac:dyDescent="0.25">
      <c r="B319" s="37" t="s">
        <v>116</v>
      </c>
      <c r="C319" t="s">
        <v>198</v>
      </c>
      <c r="D319" t="s">
        <v>18</v>
      </c>
    </row>
    <row r="320" spans="2:4" hidden="1" x14ac:dyDescent="0.25">
      <c r="B320" s="37" t="s">
        <v>149</v>
      </c>
      <c r="C320" t="s">
        <v>199</v>
      </c>
      <c r="D320" t="s">
        <v>18</v>
      </c>
    </row>
    <row r="321" spans="2:4" hidden="1" x14ac:dyDescent="0.25">
      <c r="B321" s="37" t="s">
        <v>111</v>
      </c>
      <c r="C321" t="s">
        <v>185</v>
      </c>
      <c r="D321" t="s">
        <v>19</v>
      </c>
    </row>
    <row r="322" spans="2:4" hidden="1" x14ac:dyDescent="0.25">
      <c r="B322" s="37" t="s">
        <v>75</v>
      </c>
      <c r="C322" t="s">
        <v>186</v>
      </c>
      <c r="D322" t="s">
        <v>19</v>
      </c>
    </row>
    <row r="323" spans="2:4" hidden="1" x14ac:dyDescent="0.25">
      <c r="B323" s="37" t="s">
        <v>74</v>
      </c>
      <c r="C323" t="s">
        <v>187</v>
      </c>
      <c r="D323" t="s">
        <v>19</v>
      </c>
    </row>
    <row r="324" spans="2:4" hidden="1" x14ac:dyDescent="0.25">
      <c r="B324" s="37" t="s">
        <v>76</v>
      </c>
      <c r="C324" t="s">
        <v>188</v>
      </c>
      <c r="D324" t="s">
        <v>19</v>
      </c>
    </row>
    <row r="325" spans="2:4" hidden="1" x14ac:dyDescent="0.25">
      <c r="B325" s="37" t="s">
        <v>138</v>
      </c>
      <c r="C325" t="s">
        <v>268</v>
      </c>
      <c r="D325" t="s">
        <v>37</v>
      </c>
    </row>
    <row r="326" spans="2:4" hidden="1" x14ac:dyDescent="0.25">
      <c r="B326" s="37" t="s">
        <v>38</v>
      </c>
      <c r="C326" t="s">
        <v>269</v>
      </c>
      <c r="D326" t="s">
        <v>37</v>
      </c>
    </row>
    <row r="327" spans="2:4" hidden="1" x14ac:dyDescent="0.25">
      <c r="B327" s="37" t="s">
        <v>39</v>
      </c>
      <c r="C327" t="s">
        <v>270</v>
      </c>
      <c r="D327" t="s">
        <v>37</v>
      </c>
    </row>
    <row r="328" spans="2:4" hidden="1" x14ac:dyDescent="0.25">
      <c r="B328" s="37" t="s">
        <v>139</v>
      </c>
      <c r="C328" t="s">
        <v>271</v>
      </c>
      <c r="D328" t="s">
        <v>37</v>
      </c>
    </row>
    <row r="329" spans="2:4" hidden="1" x14ac:dyDescent="0.25">
      <c r="B329" s="37" t="s">
        <v>40</v>
      </c>
      <c r="C329" t="s">
        <v>272</v>
      </c>
      <c r="D329" t="s">
        <v>37</v>
      </c>
    </row>
    <row r="330" spans="2:4" hidden="1" x14ac:dyDescent="0.25">
      <c r="B330" s="37" t="s">
        <v>140</v>
      </c>
      <c r="C330" t="s">
        <v>273</v>
      </c>
      <c r="D330" t="s">
        <v>37</v>
      </c>
    </row>
    <row r="331" spans="2:4" hidden="1" x14ac:dyDescent="0.25">
      <c r="B331" s="37" t="s">
        <v>141</v>
      </c>
      <c r="C331" t="s">
        <v>274</v>
      </c>
      <c r="D331" t="s">
        <v>37</v>
      </c>
    </row>
    <row r="332" spans="2:4" hidden="1" x14ac:dyDescent="0.25">
      <c r="B332" s="37" t="s">
        <v>138</v>
      </c>
      <c r="C332" t="s">
        <v>268</v>
      </c>
      <c r="D332" t="s">
        <v>175</v>
      </c>
    </row>
    <row r="333" spans="2:4" hidden="1" x14ac:dyDescent="0.25">
      <c r="B333" s="37" t="s">
        <v>152</v>
      </c>
      <c r="C333" t="s">
        <v>213</v>
      </c>
      <c r="D333" t="s">
        <v>175</v>
      </c>
    </row>
    <row r="334" spans="2:4" hidden="1" x14ac:dyDescent="0.25">
      <c r="B334" s="37" t="s">
        <v>38</v>
      </c>
      <c r="C334" t="s">
        <v>269</v>
      </c>
      <c r="D334" t="s">
        <v>175</v>
      </c>
    </row>
    <row r="335" spans="2:4" hidden="1" x14ac:dyDescent="0.25">
      <c r="B335" s="37" t="s">
        <v>59</v>
      </c>
      <c r="C335" t="s">
        <v>221</v>
      </c>
      <c r="D335" t="s">
        <v>175</v>
      </c>
    </row>
    <row r="336" spans="2:4" hidden="1" x14ac:dyDescent="0.25">
      <c r="B336" s="37" t="s">
        <v>39</v>
      </c>
      <c r="C336" t="s">
        <v>270</v>
      </c>
      <c r="D336" t="s">
        <v>175</v>
      </c>
    </row>
    <row r="337" spans="2:4" hidden="1" x14ac:dyDescent="0.25">
      <c r="B337" s="37" t="s">
        <v>124</v>
      </c>
      <c r="C337" t="s">
        <v>214</v>
      </c>
      <c r="D337" t="s">
        <v>175</v>
      </c>
    </row>
    <row r="338" spans="2:4" hidden="1" x14ac:dyDescent="0.25">
      <c r="B338" s="37" t="s">
        <v>139</v>
      </c>
      <c r="C338" t="s">
        <v>271</v>
      </c>
      <c r="D338" t="s">
        <v>175</v>
      </c>
    </row>
    <row r="339" spans="2:4" hidden="1" x14ac:dyDescent="0.25">
      <c r="B339" s="37" t="s">
        <v>58</v>
      </c>
      <c r="C339" t="s">
        <v>222</v>
      </c>
      <c r="D339" t="s">
        <v>175</v>
      </c>
    </row>
    <row r="340" spans="2:4" hidden="1" x14ac:dyDescent="0.25">
      <c r="B340" s="37" t="s">
        <v>40</v>
      </c>
      <c r="C340" t="s">
        <v>272</v>
      </c>
      <c r="D340" t="s">
        <v>175</v>
      </c>
    </row>
    <row r="341" spans="2:4" hidden="1" x14ac:dyDescent="0.25">
      <c r="B341" s="37" t="s">
        <v>56</v>
      </c>
      <c r="C341" t="s">
        <v>215</v>
      </c>
      <c r="D341" t="s">
        <v>175</v>
      </c>
    </row>
    <row r="342" spans="2:4" hidden="1" x14ac:dyDescent="0.25">
      <c r="B342" s="37" t="s">
        <v>140</v>
      </c>
      <c r="C342" t="s">
        <v>273</v>
      </c>
      <c r="D342" t="s">
        <v>175</v>
      </c>
    </row>
    <row r="343" spans="2:4" hidden="1" x14ac:dyDescent="0.25">
      <c r="B343" s="37" t="s">
        <v>154</v>
      </c>
      <c r="C343" t="s">
        <v>223</v>
      </c>
      <c r="D343" t="s">
        <v>175</v>
      </c>
    </row>
    <row r="344" spans="2:4" hidden="1" x14ac:dyDescent="0.25">
      <c r="B344" s="37" t="s">
        <v>141</v>
      </c>
      <c r="C344" t="s">
        <v>274</v>
      </c>
      <c r="D344" t="s">
        <v>175</v>
      </c>
    </row>
    <row r="345" spans="2:4" hidden="1" x14ac:dyDescent="0.25">
      <c r="B345" s="37" t="s">
        <v>55</v>
      </c>
      <c r="C345" t="s">
        <v>216</v>
      </c>
      <c r="D345" t="s">
        <v>175</v>
      </c>
    </row>
    <row r="346" spans="2:4" hidden="1" x14ac:dyDescent="0.25">
      <c r="B346" s="37" t="s">
        <v>155</v>
      </c>
      <c r="C346" t="s">
        <v>224</v>
      </c>
      <c r="D346" t="s">
        <v>175</v>
      </c>
    </row>
    <row r="347" spans="2:4" hidden="1" x14ac:dyDescent="0.25">
      <c r="B347" s="37" t="s">
        <v>153</v>
      </c>
      <c r="C347" t="s">
        <v>217</v>
      </c>
      <c r="D347" t="s">
        <v>175</v>
      </c>
    </row>
    <row r="348" spans="2:4" hidden="1" x14ac:dyDescent="0.25">
      <c r="B348" s="37" t="s">
        <v>60</v>
      </c>
      <c r="C348" t="s">
        <v>225</v>
      </c>
      <c r="D348" t="s">
        <v>175</v>
      </c>
    </row>
    <row r="349" spans="2:4" hidden="1" x14ac:dyDescent="0.25">
      <c r="B349" s="37" t="s">
        <v>53</v>
      </c>
      <c r="C349" t="s">
        <v>218</v>
      </c>
      <c r="D349" t="s">
        <v>175</v>
      </c>
    </row>
    <row r="350" spans="2:4" hidden="1" x14ac:dyDescent="0.25">
      <c r="B350" s="37" t="s">
        <v>125</v>
      </c>
      <c r="C350" t="s">
        <v>219</v>
      </c>
      <c r="D350" t="s">
        <v>175</v>
      </c>
    </row>
    <row r="351" spans="2:4" hidden="1" x14ac:dyDescent="0.25">
      <c r="B351" s="37" t="s">
        <v>54</v>
      </c>
      <c r="C351" t="s">
        <v>220</v>
      </c>
      <c r="D351" t="s">
        <v>175</v>
      </c>
    </row>
    <row r="352" spans="2:4" hidden="1" x14ac:dyDescent="0.25">
      <c r="B352" s="37" t="s">
        <v>32</v>
      </c>
      <c r="C352" t="s">
        <v>288</v>
      </c>
      <c r="D352" t="s">
        <v>104</v>
      </c>
    </row>
    <row r="353" spans="2:4" hidden="1" x14ac:dyDescent="0.25">
      <c r="B353" s="37" t="s">
        <v>34</v>
      </c>
      <c r="C353" t="s">
        <v>289</v>
      </c>
      <c r="D353" t="s">
        <v>104</v>
      </c>
    </row>
    <row r="354" spans="2:4" hidden="1" x14ac:dyDescent="0.25">
      <c r="B354" s="37" t="s">
        <v>35</v>
      </c>
      <c r="C354" t="s">
        <v>290</v>
      </c>
      <c r="D354" t="s">
        <v>104</v>
      </c>
    </row>
    <row r="355" spans="2:4" hidden="1" x14ac:dyDescent="0.25">
      <c r="B355" s="37" t="s">
        <v>174</v>
      </c>
      <c r="C355" t="s">
        <v>291</v>
      </c>
      <c r="D355" t="s">
        <v>104</v>
      </c>
    </row>
    <row r="356" spans="2:4" hidden="1" x14ac:dyDescent="0.25">
      <c r="B356" s="13" t="s">
        <v>145</v>
      </c>
      <c r="C356" t="s">
        <v>292</v>
      </c>
      <c r="D356" t="s">
        <v>104</v>
      </c>
    </row>
    <row r="357" spans="2:4" hidden="1" x14ac:dyDescent="0.25">
      <c r="B357" s="37" t="s">
        <v>33</v>
      </c>
      <c r="C357" t="s">
        <v>293</v>
      </c>
      <c r="D357" t="s">
        <v>104</v>
      </c>
    </row>
    <row r="358" spans="2:4" hidden="1" x14ac:dyDescent="0.25">
      <c r="B358" s="37" t="s">
        <v>66</v>
      </c>
      <c r="C358" t="s">
        <v>253</v>
      </c>
      <c r="D358" t="s">
        <v>108</v>
      </c>
    </row>
    <row r="359" spans="2:4" hidden="1" x14ac:dyDescent="0.25">
      <c r="B359" s="37" t="s">
        <v>67</v>
      </c>
      <c r="C359" t="s">
        <v>254</v>
      </c>
      <c r="D359" t="s">
        <v>108</v>
      </c>
    </row>
    <row r="360" spans="2:4" hidden="1" x14ac:dyDescent="0.25">
      <c r="B360" s="37" t="s">
        <v>133</v>
      </c>
      <c r="C360" t="s">
        <v>255</v>
      </c>
      <c r="D360" t="s">
        <v>108</v>
      </c>
    </row>
    <row r="361" spans="2:4" hidden="1" x14ac:dyDescent="0.25">
      <c r="B361" s="37" t="s">
        <v>170</v>
      </c>
      <c r="C361" t="s">
        <v>256</v>
      </c>
      <c r="D361" t="s">
        <v>108</v>
      </c>
    </row>
    <row r="362" spans="2:4" hidden="1" x14ac:dyDescent="0.25">
      <c r="B362" s="37" t="s">
        <v>70</v>
      </c>
      <c r="C362" t="s">
        <v>257</v>
      </c>
      <c r="D362" t="s">
        <v>108</v>
      </c>
    </row>
    <row r="363" spans="2:4" hidden="1" x14ac:dyDescent="0.25">
      <c r="B363" s="37" t="s">
        <v>69</v>
      </c>
      <c r="C363" t="s">
        <v>258</v>
      </c>
      <c r="D363" t="s">
        <v>108</v>
      </c>
    </row>
    <row r="364" spans="2:4" hidden="1" x14ac:dyDescent="0.25">
      <c r="B364" s="37" t="s">
        <v>134</v>
      </c>
      <c r="C364" t="s">
        <v>259</v>
      </c>
      <c r="D364" t="s">
        <v>108</v>
      </c>
    </row>
    <row r="365" spans="2:4" hidden="1" x14ac:dyDescent="0.25">
      <c r="B365" s="37" t="s">
        <v>171</v>
      </c>
      <c r="C365" t="s">
        <v>260</v>
      </c>
      <c r="D365" t="s">
        <v>108</v>
      </c>
    </row>
    <row r="366" spans="2:4" hidden="1" x14ac:dyDescent="0.25">
      <c r="B366" s="37" t="s">
        <v>135</v>
      </c>
      <c r="C366" t="s">
        <v>261</v>
      </c>
      <c r="D366" t="s">
        <v>107</v>
      </c>
    </row>
    <row r="367" spans="2:4" hidden="1" x14ac:dyDescent="0.25">
      <c r="B367" s="37" t="s">
        <v>71</v>
      </c>
      <c r="C367" t="s">
        <v>262</v>
      </c>
      <c r="D367" t="s">
        <v>107</v>
      </c>
    </row>
    <row r="368" spans="2:4" hidden="1" x14ac:dyDescent="0.25">
      <c r="B368" s="37" t="s">
        <v>72</v>
      </c>
      <c r="C368" t="s">
        <v>263</v>
      </c>
      <c r="D368" t="s">
        <v>107</v>
      </c>
    </row>
    <row r="369" spans="2:4" hidden="1" x14ac:dyDescent="0.25">
      <c r="B369" s="37" t="s">
        <v>136</v>
      </c>
      <c r="C369" t="s">
        <v>264</v>
      </c>
      <c r="D369" t="s">
        <v>107</v>
      </c>
    </row>
    <row r="370" spans="2:4" hidden="1" x14ac:dyDescent="0.25">
      <c r="B370" s="37" t="s">
        <v>172</v>
      </c>
      <c r="C370" t="s">
        <v>265</v>
      </c>
      <c r="D370" t="s">
        <v>106</v>
      </c>
    </row>
    <row r="371" spans="2:4" hidden="1" x14ac:dyDescent="0.25">
      <c r="B371" s="37" t="s">
        <v>73</v>
      </c>
      <c r="C371" t="s">
        <v>266</v>
      </c>
      <c r="D371" t="s">
        <v>106</v>
      </c>
    </row>
    <row r="372" spans="2:4" hidden="1" x14ac:dyDescent="0.25">
      <c r="B372" s="37" t="s">
        <v>137</v>
      </c>
      <c r="C372" t="s">
        <v>267</v>
      </c>
      <c r="D372" t="s">
        <v>106</v>
      </c>
    </row>
    <row r="373" spans="2:4" hidden="1" x14ac:dyDescent="0.25">
      <c r="B373" s="37" t="s">
        <v>156</v>
      </c>
      <c r="C373" t="s">
        <v>226</v>
      </c>
      <c r="D373" t="s">
        <v>126</v>
      </c>
    </row>
    <row r="374" spans="2:4" hidden="1" x14ac:dyDescent="0.25">
      <c r="B374" s="37" t="s">
        <v>157</v>
      </c>
      <c r="C374" t="s">
        <v>227</v>
      </c>
      <c r="D374" t="s">
        <v>126</v>
      </c>
    </row>
    <row r="375" spans="2:4" hidden="1" x14ac:dyDescent="0.25">
      <c r="B375" s="37" t="s">
        <v>158</v>
      </c>
      <c r="C375" t="s">
        <v>228</v>
      </c>
      <c r="D375" t="s">
        <v>126</v>
      </c>
    </row>
    <row r="376" spans="2:4" hidden="1" x14ac:dyDescent="0.25">
      <c r="B376" s="37" t="s">
        <v>42</v>
      </c>
      <c r="C376" t="s">
        <v>229</v>
      </c>
      <c r="D376" t="s">
        <v>126</v>
      </c>
    </row>
    <row r="377" spans="2:4" hidden="1" x14ac:dyDescent="0.25">
      <c r="B377" s="37" t="s">
        <v>127</v>
      </c>
      <c r="C377" t="s">
        <v>230</v>
      </c>
      <c r="D377" t="s">
        <v>126</v>
      </c>
    </row>
    <row r="378" spans="2:4" hidden="1" x14ac:dyDescent="0.25">
      <c r="B378" s="37" t="s">
        <v>128</v>
      </c>
      <c r="C378" t="s">
        <v>231</v>
      </c>
      <c r="D378" t="s">
        <v>126</v>
      </c>
    </row>
    <row r="379" spans="2:4" hidden="1" x14ac:dyDescent="0.25">
      <c r="B379" s="37" t="s">
        <v>41</v>
      </c>
      <c r="C379" t="s">
        <v>232</v>
      </c>
      <c r="D379" t="s">
        <v>126</v>
      </c>
    </row>
    <row r="380" spans="2:4" hidden="1" x14ac:dyDescent="0.25">
      <c r="B380" s="37" t="s">
        <v>129</v>
      </c>
      <c r="C380" t="s">
        <v>233</v>
      </c>
      <c r="D380" t="s">
        <v>126</v>
      </c>
    </row>
    <row r="381" spans="2:4" hidden="1" x14ac:dyDescent="0.25">
      <c r="B381" s="37" t="s">
        <v>23</v>
      </c>
      <c r="C381" t="s">
        <v>275</v>
      </c>
      <c r="D381" t="s">
        <v>22</v>
      </c>
    </row>
    <row r="382" spans="2:4" hidden="1" x14ac:dyDescent="0.25">
      <c r="B382" s="37" t="s">
        <v>25</v>
      </c>
      <c r="C382" t="s">
        <v>276</v>
      </c>
      <c r="D382" t="s">
        <v>22</v>
      </c>
    </row>
    <row r="383" spans="2:4" hidden="1" x14ac:dyDescent="0.25">
      <c r="B383" s="37" t="s">
        <v>142</v>
      </c>
      <c r="C383" t="s">
        <v>277</v>
      </c>
      <c r="D383" t="s">
        <v>22</v>
      </c>
    </row>
    <row r="384" spans="2:4" hidden="1" x14ac:dyDescent="0.25">
      <c r="B384" s="37" t="s">
        <v>24</v>
      </c>
      <c r="C384" t="s">
        <v>278</v>
      </c>
      <c r="D384" t="s">
        <v>22</v>
      </c>
    </row>
    <row r="385" spans="2:4" hidden="1" x14ac:dyDescent="0.25">
      <c r="B385" s="13" t="s">
        <v>173</v>
      </c>
      <c r="C385" t="s">
        <v>279</v>
      </c>
      <c r="D385" t="s">
        <v>22</v>
      </c>
    </row>
    <row r="386" spans="2:4" hidden="1" x14ac:dyDescent="0.25">
      <c r="B386" s="37" t="s">
        <v>26</v>
      </c>
      <c r="C386" t="s">
        <v>280</v>
      </c>
      <c r="D386" t="s">
        <v>22</v>
      </c>
    </row>
    <row r="387" spans="2:4" hidden="1" x14ac:dyDescent="0.25">
      <c r="B387" s="37" t="s">
        <v>27</v>
      </c>
      <c r="C387" t="s">
        <v>281</v>
      </c>
      <c r="D387" t="s">
        <v>22</v>
      </c>
    </row>
    <row r="388" spans="2:4" hidden="1" x14ac:dyDescent="0.25">
      <c r="B388" s="37" t="s">
        <v>152</v>
      </c>
      <c r="C388" t="s">
        <v>213</v>
      </c>
      <c r="D388" t="s">
        <v>52</v>
      </c>
    </row>
    <row r="389" spans="2:4" hidden="1" x14ac:dyDescent="0.25">
      <c r="B389" s="37" t="s">
        <v>124</v>
      </c>
      <c r="C389" t="s">
        <v>214</v>
      </c>
      <c r="D389" t="s">
        <v>52</v>
      </c>
    </row>
    <row r="390" spans="2:4" hidden="1" x14ac:dyDescent="0.25">
      <c r="B390" s="37" t="s">
        <v>56</v>
      </c>
      <c r="C390" t="s">
        <v>215</v>
      </c>
      <c r="D390" t="s">
        <v>52</v>
      </c>
    </row>
    <row r="391" spans="2:4" hidden="1" x14ac:dyDescent="0.25">
      <c r="B391" s="37" t="s">
        <v>55</v>
      </c>
      <c r="C391" t="s">
        <v>216</v>
      </c>
      <c r="D391" t="s">
        <v>52</v>
      </c>
    </row>
    <row r="392" spans="2:4" hidden="1" x14ac:dyDescent="0.25">
      <c r="B392" s="37" t="s">
        <v>153</v>
      </c>
      <c r="C392" t="s">
        <v>217</v>
      </c>
      <c r="D392" t="s">
        <v>52</v>
      </c>
    </row>
    <row r="393" spans="2:4" hidden="1" x14ac:dyDescent="0.25">
      <c r="B393" s="37" t="s">
        <v>53</v>
      </c>
      <c r="C393" t="s">
        <v>218</v>
      </c>
      <c r="D393" t="s">
        <v>52</v>
      </c>
    </row>
    <row r="394" spans="2:4" hidden="1" x14ac:dyDescent="0.25">
      <c r="B394" s="37" t="s">
        <v>125</v>
      </c>
      <c r="C394" t="s">
        <v>219</v>
      </c>
      <c r="D394" t="s">
        <v>52</v>
      </c>
    </row>
    <row r="395" spans="2:4" hidden="1" x14ac:dyDescent="0.25">
      <c r="B395" s="37" t="s">
        <v>54</v>
      </c>
      <c r="C395" t="s">
        <v>220</v>
      </c>
      <c r="D395" t="s">
        <v>52</v>
      </c>
    </row>
    <row r="396" spans="2:4" hidden="1" x14ac:dyDescent="0.25">
      <c r="B396" s="39" t="s">
        <v>29</v>
      </c>
      <c r="C396" t="s">
        <v>282</v>
      </c>
      <c r="D396" t="s">
        <v>143</v>
      </c>
    </row>
    <row r="397" spans="2:4" hidden="1" x14ac:dyDescent="0.25">
      <c r="B397" s="37" t="s">
        <v>31</v>
      </c>
      <c r="C397" t="s">
        <v>283</v>
      </c>
      <c r="D397" t="s">
        <v>143</v>
      </c>
    </row>
    <row r="398" spans="2:4" hidden="1" x14ac:dyDescent="0.25">
      <c r="B398" s="37" t="s">
        <v>28</v>
      </c>
      <c r="C398" t="s">
        <v>284</v>
      </c>
      <c r="D398" t="s">
        <v>143</v>
      </c>
    </row>
    <row r="399" spans="2:4" hidden="1" x14ac:dyDescent="0.25">
      <c r="B399" s="37" t="s">
        <v>36</v>
      </c>
      <c r="C399" t="s">
        <v>285</v>
      </c>
      <c r="D399" t="s">
        <v>143</v>
      </c>
    </row>
    <row r="400" spans="2:4" hidden="1" x14ac:dyDescent="0.25">
      <c r="B400" s="37" t="s">
        <v>30</v>
      </c>
      <c r="C400" t="s">
        <v>286</v>
      </c>
      <c r="D400" t="s">
        <v>143</v>
      </c>
    </row>
    <row r="401" spans="2:4" hidden="1" x14ac:dyDescent="0.25">
      <c r="B401" s="13" t="s">
        <v>144</v>
      </c>
      <c r="C401" t="s">
        <v>287</v>
      </c>
      <c r="D401" t="s">
        <v>143</v>
      </c>
    </row>
    <row r="402" spans="2:4" hidden="1" x14ac:dyDescent="0.25">
      <c r="B402" s="39" t="s">
        <v>29</v>
      </c>
      <c r="C402" t="s">
        <v>282</v>
      </c>
      <c r="D402" t="s">
        <v>176</v>
      </c>
    </row>
    <row r="403" spans="2:4" hidden="1" x14ac:dyDescent="0.25">
      <c r="B403" s="37" t="s">
        <v>32</v>
      </c>
      <c r="C403" t="s">
        <v>288</v>
      </c>
      <c r="D403" t="s">
        <v>176</v>
      </c>
    </row>
    <row r="404" spans="2:4" hidden="1" x14ac:dyDescent="0.25">
      <c r="B404" s="37" t="s">
        <v>31</v>
      </c>
      <c r="C404" t="s">
        <v>283</v>
      </c>
      <c r="D404" t="s">
        <v>176</v>
      </c>
    </row>
    <row r="405" spans="2:4" hidden="1" x14ac:dyDescent="0.25">
      <c r="B405" s="37" t="s">
        <v>34</v>
      </c>
      <c r="C405" t="s">
        <v>289</v>
      </c>
      <c r="D405" t="s">
        <v>176</v>
      </c>
    </row>
    <row r="406" spans="2:4" hidden="1" x14ac:dyDescent="0.25">
      <c r="B406" s="37" t="s">
        <v>28</v>
      </c>
      <c r="C406" t="s">
        <v>284</v>
      </c>
      <c r="D406" t="s">
        <v>176</v>
      </c>
    </row>
    <row r="407" spans="2:4" hidden="1" x14ac:dyDescent="0.25">
      <c r="B407" s="37" t="s">
        <v>35</v>
      </c>
      <c r="C407" t="s">
        <v>290</v>
      </c>
      <c r="D407" t="s">
        <v>176</v>
      </c>
    </row>
    <row r="408" spans="2:4" hidden="1" x14ac:dyDescent="0.25">
      <c r="B408" s="37" t="s">
        <v>36</v>
      </c>
      <c r="C408" t="s">
        <v>285</v>
      </c>
      <c r="D408" t="s">
        <v>176</v>
      </c>
    </row>
    <row r="409" spans="2:4" hidden="1" x14ac:dyDescent="0.25">
      <c r="B409" s="37" t="s">
        <v>174</v>
      </c>
      <c r="C409" t="s">
        <v>291</v>
      </c>
      <c r="D409" t="s">
        <v>176</v>
      </c>
    </row>
    <row r="410" spans="2:4" hidden="1" x14ac:dyDescent="0.25">
      <c r="B410" s="37" t="s">
        <v>30</v>
      </c>
      <c r="C410" t="s">
        <v>286</v>
      </c>
      <c r="D410" t="s">
        <v>176</v>
      </c>
    </row>
    <row r="411" spans="2:4" hidden="1" x14ac:dyDescent="0.25">
      <c r="B411" s="13" t="s">
        <v>145</v>
      </c>
      <c r="C411" t="s">
        <v>292</v>
      </c>
      <c r="D411" t="s">
        <v>176</v>
      </c>
    </row>
    <row r="412" spans="2:4" hidden="1" x14ac:dyDescent="0.25">
      <c r="B412" s="13" t="s">
        <v>144</v>
      </c>
      <c r="C412" t="s">
        <v>287</v>
      </c>
      <c r="D412" t="s">
        <v>176</v>
      </c>
    </row>
    <row r="413" spans="2:4" hidden="1" x14ac:dyDescent="0.25">
      <c r="B413" s="37" t="s">
        <v>33</v>
      </c>
      <c r="C413" t="s">
        <v>293</v>
      </c>
      <c r="D413" t="s">
        <v>176</v>
      </c>
    </row>
    <row r="414" spans="2:4" hidden="1" x14ac:dyDescent="0.25">
      <c r="B414" s="37" t="s">
        <v>64</v>
      </c>
      <c r="C414" t="s">
        <v>246</v>
      </c>
      <c r="D414" t="s">
        <v>20</v>
      </c>
    </row>
    <row r="415" spans="2:4" hidden="1" x14ac:dyDescent="0.25">
      <c r="B415" s="37" t="s">
        <v>167</v>
      </c>
      <c r="C415" t="s">
        <v>247</v>
      </c>
      <c r="D415" t="s">
        <v>20</v>
      </c>
    </row>
    <row r="416" spans="2:4" hidden="1" x14ac:dyDescent="0.25">
      <c r="B416" s="37" t="s">
        <v>168</v>
      </c>
      <c r="C416" t="s">
        <v>248</v>
      </c>
      <c r="D416" t="s">
        <v>20</v>
      </c>
    </row>
    <row r="417" spans="2:4" hidden="1" x14ac:dyDescent="0.25">
      <c r="B417" s="37" t="s">
        <v>65</v>
      </c>
      <c r="C417" t="s">
        <v>249</v>
      </c>
      <c r="D417" t="s">
        <v>20</v>
      </c>
    </row>
    <row r="418" spans="2:4" hidden="1" x14ac:dyDescent="0.25">
      <c r="B418" s="37" t="s">
        <v>132</v>
      </c>
      <c r="C418" t="s">
        <v>250</v>
      </c>
      <c r="D418" t="s">
        <v>20</v>
      </c>
    </row>
    <row r="419" spans="2:4" hidden="1" x14ac:dyDescent="0.25">
      <c r="B419" s="37" t="s">
        <v>68</v>
      </c>
      <c r="C419" t="s">
        <v>251</v>
      </c>
      <c r="D419" t="s">
        <v>20</v>
      </c>
    </row>
    <row r="420" spans="2:4" hidden="1" x14ac:dyDescent="0.25">
      <c r="B420" s="37" t="s">
        <v>169</v>
      </c>
      <c r="C420" t="s">
        <v>252</v>
      </c>
      <c r="D420" t="s">
        <v>20</v>
      </c>
    </row>
    <row r="421" spans="2:4" hidden="1" x14ac:dyDescent="0.25">
      <c r="B421" s="37" t="s">
        <v>51</v>
      </c>
      <c r="C421" t="s">
        <v>200</v>
      </c>
      <c r="D421" t="s">
        <v>117</v>
      </c>
    </row>
    <row r="422" spans="2:4" hidden="1" x14ac:dyDescent="0.25">
      <c r="B422" s="37" t="s">
        <v>118</v>
      </c>
      <c r="C422" t="s">
        <v>201</v>
      </c>
      <c r="D422" t="s">
        <v>117</v>
      </c>
    </row>
    <row r="423" spans="2:4" hidden="1" x14ac:dyDescent="0.25">
      <c r="B423" s="37" t="s">
        <v>150</v>
      </c>
      <c r="C423" t="s">
        <v>202</v>
      </c>
      <c r="D423" t="s">
        <v>117</v>
      </c>
    </row>
    <row r="424" spans="2:4" hidden="1" x14ac:dyDescent="0.25">
      <c r="B424" s="37" t="s">
        <v>50</v>
      </c>
      <c r="C424" t="s">
        <v>203</v>
      </c>
      <c r="D424" t="s">
        <v>117</v>
      </c>
    </row>
    <row r="425" spans="2:4" hidden="1" x14ac:dyDescent="0.25">
      <c r="B425" s="37" t="s">
        <v>51</v>
      </c>
      <c r="C425" t="s">
        <v>200</v>
      </c>
      <c r="D425" t="s">
        <v>177</v>
      </c>
    </row>
    <row r="426" spans="2:4" hidden="1" x14ac:dyDescent="0.25">
      <c r="B426" s="37" t="s">
        <v>46</v>
      </c>
      <c r="C426" t="s">
        <v>204</v>
      </c>
      <c r="D426" t="s">
        <v>177</v>
      </c>
    </row>
    <row r="427" spans="2:4" hidden="1" x14ac:dyDescent="0.25">
      <c r="B427" s="37" t="s">
        <v>118</v>
      </c>
      <c r="C427" t="s">
        <v>201</v>
      </c>
      <c r="D427" t="s">
        <v>177</v>
      </c>
    </row>
    <row r="428" spans="2:4" hidden="1" x14ac:dyDescent="0.25">
      <c r="B428" s="37" t="s">
        <v>47</v>
      </c>
      <c r="C428" t="s">
        <v>205</v>
      </c>
      <c r="D428" t="s">
        <v>177</v>
      </c>
    </row>
    <row r="429" spans="2:4" hidden="1" x14ac:dyDescent="0.25">
      <c r="B429" s="37" t="s">
        <v>150</v>
      </c>
      <c r="C429" t="s">
        <v>202</v>
      </c>
      <c r="D429" t="s">
        <v>177</v>
      </c>
    </row>
    <row r="430" spans="2:4" hidden="1" x14ac:dyDescent="0.25">
      <c r="B430" s="37" t="s">
        <v>49</v>
      </c>
      <c r="C430" t="s">
        <v>206</v>
      </c>
      <c r="D430" t="s">
        <v>177</v>
      </c>
    </row>
    <row r="431" spans="2:4" hidden="1" x14ac:dyDescent="0.25">
      <c r="B431" s="37" t="s">
        <v>50</v>
      </c>
      <c r="C431" t="s">
        <v>203</v>
      </c>
      <c r="D431" t="s">
        <v>177</v>
      </c>
    </row>
    <row r="432" spans="2:4" hidden="1" x14ac:dyDescent="0.25">
      <c r="B432" s="37" t="s">
        <v>48</v>
      </c>
      <c r="C432" t="s">
        <v>207</v>
      </c>
      <c r="D432" t="s">
        <v>177</v>
      </c>
    </row>
    <row r="433" spans="2:4" hidden="1" x14ac:dyDescent="0.25">
      <c r="B433" s="37" t="s">
        <v>119</v>
      </c>
      <c r="C433" t="s">
        <v>208</v>
      </c>
      <c r="D433" t="s">
        <v>177</v>
      </c>
    </row>
    <row r="434" spans="2:4" hidden="1" x14ac:dyDescent="0.25">
      <c r="B434" s="37" t="s">
        <v>46</v>
      </c>
      <c r="C434" t="s">
        <v>204</v>
      </c>
      <c r="D434" s="38" t="s">
        <v>105</v>
      </c>
    </row>
    <row r="435" spans="2:4" hidden="1" x14ac:dyDescent="0.25">
      <c r="B435" s="37" t="s">
        <v>47</v>
      </c>
      <c r="C435" t="s">
        <v>205</v>
      </c>
      <c r="D435" s="38" t="s">
        <v>105</v>
      </c>
    </row>
    <row r="436" spans="2:4" hidden="1" x14ac:dyDescent="0.25">
      <c r="B436" s="37" t="s">
        <v>49</v>
      </c>
      <c r="C436" t="s">
        <v>206</v>
      </c>
      <c r="D436" s="38" t="s">
        <v>105</v>
      </c>
    </row>
    <row r="437" spans="2:4" hidden="1" x14ac:dyDescent="0.25">
      <c r="B437" s="37" t="s">
        <v>48</v>
      </c>
      <c r="C437" t="s">
        <v>207</v>
      </c>
      <c r="D437" s="38" t="s">
        <v>105</v>
      </c>
    </row>
    <row r="438" spans="2:4" hidden="1" x14ac:dyDescent="0.25">
      <c r="B438" s="37" t="s">
        <v>119</v>
      </c>
      <c r="C438" t="s">
        <v>208</v>
      </c>
      <c r="D438" s="38" t="s">
        <v>105</v>
      </c>
    </row>
    <row r="439" spans="2:4" hidden="1" x14ac:dyDescent="0.25">
      <c r="B439" s="37" t="s">
        <v>151</v>
      </c>
      <c r="C439" t="s">
        <v>209</v>
      </c>
      <c r="D439" t="s">
        <v>120</v>
      </c>
    </row>
    <row r="440" spans="2:4" hidden="1" x14ac:dyDescent="0.25">
      <c r="B440" s="37" t="s">
        <v>121</v>
      </c>
      <c r="C440" t="s">
        <v>210</v>
      </c>
      <c r="D440" t="s">
        <v>120</v>
      </c>
    </row>
    <row r="441" spans="2:4" hidden="1" x14ac:dyDescent="0.25">
      <c r="B441" s="37" t="s">
        <v>122</v>
      </c>
      <c r="C441" t="s">
        <v>211</v>
      </c>
      <c r="D441" t="s">
        <v>120</v>
      </c>
    </row>
    <row r="442" spans="2:4" hidden="1" x14ac:dyDescent="0.25">
      <c r="B442" s="37" t="s">
        <v>123</v>
      </c>
      <c r="C442" t="s">
        <v>212</v>
      </c>
      <c r="D442" t="s">
        <v>120</v>
      </c>
    </row>
    <row r="443" spans="2:4" hidden="1" x14ac:dyDescent="0.25">
      <c r="B443" s="37" t="s">
        <v>152</v>
      </c>
      <c r="C443" t="s">
        <v>213</v>
      </c>
      <c r="D443" t="s">
        <v>17</v>
      </c>
    </row>
    <row r="444" spans="2:4" hidden="1" x14ac:dyDescent="0.25">
      <c r="B444" s="37" t="s">
        <v>59</v>
      </c>
      <c r="C444" t="s">
        <v>221</v>
      </c>
      <c r="D444" t="s">
        <v>17</v>
      </c>
    </row>
    <row r="445" spans="2:4" hidden="1" x14ac:dyDescent="0.25">
      <c r="B445" s="37" t="s">
        <v>124</v>
      </c>
      <c r="C445" t="s">
        <v>214</v>
      </c>
      <c r="D445" t="s">
        <v>17</v>
      </c>
    </row>
    <row r="446" spans="2:4" hidden="1" x14ac:dyDescent="0.25">
      <c r="B446" s="37" t="s">
        <v>58</v>
      </c>
      <c r="C446" t="s">
        <v>222</v>
      </c>
      <c r="D446" t="s">
        <v>17</v>
      </c>
    </row>
    <row r="447" spans="2:4" hidden="1" x14ac:dyDescent="0.25">
      <c r="B447" s="37" t="s">
        <v>56</v>
      </c>
      <c r="C447" t="s">
        <v>215</v>
      </c>
      <c r="D447" t="s">
        <v>17</v>
      </c>
    </row>
    <row r="448" spans="2:4" hidden="1" x14ac:dyDescent="0.25">
      <c r="B448" s="37" t="s">
        <v>154</v>
      </c>
      <c r="C448" t="s">
        <v>223</v>
      </c>
      <c r="D448" t="s">
        <v>17</v>
      </c>
    </row>
    <row r="449" spans="2:4" hidden="1" x14ac:dyDescent="0.25">
      <c r="B449" s="37" t="s">
        <v>55</v>
      </c>
      <c r="C449" t="s">
        <v>216</v>
      </c>
      <c r="D449" t="s">
        <v>17</v>
      </c>
    </row>
    <row r="450" spans="2:4" hidden="1" x14ac:dyDescent="0.25">
      <c r="B450" s="37" t="s">
        <v>155</v>
      </c>
      <c r="C450" t="s">
        <v>224</v>
      </c>
      <c r="D450" t="s">
        <v>17</v>
      </c>
    </row>
    <row r="451" spans="2:4" hidden="1" x14ac:dyDescent="0.25">
      <c r="B451" s="37" t="s">
        <v>153</v>
      </c>
      <c r="C451" t="s">
        <v>217</v>
      </c>
      <c r="D451" t="s">
        <v>17</v>
      </c>
    </row>
    <row r="452" spans="2:4" hidden="1" x14ac:dyDescent="0.25">
      <c r="B452" s="37" t="s">
        <v>60</v>
      </c>
      <c r="C452" t="s">
        <v>225</v>
      </c>
      <c r="D452" t="s">
        <v>17</v>
      </c>
    </row>
    <row r="453" spans="2:4" hidden="1" x14ac:dyDescent="0.25">
      <c r="B453" s="37" t="s">
        <v>53</v>
      </c>
      <c r="C453" t="s">
        <v>218</v>
      </c>
      <c r="D453" t="s">
        <v>17</v>
      </c>
    </row>
    <row r="454" spans="2:4" hidden="1" x14ac:dyDescent="0.25">
      <c r="B454" s="37" t="s">
        <v>125</v>
      </c>
      <c r="C454" t="s">
        <v>219</v>
      </c>
      <c r="D454" t="s">
        <v>17</v>
      </c>
    </row>
    <row r="455" spans="2:4" hidden="1" x14ac:dyDescent="0.25">
      <c r="B455" s="37" t="s">
        <v>54</v>
      </c>
      <c r="C455" t="s">
        <v>220</v>
      </c>
      <c r="D455" t="s">
        <v>17</v>
      </c>
    </row>
    <row r="456" spans="2:4" hidden="1" x14ac:dyDescent="0.25">
      <c r="B456" s="37" t="s">
        <v>131</v>
      </c>
      <c r="C456" t="s">
        <v>234</v>
      </c>
      <c r="D456" t="s">
        <v>130</v>
      </c>
    </row>
    <row r="457" spans="2:4" hidden="1" x14ac:dyDescent="0.25">
      <c r="B457" s="37" t="s">
        <v>159</v>
      </c>
      <c r="C457" t="s">
        <v>235</v>
      </c>
      <c r="D457" t="s">
        <v>130</v>
      </c>
    </row>
    <row r="458" spans="2:4" hidden="1" x14ac:dyDescent="0.25">
      <c r="B458" s="37" t="s">
        <v>160</v>
      </c>
      <c r="C458" t="s">
        <v>236</v>
      </c>
      <c r="D458" t="s">
        <v>130</v>
      </c>
    </row>
    <row r="459" spans="2:4" hidden="1" x14ac:dyDescent="0.25">
      <c r="B459" s="37" t="s">
        <v>161</v>
      </c>
      <c r="C459" t="s">
        <v>237</v>
      </c>
      <c r="D459" t="s">
        <v>130</v>
      </c>
    </row>
    <row r="460" spans="2:4" hidden="1" x14ac:dyDescent="0.25">
      <c r="B460" s="37" t="s">
        <v>162</v>
      </c>
      <c r="C460" t="s">
        <v>238</v>
      </c>
      <c r="D460" t="s">
        <v>130</v>
      </c>
    </row>
    <row r="461" spans="2:4" hidden="1" x14ac:dyDescent="0.25">
      <c r="B461" s="39" t="s">
        <v>163</v>
      </c>
      <c r="C461" t="s">
        <v>239</v>
      </c>
      <c r="D461" t="s">
        <v>130</v>
      </c>
    </row>
    <row r="462" spans="2:4" hidden="1" x14ac:dyDescent="0.25">
      <c r="B462" s="39" t="s">
        <v>164</v>
      </c>
      <c r="C462" t="s">
        <v>240</v>
      </c>
      <c r="D462" t="s">
        <v>130</v>
      </c>
    </row>
    <row r="463" spans="2:4" hidden="1" x14ac:dyDescent="0.25">
      <c r="B463" s="37" t="s">
        <v>43</v>
      </c>
      <c r="C463" t="s">
        <v>241</v>
      </c>
      <c r="D463" t="s">
        <v>130</v>
      </c>
    </row>
    <row r="464" spans="2:4" hidden="1" x14ac:dyDescent="0.25">
      <c r="B464" s="39" t="s">
        <v>165</v>
      </c>
      <c r="C464" t="s">
        <v>242</v>
      </c>
      <c r="D464" t="s">
        <v>130</v>
      </c>
    </row>
    <row r="465" spans="2:4" hidden="1" x14ac:dyDescent="0.25">
      <c r="B465" s="39" t="s">
        <v>166</v>
      </c>
      <c r="C465" t="s">
        <v>243</v>
      </c>
      <c r="D465" t="s">
        <v>130</v>
      </c>
    </row>
    <row r="466" spans="2:4" hidden="1" x14ac:dyDescent="0.25">
      <c r="B466" s="37" t="s">
        <v>44</v>
      </c>
      <c r="C466" t="s">
        <v>244</v>
      </c>
      <c r="D466" t="s">
        <v>130</v>
      </c>
    </row>
    <row r="467" spans="2:4" hidden="1" x14ac:dyDescent="0.25">
      <c r="B467" s="39" t="s">
        <v>45</v>
      </c>
      <c r="C467" t="s">
        <v>245</v>
      </c>
      <c r="D467" t="s">
        <v>130</v>
      </c>
    </row>
    <row r="468" spans="2:4" hidden="1" x14ac:dyDescent="0.25">
      <c r="B468" s="37" t="s">
        <v>59</v>
      </c>
      <c r="C468" t="s">
        <v>221</v>
      </c>
      <c r="D468" t="s">
        <v>57</v>
      </c>
    </row>
    <row r="469" spans="2:4" hidden="1" x14ac:dyDescent="0.25">
      <c r="B469" s="37" t="s">
        <v>58</v>
      </c>
      <c r="C469" t="s">
        <v>222</v>
      </c>
      <c r="D469" t="s">
        <v>57</v>
      </c>
    </row>
    <row r="470" spans="2:4" hidden="1" x14ac:dyDescent="0.25">
      <c r="B470" s="37" t="s">
        <v>154</v>
      </c>
      <c r="C470" t="s">
        <v>223</v>
      </c>
      <c r="D470" t="s">
        <v>57</v>
      </c>
    </row>
    <row r="471" spans="2:4" hidden="1" x14ac:dyDescent="0.25">
      <c r="B471" s="37" t="s">
        <v>155</v>
      </c>
      <c r="C471" t="s">
        <v>224</v>
      </c>
      <c r="D471" t="s">
        <v>57</v>
      </c>
    </row>
    <row r="472" spans="2:4" hidden="1" x14ac:dyDescent="0.25">
      <c r="B472" s="37" t="s">
        <v>60</v>
      </c>
      <c r="C472" t="s">
        <v>225</v>
      </c>
      <c r="D472" t="s">
        <v>57</v>
      </c>
    </row>
  </sheetData>
  <dataConsolidate/>
  <mergeCells count="25">
    <mergeCell ref="T33:Y33"/>
    <mergeCell ref="T41:Y41"/>
    <mergeCell ref="Z33:AE33"/>
    <mergeCell ref="Z41:AE41"/>
    <mergeCell ref="AF17:AI17"/>
    <mergeCell ref="AF24:AI24"/>
    <mergeCell ref="AF33:AI33"/>
    <mergeCell ref="AF41:AI41"/>
    <mergeCell ref="T17:Y17"/>
    <mergeCell ref="T24:Y24"/>
    <mergeCell ref="Z17:AE17"/>
    <mergeCell ref="Z24:AE24"/>
    <mergeCell ref="H17:M17"/>
    <mergeCell ref="H24:M24"/>
    <mergeCell ref="H33:M33"/>
    <mergeCell ref="H41:M41"/>
    <mergeCell ref="N17:S17"/>
    <mergeCell ref="N24:S24"/>
    <mergeCell ref="N33:S33"/>
    <mergeCell ref="N41:S41"/>
    <mergeCell ref="H8:M8"/>
    <mergeCell ref="N8:S8"/>
    <mergeCell ref="T8:Y8"/>
    <mergeCell ref="Z8:AE8"/>
    <mergeCell ref="AF8:AI8"/>
  </mergeCells>
  <dataValidations count="3">
    <dataValidation type="list" allowBlank="1" showInputMessage="1" showErrorMessage="1" sqref="C44:C50 C11:C18 C20:C25 C27:C34 C36:C42">
      <formula1>INDIRECT(D11)</formula1>
    </dataValidation>
    <dataValidation type="list" allowBlank="1" showInputMessage="1" showErrorMessage="1" sqref="T11:T16 T20:T23 T27:T32 T44:T50 T36:T40">
      <formula1>$C$59:$C$61</formula1>
    </dataValidation>
    <dataValidation type="list" allowBlank="1" showInputMessage="1" showErrorMessage="1" sqref="S11:S16 S20:S23 M27:M32 M36:M40 M44:M50 Y11:Y16 AE11:AE16 Y20:Y23 AE20:AE23 S27:S32 Y27:Y32 AE27:AE32 S36:S40 Y36:Y40 AE36:AE40 S44:S50 Y44:Y50">
      <formula1>$C$58:$C$60</formula1>
    </dataValidation>
  </dataValidations>
  <hyperlinks>
    <hyperlink ref="B202" r:id="rId1"/>
    <hyperlink ref="B151" r:id="rId2"/>
    <hyperlink ref="B149" r:id="rId3"/>
    <hyperlink ref="B148" r:id="rId4"/>
    <hyperlink ref="B145" r:id="rId5"/>
    <hyperlink ref="B146" r:id="rId6"/>
    <hyperlink ref="B89" r:id="rId7"/>
    <hyperlink ref="B70" r:id="rId8"/>
    <hyperlink ref="B69" r:id="rId9"/>
    <hyperlink ref="B67" r:id="rId10"/>
    <hyperlink ref="B68" r:id="rId11"/>
    <hyperlink ref="B71" r:id="rId12"/>
    <hyperlink ref="B72" r:id="rId13"/>
    <hyperlink ref="B66" r:id="rId14"/>
    <hyperlink ref="B77" r:id="rId15"/>
    <hyperlink ref="B75" r:id="rId16"/>
    <hyperlink ref="B76" r:id="rId17"/>
    <hyperlink ref="B78" r:id="rId18"/>
    <hyperlink ref="B81" r:id="rId19"/>
    <hyperlink ref="B82" r:id="rId20"/>
    <hyperlink ref="B84" r:id="rId21"/>
    <hyperlink ref="B83" r:id="rId22"/>
    <hyperlink ref="B85" r:id="rId23"/>
    <hyperlink ref="B86" r:id="rId24"/>
    <hyperlink ref="B87" r:id="rId25"/>
    <hyperlink ref="B88" r:id="rId26"/>
    <hyperlink ref="B91" r:id="rId27"/>
    <hyperlink ref="B90" r:id="rId28"/>
    <hyperlink ref="B100" r:id="rId29"/>
    <hyperlink ref="B103" r:id="rId30"/>
    <hyperlink ref="B104" r:id="rId31"/>
    <hyperlink ref="B102" r:id="rId32"/>
    <hyperlink ref="B101" r:id="rId33"/>
    <hyperlink ref="B96" r:id="rId34"/>
    <hyperlink ref="B97" r:id="rId35"/>
    <hyperlink ref="B95" r:id="rId36"/>
    <hyperlink ref="B94" r:id="rId37"/>
    <hyperlink ref="B131" r:id="rId38"/>
    <hyperlink ref="B130" r:id="rId39"/>
    <hyperlink ref="B133" r:id="rId40"/>
    <hyperlink ref="B136" r:id="rId41"/>
    <hyperlink ref="B143" r:id="rId42"/>
    <hyperlink ref="B140" r:id="rId43"/>
    <hyperlink ref="B141" r:id="rId44"/>
    <hyperlink ref="B142" r:id="rId45"/>
    <hyperlink ref="B150" r:id="rId46"/>
    <hyperlink ref="B144" r:id="rId47"/>
    <hyperlink ref="B147" r:id="rId48"/>
    <hyperlink ref="B134" r:id="rId49"/>
    <hyperlink ref="B132" r:id="rId50"/>
    <hyperlink ref="B108" r:id="rId51"/>
    <hyperlink ref="B107" r:id="rId52"/>
    <hyperlink ref="B109" r:id="rId53"/>
    <hyperlink ref="B135" r:id="rId54"/>
    <hyperlink ref="B110" r:id="rId55"/>
    <hyperlink ref="B137" r:id="rId56"/>
    <hyperlink ref="B154" r:id="rId57"/>
    <hyperlink ref="B159" r:id="rId58"/>
    <hyperlink ref="B160" r:id="rId59"/>
    <hyperlink ref="B156" r:id="rId60"/>
    <hyperlink ref="B165" r:id="rId61"/>
    <hyperlink ref="B155" r:id="rId62"/>
    <hyperlink ref="B166" r:id="rId63"/>
    <hyperlink ref="B173" r:id="rId64"/>
    <hyperlink ref="B169" r:id="rId65"/>
    <hyperlink ref="B167" r:id="rId66"/>
    <hyperlink ref="B168" r:id="rId67"/>
    <hyperlink ref="B157" r:id="rId68"/>
    <hyperlink ref="B158" r:id="rId69"/>
    <hyperlink ref="B163" r:id="rId70"/>
    <hyperlink ref="B164" r:id="rId71"/>
    <hyperlink ref="B174" r:id="rId72"/>
    <hyperlink ref="B175" r:id="rId73"/>
    <hyperlink ref="B176" r:id="rId74"/>
    <hyperlink ref="B170" r:id="rId75"/>
    <hyperlink ref="B180" r:id="rId76"/>
    <hyperlink ref="B179" r:id="rId77"/>
    <hyperlink ref="B181" r:id="rId78"/>
    <hyperlink ref="B193" r:id="rId79"/>
    <hyperlink ref="B196" r:id="rId80"/>
    <hyperlink ref="B194" r:id="rId81"/>
    <hyperlink ref="B206" r:id="rId82"/>
    <hyperlink ref="B203" r:id="rId83"/>
    <hyperlink ref="B210" r:id="rId84"/>
    <hyperlink ref="B215" r:id="rId85"/>
    <hyperlink ref="B198" r:id="rId86"/>
    <hyperlink ref="B199" r:id="rId87"/>
    <hyperlink ref="B204" r:id="rId88"/>
    <hyperlink ref="B205" r:id="rId89"/>
    <hyperlink ref="B213" r:id="rId90"/>
    <hyperlink ref="B195" r:id="rId91"/>
    <hyperlink ref="B185" r:id="rId92"/>
    <hyperlink ref="B184" r:id="rId93"/>
    <hyperlink ref="B188" r:id="rId94"/>
    <hyperlink ref="B186" r:id="rId95"/>
    <hyperlink ref="B187" r:id="rId96"/>
    <hyperlink ref="B189" r:id="rId97"/>
    <hyperlink ref="B190" r:id="rId98"/>
    <hyperlink ref="B115" r:id="rId99"/>
    <hyperlink ref="B116" r:id="rId100"/>
    <hyperlink ref="B211" r:id="rId101"/>
    <hyperlink ref="B212" r:id="rId102"/>
    <hyperlink ref="B197" r:id="rId103"/>
    <hyperlink ref="B214" r:id="rId104"/>
    <hyperlink ref="B207" r:id="rId105"/>
    <hyperlink ref="B118" r:id="rId106"/>
    <hyperlink ref="B119" r:id="rId107"/>
    <hyperlink ref="B120" r:id="rId108"/>
    <hyperlink ref="B113" r:id="rId109"/>
    <hyperlink ref="B117" r:id="rId110"/>
    <hyperlink ref="B127" r:id="rId111"/>
    <hyperlink ref="B123" r:id="rId112"/>
    <hyperlink ref="B124" r:id="rId113"/>
    <hyperlink ref="B125" r:id="rId114"/>
    <hyperlink ref="B126" r:id="rId115"/>
    <hyperlink ref="B114" r:id="rId116"/>
    <hyperlink ref="B223" r:id="rId117"/>
    <hyperlink ref="B225" r:id="rId118"/>
    <hyperlink ref="B229" r:id="rId119"/>
    <hyperlink ref="B230" r:id="rId120"/>
    <hyperlink ref="B231" r:id="rId121"/>
    <hyperlink ref="B219" r:id="rId122"/>
    <hyperlink ref="B227" r:id="rId123"/>
    <hyperlink ref="B228" r:id="rId124"/>
    <hyperlink ref="B220" r:id="rId125"/>
    <hyperlink ref="B222" r:id="rId126"/>
    <hyperlink ref="B224" r:id="rId127"/>
    <hyperlink ref="B226" r:id="rId128"/>
    <hyperlink ref="B221" r:id="rId129"/>
    <hyperlink ref="B233" r:id="rId130"/>
    <hyperlink ref="B241" r:id="rId131"/>
    <hyperlink ref="B235" r:id="rId132"/>
    <hyperlink ref="B237" r:id="rId133"/>
    <hyperlink ref="B239" r:id="rId134"/>
    <hyperlink ref="B243" r:id="rId135"/>
    <hyperlink ref="B234" r:id="rId136"/>
    <hyperlink ref="B244" r:id="rId137"/>
    <hyperlink ref="B240" r:id="rId138"/>
    <hyperlink ref="B236" r:id="rId139"/>
    <hyperlink ref="B238" r:id="rId140"/>
    <hyperlink ref="B242" r:id="rId141"/>
    <hyperlink ref="B255" r:id="rId142"/>
    <hyperlink ref="B259" r:id="rId143"/>
    <hyperlink ref="B263" r:id="rId144"/>
    <hyperlink ref="B264" r:id="rId145"/>
    <hyperlink ref="B265" r:id="rId146"/>
    <hyperlink ref="B247" r:id="rId147"/>
    <hyperlink ref="B261" r:id="rId148"/>
    <hyperlink ref="B262" r:id="rId149"/>
    <hyperlink ref="B249" r:id="rId150"/>
    <hyperlink ref="B253" r:id="rId151"/>
    <hyperlink ref="B257" r:id="rId152"/>
    <hyperlink ref="B260" r:id="rId153"/>
    <hyperlink ref="B251" r:id="rId154"/>
    <hyperlink ref="B248" r:id="rId155"/>
    <hyperlink ref="B246" r:id="rId156"/>
    <hyperlink ref="B254" r:id="rId157"/>
    <hyperlink ref="B250" r:id="rId158"/>
    <hyperlink ref="B252" r:id="rId159"/>
    <hyperlink ref="B256" r:id="rId160"/>
    <hyperlink ref="B258" r:id="rId161"/>
    <hyperlink ref="B269" r:id="rId162"/>
    <hyperlink ref="B275" r:id="rId163"/>
    <hyperlink ref="B276" r:id="rId164"/>
    <hyperlink ref="B273" r:id="rId165"/>
    <hyperlink ref="B271" r:id="rId166"/>
    <hyperlink ref="B272" r:id="rId167"/>
    <hyperlink ref="B274" r:id="rId168"/>
    <hyperlink ref="B270" r:id="rId169"/>
    <hyperlink ref="B268" r:id="rId170"/>
    <hyperlink ref="C202" r:id="rId171"/>
    <hyperlink ref="C151" r:id="rId172"/>
    <hyperlink ref="C149" r:id="rId173"/>
    <hyperlink ref="C148" r:id="rId174"/>
    <hyperlink ref="C145" r:id="rId175"/>
    <hyperlink ref="C146" r:id="rId176"/>
    <hyperlink ref="C89" r:id="rId177"/>
    <hyperlink ref="C70" r:id="rId178"/>
    <hyperlink ref="C233" r:id="rId179"/>
  </hyperlinks>
  <pageMargins left="0.7" right="0.7" top="0.75" bottom="0.75" header="0.3" footer="0.3"/>
  <pageSetup scale="33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476"/>
  <sheetViews>
    <sheetView showGridLines="0" workbookViewId="0">
      <selection activeCell="I14" sqref="I14"/>
    </sheetView>
  </sheetViews>
  <sheetFormatPr defaultRowHeight="15" x14ac:dyDescent="0.25"/>
  <cols>
    <col min="1" max="1" width="24.5703125" bestFit="1" customWidth="1"/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36.140625" bestFit="1" customWidth="1"/>
    <col min="9" max="9" width="8.28515625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35.85546875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7.5703125" bestFit="1" customWidth="1"/>
    <col min="20" max="20" width="35.7109375" customWidth="1"/>
    <col min="21" max="21" width="8.85546875" customWidth="1"/>
    <col min="22" max="22" width="7.5703125" bestFit="1" customWidth="1"/>
    <col min="23" max="23" width="9" bestFit="1" customWidth="1"/>
    <col min="24" max="24" width="11.28515625" bestFit="1" customWidth="1"/>
    <col min="25" max="25" width="7.5703125" bestFit="1" customWidth="1"/>
    <col min="26" max="26" width="37.28515625" customWidth="1"/>
    <col min="27" max="27" width="4.7109375" bestFit="1" customWidth="1"/>
    <col min="28" max="28" width="7.5703125" bestFit="1" customWidth="1"/>
    <col min="29" max="29" width="9" bestFit="1" customWidth="1"/>
    <col min="30" max="30" width="11.28515625" bestFit="1" customWidth="1"/>
    <col min="31" max="31" width="7.5703125" bestFit="1" customWidth="1"/>
    <col min="32" max="32" width="37.28515625" customWidth="1"/>
    <col min="33" max="33" width="4.7109375" bestFit="1" customWidth="1"/>
    <col min="34" max="34" width="7.5703125" bestFit="1" customWidth="1"/>
    <col min="35" max="36" width="17.7109375" bestFit="1" customWidth="1"/>
    <col min="37" max="37" width="15.140625" bestFit="1" customWidth="1"/>
    <col min="38" max="38" width="17.7109375" bestFit="1" customWidth="1"/>
  </cols>
  <sheetData>
    <row r="1" spans="1:35" ht="19.5" thickBot="1" x14ac:dyDescent="0.35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19" t="s">
        <v>93</v>
      </c>
      <c r="V1" s="18"/>
      <c r="W1" s="20"/>
      <c r="X1" s="20"/>
      <c r="Y1" s="20"/>
      <c r="Z1" s="20"/>
      <c r="AA1" s="16"/>
      <c r="AB1" s="16"/>
      <c r="AC1" s="16"/>
      <c r="AD1" s="16"/>
      <c r="AE1" s="16"/>
      <c r="AF1" s="16"/>
      <c r="AG1" s="12"/>
      <c r="AH1" s="1"/>
    </row>
    <row r="2" spans="1:35" ht="19.5" thickBot="1" x14ac:dyDescent="0.35">
      <c r="F2" s="25" t="s">
        <v>95</v>
      </c>
      <c r="G2" s="27" t="s">
        <v>98</v>
      </c>
      <c r="H2" s="33" t="s">
        <v>90</v>
      </c>
      <c r="I2" s="58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2" t="s">
        <v>94</v>
      </c>
      <c r="V2" s="23"/>
      <c r="W2" s="21"/>
      <c r="X2" s="21"/>
      <c r="Y2" s="21"/>
      <c r="Z2" s="7"/>
      <c r="AA2" s="4"/>
      <c r="AB2" s="4"/>
      <c r="AC2" s="4"/>
    </row>
    <row r="3" spans="1:35" ht="19.5" thickBot="1" x14ac:dyDescent="0.3">
      <c r="C3" t="s">
        <v>0</v>
      </c>
      <c r="F3" s="26" t="s">
        <v>96</v>
      </c>
      <c r="G3" s="28" t="s">
        <v>99</v>
      </c>
      <c r="H3" s="34" t="s">
        <v>91</v>
      </c>
      <c r="I3" s="58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AA3" s="4"/>
      <c r="AB3" s="4"/>
      <c r="AC3" s="4"/>
    </row>
    <row r="4" spans="1:35" ht="15.75" thickBot="1" x14ac:dyDescent="0.3">
      <c r="G4" t="s">
        <v>0</v>
      </c>
      <c r="I4" s="59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1"/>
      <c r="U4" s="4"/>
      <c r="V4" s="4"/>
      <c r="W4" s="4"/>
      <c r="X4" s="4"/>
      <c r="Y4" s="4"/>
      <c r="Z4" s="4"/>
      <c r="AA4" s="4"/>
      <c r="AB4" s="4"/>
      <c r="AC4" s="4"/>
    </row>
    <row r="7" spans="1:35" ht="15.75" thickBot="1" x14ac:dyDescent="0.3"/>
    <row r="8" spans="1:35" ht="19.5" thickBot="1" x14ac:dyDescent="0.3">
      <c r="G8" s="5" t="s">
        <v>101</v>
      </c>
      <c r="H8" s="168" t="s">
        <v>1</v>
      </c>
      <c r="I8" s="169"/>
      <c r="J8" s="169"/>
      <c r="K8" s="169"/>
      <c r="L8" s="169"/>
      <c r="M8" s="170"/>
      <c r="N8" s="171" t="s">
        <v>2</v>
      </c>
      <c r="O8" s="172"/>
      <c r="P8" s="172"/>
      <c r="Q8" s="172"/>
      <c r="R8" s="172"/>
      <c r="S8" s="173"/>
      <c r="T8" s="174" t="s">
        <v>3</v>
      </c>
      <c r="U8" s="175"/>
      <c r="V8" s="175"/>
      <c r="W8" s="175"/>
      <c r="X8" s="175"/>
      <c r="Y8" s="176"/>
      <c r="Z8" s="177" t="s">
        <v>4</v>
      </c>
      <c r="AA8" s="178"/>
      <c r="AB8" s="178"/>
      <c r="AC8" s="178"/>
      <c r="AD8" s="178"/>
      <c r="AE8" s="179"/>
      <c r="AF8" s="180" t="s">
        <v>5</v>
      </c>
      <c r="AG8" s="181"/>
      <c r="AH8" s="181"/>
      <c r="AI8" s="182"/>
    </row>
    <row r="9" spans="1:35" ht="15.75" thickBot="1" x14ac:dyDescent="0.3">
      <c r="B9" s="37"/>
      <c r="C9" s="37" t="s">
        <v>16</v>
      </c>
      <c r="D9" s="37"/>
      <c r="E9" s="37"/>
      <c r="F9" s="37"/>
      <c r="G9" s="77" t="s">
        <v>102</v>
      </c>
      <c r="H9" s="65" t="s">
        <v>88</v>
      </c>
      <c r="I9" s="66" t="s">
        <v>6</v>
      </c>
      <c r="J9" s="67" t="s">
        <v>7</v>
      </c>
      <c r="K9" s="68" t="s">
        <v>8</v>
      </c>
      <c r="L9" s="68" t="s">
        <v>9</v>
      </c>
      <c r="M9" s="69" t="s">
        <v>10</v>
      </c>
      <c r="N9" s="70" t="s">
        <v>88</v>
      </c>
      <c r="O9" s="70" t="s">
        <v>6</v>
      </c>
      <c r="P9" s="67" t="s">
        <v>7</v>
      </c>
      <c r="Q9" s="68" t="s">
        <v>8</v>
      </c>
      <c r="R9" s="68" t="s">
        <v>9</v>
      </c>
      <c r="S9" s="69" t="s">
        <v>10</v>
      </c>
      <c r="T9" s="70" t="s">
        <v>88</v>
      </c>
      <c r="U9" s="70" t="s">
        <v>6</v>
      </c>
      <c r="V9" s="67" t="s">
        <v>7</v>
      </c>
      <c r="W9" s="68" t="s">
        <v>8</v>
      </c>
      <c r="X9" s="68" t="s">
        <v>9</v>
      </c>
      <c r="Y9" s="69" t="s">
        <v>10</v>
      </c>
      <c r="Z9" s="70" t="s">
        <v>88</v>
      </c>
      <c r="AA9" s="70" t="s">
        <v>6</v>
      </c>
      <c r="AB9" s="67" t="s">
        <v>7</v>
      </c>
      <c r="AC9" s="68" t="s">
        <v>8</v>
      </c>
      <c r="AD9" s="68" t="s">
        <v>9</v>
      </c>
      <c r="AE9" s="69" t="s">
        <v>10</v>
      </c>
      <c r="AF9" s="70" t="s">
        <v>88</v>
      </c>
      <c r="AG9" s="70" t="s">
        <v>6</v>
      </c>
      <c r="AH9" s="67" t="s">
        <v>7</v>
      </c>
      <c r="AI9" s="71" t="s">
        <v>8</v>
      </c>
    </row>
    <row r="10" spans="1:35" ht="15.75" thickBot="1" x14ac:dyDescent="0.3">
      <c r="B10" s="95" t="s">
        <v>342</v>
      </c>
      <c r="C10" s="99" t="s">
        <v>85</v>
      </c>
      <c r="D10" s="91"/>
      <c r="E10" s="91"/>
      <c r="F10" s="99" t="s">
        <v>356</v>
      </c>
      <c r="G10" s="99" t="s">
        <v>357</v>
      </c>
      <c r="H10" s="68" t="s">
        <v>85</v>
      </c>
      <c r="I10" s="72"/>
      <c r="J10" s="72" t="s">
        <v>0</v>
      </c>
      <c r="K10" s="72"/>
      <c r="L10" s="72"/>
      <c r="M10" s="73"/>
      <c r="N10" s="65" t="s">
        <v>85</v>
      </c>
      <c r="O10" s="72"/>
      <c r="P10" s="72"/>
      <c r="Q10" s="72"/>
      <c r="R10" s="72"/>
      <c r="S10" s="73"/>
      <c r="T10" s="65" t="s">
        <v>85</v>
      </c>
      <c r="U10" s="72"/>
      <c r="V10" s="72"/>
      <c r="W10" s="72"/>
      <c r="X10" s="72"/>
      <c r="Y10" s="73"/>
      <c r="Z10" s="65" t="s">
        <v>85</v>
      </c>
      <c r="AA10" s="72"/>
      <c r="AB10" s="72"/>
      <c r="AC10" s="72"/>
      <c r="AD10" s="72"/>
      <c r="AE10" s="72"/>
      <c r="AF10" s="65" t="s">
        <v>85</v>
      </c>
      <c r="AG10" s="72"/>
      <c r="AH10" s="72"/>
      <c r="AI10" s="73"/>
    </row>
    <row r="11" spans="1:35" ht="15.75" thickBot="1" x14ac:dyDescent="0.3">
      <c r="B11" s="141" t="s">
        <v>343</v>
      </c>
      <c r="C11" s="144"/>
      <c r="D11" s="139" t="str">
        <f t="array" ref="D11">INDEX(Table_Name28[Name List],MATCH(B11,Table_Name28[Category],0))</f>
        <v>Incline_Push[Exercise]</v>
      </c>
      <c r="E11" s="140" t="e">
        <f t="array" ref="E11">INDEX(Links49[Link],MATCH(C11,Links49[Exercise],0))</f>
        <v>#N/A</v>
      </c>
      <c r="F11" s="147" t="e">
        <f t="shared" ref="F11:F17" si="0">HYPERLINK(E11,"Video")</f>
        <v>#N/A</v>
      </c>
      <c r="G11" s="150"/>
      <c r="H11" s="88">
        <f t="shared" ref="H11:H17" si="1">C11</f>
        <v>0</v>
      </c>
      <c r="I11" s="76">
        <v>4</v>
      </c>
      <c r="J11" s="76">
        <f>MROUND(((G11)*0.75),5)</f>
        <v>0</v>
      </c>
      <c r="K11" s="76" t="s">
        <v>11</v>
      </c>
      <c r="L11" s="76"/>
      <c r="M11" s="77"/>
      <c r="N11" s="75">
        <f t="shared" ref="N11:N17" si="2">C11</f>
        <v>0</v>
      </c>
      <c r="O11" s="76">
        <f>I11+(M31)</f>
        <v>4</v>
      </c>
      <c r="P11" s="76">
        <f t="shared" ref="P11:P17" si="3">MROUND((J11*1.05),5)</f>
        <v>0</v>
      </c>
      <c r="Q11" s="76" t="s">
        <v>11</v>
      </c>
      <c r="R11" s="76"/>
      <c r="S11" s="114"/>
      <c r="T11" s="57">
        <f t="shared" ref="T11:T17" si="4">C11</f>
        <v>0</v>
      </c>
      <c r="U11" s="76">
        <f>O11+(S31)</f>
        <v>4</v>
      </c>
      <c r="V11" s="76">
        <f t="shared" ref="V11:V17" si="5">MROUND((J11*1.075),5)</f>
        <v>0</v>
      </c>
      <c r="W11" s="76" t="s">
        <v>12</v>
      </c>
      <c r="X11" s="76"/>
      <c r="Y11" s="114"/>
      <c r="Z11" s="75">
        <f t="shared" ref="Z11:Z17" si="6">C11</f>
        <v>0</v>
      </c>
      <c r="AA11" s="76">
        <f>U11+(Y31)</f>
        <v>4</v>
      </c>
      <c r="AB11" s="76">
        <f t="shared" ref="AB11:AB17" si="7">MROUND((J11*1.1),5)</f>
        <v>0</v>
      </c>
      <c r="AC11" s="76" t="s">
        <v>13</v>
      </c>
      <c r="AD11" s="76"/>
      <c r="AE11" s="114"/>
      <c r="AF11" s="75">
        <f t="shared" ref="AF11:AF17" si="8">C11</f>
        <v>0</v>
      </c>
      <c r="AG11" s="76">
        <v>2</v>
      </c>
      <c r="AH11" s="79">
        <f>J11</f>
        <v>0</v>
      </c>
      <c r="AI11" s="77" t="s">
        <v>14</v>
      </c>
    </row>
    <row r="12" spans="1:35" ht="15.75" thickBot="1" x14ac:dyDescent="0.3">
      <c r="A12" s="63" t="s">
        <v>353</v>
      </c>
      <c r="B12" s="142" t="s">
        <v>37</v>
      </c>
      <c r="C12" s="145"/>
      <c r="D12" s="136" t="str">
        <f t="array" ref="D12">INDEX(Table_Name28[Name List],MATCH(B12,Table_Name28[Category],0))</f>
        <v>Chest_Isolation[Exercise]</v>
      </c>
      <c r="E12" s="115" t="e">
        <f t="array" ref="E12">INDEX(Links49[Link],MATCH(C12,Links49[Exercise],0))</f>
        <v>#N/A</v>
      </c>
      <c r="F12" s="148" t="e">
        <f t="shared" si="0"/>
        <v>#N/A</v>
      </c>
      <c r="G12" s="151"/>
      <c r="H12" s="130">
        <f t="shared" si="1"/>
        <v>0</v>
      </c>
      <c r="I12" s="117">
        <v>3</v>
      </c>
      <c r="J12" s="117">
        <f>MROUND(((G12)*0.75),5)</f>
        <v>0</v>
      </c>
      <c r="K12" s="117" t="s">
        <v>11</v>
      </c>
      <c r="L12" s="117"/>
      <c r="M12" s="118"/>
      <c r="N12" s="116">
        <f t="shared" si="2"/>
        <v>0</v>
      </c>
      <c r="O12" s="117">
        <f>I12+(M31)</f>
        <v>3</v>
      </c>
      <c r="P12" s="117">
        <f t="shared" si="3"/>
        <v>0</v>
      </c>
      <c r="Q12" s="117" t="s">
        <v>11</v>
      </c>
      <c r="R12" s="117"/>
      <c r="S12" s="119"/>
      <c r="T12" s="120">
        <f t="shared" si="4"/>
        <v>0</v>
      </c>
      <c r="U12" s="117">
        <f>O12+(S31)</f>
        <v>3</v>
      </c>
      <c r="V12" s="117">
        <f t="shared" si="5"/>
        <v>0</v>
      </c>
      <c r="W12" s="117" t="s">
        <v>12</v>
      </c>
      <c r="X12" s="117"/>
      <c r="Y12" s="119"/>
      <c r="Z12" s="116">
        <f t="shared" si="6"/>
        <v>0</v>
      </c>
      <c r="AA12" s="117">
        <f>U12+(Y31)</f>
        <v>3</v>
      </c>
      <c r="AB12" s="117">
        <f t="shared" si="7"/>
        <v>0</v>
      </c>
      <c r="AC12" s="117" t="s">
        <v>13</v>
      </c>
      <c r="AD12" s="117"/>
      <c r="AE12" s="121"/>
      <c r="AF12" s="88">
        <f t="shared" si="8"/>
        <v>0</v>
      </c>
      <c r="AG12" s="76">
        <v>2</v>
      </c>
      <c r="AH12" s="79">
        <f t="shared" ref="AH12:AH17" si="9">J12</f>
        <v>0</v>
      </c>
      <c r="AI12" s="77" t="s">
        <v>14</v>
      </c>
    </row>
    <row r="13" spans="1:35" ht="15.75" thickBot="1" x14ac:dyDescent="0.3">
      <c r="A13" s="63" t="s">
        <v>354</v>
      </c>
      <c r="B13" s="143" t="s">
        <v>344</v>
      </c>
      <c r="C13" s="146"/>
      <c r="D13" s="137" t="str">
        <f t="array" ref="D13">INDEX(Table_Name28[Name List],MATCH(B13,Table_Name28[Category],0))</f>
        <v>Horizontal_Push[Exercise]</v>
      </c>
      <c r="E13" s="122" t="e">
        <f t="array" ref="E13">INDEX(Links49[Link],MATCH(C13,Links49[Exercise],0))</f>
        <v>#N/A</v>
      </c>
      <c r="F13" s="149" t="e">
        <f t="shared" si="0"/>
        <v>#N/A</v>
      </c>
      <c r="G13" s="152"/>
      <c r="H13" s="131">
        <f t="shared" si="1"/>
        <v>0</v>
      </c>
      <c r="I13" s="124">
        <v>3</v>
      </c>
      <c r="J13" s="124">
        <f>MROUND(((G13)*0.6),5)</f>
        <v>0</v>
      </c>
      <c r="K13" s="124" t="s">
        <v>11</v>
      </c>
      <c r="L13" s="124"/>
      <c r="M13" s="125"/>
      <c r="N13" s="123">
        <f t="shared" si="2"/>
        <v>0</v>
      </c>
      <c r="O13" s="124">
        <f>I12+(M31)</f>
        <v>3</v>
      </c>
      <c r="P13" s="124">
        <f t="shared" si="3"/>
        <v>0</v>
      </c>
      <c r="Q13" s="124" t="s">
        <v>11</v>
      </c>
      <c r="R13" s="124"/>
      <c r="S13" s="126"/>
      <c r="T13" s="127">
        <f t="shared" si="4"/>
        <v>0</v>
      </c>
      <c r="U13" s="124">
        <f>O12+(S31)</f>
        <v>3</v>
      </c>
      <c r="V13" s="124">
        <f t="shared" si="5"/>
        <v>0</v>
      </c>
      <c r="W13" s="124" t="s">
        <v>12</v>
      </c>
      <c r="X13" s="124"/>
      <c r="Y13" s="126"/>
      <c r="Z13" s="123">
        <f t="shared" si="6"/>
        <v>0</v>
      </c>
      <c r="AA13" s="124">
        <f>U12+(Y31)</f>
        <v>3</v>
      </c>
      <c r="AB13" s="124">
        <f t="shared" si="7"/>
        <v>0</v>
      </c>
      <c r="AC13" s="124" t="s">
        <v>13</v>
      </c>
      <c r="AD13" s="124"/>
      <c r="AE13" s="128"/>
      <c r="AF13" s="88"/>
      <c r="AG13" s="76"/>
      <c r="AH13" s="79"/>
      <c r="AI13" s="77"/>
    </row>
    <row r="14" spans="1:35" ht="15.75" thickBot="1" x14ac:dyDescent="0.3">
      <c r="B14" s="96" t="s">
        <v>344</v>
      </c>
      <c r="C14" s="100"/>
      <c r="D14" s="92" t="str">
        <f t="array" ref="D14">INDEX(Table_Name28[Name List],MATCH(B14,Table_Name28[Category],0))</f>
        <v>Horizontal_Push[Exercise]</v>
      </c>
      <c r="E14" s="90" t="e">
        <f t="array" ref="E14">INDEX(Links49[Link],MATCH(C14,Links49[Exercise],0))</f>
        <v>#N/A</v>
      </c>
      <c r="F14" s="106" t="e">
        <f t="shared" ref="F14" si="10">HYPERLINK(E14,"Video")</f>
        <v>#N/A</v>
      </c>
      <c r="G14" s="109"/>
      <c r="H14" s="88">
        <f t="shared" ref="H14" si="11">C14</f>
        <v>0</v>
      </c>
      <c r="I14" s="76">
        <v>2</v>
      </c>
      <c r="J14" s="76">
        <f>MROUND(((G14)*0.75),5)</f>
        <v>0</v>
      </c>
      <c r="K14" s="76" t="s">
        <v>11</v>
      </c>
      <c r="L14" s="76"/>
      <c r="M14" s="77"/>
      <c r="N14" s="75">
        <f t="shared" ref="N14" si="12">C14</f>
        <v>0</v>
      </c>
      <c r="O14" s="76">
        <f>I14+(M32)</f>
        <v>2</v>
      </c>
      <c r="P14" s="76">
        <f t="shared" ref="P14" si="13">MROUND((J14*1.05),5)</f>
        <v>0</v>
      </c>
      <c r="Q14" s="76" t="s">
        <v>11</v>
      </c>
      <c r="R14" s="76"/>
      <c r="S14" s="129"/>
      <c r="T14" s="57">
        <f t="shared" ref="T14" si="14">C14</f>
        <v>0</v>
      </c>
      <c r="U14" s="76">
        <f>O14+(S32)</f>
        <v>2</v>
      </c>
      <c r="V14" s="76">
        <f t="shared" ref="V14" si="15">MROUND((J14*1.075),5)</f>
        <v>0</v>
      </c>
      <c r="W14" s="76" t="s">
        <v>12</v>
      </c>
      <c r="X14" s="76"/>
      <c r="Y14" s="129"/>
      <c r="Z14" s="75">
        <f t="shared" ref="Z14" si="16">C14</f>
        <v>0</v>
      </c>
      <c r="AA14" s="76">
        <f>U14+(Y32)</f>
        <v>2</v>
      </c>
      <c r="AB14" s="76">
        <f t="shared" ref="AB14" si="17">MROUND((J14*1.1),5)</f>
        <v>0</v>
      </c>
      <c r="AC14" s="76" t="s">
        <v>13</v>
      </c>
      <c r="AD14" s="76"/>
      <c r="AE14" s="129"/>
      <c r="AF14" s="75">
        <f t="shared" ref="AF14" si="18">C14</f>
        <v>0</v>
      </c>
      <c r="AG14" s="76">
        <v>2</v>
      </c>
      <c r="AH14" s="79">
        <f t="shared" ref="AH14" si="19">J14</f>
        <v>0</v>
      </c>
      <c r="AI14" s="77" t="s">
        <v>14</v>
      </c>
    </row>
    <row r="15" spans="1:35" ht="15.75" thickBot="1" x14ac:dyDescent="0.3">
      <c r="B15" s="97" t="s">
        <v>338</v>
      </c>
      <c r="C15" s="101"/>
      <c r="D15" s="93" t="str">
        <f t="array" ref="D15">INDEX(Table_Name28[Name List],MATCH(B15,Table_Name28[Category],0))</f>
        <v>Horizontal_Back[Exercise]</v>
      </c>
      <c r="E15" s="74" t="e">
        <f t="array" ref="E15">INDEX(Links49[Link],MATCH(C15,Links49[Exercise],0))</f>
        <v>#N/A</v>
      </c>
      <c r="F15" s="107" t="e">
        <f t="shared" si="0"/>
        <v>#N/A</v>
      </c>
      <c r="G15" s="110"/>
      <c r="H15" s="88">
        <f t="shared" si="1"/>
        <v>0</v>
      </c>
      <c r="I15" s="76">
        <v>3</v>
      </c>
      <c r="J15" s="76">
        <f>MROUND(((G15)*0.75),5)</f>
        <v>0</v>
      </c>
      <c r="K15" s="76" t="s">
        <v>11</v>
      </c>
      <c r="L15" s="76" t="s">
        <v>0</v>
      </c>
      <c r="M15" s="77"/>
      <c r="N15" s="75">
        <f t="shared" si="2"/>
        <v>0</v>
      </c>
      <c r="O15" s="76">
        <f>I15+(M30)</f>
        <v>3</v>
      </c>
      <c r="P15" s="76">
        <f t="shared" si="3"/>
        <v>0</v>
      </c>
      <c r="Q15" s="76" t="s">
        <v>11</v>
      </c>
      <c r="R15" s="76"/>
      <c r="S15" s="78"/>
      <c r="T15" s="57">
        <f t="shared" si="4"/>
        <v>0</v>
      </c>
      <c r="U15" s="76">
        <f>O15+(S30)</f>
        <v>3</v>
      </c>
      <c r="V15" s="76">
        <f t="shared" si="5"/>
        <v>0</v>
      </c>
      <c r="W15" s="76" t="s">
        <v>12</v>
      </c>
      <c r="X15" s="76"/>
      <c r="Y15" s="78"/>
      <c r="Z15" s="75">
        <f t="shared" si="6"/>
        <v>0</v>
      </c>
      <c r="AA15" s="76">
        <f>U15+(Y30)</f>
        <v>3</v>
      </c>
      <c r="AB15" s="76">
        <f t="shared" si="7"/>
        <v>0</v>
      </c>
      <c r="AC15" s="76" t="s">
        <v>13</v>
      </c>
      <c r="AD15" s="76"/>
      <c r="AE15" s="78"/>
      <c r="AF15" s="75">
        <f t="shared" si="8"/>
        <v>0</v>
      </c>
      <c r="AG15" s="76">
        <v>2</v>
      </c>
      <c r="AH15" s="79">
        <f t="shared" si="9"/>
        <v>0</v>
      </c>
      <c r="AI15" s="77" t="s">
        <v>14</v>
      </c>
    </row>
    <row r="16" spans="1:35" ht="15.75" thickBot="1" x14ac:dyDescent="0.3">
      <c r="B16" s="97" t="s">
        <v>340</v>
      </c>
      <c r="C16" s="101"/>
      <c r="D16" s="93" t="str">
        <f t="array" ref="D16">INDEX(Table_Name28[Name List],MATCH(B16,Table_Name28[Category],0))</f>
        <v>Rear_or_Side_Delts[Exercise]</v>
      </c>
      <c r="E16" s="74" t="e">
        <f t="array" ref="E16">INDEX(Links49[Link],MATCH(C16,Links49[Exercise],0))</f>
        <v>#N/A</v>
      </c>
      <c r="F16" s="107" t="e">
        <f t="shared" si="0"/>
        <v>#N/A</v>
      </c>
      <c r="G16" s="110"/>
      <c r="H16" s="88">
        <f>C16</f>
        <v>0</v>
      </c>
      <c r="I16" s="76">
        <v>3</v>
      </c>
      <c r="J16" s="76">
        <f>MROUND(((G16)*0.75),5)</f>
        <v>0</v>
      </c>
      <c r="K16" s="76" t="s">
        <v>11</v>
      </c>
      <c r="L16" s="76" t="s">
        <v>0</v>
      </c>
      <c r="M16" s="77"/>
      <c r="N16" s="75">
        <f t="shared" si="2"/>
        <v>0</v>
      </c>
      <c r="O16" s="76">
        <f>I16+(M32)</f>
        <v>3</v>
      </c>
      <c r="P16" s="76">
        <f t="shared" si="3"/>
        <v>0</v>
      </c>
      <c r="Q16" s="76" t="s">
        <v>11</v>
      </c>
      <c r="R16" s="76"/>
      <c r="S16" s="78"/>
      <c r="T16" s="57">
        <f t="shared" si="4"/>
        <v>0</v>
      </c>
      <c r="U16" s="76">
        <f>O16+(S32)</f>
        <v>3</v>
      </c>
      <c r="V16" s="76">
        <f t="shared" si="5"/>
        <v>0</v>
      </c>
      <c r="W16" s="76" t="s">
        <v>12</v>
      </c>
      <c r="X16" s="76"/>
      <c r="Y16" s="78"/>
      <c r="Z16" s="75">
        <f t="shared" si="6"/>
        <v>0</v>
      </c>
      <c r="AA16" s="76">
        <f>U16+(Y32)</f>
        <v>3</v>
      </c>
      <c r="AB16" s="76">
        <f t="shared" si="7"/>
        <v>0</v>
      </c>
      <c r="AC16" s="76" t="s">
        <v>13</v>
      </c>
      <c r="AD16" s="76"/>
      <c r="AE16" s="78"/>
      <c r="AF16" s="75">
        <f t="shared" si="8"/>
        <v>0</v>
      </c>
      <c r="AG16" s="76">
        <v>2</v>
      </c>
      <c r="AH16" s="79">
        <f t="shared" si="9"/>
        <v>0</v>
      </c>
      <c r="AI16" s="77" t="s">
        <v>14</v>
      </c>
    </row>
    <row r="17" spans="1:35" ht="15.75" thickBot="1" x14ac:dyDescent="0.3">
      <c r="B17" s="98" t="s">
        <v>77</v>
      </c>
      <c r="C17" s="102"/>
      <c r="D17" s="94" t="str">
        <f t="array" ref="D17">INDEX(Table_Name28[Name List],MATCH(B17,Table_Name28[Category],0))</f>
        <v>Abs[Exercise]</v>
      </c>
      <c r="E17" s="80" t="e">
        <f t="array" ref="E17">INDEX(Links49[Link],MATCH(C17,Links49[Exercise],0))</f>
        <v>#N/A</v>
      </c>
      <c r="F17" s="108" t="e">
        <f t="shared" si="0"/>
        <v>#N/A</v>
      </c>
      <c r="G17" s="111"/>
      <c r="H17" s="138">
        <f t="shared" si="1"/>
        <v>0</v>
      </c>
      <c r="I17" s="82">
        <v>3</v>
      </c>
      <c r="J17" s="82">
        <f>MROUND(((G17)*0.75),5)</f>
        <v>0</v>
      </c>
      <c r="K17" s="82" t="s">
        <v>11</v>
      </c>
      <c r="L17" s="82"/>
      <c r="M17" s="64"/>
      <c r="N17" s="81">
        <f t="shared" si="2"/>
        <v>0</v>
      </c>
      <c r="O17" s="82">
        <f>I17+(M34)</f>
        <v>3</v>
      </c>
      <c r="P17" s="82">
        <f t="shared" si="3"/>
        <v>0</v>
      </c>
      <c r="Q17" s="82" t="s">
        <v>11</v>
      </c>
      <c r="R17" s="82"/>
      <c r="S17" s="78"/>
      <c r="T17" s="83">
        <f t="shared" si="4"/>
        <v>0</v>
      </c>
      <c r="U17" s="82">
        <f>O17+(S34)</f>
        <v>3</v>
      </c>
      <c r="V17" s="82">
        <f t="shared" si="5"/>
        <v>0</v>
      </c>
      <c r="W17" s="82" t="s">
        <v>12</v>
      </c>
      <c r="X17" s="82"/>
      <c r="Y17" s="78"/>
      <c r="Z17" s="81">
        <f t="shared" si="6"/>
        <v>0</v>
      </c>
      <c r="AA17" s="82">
        <f>U17+(Y34)</f>
        <v>3</v>
      </c>
      <c r="AB17" s="82">
        <f t="shared" si="7"/>
        <v>0</v>
      </c>
      <c r="AC17" s="82" t="s">
        <v>13</v>
      </c>
      <c r="AD17" s="82"/>
      <c r="AE17" s="78"/>
      <c r="AF17" s="81">
        <f t="shared" si="8"/>
        <v>0</v>
      </c>
      <c r="AG17" s="82">
        <v>2</v>
      </c>
      <c r="AH17" s="84">
        <f t="shared" si="9"/>
        <v>0</v>
      </c>
      <c r="AI17" s="64" t="s">
        <v>14</v>
      </c>
    </row>
    <row r="18" spans="1:35" s="43" customFormat="1" ht="19.5" thickBot="1" x14ac:dyDescent="0.3">
      <c r="B18" s="86" t="s">
        <v>337</v>
      </c>
      <c r="C18" s="57"/>
      <c r="D18" s="57"/>
      <c r="E18" s="85"/>
      <c r="F18" s="56"/>
      <c r="G18" s="62"/>
      <c r="H18" s="168" t="s">
        <v>1</v>
      </c>
      <c r="I18" s="169"/>
      <c r="J18" s="169"/>
      <c r="K18" s="169"/>
      <c r="L18" s="169"/>
      <c r="M18" s="170"/>
      <c r="N18" s="171" t="s">
        <v>2</v>
      </c>
      <c r="O18" s="172"/>
      <c r="P18" s="172"/>
      <c r="Q18" s="172"/>
      <c r="R18" s="172"/>
      <c r="S18" s="173"/>
      <c r="T18" s="174" t="s">
        <v>3</v>
      </c>
      <c r="U18" s="175"/>
      <c r="V18" s="175"/>
      <c r="W18" s="175"/>
      <c r="X18" s="175"/>
      <c r="Y18" s="176"/>
      <c r="Z18" s="177" t="s">
        <v>4</v>
      </c>
      <c r="AA18" s="178"/>
      <c r="AB18" s="178"/>
      <c r="AC18" s="178"/>
      <c r="AD18" s="178"/>
      <c r="AE18" s="179"/>
      <c r="AF18" s="180" t="s">
        <v>5</v>
      </c>
      <c r="AG18" s="181"/>
      <c r="AH18" s="181"/>
      <c r="AI18" s="182"/>
    </row>
    <row r="19" spans="1:35" s="43" customFormat="1" ht="15.75" thickBot="1" x14ac:dyDescent="0.3">
      <c r="B19" s="37"/>
      <c r="C19" s="57"/>
      <c r="D19" s="57"/>
      <c r="E19" s="85"/>
      <c r="F19" s="56"/>
      <c r="G19" s="57"/>
      <c r="H19" s="65" t="s">
        <v>88</v>
      </c>
      <c r="I19" s="66" t="s">
        <v>6</v>
      </c>
      <c r="J19" s="67" t="s">
        <v>7</v>
      </c>
      <c r="K19" s="68" t="s">
        <v>8</v>
      </c>
      <c r="L19" s="68" t="s">
        <v>9</v>
      </c>
      <c r="M19" s="69" t="s">
        <v>10</v>
      </c>
      <c r="N19" s="70" t="s">
        <v>88</v>
      </c>
      <c r="O19" s="70" t="s">
        <v>6</v>
      </c>
      <c r="P19" s="67" t="s">
        <v>7</v>
      </c>
      <c r="Q19" s="68" t="s">
        <v>8</v>
      </c>
      <c r="R19" s="68" t="s">
        <v>9</v>
      </c>
      <c r="S19" s="69" t="s">
        <v>10</v>
      </c>
      <c r="T19" s="70" t="s">
        <v>88</v>
      </c>
      <c r="U19" s="70" t="s">
        <v>6</v>
      </c>
      <c r="V19" s="67" t="s">
        <v>7</v>
      </c>
      <c r="W19" s="68" t="s">
        <v>8</v>
      </c>
      <c r="X19" s="68" t="s">
        <v>9</v>
      </c>
      <c r="Y19" s="69" t="s">
        <v>10</v>
      </c>
      <c r="Z19" s="70" t="s">
        <v>88</v>
      </c>
      <c r="AA19" s="70" t="s">
        <v>6</v>
      </c>
      <c r="AB19" s="67" t="s">
        <v>7</v>
      </c>
      <c r="AC19" s="87" t="s">
        <v>15</v>
      </c>
      <c r="AD19" s="68" t="s">
        <v>9</v>
      </c>
      <c r="AE19" s="69" t="s">
        <v>10</v>
      </c>
      <c r="AF19" s="70" t="s">
        <v>88</v>
      </c>
      <c r="AG19" s="70" t="s">
        <v>6</v>
      </c>
      <c r="AH19" s="67" t="s">
        <v>7</v>
      </c>
      <c r="AI19" s="71" t="s">
        <v>8</v>
      </c>
    </row>
    <row r="20" spans="1:35" s="43" customFormat="1" ht="15.75" thickBot="1" x14ac:dyDescent="0.3">
      <c r="B20" s="95" t="s">
        <v>345</v>
      </c>
      <c r="C20" s="99" t="s">
        <v>86</v>
      </c>
      <c r="D20" s="91"/>
      <c r="E20" s="91"/>
      <c r="F20" s="99" t="s">
        <v>356</v>
      </c>
      <c r="G20" s="99" t="s">
        <v>357</v>
      </c>
      <c r="H20" s="68" t="s">
        <v>86</v>
      </c>
      <c r="I20" s="72"/>
      <c r="J20" s="72"/>
      <c r="K20" s="72"/>
      <c r="L20" s="72"/>
      <c r="M20" s="73"/>
      <c r="N20" s="65" t="s">
        <v>86</v>
      </c>
      <c r="O20" s="72"/>
      <c r="P20" s="72"/>
      <c r="Q20" s="72"/>
      <c r="R20" s="72"/>
      <c r="S20" s="73"/>
      <c r="T20" s="65" t="s">
        <v>86</v>
      </c>
      <c r="U20" s="72"/>
      <c r="V20" s="72"/>
      <c r="W20" s="72"/>
      <c r="X20" s="72"/>
      <c r="Y20" s="72"/>
      <c r="Z20" s="65" t="s">
        <v>86</v>
      </c>
      <c r="AA20" s="72"/>
      <c r="AB20" s="72"/>
      <c r="AC20" s="72"/>
      <c r="AD20" s="72"/>
      <c r="AE20" s="72"/>
      <c r="AF20" s="65" t="s">
        <v>86</v>
      </c>
      <c r="AG20" s="72"/>
      <c r="AH20" s="72"/>
      <c r="AI20" s="73"/>
    </row>
    <row r="21" spans="1:35" s="43" customFormat="1" ht="15.75" thickBot="1" x14ac:dyDescent="0.3">
      <c r="B21" s="96" t="s">
        <v>20</v>
      </c>
      <c r="C21" s="100"/>
      <c r="D21" s="92" t="str">
        <f t="array" ref="D21">INDEX(Table_Name28[Name List],MATCH(B21,Table_Name28[Category],0))</f>
        <v>Quads[Exercise]</v>
      </c>
      <c r="E21" s="90" t="e">
        <f t="array" ref="E21">INDEX(Links49[Link],MATCH(C21,Links49[Exercise],0))</f>
        <v>#N/A</v>
      </c>
      <c r="F21" s="106" t="e">
        <f t="shared" ref="F21:F24" si="20">HYPERLINK(E21,"Video")</f>
        <v>#N/A</v>
      </c>
      <c r="G21" s="109"/>
      <c r="H21" s="88">
        <f t="shared" ref="H21:H24" si="21">C21</f>
        <v>0</v>
      </c>
      <c r="I21" s="76">
        <v>4</v>
      </c>
      <c r="J21" s="76">
        <f>MROUND(((G21)*0.75),5)</f>
        <v>0</v>
      </c>
      <c r="K21" s="76" t="s">
        <v>11</v>
      </c>
      <c r="L21" s="76"/>
      <c r="M21" s="77"/>
      <c r="N21" s="88">
        <f t="shared" ref="N21:N24" si="22">C21</f>
        <v>0</v>
      </c>
      <c r="O21" s="76">
        <f>I21+(M41)</f>
        <v>4</v>
      </c>
      <c r="P21" s="76">
        <f t="shared" ref="P21:P24" si="23">MROUND((J21*1.05),5)</f>
        <v>0</v>
      </c>
      <c r="Q21" s="76" t="s">
        <v>11</v>
      </c>
      <c r="R21" s="76"/>
      <c r="S21" s="78"/>
      <c r="T21" s="57">
        <f t="shared" ref="T21:T24" si="24">C21</f>
        <v>0</v>
      </c>
      <c r="U21" s="76">
        <f>O21+(S41)</f>
        <v>4</v>
      </c>
      <c r="V21" s="76">
        <f t="shared" ref="V21:V24" si="25">MROUND((J21*1.075),5)</f>
        <v>0</v>
      </c>
      <c r="W21" s="76" t="s">
        <v>12</v>
      </c>
      <c r="X21" s="76"/>
      <c r="Y21" s="78"/>
      <c r="Z21" s="75">
        <f t="shared" ref="Z21:Z24" si="26">C21</f>
        <v>0</v>
      </c>
      <c r="AA21" s="76">
        <f>U21+(Y41)</f>
        <v>4</v>
      </c>
      <c r="AB21" s="76">
        <f t="shared" ref="AB21:AB24" si="27">MROUND((J21*1.1),5)</f>
        <v>0</v>
      </c>
      <c r="AC21" s="76" t="s">
        <v>13</v>
      </c>
      <c r="AD21" s="76"/>
      <c r="AE21" s="78"/>
      <c r="AF21" s="75">
        <f t="shared" ref="AF21:AF24" si="28">C21</f>
        <v>0</v>
      </c>
      <c r="AG21" s="76">
        <v>2</v>
      </c>
      <c r="AH21" s="79">
        <f t="shared" ref="AH21:AH24" si="29">J21</f>
        <v>0</v>
      </c>
      <c r="AI21" s="77" t="s">
        <v>14</v>
      </c>
    </row>
    <row r="22" spans="1:35" s="43" customFormat="1" ht="15.75" thickBot="1" x14ac:dyDescent="0.3">
      <c r="B22" s="97" t="s">
        <v>20</v>
      </c>
      <c r="C22" s="101"/>
      <c r="D22" s="93" t="str">
        <f t="array" ref="D22">INDEX(Table_Name28[Name List],MATCH(B22,Table_Name28[Category],0))</f>
        <v>Quads[Exercise]</v>
      </c>
      <c r="E22" s="74" t="e">
        <f t="array" ref="E22">INDEX(Links49[Link],MATCH(C22,Links49[Exercise],0))</f>
        <v>#N/A</v>
      </c>
      <c r="F22" s="107" t="e">
        <f t="shared" si="20"/>
        <v>#N/A</v>
      </c>
      <c r="G22" s="110"/>
      <c r="H22" s="88">
        <f t="shared" si="21"/>
        <v>0</v>
      </c>
      <c r="I22" s="76">
        <v>4</v>
      </c>
      <c r="J22" s="76">
        <f>MROUND(((G22)*0.75),5)</f>
        <v>0</v>
      </c>
      <c r="K22" s="76" t="s">
        <v>11</v>
      </c>
      <c r="L22" s="76"/>
      <c r="M22" s="77"/>
      <c r="N22" s="88">
        <f t="shared" si="22"/>
        <v>0</v>
      </c>
      <c r="O22" s="76">
        <f>I22+(M41)</f>
        <v>4</v>
      </c>
      <c r="P22" s="76">
        <f t="shared" si="23"/>
        <v>0</v>
      </c>
      <c r="Q22" s="76" t="s">
        <v>11</v>
      </c>
      <c r="R22" s="76"/>
      <c r="S22" s="78"/>
      <c r="T22" s="57">
        <f t="shared" si="24"/>
        <v>0</v>
      </c>
      <c r="U22" s="76">
        <f>O22+(S41)</f>
        <v>4</v>
      </c>
      <c r="V22" s="76">
        <f t="shared" si="25"/>
        <v>0</v>
      </c>
      <c r="W22" s="76" t="s">
        <v>12</v>
      </c>
      <c r="X22" s="76"/>
      <c r="Y22" s="78"/>
      <c r="Z22" s="75">
        <f t="shared" si="26"/>
        <v>0</v>
      </c>
      <c r="AA22" s="76">
        <f>U22+(Y41)</f>
        <v>4</v>
      </c>
      <c r="AB22" s="76">
        <f t="shared" si="27"/>
        <v>0</v>
      </c>
      <c r="AC22" s="76" t="s">
        <v>13</v>
      </c>
      <c r="AD22" s="76"/>
      <c r="AE22" s="78"/>
      <c r="AF22" s="75">
        <f t="shared" si="28"/>
        <v>0</v>
      </c>
      <c r="AG22" s="76">
        <v>2</v>
      </c>
      <c r="AH22" s="79">
        <f t="shared" si="29"/>
        <v>0</v>
      </c>
      <c r="AI22" s="77" t="s">
        <v>14</v>
      </c>
    </row>
    <row r="23" spans="1:35" s="43" customFormat="1" ht="15.75" thickBot="1" x14ac:dyDescent="0.3">
      <c r="B23" s="97" t="s">
        <v>106</v>
      </c>
      <c r="C23" s="101"/>
      <c r="D23" s="93" t="str">
        <f t="array" ref="D23">INDEX(Table_Name28[Name List],MATCH(B23,Table_Name28[Category],0))</f>
        <v>Hamstrings_Isolation[Exercise]</v>
      </c>
      <c r="E23" s="74" t="e">
        <f t="array" ref="E23">INDEX(Links49[Link],MATCH(C23,Links49[Exercise],0))</f>
        <v>#N/A</v>
      </c>
      <c r="F23" s="107" t="e">
        <f t="shared" si="20"/>
        <v>#N/A</v>
      </c>
      <c r="G23" s="110"/>
      <c r="H23" s="88">
        <f t="shared" si="21"/>
        <v>0</v>
      </c>
      <c r="I23" s="76">
        <v>4</v>
      </c>
      <c r="J23" s="76">
        <f>MROUND(((G23)*0.75),5)</f>
        <v>0</v>
      </c>
      <c r="K23" s="76" t="s">
        <v>11</v>
      </c>
      <c r="L23" s="76"/>
      <c r="M23" s="77"/>
      <c r="N23" s="88">
        <f t="shared" si="22"/>
        <v>0</v>
      </c>
      <c r="O23" s="76">
        <f>I23+(M40)</f>
        <v>4</v>
      </c>
      <c r="P23" s="76">
        <f t="shared" si="23"/>
        <v>0</v>
      </c>
      <c r="Q23" s="76" t="s">
        <v>11</v>
      </c>
      <c r="R23" s="76"/>
      <c r="S23" s="78"/>
      <c r="T23" s="57">
        <f t="shared" si="24"/>
        <v>0</v>
      </c>
      <c r="U23" s="76">
        <f>O23+(S40)</f>
        <v>4</v>
      </c>
      <c r="V23" s="76">
        <f t="shared" si="25"/>
        <v>0</v>
      </c>
      <c r="W23" s="76" t="s">
        <v>12</v>
      </c>
      <c r="X23" s="76"/>
      <c r="Y23" s="78"/>
      <c r="Z23" s="75">
        <f t="shared" si="26"/>
        <v>0</v>
      </c>
      <c r="AA23" s="76">
        <f>U23+(Y40)</f>
        <v>4</v>
      </c>
      <c r="AB23" s="76">
        <f t="shared" si="27"/>
        <v>0</v>
      </c>
      <c r="AC23" s="76" t="s">
        <v>13</v>
      </c>
      <c r="AD23" s="76"/>
      <c r="AE23" s="78"/>
      <c r="AF23" s="75">
        <f t="shared" si="28"/>
        <v>0</v>
      </c>
      <c r="AG23" s="76">
        <v>2</v>
      </c>
      <c r="AH23" s="79">
        <f t="shared" si="29"/>
        <v>0</v>
      </c>
      <c r="AI23" s="77" t="s">
        <v>14</v>
      </c>
    </row>
    <row r="24" spans="1:35" s="43" customFormat="1" ht="15.75" thickBot="1" x14ac:dyDescent="0.3">
      <c r="B24" s="98" t="s">
        <v>19</v>
      </c>
      <c r="C24" s="102"/>
      <c r="D24" s="94" t="str">
        <f t="array" ref="D24">INDEX(Table_Name28[Name List],MATCH(B24,Table_Name28[Category],0))</f>
        <v>Calves[Exercise]</v>
      </c>
      <c r="E24" s="80" t="e">
        <f t="array" ref="E24">INDEX(Links49[Link],MATCH(C24,Links49[Exercise],0))</f>
        <v>#N/A</v>
      </c>
      <c r="F24" s="108" t="e">
        <f t="shared" si="20"/>
        <v>#N/A</v>
      </c>
      <c r="G24" s="111"/>
      <c r="H24" s="138">
        <f t="shared" si="21"/>
        <v>0</v>
      </c>
      <c r="I24" s="82">
        <v>6</v>
      </c>
      <c r="J24" s="82">
        <f>MROUND(((G24)*0.75),5)</f>
        <v>0</v>
      </c>
      <c r="K24" s="82" t="s">
        <v>11</v>
      </c>
      <c r="L24" s="82"/>
      <c r="M24" s="64"/>
      <c r="N24" s="81">
        <f t="shared" si="22"/>
        <v>0</v>
      </c>
      <c r="O24" s="82">
        <f>I24+(M42)</f>
        <v>6</v>
      </c>
      <c r="P24" s="82">
        <f t="shared" si="23"/>
        <v>0</v>
      </c>
      <c r="Q24" s="82" t="s">
        <v>11</v>
      </c>
      <c r="R24" s="82"/>
      <c r="S24" s="78"/>
      <c r="T24" s="83">
        <f t="shared" si="24"/>
        <v>0</v>
      </c>
      <c r="U24" s="82">
        <f>O24+(S42)</f>
        <v>6</v>
      </c>
      <c r="V24" s="82">
        <f t="shared" si="25"/>
        <v>0</v>
      </c>
      <c r="W24" s="82" t="s">
        <v>12</v>
      </c>
      <c r="X24" s="82"/>
      <c r="Y24" s="78"/>
      <c r="Z24" s="81">
        <f t="shared" si="26"/>
        <v>0</v>
      </c>
      <c r="AA24" s="82">
        <f>U24+(Y42)</f>
        <v>6</v>
      </c>
      <c r="AB24" s="82">
        <f t="shared" si="27"/>
        <v>0</v>
      </c>
      <c r="AC24" s="82" t="s">
        <v>13</v>
      </c>
      <c r="AD24" s="82"/>
      <c r="AE24" s="78"/>
      <c r="AF24" s="81">
        <f t="shared" si="28"/>
        <v>0</v>
      </c>
      <c r="AG24" s="82">
        <v>2</v>
      </c>
      <c r="AH24" s="84">
        <f t="shared" si="29"/>
        <v>0</v>
      </c>
      <c r="AI24" s="64" t="s">
        <v>14</v>
      </c>
    </row>
    <row r="25" spans="1:35" s="43" customFormat="1" ht="19.5" thickBot="1" x14ac:dyDescent="0.3">
      <c r="B25" s="86" t="s">
        <v>346</v>
      </c>
      <c r="C25" s="57"/>
      <c r="D25" s="57"/>
      <c r="E25" s="85"/>
      <c r="F25" s="56"/>
      <c r="G25" s="62"/>
      <c r="H25" s="168" t="s">
        <v>1</v>
      </c>
      <c r="I25" s="169"/>
      <c r="J25" s="169"/>
      <c r="K25" s="169"/>
      <c r="L25" s="169"/>
      <c r="M25" s="170"/>
      <c r="N25" s="171" t="s">
        <v>2</v>
      </c>
      <c r="O25" s="172"/>
      <c r="P25" s="172"/>
      <c r="Q25" s="172"/>
      <c r="R25" s="172"/>
      <c r="S25" s="173"/>
      <c r="T25" s="174" t="s">
        <v>3</v>
      </c>
      <c r="U25" s="175"/>
      <c r="V25" s="175"/>
      <c r="W25" s="175"/>
      <c r="X25" s="175"/>
      <c r="Y25" s="176"/>
      <c r="Z25" s="177" t="s">
        <v>4</v>
      </c>
      <c r="AA25" s="178"/>
      <c r="AB25" s="178"/>
      <c r="AC25" s="178"/>
      <c r="AD25" s="178"/>
      <c r="AE25" s="179"/>
      <c r="AF25" s="180" t="s">
        <v>5</v>
      </c>
      <c r="AG25" s="181"/>
      <c r="AH25" s="181"/>
      <c r="AI25" s="182"/>
    </row>
    <row r="26" spans="1:35" s="43" customFormat="1" ht="15.75" thickBot="1" x14ac:dyDescent="0.3">
      <c r="B26" s="37"/>
      <c r="C26" s="57"/>
      <c r="D26" s="57"/>
      <c r="E26" s="85"/>
      <c r="F26" s="56"/>
      <c r="G26" s="57"/>
      <c r="H26" s="89" t="s">
        <v>88</v>
      </c>
      <c r="I26" s="70" t="s">
        <v>6</v>
      </c>
      <c r="J26" s="67" t="s">
        <v>7</v>
      </c>
      <c r="K26" s="68" t="s">
        <v>8</v>
      </c>
      <c r="L26" s="68" t="s">
        <v>9</v>
      </c>
      <c r="M26" s="69" t="s">
        <v>10</v>
      </c>
      <c r="N26" s="70" t="s">
        <v>88</v>
      </c>
      <c r="O26" s="70" t="s">
        <v>6</v>
      </c>
      <c r="P26" s="67" t="s">
        <v>7</v>
      </c>
      <c r="Q26" s="68" t="s">
        <v>8</v>
      </c>
      <c r="R26" s="68" t="s">
        <v>9</v>
      </c>
      <c r="S26" s="69" t="s">
        <v>10</v>
      </c>
      <c r="T26" s="70" t="s">
        <v>88</v>
      </c>
      <c r="U26" s="70" t="s">
        <v>6</v>
      </c>
      <c r="V26" s="67" t="s">
        <v>7</v>
      </c>
      <c r="W26" s="68" t="s">
        <v>8</v>
      </c>
      <c r="X26" s="68" t="s">
        <v>9</v>
      </c>
      <c r="Y26" s="69" t="s">
        <v>10</v>
      </c>
      <c r="Z26" s="70" t="s">
        <v>88</v>
      </c>
      <c r="AA26" s="70" t="s">
        <v>6</v>
      </c>
      <c r="AB26" s="67" t="s">
        <v>7</v>
      </c>
      <c r="AC26" s="87" t="s">
        <v>15</v>
      </c>
      <c r="AD26" s="68" t="s">
        <v>9</v>
      </c>
      <c r="AE26" s="69" t="s">
        <v>10</v>
      </c>
      <c r="AF26" s="70" t="s">
        <v>88</v>
      </c>
      <c r="AG26" s="70" t="s">
        <v>6</v>
      </c>
      <c r="AH26" s="67" t="s">
        <v>7</v>
      </c>
      <c r="AI26" s="71" t="s">
        <v>8</v>
      </c>
    </row>
    <row r="27" spans="1:35" s="43" customFormat="1" ht="15.75" thickBot="1" x14ac:dyDescent="0.3">
      <c r="B27" s="95" t="s">
        <v>347</v>
      </c>
      <c r="C27" s="99" t="s">
        <v>103</v>
      </c>
      <c r="D27" s="91"/>
      <c r="E27" s="91"/>
      <c r="F27" s="99" t="s">
        <v>356</v>
      </c>
      <c r="G27" s="99" t="s">
        <v>357</v>
      </c>
      <c r="H27" s="68" t="s">
        <v>103</v>
      </c>
      <c r="I27" s="72"/>
      <c r="J27" s="72"/>
      <c r="K27" s="72"/>
      <c r="L27" s="72"/>
      <c r="M27" s="73"/>
      <c r="N27" s="65" t="s">
        <v>103</v>
      </c>
      <c r="O27" s="72"/>
      <c r="P27" s="72"/>
      <c r="Q27" s="72"/>
      <c r="R27" s="72"/>
      <c r="S27" s="73"/>
      <c r="T27" s="65" t="s">
        <v>103</v>
      </c>
      <c r="U27" s="72"/>
      <c r="V27" s="72"/>
      <c r="W27" s="72"/>
      <c r="X27" s="72"/>
      <c r="Y27" s="72"/>
      <c r="Z27" s="65" t="s">
        <v>103</v>
      </c>
      <c r="AA27" s="72"/>
      <c r="AB27" s="72"/>
      <c r="AC27" s="72"/>
      <c r="AD27" s="72"/>
      <c r="AE27" s="72"/>
      <c r="AF27" s="65" t="s">
        <v>103</v>
      </c>
      <c r="AG27" s="72"/>
      <c r="AH27" s="72"/>
      <c r="AI27" s="73"/>
    </row>
    <row r="28" spans="1:35" s="43" customFormat="1" ht="15.75" thickBot="1" x14ac:dyDescent="0.3">
      <c r="B28" s="96" t="s">
        <v>339</v>
      </c>
      <c r="C28" s="100"/>
      <c r="D28" s="92" t="str">
        <f t="array" ref="D28">INDEX(Table_Name28[Name List],MATCH(B28,Table_Name28[Category],0))</f>
        <v>Vertical_Back[Exercise]</v>
      </c>
      <c r="E28" s="90" t="e">
        <f t="array" ref="E28">INDEX(Links49[Link],MATCH(C28,Links49[Exercise],0))</f>
        <v>#N/A</v>
      </c>
      <c r="F28" s="106" t="e">
        <f t="shared" ref="F28:F34" si="30">HYPERLINK(E28,"Video")</f>
        <v>#N/A</v>
      </c>
      <c r="G28" s="109"/>
      <c r="H28" s="88">
        <f t="shared" ref="H28:H34" si="31">C28</f>
        <v>0</v>
      </c>
      <c r="I28" s="76">
        <v>4</v>
      </c>
      <c r="J28" s="76">
        <f>MROUND(((G28)*0.75),5)</f>
        <v>0</v>
      </c>
      <c r="K28" s="76" t="s">
        <v>11</v>
      </c>
      <c r="L28" s="76"/>
      <c r="M28" s="78"/>
      <c r="N28" s="88">
        <f t="shared" ref="N28:N34" si="32">C28</f>
        <v>0</v>
      </c>
      <c r="O28" s="76">
        <f>I28+(M52)</f>
        <v>4</v>
      </c>
      <c r="P28" s="76">
        <f t="shared" ref="P28:P34" si="33">MROUND((J28*1.05),5)</f>
        <v>0</v>
      </c>
      <c r="Q28" s="76" t="s">
        <v>11</v>
      </c>
      <c r="R28" s="76"/>
      <c r="S28" s="78"/>
      <c r="T28" s="57">
        <f t="shared" ref="T28:T34" si="34">C28</f>
        <v>0</v>
      </c>
      <c r="U28" s="76">
        <f>O28+(S52)</f>
        <v>4</v>
      </c>
      <c r="V28" s="76">
        <f t="shared" ref="V28:V34" si="35">MROUND((J28*1.075),5)</f>
        <v>0</v>
      </c>
      <c r="W28" s="76" t="s">
        <v>12</v>
      </c>
      <c r="X28" s="76"/>
      <c r="Y28" s="78"/>
      <c r="Z28" s="75">
        <f t="shared" ref="Z28:Z34" si="36">C28</f>
        <v>0</v>
      </c>
      <c r="AA28" s="76">
        <f>U28+(Y52)</f>
        <v>4</v>
      </c>
      <c r="AB28" s="76">
        <f t="shared" ref="AB28:AB34" si="37">MROUND((J28*1.1),5)</f>
        <v>0</v>
      </c>
      <c r="AC28" s="76" t="s">
        <v>13</v>
      </c>
      <c r="AD28" s="76"/>
      <c r="AE28" s="78"/>
      <c r="AF28" s="75">
        <f t="shared" ref="AF28:AF34" si="38">C28</f>
        <v>0</v>
      </c>
      <c r="AG28" s="76">
        <v>2</v>
      </c>
      <c r="AH28" s="79">
        <f t="shared" ref="AH28:AH34" si="39">J28</f>
        <v>0</v>
      </c>
      <c r="AI28" s="77" t="s">
        <v>14</v>
      </c>
    </row>
    <row r="29" spans="1:35" s="43" customFormat="1" ht="15.75" thickBot="1" x14ac:dyDescent="0.3">
      <c r="B29" s="97" t="s">
        <v>339</v>
      </c>
      <c r="C29" s="101"/>
      <c r="D29" s="93" t="str">
        <f t="array" ref="D29">INDEX(Table_Name28[Name List],MATCH(B29,Table_Name28[Category],0))</f>
        <v>Vertical_Back[Exercise]</v>
      </c>
      <c r="E29" s="74" t="e">
        <f t="array" ref="E29">INDEX(Links49[Link],MATCH(C29,Links49[Exercise],0))</f>
        <v>#N/A</v>
      </c>
      <c r="F29" s="107" t="e">
        <f t="shared" si="30"/>
        <v>#N/A</v>
      </c>
      <c r="G29" s="110"/>
      <c r="H29" s="88">
        <f t="shared" si="31"/>
        <v>0</v>
      </c>
      <c r="I29" s="76">
        <v>4</v>
      </c>
      <c r="J29" s="76">
        <f>MROUND(((G29)*0.75),5)</f>
        <v>0</v>
      </c>
      <c r="K29" s="76" t="s">
        <v>11</v>
      </c>
      <c r="L29" s="76"/>
      <c r="M29" s="78"/>
      <c r="N29" s="88">
        <f t="shared" si="32"/>
        <v>0</v>
      </c>
      <c r="O29" s="76">
        <f>I29+(M52)</f>
        <v>4</v>
      </c>
      <c r="P29" s="76">
        <f t="shared" si="33"/>
        <v>0</v>
      </c>
      <c r="Q29" s="76" t="s">
        <v>11</v>
      </c>
      <c r="R29" s="76"/>
      <c r="S29" s="78"/>
      <c r="T29" s="57">
        <f t="shared" si="34"/>
        <v>0</v>
      </c>
      <c r="U29" s="76">
        <f>O29+(S52)</f>
        <v>4</v>
      </c>
      <c r="V29" s="76">
        <f t="shared" si="35"/>
        <v>0</v>
      </c>
      <c r="W29" s="76" t="s">
        <v>12</v>
      </c>
      <c r="X29" s="76"/>
      <c r="Y29" s="78"/>
      <c r="Z29" s="75">
        <f t="shared" si="36"/>
        <v>0</v>
      </c>
      <c r="AA29" s="76">
        <f>U29+(Y52)</f>
        <v>4</v>
      </c>
      <c r="AB29" s="76">
        <f t="shared" si="37"/>
        <v>0</v>
      </c>
      <c r="AC29" s="76" t="s">
        <v>13</v>
      </c>
      <c r="AD29" s="76"/>
      <c r="AE29" s="78"/>
      <c r="AF29" s="75">
        <f t="shared" si="38"/>
        <v>0</v>
      </c>
      <c r="AG29" s="76">
        <v>2</v>
      </c>
      <c r="AH29" s="79">
        <f t="shared" si="39"/>
        <v>0</v>
      </c>
      <c r="AI29" s="77" t="s">
        <v>14</v>
      </c>
    </row>
    <row r="30" spans="1:35" s="43" customFormat="1" ht="15.75" thickBot="1" x14ac:dyDescent="0.3">
      <c r="B30" s="97" t="s">
        <v>338</v>
      </c>
      <c r="C30" s="101"/>
      <c r="D30" s="93" t="str">
        <f t="array" ref="D30">INDEX(Table_Name28[Name List],MATCH(B30,Table_Name28[Category],0))</f>
        <v>Horizontal_Back[Exercise]</v>
      </c>
      <c r="E30" s="74" t="e">
        <f t="array" ref="E30">INDEX(Links49[Link],MATCH(C30,Links49[Exercise],0))</f>
        <v>#N/A</v>
      </c>
      <c r="F30" s="107" t="e">
        <f t="shared" si="30"/>
        <v>#N/A</v>
      </c>
      <c r="G30" s="110"/>
      <c r="H30" s="88">
        <f t="shared" si="31"/>
        <v>0</v>
      </c>
      <c r="I30" s="76">
        <v>3</v>
      </c>
      <c r="J30" s="76">
        <f>MROUND(((G30)*0.75),5)</f>
        <v>0</v>
      </c>
      <c r="K30" s="76" t="s">
        <v>11</v>
      </c>
      <c r="L30" s="76"/>
      <c r="M30" s="78"/>
      <c r="N30" s="88">
        <f t="shared" si="32"/>
        <v>0</v>
      </c>
      <c r="O30" s="76">
        <f>I30+(M52)</f>
        <v>3</v>
      </c>
      <c r="P30" s="76">
        <f t="shared" si="33"/>
        <v>0</v>
      </c>
      <c r="Q30" s="76" t="s">
        <v>11</v>
      </c>
      <c r="R30" s="76"/>
      <c r="S30" s="78"/>
      <c r="T30" s="57">
        <f t="shared" si="34"/>
        <v>0</v>
      </c>
      <c r="U30" s="76">
        <f>O30+(S52)</f>
        <v>3</v>
      </c>
      <c r="V30" s="76">
        <f t="shared" si="35"/>
        <v>0</v>
      </c>
      <c r="W30" s="76" t="s">
        <v>12</v>
      </c>
      <c r="X30" s="76"/>
      <c r="Y30" s="78"/>
      <c r="Z30" s="75">
        <f t="shared" si="36"/>
        <v>0</v>
      </c>
      <c r="AA30" s="76">
        <f>U30+(Y52)</f>
        <v>3</v>
      </c>
      <c r="AB30" s="76">
        <f t="shared" si="37"/>
        <v>0</v>
      </c>
      <c r="AC30" s="76" t="s">
        <v>13</v>
      </c>
      <c r="AD30" s="76"/>
      <c r="AE30" s="78"/>
      <c r="AF30" s="75">
        <f t="shared" si="38"/>
        <v>0</v>
      </c>
      <c r="AG30" s="76">
        <v>2</v>
      </c>
      <c r="AH30" s="79">
        <f t="shared" si="39"/>
        <v>0</v>
      </c>
      <c r="AI30" s="77" t="s">
        <v>14</v>
      </c>
    </row>
    <row r="31" spans="1:35" s="43" customFormat="1" ht="15.75" thickBot="1" x14ac:dyDescent="0.3">
      <c r="B31" s="154" t="s">
        <v>344</v>
      </c>
      <c r="C31" s="156"/>
      <c r="D31" s="112" t="str">
        <f t="array" ref="D31">INDEX(Table_Name28[Name List],MATCH(B31,Table_Name28[Category],0))</f>
        <v>Horizontal_Push[Exercise]</v>
      </c>
      <c r="E31" s="113" t="e">
        <f t="array" ref="E31">INDEX(Links49[Link],MATCH(C31,Links49[Exercise],0))</f>
        <v>#N/A</v>
      </c>
      <c r="F31" s="158" t="e">
        <f t="shared" si="30"/>
        <v>#N/A</v>
      </c>
      <c r="G31" s="160"/>
      <c r="H31" s="88">
        <f t="shared" si="31"/>
        <v>0</v>
      </c>
      <c r="I31" s="76">
        <v>3</v>
      </c>
      <c r="J31" s="76">
        <f>MROUND(((G31)*0.75),5)</f>
        <v>0</v>
      </c>
      <c r="K31" s="76" t="s">
        <v>11</v>
      </c>
      <c r="L31" s="76"/>
      <c r="M31" s="114"/>
      <c r="N31" s="88">
        <f t="shared" si="32"/>
        <v>0</v>
      </c>
      <c r="O31" s="76">
        <f>I31+(M53)</f>
        <v>3</v>
      </c>
      <c r="P31" s="76">
        <f t="shared" si="33"/>
        <v>0</v>
      </c>
      <c r="Q31" s="76" t="s">
        <v>11</v>
      </c>
      <c r="R31" s="76"/>
      <c r="S31" s="114"/>
      <c r="T31" s="57">
        <f t="shared" si="34"/>
        <v>0</v>
      </c>
      <c r="U31" s="76">
        <f>O31+(S53)</f>
        <v>3</v>
      </c>
      <c r="V31" s="76">
        <f t="shared" si="35"/>
        <v>0</v>
      </c>
      <c r="W31" s="76" t="s">
        <v>12</v>
      </c>
      <c r="X31" s="76"/>
      <c r="Y31" s="114"/>
      <c r="Z31" s="75">
        <f t="shared" si="36"/>
        <v>0</v>
      </c>
      <c r="AA31" s="76">
        <f>U31+(Y53)</f>
        <v>3</v>
      </c>
      <c r="AB31" s="76">
        <f t="shared" si="37"/>
        <v>0</v>
      </c>
      <c r="AC31" s="76" t="s">
        <v>13</v>
      </c>
      <c r="AD31" s="76"/>
      <c r="AE31" s="114"/>
      <c r="AF31" s="75">
        <f t="shared" si="38"/>
        <v>0</v>
      </c>
      <c r="AG31" s="76">
        <v>2</v>
      </c>
      <c r="AH31" s="79">
        <f t="shared" si="39"/>
        <v>0</v>
      </c>
      <c r="AI31" s="77" t="s">
        <v>14</v>
      </c>
    </row>
    <row r="32" spans="1:35" s="43" customFormat="1" ht="15.75" thickBot="1" x14ac:dyDescent="0.3">
      <c r="A32" s="63" t="s">
        <v>353</v>
      </c>
      <c r="B32" s="142" t="s">
        <v>340</v>
      </c>
      <c r="C32" s="145"/>
      <c r="D32" s="136" t="str">
        <f t="array" ref="D32">INDEX(Table_Name28[Name List],MATCH(B32,Table_Name28[Category],0))</f>
        <v>Rear_or_Side_Delts[Exercise]</v>
      </c>
      <c r="E32" s="115" t="e">
        <f t="array" ref="E32">INDEX(Links49[Link],MATCH(C32,Links49[Exercise],0))</f>
        <v>#N/A</v>
      </c>
      <c r="F32" s="148" t="e">
        <f t="shared" si="30"/>
        <v>#N/A</v>
      </c>
      <c r="G32" s="151"/>
      <c r="H32" s="130">
        <f t="shared" si="31"/>
        <v>0</v>
      </c>
      <c r="I32" s="117">
        <v>3</v>
      </c>
      <c r="J32" s="117">
        <f>MROUND(((G32)*0.75),5)</f>
        <v>0</v>
      </c>
      <c r="K32" s="117" t="s">
        <v>11</v>
      </c>
      <c r="L32" s="117"/>
      <c r="M32" s="119"/>
      <c r="N32" s="130">
        <f t="shared" si="32"/>
        <v>0</v>
      </c>
      <c r="O32" s="117">
        <f>I32+(S16)</f>
        <v>3</v>
      </c>
      <c r="P32" s="117">
        <f t="shared" si="33"/>
        <v>0</v>
      </c>
      <c r="Q32" s="117" t="s">
        <v>11</v>
      </c>
      <c r="R32" s="117"/>
      <c r="S32" s="119"/>
      <c r="T32" s="120">
        <f t="shared" si="34"/>
        <v>0</v>
      </c>
      <c r="U32" s="117">
        <f>O32+(Y16)</f>
        <v>3</v>
      </c>
      <c r="V32" s="117">
        <f t="shared" si="35"/>
        <v>0</v>
      </c>
      <c r="W32" s="117" t="s">
        <v>12</v>
      </c>
      <c r="X32" s="117"/>
      <c r="Y32" s="119"/>
      <c r="Z32" s="116">
        <f t="shared" si="36"/>
        <v>0</v>
      </c>
      <c r="AA32" s="117">
        <f>U32+(AE16)</f>
        <v>3</v>
      </c>
      <c r="AB32" s="117">
        <f t="shared" si="37"/>
        <v>0</v>
      </c>
      <c r="AC32" s="117" t="s">
        <v>13</v>
      </c>
      <c r="AD32" s="117"/>
      <c r="AE32" s="121"/>
      <c r="AF32" s="88">
        <f t="shared" si="38"/>
        <v>0</v>
      </c>
      <c r="AG32" s="76">
        <v>2</v>
      </c>
      <c r="AH32" s="79">
        <f t="shared" si="39"/>
        <v>0</v>
      </c>
      <c r="AI32" s="77" t="s">
        <v>14</v>
      </c>
    </row>
    <row r="33" spans="1:35" s="43" customFormat="1" ht="15.75" thickBot="1" x14ac:dyDescent="0.3">
      <c r="A33" s="63" t="s">
        <v>354</v>
      </c>
      <c r="B33" s="143" t="s">
        <v>340</v>
      </c>
      <c r="C33" s="146"/>
      <c r="D33" s="137" t="str">
        <f t="array" ref="D33">INDEX(Table_Name28[Name List],MATCH(B33,Table_Name28[Category],0))</f>
        <v>Rear_or_Side_Delts[Exercise]</v>
      </c>
      <c r="E33" s="122" t="e">
        <f t="array" ref="E33">INDEX(Links49[Link],MATCH(C33,Links49[Exercise],0))</f>
        <v>#N/A</v>
      </c>
      <c r="F33" s="149" t="e">
        <f t="shared" ref="F33" si="40">HYPERLINK(E33,"Video")</f>
        <v>#N/A</v>
      </c>
      <c r="G33" s="152"/>
      <c r="H33" s="131">
        <f t="shared" ref="H33" si="41">C33</f>
        <v>0</v>
      </c>
      <c r="I33" s="124">
        <v>3</v>
      </c>
      <c r="J33" s="124">
        <f>MROUND(((G33)*0.6),5)</f>
        <v>0</v>
      </c>
      <c r="K33" s="124" t="s">
        <v>11</v>
      </c>
      <c r="L33" s="124"/>
      <c r="M33" s="126"/>
      <c r="N33" s="131">
        <f t="shared" ref="N33" si="42">C33</f>
        <v>0</v>
      </c>
      <c r="O33" s="124">
        <f>I32+(S16)</f>
        <v>3</v>
      </c>
      <c r="P33" s="124">
        <f t="shared" ref="P33" si="43">MROUND((J33*1.05),5)</f>
        <v>0</v>
      </c>
      <c r="Q33" s="124" t="s">
        <v>11</v>
      </c>
      <c r="R33" s="124"/>
      <c r="S33" s="126"/>
      <c r="T33" s="127">
        <f t="shared" ref="T33" si="44">C33</f>
        <v>0</v>
      </c>
      <c r="U33" s="124">
        <f>O32+(Y16)</f>
        <v>3</v>
      </c>
      <c r="V33" s="124">
        <f t="shared" ref="V33" si="45">MROUND((J33*1.075),5)</f>
        <v>0</v>
      </c>
      <c r="W33" s="124" t="s">
        <v>12</v>
      </c>
      <c r="X33" s="124"/>
      <c r="Y33" s="126"/>
      <c r="Z33" s="123">
        <f t="shared" ref="Z33" si="46">C33</f>
        <v>0</v>
      </c>
      <c r="AA33" s="124">
        <f>U32+(AE16)</f>
        <v>3</v>
      </c>
      <c r="AB33" s="124">
        <f t="shared" ref="AB33" si="47">MROUND((J33*1.1),5)</f>
        <v>0</v>
      </c>
      <c r="AC33" s="124" t="s">
        <v>13</v>
      </c>
      <c r="AD33" s="124"/>
      <c r="AE33" s="128"/>
      <c r="AF33" s="88"/>
      <c r="AG33" s="76"/>
      <c r="AH33" s="79"/>
      <c r="AI33" s="77"/>
    </row>
    <row r="34" spans="1:35" s="43" customFormat="1" ht="15.75" thickBot="1" x14ac:dyDescent="0.3">
      <c r="B34" s="155" t="s">
        <v>77</v>
      </c>
      <c r="C34" s="157"/>
      <c r="D34" s="153" t="str">
        <f t="array" ref="D34">INDEX(Table_Name28[Name List],MATCH(B34,Table_Name28[Category],0))</f>
        <v>Abs[Exercise]</v>
      </c>
      <c r="E34" s="132" t="e">
        <f t="array" ref="E34">INDEX(Links49[Link],MATCH(C34,Links49[Exercise],0))</f>
        <v>#N/A</v>
      </c>
      <c r="F34" s="159" t="e">
        <f t="shared" si="30"/>
        <v>#N/A</v>
      </c>
      <c r="G34" s="161"/>
      <c r="H34" s="138">
        <f t="shared" si="31"/>
        <v>0</v>
      </c>
      <c r="I34" s="82">
        <v>3</v>
      </c>
      <c r="J34" s="82">
        <f>MROUND(((G34)*0.75),5)</f>
        <v>0</v>
      </c>
      <c r="K34" s="82" t="s">
        <v>11</v>
      </c>
      <c r="L34" s="82"/>
      <c r="M34" s="129"/>
      <c r="N34" s="81">
        <f t="shared" si="32"/>
        <v>0</v>
      </c>
      <c r="O34" s="82">
        <f>I34+(M54)</f>
        <v>3</v>
      </c>
      <c r="P34" s="82">
        <f t="shared" si="33"/>
        <v>0</v>
      </c>
      <c r="Q34" s="82" t="s">
        <v>11</v>
      </c>
      <c r="R34" s="82"/>
      <c r="S34" s="129"/>
      <c r="T34" s="83">
        <f t="shared" si="34"/>
        <v>0</v>
      </c>
      <c r="U34" s="82">
        <f>O34+(S54)</f>
        <v>3</v>
      </c>
      <c r="V34" s="82">
        <f t="shared" si="35"/>
        <v>0</v>
      </c>
      <c r="W34" s="82" t="s">
        <v>12</v>
      </c>
      <c r="X34" s="82"/>
      <c r="Y34" s="129"/>
      <c r="Z34" s="81">
        <f t="shared" si="36"/>
        <v>0</v>
      </c>
      <c r="AA34" s="82">
        <f>U34+(Y54)</f>
        <v>3</v>
      </c>
      <c r="AB34" s="82">
        <f t="shared" si="37"/>
        <v>0</v>
      </c>
      <c r="AC34" s="82" t="s">
        <v>13</v>
      </c>
      <c r="AD34" s="82"/>
      <c r="AE34" s="129"/>
      <c r="AF34" s="81">
        <f t="shared" si="38"/>
        <v>0</v>
      </c>
      <c r="AG34" s="82">
        <v>2</v>
      </c>
      <c r="AH34" s="84">
        <f t="shared" si="39"/>
        <v>0</v>
      </c>
      <c r="AI34" s="64" t="s">
        <v>14</v>
      </c>
    </row>
    <row r="35" spans="1:35" s="43" customFormat="1" ht="19.5" thickBot="1" x14ac:dyDescent="0.3">
      <c r="B35" s="86" t="s">
        <v>348</v>
      </c>
      <c r="C35" s="57"/>
      <c r="D35" s="57"/>
      <c r="E35" s="85"/>
      <c r="F35" s="56"/>
      <c r="G35" s="62"/>
      <c r="H35" s="168" t="s">
        <v>1</v>
      </c>
      <c r="I35" s="169"/>
      <c r="J35" s="169"/>
      <c r="K35" s="169"/>
      <c r="L35" s="169"/>
      <c r="M35" s="170"/>
      <c r="N35" s="171" t="s">
        <v>2</v>
      </c>
      <c r="O35" s="172"/>
      <c r="P35" s="172"/>
      <c r="Q35" s="172"/>
      <c r="R35" s="172"/>
      <c r="S35" s="173"/>
      <c r="T35" s="174" t="s">
        <v>3</v>
      </c>
      <c r="U35" s="175"/>
      <c r="V35" s="175"/>
      <c r="W35" s="175"/>
      <c r="X35" s="175"/>
      <c r="Y35" s="176"/>
      <c r="Z35" s="177" t="s">
        <v>4</v>
      </c>
      <c r="AA35" s="178"/>
      <c r="AB35" s="178"/>
      <c r="AC35" s="178"/>
      <c r="AD35" s="178"/>
      <c r="AE35" s="179"/>
      <c r="AF35" s="180" t="s">
        <v>5</v>
      </c>
      <c r="AG35" s="181"/>
      <c r="AH35" s="181"/>
      <c r="AI35" s="182"/>
    </row>
    <row r="36" spans="1:35" s="43" customFormat="1" ht="15.75" thickBot="1" x14ac:dyDescent="0.3">
      <c r="B36" s="37"/>
      <c r="C36" s="57"/>
      <c r="D36" s="57"/>
      <c r="E36" s="85"/>
      <c r="F36" s="56"/>
      <c r="G36" s="57"/>
      <c r="H36" s="65" t="s">
        <v>88</v>
      </c>
      <c r="I36" s="66" t="s">
        <v>6</v>
      </c>
      <c r="J36" s="67" t="s">
        <v>7</v>
      </c>
      <c r="K36" s="68" t="s">
        <v>8</v>
      </c>
      <c r="L36" s="68" t="s">
        <v>9</v>
      </c>
      <c r="M36" s="69" t="s">
        <v>10</v>
      </c>
      <c r="N36" s="70" t="s">
        <v>88</v>
      </c>
      <c r="O36" s="70" t="s">
        <v>6</v>
      </c>
      <c r="P36" s="67" t="s">
        <v>7</v>
      </c>
      <c r="Q36" s="68" t="s">
        <v>8</v>
      </c>
      <c r="R36" s="68" t="s">
        <v>9</v>
      </c>
      <c r="S36" s="69" t="s">
        <v>10</v>
      </c>
      <c r="T36" s="70" t="s">
        <v>88</v>
      </c>
      <c r="U36" s="70" t="s">
        <v>6</v>
      </c>
      <c r="V36" s="67" t="s">
        <v>7</v>
      </c>
      <c r="W36" s="68" t="s">
        <v>8</v>
      </c>
      <c r="X36" s="68" t="s">
        <v>9</v>
      </c>
      <c r="Y36" s="69" t="s">
        <v>10</v>
      </c>
      <c r="Z36" s="70" t="s">
        <v>88</v>
      </c>
      <c r="AA36" s="70" t="s">
        <v>6</v>
      </c>
      <c r="AB36" s="67" t="s">
        <v>7</v>
      </c>
      <c r="AC36" s="87" t="s">
        <v>15</v>
      </c>
      <c r="AD36" s="68" t="s">
        <v>9</v>
      </c>
      <c r="AE36" s="69" t="s">
        <v>10</v>
      </c>
      <c r="AF36" s="70" t="s">
        <v>88</v>
      </c>
      <c r="AG36" s="70" t="s">
        <v>6</v>
      </c>
      <c r="AH36" s="67" t="s">
        <v>7</v>
      </c>
      <c r="AI36" s="71" t="s">
        <v>8</v>
      </c>
    </row>
    <row r="37" spans="1:35" s="43" customFormat="1" ht="15.75" thickBot="1" x14ac:dyDescent="0.3">
      <c r="B37" s="95" t="s">
        <v>349</v>
      </c>
      <c r="C37" s="99" t="s">
        <v>336</v>
      </c>
      <c r="D37" s="91"/>
      <c r="E37" s="91"/>
      <c r="F37" s="99" t="s">
        <v>356</v>
      </c>
      <c r="G37" s="99" t="s">
        <v>357</v>
      </c>
      <c r="H37" s="68" t="s">
        <v>336</v>
      </c>
      <c r="I37" s="72"/>
      <c r="J37" s="72"/>
      <c r="K37" s="72"/>
      <c r="L37" s="72"/>
      <c r="M37" s="73"/>
      <c r="N37" s="65" t="s">
        <v>336</v>
      </c>
      <c r="O37" s="72"/>
      <c r="P37" s="72"/>
      <c r="Q37" s="72"/>
      <c r="R37" s="72"/>
      <c r="S37" s="73"/>
      <c r="T37" s="65" t="s">
        <v>336</v>
      </c>
      <c r="U37" s="72"/>
      <c r="V37" s="72"/>
      <c r="W37" s="72"/>
      <c r="X37" s="72"/>
      <c r="Y37" s="72"/>
      <c r="Z37" s="65" t="s">
        <v>336</v>
      </c>
      <c r="AA37" s="72"/>
      <c r="AB37" s="72"/>
      <c r="AC37" s="72"/>
      <c r="AD37" s="72"/>
      <c r="AE37" s="72"/>
      <c r="AF37" s="65" t="s">
        <v>336</v>
      </c>
      <c r="AG37" s="72"/>
      <c r="AH37" s="72"/>
      <c r="AI37" s="73"/>
    </row>
    <row r="38" spans="1:35" s="43" customFormat="1" ht="15.75" thickBot="1" x14ac:dyDescent="0.3">
      <c r="B38" s="96" t="s">
        <v>108</v>
      </c>
      <c r="C38" s="100"/>
      <c r="D38" s="92" t="str">
        <f t="array" ref="D38">INDEX(Table_Name28[Name List],MATCH(B38,Table_Name28[Category],0))</f>
        <v>Glutes[Exercise]</v>
      </c>
      <c r="E38" s="90" t="e">
        <f t="array" ref="E38">INDEX(Links49[Link],MATCH(C38,Links49[Exercise],0))</f>
        <v>#N/A</v>
      </c>
      <c r="F38" s="106" t="e">
        <f t="shared" ref="F38:F42" si="48">HYPERLINK(E38,"Video")</f>
        <v>#N/A</v>
      </c>
      <c r="G38" s="109"/>
      <c r="H38" s="88">
        <f t="shared" ref="H38:H42" si="49">C38</f>
        <v>0</v>
      </c>
      <c r="I38" s="76">
        <v>4</v>
      </c>
      <c r="J38" s="76">
        <f>MROUND(((G38)*0.75),5)</f>
        <v>0</v>
      </c>
      <c r="K38" s="76" t="s">
        <v>11</v>
      </c>
      <c r="L38" s="76"/>
      <c r="M38" s="78"/>
      <c r="N38" s="88">
        <f t="shared" ref="N38:N42" si="50">C38</f>
        <v>0</v>
      </c>
      <c r="O38" s="76">
        <f>I38+(S21)</f>
        <v>4</v>
      </c>
      <c r="P38" s="76">
        <f t="shared" ref="P38:P42" si="51">MROUND((J38*1.05),5)</f>
        <v>0</v>
      </c>
      <c r="Q38" s="76" t="s">
        <v>11</v>
      </c>
      <c r="R38" s="76"/>
      <c r="S38" s="78"/>
      <c r="T38" s="57">
        <f t="shared" ref="T38:T42" si="52">C38</f>
        <v>0</v>
      </c>
      <c r="U38" s="76">
        <f>O38+(Y21)</f>
        <v>4</v>
      </c>
      <c r="V38" s="76">
        <f t="shared" ref="V38:V42" si="53">MROUND((J38*1.075),5)</f>
        <v>0</v>
      </c>
      <c r="W38" s="76" t="s">
        <v>12</v>
      </c>
      <c r="X38" s="76"/>
      <c r="Y38" s="78"/>
      <c r="Z38" s="75">
        <f t="shared" ref="Z38:Z42" si="54">C38</f>
        <v>0</v>
      </c>
      <c r="AA38" s="76">
        <f>U38+(AE21)</f>
        <v>4</v>
      </c>
      <c r="AB38" s="76">
        <f t="shared" ref="AB38:AB42" si="55">MROUND((J38*1.1),5)</f>
        <v>0</v>
      </c>
      <c r="AC38" s="76" t="s">
        <v>13</v>
      </c>
      <c r="AD38" s="76"/>
      <c r="AE38" s="78"/>
      <c r="AF38" s="75">
        <f t="shared" ref="AF38:AF42" si="56">C38</f>
        <v>0</v>
      </c>
      <c r="AG38" s="76">
        <v>2</v>
      </c>
      <c r="AH38" s="79">
        <f t="shared" ref="AH38:AH42" si="57">MROUND((J38*0.5),5)</f>
        <v>0</v>
      </c>
      <c r="AI38" s="77" t="s">
        <v>14</v>
      </c>
    </row>
    <row r="39" spans="1:35" s="43" customFormat="1" ht="15.75" thickBot="1" x14ac:dyDescent="0.3">
      <c r="B39" s="97" t="s">
        <v>108</v>
      </c>
      <c r="C39" s="101"/>
      <c r="D39" s="93" t="str">
        <f t="array" ref="D39">INDEX(Table_Name28[Name List],MATCH(B39,Table_Name28[Category],0))</f>
        <v>Glutes[Exercise]</v>
      </c>
      <c r="E39" s="74" t="e">
        <f t="array" ref="E39">INDEX(Links49[Link],MATCH(C39,Links49[Exercise],0))</f>
        <v>#N/A</v>
      </c>
      <c r="F39" s="107" t="e">
        <f t="shared" si="48"/>
        <v>#N/A</v>
      </c>
      <c r="G39" s="110"/>
      <c r="H39" s="88">
        <f t="shared" si="49"/>
        <v>0</v>
      </c>
      <c r="I39" s="76">
        <v>4</v>
      </c>
      <c r="J39" s="76">
        <f>MROUND(((G39)*0.75),5)</f>
        <v>0</v>
      </c>
      <c r="K39" s="76" t="s">
        <v>11</v>
      </c>
      <c r="L39" s="76"/>
      <c r="M39" s="78"/>
      <c r="N39" s="88">
        <f t="shared" si="50"/>
        <v>0</v>
      </c>
      <c r="O39" s="76">
        <f>I39+(S21)</f>
        <v>4</v>
      </c>
      <c r="P39" s="76">
        <f t="shared" si="51"/>
        <v>0</v>
      </c>
      <c r="Q39" s="76" t="s">
        <v>11</v>
      </c>
      <c r="R39" s="76"/>
      <c r="S39" s="78"/>
      <c r="T39" s="57">
        <f t="shared" si="52"/>
        <v>0</v>
      </c>
      <c r="U39" s="76">
        <f>O39+(Y21)</f>
        <v>4</v>
      </c>
      <c r="V39" s="76">
        <f t="shared" si="53"/>
        <v>0</v>
      </c>
      <c r="W39" s="76" t="s">
        <v>12</v>
      </c>
      <c r="X39" s="76"/>
      <c r="Y39" s="78"/>
      <c r="Z39" s="75">
        <f t="shared" si="54"/>
        <v>0</v>
      </c>
      <c r="AA39" s="76">
        <f>U39+(AE21)</f>
        <v>4</v>
      </c>
      <c r="AB39" s="76">
        <f t="shared" si="55"/>
        <v>0</v>
      </c>
      <c r="AC39" s="76" t="s">
        <v>13</v>
      </c>
      <c r="AD39" s="76"/>
      <c r="AE39" s="78"/>
      <c r="AF39" s="75">
        <f t="shared" si="56"/>
        <v>0</v>
      </c>
      <c r="AG39" s="76">
        <v>2</v>
      </c>
      <c r="AH39" s="79">
        <f t="shared" si="57"/>
        <v>0</v>
      </c>
      <c r="AI39" s="77" t="s">
        <v>14</v>
      </c>
    </row>
    <row r="40" spans="1:35" s="43" customFormat="1" ht="15.75" thickBot="1" x14ac:dyDescent="0.3">
      <c r="B40" s="97" t="s">
        <v>107</v>
      </c>
      <c r="C40" s="101"/>
      <c r="D40" s="93" t="str">
        <f t="array" ref="D40">INDEX(Table_Name28[Name List],MATCH(B40,Table_Name28[Category],0))</f>
        <v>Hamstrings_Hip_Hinge[Exercise]</v>
      </c>
      <c r="E40" s="74" t="e">
        <f t="array" ref="E40">INDEX(Links49[Link],MATCH(C40,Links49[Exercise],0))</f>
        <v>#N/A</v>
      </c>
      <c r="F40" s="107" t="e">
        <f t="shared" si="48"/>
        <v>#N/A</v>
      </c>
      <c r="G40" s="110"/>
      <c r="H40" s="88">
        <f t="shared" si="49"/>
        <v>0</v>
      </c>
      <c r="I40" s="76">
        <v>4</v>
      </c>
      <c r="J40" s="76">
        <f>MROUND(((G40)*0.75),5)</f>
        <v>0</v>
      </c>
      <c r="K40" s="76" t="s">
        <v>11</v>
      </c>
      <c r="L40" s="76"/>
      <c r="M40" s="78"/>
      <c r="N40" s="88">
        <f t="shared" si="50"/>
        <v>0</v>
      </c>
      <c r="O40" s="76">
        <f>I40+(S23)</f>
        <v>4</v>
      </c>
      <c r="P40" s="76">
        <f t="shared" si="51"/>
        <v>0</v>
      </c>
      <c r="Q40" s="76" t="s">
        <v>11</v>
      </c>
      <c r="R40" s="76"/>
      <c r="S40" s="78"/>
      <c r="T40" s="57">
        <f t="shared" si="52"/>
        <v>0</v>
      </c>
      <c r="U40" s="76">
        <f>O40+(Y23)</f>
        <v>4</v>
      </c>
      <c r="V40" s="76">
        <f t="shared" si="53"/>
        <v>0</v>
      </c>
      <c r="W40" s="76" t="s">
        <v>12</v>
      </c>
      <c r="X40" s="76"/>
      <c r="Y40" s="78"/>
      <c r="Z40" s="75">
        <f t="shared" si="54"/>
        <v>0</v>
      </c>
      <c r="AA40" s="76">
        <f>U40+(AE23)</f>
        <v>4</v>
      </c>
      <c r="AB40" s="76">
        <f t="shared" si="55"/>
        <v>0</v>
      </c>
      <c r="AC40" s="76" t="s">
        <v>13</v>
      </c>
      <c r="AD40" s="76"/>
      <c r="AE40" s="78"/>
      <c r="AF40" s="75">
        <f t="shared" si="56"/>
        <v>0</v>
      </c>
      <c r="AG40" s="76">
        <v>2</v>
      </c>
      <c r="AH40" s="79">
        <f t="shared" si="57"/>
        <v>0</v>
      </c>
      <c r="AI40" s="77" t="s">
        <v>14</v>
      </c>
    </row>
    <row r="41" spans="1:35" s="43" customFormat="1" ht="15.75" thickBot="1" x14ac:dyDescent="0.3">
      <c r="B41" s="97" t="s">
        <v>20</v>
      </c>
      <c r="C41" s="101"/>
      <c r="D41" s="93" t="str">
        <f t="array" ref="D41">INDEX(Table_Name28[Name List],MATCH(B41,Table_Name28[Category],0))</f>
        <v>Quads[Exercise]</v>
      </c>
      <c r="E41" s="74" t="e">
        <f t="array" ref="E41">INDEX(Links49[Link],MATCH(C41,Links49[Exercise],0))</f>
        <v>#N/A</v>
      </c>
      <c r="F41" s="107" t="e">
        <f t="shared" si="48"/>
        <v>#N/A</v>
      </c>
      <c r="G41" s="110"/>
      <c r="H41" s="88">
        <f t="shared" si="49"/>
        <v>0</v>
      </c>
      <c r="I41" s="76">
        <v>4</v>
      </c>
      <c r="J41" s="76">
        <f>MROUND(((G41)*0.75),5)</f>
        <v>0</v>
      </c>
      <c r="K41" s="76" t="s">
        <v>11</v>
      </c>
      <c r="L41" s="76"/>
      <c r="M41" s="78"/>
      <c r="N41" s="88">
        <f t="shared" si="50"/>
        <v>0</v>
      </c>
      <c r="O41" s="76">
        <f>I41+(S21)</f>
        <v>4</v>
      </c>
      <c r="P41" s="76">
        <f t="shared" si="51"/>
        <v>0</v>
      </c>
      <c r="Q41" s="76" t="s">
        <v>11</v>
      </c>
      <c r="R41" s="76"/>
      <c r="S41" s="78"/>
      <c r="T41" s="57">
        <f t="shared" si="52"/>
        <v>0</v>
      </c>
      <c r="U41" s="76">
        <f>O41+(Y21)</f>
        <v>4</v>
      </c>
      <c r="V41" s="76">
        <f t="shared" si="53"/>
        <v>0</v>
      </c>
      <c r="W41" s="76" t="s">
        <v>12</v>
      </c>
      <c r="X41" s="76"/>
      <c r="Y41" s="78"/>
      <c r="Z41" s="75">
        <f t="shared" si="54"/>
        <v>0</v>
      </c>
      <c r="AA41" s="76">
        <f>U41+(AE21)</f>
        <v>4</v>
      </c>
      <c r="AB41" s="76">
        <f t="shared" si="55"/>
        <v>0</v>
      </c>
      <c r="AC41" s="76" t="s">
        <v>13</v>
      </c>
      <c r="AD41" s="76"/>
      <c r="AE41" s="78"/>
      <c r="AF41" s="75">
        <f t="shared" si="56"/>
        <v>0</v>
      </c>
      <c r="AG41" s="76">
        <v>2</v>
      </c>
      <c r="AH41" s="79">
        <f t="shared" si="57"/>
        <v>0</v>
      </c>
      <c r="AI41" s="77" t="s">
        <v>14</v>
      </c>
    </row>
    <row r="42" spans="1:35" s="43" customFormat="1" ht="15.75" thickBot="1" x14ac:dyDescent="0.3">
      <c r="B42" s="98" t="s">
        <v>19</v>
      </c>
      <c r="C42" s="102"/>
      <c r="D42" s="94" t="str">
        <f t="array" ref="D42">INDEX(Table_Name28[Name List],MATCH(B42,Table_Name28[Category],0))</f>
        <v>Calves[Exercise]</v>
      </c>
      <c r="E42" s="80" t="e">
        <f t="array" ref="E42">INDEX(Links49[Link],MATCH(C42,Links49[Exercise],0))</f>
        <v>#N/A</v>
      </c>
      <c r="F42" s="108" t="e">
        <f t="shared" si="48"/>
        <v>#N/A</v>
      </c>
      <c r="G42" s="111"/>
      <c r="H42" s="138">
        <f t="shared" si="49"/>
        <v>0</v>
      </c>
      <c r="I42" s="82">
        <v>6</v>
      </c>
      <c r="J42" s="82">
        <f>MROUND(((G42)*0.75),5)</f>
        <v>0</v>
      </c>
      <c r="K42" s="82" t="s">
        <v>11</v>
      </c>
      <c r="L42" s="82"/>
      <c r="M42" s="78"/>
      <c r="N42" s="81">
        <f t="shared" si="50"/>
        <v>0</v>
      </c>
      <c r="O42" s="82">
        <f>I42+(S24)</f>
        <v>6</v>
      </c>
      <c r="P42" s="82">
        <f t="shared" si="51"/>
        <v>0</v>
      </c>
      <c r="Q42" s="82" t="s">
        <v>11</v>
      </c>
      <c r="R42" s="82"/>
      <c r="S42" s="78"/>
      <c r="T42" s="83">
        <f t="shared" si="52"/>
        <v>0</v>
      </c>
      <c r="U42" s="82">
        <f>O42+(Y24)</f>
        <v>6</v>
      </c>
      <c r="V42" s="82">
        <f t="shared" si="53"/>
        <v>0</v>
      </c>
      <c r="W42" s="82" t="s">
        <v>12</v>
      </c>
      <c r="X42" s="82"/>
      <c r="Y42" s="78"/>
      <c r="Z42" s="81">
        <f t="shared" si="54"/>
        <v>0</v>
      </c>
      <c r="AA42" s="82">
        <f>U42+(AE24)</f>
        <v>6</v>
      </c>
      <c r="AB42" s="82">
        <f t="shared" si="55"/>
        <v>0</v>
      </c>
      <c r="AC42" s="82" t="s">
        <v>13</v>
      </c>
      <c r="AD42" s="82"/>
      <c r="AE42" s="78"/>
      <c r="AF42" s="81">
        <f t="shared" si="56"/>
        <v>0</v>
      </c>
      <c r="AG42" s="82">
        <v>2</v>
      </c>
      <c r="AH42" s="84">
        <f t="shared" si="57"/>
        <v>0</v>
      </c>
      <c r="AI42" s="64" t="s">
        <v>14</v>
      </c>
    </row>
    <row r="43" spans="1:35" s="43" customFormat="1" ht="19.5" thickBot="1" x14ac:dyDescent="0.3">
      <c r="B43" s="86" t="s">
        <v>350</v>
      </c>
      <c r="C43" s="57"/>
      <c r="D43" s="57"/>
      <c r="E43" s="85"/>
      <c r="F43" s="56"/>
      <c r="G43" s="62"/>
      <c r="H43" s="168" t="s">
        <v>1</v>
      </c>
      <c r="I43" s="169"/>
      <c r="J43" s="169"/>
      <c r="K43" s="169"/>
      <c r="L43" s="169"/>
      <c r="M43" s="170"/>
      <c r="N43" s="171" t="s">
        <v>2</v>
      </c>
      <c r="O43" s="172"/>
      <c r="P43" s="172"/>
      <c r="Q43" s="172"/>
      <c r="R43" s="172"/>
      <c r="S43" s="173"/>
      <c r="T43" s="174" t="s">
        <v>3</v>
      </c>
      <c r="U43" s="175"/>
      <c r="V43" s="175"/>
      <c r="W43" s="175"/>
      <c r="X43" s="175"/>
      <c r="Y43" s="176"/>
      <c r="Z43" s="177" t="s">
        <v>4</v>
      </c>
      <c r="AA43" s="178"/>
      <c r="AB43" s="178"/>
      <c r="AC43" s="178"/>
      <c r="AD43" s="178"/>
      <c r="AE43" s="179"/>
      <c r="AF43" s="180" t="s">
        <v>5</v>
      </c>
      <c r="AG43" s="181"/>
      <c r="AH43" s="181"/>
      <c r="AI43" s="182"/>
    </row>
    <row r="44" spans="1:35" s="43" customFormat="1" ht="15.75" thickBot="1" x14ac:dyDescent="0.3">
      <c r="B44" s="37"/>
      <c r="C44" s="57"/>
      <c r="D44" s="57"/>
      <c r="E44" s="85"/>
      <c r="F44" s="56"/>
      <c r="G44" s="57"/>
      <c r="H44" s="65" t="s">
        <v>88</v>
      </c>
      <c r="I44" s="66" t="s">
        <v>6</v>
      </c>
      <c r="J44" s="67" t="s">
        <v>7</v>
      </c>
      <c r="K44" s="68" t="s">
        <v>8</v>
      </c>
      <c r="L44" s="68" t="s">
        <v>9</v>
      </c>
      <c r="M44" s="69" t="s">
        <v>10</v>
      </c>
      <c r="N44" s="70" t="s">
        <v>88</v>
      </c>
      <c r="O44" s="70" t="s">
        <v>6</v>
      </c>
      <c r="P44" s="67" t="s">
        <v>7</v>
      </c>
      <c r="Q44" s="68" t="s">
        <v>8</v>
      </c>
      <c r="R44" s="68" t="s">
        <v>9</v>
      </c>
      <c r="S44" s="69" t="s">
        <v>10</v>
      </c>
      <c r="T44" s="70" t="s">
        <v>88</v>
      </c>
      <c r="U44" s="70" t="s">
        <v>6</v>
      </c>
      <c r="V44" s="67" t="s">
        <v>7</v>
      </c>
      <c r="W44" s="68" t="s">
        <v>8</v>
      </c>
      <c r="X44" s="68" t="s">
        <v>9</v>
      </c>
      <c r="Y44" s="69" t="s">
        <v>10</v>
      </c>
      <c r="Z44" s="70" t="s">
        <v>88</v>
      </c>
      <c r="AA44" s="70" t="s">
        <v>6</v>
      </c>
      <c r="AB44" s="67" t="s">
        <v>7</v>
      </c>
      <c r="AC44" s="87" t="s">
        <v>15</v>
      </c>
      <c r="AD44" s="68" t="s">
        <v>9</v>
      </c>
      <c r="AE44" s="69" t="s">
        <v>10</v>
      </c>
      <c r="AF44" s="70" t="s">
        <v>88</v>
      </c>
      <c r="AG44" s="70" t="s">
        <v>6</v>
      </c>
      <c r="AH44" s="67" t="s">
        <v>7</v>
      </c>
      <c r="AI44" s="71" t="s">
        <v>8</v>
      </c>
    </row>
    <row r="45" spans="1:35" s="43" customFormat="1" ht="15.75" thickBot="1" x14ac:dyDescent="0.3">
      <c r="B45" s="166" t="s">
        <v>351</v>
      </c>
      <c r="C45" s="167" t="s">
        <v>341</v>
      </c>
      <c r="D45" s="68"/>
      <c r="E45" s="68"/>
      <c r="F45" s="167" t="s">
        <v>356</v>
      </c>
      <c r="G45" s="167" t="s">
        <v>357</v>
      </c>
      <c r="H45" s="68" t="s">
        <v>341</v>
      </c>
      <c r="I45" s="72"/>
      <c r="J45" s="72"/>
      <c r="K45" s="72"/>
      <c r="L45" s="72"/>
      <c r="M45" s="73"/>
      <c r="N45" s="65" t="s">
        <v>341</v>
      </c>
      <c r="O45" s="72"/>
      <c r="P45" s="72"/>
      <c r="Q45" s="72"/>
      <c r="R45" s="72"/>
      <c r="S45" s="73"/>
      <c r="T45" s="65" t="s">
        <v>341</v>
      </c>
      <c r="U45" s="72"/>
      <c r="V45" s="72"/>
      <c r="W45" s="72"/>
      <c r="X45" s="72"/>
      <c r="Y45" s="72"/>
      <c r="Z45" s="65" t="s">
        <v>341</v>
      </c>
      <c r="AA45" s="72"/>
      <c r="AB45" s="72"/>
      <c r="AC45" s="72"/>
      <c r="AD45" s="72"/>
      <c r="AE45" s="72"/>
      <c r="AF45" s="65" t="s">
        <v>341</v>
      </c>
      <c r="AG45" s="72"/>
      <c r="AH45" s="72"/>
      <c r="AI45" s="73"/>
    </row>
    <row r="46" spans="1:35" s="43" customFormat="1" ht="15.75" thickBot="1" x14ac:dyDescent="0.3">
      <c r="A46" s="63" t="s">
        <v>353</v>
      </c>
      <c r="B46" s="142" t="s">
        <v>18</v>
      </c>
      <c r="C46" s="145"/>
      <c r="D46" s="136" t="str">
        <f t="array" ref="D46">INDEX(Table_Name28[Name List],MATCH(B46,Table_Name28[Category],0))</f>
        <v>Biceps[Exercise]</v>
      </c>
      <c r="E46" s="115" t="e">
        <f t="array" ref="E46">INDEX(Links49[Link],MATCH(C46,Links49[Exercise],0))</f>
        <v>#N/A</v>
      </c>
      <c r="F46" s="148" t="e">
        <f t="shared" ref="F46:F54" si="58">HYPERLINK(E46,"Video")</f>
        <v>#N/A</v>
      </c>
      <c r="G46" s="151"/>
      <c r="H46" s="130">
        <f t="shared" ref="H46:H54" si="59">C46</f>
        <v>0</v>
      </c>
      <c r="I46" s="117">
        <v>4</v>
      </c>
      <c r="J46" s="117">
        <f>MROUND(((G46)*0.75),5)</f>
        <v>0</v>
      </c>
      <c r="K46" s="117" t="s">
        <v>11</v>
      </c>
      <c r="L46" s="117"/>
      <c r="M46" s="119"/>
      <c r="N46" s="130">
        <f t="shared" ref="N46:N54" si="60">C46</f>
        <v>0</v>
      </c>
      <c r="O46" s="117">
        <f>I46+(S15)</f>
        <v>4</v>
      </c>
      <c r="P46" s="117">
        <f t="shared" ref="P46:P54" si="61">MROUND((J46*1.05),5)</f>
        <v>0</v>
      </c>
      <c r="Q46" s="117" t="s">
        <v>11</v>
      </c>
      <c r="R46" s="117"/>
      <c r="S46" s="119"/>
      <c r="T46" s="120">
        <f t="shared" ref="T46:T54" si="62">C46</f>
        <v>0</v>
      </c>
      <c r="U46" s="117">
        <f>O46+(Y15)</f>
        <v>4</v>
      </c>
      <c r="V46" s="117">
        <f t="shared" ref="V46:V54" si="63">MROUND((J46*1.075),5)</f>
        <v>0</v>
      </c>
      <c r="W46" s="117" t="s">
        <v>12</v>
      </c>
      <c r="X46" s="117"/>
      <c r="Y46" s="119"/>
      <c r="Z46" s="116">
        <f t="shared" ref="Z46:Z54" si="64">C46</f>
        <v>0</v>
      </c>
      <c r="AA46" s="117">
        <f>U46+(AE15)</f>
        <v>4</v>
      </c>
      <c r="AB46" s="117">
        <f t="shared" ref="AB46:AB54" si="65">MROUND((J46*1.1),5)</f>
        <v>0</v>
      </c>
      <c r="AC46" s="117" t="s">
        <v>13</v>
      </c>
      <c r="AD46" s="117"/>
      <c r="AE46" s="133"/>
      <c r="AF46" s="88">
        <f t="shared" ref="AF46:AF54" si="66">C46</f>
        <v>0</v>
      </c>
      <c r="AG46" s="76">
        <v>2</v>
      </c>
      <c r="AH46" s="79">
        <f t="shared" ref="AH46:AH54" si="67">MROUND((J46*0.5),5)</f>
        <v>0</v>
      </c>
      <c r="AI46" s="77" t="s">
        <v>14</v>
      </c>
    </row>
    <row r="47" spans="1:35" s="43" customFormat="1" ht="15.75" thickBot="1" x14ac:dyDescent="0.3">
      <c r="A47" s="63" t="s">
        <v>354</v>
      </c>
      <c r="B47" s="143" t="s">
        <v>18</v>
      </c>
      <c r="C47" s="146"/>
      <c r="D47" s="137" t="str">
        <f t="array" ref="D47">INDEX(Table_Name28[Name List],MATCH(B47,Table_Name28[Category],0))</f>
        <v>Biceps[Exercise]</v>
      </c>
      <c r="E47" s="122" t="e">
        <f t="array" ref="E47">INDEX(Links49[Link],MATCH(C47,Links49[Exercise],0))</f>
        <v>#N/A</v>
      </c>
      <c r="F47" s="149" t="e">
        <f t="shared" ref="F47" si="68">HYPERLINK(E47,"Video")</f>
        <v>#N/A</v>
      </c>
      <c r="G47" s="152"/>
      <c r="H47" s="131">
        <f t="shared" si="59"/>
        <v>0</v>
      </c>
      <c r="I47" s="124">
        <v>4</v>
      </c>
      <c r="J47" s="124">
        <f>MROUND(((G47)*0.6),5)</f>
        <v>0</v>
      </c>
      <c r="K47" s="124" t="s">
        <v>11</v>
      </c>
      <c r="L47" s="124"/>
      <c r="M47" s="126"/>
      <c r="N47" s="131">
        <f t="shared" si="60"/>
        <v>0</v>
      </c>
      <c r="O47" s="124">
        <f>I46+(S15)</f>
        <v>4</v>
      </c>
      <c r="P47" s="124">
        <f t="shared" si="61"/>
        <v>0</v>
      </c>
      <c r="Q47" s="124" t="s">
        <v>11</v>
      </c>
      <c r="R47" s="124"/>
      <c r="S47" s="126"/>
      <c r="T47" s="127">
        <f t="shared" si="62"/>
        <v>0</v>
      </c>
      <c r="U47" s="124">
        <f>O46+(Y15)</f>
        <v>4</v>
      </c>
      <c r="V47" s="124">
        <f t="shared" si="63"/>
        <v>0</v>
      </c>
      <c r="W47" s="124" t="s">
        <v>12</v>
      </c>
      <c r="X47" s="124"/>
      <c r="Y47" s="126"/>
      <c r="Z47" s="123">
        <f t="shared" si="64"/>
        <v>0</v>
      </c>
      <c r="AA47" s="124">
        <f>U46+(AE15)</f>
        <v>4</v>
      </c>
      <c r="AB47" s="124">
        <f t="shared" si="65"/>
        <v>0</v>
      </c>
      <c r="AC47" s="124" t="s">
        <v>13</v>
      </c>
      <c r="AD47" s="124"/>
      <c r="AE47" s="134"/>
      <c r="AF47" s="88"/>
      <c r="AG47" s="76"/>
      <c r="AH47" s="79"/>
      <c r="AI47" s="77"/>
    </row>
    <row r="48" spans="1:35" s="43" customFormat="1" ht="15.75" thickBot="1" x14ac:dyDescent="0.3">
      <c r="A48" s="63" t="s">
        <v>353</v>
      </c>
      <c r="B48" s="142" t="s">
        <v>17</v>
      </c>
      <c r="C48" s="145"/>
      <c r="D48" s="136" t="str">
        <f t="array" ref="D48">INDEX(Table_Name28[Name List],MATCH(B48,Table_Name28[Category],0))</f>
        <v>Triceps[Exercise]</v>
      </c>
      <c r="E48" s="115" t="e">
        <f t="array" ref="E48">INDEX(Links49[Link],MATCH(C48,Links49[Exercise],0))</f>
        <v>#N/A</v>
      </c>
      <c r="F48" s="148" t="e">
        <f t="shared" ref="F48:F49" si="69">HYPERLINK(E48,"Video")</f>
        <v>#N/A</v>
      </c>
      <c r="G48" s="151"/>
      <c r="H48" s="130">
        <f t="shared" ref="H48" si="70">C48</f>
        <v>0</v>
      </c>
      <c r="I48" s="117">
        <v>4</v>
      </c>
      <c r="J48" s="76">
        <f>MROUND(((G48)*0.75),5)</f>
        <v>0</v>
      </c>
      <c r="K48" s="117" t="s">
        <v>11</v>
      </c>
      <c r="L48" s="117"/>
      <c r="M48" s="119"/>
      <c r="N48" s="130">
        <f t="shared" ref="N48" si="71">C48</f>
        <v>0</v>
      </c>
      <c r="O48" s="117">
        <f>I48+(S12)</f>
        <v>4</v>
      </c>
      <c r="P48" s="117">
        <f t="shared" ref="P48" si="72">MROUND((J48*1.05),5)</f>
        <v>0</v>
      </c>
      <c r="Q48" s="117" t="s">
        <v>11</v>
      </c>
      <c r="R48" s="117"/>
      <c r="S48" s="119"/>
      <c r="T48" s="120">
        <f t="shared" ref="T48" si="73">C48</f>
        <v>0</v>
      </c>
      <c r="U48" s="117">
        <f>O48+(Y12)</f>
        <v>4</v>
      </c>
      <c r="V48" s="117">
        <f t="shared" ref="V48" si="74">MROUND((J48*1.075),5)</f>
        <v>0</v>
      </c>
      <c r="W48" s="117" t="s">
        <v>12</v>
      </c>
      <c r="X48" s="117"/>
      <c r="Y48" s="119"/>
      <c r="Z48" s="116">
        <f t="shared" ref="Z48" si="75">C48</f>
        <v>0</v>
      </c>
      <c r="AA48" s="117">
        <f>U48+(AE12)</f>
        <v>4</v>
      </c>
      <c r="AB48" s="117">
        <f t="shared" ref="AB48" si="76">MROUND((J48*1.1),5)</f>
        <v>0</v>
      </c>
      <c r="AC48" s="117" t="s">
        <v>13</v>
      </c>
      <c r="AD48" s="117"/>
      <c r="AE48" s="133"/>
      <c r="AF48" s="88">
        <f t="shared" ref="AF48" si="77">C48</f>
        <v>0</v>
      </c>
      <c r="AG48" s="76">
        <v>2</v>
      </c>
      <c r="AH48" s="79">
        <f t="shared" ref="AH48" si="78">MROUND((J48*0.5),5)</f>
        <v>0</v>
      </c>
      <c r="AI48" s="77" t="s">
        <v>14</v>
      </c>
    </row>
    <row r="49" spans="1:35" s="43" customFormat="1" ht="15.75" thickBot="1" x14ac:dyDescent="0.3">
      <c r="A49" s="63" t="s">
        <v>354</v>
      </c>
      <c r="B49" s="143" t="s">
        <v>104</v>
      </c>
      <c r="C49" s="163"/>
      <c r="D49" s="162" t="str">
        <f t="array" ref="D49">INDEX(Table_Name28[Name List],MATCH(B49,Table_Name28[Category],0))</f>
        <v>Front_Delts[Exercise]</v>
      </c>
      <c r="E49" s="135" t="e">
        <f t="array" ref="E49">INDEX(Links49[Link],MATCH(C49,Links49[Exercise],0))</f>
        <v>#N/A</v>
      </c>
      <c r="F49" s="164" t="e">
        <f t="shared" si="69"/>
        <v>#N/A</v>
      </c>
      <c r="G49" s="165"/>
      <c r="H49" s="131">
        <f t="shared" ref="H49" si="79">C49</f>
        <v>0</v>
      </c>
      <c r="I49" s="124">
        <v>4</v>
      </c>
      <c r="J49" s="124">
        <f>MROUND(((G49)*0.6),5)</f>
        <v>0</v>
      </c>
      <c r="K49" s="124" t="s">
        <v>11</v>
      </c>
      <c r="L49" s="124"/>
      <c r="M49" s="126"/>
      <c r="N49" s="131">
        <f t="shared" ref="N49" si="80">C49</f>
        <v>0</v>
      </c>
      <c r="O49" s="124">
        <f>I48+(S12)</f>
        <v>4</v>
      </c>
      <c r="P49" s="124">
        <f t="shared" ref="P49" si="81">MROUND((J49*1.05),5)</f>
        <v>0</v>
      </c>
      <c r="Q49" s="124" t="s">
        <v>11</v>
      </c>
      <c r="R49" s="124"/>
      <c r="S49" s="126"/>
      <c r="T49" s="127">
        <f t="shared" ref="T49" si="82">C49</f>
        <v>0</v>
      </c>
      <c r="U49" s="124">
        <f>O48+(Y12)</f>
        <v>4</v>
      </c>
      <c r="V49" s="124">
        <f t="shared" ref="V49" si="83">MROUND((J49*1.075),5)</f>
        <v>0</v>
      </c>
      <c r="W49" s="124" t="s">
        <v>12</v>
      </c>
      <c r="X49" s="124"/>
      <c r="Y49" s="126"/>
      <c r="Z49" s="123">
        <f t="shared" ref="Z49" si="84">C49</f>
        <v>0</v>
      </c>
      <c r="AA49" s="124">
        <f>U48+(AE12)</f>
        <v>4</v>
      </c>
      <c r="AB49" s="124">
        <f t="shared" ref="AB49" si="85">MROUND((J49*1.1),5)</f>
        <v>0</v>
      </c>
      <c r="AC49" s="124" t="s">
        <v>13</v>
      </c>
      <c r="AD49" s="124"/>
      <c r="AE49" s="134"/>
      <c r="AF49" s="88"/>
      <c r="AG49" s="76"/>
      <c r="AH49" s="79"/>
      <c r="AI49" s="77"/>
    </row>
    <row r="50" spans="1:35" s="43" customFormat="1" ht="15.75" thickBot="1" x14ac:dyDescent="0.3">
      <c r="B50" s="96" t="s">
        <v>104</v>
      </c>
      <c r="C50" s="100"/>
      <c r="D50" s="92" t="str">
        <f t="array" ref="D50">INDEX(Table_Name28[Name List],MATCH(B50,Table_Name28[Category],0))</f>
        <v>Front_Delts[Exercise]</v>
      </c>
      <c r="E50" s="90" t="e">
        <f t="array" ref="E50">INDEX(Links49[Link],MATCH(C50,Links49[Exercise],0))</f>
        <v>#N/A</v>
      </c>
      <c r="F50" s="106" t="e">
        <f t="shared" si="58"/>
        <v>#N/A</v>
      </c>
      <c r="G50" s="109"/>
      <c r="H50" s="88">
        <f t="shared" si="59"/>
        <v>0</v>
      </c>
      <c r="I50" s="76">
        <v>4</v>
      </c>
      <c r="J50" s="76">
        <f>MROUND(((G50)*0.75),5)</f>
        <v>0</v>
      </c>
      <c r="K50" s="76" t="s">
        <v>11</v>
      </c>
      <c r="L50" s="76"/>
      <c r="M50" s="129"/>
      <c r="N50" s="88">
        <f t="shared" si="60"/>
        <v>0</v>
      </c>
      <c r="O50" s="76">
        <f>I50+(S11)</f>
        <v>4</v>
      </c>
      <c r="P50" s="76">
        <f t="shared" si="61"/>
        <v>0</v>
      </c>
      <c r="Q50" s="76" t="s">
        <v>11</v>
      </c>
      <c r="R50" s="76"/>
      <c r="S50" s="129"/>
      <c r="T50" s="57">
        <f t="shared" si="62"/>
        <v>0</v>
      </c>
      <c r="U50" s="76">
        <f>O50+(Y11)</f>
        <v>4</v>
      </c>
      <c r="V50" s="76">
        <f t="shared" si="63"/>
        <v>0</v>
      </c>
      <c r="W50" s="76" t="s">
        <v>12</v>
      </c>
      <c r="X50" s="76"/>
      <c r="Y50" s="129"/>
      <c r="Z50" s="75">
        <f t="shared" si="64"/>
        <v>0</v>
      </c>
      <c r="AA50" s="76">
        <f>U50+(AE11)</f>
        <v>4</v>
      </c>
      <c r="AB50" s="76">
        <f t="shared" si="65"/>
        <v>0</v>
      </c>
      <c r="AC50" s="76" t="s">
        <v>13</v>
      </c>
      <c r="AD50" s="76"/>
      <c r="AE50" s="77"/>
      <c r="AF50" s="75">
        <f t="shared" si="66"/>
        <v>0</v>
      </c>
      <c r="AG50" s="76">
        <v>2</v>
      </c>
      <c r="AH50" s="79">
        <f t="shared" si="67"/>
        <v>0</v>
      </c>
      <c r="AI50" s="77" t="s">
        <v>14</v>
      </c>
    </row>
    <row r="51" spans="1:35" s="43" customFormat="1" ht="15.75" thickBot="1" x14ac:dyDescent="0.3">
      <c r="B51" s="97" t="s">
        <v>120</v>
      </c>
      <c r="C51" s="101"/>
      <c r="D51" s="93" t="str">
        <f t="array" ref="D51">INDEX(Table_Name28[Name List],MATCH(B51,Table_Name28[Category],0))</f>
        <v>Traps[Exercise]</v>
      </c>
      <c r="E51" s="74" t="e">
        <f t="array" ref="E51">INDEX(Links49[Link],MATCH(C51,Links49[Exercise],0))</f>
        <v>#N/A</v>
      </c>
      <c r="F51" s="107" t="e">
        <f t="shared" si="58"/>
        <v>#N/A</v>
      </c>
      <c r="G51" s="110"/>
      <c r="H51" s="88">
        <f t="shared" si="59"/>
        <v>0</v>
      </c>
      <c r="I51" s="76">
        <v>4</v>
      </c>
      <c r="J51" s="76">
        <f>MROUND(((G51)*0.75),5)</f>
        <v>0</v>
      </c>
      <c r="K51" s="76" t="s">
        <v>11</v>
      </c>
      <c r="L51" s="76"/>
      <c r="M51" s="78"/>
      <c r="N51" s="88">
        <f t="shared" si="60"/>
        <v>0</v>
      </c>
      <c r="O51" s="76">
        <f>I51+(S16)</f>
        <v>4</v>
      </c>
      <c r="P51" s="76">
        <f t="shared" si="61"/>
        <v>0</v>
      </c>
      <c r="Q51" s="76" t="s">
        <v>11</v>
      </c>
      <c r="R51" s="76"/>
      <c r="S51" s="78"/>
      <c r="T51" s="57">
        <f t="shared" si="62"/>
        <v>0</v>
      </c>
      <c r="U51" s="76">
        <f>O51+(Y16)</f>
        <v>4</v>
      </c>
      <c r="V51" s="76">
        <f t="shared" si="63"/>
        <v>0</v>
      </c>
      <c r="W51" s="76" t="s">
        <v>12</v>
      </c>
      <c r="X51" s="76"/>
      <c r="Y51" s="78"/>
      <c r="Z51" s="75">
        <f t="shared" si="64"/>
        <v>0</v>
      </c>
      <c r="AA51" s="76">
        <f>U51+(AE16)</f>
        <v>4</v>
      </c>
      <c r="AB51" s="76">
        <f t="shared" si="65"/>
        <v>0</v>
      </c>
      <c r="AC51" s="76" t="s">
        <v>13</v>
      </c>
      <c r="AD51" s="76"/>
      <c r="AE51" s="77"/>
      <c r="AF51" s="75">
        <f t="shared" si="66"/>
        <v>0</v>
      </c>
      <c r="AG51" s="76">
        <v>2</v>
      </c>
      <c r="AH51" s="79">
        <f t="shared" si="67"/>
        <v>0</v>
      </c>
      <c r="AI51" s="77" t="s">
        <v>14</v>
      </c>
    </row>
    <row r="52" spans="1:35" s="43" customFormat="1" ht="15.75" thickBot="1" x14ac:dyDescent="0.3">
      <c r="B52" s="97" t="s">
        <v>339</v>
      </c>
      <c r="C52" s="101"/>
      <c r="D52" s="93" t="str">
        <f t="array" ref="D52">INDEX(Table_Name28[Name List],MATCH(B52,Table_Name28[Category],0))</f>
        <v>Vertical_Back[Exercise]</v>
      </c>
      <c r="E52" s="74" t="e">
        <f t="array" ref="E52">INDEX(Links49[Link],MATCH(C52,Links49[Exercise],0))</f>
        <v>#N/A</v>
      </c>
      <c r="F52" s="107" t="e">
        <f t="shared" si="58"/>
        <v>#N/A</v>
      </c>
      <c r="G52" s="110"/>
      <c r="H52" s="88">
        <f t="shared" si="59"/>
        <v>0</v>
      </c>
      <c r="I52" s="76">
        <v>3</v>
      </c>
      <c r="J52" s="76">
        <f>MROUND(((G52)*0.75),5)</f>
        <v>0</v>
      </c>
      <c r="K52" s="76" t="s">
        <v>11</v>
      </c>
      <c r="L52" s="76"/>
      <c r="M52" s="78"/>
      <c r="N52" s="88">
        <f t="shared" si="60"/>
        <v>0</v>
      </c>
      <c r="O52" s="76">
        <f>I52+(S15)</f>
        <v>3</v>
      </c>
      <c r="P52" s="76">
        <f t="shared" si="61"/>
        <v>0</v>
      </c>
      <c r="Q52" s="76" t="s">
        <v>11</v>
      </c>
      <c r="R52" s="76"/>
      <c r="S52" s="78"/>
      <c r="T52" s="57">
        <f t="shared" si="62"/>
        <v>0</v>
      </c>
      <c r="U52" s="76">
        <f>O52+(Y15)</f>
        <v>3</v>
      </c>
      <c r="V52" s="76">
        <f t="shared" si="63"/>
        <v>0</v>
      </c>
      <c r="W52" s="76" t="s">
        <v>12</v>
      </c>
      <c r="X52" s="76"/>
      <c r="Y52" s="78"/>
      <c r="Z52" s="75">
        <f t="shared" si="64"/>
        <v>0</v>
      </c>
      <c r="AA52" s="76">
        <f>U52+(AE15)</f>
        <v>3</v>
      </c>
      <c r="AB52" s="76">
        <f t="shared" si="65"/>
        <v>0</v>
      </c>
      <c r="AC52" s="76" t="s">
        <v>13</v>
      </c>
      <c r="AD52" s="76"/>
      <c r="AE52" s="77"/>
      <c r="AF52" s="75">
        <f t="shared" si="66"/>
        <v>0</v>
      </c>
      <c r="AG52" s="76">
        <v>2</v>
      </c>
      <c r="AH52" s="79">
        <f t="shared" si="67"/>
        <v>0</v>
      </c>
      <c r="AI52" s="77" t="s">
        <v>14</v>
      </c>
    </row>
    <row r="53" spans="1:35" s="43" customFormat="1" ht="15.75" thickBot="1" x14ac:dyDescent="0.3">
      <c r="B53" s="97" t="s">
        <v>343</v>
      </c>
      <c r="C53" s="101"/>
      <c r="D53" s="93" t="str">
        <f t="array" ref="D53">INDEX(Table_Name28[Name List],MATCH(B53,Table_Name28[Category],0))</f>
        <v>Incline_Push[Exercise]</v>
      </c>
      <c r="E53" s="74" t="e">
        <f t="array" ref="E53">INDEX(Links49[Link],MATCH(C53,Links49[Exercise],0))</f>
        <v>#N/A</v>
      </c>
      <c r="F53" s="107" t="e">
        <f t="shared" si="58"/>
        <v>#N/A</v>
      </c>
      <c r="G53" s="110"/>
      <c r="H53" s="88">
        <f t="shared" si="59"/>
        <v>0</v>
      </c>
      <c r="I53" s="76">
        <v>3</v>
      </c>
      <c r="J53" s="76">
        <f>MROUND(((G53)*0.75),5)</f>
        <v>0</v>
      </c>
      <c r="K53" s="76" t="s">
        <v>11</v>
      </c>
      <c r="L53" s="76"/>
      <c r="M53" s="78"/>
      <c r="N53" s="88">
        <f t="shared" si="60"/>
        <v>0</v>
      </c>
      <c r="O53" s="76">
        <f>I53+(S11)</f>
        <v>3</v>
      </c>
      <c r="P53" s="76">
        <f t="shared" si="61"/>
        <v>0</v>
      </c>
      <c r="Q53" s="76" t="s">
        <v>11</v>
      </c>
      <c r="R53" s="76"/>
      <c r="S53" s="78"/>
      <c r="T53" s="57">
        <f t="shared" si="62"/>
        <v>0</v>
      </c>
      <c r="U53" s="76">
        <f>O53+(Y11)</f>
        <v>3</v>
      </c>
      <c r="V53" s="76">
        <f t="shared" si="63"/>
        <v>0</v>
      </c>
      <c r="W53" s="76" t="s">
        <v>12</v>
      </c>
      <c r="X53" s="76"/>
      <c r="Y53" s="78"/>
      <c r="Z53" s="75">
        <f t="shared" si="64"/>
        <v>0</v>
      </c>
      <c r="AA53" s="76">
        <f>U53+(AE11)</f>
        <v>3</v>
      </c>
      <c r="AB53" s="76">
        <f t="shared" si="65"/>
        <v>0</v>
      </c>
      <c r="AC53" s="76" t="s">
        <v>13</v>
      </c>
      <c r="AD53" s="76"/>
      <c r="AE53" s="77"/>
      <c r="AF53" s="75">
        <f t="shared" si="66"/>
        <v>0</v>
      </c>
      <c r="AG53" s="76">
        <v>2</v>
      </c>
      <c r="AH53" s="79">
        <f t="shared" si="67"/>
        <v>0</v>
      </c>
      <c r="AI53" s="77" t="s">
        <v>14</v>
      </c>
    </row>
    <row r="54" spans="1:35" s="43" customFormat="1" ht="15.75" thickBot="1" x14ac:dyDescent="0.3">
      <c r="B54" s="98" t="s">
        <v>77</v>
      </c>
      <c r="C54" s="102"/>
      <c r="D54" s="93" t="str">
        <f t="array" ref="D54">INDEX(Table_Name28[Name List],MATCH(B54,Table_Name28[Category],0))</f>
        <v>Abs[Exercise]</v>
      </c>
      <c r="E54" s="74" t="e">
        <f t="array" ref="E54">INDEX(Links49[Link],MATCH(C54,Links49[Exercise],0))</f>
        <v>#N/A</v>
      </c>
      <c r="F54" s="108" t="e">
        <f t="shared" si="58"/>
        <v>#N/A</v>
      </c>
      <c r="G54" s="111"/>
      <c r="H54" s="138">
        <f t="shared" si="59"/>
        <v>0</v>
      </c>
      <c r="I54" s="82">
        <v>3</v>
      </c>
      <c r="J54" s="82">
        <f>MROUND(((G54)*0.75),5)</f>
        <v>0</v>
      </c>
      <c r="K54" s="82" t="s">
        <v>11</v>
      </c>
      <c r="L54" s="82"/>
      <c r="M54" s="78"/>
      <c r="N54" s="81">
        <f t="shared" si="60"/>
        <v>0</v>
      </c>
      <c r="O54" s="82">
        <f>I54+(S17)</f>
        <v>3</v>
      </c>
      <c r="P54" s="82">
        <f t="shared" si="61"/>
        <v>0</v>
      </c>
      <c r="Q54" s="82" t="s">
        <v>11</v>
      </c>
      <c r="R54" s="82"/>
      <c r="S54" s="78"/>
      <c r="T54" s="83">
        <f t="shared" si="62"/>
        <v>0</v>
      </c>
      <c r="U54" s="82">
        <f>O54+(Y17)</f>
        <v>3</v>
      </c>
      <c r="V54" s="82">
        <f t="shared" si="63"/>
        <v>0</v>
      </c>
      <c r="W54" s="82" t="s">
        <v>12</v>
      </c>
      <c r="X54" s="82"/>
      <c r="Y54" s="78"/>
      <c r="Z54" s="81">
        <f t="shared" si="64"/>
        <v>0</v>
      </c>
      <c r="AA54" s="82">
        <f>U54+(AE17)</f>
        <v>3</v>
      </c>
      <c r="AB54" s="82">
        <f t="shared" si="65"/>
        <v>0</v>
      </c>
      <c r="AC54" s="82" t="s">
        <v>13</v>
      </c>
      <c r="AD54" s="82"/>
      <c r="AE54" s="64"/>
      <c r="AF54" s="81">
        <f t="shared" si="66"/>
        <v>0</v>
      </c>
      <c r="AG54" s="82">
        <v>2</v>
      </c>
      <c r="AH54" s="84">
        <f t="shared" si="67"/>
        <v>0</v>
      </c>
      <c r="AI54" s="64" t="s">
        <v>14</v>
      </c>
    </row>
    <row r="55" spans="1:35" s="43" customFormat="1" x14ac:dyDescent="0.25">
      <c r="B55"/>
      <c r="C55" s="35"/>
      <c r="D55" s="35"/>
      <c r="E55" s="55"/>
      <c r="F55" s="56"/>
      <c r="G55" s="57"/>
      <c r="H55" s="35"/>
      <c r="I55" s="4"/>
      <c r="J55" s="4"/>
      <c r="K55" s="4"/>
      <c r="L55" s="4"/>
      <c r="M55" s="4"/>
      <c r="N55" s="35"/>
      <c r="O55" s="4"/>
      <c r="P55" s="4"/>
      <c r="Q55" s="4"/>
      <c r="R55" s="4"/>
      <c r="S55" s="4"/>
      <c r="T55" s="35"/>
      <c r="U55" s="4"/>
      <c r="V55" s="4"/>
      <c r="W55" s="4"/>
      <c r="X55" s="4"/>
      <c r="Y55" s="4"/>
      <c r="Z55" s="35"/>
      <c r="AA55" s="4"/>
      <c r="AB55" s="4"/>
      <c r="AC55" s="4"/>
      <c r="AD55" s="4"/>
      <c r="AE55" s="4"/>
      <c r="AF55" s="35"/>
      <c r="AG55" s="4"/>
      <c r="AH55" s="4"/>
      <c r="AI55" s="4"/>
    </row>
    <row r="56" spans="1:35" s="43" customFormat="1" x14ac:dyDescent="0.25">
      <c r="B56" s="17" t="s">
        <v>352</v>
      </c>
      <c r="C56" s="35"/>
      <c r="D56" s="35"/>
      <c r="E56" s="55"/>
      <c r="F56" s="56"/>
      <c r="G56" s="57"/>
      <c r="H56" s="35"/>
      <c r="I56" s="4"/>
      <c r="J56" s="4"/>
      <c r="K56" s="4"/>
      <c r="L56" s="4"/>
      <c r="M56" s="4"/>
      <c r="N56" s="35"/>
      <c r="O56" s="4"/>
      <c r="P56" s="4"/>
      <c r="Q56" s="4"/>
      <c r="R56" s="4"/>
      <c r="S56" s="4"/>
      <c r="T56" s="35"/>
      <c r="U56" s="4"/>
      <c r="V56" s="4"/>
      <c r="W56" s="4"/>
      <c r="X56" s="4"/>
      <c r="Y56" s="4"/>
      <c r="Z56" s="35"/>
      <c r="AA56" s="4"/>
      <c r="AB56" s="4"/>
      <c r="AC56" s="4"/>
      <c r="AD56" s="4"/>
      <c r="AE56" s="4"/>
      <c r="AF56" s="35"/>
      <c r="AG56" s="4"/>
      <c r="AH56" s="4"/>
      <c r="AI56" s="4"/>
    </row>
    <row r="57" spans="1:35" s="43" customFormat="1" x14ac:dyDescent="0.25">
      <c r="B57" s="17"/>
      <c r="C57" s="35" t="s">
        <v>0</v>
      </c>
      <c r="D57" s="35"/>
      <c r="E57" s="55"/>
      <c r="F57" s="56"/>
      <c r="G57" s="57"/>
      <c r="H57" s="35"/>
      <c r="I57" s="4"/>
      <c r="J57" s="4"/>
      <c r="K57" s="4"/>
      <c r="L57" s="4"/>
      <c r="M57" s="4"/>
      <c r="N57" s="35"/>
      <c r="O57" s="4"/>
      <c r="P57" s="4"/>
      <c r="Q57" s="4"/>
      <c r="R57" s="4"/>
      <c r="S57" s="4"/>
      <c r="T57" s="35"/>
      <c r="U57" s="4"/>
      <c r="V57" s="4"/>
      <c r="W57" s="4"/>
      <c r="X57" s="4"/>
      <c r="Y57" s="4"/>
      <c r="Z57" s="35"/>
      <c r="AA57" s="4"/>
      <c r="AB57" s="4"/>
      <c r="AC57" s="4"/>
      <c r="AD57" s="4"/>
      <c r="AE57" s="4"/>
      <c r="AF57" s="35"/>
      <c r="AG57" s="4"/>
      <c r="AH57" s="4"/>
      <c r="AI57" s="4"/>
    </row>
    <row r="58" spans="1:35" s="43" customFormat="1" x14ac:dyDescent="0.25">
      <c r="B58" s="17"/>
      <c r="C58" s="35"/>
      <c r="D58" s="35"/>
      <c r="E58" s="55"/>
      <c r="F58" s="56"/>
      <c r="G58" s="57"/>
      <c r="H58" s="35"/>
      <c r="I58" s="4"/>
      <c r="J58" s="4"/>
      <c r="K58" s="4"/>
      <c r="L58" s="4"/>
      <c r="M58" s="4"/>
      <c r="N58" s="35"/>
      <c r="O58" s="4"/>
      <c r="P58" s="4"/>
      <c r="Q58" s="4"/>
      <c r="R58" s="4"/>
      <c r="S58" s="4"/>
      <c r="T58" s="35"/>
      <c r="U58" s="4"/>
      <c r="V58" s="4"/>
      <c r="W58" s="4"/>
      <c r="X58" s="4"/>
      <c r="Y58" s="4"/>
      <c r="Z58" s="35"/>
      <c r="AA58" s="4"/>
      <c r="AB58" s="4"/>
      <c r="AC58" s="4"/>
      <c r="AD58" s="4"/>
      <c r="AE58" s="4"/>
      <c r="AF58" s="35"/>
      <c r="AG58" s="4"/>
      <c r="AH58" s="4"/>
      <c r="AI58" s="4"/>
    </row>
    <row r="59" spans="1:35" s="43" customFormat="1" x14ac:dyDescent="0.25">
      <c r="B59" s="17"/>
      <c r="C59" s="35"/>
      <c r="D59" s="35"/>
      <c r="E59" s="55"/>
      <c r="F59" s="56"/>
      <c r="G59" s="57"/>
      <c r="H59" s="35"/>
      <c r="I59" s="4"/>
      <c r="J59" s="4"/>
      <c r="K59" s="4"/>
      <c r="L59" s="4"/>
      <c r="M59" s="4"/>
      <c r="N59" s="35"/>
      <c r="O59" s="4"/>
      <c r="P59" s="4"/>
      <c r="Q59" s="4"/>
      <c r="R59" s="4"/>
      <c r="S59" s="4"/>
      <c r="T59" s="35"/>
      <c r="U59" s="4"/>
      <c r="V59" s="4"/>
      <c r="W59" s="4"/>
      <c r="X59" s="4"/>
      <c r="Y59" s="4"/>
      <c r="Z59" s="35"/>
      <c r="AA59" s="4"/>
      <c r="AB59" s="4"/>
      <c r="AC59" s="4"/>
      <c r="AD59" s="4"/>
      <c r="AE59" s="4"/>
      <c r="AF59" s="35"/>
      <c r="AG59" s="4"/>
      <c r="AH59" s="4"/>
      <c r="AI59" s="4"/>
    </row>
    <row r="60" spans="1:35" s="43" customFormat="1" x14ac:dyDescent="0.25">
      <c r="B60" s="17" t="s">
        <v>0</v>
      </c>
      <c r="C60" s="35"/>
      <c r="D60" s="35"/>
      <c r="E60" s="55"/>
      <c r="F60" s="56"/>
      <c r="G60" s="57"/>
      <c r="H60" s="35"/>
      <c r="I60" s="4"/>
      <c r="J60" s="4"/>
      <c r="K60" s="4"/>
      <c r="L60" s="4"/>
      <c r="M60" s="4"/>
      <c r="N60" s="35"/>
      <c r="O60" s="4"/>
      <c r="P60" s="4"/>
      <c r="Q60" s="4"/>
      <c r="R60" s="4"/>
      <c r="S60" s="4"/>
      <c r="T60" s="35"/>
      <c r="U60" s="4"/>
      <c r="V60" s="4"/>
      <c r="W60" s="4"/>
      <c r="X60" s="4"/>
      <c r="Y60" s="4"/>
      <c r="Z60" s="35"/>
      <c r="AA60" s="4"/>
      <c r="AB60" s="4"/>
      <c r="AC60" s="4"/>
      <c r="AD60" s="4"/>
      <c r="AE60" s="4"/>
      <c r="AF60" s="35"/>
      <c r="AG60" s="4"/>
      <c r="AH60" s="4"/>
      <c r="AI60" s="4"/>
    </row>
    <row r="61" spans="1:35" hidden="1" x14ac:dyDescent="0.25">
      <c r="C61" t="s">
        <v>21</v>
      </c>
      <c r="E61" s="43"/>
    </row>
    <row r="62" spans="1:35" hidden="1" x14ac:dyDescent="0.25">
      <c r="C62">
        <v>1</v>
      </c>
      <c r="E62" s="43"/>
    </row>
    <row r="63" spans="1:35" hidden="1" x14ac:dyDescent="0.25">
      <c r="C63">
        <v>0</v>
      </c>
      <c r="E63" s="43"/>
    </row>
    <row r="64" spans="1:35" hidden="1" x14ac:dyDescent="0.25">
      <c r="C64">
        <v>-1</v>
      </c>
      <c r="E64" s="43"/>
    </row>
    <row r="65" spans="1:9" hidden="1" x14ac:dyDescent="0.25">
      <c r="E65" s="43"/>
    </row>
    <row r="66" spans="1:9" hidden="1" x14ac:dyDescent="0.25">
      <c r="E66" s="43"/>
    </row>
    <row r="67" spans="1:9" hidden="1" x14ac:dyDescent="0.25">
      <c r="E67" s="43"/>
    </row>
    <row r="68" spans="1:9" hidden="1" x14ac:dyDescent="0.25">
      <c r="E68" s="43"/>
      <c r="F68" s="9"/>
      <c r="G68" s="9"/>
      <c r="H68" s="9"/>
    </row>
    <row r="69" spans="1:9" hidden="1" x14ac:dyDescent="0.25">
      <c r="A69" s="36" t="s">
        <v>77</v>
      </c>
      <c r="B69" s="47" t="s">
        <v>88</v>
      </c>
      <c r="C69" s="51" t="s">
        <v>294</v>
      </c>
      <c r="D69" s="9"/>
      <c r="E69" s="43"/>
      <c r="H69" s="13"/>
    </row>
    <row r="70" spans="1:9" hidden="1" x14ac:dyDescent="0.25">
      <c r="A70" s="13"/>
      <c r="B70" s="52" t="s">
        <v>109</v>
      </c>
      <c r="C70" s="47" t="s">
        <v>178</v>
      </c>
      <c r="D70" s="37"/>
      <c r="E70" s="43"/>
      <c r="H70" s="13"/>
    </row>
    <row r="71" spans="1:9" hidden="1" x14ac:dyDescent="0.25">
      <c r="A71" s="13"/>
      <c r="B71" s="52" t="s">
        <v>79</v>
      </c>
      <c r="C71" s="47" t="s">
        <v>179</v>
      </c>
      <c r="D71" s="37"/>
      <c r="E71" s="43"/>
      <c r="H71" s="13"/>
    </row>
    <row r="72" spans="1:9" hidden="1" x14ac:dyDescent="0.25">
      <c r="A72" s="13"/>
      <c r="B72" s="52" t="s">
        <v>80</v>
      </c>
      <c r="C72" s="47" t="s">
        <v>180</v>
      </c>
      <c r="D72" s="37"/>
      <c r="E72" s="43"/>
      <c r="H72" s="13"/>
    </row>
    <row r="73" spans="1:9" hidden="1" x14ac:dyDescent="0.25">
      <c r="A73" s="13"/>
      <c r="B73" s="52" t="s">
        <v>78</v>
      </c>
      <c r="C73" s="47" t="s">
        <v>181</v>
      </c>
      <c r="D73" s="37"/>
      <c r="E73" s="43"/>
      <c r="H73" s="13"/>
    </row>
    <row r="74" spans="1:9" hidden="1" x14ac:dyDescent="0.25">
      <c r="A74" s="13"/>
      <c r="B74" s="52" t="s">
        <v>110</v>
      </c>
      <c r="C74" s="52" t="s">
        <v>182</v>
      </c>
      <c r="D74" s="39"/>
      <c r="E74" s="43"/>
      <c r="H74" s="13"/>
    </row>
    <row r="75" spans="1:9" hidden="1" x14ac:dyDescent="0.25">
      <c r="A75" s="13"/>
      <c r="B75" s="52" t="s">
        <v>81</v>
      </c>
      <c r="C75" s="47" t="s">
        <v>183</v>
      </c>
      <c r="D75" s="37"/>
      <c r="E75" s="43"/>
      <c r="H75" s="13"/>
    </row>
    <row r="76" spans="1:9" hidden="1" x14ac:dyDescent="0.25">
      <c r="A76" s="13"/>
      <c r="B76" s="52" t="s">
        <v>146</v>
      </c>
      <c r="C76" s="47" t="s">
        <v>184</v>
      </c>
      <c r="D76" s="37"/>
      <c r="E76" s="43"/>
      <c r="H76" s="37"/>
      <c r="I76" s="37"/>
    </row>
    <row r="77" spans="1:9" hidden="1" x14ac:dyDescent="0.25">
      <c r="A77" s="37"/>
      <c r="B77" s="47"/>
      <c r="C77" s="51"/>
      <c r="D77" s="9"/>
      <c r="E77" s="43"/>
    </row>
    <row r="78" spans="1:9" hidden="1" x14ac:dyDescent="0.25">
      <c r="A78" s="36" t="s">
        <v>19</v>
      </c>
      <c r="B78" s="48" t="s">
        <v>88</v>
      </c>
      <c r="C78" s="53" t="s">
        <v>294</v>
      </c>
      <c r="D78" s="42"/>
      <c r="E78" s="43"/>
      <c r="H78" s="36"/>
      <c r="I78" s="37"/>
    </row>
    <row r="79" spans="1:9" hidden="1" x14ac:dyDescent="0.25">
      <c r="A79" s="13"/>
      <c r="B79" s="52" t="s">
        <v>111</v>
      </c>
      <c r="C79" s="47" t="s">
        <v>185</v>
      </c>
      <c r="D79" s="37"/>
      <c r="E79" s="43"/>
      <c r="H79" s="13"/>
    </row>
    <row r="80" spans="1:9" hidden="1" x14ac:dyDescent="0.25">
      <c r="A80" s="13"/>
      <c r="B80" s="52" t="s">
        <v>75</v>
      </c>
      <c r="C80" s="47" t="s">
        <v>186</v>
      </c>
      <c r="D80" s="37"/>
      <c r="E80" s="43"/>
      <c r="H80" s="13"/>
    </row>
    <row r="81" spans="1:9" hidden="1" x14ac:dyDescent="0.25">
      <c r="A81" s="13"/>
      <c r="B81" s="52" t="s">
        <v>74</v>
      </c>
      <c r="C81" s="47" t="s">
        <v>187</v>
      </c>
      <c r="D81" s="37"/>
      <c r="E81" s="43"/>
      <c r="H81" s="13"/>
    </row>
    <row r="82" spans="1:9" hidden="1" x14ac:dyDescent="0.25">
      <c r="A82" s="13"/>
      <c r="B82" s="52" t="s">
        <v>76</v>
      </c>
      <c r="C82" s="47" t="s">
        <v>188</v>
      </c>
      <c r="D82" s="37"/>
      <c r="E82" s="43"/>
      <c r="H82" s="13"/>
    </row>
    <row r="83" spans="1:9" hidden="1" x14ac:dyDescent="0.25">
      <c r="A83" s="37"/>
      <c r="B83" s="47"/>
      <c r="C83" s="51"/>
      <c r="D83" s="9"/>
      <c r="E83" s="43"/>
      <c r="H83" s="37"/>
      <c r="I83" s="37"/>
    </row>
    <row r="84" spans="1:9" hidden="1" x14ac:dyDescent="0.25">
      <c r="A84" s="36" t="s">
        <v>18</v>
      </c>
      <c r="B84" s="48" t="s">
        <v>88</v>
      </c>
      <c r="C84" s="53" t="s">
        <v>294</v>
      </c>
      <c r="D84" s="42"/>
      <c r="E84" s="43"/>
      <c r="H84" s="36"/>
      <c r="I84" s="37"/>
    </row>
    <row r="85" spans="1:9" hidden="1" x14ac:dyDescent="0.25">
      <c r="A85" s="13"/>
      <c r="B85" s="52" t="s">
        <v>61</v>
      </c>
      <c r="C85" s="47" t="s">
        <v>189</v>
      </c>
      <c r="D85" s="37"/>
      <c r="E85" s="43"/>
      <c r="H85" s="13"/>
    </row>
    <row r="86" spans="1:9" hidden="1" x14ac:dyDescent="0.25">
      <c r="A86" s="13"/>
      <c r="B86" s="52" t="s">
        <v>62</v>
      </c>
      <c r="C86" s="47" t="s">
        <v>190</v>
      </c>
      <c r="D86" s="37"/>
      <c r="E86" s="43"/>
      <c r="H86" s="13"/>
    </row>
    <row r="87" spans="1:9" hidden="1" x14ac:dyDescent="0.25">
      <c r="A87" s="13"/>
      <c r="B87" s="52" t="s">
        <v>112</v>
      </c>
      <c r="C87" s="47" t="s">
        <v>191</v>
      </c>
      <c r="D87" s="37"/>
      <c r="E87" s="43"/>
      <c r="H87" s="13"/>
    </row>
    <row r="88" spans="1:9" hidden="1" x14ac:dyDescent="0.25">
      <c r="A88" s="13"/>
      <c r="B88" s="52" t="s">
        <v>63</v>
      </c>
      <c r="C88" s="47" t="s">
        <v>192</v>
      </c>
      <c r="D88" s="37"/>
      <c r="E88" s="43"/>
      <c r="H88" s="13"/>
    </row>
    <row r="89" spans="1:9" hidden="1" x14ac:dyDescent="0.25">
      <c r="A89" s="13"/>
      <c r="B89" s="52" t="s">
        <v>113</v>
      </c>
      <c r="C89" s="47" t="s">
        <v>193</v>
      </c>
      <c r="D89" s="37"/>
      <c r="E89" s="43"/>
      <c r="H89" s="13"/>
    </row>
    <row r="90" spans="1:9" hidden="1" x14ac:dyDescent="0.25">
      <c r="A90" s="13"/>
      <c r="B90" s="52" t="s">
        <v>114</v>
      </c>
      <c r="C90" s="47" t="s">
        <v>194</v>
      </c>
      <c r="D90" s="37"/>
      <c r="E90" s="43"/>
      <c r="H90" s="13"/>
    </row>
    <row r="91" spans="1:9" hidden="1" x14ac:dyDescent="0.25">
      <c r="A91" s="13"/>
      <c r="B91" s="52" t="s">
        <v>147</v>
      </c>
      <c r="C91" s="47" t="s">
        <v>195</v>
      </c>
      <c r="D91" s="37"/>
      <c r="E91" s="43"/>
      <c r="H91" s="13"/>
    </row>
    <row r="92" spans="1:9" hidden="1" x14ac:dyDescent="0.25">
      <c r="A92" s="13"/>
      <c r="B92" s="52" t="s">
        <v>148</v>
      </c>
      <c r="C92" s="47" t="s">
        <v>196</v>
      </c>
      <c r="D92" s="37"/>
      <c r="E92" s="43"/>
      <c r="H92" s="13"/>
    </row>
    <row r="93" spans="1:9" hidden="1" x14ac:dyDescent="0.25">
      <c r="A93" s="13"/>
      <c r="B93" s="52" t="s">
        <v>115</v>
      </c>
      <c r="C93" s="52" t="s">
        <v>197</v>
      </c>
      <c r="D93" s="39"/>
      <c r="E93" s="43"/>
      <c r="H93" s="13"/>
    </row>
    <row r="94" spans="1:9" hidden="1" x14ac:dyDescent="0.25">
      <c r="A94" s="13"/>
      <c r="B94" s="52" t="s">
        <v>116</v>
      </c>
      <c r="C94" s="47" t="s">
        <v>198</v>
      </c>
      <c r="D94" s="37"/>
      <c r="E94" s="43"/>
      <c r="H94" s="13"/>
    </row>
    <row r="95" spans="1:9" hidden="1" x14ac:dyDescent="0.25">
      <c r="A95" s="13"/>
      <c r="B95" s="52" t="s">
        <v>149</v>
      </c>
      <c r="C95" s="47" t="s">
        <v>199</v>
      </c>
      <c r="D95" s="37"/>
      <c r="E95" s="43"/>
      <c r="H95" s="13"/>
    </row>
    <row r="96" spans="1:9" hidden="1" x14ac:dyDescent="0.25">
      <c r="A96" s="37"/>
      <c r="B96" s="47"/>
      <c r="C96" s="49"/>
      <c r="E96" s="43"/>
      <c r="H96" s="37"/>
      <c r="I96" s="37"/>
    </row>
    <row r="97" spans="1:9" hidden="1" x14ac:dyDescent="0.25">
      <c r="A97" s="36" t="s">
        <v>117</v>
      </c>
      <c r="B97" s="48" t="s">
        <v>88</v>
      </c>
      <c r="C97" s="53" t="s">
        <v>294</v>
      </c>
      <c r="D97" s="42"/>
      <c r="E97" s="43"/>
      <c r="H97" s="36"/>
      <c r="I97" s="37"/>
    </row>
    <row r="98" spans="1:9" hidden="1" x14ac:dyDescent="0.25">
      <c r="A98" s="13"/>
      <c r="B98" s="52" t="s">
        <v>51</v>
      </c>
      <c r="C98" s="47" t="s">
        <v>200</v>
      </c>
      <c r="D98" s="37"/>
      <c r="E98" s="43"/>
      <c r="H98" s="13"/>
    </row>
    <row r="99" spans="1:9" hidden="1" x14ac:dyDescent="0.25">
      <c r="A99" s="13"/>
      <c r="B99" s="52" t="s">
        <v>118</v>
      </c>
      <c r="C99" s="47" t="s">
        <v>201</v>
      </c>
      <c r="D99" s="37"/>
      <c r="E99" s="43"/>
      <c r="H99" s="13"/>
    </row>
    <row r="100" spans="1:9" hidden="1" x14ac:dyDescent="0.25">
      <c r="A100" s="13"/>
      <c r="B100" s="52" t="s">
        <v>150</v>
      </c>
      <c r="C100" s="47" t="s">
        <v>202</v>
      </c>
      <c r="D100" s="37"/>
      <c r="E100" s="43"/>
      <c r="H100" s="13"/>
    </row>
    <row r="101" spans="1:9" hidden="1" x14ac:dyDescent="0.25">
      <c r="A101" s="13"/>
      <c r="B101" s="52" t="s">
        <v>50</v>
      </c>
      <c r="C101" s="47" t="s">
        <v>203</v>
      </c>
      <c r="D101" s="37"/>
      <c r="E101" s="43"/>
      <c r="H101" s="13"/>
    </row>
    <row r="102" spans="1:9" hidden="1" x14ac:dyDescent="0.25">
      <c r="A102" s="37"/>
      <c r="B102" s="47"/>
      <c r="C102" s="47"/>
      <c r="D102" s="37"/>
      <c r="E102" s="43"/>
      <c r="H102" s="37"/>
    </row>
    <row r="103" spans="1:9" hidden="1" x14ac:dyDescent="0.25">
      <c r="A103" s="38" t="s">
        <v>105</v>
      </c>
      <c r="B103" s="48" t="s">
        <v>88</v>
      </c>
      <c r="C103" s="53" t="s">
        <v>294</v>
      </c>
      <c r="D103" s="42"/>
      <c r="E103" s="43"/>
      <c r="H103" s="38"/>
    </row>
    <row r="104" spans="1:9" hidden="1" x14ac:dyDescent="0.25">
      <c r="A104" s="13"/>
      <c r="B104" s="52" t="s">
        <v>46</v>
      </c>
      <c r="C104" s="47" t="s">
        <v>204</v>
      </c>
      <c r="D104" s="37"/>
      <c r="E104" s="43"/>
      <c r="H104" s="13"/>
    </row>
    <row r="105" spans="1:9" hidden="1" x14ac:dyDescent="0.25">
      <c r="A105" s="13"/>
      <c r="B105" s="52" t="s">
        <v>47</v>
      </c>
      <c r="C105" s="47" t="s">
        <v>205</v>
      </c>
      <c r="D105" s="37"/>
      <c r="E105" s="43"/>
      <c r="H105" s="13"/>
    </row>
    <row r="106" spans="1:9" hidden="1" x14ac:dyDescent="0.25">
      <c r="A106" s="13"/>
      <c r="B106" s="52" t="s">
        <v>49</v>
      </c>
      <c r="C106" s="47" t="s">
        <v>206</v>
      </c>
      <c r="D106" s="37"/>
      <c r="E106" s="43"/>
      <c r="H106" s="13"/>
    </row>
    <row r="107" spans="1:9" hidden="1" x14ac:dyDescent="0.25">
      <c r="A107" s="13"/>
      <c r="B107" s="52" t="s">
        <v>48</v>
      </c>
      <c r="C107" s="47" t="s">
        <v>207</v>
      </c>
      <c r="D107" s="37"/>
      <c r="E107" s="43"/>
      <c r="H107" s="13"/>
    </row>
    <row r="108" spans="1:9" hidden="1" x14ac:dyDescent="0.25">
      <c r="A108" s="13"/>
      <c r="B108" s="52" t="s">
        <v>119</v>
      </c>
      <c r="C108" s="47" t="s">
        <v>208</v>
      </c>
      <c r="D108" s="37"/>
      <c r="E108" s="43"/>
      <c r="H108" s="13"/>
    </row>
    <row r="109" spans="1:9" hidden="1" x14ac:dyDescent="0.25">
      <c r="A109" s="37"/>
      <c r="B109" s="47"/>
      <c r="C109" s="47"/>
      <c r="D109" s="37"/>
      <c r="E109" s="43"/>
      <c r="H109" s="37"/>
    </row>
    <row r="110" spans="1:9" hidden="1" x14ac:dyDescent="0.25">
      <c r="A110" s="38" t="s">
        <v>120</v>
      </c>
      <c r="B110" s="48" t="s">
        <v>88</v>
      </c>
      <c r="C110" s="53" t="s">
        <v>294</v>
      </c>
      <c r="D110" s="42"/>
      <c r="E110" s="43"/>
      <c r="H110" s="38"/>
    </row>
    <row r="111" spans="1:9" hidden="1" x14ac:dyDescent="0.25">
      <c r="A111" s="13"/>
      <c r="B111" s="52" t="s">
        <v>151</v>
      </c>
      <c r="C111" s="47" t="s">
        <v>209</v>
      </c>
      <c r="D111" s="37"/>
      <c r="E111" s="43"/>
      <c r="H111" s="13"/>
    </row>
    <row r="112" spans="1:9" hidden="1" x14ac:dyDescent="0.25">
      <c r="A112" s="13"/>
      <c r="B112" s="52" t="s">
        <v>121</v>
      </c>
      <c r="C112" s="47" t="s">
        <v>210</v>
      </c>
      <c r="D112" s="37"/>
      <c r="E112" s="43"/>
      <c r="H112" s="13"/>
    </row>
    <row r="113" spans="1:8" hidden="1" x14ac:dyDescent="0.25">
      <c r="A113" s="13"/>
      <c r="B113" s="52" t="s">
        <v>122</v>
      </c>
      <c r="C113" s="47" t="s">
        <v>211</v>
      </c>
      <c r="D113" s="37"/>
      <c r="E113" s="43"/>
      <c r="H113" s="13"/>
    </row>
    <row r="114" spans="1:8" hidden="1" x14ac:dyDescent="0.25">
      <c r="A114" s="13"/>
      <c r="B114" s="52" t="s">
        <v>123</v>
      </c>
      <c r="C114" s="47" t="s">
        <v>212</v>
      </c>
      <c r="D114" s="37"/>
      <c r="E114" s="43"/>
      <c r="H114" s="13"/>
    </row>
    <row r="115" spans="1:8" hidden="1" x14ac:dyDescent="0.25">
      <c r="A115" s="13"/>
      <c r="B115" s="52"/>
      <c r="C115" s="47"/>
      <c r="D115" s="37"/>
      <c r="E115" s="43"/>
      <c r="H115" s="13"/>
    </row>
    <row r="116" spans="1:8" hidden="1" x14ac:dyDescent="0.25">
      <c r="A116" s="38" t="s">
        <v>52</v>
      </c>
      <c r="B116" s="48" t="s">
        <v>88</v>
      </c>
      <c r="C116" s="53" t="s">
        <v>294</v>
      </c>
      <c r="D116" s="42"/>
      <c r="E116" s="43"/>
      <c r="H116" s="38"/>
    </row>
    <row r="117" spans="1:8" hidden="1" x14ac:dyDescent="0.25">
      <c r="A117" s="13"/>
      <c r="B117" s="52" t="s">
        <v>152</v>
      </c>
      <c r="C117" s="47" t="s">
        <v>213</v>
      </c>
      <c r="D117" s="37"/>
      <c r="E117" s="43"/>
      <c r="H117" s="13"/>
    </row>
    <row r="118" spans="1:8" hidden="1" x14ac:dyDescent="0.25">
      <c r="A118" s="13"/>
      <c r="B118" s="52" t="s">
        <v>124</v>
      </c>
      <c r="C118" s="47" t="s">
        <v>214</v>
      </c>
      <c r="D118" s="37"/>
      <c r="E118" s="43"/>
      <c r="H118" s="13"/>
    </row>
    <row r="119" spans="1:8" hidden="1" x14ac:dyDescent="0.25">
      <c r="A119" s="13"/>
      <c r="B119" s="52" t="s">
        <v>56</v>
      </c>
      <c r="C119" s="47" t="s">
        <v>215</v>
      </c>
      <c r="D119" s="37"/>
      <c r="E119" s="43"/>
      <c r="H119" s="13"/>
    </row>
    <row r="120" spans="1:8" hidden="1" x14ac:dyDescent="0.25">
      <c r="A120" s="13"/>
      <c r="B120" s="52" t="s">
        <v>55</v>
      </c>
      <c r="C120" s="47" t="s">
        <v>216</v>
      </c>
      <c r="D120" s="37"/>
      <c r="E120" s="43"/>
      <c r="H120" s="13"/>
    </row>
    <row r="121" spans="1:8" hidden="1" x14ac:dyDescent="0.25">
      <c r="A121" s="13"/>
      <c r="B121" s="52" t="s">
        <v>153</v>
      </c>
      <c r="C121" s="47" t="s">
        <v>217</v>
      </c>
      <c r="D121" s="37"/>
      <c r="E121" s="43"/>
      <c r="H121" s="13"/>
    </row>
    <row r="122" spans="1:8" hidden="1" x14ac:dyDescent="0.25">
      <c r="A122" s="13"/>
      <c r="B122" s="52" t="s">
        <v>53</v>
      </c>
      <c r="C122" s="47" t="s">
        <v>218</v>
      </c>
      <c r="D122" s="37"/>
      <c r="E122" s="43"/>
      <c r="H122" s="13"/>
    </row>
    <row r="123" spans="1:8" hidden="1" x14ac:dyDescent="0.25">
      <c r="A123" s="13"/>
      <c r="B123" s="52" t="s">
        <v>125</v>
      </c>
      <c r="C123" s="47" t="s">
        <v>219</v>
      </c>
      <c r="D123" s="37"/>
      <c r="E123" s="43"/>
      <c r="H123" s="13"/>
    </row>
    <row r="124" spans="1:8" hidden="1" x14ac:dyDescent="0.25">
      <c r="A124" s="13"/>
      <c r="B124" s="52" t="s">
        <v>54</v>
      </c>
      <c r="C124" s="47" t="s">
        <v>220</v>
      </c>
      <c r="D124" s="37"/>
      <c r="E124" s="43"/>
      <c r="H124" s="13"/>
    </row>
    <row r="125" spans="1:8" hidden="1" x14ac:dyDescent="0.25">
      <c r="A125" s="37"/>
      <c r="B125" s="47"/>
      <c r="C125" s="47"/>
      <c r="D125" s="37"/>
      <c r="E125" s="43"/>
      <c r="H125" s="37"/>
    </row>
    <row r="126" spans="1:8" hidden="1" x14ac:dyDescent="0.25">
      <c r="A126" s="38" t="s">
        <v>57</v>
      </c>
      <c r="B126" s="48" t="s">
        <v>88</v>
      </c>
      <c r="C126" s="53" t="s">
        <v>294</v>
      </c>
      <c r="D126" s="42"/>
      <c r="E126" s="43"/>
      <c r="H126" s="38"/>
    </row>
    <row r="127" spans="1:8" hidden="1" x14ac:dyDescent="0.25">
      <c r="A127" s="13"/>
      <c r="B127" s="52" t="s">
        <v>59</v>
      </c>
      <c r="C127" s="47" t="s">
        <v>221</v>
      </c>
      <c r="D127" s="37"/>
      <c r="E127" s="43"/>
      <c r="H127" s="13"/>
    </row>
    <row r="128" spans="1:8" hidden="1" x14ac:dyDescent="0.25">
      <c r="A128" s="13"/>
      <c r="B128" s="52" t="s">
        <v>58</v>
      </c>
      <c r="C128" s="47" t="s">
        <v>222</v>
      </c>
      <c r="D128" s="37"/>
      <c r="E128" s="43"/>
      <c r="H128" s="13"/>
    </row>
    <row r="129" spans="1:8" hidden="1" x14ac:dyDescent="0.25">
      <c r="A129" s="13"/>
      <c r="B129" s="52" t="s">
        <v>154</v>
      </c>
      <c r="C129" s="47" t="s">
        <v>223</v>
      </c>
      <c r="D129" s="37"/>
      <c r="E129" s="43"/>
      <c r="H129" s="13"/>
    </row>
    <row r="130" spans="1:8" hidden="1" x14ac:dyDescent="0.25">
      <c r="A130" s="13"/>
      <c r="B130" s="52" t="s">
        <v>155</v>
      </c>
      <c r="C130" s="47" t="s">
        <v>224</v>
      </c>
      <c r="D130" s="37"/>
      <c r="E130" s="43"/>
      <c r="H130" s="13"/>
    </row>
    <row r="131" spans="1:8" hidden="1" x14ac:dyDescent="0.25">
      <c r="A131" s="13"/>
      <c r="B131" s="52" t="s">
        <v>60</v>
      </c>
      <c r="C131" s="47" t="s">
        <v>225</v>
      </c>
      <c r="D131" s="37"/>
      <c r="E131" s="43"/>
      <c r="H131" s="13"/>
    </row>
    <row r="132" spans="1:8" hidden="1" x14ac:dyDescent="0.25">
      <c r="A132" s="37"/>
      <c r="B132" s="47"/>
      <c r="C132" s="47"/>
      <c r="D132" s="37"/>
      <c r="E132" s="43"/>
      <c r="H132" s="37"/>
    </row>
    <row r="133" spans="1:8" hidden="1" x14ac:dyDescent="0.25">
      <c r="A133" s="36" t="s">
        <v>126</v>
      </c>
      <c r="B133" s="48" t="s">
        <v>88</v>
      </c>
      <c r="C133" s="53" t="s">
        <v>294</v>
      </c>
      <c r="D133" s="42"/>
      <c r="E133" s="43"/>
      <c r="H133" s="36"/>
    </row>
    <row r="134" spans="1:8" hidden="1" x14ac:dyDescent="0.25">
      <c r="A134" s="13"/>
      <c r="B134" s="52" t="s">
        <v>156</v>
      </c>
      <c r="C134" s="47" t="s">
        <v>226</v>
      </c>
      <c r="D134" s="37"/>
      <c r="E134" s="43"/>
      <c r="H134" s="13"/>
    </row>
    <row r="135" spans="1:8" hidden="1" x14ac:dyDescent="0.25">
      <c r="A135" s="13"/>
      <c r="B135" s="52" t="s">
        <v>157</v>
      </c>
      <c r="C135" s="47" t="s">
        <v>227</v>
      </c>
      <c r="D135" s="37"/>
      <c r="E135" s="43"/>
      <c r="H135" s="13"/>
    </row>
    <row r="136" spans="1:8" hidden="1" x14ac:dyDescent="0.25">
      <c r="A136" s="13"/>
      <c r="B136" s="52" t="s">
        <v>158</v>
      </c>
      <c r="C136" s="47" t="s">
        <v>228</v>
      </c>
      <c r="D136" s="37"/>
      <c r="E136" s="43"/>
      <c r="H136" s="13"/>
    </row>
    <row r="137" spans="1:8" hidden="1" x14ac:dyDescent="0.25">
      <c r="A137" s="13"/>
      <c r="B137" s="52" t="s">
        <v>42</v>
      </c>
      <c r="C137" s="47" t="s">
        <v>229</v>
      </c>
      <c r="D137" s="37"/>
      <c r="E137" s="43"/>
      <c r="H137" s="13"/>
    </row>
    <row r="138" spans="1:8" hidden="1" x14ac:dyDescent="0.25">
      <c r="A138" s="13"/>
      <c r="B138" s="52" t="s">
        <v>127</v>
      </c>
      <c r="C138" s="47" t="s">
        <v>230</v>
      </c>
      <c r="D138" s="37"/>
      <c r="E138" s="43"/>
      <c r="H138" s="13"/>
    </row>
    <row r="139" spans="1:8" hidden="1" x14ac:dyDescent="0.25">
      <c r="A139" s="13"/>
      <c r="B139" s="52" t="s">
        <v>128</v>
      </c>
      <c r="C139" s="47" t="s">
        <v>231</v>
      </c>
      <c r="D139" s="37"/>
      <c r="E139" s="43"/>
      <c r="H139" s="13"/>
    </row>
    <row r="140" spans="1:8" hidden="1" x14ac:dyDescent="0.25">
      <c r="A140" s="13"/>
      <c r="B140" s="52" t="s">
        <v>41</v>
      </c>
      <c r="C140" s="47" t="s">
        <v>232</v>
      </c>
      <c r="D140" s="37"/>
      <c r="E140" s="43"/>
      <c r="H140" s="13"/>
    </row>
    <row r="141" spans="1:8" hidden="1" x14ac:dyDescent="0.25">
      <c r="A141" s="13"/>
      <c r="B141" s="52" t="s">
        <v>129</v>
      </c>
      <c r="C141" s="47" t="s">
        <v>233</v>
      </c>
      <c r="D141" s="37"/>
      <c r="E141" s="43"/>
      <c r="H141" s="13"/>
    </row>
    <row r="142" spans="1:8" hidden="1" x14ac:dyDescent="0.25">
      <c r="A142" s="37"/>
      <c r="B142" s="47"/>
      <c r="C142" s="47"/>
      <c r="D142" s="37"/>
      <c r="E142" s="43"/>
      <c r="H142" s="37"/>
    </row>
    <row r="143" spans="1:8" hidden="1" x14ac:dyDescent="0.25">
      <c r="A143" s="38" t="s">
        <v>130</v>
      </c>
      <c r="B143" s="48" t="s">
        <v>88</v>
      </c>
      <c r="C143" s="53" t="s">
        <v>294</v>
      </c>
      <c r="D143" s="42"/>
      <c r="E143" s="43"/>
      <c r="H143" s="38"/>
    </row>
    <row r="144" spans="1:8" hidden="1" x14ac:dyDescent="0.25">
      <c r="A144" s="13"/>
      <c r="B144" s="52" t="s">
        <v>131</v>
      </c>
      <c r="C144" s="47" t="s">
        <v>234</v>
      </c>
      <c r="D144" s="37"/>
      <c r="E144" s="43"/>
      <c r="H144" s="13"/>
    </row>
    <row r="145" spans="1:8" hidden="1" x14ac:dyDescent="0.25">
      <c r="A145" s="13"/>
      <c r="B145" s="52" t="s">
        <v>159</v>
      </c>
      <c r="C145" s="47" t="s">
        <v>235</v>
      </c>
      <c r="D145" s="37"/>
      <c r="E145" s="43"/>
      <c r="H145" s="13"/>
    </row>
    <row r="146" spans="1:8" hidden="1" x14ac:dyDescent="0.25">
      <c r="A146" s="13"/>
      <c r="B146" s="52" t="s">
        <v>160</v>
      </c>
      <c r="C146" s="47" t="s">
        <v>236</v>
      </c>
      <c r="D146" s="37"/>
      <c r="E146" s="43"/>
      <c r="H146" s="13"/>
    </row>
    <row r="147" spans="1:8" hidden="1" x14ac:dyDescent="0.25">
      <c r="A147" s="13"/>
      <c r="B147" s="52" t="s">
        <v>161</v>
      </c>
      <c r="C147" s="47" t="s">
        <v>237</v>
      </c>
      <c r="D147" s="37"/>
      <c r="E147" s="43"/>
      <c r="H147" s="13"/>
    </row>
    <row r="148" spans="1:8" hidden="1" x14ac:dyDescent="0.25">
      <c r="A148" s="13"/>
      <c r="B148" s="52" t="s">
        <v>162</v>
      </c>
      <c r="C148" s="47" t="s">
        <v>238</v>
      </c>
      <c r="D148" s="37"/>
      <c r="E148" s="43"/>
      <c r="H148" s="13"/>
    </row>
    <row r="149" spans="1:8" hidden="1" x14ac:dyDescent="0.25">
      <c r="A149" s="13"/>
      <c r="B149" s="52" t="s">
        <v>163</v>
      </c>
      <c r="C149" s="52" t="s">
        <v>239</v>
      </c>
      <c r="D149" s="39"/>
      <c r="E149" s="43"/>
      <c r="H149" s="13"/>
    </row>
    <row r="150" spans="1:8" hidden="1" x14ac:dyDescent="0.25">
      <c r="A150" s="13"/>
      <c r="B150" s="52" t="s">
        <v>164</v>
      </c>
      <c r="C150" s="52" t="s">
        <v>240</v>
      </c>
      <c r="D150" s="39"/>
      <c r="E150" s="43"/>
      <c r="H150" s="13"/>
    </row>
    <row r="151" spans="1:8" hidden="1" x14ac:dyDescent="0.25">
      <c r="A151" s="13"/>
      <c r="B151" s="52" t="s">
        <v>43</v>
      </c>
      <c r="C151" s="47" t="s">
        <v>241</v>
      </c>
      <c r="D151" s="37"/>
      <c r="E151" s="43"/>
      <c r="H151" s="13"/>
    </row>
    <row r="152" spans="1:8" hidden="1" x14ac:dyDescent="0.25">
      <c r="A152" s="13"/>
      <c r="B152" s="52" t="s">
        <v>165</v>
      </c>
      <c r="C152" s="52" t="s">
        <v>242</v>
      </c>
      <c r="D152" s="39"/>
      <c r="E152" s="43"/>
      <c r="H152" s="13"/>
    </row>
    <row r="153" spans="1:8" hidden="1" x14ac:dyDescent="0.25">
      <c r="A153" s="13"/>
      <c r="B153" s="52" t="s">
        <v>166</v>
      </c>
      <c r="C153" s="52" t="s">
        <v>243</v>
      </c>
      <c r="D153" s="39"/>
      <c r="E153" s="43"/>
      <c r="H153" s="13"/>
    </row>
    <row r="154" spans="1:8" hidden="1" x14ac:dyDescent="0.25">
      <c r="A154" s="13"/>
      <c r="B154" s="52" t="s">
        <v>44</v>
      </c>
      <c r="C154" s="47" t="s">
        <v>244</v>
      </c>
      <c r="D154" s="37"/>
      <c r="E154" s="43"/>
      <c r="H154" s="13"/>
    </row>
    <row r="155" spans="1:8" hidden="1" x14ac:dyDescent="0.25">
      <c r="A155" s="13"/>
      <c r="B155" s="52" t="s">
        <v>45</v>
      </c>
      <c r="C155" s="52" t="s">
        <v>245</v>
      </c>
      <c r="D155" s="39"/>
      <c r="E155" s="43"/>
      <c r="H155" s="13"/>
    </row>
    <row r="156" spans="1:8" hidden="1" x14ac:dyDescent="0.25">
      <c r="A156" s="37"/>
      <c r="B156" s="47"/>
      <c r="C156" s="47"/>
      <c r="D156" s="37"/>
      <c r="E156" s="43"/>
      <c r="H156" s="37"/>
    </row>
    <row r="157" spans="1:8" hidden="1" x14ac:dyDescent="0.25">
      <c r="A157" s="36" t="s">
        <v>20</v>
      </c>
      <c r="B157" s="48" t="s">
        <v>88</v>
      </c>
      <c r="C157" s="53" t="s">
        <v>294</v>
      </c>
      <c r="D157" s="42"/>
      <c r="E157" s="43"/>
      <c r="H157" s="36"/>
    </row>
    <row r="158" spans="1:8" hidden="1" x14ac:dyDescent="0.25">
      <c r="A158" s="13"/>
      <c r="B158" s="52" t="s">
        <v>64</v>
      </c>
      <c r="C158" s="47" t="s">
        <v>246</v>
      </c>
      <c r="D158" s="37"/>
      <c r="E158" s="43"/>
      <c r="H158" s="13"/>
    </row>
    <row r="159" spans="1:8" hidden="1" x14ac:dyDescent="0.25">
      <c r="A159" s="13"/>
      <c r="B159" s="52" t="s">
        <v>167</v>
      </c>
      <c r="C159" s="47" t="s">
        <v>247</v>
      </c>
      <c r="D159" s="37"/>
      <c r="E159" s="43"/>
      <c r="H159" s="13"/>
    </row>
    <row r="160" spans="1:8" hidden="1" x14ac:dyDescent="0.25">
      <c r="A160" s="13"/>
      <c r="B160" s="52" t="s">
        <v>168</v>
      </c>
      <c r="C160" s="47" t="s">
        <v>248</v>
      </c>
      <c r="D160" s="37"/>
      <c r="E160" s="43"/>
      <c r="H160" s="13"/>
    </row>
    <row r="161" spans="1:8" hidden="1" x14ac:dyDescent="0.25">
      <c r="A161" s="13"/>
      <c r="B161" s="52" t="s">
        <v>65</v>
      </c>
      <c r="C161" s="47" t="s">
        <v>249</v>
      </c>
      <c r="D161" s="37"/>
      <c r="E161" s="43"/>
      <c r="H161" s="13"/>
    </row>
    <row r="162" spans="1:8" hidden="1" x14ac:dyDescent="0.25">
      <c r="A162" s="13"/>
      <c r="B162" s="52" t="s">
        <v>132</v>
      </c>
      <c r="C162" s="47" t="s">
        <v>250</v>
      </c>
      <c r="D162" s="37"/>
      <c r="E162" s="43"/>
      <c r="H162" s="13"/>
    </row>
    <row r="163" spans="1:8" hidden="1" x14ac:dyDescent="0.25">
      <c r="A163" s="13"/>
      <c r="B163" s="52" t="s">
        <v>68</v>
      </c>
      <c r="C163" s="47" t="s">
        <v>251</v>
      </c>
      <c r="D163" s="37"/>
      <c r="E163" s="43"/>
      <c r="H163" s="13"/>
    </row>
    <row r="164" spans="1:8" hidden="1" x14ac:dyDescent="0.25">
      <c r="A164" s="13"/>
      <c r="B164" s="52" t="s">
        <v>169</v>
      </c>
      <c r="C164" s="47" t="s">
        <v>252</v>
      </c>
      <c r="D164" s="37"/>
      <c r="E164" s="43"/>
      <c r="H164" s="13"/>
    </row>
    <row r="165" spans="1:8" hidden="1" x14ac:dyDescent="0.25">
      <c r="A165" s="13"/>
      <c r="B165" s="52"/>
      <c r="C165" s="47"/>
      <c r="D165" s="37"/>
      <c r="E165" s="43"/>
      <c r="H165" s="13"/>
    </row>
    <row r="166" spans="1:8" hidden="1" x14ac:dyDescent="0.25">
      <c r="A166" s="38" t="s">
        <v>108</v>
      </c>
      <c r="B166" s="48" t="s">
        <v>88</v>
      </c>
      <c r="C166" s="53" t="s">
        <v>294</v>
      </c>
      <c r="D166" s="42"/>
      <c r="E166" s="43"/>
      <c r="H166" s="38"/>
    </row>
    <row r="167" spans="1:8" hidden="1" x14ac:dyDescent="0.25">
      <c r="A167" s="13"/>
      <c r="B167" s="52" t="s">
        <v>66</v>
      </c>
      <c r="C167" s="47" t="s">
        <v>253</v>
      </c>
      <c r="D167" s="37"/>
      <c r="E167" s="43"/>
      <c r="H167" s="13"/>
    </row>
    <row r="168" spans="1:8" hidden="1" x14ac:dyDescent="0.25">
      <c r="A168" s="13"/>
      <c r="B168" s="52" t="s">
        <v>67</v>
      </c>
      <c r="C168" s="47" t="s">
        <v>254</v>
      </c>
      <c r="D168" s="37"/>
      <c r="E168" s="43"/>
      <c r="H168" s="13"/>
    </row>
    <row r="169" spans="1:8" hidden="1" x14ac:dyDescent="0.25">
      <c r="A169" s="13"/>
      <c r="B169" s="52" t="s">
        <v>133</v>
      </c>
      <c r="C169" s="47" t="s">
        <v>255</v>
      </c>
      <c r="D169" s="37"/>
      <c r="E169" s="43"/>
      <c r="H169" s="13"/>
    </row>
    <row r="170" spans="1:8" hidden="1" x14ac:dyDescent="0.25">
      <c r="A170" s="13"/>
      <c r="B170" s="52" t="s">
        <v>170</v>
      </c>
      <c r="C170" s="47" t="s">
        <v>256</v>
      </c>
      <c r="D170" s="37"/>
      <c r="E170" s="43"/>
      <c r="H170" s="13"/>
    </row>
    <row r="171" spans="1:8" hidden="1" x14ac:dyDescent="0.25">
      <c r="A171" s="13"/>
      <c r="B171" s="52" t="s">
        <v>70</v>
      </c>
      <c r="C171" s="47" t="s">
        <v>257</v>
      </c>
      <c r="D171" s="37"/>
      <c r="E171" s="43"/>
      <c r="H171" s="13"/>
    </row>
    <row r="172" spans="1:8" hidden="1" x14ac:dyDescent="0.25">
      <c r="A172" s="13"/>
      <c r="B172" s="52" t="s">
        <v>69</v>
      </c>
      <c r="C172" s="47" t="s">
        <v>258</v>
      </c>
      <c r="D172" s="37"/>
      <c r="E172" s="43"/>
      <c r="H172" s="13"/>
    </row>
    <row r="173" spans="1:8" hidden="1" x14ac:dyDescent="0.25">
      <c r="A173" s="13"/>
      <c r="B173" s="52" t="s">
        <v>134</v>
      </c>
      <c r="C173" s="47" t="s">
        <v>259</v>
      </c>
      <c r="D173" s="37"/>
      <c r="E173" s="43"/>
      <c r="H173" s="13"/>
    </row>
    <row r="174" spans="1:8" hidden="1" x14ac:dyDescent="0.25">
      <c r="A174" s="13"/>
      <c r="B174" s="52" t="s">
        <v>171</v>
      </c>
      <c r="C174" s="47" t="s">
        <v>260</v>
      </c>
      <c r="D174" s="37"/>
      <c r="E174" s="43"/>
      <c r="H174" s="13"/>
    </row>
    <row r="175" spans="1:8" hidden="1" x14ac:dyDescent="0.25">
      <c r="A175" s="37"/>
      <c r="B175" s="47"/>
      <c r="C175" s="47"/>
      <c r="D175" s="37"/>
      <c r="E175" s="43"/>
      <c r="H175" s="37"/>
    </row>
    <row r="176" spans="1:8" hidden="1" x14ac:dyDescent="0.25">
      <c r="A176" s="38" t="s">
        <v>107</v>
      </c>
      <c r="B176" s="48" t="s">
        <v>88</v>
      </c>
      <c r="C176" s="53" t="s">
        <v>294</v>
      </c>
      <c r="D176" s="42"/>
      <c r="E176" s="43"/>
      <c r="H176" s="38"/>
    </row>
    <row r="177" spans="1:8" hidden="1" x14ac:dyDescent="0.25">
      <c r="A177" s="13"/>
      <c r="B177" s="52" t="s">
        <v>135</v>
      </c>
      <c r="C177" s="47" t="s">
        <v>261</v>
      </c>
      <c r="D177" s="37"/>
      <c r="E177" s="43"/>
      <c r="H177" s="13"/>
    </row>
    <row r="178" spans="1:8" hidden="1" x14ac:dyDescent="0.25">
      <c r="A178" s="13"/>
      <c r="B178" s="52" t="s">
        <v>71</v>
      </c>
      <c r="C178" s="47" t="s">
        <v>262</v>
      </c>
      <c r="D178" s="37"/>
      <c r="E178" s="43"/>
      <c r="H178" s="13"/>
    </row>
    <row r="179" spans="1:8" hidden="1" x14ac:dyDescent="0.25">
      <c r="A179" s="13"/>
      <c r="B179" s="52" t="s">
        <v>72</v>
      </c>
      <c r="C179" s="47" t="s">
        <v>263</v>
      </c>
      <c r="D179" s="37"/>
      <c r="E179" s="43"/>
      <c r="H179" s="13"/>
    </row>
    <row r="180" spans="1:8" hidden="1" x14ac:dyDescent="0.25">
      <c r="A180" s="13"/>
      <c r="B180" s="52" t="s">
        <v>136</v>
      </c>
      <c r="C180" s="47" t="s">
        <v>264</v>
      </c>
      <c r="D180" s="37"/>
      <c r="E180" s="43"/>
      <c r="H180" s="13"/>
    </row>
    <row r="181" spans="1:8" hidden="1" x14ac:dyDescent="0.25">
      <c r="A181" s="13"/>
      <c r="B181" s="47"/>
      <c r="C181" s="47"/>
      <c r="D181" s="37"/>
      <c r="E181" s="43"/>
      <c r="H181" s="13"/>
    </row>
    <row r="182" spans="1:8" hidden="1" x14ac:dyDescent="0.25">
      <c r="A182" s="38" t="s">
        <v>106</v>
      </c>
      <c r="B182" s="48" t="s">
        <v>88</v>
      </c>
      <c r="C182" s="53" t="s">
        <v>294</v>
      </c>
      <c r="D182" s="42"/>
      <c r="E182" s="43"/>
      <c r="H182" s="38"/>
    </row>
    <row r="183" spans="1:8" hidden="1" x14ac:dyDescent="0.25">
      <c r="A183" s="13"/>
      <c r="B183" s="52" t="s">
        <v>172</v>
      </c>
      <c r="C183" s="47" t="s">
        <v>265</v>
      </c>
      <c r="D183" s="37"/>
      <c r="E183" s="43"/>
      <c r="H183" s="13"/>
    </row>
    <row r="184" spans="1:8" hidden="1" x14ac:dyDescent="0.25">
      <c r="A184" s="13"/>
      <c r="B184" s="52" t="s">
        <v>73</v>
      </c>
      <c r="C184" s="47" t="s">
        <v>266</v>
      </c>
      <c r="D184" s="37"/>
      <c r="E184" s="43"/>
      <c r="H184" s="13"/>
    </row>
    <row r="185" spans="1:8" hidden="1" x14ac:dyDescent="0.25">
      <c r="A185" s="13"/>
      <c r="B185" s="52" t="s">
        <v>137</v>
      </c>
      <c r="C185" s="47" t="s">
        <v>267</v>
      </c>
      <c r="D185" s="37"/>
      <c r="E185" s="43"/>
      <c r="H185" s="13"/>
    </row>
    <row r="186" spans="1:8" hidden="1" x14ac:dyDescent="0.25">
      <c r="A186" s="37"/>
      <c r="B186" s="47"/>
      <c r="C186" s="47"/>
      <c r="D186" s="37"/>
      <c r="E186" s="43"/>
      <c r="H186" s="37"/>
    </row>
    <row r="187" spans="1:8" hidden="1" x14ac:dyDescent="0.25">
      <c r="A187" s="38" t="s">
        <v>37</v>
      </c>
      <c r="B187" s="48" t="s">
        <v>88</v>
      </c>
      <c r="C187" s="53" t="s">
        <v>294</v>
      </c>
      <c r="D187" s="42"/>
      <c r="E187" s="43"/>
      <c r="H187" s="38"/>
    </row>
    <row r="188" spans="1:8" hidden="1" x14ac:dyDescent="0.25">
      <c r="A188" s="13"/>
      <c r="B188" s="52" t="s">
        <v>138</v>
      </c>
      <c r="C188" s="47" t="s">
        <v>268</v>
      </c>
      <c r="D188" s="37"/>
      <c r="E188" s="43"/>
      <c r="H188" s="13"/>
    </row>
    <row r="189" spans="1:8" hidden="1" x14ac:dyDescent="0.25">
      <c r="A189" s="13"/>
      <c r="B189" s="52" t="s">
        <v>38</v>
      </c>
      <c r="C189" s="47" t="s">
        <v>269</v>
      </c>
      <c r="D189" s="37"/>
      <c r="E189" s="43"/>
      <c r="H189" s="13"/>
    </row>
    <row r="190" spans="1:8" hidden="1" x14ac:dyDescent="0.25">
      <c r="A190" s="13"/>
      <c r="B190" s="52" t="s">
        <v>39</v>
      </c>
      <c r="C190" s="47" t="s">
        <v>270</v>
      </c>
      <c r="D190" s="37"/>
      <c r="E190" s="43"/>
      <c r="H190" s="13"/>
    </row>
    <row r="191" spans="1:8" hidden="1" x14ac:dyDescent="0.25">
      <c r="A191" s="13"/>
      <c r="B191" s="52" t="s">
        <v>139</v>
      </c>
      <c r="C191" s="47" t="s">
        <v>271</v>
      </c>
      <c r="D191" s="37"/>
      <c r="E191" s="43"/>
      <c r="H191" s="13"/>
    </row>
    <row r="192" spans="1:8" hidden="1" x14ac:dyDescent="0.25">
      <c r="A192" s="13"/>
      <c r="B192" s="52" t="s">
        <v>40</v>
      </c>
      <c r="C192" s="47" t="s">
        <v>272</v>
      </c>
      <c r="D192" s="37"/>
      <c r="E192" s="43"/>
      <c r="H192" s="13"/>
    </row>
    <row r="193" spans="1:8" hidden="1" x14ac:dyDescent="0.25">
      <c r="A193" s="13"/>
      <c r="B193" s="52" t="s">
        <v>140</v>
      </c>
      <c r="C193" s="47" t="s">
        <v>273</v>
      </c>
      <c r="D193" s="37"/>
      <c r="E193" s="43"/>
      <c r="H193" s="13"/>
    </row>
    <row r="194" spans="1:8" hidden="1" x14ac:dyDescent="0.25">
      <c r="A194" s="13"/>
      <c r="B194" s="52" t="s">
        <v>141</v>
      </c>
      <c r="C194" s="47" t="s">
        <v>274</v>
      </c>
      <c r="D194" s="37"/>
      <c r="E194" s="43"/>
      <c r="H194" s="13"/>
    </row>
    <row r="195" spans="1:8" hidden="1" x14ac:dyDescent="0.25">
      <c r="A195" s="37"/>
      <c r="B195" s="47"/>
      <c r="C195" s="47"/>
      <c r="D195" s="37"/>
      <c r="E195" s="43"/>
      <c r="H195" s="37"/>
    </row>
    <row r="196" spans="1:8" hidden="1" x14ac:dyDescent="0.25">
      <c r="A196" s="38" t="s">
        <v>22</v>
      </c>
      <c r="B196" s="48" t="s">
        <v>88</v>
      </c>
      <c r="C196" s="53" t="s">
        <v>294</v>
      </c>
      <c r="D196" s="42"/>
      <c r="E196" s="43"/>
      <c r="H196" s="38"/>
    </row>
    <row r="197" spans="1:8" hidden="1" x14ac:dyDescent="0.25">
      <c r="A197" s="13"/>
      <c r="B197" s="52" t="s">
        <v>23</v>
      </c>
      <c r="C197" s="47" t="s">
        <v>275</v>
      </c>
      <c r="D197" s="37"/>
      <c r="E197" s="43"/>
      <c r="H197" s="13"/>
    </row>
    <row r="198" spans="1:8" hidden="1" x14ac:dyDescent="0.25">
      <c r="A198" s="13"/>
      <c r="B198" s="52" t="s">
        <v>25</v>
      </c>
      <c r="C198" s="47" t="s">
        <v>276</v>
      </c>
      <c r="D198" s="37"/>
      <c r="E198" s="43"/>
      <c r="H198" s="13"/>
    </row>
    <row r="199" spans="1:8" hidden="1" x14ac:dyDescent="0.25">
      <c r="A199" s="13"/>
      <c r="B199" s="52" t="s">
        <v>142</v>
      </c>
      <c r="C199" s="47" t="s">
        <v>277</v>
      </c>
      <c r="D199" s="37"/>
      <c r="E199" s="43"/>
      <c r="H199" s="13"/>
    </row>
    <row r="200" spans="1:8" hidden="1" x14ac:dyDescent="0.25">
      <c r="A200" s="13"/>
      <c r="B200" s="52" t="s">
        <v>24</v>
      </c>
      <c r="C200" s="47" t="s">
        <v>278</v>
      </c>
      <c r="D200" s="37"/>
      <c r="E200" s="43"/>
      <c r="H200" s="13"/>
    </row>
    <row r="201" spans="1:8" hidden="1" x14ac:dyDescent="0.25">
      <c r="A201" s="13"/>
      <c r="B201" s="54" t="s">
        <v>173</v>
      </c>
      <c r="C201" s="50" t="s">
        <v>279</v>
      </c>
      <c r="D201" s="13"/>
      <c r="E201" s="43"/>
      <c r="H201" s="13"/>
    </row>
    <row r="202" spans="1:8" hidden="1" x14ac:dyDescent="0.25">
      <c r="A202" s="13"/>
      <c r="B202" s="52" t="s">
        <v>26</v>
      </c>
      <c r="C202" s="47" t="s">
        <v>280</v>
      </c>
      <c r="D202" s="37"/>
      <c r="E202" s="43"/>
      <c r="H202" s="13"/>
    </row>
    <row r="203" spans="1:8" hidden="1" x14ac:dyDescent="0.25">
      <c r="A203" s="13"/>
      <c r="B203" s="52" t="s">
        <v>27</v>
      </c>
      <c r="C203" s="47" t="s">
        <v>281</v>
      </c>
      <c r="D203" s="37"/>
      <c r="E203" s="43"/>
      <c r="H203" s="13"/>
    </row>
    <row r="204" spans="1:8" hidden="1" x14ac:dyDescent="0.25">
      <c r="A204" s="37"/>
      <c r="B204" s="47"/>
      <c r="C204" s="47"/>
      <c r="D204" s="37"/>
      <c r="E204" s="43"/>
      <c r="H204" s="37"/>
    </row>
    <row r="205" spans="1:8" hidden="1" x14ac:dyDescent="0.25">
      <c r="A205" s="38" t="s">
        <v>143</v>
      </c>
      <c r="B205" s="48" t="s">
        <v>88</v>
      </c>
      <c r="C205" s="53" t="s">
        <v>294</v>
      </c>
      <c r="D205" s="42"/>
      <c r="E205" s="43"/>
      <c r="H205" s="38"/>
    </row>
    <row r="206" spans="1:8" hidden="1" x14ac:dyDescent="0.25">
      <c r="A206" s="13"/>
      <c r="B206" s="52" t="s">
        <v>29</v>
      </c>
      <c r="C206" s="52" t="s">
        <v>282</v>
      </c>
      <c r="D206" s="39"/>
      <c r="E206" s="43"/>
      <c r="H206" s="13"/>
    </row>
    <row r="207" spans="1:8" hidden="1" x14ac:dyDescent="0.25">
      <c r="A207" s="13"/>
      <c r="B207" s="52" t="s">
        <v>31</v>
      </c>
      <c r="C207" s="47" t="s">
        <v>283</v>
      </c>
      <c r="D207" s="37"/>
      <c r="E207" s="43"/>
      <c r="H207" s="13"/>
    </row>
    <row r="208" spans="1:8" hidden="1" x14ac:dyDescent="0.25">
      <c r="A208" s="13"/>
      <c r="B208" s="52" t="s">
        <v>28</v>
      </c>
      <c r="C208" s="47" t="s">
        <v>284</v>
      </c>
      <c r="D208" s="37"/>
      <c r="E208" s="43"/>
      <c r="H208" s="13"/>
    </row>
    <row r="209" spans="1:9" hidden="1" x14ac:dyDescent="0.25">
      <c r="A209" s="13"/>
      <c r="B209" s="52" t="s">
        <v>36</v>
      </c>
      <c r="C209" s="47" t="s">
        <v>285</v>
      </c>
      <c r="D209" s="37"/>
      <c r="E209" s="43"/>
      <c r="H209" s="13"/>
    </row>
    <row r="210" spans="1:9" hidden="1" x14ac:dyDescent="0.25">
      <c r="A210" s="13"/>
      <c r="B210" s="52" t="s">
        <v>30</v>
      </c>
      <c r="C210" s="47" t="s">
        <v>286</v>
      </c>
      <c r="D210" s="37"/>
      <c r="E210" s="43"/>
      <c r="H210" s="13"/>
    </row>
    <row r="211" spans="1:9" hidden="1" x14ac:dyDescent="0.25">
      <c r="A211" s="13"/>
      <c r="B211" s="54" t="s">
        <v>144</v>
      </c>
      <c r="C211" s="50" t="s">
        <v>287</v>
      </c>
      <c r="D211" s="13"/>
      <c r="E211" s="43"/>
      <c r="H211" s="13"/>
    </row>
    <row r="212" spans="1:9" hidden="1" x14ac:dyDescent="0.25">
      <c r="A212" s="13"/>
      <c r="B212" s="52"/>
      <c r="C212" s="47"/>
      <c r="D212" s="37"/>
      <c r="E212" s="43"/>
      <c r="H212" s="13"/>
    </row>
    <row r="213" spans="1:9" hidden="1" x14ac:dyDescent="0.25">
      <c r="A213" s="38" t="s">
        <v>104</v>
      </c>
      <c r="B213" s="48" t="s">
        <v>88</v>
      </c>
      <c r="C213" s="53" t="s">
        <v>294</v>
      </c>
      <c r="D213" s="42"/>
      <c r="E213" s="43"/>
      <c r="H213" s="38"/>
    </row>
    <row r="214" spans="1:9" hidden="1" x14ac:dyDescent="0.25">
      <c r="A214" s="13"/>
      <c r="B214" s="52" t="s">
        <v>32</v>
      </c>
      <c r="C214" s="47" t="s">
        <v>288</v>
      </c>
      <c r="D214" s="37"/>
      <c r="E214" s="43"/>
      <c r="H214" s="13"/>
    </row>
    <row r="215" spans="1:9" hidden="1" x14ac:dyDescent="0.25">
      <c r="A215" s="13"/>
      <c r="B215" s="52" t="s">
        <v>34</v>
      </c>
      <c r="C215" s="47" t="s">
        <v>289</v>
      </c>
      <c r="D215" s="37"/>
      <c r="E215" s="43"/>
      <c r="H215" s="13"/>
    </row>
    <row r="216" spans="1:9" hidden="1" x14ac:dyDescent="0.25">
      <c r="A216" s="13"/>
      <c r="B216" s="52" t="s">
        <v>35</v>
      </c>
      <c r="C216" s="47" t="s">
        <v>290</v>
      </c>
      <c r="D216" s="37"/>
      <c r="E216" s="43"/>
      <c r="H216" s="13"/>
    </row>
    <row r="217" spans="1:9" hidden="1" x14ac:dyDescent="0.25">
      <c r="A217" s="13"/>
      <c r="B217" s="52" t="s">
        <v>174</v>
      </c>
      <c r="C217" s="47" t="s">
        <v>291</v>
      </c>
      <c r="D217" s="37"/>
      <c r="E217" s="43"/>
      <c r="H217" s="13"/>
    </row>
    <row r="218" spans="1:9" hidden="1" x14ac:dyDescent="0.25">
      <c r="A218" s="13"/>
      <c r="B218" s="54" t="s">
        <v>145</v>
      </c>
      <c r="C218" s="50" t="s">
        <v>292</v>
      </c>
      <c r="D218" s="13"/>
      <c r="E218" s="43"/>
      <c r="H218" s="13"/>
    </row>
    <row r="219" spans="1:9" hidden="1" x14ac:dyDescent="0.25">
      <c r="A219" s="13"/>
      <c r="B219" s="52" t="s">
        <v>33</v>
      </c>
      <c r="C219" s="47" t="s">
        <v>293</v>
      </c>
      <c r="D219" s="37"/>
      <c r="E219" s="43"/>
      <c r="H219" s="13"/>
    </row>
    <row r="220" spans="1:9" hidden="1" x14ac:dyDescent="0.25">
      <c r="B220" s="49"/>
      <c r="C220" s="49"/>
      <c r="E220" s="43"/>
    </row>
    <row r="221" spans="1:9" hidden="1" x14ac:dyDescent="0.25">
      <c r="B221" s="49"/>
      <c r="C221" s="49"/>
      <c r="E221" s="43"/>
    </row>
    <row r="222" spans="1:9" hidden="1" x14ac:dyDescent="0.25">
      <c r="A222" s="38" t="s">
        <v>17</v>
      </c>
      <c r="B222" s="48" t="s">
        <v>88</v>
      </c>
      <c r="C222" s="53" t="s">
        <v>294</v>
      </c>
      <c r="D222" s="42"/>
      <c r="E222" s="43"/>
    </row>
    <row r="223" spans="1:9" hidden="1" x14ac:dyDescent="0.25">
      <c r="B223" s="52" t="s">
        <v>152</v>
      </c>
      <c r="C223" s="47" t="s">
        <v>213</v>
      </c>
      <c r="D223" s="37"/>
      <c r="E223" s="43"/>
      <c r="I223" s="39"/>
    </row>
    <row r="224" spans="1:9" hidden="1" x14ac:dyDescent="0.25">
      <c r="B224" s="52" t="s">
        <v>59</v>
      </c>
      <c r="C224" s="47" t="s">
        <v>221</v>
      </c>
      <c r="D224" s="37"/>
      <c r="E224" s="43"/>
      <c r="I224" s="39"/>
    </row>
    <row r="225" spans="1:11" hidden="1" x14ac:dyDescent="0.25">
      <c r="B225" s="52" t="s">
        <v>124</v>
      </c>
      <c r="C225" s="47" t="s">
        <v>214</v>
      </c>
      <c r="D225" s="37"/>
      <c r="E225" s="43"/>
      <c r="I225" s="39"/>
    </row>
    <row r="226" spans="1:11" hidden="1" x14ac:dyDescent="0.25">
      <c r="B226" s="52" t="s">
        <v>58</v>
      </c>
      <c r="C226" s="47" t="s">
        <v>222</v>
      </c>
      <c r="D226" s="37"/>
      <c r="E226" s="43"/>
      <c r="I226" s="39"/>
    </row>
    <row r="227" spans="1:11" hidden="1" x14ac:dyDescent="0.25">
      <c r="B227" s="52" t="s">
        <v>56</v>
      </c>
      <c r="C227" s="47" t="s">
        <v>215</v>
      </c>
      <c r="D227" s="37"/>
      <c r="E227" s="43"/>
      <c r="I227" s="39"/>
    </row>
    <row r="228" spans="1:11" hidden="1" x14ac:dyDescent="0.25">
      <c r="B228" s="52" t="s">
        <v>154</v>
      </c>
      <c r="C228" s="47" t="s">
        <v>223</v>
      </c>
      <c r="D228" s="37"/>
      <c r="E228" s="43"/>
      <c r="I228" s="39"/>
    </row>
    <row r="229" spans="1:11" hidden="1" x14ac:dyDescent="0.25">
      <c r="B229" s="52" t="s">
        <v>55</v>
      </c>
      <c r="C229" s="47" t="s">
        <v>216</v>
      </c>
      <c r="D229" s="37"/>
      <c r="E229" s="43"/>
      <c r="I229" s="39"/>
    </row>
    <row r="230" spans="1:11" hidden="1" x14ac:dyDescent="0.25">
      <c r="B230" s="52" t="s">
        <v>155</v>
      </c>
      <c r="C230" s="47" t="s">
        <v>224</v>
      </c>
      <c r="D230" s="37"/>
      <c r="E230" s="43"/>
      <c r="I230" s="39"/>
    </row>
    <row r="231" spans="1:11" hidden="1" x14ac:dyDescent="0.25">
      <c r="B231" s="52" t="s">
        <v>153</v>
      </c>
      <c r="C231" s="47" t="s">
        <v>217</v>
      </c>
      <c r="D231" s="37"/>
      <c r="E231" s="43"/>
      <c r="I231" s="37"/>
      <c r="K231" s="37"/>
    </row>
    <row r="232" spans="1:11" hidden="1" x14ac:dyDescent="0.25">
      <c r="B232" s="52" t="s">
        <v>60</v>
      </c>
      <c r="C232" s="47" t="s">
        <v>225</v>
      </c>
      <c r="D232" s="37"/>
      <c r="E232" s="43"/>
      <c r="I232" s="37"/>
      <c r="K232" s="37"/>
    </row>
    <row r="233" spans="1:11" hidden="1" x14ac:dyDescent="0.25">
      <c r="B233" s="52" t="s">
        <v>53</v>
      </c>
      <c r="C233" s="47" t="s">
        <v>218</v>
      </c>
      <c r="D233" s="37"/>
      <c r="E233" s="43"/>
      <c r="I233" s="39"/>
    </row>
    <row r="234" spans="1:11" hidden="1" x14ac:dyDescent="0.25">
      <c r="B234" s="52" t="s">
        <v>125</v>
      </c>
      <c r="C234" s="47" t="s">
        <v>219</v>
      </c>
      <c r="D234" s="37"/>
      <c r="E234" s="43"/>
      <c r="I234" s="39"/>
    </row>
    <row r="235" spans="1:11" hidden="1" x14ac:dyDescent="0.25">
      <c r="B235" s="52" t="s">
        <v>54</v>
      </c>
      <c r="C235" s="47" t="s">
        <v>220</v>
      </c>
      <c r="D235" s="37"/>
      <c r="E235" s="43"/>
      <c r="I235" s="39"/>
    </row>
    <row r="236" spans="1:11" hidden="1" x14ac:dyDescent="0.25">
      <c r="B236" s="48" t="s">
        <v>88</v>
      </c>
      <c r="C236" s="53" t="s">
        <v>294</v>
      </c>
      <c r="D236" s="42"/>
      <c r="E236" s="43"/>
      <c r="I236" s="39"/>
    </row>
    <row r="237" spans="1:11" hidden="1" x14ac:dyDescent="0.25">
      <c r="A237" s="38" t="s">
        <v>176</v>
      </c>
      <c r="B237" s="52" t="s">
        <v>29</v>
      </c>
      <c r="C237" s="52" t="s">
        <v>282</v>
      </c>
      <c r="D237" s="39"/>
      <c r="E237" s="43"/>
      <c r="I237" s="39"/>
    </row>
    <row r="238" spans="1:11" hidden="1" x14ac:dyDescent="0.25">
      <c r="B238" s="52" t="s">
        <v>32</v>
      </c>
      <c r="C238" s="47" t="s">
        <v>288</v>
      </c>
      <c r="D238" s="37"/>
      <c r="E238" s="43"/>
      <c r="I238" s="39"/>
    </row>
    <row r="239" spans="1:11" hidden="1" x14ac:dyDescent="0.25">
      <c r="B239" s="52" t="s">
        <v>31</v>
      </c>
      <c r="C239" s="47" t="s">
        <v>283</v>
      </c>
      <c r="D239" s="37"/>
      <c r="E239" s="43"/>
      <c r="I239" s="39"/>
    </row>
    <row r="240" spans="1:11" hidden="1" x14ac:dyDescent="0.25">
      <c r="B240" s="52" t="s">
        <v>34</v>
      </c>
      <c r="C240" s="47" t="s">
        <v>289</v>
      </c>
      <c r="D240" s="37"/>
      <c r="E240" s="44"/>
      <c r="I240" s="39"/>
    </row>
    <row r="241" spans="1:11" hidden="1" x14ac:dyDescent="0.25">
      <c r="B241" s="52" t="s">
        <v>28</v>
      </c>
      <c r="C241" s="47" t="s">
        <v>284</v>
      </c>
      <c r="D241" s="37"/>
      <c r="E241" s="45"/>
      <c r="I241" s="39"/>
    </row>
    <row r="242" spans="1:11" hidden="1" x14ac:dyDescent="0.25">
      <c r="B242" s="52" t="s">
        <v>35</v>
      </c>
      <c r="C242" s="47" t="s">
        <v>290</v>
      </c>
      <c r="D242" s="37"/>
      <c r="E242" s="44"/>
      <c r="I242" s="40"/>
    </row>
    <row r="243" spans="1:11" hidden="1" x14ac:dyDescent="0.25">
      <c r="B243" s="52" t="s">
        <v>36</v>
      </c>
      <c r="C243" s="47" t="s">
        <v>285</v>
      </c>
      <c r="D243" s="37"/>
      <c r="E243" s="45"/>
      <c r="I243" s="39"/>
      <c r="K243" s="37"/>
    </row>
    <row r="244" spans="1:11" hidden="1" x14ac:dyDescent="0.25">
      <c r="B244" s="52" t="s">
        <v>174</v>
      </c>
      <c r="C244" s="47" t="s">
        <v>291</v>
      </c>
      <c r="D244" s="37"/>
      <c r="E244" s="43"/>
      <c r="I244" s="37"/>
      <c r="K244" s="37"/>
    </row>
    <row r="245" spans="1:11" hidden="1" x14ac:dyDescent="0.25">
      <c r="B245" s="52" t="s">
        <v>30</v>
      </c>
      <c r="C245" s="47" t="s">
        <v>286</v>
      </c>
      <c r="D245" s="37"/>
      <c r="E245" s="45"/>
      <c r="I245" s="39"/>
    </row>
    <row r="246" spans="1:11" hidden="1" x14ac:dyDescent="0.25">
      <c r="B246" s="54" t="s">
        <v>145</v>
      </c>
      <c r="C246" s="50" t="s">
        <v>292</v>
      </c>
      <c r="D246" s="13"/>
      <c r="E246" s="46"/>
      <c r="I246" s="39"/>
    </row>
    <row r="247" spans="1:11" hidden="1" x14ac:dyDescent="0.25">
      <c r="B247" s="54" t="s">
        <v>144</v>
      </c>
      <c r="C247" s="50" t="s">
        <v>287</v>
      </c>
      <c r="D247" s="13"/>
      <c r="E247" s="45"/>
      <c r="I247" s="39"/>
    </row>
    <row r="248" spans="1:11" hidden="1" x14ac:dyDescent="0.25">
      <c r="B248" s="52" t="s">
        <v>33</v>
      </c>
      <c r="C248" s="47" t="s">
        <v>293</v>
      </c>
      <c r="D248" s="37"/>
      <c r="E248" s="46"/>
      <c r="I248" s="39"/>
    </row>
    <row r="249" spans="1:11" hidden="1" x14ac:dyDescent="0.25">
      <c r="B249" s="48" t="s">
        <v>88</v>
      </c>
      <c r="C249" s="53" t="s">
        <v>294</v>
      </c>
      <c r="D249" s="42"/>
      <c r="E249" s="45"/>
      <c r="I249" s="40"/>
    </row>
    <row r="250" spans="1:11" hidden="1" x14ac:dyDescent="0.25">
      <c r="A250" s="38" t="s">
        <v>175</v>
      </c>
      <c r="B250" s="52" t="s">
        <v>138</v>
      </c>
      <c r="C250" s="47" t="s">
        <v>268</v>
      </c>
      <c r="D250" s="37"/>
      <c r="E250" s="46"/>
      <c r="I250" s="39"/>
    </row>
    <row r="251" spans="1:11" hidden="1" x14ac:dyDescent="0.25">
      <c r="B251" s="52" t="s">
        <v>152</v>
      </c>
      <c r="C251" s="47" t="s">
        <v>213</v>
      </c>
      <c r="D251" s="37"/>
      <c r="E251" s="45"/>
      <c r="I251" s="39"/>
    </row>
    <row r="252" spans="1:11" hidden="1" x14ac:dyDescent="0.25">
      <c r="B252" s="52" t="s">
        <v>38</v>
      </c>
      <c r="C252" s="47" t="s">
        <v>269</v>
      </c>
      <c r="D252" s="37"/>
      <c r="E252" s="46"/>
      <c r="I252" s="39"/>
    </row>
    <row r="253" spans="1:11" hidden="1" x14ac:dyDescent="0.25">
      <c r="B253" s="52" t="s">
        <v>59</v>
      </c>
      <c r="C253" s="47" t="s">
        <v>221</v>
      </c>
      <c r="D253" s="37"/>
      <c r="E253" s="45"/>
      <c r="I253" s="39"/>
    </row>
    <row r="254" spans="1:11" hidden="1" x14ac:dyDescent="0.25">
      <c r="B254" s="52" t="s">
        <v>39</v>
      </c>
      <c r="C254" s="47" t="s">
        <v>270</v>
      </c>
      <c r="D254" s="37"/>
      <c r="E254" s="46"/>
      <c r="I254" s="39"/>
    </row>
    <row r="255" spans="1:11" hidden="1" x14ac:dyDescent="0.25">
      <c r="B255" s="52" t="s">
        <v>124</v>
      </c>
      <c r="C255" s="47" t="s">
        <v>214</v>
      </c>
      <c r="D255" s="37"/>
      <c r="E255" s="45"/>
      <c r="I255" s="39"/>
    </row>
    <row r="256" spans="1:11" hidden="1" x14ac:dyDescent="0.25">
      <c r="B256" s="52" t="s">
        <v>139</v>
      </c>
      <c r="C256" s="47" t="s">
        <v>271</v>
      </c>
      <c r="D256" s="37"/>
      <c r="E256" s="46"/>
      <c r="I256" s="39"/>
    </row>
    <row r="257" spans="1:9" hidden="1" x14ac:dyDescent="0.25">
      <c r="B257" s="52" t="s">
        <v>58</v>
      </c>
      <c r="C257" s="47" t="s">
        <v>222</v>
      </c>
      <c r="D257" s="37"/>
      <c r="E257" s="45"/>
    </row>
    <row r="258" spans="1:9" hidden="1" x14ac:dyDescent="0.25">
      <c r="B258" s="52" t="s">
        <v>40</v>
      </c>
      <c r="C258" s="47" t="s">
        <v>272</v>
      </c>
      <c r="D258" s="37"/>
      <c r="E258" s="46"/>
    </row>
    <row r="259" spans="1:9" hidden="1" x14ac:dyDescent="0.25">
      <c r="B259" s="52" t="s">
        <v>56</v>
      </c>
      <c r="C259" s="47" t="s">
        <v>215</v>
      </c>
      <c r="D259" s="37"/>
      <c r="E259" s="45"/>
      <c r="I259" s="39"/>
    </row>
    <row r="260" spans="1:9" hidden="1" x14ac:dyDescent="0.25">
      <c r="B260" s="52" t="s">
        <v>140</v>
      </c>
      <c r="C260" s="47" t="s">
        <v>273</v>
      </c>
      <c r="D260" s="37"/>
      <c r="E260" s="46"/>
      <c r="I260" s="39"/>
    </row>
    <row r="261" spans="1:9" hidden="1" x14ac:dyDescent="0.25">
      <c r="B261" s="52" t="s">
        <v>154</v>
      </c>
      <c r="C261" s="47" t="s">
        <v>223</v>
      </c>
      <c r="D261" s="37"/>
      <c r="E261" s="45"/>
      <c r="I261" s="39"/>
    </row>
    <row r="262" spans="1:9" hidden="1" x14ac:dyDescent="0.25">
      <c r="B262" s="52" t="s">
        <v>141</v>
      </c>
      <c r="C262" s="47" t="s">
        <v>274</v>
      </c>
      <c r="D262" s="37"/>
      <c r="E262" s="46"/>
      <c r="I262" s="39"/>
    </row>
    <row r="263" spans="1:9" hidden="1" x14ac:dyDescent="0.25">
      <c r="B263" s="52" t="s">
        <v>55</v>
      </c>
      <c r="C263" s="47" t="s">
        <v>216</v>
      </c>
      <c r="D263" s="37"/>
      <c r="E263" s="45"/>
      <c r="I263" s="39"/>
    </row>
    <row r="264" spans="1:9" hidden="1" x14ac:dyDescent="0.25">
      <c r="B264" s="52" t="s">
        <v>155</v>
      </c>
      <c r="C264" s="47" t="s">
        <v>224</v>
      </c>
      <c r="D264" s="37"/>
      <c r="E264" s="46"/>
      <c r="I264" s="39"/>
    </row>
    <row r="265" spans="1:9" hidden="1" x14ac:dyDescent="0.25">
      <c r="B265" s="52" t="s">
        <v>153</v>
      </c>
      <c r="C265" s="47" t="s">
        <v>217</v>
      </c>
      <c r="D265" s="37"/>
      <c r="E265" s="45"/>
      <c r="I265" s="39"/>
    </row>
    <row r="266" spans="1:9" hidden="1" x14ac:dyDescent="0.25">
      <c r="B266" s="52" t="s">
        <v>60</v>
      </c>
      <c r="C266" s="47" t="s">
        <v>225</v>
      </c>
      <c r="D266" s="37"/>
      <c r="E266" s="46"/>
      <c r="I266" s="39"/>
    </row>
    <row r="267" spans="1:9" hidden="1" x14ac:dyDescent="0.25">
      <c r="B267" s="52" t="s">
        <v>53</v>
      </c>
      <c r="C267" s="47" t="s">
        <v>218</v>
      </c>
      <c r="D267" s="37"/>
      <c r="E267" s="45"/>
      <c r="I267" s="39"/>
    </row>
    <row r="268" spans="1:9" hidden="1" x14ac:dyDescent="0.25">
      <c r="B268" s="52" t="s">
        <v>125</v>
      </c>
      <c r="C268" s="47" t="s">
        <v>219</v>
      </c>
      <c r="D268" s="37"/>
      <c r="E268" s="46"/>
      <c r="I268" s="39"/>
    </row>
    <row r="269" spans="1:9" hidden="1" x14ac:dyDescent="0.25">
      <c r="B269" s="52" t="s">
        <v>54</v>
      </c>
      <c r="C269" s="47" t="s">
        <v>220</v>
      </c>
      <c r="D269" s="37"/>
      <c r="E269" s="45"/>
      <c r="I269" s="39"/>
    </row>
    <row r="270" spans="1:9" hidden="1" x14ac:dyDescent="0.25">
      <c r="B270" s="52"/>
      <c r="C270" s="47"/>
      <c r="D270" s="37"/>
      <c r="E270" s="45"/>
      <c r="I270" s="39"/>
    </row>
    <row r="271" spans="1:9" hidden="1" x14ac:dyDescent="0.25">
      <c r="B271" s="48" t="s">
        <v>88</v>
      </c>
      <c r="C271" s="53" t="s">
        <v>294</v>
      </c>
      <c r="D271" s="42"/>
      <c r="E271" s="46"/>
      <c r="I271" s="39"/>
    </row>
    <row r="272" spans="1:9" hidden="1" x14ac:dyDescent="0.25">
      <c r="A272" s="38" t="s">
        <v>177</v>
      </c>
      <c r="B272" s="52" t="s">
        <v>51</v>
      </c>
      <c r="C272" s="47" t="s">
        <v>200</v>
      </c>
      <c r="D272" s="37"/>
      <c r="E272" s="45"/>
      <c r="I272" s="37"/>
    </row>
    <row r="273" spans="2:11" hidden="1" x14ac:dyDescent="0.25">
      <c r="B273" s="52" t="s">
        <v>46</v>
      </c>
      <c r="C273" s="47" t="s">
        <v>204</v>
      </c>
      <c r="D273" s="37"/>
      <c r="E273" s="46"/>
      <c r="I273" s="39"/>
    </row>
    <row r="274" spans="2:11" hidden="1" x14ac:dyDescent="0.25">
      <c r="B274" s="52" t="s">
        <v>118</v>
      </c>
      <c r="C274" s="47" t="s">
        <v>201</v>
      </c>
      <c r="D274" s="37"/>
      <c r="E274" s="45"/>
      <c r="I274" s="39"/>
    </row>
    <row r="275" spans="2:11" hidden="1" x14ac:dyDescent="0.25">
      <c r="B275" s="52" t="s">
        <v>47</v>
      </c>
      <c r="C275" s="47" t="s">
        <v>205</v>
      </c>
      <c r="D275" s="37"/>
      <c r="E275" s="43"/>
      <c r="I275" s="39"/>
    </row>
    <row r="276" spans="2:11" hidden="1" x14ac:dyDescent="0.25">
      <c r="B276" s="52" t="s">
        <v>150</v>
      </c>
      <c r="C276" s="47" t="s">
        <v>202</v>
      </c>
      <c r="D276" s="37"/>
      <c r="E276" s="43"/>
      <c r="I276" s="39"/>
    </row>
    <row r="277" spans="2:11" hidden="1" x14ac:dyDescent="0.25">
      <c r="B277" s="52" t="s">
        <v>49</v>
      </c>
      <c r="C277" s="47" t="s">
        <v>206</v>
      </c>
      <c r="D277" s="37"/>
      <c r="E277" s="45"/>
      <c r="I277" s="37"/>
      <c r="K277" s="37"/>
    </row>
    <row r="278" spans="2:11" hidden="1" x14ac:dyDescent="0.25">
      <c r="B278" s="52" t="s">
        <v>50</v>
      </c>
      <c r="C278" s="47" t="s">
        <v>203</v>
      </c>
      <c r="D278" s="37"/>
      <c r="E278" s="45"/>
      <c r="I278" s="39"/>
      <c r="K278" s="37"/>
    </row>
    <row r="279" spans="2:11" hidden="1" x14ac:dyDescent="0.25">
      <c r="B279" s="52" t="s">
        <v>48</v>
      </c>
      <c r="C279" s="47" t="s">
        <v>207</v>
      </c>
      <c r="D279" s="37"/>
      <c r="E279" s="45"/>
      <c r="I279" s="39"/>
    </row>
    <row r="280" spans="2:11" hidden="1" x14ac:dyDescent="0.25">
      <c r="B280" s="52" t="s">
        <v>119</v>
      </c>
      <c r="C280" s="47" t="s">
        <v>208</v>
      </c>
      <c r="D280" s="37"/>
      <c r="E280" s="45"/>
      <c r="I280" s="39"/>
    </row>
    <row r="281" spans="2:11" hidden="1" x14ac:dyDescent="0.25"/>
    <row r="282" spans="2:11" hidden="1" x14ac:dyDescent="0.25">
      <c r="B282" t="s">
        <v>295</v>
      </c>
      <c r="C282" t="s">
        <v>296</v>
      </c>
      <c r="D282" t="s">
        <v>333</v>
      </c>
      <c r="E282" t="s">
        <v>335</v>
      </c>
    </row>
    <row r="283" spans="2:11" hidden="1" x14ac:dyDescent="0.25">
      <c r="B283" t="s">
        <v>77</v>
      </c>
      <c r="C283" s="37" t="s">
        <v>77</v>
      </c>
      <c r="D283" s="37" t="s">
        <v>312</v>
      </c>
      <c r="E283" s="37" t="str">
        <f>CONCATENATE(Table_Name28[[#This Row],[Table name]],"[Link]")</f>
        <v>Abs[Link]</v>
      </c>
    </row>
    <row r="284" spans="2:11" hidden="1" x14ac:dyDescent="0.25">
      <c r="B284" t="s">
        <v>19</v>
      </c>
      <c r="C284" s="37" t="s">
        <v>19</v>
      </c>
      <c r="D284" s="37" t="s">
        <v>313</v>
      </c>
      <c r="E284" s="37" t="str">
        <f>CONCATENATE(Table_Name28[[#This Row],[Table name]],"[Link]")</f>
        <v>Calves[Link]</v>
      </c>
    </row>
    <row r="285" spans="2:11" hidden="1" x14ac:dyDescent="0.25">
      <c r="B285" t="s">
        <v>18</v>
      </c>
      <c r="C285" s="37" t="s">
        <v>18</v>
      </c>
      <c r="D285" s="37" t="s">
        <v>314</v>
      </c>
      <c r="E285" s="37" t="str">
        <f>CONCATENATE(Table_Name28[[#This Row],[Table name]],"[Link]")</f>
        <v>Biceps[Link]</v>
      </c>
    </row>
    <row r="286" spans="2:11" hidden="1" x14ac:dyDescent="0.25">
      <c r="B286" t="s">
        <v>117</v>
      </c>
      <c r="C286" s="37" t="s">
        <v>297</v>
      </c>
      <c r="D286" s="37" t="s">
        <v>315</v>
      </c>
      <c r="E286" s="37" t="str">
        <f>CONCATENATE(Table_Name28[[#This Row],[Table name]],"[Link]")</f>
        <v>Rear_Delts[Link]</v>
      </c>
    </row>
    <row r="287" spans="2:11" hidden="1" x14ac:dyDescent="0.25">
      <c r="B287" t="s">
        <v>105</v>
      </c>
      <c r="C287" s="37" t="s">
        <v>298</v>
      </c>
      <c r="D287" s="37" t="s">
        <v>316</v>
      </c>
      <c r="E287" s="37" t="str">
        <f>CONCATENATE(Table_Name28[[#This Row],[Table name]],"[Link]")</f>
        <v>Side_Delts[Link]</v>
      </c>
    </row>
    <row r="288" spans="2:11" hidden="1" x14ac:dyDescent="0.25">
      <c r="B288" t="s">
        <v>120</v>
      </c>
      <c r="C288" s="37" t="s">
        <v>120</v>
      </c>
      <c r="D288" s="37" t="s">
        <v>317</v>
      </c>
      <c r="E288" s="37" t="str">
        <f>CONCATENATE(Table_Name28[[#This Row],[Table name]],"[Link]")</f>
        <v>Traps[Link]</v>
      </c>
    </row>
    <row r="289" spans="2:5" hidden="1" x14ac:dyDescent="0.25">
      <c r="B289" t="s">
        <v>52</v>
      </c>
      <c r="C289" s="37" t="s">
        <v>299</v>
      </c>
      <c r="D289" s="37" t="s">
        <v>318</v>
      </c>
      <c r="E289" s="37" t="str">
        <f>CONCATENATE(Table_Name28[[#This Row],[Table name]],"[Link]")</f>
        <v>Horizontal_Triceps[Link]</v>
      </c>
    </row>
    <row r="290" spans="2:5" hidden="1" x14ac:dyDescent="0.25">
      <c r="B290" t="s">
        <v>57</v>
      </c>
      <c r="C290" s="37" t="s">
        <v>300</v>
      </c>
      <c r="D290" s="37" t="s">
        <v>319</v>
      </c>
      <c r="E290" s="37" t="str">
        <f>CONCATENATE(Table_Name28[[#This Row],[Table name]],"[Link]")</f>
        <v>Vertical_Triceps[Link]</v>
      </c>
    </row>
    <row r="291" spans="2:5" hidden="1" x14ac:dyDescent="0.25">
      <c r="B291" t="s">
        <v>338</v>
      </c>
      <c r="C291" s="37" t="s">
        <v>301</v>
      </c>
      <c r="D291" s="37" t="s">
        <v>334</v>
      </c>
      <c r="E291" s="37" t="str">
        <f>CONCATENATE(Table_Name28[[#This Row],[Table name]],"[Link]")</f>
        <v>Horizonal_Back[Link]</v>
      </c>
    </row>
    <row r="292" spans="2:5" hidden="1" x14ac:dyDescent="0.25">
      <c r="B292" t="s">
        <v>339</v>
      </c>
      <c r="C292" s="37" t="s">
        <v>302</v>
      </c>
      <c r="D292" s="37" t="s">
        <v>320</v>
      </c>
      <c r="E292" s="37" t="str">
        <f>CONCATENATE(Table_Name28[[#This Row],[Table name]],"[Link]")</f>
        <v>Vertical_Back[Link]</v>
      </c>
    </row>
    <row r="293" spans="2:5" hidden="1" x14ac:dyDescent="0.25">
      <c r="B293" t="s">
        <v>20</v>
      </c>
      <c r="C293" s="37" t="s">
        <v>20</v>
      </c>
      <c r="D293" s="37" t="s">
        <v>321</v>
      </c>
      <c r="E293" s="37" t="str">
        <f>CONCATENATE(Table_Name28[[#This Row],[Table name]],"[Link]")</f>
        <v>Quads[Link]</v>
      </c>
    </row>
    <row r="294" spans="2:5" hidden="1" x14ac:dyDescent="0.25">
      <c r="B294" t="s">
        <v>108</v>
      </c>
      <c r="C294" s="37" t="s">
        <v>108</v>
      </c>
      <c r="D294" s="37" t="s">
        <v>322</v>
      </c>
      <c r="E294" s="37" t="str">
        <f>CONCATENATE(Table_Name28[[#This Row],[Table name]],"[Link]")</f>
        <v>Glutes[Link]</v>
      </c>
    </row>
    <row r="295" spans="2:5" hidden="1" x14ac:dyDescent="0.25">
      <c r="B295" t="s">
        <v>107</v>
      </c>
      <c r="C295" s="37" t="s">
        <v>303</v>
      </c>
      <c r="D295" s="37" t="s">
        <v>323</v>
      </c>
      <c r="E295" s="37" t="str">
        <f>CONCATENATE(Table_Name28[[#This Row],[Table name]],"[Link]")</f>
        <v>Hamstrings_Hip_Hinge[Link]</v>
      </c>
    </row>
    <row r="296" spans="2:5" hidden="1" x14ac:dyDescent="0.25">
      <c r="B296" t="s">
        <v>106</v>
      </c>
      <c r="C296" s="37" t="s">
        <v>304</v>
      </c>
      <c r="D296" s="37" t="s">
        <v>324</v>
      </c>
      <c r="E296" s="37" t="str">
        <f>CONCATENATE(Table_Name28[[#This Row],[Table name]],"[Link]")</f>
        <v>Hamstrings_Isolation[Link]</v>
      </c>
    </row>
    <row r="297" spans="2:5" hidden="1" x14ac:dyDescent="0.25">
      <c r="B297" t="s">
        <v>37</v>
      </c>
      <c r="C297" s="37" t="s">
        <v>305</v>
      </c>
      <c r="D297" s="37" t="s">
        <v>325</v>
      </c>
      <c r="E297" s="37" t="str">
        <f>CONCATENATE(Table_Name28[[#This Row],[Table name]],"[Link]")</f>
        <v>Chest_Isolation[Link]</v>
      </c>
    </row>
    <row r="298" spans="2:5" hidden="1" x14ac:dyDescent="0.25">
      <c r="B298" t="s">
        <v>344</v>
      </c>
      <c r="C298" s="37" t="s">
        <v>306</v>
      </c>
      <c r="D298" s="37" t="s">
        <v>326</v>
      </c>
      <c r="E298" s="37" t="str">
        <f>CONCATENATE(Table_Name28[[#This Row],[Table name]],"[Link]")</f>
        <v>Horizontal_Push[Link]</v>
      </c>
    </row>
    <row r="299" spans="2:5" hidden="1" x14ac:dyDescent="0.25">
      <c r="B299" t="s">
        <v>343</v>
      </c>
      <c r="C299" s="37" t="s">
        <v>307</v>
      </c>
      <c r="D299" s="37" t="s">
        <v>327</v>
      </c>
      <c r="E299" s="37" t="str">
        <f>CONCATENATE(Table_Name28[[#This Row],[Table name]],"[Link]")</f>
        <v>Incline_Push[Link]</v>
      </c>
    </row>
    <row r="300" spans="2:5" hidden="1" x14ac:dyDescent="0.25">
      <c r="B300" t="s">
        <v>104</v>
      </c>
      <c r="C300" s="37" t="s">
        <v>308</v>
      </c>
      <c r="D300" s="37" t="s">
        <v>328</v>
      </c>
      <c r="E300" s="37" t="str">
        <f>CONCATENATE(Table_Name28[[#This Row],[Table name]],"[Link]")</f>
        <v>Front_Delts[Link]</v>
      </c>
    </row>
    <row r="301" spans="2:5" hidden="1" x14ac:dyDescent="0.25">
      <c r="B301" t="s">
        <v>17</v>
      </c>
      <c r="C301" s="37" t="s">
        <v>17</v>
      </c>
      <c r="D301" s="37" t="s">
        <v>329</v>
      </c>
      <c r="E301" s="37" t="str">
        <f>CONCATENATE(Table_Name28[[#This Row],[Table name]],"[Link]")</f>
        <v>Triceps[Link]</v>
      </c>
    </row>
    <row r="302" spans="2:5" hidden="1" x14ac:dyDescent="0.25">
      <c r="B302" t="s">
        <v>176</v>
      </c>
      <c r="C302" s="37" t="s">
        <v>309</v>
      </c>
      <c r="D302" s="37" t="s">
        <v>330</v>
      </c>
      <c r="E302" s="37" t="str">
        <f>CONCATENATE(Table_Name28[[#This Row],[Table name]],"[Link]")</f>
        <v>Incline_Push_or_Front_Delts[Link]</v>
      </c>
    </row>
    <row r="303" spans="2:5" hidden="1" x14ac:dyDescent="0.25">
      <c r="B303" t="s">
        <v>175</v>
      </c>
      <c r="C303" s="37" t="s">
        <v>310</v>
      </c>
      <c r="D303" s="37" t="s">
        <v>331</v>
      </c>
      <c r="E303" s="37" t="str">
        <f>CONCATENATE(Table_Name28[[#This Row],[Table name]],"[Link]")</f>
        <v>Chest_Isolation_or_Triceps[Link]</v>
      </c>
    </row>
    <row r="304" spans="2:5" hidden="1" x14ac:dyDescent="0.25">
      <c r="B304" t="s">
        <v>340</v>
      </c>
      <c r="C304" s="37" t="s">
        <v>311</v>
      </c>
      <c r="D304" s="37" t="s">
        <v>332</v>
      </c>
      <c r="E304" s="37" t="str">
        <f>CONCATENATE(Table_Name28[[#This Row],[Table name]],"[Link]")</f>
        <v>Rear_or_Side_Delts[Link]</v>
      </c>
    </row>
    <row r="305" spans="2:4" hidden="1" x14ac:dyDescent="0.25"/>
    <row r="306" spans="2:4" hidden="1" x14ac:dyDescent="0.25">
      <c r="B306" s="9" t="s">
        <v>88</v>
      </c>
      <c r="C306" t="s">
        <v>294</v>
      </c>
      <c r="D306" s="9" t="s">
        <v>295</v>
      </c>
    </row>
    <row r="307" spans="2:4" hidden="1" x14ac:dyDescent="0.25">
      <c r="B307" s="37" t="s">
        <v>109</v>
      </c>
      <c r="C307" t="s">
        <v>178</v>
      </c>
      <c r="D307" t="s">
        <v>77</v>
      </c>
    </row>
    <row r="308" spans="2:4" hidden="1" x14ac:dyDescent="0.25">
      <c r="B308" s="37" t="s">
        <v>79</v>
      </c>
      <c r="C308" t="s">
        <v>179</v>
      </c>
      <c r="D308" t="s">
        <v>77</v>
      </c>
    </row>
    <row r="309" spans="2:4" hidden="1" x14ac:dyDescent="0.25">
      <c r="B309" s="37" t="s">
        <v>80</v>
      </c>
      <c r="C309" t="s">
        <v>180</v>
      </c>
      <c r="D309" t="s">
        <v>77</v>
      </c>
    </row>
    <row r="310" spans="2:4" hidden="1" x14ac:dyDescent="0.25">
      <c r="B310" s="37" t="s">
        <v>78</v>
      </c>
      <c r="C310" t="s">
        <v>181</v>
      </c>
      <c r="D310" t="s">
        <v>77</v>
      </c>
    </row>
    <row r="311" spans="2:4" hidden="1" x14ac:dyDescent="0.25">
      <c r="B311" s="39" t="s">
        <v>110</v>
      </c>
      <c r="C311" t="s">
        <v>182</v>
      </c>
      <c r="D311" t="s">
        <v>77</v>
      </c>
    </row>
    <row r="312" spans="2:4" hidden="1" x14ac:dyDescent="0.25">
      <c r="B312" s="37" t="s">
        <v>81</v>
      </c>
      <c r="C312" t="s">
        <v>183</v>
      </c>
      <c r="D312" t="s">
        <v>77</v>
      </c>
    </row>
    <row r="313" spans="2:4" hidden="1" x14ac:dyDescent="0.25">
      <c r="B313" s="37" t="s">
        <v>146</v>
      </c>
      <c r="C313" t="s">
        <v>184</v>
      </c>
      <c r="D313" t="s">
        <v>77</v>
      </c>
    </row>
    <row r="314" spans="2:4" hidden="1" x14ac:dyDescent="0.25">
      <c r="B314" s="37" t="s">
        <v>61</v>
      </c>
      <c r="C314" t="s">
        <v>189</v>
      </c>
      <c r="D314" t="s">
        <v>18</v>
      </c>
    </row>
    <row r="315" spans="2:4" hidden="1" x14ac:dyDescent="0.25">
      <c r="B315" s="37" t="s">
        <v>62</v>
      </c>
      <c r="C315" t="s">
        <v>190</v>
      </c>
      <c r="D315" t="s">
        <v>18</v>
      </c>
    </row>
    <row r="316" spans="2:4" hidden="1" x14ac:dyDescent="0.25">
      <c r="B316" s="37" t="s">
        <v>112</v>
      </c>
      <c r="C316" t="s">
        <v>191</v>
      </c>
      <c r="D316" t="s">
        <v>18</v>
      </c>
    </row>
    <row r="317" spans="2:4" hidden="1" x14ac:dyDescent="0.25">
      <c r="B317" s="37" t="s">
        <v>63</v>
      </c>
      <c r="C317" t="s">
        <v>192</v>
      </c>
      <c r="D317" t="s">
        <v>18</v>
      </c>
    </row>
    <row r="318" spans="2:4" hidden="1" x14ac:dyDescent="0.25">
      <c r="B318" s="37" t="s">
        <v>113</v>
      </c>
      <c r="C318" t="s">
        <v>193</v>
      </c>
      <c r="D318" t="s">
        <v>18</v>
      </c>
    </row>
    <row r="319" spans="2:4" hidden="1" x14ac:dyDescent="0.25">
      <c r="B319" s="37" t="s">
        <v>114</v>
      </c>
      <c r="C319" t="s">
        <v>194</v>
      </c>
      <c r="D319" t="s">
        <v>18</v>
      </c>
    </row>
    <row r="320" spans="2:4" hidden="1" x14ac:dyDescent="0.25">
      <c r="B320" s="37" t="s">
        <v>147</v>
      </c>
      <c r="C320" t="s">
        <v>195</v>
      </c>
      <c r="D320" t="s">
        <v>18</v>
      </c>
    </row>
    <row r="321" spans="2:4" hidden="1" x14ac:dyDescent="0.25">
      <c r="B321" s="37" t="s">
        <v>148</v>
      </c>
      <c r="C321" t="s">
        <v>196</v>
      </c>
      <c r="D321" t="s">
        <v>18</v>
      </c>
    </row>
    <row r="322" spans="2:4" hidden="1" x14ac:dyDescent="0.25">
      <c r="B322" s="39" t="s">
        <v>115</v>
      </c>
      <c r="C322" t="s">
        <v>197</v>
      </c>
      <c r="D322" t="s">
        <v>18</v>
      </c>
    </row>
    <row r="323" spans="2:4" hidden="1" x14ac:dyDescent="0.25">
      <c r="B323" s="37" t="s">
        <v>116</v>
      </c>
      <c r="C323" t="s">
        <v>198</v>
      </c>
      <c r="D323" t="s">
        <v>18</v>
      </c>
    </row>
    <row r="324" spans="2:4" hidden="1" x14ac:dyDescent="0.25">
      <c r="B324" s="37" t="s">
        <v>149</v>
      </c>
      <c r="C324" t="s">
        <v>199</v>
      </c>
      <c r="D324" t="s">
        <v>18</v>
      </c>
    </row>
    <row r="325" spans="2:4" hidden="1" x14ac:dyDescent="0.25">
      <c r="B325" s="37" t="s">
        <v>111</v>
      </c>
      <c r="C325" t="s">
        <v>185</v>
      </c>
      <c r="D325" t="s">
        <v>19</v>
      </c>
    </row>
    <row r="326" spans="2:4" hidden="1" x14ac:dyDescent="0.25">
      <c r="B326" s="37" t="s">
        <v>75</v>
      </c>
      <c r="C326" t="s">
        <v>186</v>
      </c>
      <c r="D326" t="s">
        <v>19</v>
      </c>
    </row>
    <row r="327" spans="2:4" hidden="1" x14ac:dyDescent="0.25">
      <c r="B327" s="37" t="s">
        <v>74</v>
      </c>
      <c r="C327" t="s">
        <v>187</v>
      </c>
      <c r="D327" t="s">
        <v>19</v>
      </c>
    </row>
    <row r="328" spans="2:4" hidden="1" x14ac:dyDescent="0.25">
      <c r="B328" s="37" t="s">
        <v>76</v>
      </c>
      <c r="C328" t="s">
        <v>188</v>
      </c>
      <c r="D328" t="s">
        <v>19</v>
      </c>
    </row>
    <row r="329" spans="2:4" hidden="1" x14ac:dyDescent="0.25">
      <c r="B329" s="37" t="s">
        <v>138</v>
      </c>
      <c r="C329" t="s">
        <v>268</v>
      </c>
      <c r="D329" t="s">
        <v>37</v>
      </c>
    </row>
    <row r="330" spans="2:4" hidden="1" x14ac:dyDescent="0.25">
      <c r="B330" s="37" t="s">
        <v>38</v>
      </c>
      <c r="C330" t="s">
        <v>269</v>
      </c>
      <c r="D330" t="s">
        <v>37</v>
      </c>
    </row>
    <row r="331" spans="2:4" hidden="1" x14ac:dyDescent="0.25">
      <c r="B331" s="37" t="s">
        <v>39</v>
      </c>
      <c r="C331" t="s">
        <v>270</v>
      </c>
      <c r="D331" t="s">
        <v>37</v>
      </c>
    </row>
    <row r="332" spans="2:4" hidden="1" x14ac:dyDescent="0.25">
      <c r="B332" s="37" t="s">
        <v>139</v>
      </c>
      <c r="C332" t="s">
        <v>271</v>
      </c>
      <c r="D332" t="s">
        <v>37</v>
      </c>
    </row>
    <row r="333" spans="2:4" hidden="1" x14ac:dyDescent="0.25">
      <c r="B333" s="37" t="s">
        <v>40</v>
      </c>
      <c r="C333" t="s">
        <v>272</v>
      </c>
      <c r="D333" t="s">
        <v>37</v>
      </c>
    </row>
    <row r="334" spans="2:4" hidden="1" x14ac:dyDescent="0.25">
      <c r="B334" s="37" t="s">
        <v>140</v>
      </c>
      <c r="C334" t="s">
        <v>273</v>
      </c>
      <c r="D334" t="s">
        <v>37</v>
      </c>
    </row>
    <row r="335" spans="2:4" hidden="1" x14ac:dyDescent="0.25">
      <c r="B335" s="37" t="s">
        <v>141</v>
      </c>
      <c r="C335" t="s">
        <v>274</v>
      </c>
      <c r="D335" t="s">
        <v>37</v>
      </c>
    </row>
    <row r="336" spans="2:4" hidden="1" x14ac:dyDescent="0.25">
      <c r="B336" s="37" t="s">
        <v>138</v>
      </c>
      <c r="C336" t="s">
        <v>268</v>
      </c>
      <c r="D336" t="s">
        <v>175</v>
      </c>
    </row>
    <row r="337" spans="2:4" hidden="1" x14ac:dyDescent="0.25">
      <c r="B337" s="37" t="s">
        <v>152</v>
      </c>
      <c r="C337" t="s">
        <v>213</v>
      </c>
      <c r="D337" t="s">
        <v>175</v>
      </c>
    </row>
    <row r="338" spans="2:4" hidden="1" x14ac:dyDescent="0.25">
      <c r="B338" s="37" t="s">
        <v>38</v>
      </c>
      <c r="C338" t="s">
        <v>269</v>
      </c>
      <c r="D338" t="s">
        <v>175</v>
      </c>
    </row>
    <row r="339" spans="2:4" hidden="1" x14ac:dyDescent="0.25">
      <c r="B339" s="37" t="s">
        <v>59</v>
      </c>
      <c r="C339" t="s">
        <v>221</v>
      </c>
      <c r="D339" t="s">
        <v>175</v>
      </c>
    </row>
    <row r="340" spans="2:4" hidden="1" x14ac:dyDescent="0.25">
      <c r="B340" s="37" t="s">
        <v>39</v>
      </c>
      <c r="C340" t="s">
        <v>270</v>
      </c>
      <c r="D340" t="s">
        <v>175</v>
      </c>
    </row>
    <row r="341" spans="2:4" hidden="1" x14ac:dyDescent="0.25">
      <c r="B341" s="37" t="s">
        <v>124</v>
      </c>
      <c r="C341" t="s">
        <v>214</v>
      </c>
      <c r="D341" t="s">
        <v>175</v>
      </c>
    </row>
    <row r="342" spans="2:4" hidden="1" x14ac:dyDescent="0.25">
      <c r="B342" s="37" t="s">
        <v>139</v>
      </c>
      <c r="C342" t="s">
        <v>271</v>
      </c>
      <c r="D342" t="s">
        <v>175</v>
      </c>
    </row>
    <row r="343" spans="2:4" hidden="1" x14ac:dyDescent="0.25">
      <c r="B343" s="37" t="s">
        <v>58</v>
      </c>
      <c r="C343" t="s">
        <v>222</v>
      </c>
      <c r="D343" t="s">
        <v>175</v>
      </c>
    </row>
    <row r="344" spans="2:4" hidden="1" x14ac:dyDescent="0.25">
      <c r="B344" s="37" t="s">
        <v>40</v>
      </c>
      <c r="C344" t="s">
        <v>272</v>
      </c>
      <c r="D344" t="s">
        <v>175</v>
      </c>
    </row>
    <row r="345" spans="2:4" hidden="1" x14ac:dyDescent="0.25">
      <c r="B345" s="37" t="s">
        <v>56</v>
      </c>
      <c r="C345" t="s">
        <v>215</v>
      </c>
      <c r="D345" t="s">
        <v>175</v>
      </c>
    </row>
    <row r="346" spans="2:4" hidden="1" x14ac:dyDescent="0.25">
      <c r="B346" s="37" t="s">
        <v>140</v>
      </c>
      <c r="C346" t="s">
        <v>273</v>
      </c>
      <c r="D346" t="s">
        <v>175</v>
      </c>
    </row>
    <row r="347" spans="2:4" hidden="1" x14ac:dyDescent="0.25">
      <c r="B347" s="37" t="s">
        <v>154</v>
      </c>
      <c r="C347" t="s">
        <v>223</v>
      </c>
      <c r="D347" t="s">
        <v>175</v>
      </c>
    </row>
    <row r="348" spans="2:4" hidden="1" x14ac:dyDescent="0.25">
      <c r="B348" s="37" t="s">
        <v>141</v>
      </c>
      <c r="C348" t="s">
        <v>274</v>
      </c>
      <c r="D348" t="s">
        <v>175</v>
      </c>
    </row>
    <row r="349" spans="2:4" hidden="1" x14ac:dyDescent="0.25">
      <c r="B349" s="37" t="s">
        <v>55</v>
      </c>
      <c r="C349" t="s">
        <v>216</v>
      </c>
      <c r="D349" t="s">
        <v>175</v>
      </c>
    </row>
    <row r="350" spans="2:4" hidden="1" x14ac:dyDescent="0.25">
      <c r="B350" s="37" t="s">
        <v>155</v>
      </c>
      <c r="C350" t="s">
        <v>224</v>
      </c>
      <c r="D350" t="s">
        <v>175</v>
      </c>
    </row>
    <row r="351" spans="2:4" hidden="1" x14ac:dyDescent="0.25">
      <c r="B351" s="37" t="s">
        <v>153</v>
      </c>
      <c r="C351" t="s">
        <v>217</v>
      </c>
      <c r="D351" t="s">
        <v>175</v>
      </c>
    </row>
    <row r="352" spans="2:4" hidden="1" x14ac:dyDescent="0.25">
      <c r="B352" s="37" t="s">
        <v>60</v>
      </c>
      <c r="C352" t="s">
        <v>225</v>
      </c>
      <c r="D352" t="s">
        <v>175</v>
      </c>
    </row>
    <row r="353" spans="2:4" hidden="1" x14ac:dyDescent="0.25">
      <c r="B353" s="37" t="s">
        <v>53</v>
      </c>
      <c r="C353" t="s">
        <v>218</v>
      </c>
      <c r="D353" t="s">
        <v>175</v>
      </c>
    </row>
    <row r="354" spans="2:4" hidden="1" x14ac:dyDescent="0.25">
      <c r="B354" s="37" t="s">
        <v>125</v>
      </c>
      <c r="C354" t="s">
        <v>219</v>
      </c>
      <c r="D354" t="s">
        <v>175</v>
      </c>
    </row>
    <row r="355" spans="2:4" hidden="1" x14ac:dyDescent="0.25">
      <c r="B355" s="37" t="s">
        <v>54</v>
      </c>
      <c r="C355" t="s">
        <v>220</v>
      </c>
      <c r="D355" t="s">
        <v>175</v>
      </c>
    </row>
    <row r="356" spans="2:4" hidden="1" x14ac:dyDescent="0.25">
      <c r="B356" s="37" t="s">
        <v>32</v>
      </c>
      <c r="C356" t="s">
        <v>288</v>
      </c>
      <c r="D356" t="s">
        <v>104</v>
      </c>
    </row>
    <row r="357" spans="2:4" hidden="1" x14ac:dyDescent="0.25">
      <c r="B357" s="37" t="s">
        <v>34</v>
      </c>
      <c r="C357" t="s">
        <v>289</v>
      </c>
      <c r="D357" t="s">
        <v>104</v>
      </c>
    </row>
    <row r="358" spans="2:4" hidden="1" x14ac:dyDescent="0.25">
      <c r="B358" s="37" t="s">
        <v>35</v>
      </c>
      <c r="C358" t="s">
        <v>290</v>
      </c>
      <c r="D358" t="s">
        <v>104</v>
      </c>
    </row>
    <row r="359" spans="2:4" hidden="1" x14ac:dyDescent="0.25">
      <c r="B359" s="37" t="s">
        <v>174</v>
      </c>
      <c r="C359" t="s">
        <v>291</v>
      </c>
      <c r="D359" t="s">
        <v>104</v>
      </c>
    </row>
    <row r="360" spans="2:4" hidden="1" x14ac:dyDescent="0.25">
      <c r="B360" s="13" t="s">
        <v>145</v>
      </c>
      <c r="C360" t="s">
        <v>292</v>
      </c>
      <c r="D360" t="s">
        <v>104</v>
      </c>
    </row>
    <row r="361" spans="2:4" hidden="1" x14ac:dyDescent="0.25">
      <c r="B361" s="37" t="s">
        <v>33</v>
      </c>
      <c r="C361" t="s">
        <v>293</v>
      </c>
      <c r="D361" t="s">
        <v>104</v>
      </c>
    </row>
    <row r="362" spans="2:4" hidden="1" x14ac:dyDescent="0.25">
      <c r="B362" s="37" t="s">
        <v>66</v>
      </c>
      <c r="C362" t="s">
        <v>253</v>
      </c>
      <c r="D362" t="s">
        <v>108</v>
      </c>
    </row>
    <row r="363" spans="2:4" hidden="1" x14ac:dyDescent="0.25">
      <c r="B363" s="37" t="s">
        <v>67</v>
      </c>
      <c r="C363" t="s">
        <v>254</v>
      </c>
      <c r="D363" t="s">
        <v>108</v>
      </c>
    </row>
    <row r="364" spans="2:4" hidden="1" x14ac:dyDescent="0.25">
      <c r="B364" s="37" t="s">
        <v>133</v>
      </c>
      <c r="C364" t="s">
        <v>255</v>
      </c>
      <c r="D364" t="s">
        <v>108</v>
      </c>
    </row>
    <row r="365" spans="2:4" hidden="1" x14ac:dyDescent="0.25">
      <c r="B365" s="37" t="s">
        <v>170</v>
      </c>
      <c r="C365" t="s">
        <v>256</v>
      </c>
      <c r="D365" t="s">
        <v>108</v>
      </c>
    </row>
    <row r="366" spans="2:4" hidden="1" x14ac:dyDescent="0.25">
      <c r="B366" s="37" t="s">
        <v>70</v>
      </c>
      <c r="C366" t="s">
        <v>257</v>
      </c>
      <c r="D366" t="s">
        <v>108</v>
      </c>
    </row>
    <row r="367" spans="2:4" hidden="1" x14ac:dyDescent="0.25">
      <c r="B367" s="37" t="s">
        <v>69</v>
      </c>
      <c r="C367" t="s">
        <v>258</v>
      </c>
      <c r="D367" t="s">
        <v>108</v>
      </c>
    </row>
    <row r="368" spans="2:4" hidden="1" x14ac:dyDescent="0.25">
      <c r="B368" s="37" t="s">
        <v>134</v>
      </c>
      <c r="C368" t="s">
        <v>259</v>
      </c>
      <c r="D368" t="s">
        <v>108</v>
      </c>
    </row>
    <row r="369" spans="2:4" hidden="1" x14ac:dyDescent="0.25">
      <c r="B369" s="37" t="s">
        <v>171</v>
      </c>
      <c r="C369" t="s">
        <v>260</v>
      </c>
      <c r="D369" t="s">
        <v>108</v>
      </c>
    </row>
    <row r="370" spans="2:4" hidden="1" x14ac:dyDescent="0.25">
      <c r="B370" s="37" t="s">
        <v>135</v>
      </c>
      <c r="C370" t="s">
        <v>261</v>
      </c>
      <c r="D370" t="s">
        <v>107</v>
      </c>
    </row>
    <row r="371" spans="2:4" hidden="1" x14ac:dyDescent="0.25">
      <c r="B371" s="37" t="s">
        <v>71</v>
      </c>
      <c r="C371" t="s">
        <v>262</v>
      </c>
      <c r="D371" t="s">
        <v>107</v>
      </c>
    </row>
    <row r="372" spans="2:4" hidden="1" x14ac:dyDescent="0.25">
      <c r="B372" s="37" t="s">
        <v>72</v>
      </c>
      <c r="C372" t="s">
        <v>263</v>
      </c>
      <c r="D372" t="s">
        <v>107</v>
      </c>
    </row>
    <row r="373" spans="2:4" hidden="1" x14ac:dyDescent="0.25">
      <c r="B373" s="37" t="s">
        <v>136</v>
      </c>
      <c r="C373" t="s">
        <v>264</v>
      </c>
      <c r="D373" t="s">
        <v>107</v>
      </c>
    </row>
    <row r="374" spans="2:4" hidden="1" x14ac:dyDescent="0.25">
      <c r="B374" s="37" t="s">
        <v>172</v>
      </c>
      <c r="C374" t="s">
        <v>265</v>
      </c>
      <c r="D374" t="s">
        <v>106</v>
      </c>
    </row>
    <row r="375" spans="2:4" hidden="1" x14ac:dyDescent="0.25">
      <c r="B375" s="37" t="s">
        <v>73</v>
      </c>
      <c r="C375" t="s">
        <v>266</v>
      </c>
      <c r="D375" t="s">
        <v>106</v>
      </c>
    </row>
    <row r="376" spans="2:4" hidden="1" x14ac:dyDescent="0.25">
      <c r="B376" s="37" t="s">
        <v>137</v>
      </c>
      <c r="C376" t="s">
        <v>267</v>
      </c>
      <c r="D376" t="s">
        <v>106</v>
      </c>
    </row>
    <row r="377" spans="2:4" hidden="1" x14ac:dyDescent="0.25">
      <c r="B377" s="37" t="s">
        <v>156</v>
      </c>
      <c r="C377" t="s">
        <v>226</v>
      </c>
      <c r="D377" t="s">
        <v>126</v>
      </c>
    </row>
    <row r="378" spans="2:4" hidden="1" x14ac:dyDescent="0.25">
      <c r="B378" s="37" t="s">
        <v>157</v>
      </c>
      <c r="C378" t="s">
        <v>227</v>
      </c>
      <c r="D378" t="s">
        <v>126</v>
      </c>
    </row>
    <row r="379" spans="2:4" hidden="1" x14ac:dyDescent="0.25">
      <c r="B379" s="37" t="s">
        <v>158</v>
      </c>
      <c r="C379" t="s">
        <v>228</v>
      </c>
      <c r="D379" t="s">
        <v>126</v>
      </c>
    </row>
    <row r="380" spans="2:4" hidden="1" x14ac:dyDescent="0.25">
      <c r="B380" s="37" t="s">
        <v>42</v>
      </c>
      <c r="C380" t="s">
        <v>229</v>
      </c>
      <c r="D380" t="s">
        <v>126</v>
      </c>
    </row>
    <row r="381" spans="2:4" hidden="1" x14ac:dyDescent="0.25">
      <c r="B381" s="37" t="s">
        <v>127</v>
      </c>
      <c r="C381" t="s">
        <v>230</v>
      </c>
      <c r="D381" t="s">
        <v>126</v>
      </c>
    </row>
    <row r="382" spans="2:4" hidden="1" x14ac:dyDescent="0.25">
      <c r="B382" s="37" t="s">
        <v>128</v>
      </c>
      <c r="C382" t="s">
        <v>231</v>
      </c>
      <c r="D382" t="s">
        <v>126</v>
      </c>
    </row>
    <row r="383" spans="2:4" hidden="1" x14ac:dyDescent="0.25">
      <c r="B383" s="37" t="s">
        <v>41</v>
      </c>
      <c r="C383" t="s">
        <v>232</v>
      </c>
      <c r="D383" t="s">
        <v>126</v>
      </c>
    </row>
    <row r="384" spans="2:4" hidden="1" x14ac:dyDescent="0.25">
      <c r="B384" s="37" t="s">
        <v>129</v>
      </c>
      <c r="C384" t="s">
        <v>233</v>
      </c>
      <c r="D384" t="s">
        <v>126</v>
      </c>
    </row>
    <row r="385" spans="2:4" hidden="1" x14ac:dyDescent="0.25">
      <c r="B385" s="37" t="s">
        <v>23</v>
      </c>
      <c r="C385" t="s">
        <v>275</v>
      </c>
      <c r="D385" t="s">
        <v>22</v>
      </c>
    </row>
    <row r="386" spans="2:4" hidden="1" x14ac:dyDescent="0.25">
      <c r="B386" s="37" t="s">
        <v>25</v>
      </c>
      <c r="C386" t="s">
        <v>276</v>
      </c>
      <c r="D386" t="s">
        <v>22</v>
      </c>
    </row>
    <row r="387" spans="2:4" hidden="1" x14ac:dyDescent="0.25">
      <c r="B387" s="37" t="s">
        <v>142</v>
      </c>
      <c r="C387" t="s">
        <v>277</v>
      </c>
      <c r="D387" t="s">
        <v>22</v>
      </c>
    </row>
    <row r="388" spans="2:4" hidden="1" x14ac:dyDescent="0.25">
      <c r="B388" s="37" t="s">
        <v>24</v>
      </c>
      <c r="C388" t="s">
        <v>278</v>
      </c>
      <c r="D388" t="s">
        <v>22</v>
      </c>
    </row>
    <row r="389" spans="2:4" hidden="1" x14ac:dyDescent="0.25">
      <c r="B389" s="13" t="s">
        <v>173</v>
      </c>
      <c r="C389" t="s">
        <v>279</v>
      </c>
      <c r="D389" t="s">
        <v>22</v>
      </c>
    </row>
    <row r="390" spans="2:4" hidden="1" x14ac:dyDescent="0.25">
      <c r="B390" s="37" t="s">
        <v>26</v>
      </c>
      <c r="C390" t="s">
        <v>280</v>
      </c>
      <c r="D390" t="s">
        <v>22</v>
      </c>
    </row>
    <row r="391" spans="2:4" hidden="1" x14ac:dyDescent="0.25">
      <c r="B391" s="37" t="s">
        <v>27</v>
      </c>
      <c r="C391" t="s">
        <v>281</v>
      </c>
      <c r="D391" t="s">
        <v>22</v>
      </c>
    </row>
    <row r="392" spans="2:4" hidden="1" x14ac:dyDescent="0.25">
      <c r="B392" s="37" t="s">
        <v>152</v>
      </c>
      <c r="C392" t="s">
        <v>213</v>
      </c>
      <c r="D392" t="s">
        <v>52</v>
      </c>
    </row>
    <row r="393" spans="2:4" hidden="1" x14ac:dyDescent="0.25">
      <c r="B393" s="37" t="s">
        <v>124</v>
      </c>
      <c r="C393" t="s">
        <v>214</v>
      </c>
      <c r="D393" t="s">
        <v>52</v>
      </c>
    </row>
    <row r="394" spans="2:4" hidden="1" x14ac:dyDescent="0.25">
      <c r="B394" s="37" t="s">
        <v>56</v>
      </c>
      <c r="C394" t="s">
        <v>215</v>
      </c>
      <c r="D394" t="s">
        <v>52</v>
      </c>
    </row>
    <row r="395" spans="2:4" hidden="1" x14ac:dyDescent="0.25">
      <c r="B395" s="37" t="s">
        <v>55</v>
      </c>
      <c r="C395" t="s">
        <v>216</v>
      </c>
      <c r="D395" t="s">
        <v>52</v>
      </c>
    </row>
    <row r="396" spans="2:4" hidden="1" x14ac:dyDescent="0.25">
      <c r="B396" s="37" t="s">
        <v>153</v>
      </c>
      <c r="C396" t="s">
        <v>217</v>
      </c>
      <c r="D396" t="s">
        <v>52</v>
      </c>
    </row>
    <row r="397" spans="2:4" hidden="1" x14ac:dyDescent="0.25">
      <c r="B397" s="37" t="s">
        <v>53</v>
      </c>
      <c r="C397" t="s">
        <v>218</v>
      </c>
      <c r="D397" t="s">
        <v>52</v>
      </c>
    </row>
    <row r="398" spans="2:4" hidden="1" x14ac:dyDescent="0.25">
      <c r="B398" s="37" t="s">
        <v>125</v>
      </c>
      <c r="C398" t="s">
        <v>219</v>
      </c>
      <c r="D398" t="s">
        <v>52</v>
      </c>
    </row>
    <row r="399" spans="2:4" hidden="1" x14ac:dyDescent="0.25">
      <c r="B399" s="37" t="s">
        <v>54</v>
      </c>
      <c r="C399" t="s">
        <v>220</v>
      </c>
      <c r="D399" t="s">
        <v>52</v>
      </c>
    </row>
    <row r="400" spans="2:4" hidden="1" x14ac:dyDescent="0.25">
      <c r="B400" s="39" t="s">
        <v>29</v>
      </c>
      <c r="C400" t="s">
        <v>282</v>
      </c>
      <c r="D400" t="s">
        <v>143</v>
      </c>
    </row>
    <row r="401" spans="2:4" hidden="1" x14ac:dyDescent="0.25">
      <c r="B401" s="37" t="s">
        <v>31</v>
      </c>
      <c r="C401" t="s">
        <v>283</v>
      </c>
      <c r="D401" t="s">
        <v>143</v>
      </c>
    </row>
    <row r="402" spans="2:4" hidden="1" x14ac:dyDescent="0.25">
      <c r="B402" s="37" t="s">
        <v>28</v>
      </c>
      <c r="C402" t="s">
        <v>284</v>
      </c>
      <c r="D402" t="s">
        <v>143</v>
      </c>
    </row>
    <row r="403" spans="2:4" hidden="1" x14ac:dyDescent="0.25">
      <c r="B403" s="37" t="s">
        <v>36</v>
      </c>
      <c r="C403" t="s">
        <v>285</v>
      </c>
      <c r="D403" t="s">
        <v>143</v>
      </c>
    </row>
    <row r="404" spans="2:4" hidden="1" x14ac:dyDescent="0.25">
      <c r="B404" s="37" t="s">
        <v>30</v>
      </c>
      <c r="C404" t="s">
        <v>286</v>
      </c>
      <c r="D404" t="s">
        <v>143</v>
      </c>
    </row>
    <row r="405" spans="2:4" hidden="1" x14ac:dyDescent="0.25">
      <c r="B405" s="13" t="s">
        <v>144</v>
      </c>
      <c r="C405" t="s">
        <v>287</v>
      </c>
      <c r="D405" t="s">
        <v>143</v>
      </c>
    </row>
    <row r="406" spans="2:4" hidden="1" x14ac:dyDescent="0.25">
      <c r="B406" s="39" t="s">
        <v>29</v>
      </c>
      <c r="C406" t="s">
        <v>282</v>
      </c>
      <c r="D406" t="s">
        <v>176</v>
      </c>
    </row>
    <row r="407" spans="2:4" hidden="1" x14ac:dyDescent="0.25">
      <c r="B407" s="37" t="s">
        <v>32</v>
      </c>
      <c r="C407" t="s">
        <v>288</v>
      </c>
      <c r="D407" t="s">
        <v>176</v>
      </c>
    </row>
    <row r="408" spans="2:4" hidden="1" x14ac:dyDescent="0.25">
      <c r="B408" s="37" t="s">
        <v>31</v>
      </c>
      <c r="C408" t="s">
        <v>283</v>
      </c>
      <c r="D408" t="s">
        <v>176</v>
      </c>
    </row>
    <row r="409" spans="2:4" hidden="1" x14ac:dyDescent="0.25">
      <c r="B409" s="37" t="s">
        <v>34</v>
      </c>
      <c r="C409" t="s">
        <v>289</v>
      </c>
      <c r="D409" t="s">
        <v>176</v>
      </c>
    </row>
    <row r="410" spans="2:4" hidden="1" x14ac:dyDescent="0.25">
      <c r="B410" s="37" t="s">
        <v>28</v>
      </c>
      <c r="C410" t="s">
        <v>284</v>
      </c>
      <c r="D410" t="s">
        <v>176</v>
      </c>
    </row>
    <row r="411" spans="2:4" hidden="1" x14ac:dyDescent="0.25">
      <c r="B411" s="37" t="s">
        <v>35</v>
      </c>
      <c r="C411" t="s">
        <v>290</v>
      </c>
      <c r="D411" t="s">
        <v>176</v>
      </c>
    </row>
    <row r="412" spans="2:4" hidden="1" x14ac:dyDescent="0.25">
      <c r="B412" s="37" t="s">
        <v>36</v>
      </c>
      <c r="C412" t="s">
        <v>285</v>
      </c>
      <c r="D412" t="s">
        <v>176</v>
      </c>
    </row>
    <row r="413" spans="2:4" hidden="1" x14ac:dyDescent="0.25">
      <c r="B413" s="37" t="s">
        <v>174</v>
      </c>
      <c r="C413" t="s">
        <v>291</v>
      </c>
      <c r="D413" t="s">
        <v>176</v>
      </c>
    </row>
    <row r="414" spans="2:4" hidden="1" x14ac:dyDescent="0.25">
      <c r="B414" s="37" t="s">
        <v>30</v>
      </c>
      <c r="C414" t="s">
        <v>286</v>
      </c>
      <c r="D414" t="s">
        <v>176</v>
      </c>
    </row>
    <row r="415" spans="2:4" hidden="1" x14ac:dyDescent="0.25">
      <c r="B415" s="13" t="s">
        <v>145</v>
      </c>
      <c r="C415" t="s">
        <v>292</v>
      </c>
      <c r="D415" t="s">
        <v>176</v>
      </c>
    </row>
    <row r="416" spans="2:4" hidden="1" x14ac:dyDescent="0.25">
      <c r="B416" s="13" t="s">
        <v>144</v>
      </c>
      <c r="C416" t="s">
        <v>287</v>
      </c>
      <c r="D416" t="s">
        <v>176</v>
      </c>
    </row>
    <row r="417" spans="2:4" hidden="1" x14ac:dyDescent="0.25">
      <c r="B417" s="37" t="s">
        <v>33</v>
      </c>
      <c r="C417" t="s">
        <v>293</v>
      </c>
      <c r="D417" t="s">
        <v>176</v>
      </c>
    </row>
    <row r="418" spans="2:4" hidden="1" x14ac:dyDescent="0.25">
      <c r="B418" s="37" t="s">
        <v>64</v>
      </c>
      <c r="C418" t="s">
        <v>246</v>
      </c>
      <c r="D418" t="s">
        <v>20</v>
      </c>
    </row>
    <row r="419" spans="2:4" hidden="1" x14ac:dyDescent="0.25">
      <c r="B419" s="37" t="s">
        <v>167</v>
      </c>
      <c r="C419" t="s">
        <v>247</v>
      </c>
      <c r="D419" t="s">
        <v>20</v>
      </c>
    </row>
    <row r="420" spans="2:4" hidden="1" x14ac:dyDescent="0.25">
      <c r="B420" s="37" t="s">
        <v>168</v>
      </c>
      <c r="C420" t="s">
        <v>248</v>
      </c>
      <c r="D420" t="s">
        <v>20</v>
      </c>
    </row>
    <row r="421" spans="2:4" hidden="1" x14ac:dyDescent="0.25">
      <c r="B421" s="37" t="s">
        <v>65</v>
      </c>
      <c r="C421" t="s">
        <v>249</v>
      </c>
      <c r="D421" t="s">
        <v>20</v>
      </c>
    </row>
    <row r="422" spans="2:4" hidden="1" x14ac:dyDescent="0.25">
      <c r="B422" s="37" t="s">
        <v>132</v>
      </c>
      <c r="C422" t="s">
        <v>250</v>
      </c>
      <c r="D422" t="s">
        <v>20</v>
      </c>
    </row>
    <row r="423" spans="2:4" hidden="1" x14ac:dyDescent="0.25">
      <c r="B423" s="37" t="s">
        <v>68</v>
      </c>
      <c r="C423" t="s">
        <v>251</v>
      </c>
      <c r="D423" t="s">
        <v>20</v>
      </c>
    </row>
    <row r="424" spans="2:4" hidden="1" x14ac:dyDescent="0.25">
      <c r="B424" s="37" t="s">
        <v>169</v>
      </c>
      <c r="C424" t="s">
        <v>252</v>
      </c>
      <c r="D424" t="s">
        <v>20</v>
      </c>
    </row>
    <row r="425" spans="2:4" hidden="1" x14ac:dyDescent="0.25">
      <c r="B425" s="37" t="s">
        <v>51</v>
      </c>
      <c r="C425" t="s">
        <v>200</v>
      </c>
      <c r="D425" t="s">
        <v>117</v>
      </c>
    </row>
    <row r="426" spans="2:4" hidden="1" x14ac:dyDescent="0.25">
      <c r="B426" s="37" t="s">
        <v>118</v>
      </c>
      <c r="C426" t="s">
        <v>201</v>
      </c>
      <c r="D426" t="s">
        <v>117</v>
      </c>
    </row>
    <row r="427" spans="2:4" hidden="1" x14ac:dyDescent="0.25">
      <c r="B427" s="37" t="s">
        <v>150</v>
      </c>
      <c r="C427" t="s">
        <v>202</v>
      </c>
      <c r="D427" t="s">
        <v>117</v>
      </c>
    </row>
    <row r="428" spans="2:4" hidden="1" x14ac:dyDescent="0.25">
      <c r="B428" s="37" t="s">
        <v>50</v>
      </c>
      <c r="C428" t="s">
        <v>203</v>
      </c>
      <c r="D428" t="s">
        <v>117</v>
      </c>
    </row>
    <row r="429" spans="2:4" hidden="1" x14ac:dyDescent="0.25">
      <c r="B429" s="37" t="s">
        <v>51</v>
      </c>
      <c r="C429" t="s">
        <v>200</v>
      </c>
      <c r="D429" t="s">
        <v>177</v>
      </c>
    </row>
    <row r="430" spans="2:4" hidden="1" x14ac:dyDescent="0.25">
      <c r="B430" s="37" t="s">
        <v>46</v>
      </c>
      <c r="C430" t="s">
        <v>204</v>
      </c>
      <c r="D430" t="s">
        <v>177</v>
      </c>
    </row>
    <row r="431" spans="2:4" hidden="1" x14ac:dyDescent="0.25">
      <c r="B431" s="37" t="s">
        <v>118</v>
      </c>
      <c r="C431" t="s">
        <v>201</v>
      </c>
      <c r="D431" t="s">
        <v>177</v>
      </c>
    </row>
    <row r="432" spans="2:4" hidden="1" x14ac:dyDescent="0.25">
      <c r="B432" s="37" t="s">
        <v>47</v>
      </c>
      <c r="C432" t="s">
        <v>205</v>
      </c>
      <c r="D432" t="s">
        <v>177</v>
      </c>
    </row>
    <row r="433" spans="2:4" hidden="1" x14ac:dyDescent="0.25">
      <c r="B433" s="37" t="s">
        <v>150</v>
      </c>
      <c r="C433" t="s">
        <v>202</v>
      </c>
      <c r="D433" t="s">
        <v>177</v>
      </c>
    </row>
    <row r="434" spans="2:4" hidden="1" x14ac:dyDescent="0.25">
      <c r="B434" s="37" t="s">
        <v>49</v>
      </c>
      <c r="C434" t="s">
        <v>206</v>
      </c>
      <c r="D434" t="s">
        <v>177</v>
      </c>
    </row>
    <row r="435" spans="2:4" hidden="1" x14ac:dyDescent="0.25">
      <c r="B435" s="37" t="s">
        <v>50</v>
      </c>
      <c r="C435" t="s">
        <v>203</v>
      </c>
      <c r="D435" t="s">
        <v>177</v>
      </c>
    </row>
    <row r="436" spans="2:4" hidden="1" x14ac:dyDescent="0.25">
      <c r="B436" s="37" t="s">
        <v>48</v>
      </c>
      <c r="C436" t="s">
        <v>207</v>
      </c>
      <c r="D436" t="s">
        <v>177</v>
      </c>
    </row>
    <row r="437" spans="2:4" hidden="1" x14ac:dyDescent="0.25">
      <c r="B437" s="37" t="s">
        <v>119</v>
      </c>
      <c r="C437" t="s">
        <v>208</v>
      </c>
      <c r="D437" t="s">
        <v>177</v>
      </c>
    </row>
    <row r="438" spans="2:4" hidden="1" x14ac:dyDescent="0.25">
      <c r="B438" s="37" t="s">
        <v>46</v>
      </c>
      <c r="C438" t="s">
        <v>204</v>
      </c>
      <c r="D438" s="38" t="s">
        <v>105</v>
      </c>
    </row>
    <row r="439" spans="2:4" hidden="1" x14ac:dyDescent="0.25">
      <c r="B439" s="37" t="s">
        <v>47</v>
      </c>
      <c r="C439" t="s">
        <v>205</v>
      </c>
      <c r="D439" s="38" t="s">
        <v>105</v>
      </c>
    </row>
    <row r="440" spans="2:4" hidden="1" x14ac:dyDescent="0.25">
      <c r="B440" s="37" t="s">
        <v>49</v>
      </c>
      <c r="C440" t="s">
        <v>206</v>
      </c>
      <c r="D440" s="38" t="s">
        <v>105</v>
      </c>
    </row>
    <row r="441" spans="2:4" hidden="1" x14ac:dyDescent="0.25">
      <c r="B441" s="37" t="s">
        <v>48</v>
      </c>
      <c r="C441" t="s">
        <v>207</v>
      </c>
      <c r="D441" s="38" t="s">
        <v>105</v>
      </c>
    </row>
    <row r="442" spans="2:4" hidden="1" x14ac:dyDescent="0.25">
      <c r="B442" s="37" t="s">
        <v>119</v>
      </c>
      <c r="C442" t="s">
        <v>208</v>
      </c>
      <c r="D442" s="38" t="s">
        <v>105</v>
      </c>
    </row>
    <row r="443" spans="2:4" hidden="1" x14ac:dyDescent="0.25">
      <c r="B443" s="37" t="s">
        <v>151</v>
      </c>
      <c r="C443" t="s">
        <v>209</v>
      </c>
      <c r="D443" t="s">
        <v>120</v>
      </c>
    </row>
    <row r="444" spans="2:4" hidden="1" x14ac:dyDescent="0.25">
      <c r="B444" s="37" t="s">
        <v>121</v>
      </c>
      <c r="C444" t="s">
        <v>210</v>
      </c>
      <c r="D444" t="s">
        <v>120</v>
      </c>
    </row>
    <row r="445" spans="2:4" hidden="1" x14ac:dyDescent="0.25">
      <c r="B445" s="37" t="s">
        <v>122</v>
      </c>
      <c r="C445" t="s">
        <v>211</v>
      </c>
      <c r="D445" t="s">
        <v>120</v>
      </c>
    </row>
    <row r="446" spans="2:4" hidden="1" x14ac:dyDescent="0.25">
      <c r="B446" s="37" t="s">
        <v>123</v>
      </c>
      <c r="C446" t="s">
        <v>212</v>
      </c>
      <c r="D446" t="s">
        <v>120</v>
      </c>
    </row>
    <row r="447" spans="2:4" hidden="1" x14ac:dyDescent="0.25">
      <c r="B447" s="37" t="s">
        <v>152</v>
      </c>
      <c r="C447" t="s">
        <v>213</v>
      </c>
      <c r="D447" t="s">
        <v>17</v>
      </c>
    </row>
    <row r="448" spans="2:4" hidden="1" x14ac:dyDescent="0.25">
      <c r="B448" s="37" t="s">
        <v>59</v>
      </c>
      <c r="C448" t="s">
        <v>221</v>
      </c>
      <c r="D448" t="s">
        <v>17</v>
      </c>
    </row>
    <row r="449" spans="2:4" hidden="1" x14ac:dyDescent="0.25">
      <c r="B449" s="37" t="s">
        <v>124</v>
      </c>
      <c r="C449" t="s">
        <v>214</v>
      </c>
      <c r="D449" t="s">
        <v>17</v>
      </c>
    </row>
    <row r="450" spans="2:4" hidden="1" x14ac:dyDescent="0.25">
      <c r="B450" s="37" t="s">
        <v>58</v>
      </c>
      <c r="C450" t="s">
        <v>222</v>
      </c>
      <c r="D450" t="s">
        <v>17</v>
      </c>
    </row>
    <row r="451" spans="2:4" hidden="1" x14ac:dyDescent="0.25">
      <c r="B451" s="37" t="s">
        <v>56</v>
      </c>
      <c r="C451" t="s">
        <v>215</v>
      </c>
      <c r="D451" t="s">
        <v>17</v>
      </c>
    </row>
    <row r="452" spans="2:4" hidden="1" x14ac:dyDescent="0.25">
      <c r="B452" s="37" t="s">
        <v>154</v>
      </c>
      <c r="C452" t="s">
        <v>223</v>
      </c>
      <c r="D452" t="s">
        <v>17</v>
      </c>
    </row>
    <row r="453" spans="2:4" hidden="1" x14ac:dyDescent="0.25">
      <c r="B453" s="37" t="s">
        <v>55</v>
      </c>
      <c r="C453" t="s">
        <v>216</v>
      </c>
      <c r="D453" t="s">
        <v>17</v>
      </c>
    </row>
    <row r="454" spans="2:4" hidden="1" x14ac:dyDescent="0.25">
      <c r="B454" s="37" t="s">
        <v>155</v>
      </c>
      <c r="C454" t="s">
        <v>224</v>
      </c>
      <c r="D454" t="s">
        <v>17</v>
      </c>
    </row>
    <row r="455" spans="2:4" hidden="1" x14ac:dyDescent="0.25">
      <c r="B455" s="37" t="s">
        <v>153</v>
      </c>
      <c r="C455" t="s">
        <v>217</v>
      </c>
      <c r="D455" t="s">
        <v>17</v>
      </c>
    </row>
    <row r="456" spans="2:4" hidden="1" x14ac:dyDescent="0.25">
      <c r="B456" s="37" t="s">
        <v>60</v>
      </c>
      <c r="C456" t="s">
        <v>225</v>
      </c>
      <c r="D456" t="s">
        <v>17</v>
      </c>
    </row>
    <row r="457" spans="2:4" hidden="1" x14ac:dyDescent="0.25">
      <c r="B457" s="37" t="s">
        <v>53</v>
      </c>
      <c r="C457" t="s">
        <v>218</v>
      </c>
      <c r="D457" t="s">
        <v>17</v>
      </c>
    </row>
    <row r="458" spans="2:4" hidden="1" x14ac:dyDescent="0.25">
      <c r="B458" s="37" t="s">
        <v>125</v>
      </c>
      <c r="C458" t="s">
        <v>219</v>
      </c>
      <c r="D458" t="s">
        <v>17</v>
      </c>
    </row>
    <row r="459" spans="2:4" hidden="1" x14ac:dyDescent="0.25">
      <c r="B459" s="37" t="s">
        <v>54</v>
      </c>
      <c r="C459" t="s">
        <v>220</v>
      </c>
      <c r="D459" t="s">
        <v>17</v>
      </c>
    </row>
    <row r="460" spans="2:4" hidden="1" x14ac:dyDescent="0.25">
      <c r="B460" s="37" t="s">
        <v>131</v>
      </c>
      <c r="C460" t="s">
        <v>234</v>
      </c>
      <c r="D460" t="s">
        <v>130</v>
      </c>
    </row>
    <row r="461" spans="2:4" hidden="1" x14ac:dyDescent="0.25">
      <c r="B461" s="37" t="s">
        <v>159</v>
      </c>
      <c r="C461" t="s">
        <v>235</v>
      </c>
      <c r="D461" t="s">
        <v>130</v>
      </c>
    </row>
    <row r="462" spans="2:4" hidden="1" x14ac:dyDescent="0.25">
      <c r="B462" s="37" t="s">
        <v>160</v>
      </c>
      <c r="C462" t="s">
        <v>236</v>
      </c>
      <c r="D462" t="s">
        <v>130</v>
      </c>
    </row>
    <row r="463" spans="2:4" hidden="1" x14ac:dyDescent="0.25">
      <c r="B463" s="37" t="s">
        <v>161</v>
      </c>
      <c r="C463" t="s">
        <v>237</v>
      </c>
      <c r="D463" t="s">
        <v>130</v>
      </c>
    </row>
    <row r="464" spans="2:4" hidden="1" x14ac:dyDescent="0.25">
      <c r="B464" s="37" t="s">
        <v>162</v>
      </c>
      <c r="C464" t="s">
        <v>238</v>
      </c>
      <c r="D464" t="s">
        <v>130</v>
      </c>
    </row>
    <row r="465" spans="2:4" hidden="1" x14ac:dyDescent="0.25">
      <c r="B465" s="39" t="s">
        <v>163</v>
      </c>
      <c r="C465" t="s">
        <v>239</v>
      </c>
      <c r="D465" t="s">
        <v>130</v>
      </c>
    </row>
    <row r="466" spans="2:4" hidden="1" x14ac:dyDescent="0.25">
      <c r="B466" s="39" t="s">
        <v>164</v>
      </c>
      <c r="C466" t="s">
        <v>240</v>
      </c>
      <c r="D466" t="s">
        <v>130</v>
      </c>
    </row>
    <row r="467" spans="2:4" hidden="1" x14ac:dyDescent="0.25">
      <c r="B467" s="37" t="s">
        <v>43</v>
      </c>
      <c r="C467" t="s">
        <v>241</v>
      </c>
      <c r="D467" t="s">
        <v>130</v>
      </c>
    </row>
    <row r="468" spans="2:4" hidden="1" x14ac:dyDescent="0.25">
      <c r="B468" s="39" t="s">
        <v>165</v>
      </c>
      <c r="C468" t="s">
        <v>242</v>
      </c>
      <c r="D468" t="s">
        <v>130</v>
      </c>
    </row>
    <row r="469" spans="2:4" hidden="1" x14ac:dyDescent="0.25">
      <c r="B469" s="39" t="s">
        <v>166</v>
      </c>
      <c r="C469" t="s">
        <v>243</v>
      </c>
      <c r="D469" t="s">
        <v>130</v>
      </c>
    </row>
    <row r="470" spans="2:4" hidden="1" x14ac:dyDescent="0.25">
      <c r="B470" s="37" t="s">
        <v>44</v>
      </c>
      <c r="C470" t="s">
        <v>244</v>
      </c>
      <c r="D470" t="s">
        <v>130</v>
      </c>
    </row>
    <row r="471" spans="2:4" hidden="1" x14ac:dyDescent="0.25">
      <c r="B471" s="39" t="s">
        <v>45</v>
      </c>
      <c r="C471" t="s">
        <v>245</v>
      </c>
      <c r="D471" t="s">
        <v>130</v>
      </c>
    </row>
    <row r="472" spans="2:4" hidden="1" x14ac:dyDescent="0.25">
      <c r="B472" s="37" t="s">
        <v>59</v>
      </c>
      <c r="C472" t="s">
        <v>221</v>
      </c>
      <c r="D472" t="s">
        <v>57</v>
      </c>
    </row>
    <row r="473" spans="2:4" hidden="1" x14ac:dyDescent="0.25">
      <c r="B473" s="37" t="s">
        <v>58</v>
      </c>
      <c r="C473" t="s">
        <v>222</v>
      </c>
      <c r="D473" t="s">
        <v>57</v>
      </c>
    </row>
    <row r="474" spans="2:4" hidden="1" x14ac:dyDescent="0.25">
      <c r="B474" s="37" t="s">
        <v>154</v>
      </c>
      <c r="C474" t="s">
        <v>223</v>
      </c>
      <c r="D474" t="s">
        <v>57</v>
      </c>
    </row>
    <row r="475" spans="2:4" hidden="1" x14ac:dyDescent="0.25">
      <c r="B475" s="37" t="s">
        <v>155</v>
      </c>
      <c r="C475" t="s">
        <v>224</v>
      </c>
      <c r="D475" t="s">
        <v>57</v>
      </c>
    </row>
    <row r="476" spans="2:4" hidden="1" x14ac:dyDescent="0.25">
      <c r="B476" s="37" t="s">
        <v>60</v>
      </c>
      <c r="C476" t="s">
        <v>225</v>
      </c>
      <c r="D476" t="s">
        <v>57</v>
      </c>
    </row>
  </sheetData>
  <dataConsolidate/>
  <mergeCells count="25">
    <mergeCell ref="AF18:AI18"/>
    <mergeCell ref="AF25:AI25"/>
    <mergeCell ref="AF35:AI35"/>
    <mergeCell ref="AF43:AI43"/>
    <mergeCell ref="T18:Y18"/>
    <mergeCell ref="T25:Y25"/>
    <mergeCell ref="T35:Y35"/>
    <mergeCell ref="T43:Y43"/>
    <mergeCell ref="Z18:AE18"/>
    <mergeCell ref="Z25:AE25"/>
    <mergeCell ref="Z35:AE35"/>
    <mergeCell ref="Z43:AE43"/>
    <mergeCell ref="H18:M18"/>
    <mergeCell ref="H25:M25"/>
    <mergeCell ref="H35:M35"/>
    <mergeCell ref="H43:M43"/>
    <mergeCell ref="N18:S18"/>
    <mergeCell ref="N25:S25"/>
    <mergeCell ref="N35:S35"/>
    <mergeCell ref="N43:S43"/>
    <mergeCell ref="H8:M8"/>
    <mergeCell ref="N8:S8"/>
    <mergeCell ref="T8:Y8"/>
    <mergeCell ref="Z8:AE8"/>
    <mergeCell ref="AF8:AI8"/>
  </mergeCells>
  <dataValidations count="3">
    <dataValidation type="list" allowBlank="1" showInputMessage="1" showErrorMessage="1" sqref="M28:M34 S28:S34 AE11:AE17 Y11:Y17 M38:M42 S11:S17 S21:S24 Y21:Y24 AE21:AE24 S38:S42 Y38:Y42 AE38:AE42 AE28:AE34 Y28:Y34 M46:M54 S46:S54 Y46:Y54">
      <formula1>$C$62:$C$64</formula1>
    </dataValidation>
    <dataValidation type="list" allowBlank="1" showInputMessage="1" showErrorMessage="1" sqref="T21:T24 T28:T34 T38:T42 T11:T17 T46:T54">
      <formula1>$C$63:$C$65</formula1>
    </dataValidation>
    <dataValidation type="list" allowBlank="1" showInputMessage="1" showErrorMessage="1" sqref="C46:C54 C11:C19 C21:C26 C28:C36 C38:C44">
      <formula1>INDIRECT(D11)</formula1>
    </dataValidation>
  </dataValidations>
  <hyperlinks>
    <hyperlink ref="B206" r:id="rId1"/>
    <hyperlink ref="B155" r:id="rId2"/>
    <hyperlink ref="B153" r:id="rId3"/>
    <hyperlink ref="B152" r:id="rId4"/>
    <hyperlink ref="B149" r:id="rId5"/>
    <hyperlink ref="B150" r:id="rId6"/>
    <hyperlink ref="B93" r:id="rId7"/>
    <hyperlink ref="B74" r:id="rId8"/>
    <hyperlink ref="B73" r:id="rId9"/>
    <hyperlink ref="B71" r:id="rId10"/>
    <hyperlink ref="B72" r:id="rId11"/>
    <hyperlink ref="B75" r:id="rId12"/>
    <hyperlink ref="B76" r:id="rId13"/>
    <hyperlink ref="B70" r:id="rId14"/>
    <hyperlink ref="B81" r:id="rId15"/>
    <hyperlink ref="B79" r:id="rId16"/>
    <hyperlink ref="B80" r:id="rId17"/>
    <hyperlink ref="B82" r:id="rId18"/>
    <hyperlink ref="B85" r:id="rId19"/>
    <hyperlink ref="B86" r:id="rId20"/>
    <hyperlink ref="B88" r:id="rId21"/>
    <hyperlink ref="B87" r:id="rId22"/>
    <hyperlink ref="B89" r:id="rId23"/>
    <hyperlink ref="B90" r:id="rId24"/>
    <hyperlink ref="B91" r:id="rId25"/>
    <hyperlink ref="B92" r:id="rId26"/>
    <hyperlink ref="B95" r:id="rId27"/>
    <hyperlink ref="B94" r:id="rId28"/>
    <hyperlink ref="B104" r:id="rId29"/>
    <hyperlink ref="B107" r:id="rId30"/>
    <hyperlink ref="B108" r:id="rId31"/>
    <hyperlink ref="B106" r:id="rId32"/>
    <hyperlink ref="B105" r:id="rId33"/>
    <hyperlink ref="B100" r:id="rId34"/>
    <hyperlink ref="B101" r:id="rId35"/>
    <hyperlink ref="B99" r:id="rId36"/>
    <hyperlink ref="B98" r:id="rId37"/>
    <hyperlink ref="B135" r:id="rId38"/>
    <hyperlink ref="B134" r:id="rId39"/>
    <hyperlink ref="B137" r:id="rId40"/>
    <hyperlink ref="B140" r:id="rId41"/>
    <hyperlink ref="B147" r:id="rId42"/>
    <hyperlink ref="B144" r:id="rId43"/>
    <hyperlink ref="B145" r:id="rId44"/>
    <hyperlink ref="B146" r:id="rId45"/>
    <hyperlink ref="B154" r:id="rId46"/>
    <hyperlink ref="B148" r:id="rId47"/>
    <hyperlink ref="B151" r:id="rId48"/>
    <hyperlink ref="B138" r:id="rId49"/>
    <hyperlink ref="B136" r:id="rId50"/>
    <hyperlink ref="B112" r:id="rId51"/>
    <hyperlink ref="B111" r:id="rId52"/>
    <hyperlink ref="B113" r:id="rId53"/>
    <hyperlink ref="B139" r:id="rId54"/>
    <hyperlink ref="B114" r:id="rId55"/>
    <hyperlink ref="B141" r:id="rId56"/>
    <hyperlink ref="B158" r:id="rId57"/>
    <hyperlink ref="B163" r:id="rId58"/>
    <hyperlink ref="B164" r:id="rId59"/>
    <hyperlink ref="B160" r:id="rId60"/>
    <hyperlink ref="B169" r:id="rId61"/>
    <hyperlink ref="B159" r:id="rId62"/>
    <hyperlink ref="B170" r:id="rId63"/>
    <hyperlink ref="B177" r:id="rId64"/>
    <hyperlink ref="B173" r:id="rId65"/>
    <hyperlink ref="B171" r:id="rId66"/>
    <hyperlink ref="B172" r:id="rId67"/>
    <hyperlink ref="B161" r:id="rId68"/>
    <hyperlink ref="B162" r:id="rId69"/>
    <hyperlink ref="B167" r:id="rId70"/>
    <hyperlink ref="B168" r:id="rId71"/>
    <hyperlink ref="B178" r:id="rId72"/>
    <hyperlink ref="B179" r:id="rId73"/>
    <hyperlink ref="B180" r:id="rId74"/>
    <hyperlink ref="B174" r:id="rId75"/>
    <hyperlink ref="B184" r:id="rId76"/>
    <hyperlink ref="B183" r:id="rId77"/>
    <hyperlink ref="B185" r:id="rId78"/>
    <hyperlink ref="B197" r:id="rId79"/>
    <hyperlink ref="B200" r:id="rId80"/>
    <hyperlink ref="B198" r:id="rId81"/>
    <hyperlink ref="B210" r:id="rId82"/>
    <hyperlink ref="B207" r:id="rId83"/>
    <hyperlink ref="B214" r:id="rId84"/>
    <hyperlink ref="B219" r:id="rId85"/>
    <hyperlink ref="B202" r:id="rId86"/>
    <hyperlink ref="B203" r:id="rId87"/>
    <hyperlink ref="B208" r:id="rId88"/>
    <hyperlink ref="B209" r:id="rId89"/>
    <hyperlink ref="B217" r:id="rId90"/>
    <hyperlink ref="B199" r:id="rId91"/>
    <hyperlink ref="B189" r:id="rId92"/>
    <hyperlink ref="B188" r:id="rId93"/>
    <hyperlink ref="B192" r:id="rId94"/>
    <hyperlink ref="B190" r:id="rId95"/>
    <hyperlink ref="B191" r:id="rId96"/>
    <hyperlink ref="B193" r:id="rId97"/>
    <hyperlink ref="B194" r:id="rId98"/>
    <hyperlink ref="B119" r:id="rId99"/>
    <hyperlink ref="B120" r:id="rId100"/>
    <hyperlink ref="B215" r:id="rId101"/>
    <hyperlink ref="B216" r:id="rId102"/>
    <hyperlink ref="B201" r:id="rId103"/>
    <hyperlink ref="B218" r:id="rId104"/>
    <hyperlink ref="B211" r:id="rId105"/>
    <hyperlink ref="B122" r:id="rId106"/>
    <hyperlink ref="B123" r:id="rId107"/>
    <hyperlink ref="B124" r:id="rId108"/>
    <hyperlink ref="B117" r:id="rId109"/>
    <hyperlink ref="B121" r:id="rId110"/>
    <hyperlink ref="B131" r:id="rId111"/>
    <hyperlink ref="B127" r:id="rId112"/>
    <hyperlink ref="B128" r:id="rId113"/>
    <hyperlink ref="B129" r:id="rId114"/>
    <hyperlink ref="B130" r:id="rId115"/>
    <hyperlink ref="B118" r:id="rId116"/>
    <hyperlink ref="B227" r:id="rId117"/>
    <hyperlink ref="B229" r:id="rId118"/>
    <hyperlink ref="B233" r:id="rId119"/>
    <hyperlink ref="B234" r:id="rId120"/>
    <hyperlink ref="B235" r:id="rId121"/>
    <hyperlink ref="B223" r:id="rId122"/>
    <hyperlink ref="B231" r:id="rId123"/>
    <hyperlink ref="B232" r:id="rId124"/>
    <hyperlink ref="B224" r:id="rId125"/>
    <hyperlink ref="B226" r:id="rId126"/>
    <hyperlink ref="B228" r:id="rId127"/>
    <hyperlink ref="B230" r:id="rId128"/>
    <hyperlink ref="B225" r:id="rId129"/>
    <hyperlink ref="B237" r:id="rId130"/>
    <hyperlink ref="B245" r:id="rId131"/>
    <hyperlink ref="B239" r:id="rId132"/>
    <hyperlink ref="B241" r:id="rId133"/>
    <hyperlink ref="B243" r:id="rId134"/>
    <hyperlink ref="B247" r:id="rId135"/>
    <hyperlink ref="B238" r:id="rId136"/>
    <hyperlink ref="B248" r:id="rId137"/>
    <hyperlink ref="B244" r:id="rId138"/>
    <hyperlink ref="B240" r:id="rId139"/>
    <hyperlink ref="B242" r:id="rId140"/>
    <hyperlink ref="B246" r:id="rId141"/>
    <hyperlink ref="B259" r:id="rId142"/>
    <hyperlink ref="B263" r:id="rId143"/>
    <hyperlink ref="B267" r:id="rId144"/>
    <hyperlink ref="B268" r:id="rId145"/>
    <hyperlink ref="B269" r:id="rId146"/>
    <hyperlink ref="B251" r:id="rId147"/>
    <hyperlink ref="B265" r:id="rId148"/>
    <hyperlink ref="B266" r:id="rId149"/>
    <hyperlink ref="B253" r:id="rId150"/>
    <hyperlink ref="B257" r:id="rId151"/>
    <hyperlink ref="B261" r:id="rId152"/>
    <hyperlink ref="B264" r:id="rId153"/>
    <hyperlink ref="B255" r:id="rId154"/>
    <hyperlink ref="B252" r:id="rId155"/>
    <hyperlink ref="B250" r:id="rId156"/>
    <hyperlink ref="B258" r:id="rId157"/>
    <hyperlink ref="B254" r:id="rId158"/>
    <hyperlink ref="B256" r:id="rId159"/>
    <hyperlink ref="B260" r:id="rId160"/>
    <hyperlink ref="B262" r:id="rId161"/>
    <hyperlink ref="B273" r:id="rId162"/>
    <hyperlink ref="B279" r:id="rId163"/>
    <hyperlink ref="B280" r:id="rId164"/>
    <hyperlink ref="B277" r:id="rId165"/>
    <hyperlink ref="B275" r:id="rId166"/>
    <hyperlink ref="B276" r:id="rId167"/>
    <hyperlink ref="B278" r:id="rId168"/>
    <hyperlink ref="B274" r:id="rId169"/>
    <hyperlink ref="B272" r:id="rId170"/>
    <hyperlink ref="C206" r:id="rId171"/>
    <hyperlink ref="C155" r:id="rId172"/>
    <hyperlink ref="C153" r:id="rId173"/>
    <hyperlink ref="C152" r:id="rId174"/>
    <hyperlink ref="C149" r:id="rId175"/>
    <hyperlink ref="C150" r:id="rId176"/>
    <hyperlink ref="C93" r:id="rId177"/>
    <hyperlink ref="C74" r:id="rId178"/>
    <hyperlink ref="C237" r:id="rId179"/>
  </hyperlinks>
  <pageMargins left="0.7" right="0.7" top="0.75" bottom="0.75" header="0.3" footer="0.3"/>
  <pageSetup scale="33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68"/>
  <sheetViews>
    <sheetView showGridLines="0" workbookViewId="0">
      <selection activeCell="C37" sqref="C37"/>
    </sheetView>
  </sheetViews>
  <sheetFormatPr defaultRowHeight="15" x14ac:dyDescent="0.25"/>
  <cols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36.140625" bestFit="1" customWidth="1"/>
    <col min="9" max="9" width="7.7109375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51.28515625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9.7109375" customWidth="1"/>
    <col min="20" max="20" width="37.7109375" customWidth="1"/>
    <col min="21" max="21" width="4.7109375" bestFit="1" customWidth="1"/>
    <col min="22" max="22" width="7.5703125" bestFit="1" customWidth="1"/>
    <col min="23" max="24" width="17.7109375" bestFit="1" customWidth="1"/>
    <col min="25" max="25" width="15.140625" bestFit="1" customWidth="1"/>
    <col min="26" max="26" width="17.7109375" bestFit="1" customWidth="1"/>
  </cols>
  <sheetData>
    <row r="1" spans="2:25" ht="19.5" thickBot="1" x14ac:dyDescent="0.35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9" t="s">
        <v>93</v>
      </c>
      <c r="U1" s="6"/>
      <c r="V1" s="18"/>
      <c r="W1" s="20"/>
      <c r="X1" s="20"/>
      <c r="Y1" s="6"/>
    </row>
    <row r="2" spans="2:25" ht="19.5" thickBot="1" x14ac:dyDescent="0.35">
      <c r="F2" s="25" t="s">
        <v>95</v>
      </c>
      <c r="G2" s="27" t="s">
        <v>98</v>
      </c>
      <c r="H2" s="33" t="s">
        <v>90</v>
      </c>
      <c r="I2" s="58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2" t="s">
        <v>94</v>
      </c>
      <c r="U2" s="21"/>
      <c r="V2" s="21"/>
      <c r="W2" s="21"/>
      <c r="X2" s="21"/>
      <c r="Y2" s="7"/>
    </row>
    <row r="3" spans="2:25" ht="19.5" thickBot="1" x14ac:dyDescent="0.3">
      <c r="C3" t="s">
        <v>0</v>
      </c>
      <c r="F3" s="26" t="s">
        <v>96</v>
      </c>
      <c r="G3" s="28" t="s">
        <v>99</v>
      </c>
      <c r="H3" s="34" t="s">
        <v>91</v>
      </c>
      <c r="I3" s="58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2:25" ht="15.75" thickBot="1" x14ac:dyDescent="0.3">
      <c r="G4" t="s">
        <v>0</v>
      </c>
      <c r="I4" s="59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</row>
    <row r="7" spans="2:25" ht="15.75" thickBot="1" x14ac:dyDescent="0.3"/>
    <row r="8" spans="2:25" ht="19.5" thickBot="1" x14ac:dyDescent="0.3">
      <c r="G8" s="5" t="s">
        <v>101</v>
      </c>
      <c r="H8" s="168" t="s">
        <v>1</v>
      </c>
      <c r="I8" s="169"/>
      <c r="J8" s="169"/>
      <c r="K8" s="169"/>
      <c r="L8" s="169"/>
      <c r="M8" s="170"/>
      <c r="N8" s="171" t="s">
        <v>2</v>
      </c>
      <c r="O8" s="172"/>
      <c r="P8" s="172"/>
      <c r="Q8" s="172"/>
      <c r="R8" s="172"/>
      <c r="S8" s="173"/>
      <c r="T8" s="180" t="s">
        <v>355</v>
      </c>
      <c r="U8" s="181"/>
      <c r="V8" s="181"/>
      <c r="W8" s="182"/>
    </row>
    <row r="9" spans="2:25" ht="15.75" thickBot="1" x14ac:dyDescent="0.3">
      <c r="B9" s="37"/>
      <c r="C9" s="37" t="s">
        <v>16</v>
      </c>
      <c r="D9" s="37"/>
      <c r="E9" s="37"/>
      <c r="F9" s="37"/>
      <c r="G9" s="77" t="s">
        <v>102</v>
      </c>
      <c r="H9" s="65" t="s">
        <v>88</v>
      </c>
      <c r="I9" s="66" t="s">
        <v>6</v>
      </c>
      <c r="J9" s="67" t="s">
        <v>7</v>
      </c>
      <c r="K9" s="68" t="s">
        <v>8</v>
      </c>
      <c r="L9" s="68" t="s">
        <v>9</v>
      </c>
      <c r="M9" s="69" t="s">
        <v>10</v>
      </c>
      <c r="N9" s="70" t="s">
        <v>88</v>
      </c>
      <c r="O9" s="70" t="s">
        <v>6</v>
      </c>
      <c r="P9" s="67" t="s">
        <v>7</v>
      </c>
      <c r="Q9" s="68" t="s">
        <v>8</v>
      </c>
      <c r="R9" s="68" t="s">
        <v>9</v>
      </c>
      <c r="S9" s="69" t="s">
        <v>10</v>
      </c>
      <c r="T9" s="70" t="s">
        <v>88</v>
      </c>
      <c r="U9" s="70" t="s">
        <v>6</v>
      </c>
      <c r="V9" s="67" t="s">
        <v>7</v>
      </c>
      <c r="W9" s="71" t="s">
        <v>8</v>
      </c>
    </row>
    <row r="10" spans="2:25" ht="15.75" thickBot="1" x14ac:dyDescent="0.3">
      <c r="B10" s="95" t="s">
        <v>342</v>
      </c>
      <c r="C10" s="99" t="s">
        <v>85</v>
      </c>
      <c r="D10" s="91"/>
      <c r="E10" s="91"/>
      <c r="F10" s="99" t="s">
        <v>356</v>
      </c>
      <c r="G10" s="99" t="s">
        <v>357</v>
      </c>
      <c r="H10" s="68" t="s">
        <v>85</v>
      </c>
      <c r="I10" s="72"/>
      <c r="J10" s="72" t="s">
        <v>0</v>
      </c>
      <c r="K10" s="72"/>
      <c r="L10" s="72"/>
      <c r="M10" s="73"/>
      <c r="N10" s="65" t="s">
        <v>85</v>
      </c>
      <c r="O10" s="72"/>
      <c r="P10" s="72"/>
      <c r="Q10" s="72"/>
      <c r="R10" s="72"/>
      <c r="S10" s="73"/>
      <c r="T10" s="65" t="s">
        <v>85</v>
      </c>
      <c r="U10" s="72"/>
      <c r="V10" s="72"/>
      <c r="W10" s="73"/>
    </row>
    <row r="11" spans="2:25" ht="15.75" thickBot="1" x14ac:dyDescent="0.3">
      <c r="B11" s="96" t="s">
        <v>343</v>
      </c>
      <c r="C11" s="100"/>
      <c r="D11" s="92" t="str">
        <f t="array" ref="D11">INDEX(Table_Name52[Name List],MATCH(B11,Table_Name52[Category],0))</f>
        <v>Incline_Push[Exercise]</v>
      </c>
      <c r="E11" s="90" t="e">
        <f t="array" ref="E11">INDEX(Links73[Link],MATCH(C11,Links73[Exercise],0))</f>
        <v>#N/A</v>
      </c>
      <c r="F11" s="106" t="e">
        <f t="shared" ref="F11:F15" si="0">HYPERLINK(E11,"Video")</f>
        <v>#N/A</v>
      </c>
      <c r="G11" s="109"/>
      <c r="H11" s="88">
        <f t="shared" ref="H11:H15" si="1">C11</f>
        <v>0</v>
      </c>
      <c r="I11" s="76">
        <v>3</v>
      </c>
      <c r="J11" s="76">
        <f>MROUND(((G11)),5)</f>
        <v>0</v>
      </c>
      <c r="K11" s="76" t="s">
        <v>11</v>
      </c>
      <c r="L11" s="76"/>
      <c r="M11" s="77"/>
      <c r="N11" s="75">
        <f t="shared" ref="N11:N15" si="2">C11</f>
        <v>0</v>
      </c>
      <c r="O11" s="76">
        <f>I11+(M27)</f>
        <v>3</v>
      </c>
      <c r="P11" s="76">
        <f t="shared" ref="P11:P15" si="3">MROUND((J11*1.05),5)</f>
        <v>0</v>
      </c>
      <c r="Q11" s="76" t="s">
        <v>11</v>
      </c>
      <c r="R11" s="76"/>
      <c r="S11" s="78"/>
      <c r="T11" s="75">
        <f>C11</f>
        <v>0</v>
      </c>
      <c r="U11" s="76">
        <v>2</v>
      </c>
      <c r="V11" s="79">
        <f>J11</f>
        <v>0</v>
      </c>
      <c r="W11" s="77" t="s">
        <v>14</v>
      </c>
    </row>
    <row r="12" spans="2:25" ht="15.75" thickBot="1" x14ac:dyDescent="0.3">
      <c r="B12" s="97" t="s">
        <v>344</v>
      </c>
      <c r="C12" s="101"/>
      <c r="D12" s="93" t="str">
        <f t="array" ref="D12">INDEX(Table_Name52[Name List],MATCH(B12,Table_Name52[Category],0))</f>
        <v>Horizontal_Push[Exercise]</v>
      </c>
      <c r="E12" s="74" t="e">
        <f t="array" ref="E12">INDEX(Links73[Link],MATCH(C12,Links73[Exercise],0))</f>
        <v>#N/A</v>
      </c>
      <c r="F12" s="107" t="e">
        <f t="shared" si="0"/>
        <v>#N/A</v>
      </c>
      <c r="G12" s="110"/>
      <c r="H12" s="88">
        <f t="shared" si="1"/>
        <v>0</v>
      </c>
      <c r="I12" s="76">
        <v>1</v>
      </c>
      <c r="J12" s="76">
        <f>MROUND(((G12)),5)</f>
        <v>0</v>
      </c>
      <c r="K12" s="76" t="s">
        <v>11</v>
      </c>
      <c r="L12" s="76"/>
      <c r="M12" s="77"/>
      <c r="N12" s="75">
        <f t="shared" si="2"/>
        <v>0</v>
      </c>
      <c r="O12" s="76">
        <f>I12+(M27)</f>
        <v>1</v>
      </c>
      <c r="P12" s="76">
        <f t="shared" si="3"/>
        <v>0</v>
      </c>
      <c r="Q12" s="76" t="s">
        <v>11</v>
      </c>
      <c r="R12" s="76"/>
      <c r="S12" s="78"/>
      <c r="T12" s="75">
        <f>C12</f>
        <v>0</v>
      </c>
      <c r="U12" s="76">
        <v>2</v>
      </c>
      <c r="V12" s="79">
        <f>J12</f>
        <v>0</v>
      </c>
      <c r="W12" s="77" t="s">
        <v>14</v>
      </c>
    </row>
    <row r="13" spans="2:25" ht="15.75" thickBot="1" x14ac:dyDescent="0.3">
      <c r="B13" s="97" t="s">
        <v>338</v>
      </c>
      <c r="C13" s="101"/>
      <c r="D13" s="93" t="str">
        <f t="array" ref="D13">INDEX(Table_Name52[Name List],MATCH(B13,Table_Name52[Category],0))</f>
        <v>Horizontal_Back[Exercise]</v>
      </c>
      <c r="E13" s="74" t="e">
        <f t="array" ref="E13">INDEX(Links73[Link],MATCH(C13,Links73[Exercise],0))</f>
        <v>#N/A</v>
      </c>
      <c r="F13" s="107" t="e">
        <f t="shared" si="0"/>
        <v>#N/A</v>
      </c>
      <c r="G13" s="110"/>
      <c r="H13" s="88">
        <f t="shared" si="1"/>
        <v>0</v>
      </c>
      <c r="I13" s="76">
        <v>2</v>
      </c>
      <c r="J13" s="76">
        <f>MROUND(((G13)),5)</f>
        <v>0</v>
      </c>
      <c r="K13" s="76" t="s">
        <v>11</v>
      </c>
      <c r="L13" s="76" t="s">
        <v>0</v>
      </c>
      <c r="M13" s="77"/>
      <c r="N13" s="75">
        <f t="shared" si="2"/>
        <v>0</v>
      </c>
      <c r="O13" s="76">
        <f>I13+(M26)</f>
        <v>2</v>
      </c>
      <c r="P13" s="76">
        <f t="shared" si="3"/>
        <v>0</v>
      </c>
      <c r="Q13" s="76" t="s">
        <v>11</v>
      </c>
      <c r="R13" s="76"/>
      <c r="S13" s="78"/>
      <c r="T13" s="75">
        <f>C13</f>
        <v>0</v>
      </c>
      <c r="U13" s="76">
        <v>2</v>
      </c>
      <c r="V13" s="79">
        <f>J13</f>
        <v>0</v>
      </c>
      <c r="W13" s="77" t="s">
        <v>14</v>
      </c>
    </row>
    <row r="14" spans="2:25" ht="15.75" thickBot="1" x14ac:dyDescent="0.3">
      <c r="B14" s="97" t="s">
        <v>340</v>
      </c>
      <c r="C14" s="101"/>
      <c r="D14" s="93" t="str">
        <f t="array" ref="D14">INDEX(Table_Name52[Name List],MATCH(B14,Table_Name52[Category],0))</f>
        <v>Rear_or_Side_Delts[Exercise]</v>
      </c>
      <c r="E14" s="74" t="e">
        <f t="array" ref="E14">INDEX(Links73[Link],MATCH(C14,Links73[Exercise],0))</f>
        <v>#N/A</v>
      </c>
      <c r="F14" s="107" t="e">
        <f t="shared" si="0"/>
        <v>#N/A</v>
      </c>
      <c r="G14" s="110"/>
      <c r="H14" s="88">
        <f t="shared" si="1"/>
        <v>0</v>
      </c>
      <c r="I14" s="76">
        <v>2</v>
      </c>
      <c r="J14" s="76">
        <f>MROUND(((G14)),5)</f>
        <v>0</v>
      </c>
      <c r="K14" s="76" t="s">
        <v>11</v>
      </c>
      <c r="L14" s="76" t="s">
        <v>0</v>
      </c>
      <c r="M14" s="77"/>
      <c r="N14" s="75">
        <f t="shared" si="2"/>
        <v>0</v>
      </c>
      <c r="O14" s="76">
        <f>I14+(M28)</f>
        <v>2</v>
      </c>
      <c r="P14" s="76">
        <f t="shared" si="3"/>
        <v>0</v>
      </c>
      <c r="Q14" s="76" t="s">
        <v>11</v>
      </c>
      <c r="R14" s="76"/>
      <c r="S14" s="78"/>
      <c r="T14" s="75">
        <f>C14</f>
        <v>0</v>
      </c>
      <c r="U14" s="76">
        <v>2</v>
      </c>
      <c r="V14" s="79">
        <f>J14</f>
        <v>0</v>
      </c>
      <c r="W14" s="77" t="s">
        <v>14</v>
      </c>
    </row>
    <row r="15" spans="2:25" ht="15.75" thickBot="1" x14ac:dyDescent="0.3">
      <c r="B15" s="98" t="s">
        <v>77</v>
      </c>
      <c r="C15" s="102"/>
      <c r="D15" s="94" t="str">
        <f t="array" ref="D15">INDEX(Table_Name52[Name List],MATCH(B15,Table_Name52[Category],0))</f>
        <v>Abs[Exercise]</v>
      </c>
      <c r="E15" s="80" t="e">
        <f t="array" ref="E15">INDEX(Links73[Link],MATCH(C15,Links73[Exercise],0))</f>
        <v>#N/A</v>
      </c>
      <c r="F15" s="108" t="e">
        <f t="shared" si="0"/>
        <v>#N/A</v>
      </c>
      <c r="G15" s="111"/>
      <c r="H15" s="138">
        <f t="shared" si="1"/>
        <v>0</v>
      </c>
      <c r="I15" s="82">
        <v>2</v>
      </c>
      <c r="J15" s="82">
        <f>MROUND(((G15)),5)</f>
        <v>0</v>
      </c>
      <c r="K15" s="82" t="s">
        <v>11</v>
      </c>
      <c r="L15" s="82"/>
      <c r="M15" s="64"/>
      <c r="N15" s="81">
        <f t="shared" si="2"/>
        <v>0</v>
      </c>
      <c r="O15" s="82">
        <f>I15+(M29)</f>
        <v>2</v>
      </c>
      <c r="P15" s="82">
        <f t="shared" si="3"/>
        <v>0</v>
      </c>
      <c r="Q15" s="82" t="s">
        <v>11</v>
      </c>
      <c r="R15" s="82"/>
      <c r="S15" s="78"/>
      <c r="T15" s="81">
        <f>C15</f>
        <v>0</v>
      </c>
      <c r="U15" s="82">
        <v>2</v>
      </c>
      <c r="V15" s="84">
        <f>J15</f>
        <v>0</v>
      </c>
      <c r="W15" s="64" t="s">
        <v>14</v>
      </c>
    </row>
    <row r="16" spans="2:25" s="43" customFormat="1" ht="19.5" thickBot="1" x14ac:dyDescent="0.3">
      <c r="B16" s="86" t="s">
        <v>337</v>
      </c>
      <c r="C16" s="57"/>
      <c r="D16" s="57"/>
      <c r="E16" s="85"/>
      <c r="F16" s="56"/>
      <c r="G16" s="62"/>
      <c r="H16" s="168" t="s">
        <v>1</v>
      </c>
      <c r="I16" s="169"/>
      <c r="J16" s="169"/>
      <c r="K16" s="169"/>
      <c r="L16" s="169"/>
      <c r="M16" s="170"/>
      <c r="N16" s="171" t="s">
        <v>2</v>
      </c>
      <c r="O16" s="172"/>
      <c r="P16" s="172"/>
      <c r="Q16" s="172"/>
      <c r="R16" s="172"/>
      <c r="S16" s="173"/>
      <c r="T16" s="180" t="s">
        <v>355</v>
      </c>
      <c r="U16" s="181"/>
      <c r="V16" s="181"/>
      <c r="W16" s="182"/>
    </row>
    <row r="17" spans="2:23" s="43" customFormat="1" ht="15.75" thickBot="1" x14ac:dyDescent="0.3">
      <c r="B17" s="37"/>
      <c r="C17" s="57"/>
      <c r="D17" s="57"/>
      <c r="E17" s="85"/>
      <c r="F17" s="56"/>
      <c r="G17" s="57"/>
      <c r="H17" s="65" t="s">
        <v>88</v>
      </c>
      <c r="I17" s="66" t="s">
        <v>6</v>
      </c>
      <c r="J17" s="67" t="s">
        <v>7</v>
      </c>
      <c r="K17" s="68" t="s">
        <v>8</v>
      </c>
      <c r="L17" s="68" t="s">
        <v>9</v>
      </c>
      <c r="M17" s="69" t="s">
        <v>10</v>
      </c>
      <c r="N17" s="70" t="s">
        <v>88</v>
      </c>
      <c r="O17" s="70" t="s">
        <v>6</v>
      </c>
      <c r="P17" s="67" t="s">
        <v>7</v>
      </c>
      <c r="Q17" s="68" t="s">
        <v>8</v>
      </c>
      <c r="R17" s="68" t="s">
        <v>9</v>
      </c>
      <c r="S17" s="69" t="s">
        <v>10</v>
      </c>
      <c r="T17" s="70" t="s">
        <v>88</v>
      </c>
      <c r="U17" s="70" t="s">
        <v>6</v>
      </c>
      <c r="V17" s="67" t="s">
        <v>7</v>
      </c>
      <c r="W17" s="71" t="s">
        <v>8</v>
      </c>
    </row>
    <row r="18" spans="2:23" s="43" customFormat="1" ht="15.75" thickBot="1" x14ac:dyDescent="0.3">
      <c r="B18" s="95" t="s">
        <v>345</v>
      </c>
      <c r="C18" s="99" t="s">
        <v>86</v>
      </c>
      <c r="D18" s="91"/>
      <c r="E18" s="91"/>
      <c r="F18" s="99" t="s">
        <v>356</v>
      </c>
      <c r="G18" s="99" t="s">
        <v>357</v>
      </c>
      <c r="H18" s="68" t="s">
        <v>86</v>
      </c>
      <c r="I18" s="72"/>
      <c r="J18" s="72"/>
      <c r="K18" s="72"/>
      <c r="L18" s="72"/>
      <c r="M18" s="73"/>
      <c r="N18" s="65" t="s">
        <v>86</v>
      </c>
      <c r="O18" s="72"/>
      <c r="P18" s="72"/>
      <c r="Q18" s="72"/>
      <c r="R18" s="72"/>
      <c r="S18" s="73"/>
      <c r="T18" s="65" t="s">
        <v>86</v>
      </c>
      <c r="U18" s="72"/>
      <c r="V18" s="72"/>
      <c r="W18" s="73"/>
    </row>
    <row r="19" spans="2:23" s="43" customFormat="1" ht="15.75" thickBot="1" x14ac:dyDescent="0.3">
      <c r="B19" s="96" t="s">
        <v>20</v>
      </c>
      <c r="C19" s="100"/>
      <c r="D19" s="92" t="str">
        <f t="array" ref="D19">INDEX(Table_Name52[Name List],MATCH(B19,Table_Name52[Category],0))</f>
        <v>Quads[Exercise]</v>
      </c>
      <c r="E19" s="90" t="e">
        <f t="array" ref="E19">INDEX(Links73[Link],MATCH(C19,Links73[Exercise],0))</f>
        <v>#N/A</v>
      </c>
      <c r="F19" s="106" t="e">
        <f t="shared" ref="F19:F21" si="4">HYPERLINK(E19,"Video")</f>
        <v>#N/A</v>
      </c>
      <c r="G19" s="109"/>
      <c r="H19" s="88">
        <f t="shared" ref="H19:H21" si="5">C19</f>
        <v>0</v>
      </c>
      <c r="I19" s="76">
        <v>3</v>
      </c>
      <c r="J19" s="76">
        <f>MROUND(((G19)),5)</f>
        <v>0</v>
      </c>
      <c r="K19" s="76" t="s">
        <v>11</v>
      </c>
      <c r="L19" s="76"/>
      <c r="M19" s="77"/>
      <c r="N19" s="88">
        <f t="shared" ref="N19:N21" si="6">C19</f>
        <v>0</v>
      </c>
      <c r="O19" s="76">
        <f>I19+(M35)</f>
        <v>3</v>
      </c>
      <c r="P19" s="76">
        <f t="shared" ref="P19:P21" si="7">MROUND((J19*1.05),5)</f>
        <v>0</v>
      </c>
      <c r="Q19" s="76" t="s">
        <v>11</v>
      </c>
      <c r="R19" s="76"/>
      <c r="S19" s="78"/>
      <c r="T19" s="75">
        <f>C19</f>
        <v>0</v>
      </c>
      <c r="U19" s="76">
        <v>2</v>
      </c>
      <c r="V19" s="79">
        <f>J19</f>
        <v>0</v>
      </c>
      <c r="W19" s="77" t="s">
        <v>14</v>
      </c>
    </row>
    <row r="20" spans="2:23" s="43" customFormat="1" ht="15.75" thickBot="1" x14ac:dyDescent="0.3">
      <c r="B20" s="97" t="s">
        <v>106</v>
      </c>
      <c r="C20" s="101"/>
      <c r="D20" s="93" t="str">
        <f t="array" ref="D20">INDEX(Table_Name52[Name List],MATCH(B20,Table_Name52[Category],0))</f>
        <v>Hamstrings_Isolation[Exercise]</v>
      </c>
      <c r="E20" s="74" t="e">
        <f t="array" ref="E20">INDEX(Links73[Link],MATCH(C20,Links73[Exercise],0))</f>
        <v>#N/A</v>
      </c>
      <c r="F20" s="107" t="e">
        <f t="shared" si="4"/>
        <v>#N/A</v>
      </c>
      <c r="G20" s="110"/>
      <c r="H20" s="88">
        <f t="shared" si="5"/>
        <v>0</v>
      </c>
      <c r="I20" s="76">
        <v>3</v>
      </c>
      <c r="J20" s="76">
        <f>MROUND(((G20)),5)</f>
        <v>0</v>
      </c>
      <c r="K20" s="76" t="s">
        <v>11</v>
      </c>
      <c r="L20" s="76"/>
      <c r="M20" s="77"/>
      <c r="N20" s="88">
        <f t="shared" si="6"/>
        <v>0</v>
      </c>
      <c r="O20" s="76">
        <f>I20+(M34)</f>
        <v>3</v>
      </c>
      <c r="P20" s="76">
        <f t="shared" si="7"/>
        <v>0</v>
      </c>
      <c r="Q20" s="76" t="s">
        <v>11</v>
      </c>
      <c r="R20" s="76"/>
      <c r="S20" s="78"/>
      <c r="T20" s="75">
        <f>C20</f>
        <v>0</v>
      </c>
      <c r="U20" s="76">
        <v>2</v>
      </c>
      <c r="V20" s="79">
        <f>J20</f>
        <v>0</v>
      </c>
      <c r="W20" s="77" t="s">
        <v>14</v>
      </c>
    </row>
    <row r="21" spans="2:23" s="43" customFormat="1" ht="15.75" thickBot="1" x14ac:dyDescent="0.3">
      <c r="B21" s="98" t="s">
        <v>19</v>
      </c>
      <c r="C21" s="102"/>
      <c r="D21" s="94" t="str">
        <f t="array" ref="D21">INDEX(Table_Name52[Name List],MATCH(B21,Table_Name52[Category],0))</f>
        <v>Calves[Exercise]</v>
      </c>
      <c r="E21" s="80" t="e">
        <f t="array" ref="E21">INDEX(Links73[Link],MATCH(C21,Links73[Exercise],0))</f>
        <v>#N/A</v>
      </c>
      <c r="F21" s="108" t="e">
        <f t="shared" si="4"/>
        <v>#N/A</v>
      </c>
      <c r="G21" s="111"/>
      <c r="H21" s="138">
        <f t="shared" si="5"/>
        <v>0</v>
      </c>
      <c r="I21" s="82">
        <v>5</v>
      </c>
      <c r="J21" s="82">
        <f>MROUND(((G21)),5)</f>
        <v>0</v>
      </c>
      <c r="K21" s="82" t="s">
        <v>11</v>
      </c>
      <c r="L21" s="82"/>
      <c r="M21" s="64"/>
      <c r="N21" s="81">
        <f t="shared" si="6"/>
        <v>0</v>
      </c>
      <c r="O21" s="82">
        <f>I21+(M36)</f>
        <v>5</v>
      </c>
      <c r="P21" s="82">
        <f t="shared" si="7"/>
        <v>0</v>
      </c>
      <c r="Q21" s="82" t="s">
        <v>11</v>
      </c>
      <c r="R21" s="82"/>
      <c r="S21" s="78"/>
      <c r="T21" s="81">
        <f>C21</f>
        <v>0</v>
      </c>
      <c r="U21" s="82">
        <v>2</v>
      </c>
      <c r="V21" s="84">
        <f>J21</f>
        <v>0</v>
      </c>
      <c r="W21" s="64" t="s">
        <v>14</v>
      </c>
    </row>
    <row r="22" spans="2:23" s="43" customFormat="1" ht="19.5" thickBot="1" x14ac:dyDescent="0.3">
      <c r="B22" s="86" t="s">
        <v>346</v>
      </c>
      <c r="C22" s="57"/>
      <c r="D22" s="57"/>
      <c r="E22" s="85"/>
      <c r="F22" s="56"/>
      <c r="G22" s="62"/>
      <c r="H22" s="168" t="s">
        <v>1</v>
      </c>
      <c r="I22" s="169"/>
      <c r="J22" s="169"/>
      <c r="K22" s="169"/>
      <c r="L22" s="169"/>
      <c r="M22" s="170"/>
      <c r="N22" s="171" t="s">
        <v>2</v>
      </c>
      <c r="O22" s="172"/>
      <c r="P22" s="172"/>
      <c r="Q22" s="172"/>
      <c r="R22" s="172"/>
      <c r="S22" s="173"/>
      <c r="T22" s="180" t="s">
        <v>355</v>
      </c>
      <c r="U22" s="181"/>
      <c r="V22" s="181"/>
      <c r="W22" s="182"/>
    </row>
    <row r="23" spans="2:23" s="43" customFormat="1" ht="15.75" thickBot="1" x14ac:dyDescent="0.3">
      <c r="B23" s="37"/>
      <c r="C23" s="57"/>
      <c r="D23" s="57"/>
      <c r="E23" s="85"/>
      <c r="F23" s="56"/>
      <c r="G23" s="57"/>
      <c r="H23" s="89" t="s">
        <v>88</v>
      </c>
      <c r="I23" s="70" t="s">
        <v>6</v>
      </c>
      <c r="J23" s="67" t="s">
        <v>7</v>
      </c>
      <c r="K23" s="68" t="s">
        <v>8</v>
      </c>
      <c r="L23" s="68" t="s">
        <v>9</v>
      </c>
      <c r="M23" s="69" t="s">
        <v>10</v>
      </c>
      <c r="N23" s="70" t="s">
        <v>88</v>
      </c>
      <c r="O23" s="70" t="s">
        <v>6</v>
      </c>
      <c r="P23" s="67" t="s">
        <v>7</v>
      </c>
      <c r="Q23" s="68" t="s">
        <v>8</v>
      </c>
      <c r="R23" s="68" t="s">
        <v>9</v>
      </c>
      <c r="S23" s="69" t="s">
        <v>10</v>
      </c>
      <c r="T23" s="70" t="s">
        <v>88</v>
      </c>
      <c r="U23" s="70" t="s">
        <v>6</v>
      </c>
      <c r="V23" s="67" t="s">
        <v>7</v>
      </c>
      <c r="W23" s="71" t="s">
        <v>8</v>
      </c>
    </row>
    <row r="24" spans="2:23" s="43" customFormat="1" ht="15.75" thickBot="1" x14ac:dyDescent="0.3">
      <c r="B24" s="95" t="s">
        <v>347</v>
      </c>
      <c r="C24" s="99" t="s">
        <v>103</v>
      </c>
      <c r="D24" s="91"/>
      <c r="E24" s="91"/>
      <c r="F24" s="99" t="s">
        <v>356</v>
      </c>
      <c r="G24" s="99" t="s">
        <v>357</v>
      </c>
      <c r="H24" s="68" t="s">
        <v>103</v>
      </c>
      <c r="I24" s="72"/>
      <c r="J24" s="72"/>
      <c r="K24" s="72"/>
      <c r="L24" s="72"/>
      <c r="M24" s="73"/>
      <c r="N24" s="65" t="s">
        <v>103</v>
      </c>
      <c r="O24" s="72"/>
      <c r="P24" s="72"/>
      <c r="Q24" s="72"/>
      <c r="R24" s="72"/>
      <c r="S24" s="73"/>
      <c r="T24" s="65" t="s">
        <v>103</v>
      </c>
      <c r="U24" s="72"/>
      <c r="V24" s="72"/>
      <c r="W24" s="73"/>
    </row>
    <row r="25" spans="2:23" s="43" customFormat="1" ht="15.75" thickBot="1" x14ac:dyDescent="0.3">
      <c r="B25" s="96" t="s">
        <v>339</v>
      </c>
      <c r="C25" s="100"/>
      <c r="D25" s="92" t="str">
        <f t="array" ref="D25">INDEX(Table_Name52[Name List],MATCH(B25,Table_Name52[Category],0))</f>
        <v>Vertical_Back[Exercise]</v>
      </c>
      <c r="E25" s="90" t="e">
        <f t="array" ref="E25">INDEX(Links73[Link],MATCH(C25,Links73[Exercise],0))</f>
        <v>#N/A</v>
      </c>
      <c r="F25" s="106" t="e">
        <f t="shared" ref="F25:F29" si="8">HYPERLINK(E25,"Video")</f>
        <v>#N/A</v>
      </c>
      <c r="G25" s="109"/>
      <c r="H25" s="88">
        <f t="shared" ref="H25:H29" si="9">C25</f>
        <v>0</v>
      </c>
      <c r="I25" s="76">
        <v>3</v>
      </c>
      <c r="J25" s="76">
        <f>MROUND(((G25)),5)</f>
        <v>0</v>
      </c>
      <c r="K25" s="76" t="s">
        <v>11</v>
      </c>
      <c r="L25" s="76"/>
      <c r="M25" s="78"/>
      <c r="N25" s="88">
        <f t="shared" ref="N25:N29" si="10">C25</f>
        <v>0</v>
      </c>
      <c r="O25" s="76">
        <f>I25+(M44)</f>
        <v>3</v>
      </c>
      <c r="P25" s="76">
        <f t="shared" ref="P25:P29" si="11">MROUND((J25*1.05),5)</f>
        <v>0</v>
      </c>
      <c r="Q25" s="76" t="s">
        <v>11</v>
      </c>
      <c r="R25" s="76"/>
      <c r="S25" s="78"/>
      <c r="T25" s="75">
        <f>C25</f>
        <v>0</v>
      </c>
      <c r="U25" s="76">
        <v>2</v>
      </c>
      <c r="V25" s="79">
        <f>J25</f>
        <v>0</v>
      </c>
      <c r="W25" s="77" t="s">
        <v>14</v>
      </c>
    </row>
    <row r="26" spans="2:23" s="43" customFormat="1" ht="15.75" thickBot="1" x14ac:dyDescent="0.3">
      <c r="B26" s="97" t="s">
        <v>338</v>
      </c>
      <c r="C26" s="101"/>
      <c r="D26" s="93" t="str">
        <f t="array" ref="D26">INDEX(Table_Name52[Name List],MATCH(B26,Table_Name52[Category],0))</f>
        <v>Horizontal_Back[Exercise]</v>
      </c>
      <c r="E26" s="74" t="e">
        <f t="array" ref="E26">INDEX(Links73[Link],MATCH(C26,Links73[Exercise],0))</f>
        <v>#N/A</v>
      </c>
      <c r="F26" s="107" t="e">
        <f t="shared" si="8"/>
        <v>#N/A</v>
      </c>
      <c r="G26" s="110"/>
      <c r="H26" s="88">
        <f t="shared" si="9"/>
        <v>0</v>
      </c>
      <c r="I26" s="76">
        <v>2</v>
      </c>
      <c r="J26" s="76">
        <f>MROUND(((G26)),5)</f>
        <v>0</v>
      </c>
      <c r="K26" s="76" t="s">
        <v>11</v>
      </c>
      <c r="L26" s="76"/>
      <c r="M26" s="78"/>
      <c r="N26" s="88">
        <f t="shared" si="10"/>
        <v>0</v>
      </c>
      <c r="O26" s="76">
        <f>I26+(M44)</f>
        <v>2</v>
      </c>
      <c r="P26" s="76">
        <f t="shared" si="11"/>
        <v>0</v>
      </c>
      <c r="Q26" s="76" t="s">
        <v>11</v>
      </c>
      <c r="R26" s="76"/>
      <c r="S26" s="78"/>
      <c r="T26" s="75">
        <f>C26</f>
        <v>0</v>
      </c>
      <c r="U26" s="76">
        <v>2</v>
      </c>
      <c r="V26" s="79">
        <f>J26</f>
        <v>0</v>
      </c>
      <c r="W26" s="77" t="s">
        <v>14</v>
      </c>
    </row>
    <row r="27" spans="2:23" s="43" customFormat="1" ht="15.75" thickBot="1" x14ac:dyDescent="0.3">
      <c r="B27" s="97" t="s">
        <v>344</v>
      </c>
      <c r="C27" s="101"/>
      <c r="D27" s="93" t="str">
        <f t="array" ref="D27">INDEX(Table_Name52[Name List],MATCH(B27,Table_Name52[Category],0))</f>
        <v>Horizontal_Push[Exercise]</v>
      </c>
      <c r="E27" s="74" t="e">
        <f t="array" ref="E27">INDEX(Links73[Link],MATCH(C27,Links73[Exercise],0))</f>
        <v>#N/A</v>
      </c>
      <c r="F27" s="107" t="e">
        <f t="shared" si="8"/>
        <v>#N/A</v>
      </c>
      <c r="G27" s="110"/>
      <c r="H27" s="88">
        <f t="shared" si="9"/>
        <v>0</v>
      </c>
      <c r="I27" s="76">
        <v>2</v>
      </c>
      <c r="J27" s="76">
        <f>MROUND(((G27)),5)</f>
        <v>0</v>
      </c>
      <c r="K27" s="76" t="s">
        <v>11</v>
      </c>
      <c r="L27" s="76"/>
      <c r="M27" s="78"/>
      <c r="N27" s="88">
        <f t="shared" si="10"/>
        <v>0</v>
      </c>
      <c r="O27" s="76">
        <f>I27+(M45)</f>
        <v>2</v>
      </c>
      <c r="P27" s="76">
        <f t="shared" si="11"/>
        <v>0</v>
      </c>
      <c r="Q27" s="76" t="s">
        <v>11</v>
      </c>
      <c r="R27" s="76"/>
      <c r="S27" s="78"/>
      <c r="T27" s="75">
        <f>C27</f>
        <v>0</v>
      </c>
      <c r="U27" s="76">
        <v>2</v>
      </c>
      <c r="V27" s="79">
        <f>J27</f>
        <v>0</v>
      </c>
      <c r="W27" s="77" t="s">
        <v>14</v>
      </c>
    </row>
    <row r="28" spans="2:23" s="43" customFormat="1" ht="15.75" thickBot="1" x14ac:dyDescent="0.3">
      <c r="B28" s="97" t="s">
        <v>340</v>
      </c>
      <c r="C28" s="101"/>
      <c r="D28" s="93" t="str">
        <f t="array" ref="D28">INDEX(Table_Name52[Name List],MATCH(B28,Table_Name52[Category],0))</f>
        <v>Rear_or_Side_Delts[Exercise]</v>
      </c>
      <c r="E28" s="74" t="e">
        <f t="array" ref="E28">INDEX(Links73[Link],MATCH(C28,Links73[Exercise],0))</f>
        <v>#N/A</v>
      </c>
      <c r="F28" s="107" t="e">
        <f t="shared" si="8"/>
        <v>#N/A</v>
      </c>
      <c r="G28" s="110"/>
      <c r="H28" s="88">
        <f t="shared" si="9"/>
        <v>0</v>
      </c>
      <c r="I28" s="76">
        <v>2</v>
      </c>
      <c r="J28" s="76">
        <f>MROUND(((G28)),5)</f>
        <v>0</v>
      </c>
      <c r="K28" s="76" t="s">
        <v>11</v>
      </c>
      <c r="L28" s="76"/>
      <c r="M28" s="78"/>
      <c r="N28" s="88">
        <f t="shared" si="10"/>
        <v>0</v>
      </c>
      <c r="O28" s="76">
        <f>I28+(S14)</f>
        <v>2</v>
      </c>
      <c r="P28" s="76">
        <f t="shared" si="11"/>
        <v>0</v>
      </c>
      <c r="Q28" s="76" t="s">
        <v>11</v>
      </c>
      <c r="R28" s="76"/>
      <c r="S28" s="78"/>
      <c r="T28" s="75">
        <f>C28</f>
        <v>0</v>
      </c>
      <c r="U28" s="76">
        <v>2</v>
      </c>
      <c r="V28" s="79">
        <f>J28</f>
        <v>0</v>
      </c>
      <c r="W28" s="77" t="s">
        <v>14</v>
      </c>
    </row>
    <row r="29" spans="2:23" s="43" customFormat="1" ht="15.75" thickBot="1" x14ac:dyDescent="0.3">
      <c r="B29" s="98" t="s">
        <v>77</v>
      </c>
      <c r="C29" s="102"/>
      <c r="D29" s="94" t="str">
        <f t="array" ref="D29">INDEX(Table_Name52[Name List],MATCH(B29,Table_Name52[Category],0))</f>
        <v>Abs[Exercise]</v>
      </c>
      <c r="E29" s="80" t="e">
        <f t="array" ref="E29">INDEX(Links73[Link],MATCH(C29,Links73[Exercise],0))</f>
        <v>#N/A</v>
      </c>
      <c r="F29" s="108" t="e">
        <f t="shared" si="8"/>
        <v>#N/A</v>
      </c>
      <c r="G29" s="111"/>
      <c r="H29" s="138">
        <f t="shared" si="9"/>
        <v>0</v>
      </c>
      <c r="I29" s="82">
        <v>2</v>
      </c>
      <c r="J29" s="82">
        <f>MROUND(((G29)),5)</f>
        <v>0</v>
      </c>
      <c r="K29" s="82" t="s">
        <v>11</v>
      </c>
      <c r="L29" s="82"/>
      <c r="M29" s="78"/>
      <c r="N29" s="81">
        <f t="shared" si="10"/>
        <v>0</v>
      </c>
      <c r="O29" s="82">
        <f>I29+(M46)</f>
        <v>2</v>
      </c>
      <c r="P29" s="82">
        <f t="shared" si="11"/>
        <v>0</v>
      </c>
      <c r="Q29" s="82" t="s">
        <v>11</v>
      </c>
      <c r="R29" s="82"/>
      <c r="S29" s="78"/>
      <c r="T29" s="81">
        <f>C29</f>
        <v>0</v>
      </c>
      <c r="U29" s="82">
        <v>2</v>
      </c>
      <c r="V29" s="84">
        <f>J29</f>
        <v>0</v>
      </c>
      <c r="W29" s="64" t="s">
        <v>14</v>
      </c>
    </row>
    <row r="30" spans="2:23" s="43" customFormat="1" ht="19.5" thickBot="1" x14ac:dyDescent="0.3">
      <c r="B30" s="86" t="s">
        <v>348</v>
      </c>
      <c r="C30" s="57"/>
      <c r="D30" s="57"/>
      <c r="E30" s="85"/>
      <c r="F30" s="56"/>
      <c r="G30" s="62"/>
      <c r="H30" s="168" t="s">
        <v>1</v>
      </c>
      <c r="I30" s="169"/>
      <c r="J30" s="169"/>
      <c r="K30" s="169"/>
      <c r="L30" s="169"/>
      <c r="M30" s="170"/>
      <c r="N30" s="171" t="s">
        <v>2</v>
      </c>
      <c r="O30" s="172"/>
      <c r="P30" s="172"/>
      <c r="Q30" s="172"/>
      <c r="R30" s="172"/>
      <c r="S30" s="173"/>
      <c r="T30" s="180" t="s">
        <v>355</v>
      </c>
      <c r="U30" s="181"/>
      <c r="V30" s="181"/>
      <c r="W30" s="182"/>
    </row>
    <row r="31" spans="2:23" s="43" customFormat="1" ht="15.75" thickBot="1" x14ac:dyDescent="0.3">
      <c r="B31" s="37"/>
      <c r="C31" s="57"/>
      <c r="D31" s="57"/>
      <c r="E31" s="85"/>
      <c r="F31" s="56"/>
      <c r="G31" s="57"/>
      <c r="H31" s="65" t="s">
        <v>88</v>
      </c>
      <c r="I31" s="66" t="s">
        <v>6</v>
      </c>
      <c r="J31" s="67" t="s">
        <v>7</v>
      </c>
      <c r="K31" s="68" t="s">
        <v>8</v>
      </c>
      <c r="L31" s="68" t="s">
        <v>9</v>
      </c>
      <c r="M31" s="69" t="s">
        <v>10</v>
      </c>
      <c r="N31" s="70" t="s">
        <v>88</v>
      </c>
      <c r="O31" s="70" t="s">
        <v>6</v>
      </c>
      <c r="P31" s="67" t="s">
        <v>7</v>
      </c>
      <c r="Q31" s="68" t="s">
        <v>8</v>
      </c>
      <c r="R31" s="68" t="s">
        <v>9</v>
      </c>
      <c r="S31" s="69" t="s">
        <v>10</v>
      </c>
      <c r="T31" s="70" t="s">
        <v>88</v>
      </c>
      <c r="U31" s="70" t="s">
        <v>6</v>
      </c>
      <c r="V31" s="67" t="s">
        <v>7</v>
      </c>
      <c r="W31" s="71" t="s">
        <v>8</v>
      </c>
    </row>
    <row r="32" spans="2:23" s="43" customFormat="1" ht="15.75" thickBot="1" x14ac:dyDescent="0.3">
      <c r="B32" s="95" t="s">
        <v>349</v>
      </c>
      <c r="C32" s="99" t="s">
        <v>336</v>
      </c>
      <c r="D32" s="91"/>
      <c r="E32" s="91"/>
      <c r="F32" s="99" t="s">
        <v>356</v>
      </c>
      <c r="G32" s="99" t="s">
        <v>357</v>
      </c>
      <c r="H32" s="68" t="s">
        <v>336</v>
      </c>
      <c r="I32" s="72"/>
      <c r="J32" s="72"/>
      <c r="K32" s="72"/>
      <c r="L32" s="72"/>
      <c r="M32" s="73"/>
      <c r="N32" s="65" t="s">
        <v>336</v>
      </c>
      <c r="O32" s="72"/>
      <c r="P32" s="72"/>
      <c r="Q32" s="72"/>
      <c r="R32" s="72"/>
      <c r="S32" s="73"/>
      <c r="T32" s="65" t="s">
        <v>336</v>
      </c>
      <c r="U32" s="72"/>
      <c r="V32" s="72"/>
      <c r="W32" s="73"/>
    </row>
    <row r="33" spans="2:23" s="43" customFormat="1" ht="15.75" thickBot="1" x14ac:dyDescent="0.3">
      <c r="B33" s="96" t="s">
        <v>108</v>
      </c>
      <c r="C33" s="100"/>
      <c r="D33" s="92" t="str">
        <f t="array" ref="D33">INDEX(Table_Name52[Name List],MATCH(B33,Table_Name52[Category],0))</f>
        <v>Glutes[Exercise]</v>
      </c>
      <c r="E33" s="103" t="e">
        <f t="array" ref="E33">INDEX(Links73[Link],MATCH(C33,Links73[Exercise],0))</f>
        <v>#N/A</v>
      </c>
      <c r="F33" s="106" t="e">
        <f t="shared" ref="F33:F36" si="12">HYPERLINK(E33,"Video")</f>
        <v>#N/A</v>
      </c>
      <c r="G33" s="109"/>
      <c r="H33" s="88">
        <f t="shared" ref="H33:H36" si="13">C33</f>
        <v>0</v>
      </c>
      <c r="I33" s="76">
        <v>3</v>
      </c>
      <c r="J33" s="76">
        <f>MROUND(((G33)),5)</f>
        <v>0</v>
      </c>
      <c r="K33" s="76" t="s">
        <v>11</v>
      </c>
      <c r="L33" s="76"/>
      <c r="M33" s="78"/>
      <c r="N33" s="88">
        <f t="shared" ref="N33:N36" si="14">C33</f>
        <v>0</v>
      </c>
      <c r="O33" s="76">
        <f>I33+(S19)</f>
        <v>3</v>
      </c>
      <c r="P33" s="76">
        <f t="shared" ref="P33:P36" si="15">MROUND((J33*1.05),5)</f>
        <v>0</v>
      </c>
      <c r="Q33" s="76" t="s">
        <v>11</v>
      </c>
      <c r="R33" s="76"/>
      <c r="S33" s="78"/>
      <c r="T33" s="75">
        <f>C33</f>
        <v>0</v>
      </c>
      <c r="U33" s="76">
        <v>2</v>
      </c>
      <c r="V33" s="79">
        <f>MROUND((J33*0.5),5)</f>
        <v>0</v>
      </c>
      <c r="W33" s="77" t="s">
        <v>14</v>
      </c>
    </row>
    <row r="34" spans="2:23" s="43" customFormat="1" ht="15.75" thickBot="1" x14ac:dyDescent="0.3">
      <c r="B34" s="97" t="s">
        <v>107</v>
      </c>
      <c r="C34" s="101"/>
      <c r="D34" s="93" t="str">
        <f t="array" ref="D34">INDEX(Table_Name52[Name List],MATCH(B34,Table_Name52[Category],0))</f>
        <v>Hamstrings_Hip_Hinge[Exercise]</v>
      </c>
      <c r="E34" s="104" t="e">
        <f t="array" ref="E34">INDEX(Links73[Link],MATCH(C34,Links73[Exercise],0))</f>
        <v>#N/A</v>
      </c>
      <c r="F34" s="107" t="e">
        <f t="shared" si="12"/>
        <v>#N/A</v>
      </c>
      <c r="G34" s="110"/>
      <c r="H34" s="88">
        <f t="shared" si="13"/>
        <v>0</v>
      </c>
      <c r="I34" s="76">
        <v>3</v>
      </c>
      <c r="J34" s="76">
        <f>MROUND(((G34)),5)</f>
        <v>0</v>
      </c>
      <c r="K34" s="76" t="s">
        <v>11</v>
      </c>
      <c r="L34" s="76"/>
      <c r="M34" s="78"/>
      <c r="N34" s="88">
        <f t="shared" si="14"/>
        <v>0</v>
      </c>
      <c r="O34" s="76">
        <f>I34+(S20)</f>
        <v>3</v>
      </c>
      <c r="P34" s="76">
        <f t="shared" si="15"/>
        <v>0</v>
      </c>
      <c r="Q34" s="76" t="s">
        <v>11</v>
      </c>
      <c r="R34" s="76"/>
      <c r="S34" s="78"/>
      <c r="T34" s="75">
        <f>C34</f>
        <v>0</v>
      </c>
      <c r="U34" s="76">
        <v>2</v>
      </c>
      <c r="V34" s="79">
        <f>MROUND((J34*0.5),5)</f>
        <v>0</v>
      </c>
      <c r="W34" s="77" t="s">
        <v>14</v>
      </c>
    </row>
    <row r="35" spans="2:23" s="43" customFormat="1" ht="15.75" thickBot="1" x14ac:dyDescent="0.3">
      <c r="B35" s="97" t="s">
        <v>20</v>
      </c>
      <c r="C35" s="101"/>
      <c r="D35" s="93" t="str">
        <f t="array" ref="D35">INDEX(Table_Name52[Name List],MATCH(B35,Table_Name52[Category],0))</f>
        <v>Quads[Exercise]</v>
      </c>
      <c r="E35" s="104" t="e">
        <f t="array" ref="E35">INDEX(Links73[Link],MATCH(C35,Links73[Exercise],0))</f>
        <v>#N/A</v>
      </c>
      <c r="F35" s="107" t="e">
        <f t="shared" si="12"/>
        <v>#N/A</v>
      </c>
      <c r="G35" s="110"/>
      <c r="H35" s="88">
        <f t="shared" si="13"/>
        <v>0</v>
      </c>
      <c r="I35" s="76">
        <v>3</v>
      </c>
      <c r="J35" s="76">
        <f>MROUND(((G35)),5)</f>
        <v>0</v>
      </c>
      <c r="K35" s="76" t="s">
        <v>11</v>
      </c>
      <c r="L35" s="76"/>
      <c r="M35" s="78"/>
      <c r="N35" s="88">
        <f t="shared" si="14"/>
        <v>0</v>
      </c>
      <c r="O35" s="76">
        <f>I35+(S19)</f>
        <v>3</v>
      </c>
      <c r="P35" s="76">
        <f t="shared" si="15"/>
        <v>0</v>
      </c>
      <c r="Q35" s="76" t="s">
        <v>11</v>
      </c>
      <c r="R35" s="76"/>
      <c r="S35" s="78"/>
      <c r="T35" s="75">
        <f>C35</f>
        <v>0</v>
      </c>
      <c r="U35" s="76">
        <v>2</v>
      </c>
      <c r="V35" s="79">
        <f>MROUND((J35*0.5),5)</f>
        <v>0</v>
      </c>
      <c r="W35" s="77" t="s">
        <v>14</v>
      </c>
    </row>
    <row r="36" spans="2:23" s="43" customFormat="1" ht="15.75" thickBot="1" x14ac:dyDescent="0.3">
      <c r="B36" s="98" t="s">
        <v>19</v>
      </c>
      <c r="C36" s="102"/>
      <c r="D36" s="94" t="str">
        <f t="array" ref="D36">INDEX(Table_Name52[Name List],MATCH(B36,Table_Name52[Category],0))</f>
        <v>Calves[Exercise]</v>
      </c>
      <c r="E36" s="105" t="e">
        <f t="array" ref="E36">INDEX(Links73[Link],MATCH(C36,Links73[Exercise],0))</f>
        <v>#N/A</v>
      </c>
      <c r="F36" s="108" t="e">
        <f t="shared" si="12"/>
        <v>#N/A</v>
      </c>
      <c r="G36" s="111"/>
      <c r="H36" s="138">
        <f t="shared" si="13"/>
        <v>0</v>
      </c>
      <c r="I36" s="82">
        <v>5</v>
      </c>
      <c r="J36" s="82">
        <f>MROUND(((G36)),5)</f>
        <v>0</v>
      </c>
      <c r="K36" s="82" t="s">
        <v>11</v>
      </c>
      <c r="L36" s="82"/>
      <c r="M36" s="78"/>
      <c r="N36" s="81">
        <f t="shared" si="14"/>
        <v>0</v>
      </c>
      <c r="O36" s="82">
        <f>I36+(S21)</f>
        <v>5</v>
      </c>
      <c r="P36" s="82">
        <f t="shared" si="15"/>
        <v>0</v>
      </c>
      <c r="Q36" s="82" t="s">
        <v>11</v>
      </c>
      <c r="R36" s="82"/>
      <c r="S36" s="78"/>
      <c r="T36" s="81">
        <f>C36</f>
        <v>0</v>
      </c>
      <c r="U36" s="82">
        <v>2</v>
      </c>
      <c r="V36" s="84">
        <f>MROUND((J36*0.5),5)</f>
        <v>0</v>
      </c>
      <c r="W36" s="64" t="s">
        <v>14</v>
      </c>
    </row>
    <row r="37" spans="2:23" s="43" customFormat="1" ht="19.5" thickBot="1" x14ac:dyDescent="0.3">
      <c r="B37" s="86" t="s">
        <v>350</v>
      </c>
      <c r="C37" s="57"/>
      <c r="D37" s="57"/>
      <c r="E37" s="85"/>
      <c r="F37" s="56"/>
      <c r="G37" s="62"/>
      <c r="H37" s="168" t="s">
        <v>1</v>
      </c>
      <c r="I37" s="169"/>
      <c r="J37" s="169"/>
      <c r="K37" s="169"/>
      <c r="L37" s="169"/>
      <c r="M37" s="170"/>
      <c r="N37" s="171" t="s">
        <v>2</v>
      </c>
      <c r="O37" s="172"/>
      <c r="P37" s="172"/>
      <c r="Q37" s="172"/>
      <c r="R37" s="172"/>
      <c r="S37" s="173"/>
      <c r="T37" s="180" t="s">
        <v>355</v>
      </c>
      <c r="U37" s="181"/>
      <c r="V37" s="181"/>
      <c r="W37" s="182"/>
    </row>
    <row r="38" spans="2:23" s="43" customFormat="1" ht="15.75" thickBot="1" x14ac:dyDescent="0.3">
      <c r="B38" s="37"/>
      <c r="C38" s="57"/>
      <c r="D38" s="57"/>
      <c r="E38" s="85"/>
      <c r="F38" s="56"/>
      <c r="G38" s="57"/>
      <c r="H38" s="65" t="s">
        <v>88</v>
      </c>
      <c r="I38" s="66" t="s">
        <v>6</v>
      </c>
      <c r="J38" s="67" t="s">
        <v>7</v>
      </c>
      <c r="K38" s="68" t="s">
        <v>8</v>
      </c>
      <c r="L38" s="68" t="s">
        <v>9</v>
      </c>
      <c r="M38" s="69" t="s">
        <v>10</v>
      </c>
      <c r="N38" s="70" t="s">
        <v>88</v>
      </c>
      <c r="O38" s="70" t="s">
        <v>6</v>
      </c>
      <c r="P38" s="67" t="s">
        <v>7</v>
      </c>
      <c r="Q38" s="68" t="s">
        <v>8</v>
      </c>
      <c r="R38" s="68" t="s">
        <v>9</v>
      </c>
      <c r="S38" s="69" t="s">
        <v>10</v>
      </c>
      <c r="T38" s="70" t="s">
        <v>88</v>
      </c>
      <c r="U38" s="70" t="s">
        <v>6</v>
      </c>
      <c r="V38" s="67" t="s">
        <v>7</v>
      </c>
      <c r="W38" s="71" t="s">
        <v>8</v>
      </c>
    </row>
    <row r="39" spans="2:23" s="43" customFormat="1" ht="15.75" thickBot="1" x14ac:dyDescent="0.3">
      <c r="B39" s="95" t="s">
        <v>351</v>
      </c>
      <c r="C39" s="99" t="s">
        <v>341</v>
      </c>
      <c r="D39" s="91"/>
      <c r="E39" s="91"/>
      <c r="F39" s="99" t="s">
        <v>356</v>
      </c>
      <c r="G39" s="99" t="s">
        <v>357</v>
      </c>
      <c r="H39" s="68" t="s">
        <v>341</v>
      </c>
      <c r="I39" s="72"/>
      <c r="J39" s="72"/>
      <c r="K39" s="72"/>
      <c r="L39" s="72"/>
      <c r="M39" s="73"/>
      <c r="N39" s="65" t="s">
        <v>341</v>
      </c>
      <c r="O39" s="72"/>
      <c r="P39" s="72"/>
      <c r="Q39" s="72"/>
      <c r="R39" s="72"/>
      <c r="S39" s="73"/>
      <c r="T39" s="65" t="s">
        <v>341</v>
      </c>
      <c r="U39" s="72"/>
      <c r="V39" s="72"/>
      <c r="W39" s="73"/>
    </row>
    <row r="40" spans="2:23" s="43" customFormat="1" ht="15.75" thickBot="1" x14ac:dyDescent="0.3">
      <c r="B40" s="96" t="s">
        <v>18</v>
      </c>
      <c r="C40" s="100"/>
      <c r="D40" s="92" t="str">
        <f t="array" ref="D40">INDEX(Table_Name52[Name List],MATCH(B40,Table_Name52[Category],0))</f>
        <v>Biceps[Exercise]</v>
      </c>
      <c r="E40" s="90" t="e">
        <f t="array" ref="E40">INDEX(Links73[Link],MATCH(C40,Links73[Exercise],0))</f>
        <v>#N/A</v>
      </c>
      <c r="F40" s="106" t="e">
        <f t="shared" ref="F40:F46" si="16">HYPERLINK(E40,"Video")</f>
        <v>#N/A</v>
      </c>
      <c r="G40" s="109"/>
      <c r="H40" s="88">
        <f t="shared" ref="H40:H46" si="17">C40</f>
        <v>0</v>
      </c>
      <c r="I40" s="76">
        <v>3</v>
      </c>
      <c r="J40" s="76">
        <f t="shared" ref="J40:J46" si="18">MROUND(((G40)),5)</f>
        <v>0</v>
      </c>
      <c r="K40" s="76" t="s">
        <v>11</v>
      </c>
      <c r="L40" s="76"/>
      <c r="M40" s="78"/>
      <c r="N40" s="88">
        <f t="shared" ref="N40:N46" si="19">C40</f>
        <v>0</v>
      </c>
      <c r="O40" s="76">
        <f>I40+(S13)</f>
        <v>3</v>
      </c>
      <c r="P40" s="76">
        <f t="shared" ref="P40:P46" si="20">MROUND((J40*1.05),5)</f>
        <v>0</v>
      </c>
      <c r="Q40" s="76" t="s">
        <v>11</v>
      </c>
      <c r="R40" s="76"/>
      <c r="S40" s="78"/>
      <c r="T40" s="75">
        <f t="shared" ref="T40:T46" si="21">C40</f>
        <v>0</v>
      </c>
      <c r="U40" s="76">
        <v>2</v>
      </c>
      <c r="V40" s="79">
        <f t="shared" ref="V40:V46" si="22">MROUND((J40*0.5),5)</f>
        <v>0</v>
      </c>
      <c r="W40" s="77" t="s">
        <v>14</v>
      </c>
    </row>
    <row r="41" spans="2:23" s="43" customFormat="1" ht="15.75" thickBot="1" x14ac:dyDescent="0.3">
      <c r="B41" s="97" t="s">
        <v>17</v>
      </c>
      <c r="C41" s="101"/>
      <c r="D41" s="93" t="str">
        <f t="array" ref="D41">INDEX(Table_Name52[Name List],MATCH(B41,Table_Name52[Category],0))</f>
        <v>Triceps[Exercise]</v>
      </c>
      <c r="E41" s="74" t="e">
        <f t="array" ref="E41">INDEX(Links73[Link],MATCH(C41,Links73[Exercise],0))</f>
        <v>#N/A</v>
      </c>
      <c r="F41" s="107" t="e">
        <f t="shared" si="16"/>
        <v>#N/A</v>
      </c>
      <c r="G41" s="110"/>
      <c r="H41" s="88">
        <f t="shared" si="17"/>
        <v>0</v>
      </c>
      <c r="I41" s="76">
        <v>3</v>
      </c>
      <c r="J41" s="76">
        <f t="shared" si="18"/>
        <v>0</v>
      </c>
      <c r="K41" s="76" t="s">
        <v>11</v>
      </c>
      <c r="L41" s="76"/>
      <c r="M41" s="78"/>
      <c r="N41" s="88">
        <f t="shared" si="19"/>
        <v>0</v>
      </c>
      <c r="O41" s="76">
        <f>I41+(S11)</f>
        <v>3</v>
      </c>
      <c r="P41" s="76">
        <f t="shared" si="20"/>
        <v>0</v>
      </c>
      <c r="Q41" s="76" t="s">
        <v>11</v>
      </c>
      <c r="R41" s="76"/>
      <c r="S41" s="78"/>
      <c r="T41" s="75">
        <f t="shared" si="21"/>
        <v>0</v>
      </c>
      <c r="U41" s="76">
        <v>2</v>
      </c>
      <c r="V41" s="79">
        <f t="shared" si="22"/>
        <v>0</v>
      </c>
      <c r="W41" s="77" t="s">
        <v>14</v>
      </c>
    </row>
    <row r="42" spans="2:23" s="43" customFormat="1" ht="15.75" thickBot="1" x14ac:dyDescent="0.3">
      <c r="B42" s="97" t="s">
        <v>104</v>
      </c>
      <c r="C42" s="101"/>
      <c r="D42" s="93" t="str">
        <f t="array" ref="D42">INDEX(Table_Name52[Name List],MATCH(B42,Table_Name52[Category],0))</f>
        <v>Front_Delts[Exercise]</v>
      </c>
      <c r="E42" s="74" t="e">
        <f t="array" ref="E42">INDEX(Links73[Link],MATCH(C42,Links73[Exercise],0))</f>
        <v>#N/A</v>
      </c>
      <c r="F42" s="107" t="e">
        <f t="shared" si="16"/>
        <v>#N/A</v>
      </c>
      <c r="G42" s="110"/>
      <c r="H42" s="88">
        <f t="shared" si="17"/>
        <v>0</v>
      </c>
      <c r="I42" s="76">
        <v>3</v>
      </c>
      <c r="J42" s="76">
        <f t="shared" si="18"/>
        <v>0</v>
      </c>
      <c r="K42" s="76" t="s">
        <v>11</v>
      </c>
      <c r="L42" s="76"/>
      <c r="M42" s="78"/>
      <c r="N42" s="88">
        <f t="shared" si="19"/>
        <v>0</v>
      </c>
      <c r="O42" s="76">
        <f>I42+(S11)</f>
        <v>3</v>
      </c>
      <c r="P42" s="76">
        <f t="shared" si="20"/>
        <v>0</v>
      </c>
      <c r="Q42" s="76" t="s">
        <v>11</v>
      </c>
      <c r="R42" s="76"/>
      <c r="S42" s="78"/>
      <c r="T42" s="75">
        <f t="shared" si="21"/>
        <v>0</v>
      </c>
      <c r="U42" s="76">
        <v>2</v>
      </c>
      <c r="V42" s="79">
        <f t="shared" si="22"/>
        <v>0</v>
      </c>
      <c r="W42" s="77" t="s">
        <v>14</v>
      </c>
    </row>
    <row r="43" spans="2:23" s="43" customFormat="1" ht="15.75" thickBot="1" x14ac:dyDescent="0.3">
      <c r="B43" s="97" t="s">
        <v>120</v>
      </c>
      <c r="C43" s="101"/>
      <c r="D43" s="93" t="str">
        <f t="array" ref="D43">INDEX(Table_Name52[Name List],MATCH(B43,Table_Name52[Category],0))</f>
        <v>Traps[Exercise]</v>
      </c>
      <c r="E43" s="74" t="e">
        <f t="array" ref="E43">INDEX(Links73[Link],MATCH(C43,Links73[Exercise],0))</f>
        <v>#N/A</v>
      </c>
      <c r="F43" s="107" t="e">
        <f t="shared" si="16"/>
        <v>#N/A</v>
      </c>
      <c r="G43" s="110"/>
      <c r="H43" s="88">
        <f t="shared" si="17"/>
        <v>0</v>
      </c>
      <c r="I43" s="76">
        <v>3</v>
      </c>
      <c r="J43" s="76">
        <f t="shared" si="18"/>
        <v>0</v>
      </c>
      <c r="K43" s="76" t="s">
        <v>11</v>
      </c>
      <c r="L43" s="76"/>
      <c r="M43" s="78"/>
      <c r="N43" s="88">
        <f t="shared" si="19"/>
        <v>0</v>
      </c>
      <c r="O43" s="76">
        <f>I43+(S14)</f>
        <v>3</v>
      </c>
      <c r="P43" s="76">
        <f t="shared" si="20"/>
        <v>0</v>
      </c>
      <c r="Q43" s="76" t="s">
        <v>11</v>
      </c>
      <c r="R43" s="76"/>
      <c r="S43" s="78"/>
      <c r="T43" s="75">
        <f t="shared" si="21"/>
        <v>0</v>
      </c>
      <c r="U43" s="76">
        <v>2</v>
      </c>
      <c r="V43" s="79">
        <f t="shared" si="22"/>
        <v>0</v>
      </c>
      <c r="W43" s="77" t="s">
        <v>14</v>
      </c>
    </row>
    <row r="44" spans="2:23" s="43" customFormat="1" ht="15.75" thickBot="1" x14ac:dyDescent="0.3">
      <c r="B44" s="97" t="s">
        <v>339</v>
      </c>
      <c r="C44" s="101"/>
      <c r="D44" s="93" t="str">
        <f t="array" ref="D44">INDEX(Table_Name52[Name List],MATCH(B44,Table_Name52[Category],0))</f>
        <v>Vertical_Back[Exercise]</v>
      </c>
      <c r="E44" s="74" t="e">
        <f t="array" ref="E44">INDEX(Links73[Link],MATCH(C44,Links73[Exercise],0))</f>
        <v>#N/A</v>
      </c>
      <c r="F44" s="107" t="e">
        <f t="shared" si="16"/>
        <v>#N/A</v>
      </c>
      <c r="G44" s="110"/>
      <c r="H44" s="88">
        <f t="shared" si="17"/>
        <v>0</v>
      </c>
      <c r="I44" s="76">
        <v>2</v>
      </c>
      <c r="J44" s="76">
        <f t="shared" si="18"/>
        <v>0</v>
      </c>
      <c r="K44" s="76" t="s">
        <v>11</v>
      </c>
      <c r="L44" s="76"/>
      <c r="M44" s="78"/>
      <c r="N44" s="88">
        <f t="shared" si="19"/>
        <v>0</v>
      </c>
      <c r="O44" s="76">
        <f>I44+(S13)</f>
        <v>2</v>
      </c>
      <c r="P44" s="76">
        <f t="shared" si="20"/>
        <v>0</v>
      </c>
      <c r="Q44" s="76" t="s">
        <v>11</v>
      </c>
      <c r="R44" s="76"/>
      <c r="S44" s="78"/>
      <c r="T44" s="75">
        <f t="shared" si="21"/>
        <v>0</v>
      </c>
      <c r="U44" s="76">
        <v>2</v>
      </c>
      <c r="V44" s="79">
        <f t="shared" si="22"/>
        <v>0</v>
      </c>
      <c r="W44" s="77" t="s">
        <v>14</v>
      </c>
    </row>
    <row r="45" spans="2:23" s="43" customFormat="1" ht="15.75" thickBot="1" x14ac:dyDescent="0.3">
      <c r="B45" s="97" t="s">
        <v>343</v>
      </c>
      <c r="C45" s="101"/>
      <c r="D45" s="93" t="str">
        <f t="array" ref="D45">INDEX(Table_Name52[Name List],MATCH(B45,Table_Name52[Category],0))</f>
        <v>Incline_Push[Exercise]</v>
      </c>
      <c r="E45" s="74" t="e">
        <f t="array" ref="E45">INDEX(Links73[Link],MATCH(C45,Links73[Exercise],0))</f>
        <v>#N/A</v>
      </c>
      <c r="F45" s="107" t="e">
        <f t="shared" si="16"/>
        <v>#N/A</v>
      </c>
      <c r="G45" s="110"/>
      <c r="H45" s="88">
        <f t="shared" si="17"/>
        <v>0</v>
      </c>
      <c r="I45" s="76">
        <v>2</v>
      </c>
      <c r="J45" s="76">
        <f t="shared" si="18"/>
        <v>0</v>
      </c>
      <c r="K45" s="76" t="s">
        <v>11</v>
      </c>
      <c r="L45" s="76"/>
      <c r="M45" s="78"/>
      <c r="N45" s="88">
        <f t="shared" si="19"/>
        <v>0</v>
      </c>
      <c r="O45" s="76">
        <f>I45+(S11)</f>
        <v>2</v>
      </c>
      <c r="P45" s="76">
        <f t="shared" si="20"/>
        <v>0</v>
      </c>
      <c r="Q45" s="76" t="s">
        <v>11</v>
      </c>
      <c r="R45" s="76"/>
      <c r="S45" s="78"/>
      <c r="T45" s="75">
        <f t="shared" si="21"/>
        <v>0</v>
      </c>
      <c r="U45" s="76">
        <v>2</v>
      </c>
      <c r="V45" s="79">
        <f t="shared" si="22"/>
        <v>0</v>
      </c>
      <c r="W45" s="77" t="s">
        <v>14</v>
      </c>
    </row>
    <row r="46" spans="2:23" s="43" customFormat="1" ht="15.75" thickBot="1" x14ac:dyDescent="0.3">
      <c r="B46" s="98" t="s">
        <v>77</v>
      </c>
      <c r="C46" s="102"/>
      <c r="D46" s="93" t="str">
        <f t="array" ref="D46">INDEX(Table_Name52[Name List],MATCH(B46,Table_Name52[Category],0))</f>
        <v>Abs[Exercise]</v>
      </c>
      <c r="E46" s="74" t="e">
        <f t="array" ref="E46">INDEX(Links73[Link],MATCH(C46,Links73[Exercise],0))</f>
        <v>#N/A</v>
      </c>
      <c r="F46" s="108" t="e">
        <f t="shared" si="16"/>
        <v>#N/A</v>
      </c>
      <c r="G46" s="111"/>
      <c r="H46" s="138">
        <f t="shared" si="17"/>
        <v>0</v>
      </c>
      <c r="I46" s="82">
        <v>2</v>
      </c>
      <c r="J46" s="82">
        <f t="shared" si="18"/>
        <v>0</v>
      </c>
      <c r="K46" s="82" t="s">
        <v>11</v>
      </c>
      <c r="L46" s="82"/>
      <c r="M46" s="78"/>
      <c r="N46" s="81">
        <f t="shared" si="19"/>
        <v>0</v>
      </c>
      <c r="O46" s="82">
        <f>I46+(S15)</f>
        <v>2</v>
      </c>
      <c r="P46" s="82">
        <f t="shared" si="20"/>
        <v>0</v>
      </c>
      <c r="Q46" s="82" t="s">
        <v>11</v>
      </c>
      <c r="R46" s="82"/>
      <c r="S46" s="78"/>
      <c r="T46" s="81">
        <f t="shared" si="21"/>
        <v>0</v>
      </c>
      <c r="U46" s="82">
        <v>2</v>
      </c>
      <c r="V46" s="84">
        <f t="shared" si="22"/>
        <v>0</v>
      </c>
      <c r="W46" s="64" t="s">
        <v>14</v>
      </c>
    </row>
    <row r="47" spans="2:23" s="43" customFormat="1" x14ac:dyDescent="0.25">
      <c r="B47"/>
      <c r="C47" s="35"/>
      <c r="D47" s="35"/>
      <c r="E47" s="55"/>
      <c r="F47" s="56"/>
      <c r="G47" s="57"/>
      <c r="H47" s="35"/>
      <c r="I47" s="4"/>
      <c r="J47" s="4"/>
      <c r="K47" s="4"/>
      <c r="L47" s="4"/>
      <c r="M47" s="4"/>
      <c r="N47" s="35"/>
      <c r="O47" s="4"/>
      <c r="P47" s="4"/>
      <c r="Q47" s="4"/>
      <c r="R47" s="4"/>
      <c r="S47" s="4"/>
      <c r="T47" s="35"/>
      <c r="U47" s="4"/>
      <c r="V47" s="4"/>
      <c r="W47" s="4"/>
    </row>
    <row r="48" spans="2:23" s="43" customFormat="1" x14ac:dyDescent="0.25">
      <c r="B48" s="17" t="s">
        <v>352</v>
      </c>
      <c r="C48" s="35"/>
      <c r="D48" s="35"/>
      <c r="E48" s="55"/>
      <c r="F48" s="56"/>
      <c r="G48" s="57"/>
      <c r="H48" s="35"/>
      <c r="I48" s="4"/>
      <c r="J48" s="4"/>
      <c r="K48" s="4"/>
      <c r="L48" s="4"/>
      <c r="M48" s="4"/>
      <c r="N48" s="35"/>
      <c r="O48" s="4"/>
      <c r="P48" s="4"/>
      <c r="Q48" s="4"/>
      <c r="R48" s="4"/>
      <c r="S48" s="4"/>
      <c r="T48" s="35"/>
      <c r="U48" s="4"/>
      <c r="V48" s="4"/>
      <c r="W48" s="4"/>
    </row>
    <row r="49" spans="1:23" s="43" customFormat="1" x14ac:dyDescent="0.25">
      <c r="B49" s="17"/>
      <c r="C49" s="35"/>
      <c r="D49" s="35"/>
      <c r="E49" s="55"/>
      <c r="F49" s="56"/>
      <c r="G49" s="57"/>
      <c r="H49" s="35"/>
      <c r="I49" s="4"/>
      <c r="J49" s="4"/>
      <c r="K49" s="4"/>
      <c r="L49" s="4"/>
      <c r="M49" s="4"/>
      <c r="N49" s="35"/>
      <c r="O49" s="4"/>
      <c r="P49" s="4"/>
      <c r="Q49" s="4"/>
      <c r="R49" s="4"/>
      <c r="S49" s="4"/>
      <c r="T49" s="35"/>
      <c r="U49" s="4"/>
      <c r="V49" s="4"/>
      <c r="W49" s="4"/>
    </row>
    <row r="50" spans="1:23" s="43" customFormat="1" x14ac:dyDescent="0.25">
      <c r="B50" s="17"/>
      <c r="C50" s="35"/>
      <c r="D50" s="35"/>
      <c r="E50" s="55"/>
      <c r="F50" s="56"/>
      <c r="G50" s="57"/>
      <c r="H50" s="35"/>
      <c r="I50" s="4"/>
      <c r="J50" s="4"/>
      <c r="K50" s="4"/>
      <c r="L50" s="4"/>
      <c r="M50" s="4"/>
      <c r="N50" s="35"/>
      <c r="O50" s="4"/>
      <c r="P50" s="4"/>
      <c r="Q50" s="4"/>
      <c r="R50" s="4"/>
      <c r="S50" s="4"/>
      <c r="T50" s="35"/>
      <c r="U50" s="4"/>
      <c r="V50" s="4"/>
      <c r="W50" s="4"/>
    </row>
    <row r="51" spans="1:23" s="43" customFormat="1" x14ac:dyDescent="0.25">
      <c r="B51" s="17"/>
      <c r="C51" s="35"/>
      <c r="D51" s="35"/>
      <c r="E51" s="55"/>
      <c r="F51" s="56"/>
      <c r="G51" s="57"/>
      <c r="H51" s="35"/>
      <c r="I51" s="4"/>
      <c r="J51" s="4"/>
      <c r="K51" s="4"/>
      <c r="L51" s="4"/>
      <c r="M51" s="4"/>
      <c r="N51" s="35"/>
      <c r="O51" s="4"/>
      <c r="P51" s="4"/>
      <c r="Q51" s="4"/>
      <c r="R51" s="4"/>
      <c r="S51" s="4"/>
      <c r="T51" s="35"/>
      <c r="U51" s="4"/>
      <c r="V51" s="4"/>
      <c r="W51" s="4"/>
    </row>
    <row r="52" spans="1:23" s="43" customFormat="1" x14ac:dyDescent="0.25">
      <c r="B52" s="17"/>
      <c r="C52" s="35"/>
      <c r="D52" s="35"/>
      <c r="E52" s="55"/>
      <c r="F52" s="56"/>
      <c r="G52" s="57"/>
      <c r="H52" s="35"/>
      <c r="I52" s="4"/>
      <c r="J52" s="4"/>
      <c r="K52" s="4"/>
      <c r="L52" s="4"/>
      <c r="M52" s="4"/>
      <c r="N52" s="35"/>
      <c r="O52" s="4"/>
      <c r="P52" s="4"/>
      <c r="Q52" s="4"/>
      <c r="R52" s="4"/>
      <c r="S52" s="4"/>
      <c r="T52" s="35"/>
      <c r="U52" s="4"/>
      <c r="V52" s="4"/>
      <c r="W52" s="4"/>
    </row>
    <row r="53" spans="1:23" hidden="1" x14ac:dyDescent="0.25">
      <c r="C53" t="s">
        <v>21</v>
      </c>
      <c r="E53" s="43"/>
    </row>
    <row r="54" spans="1:23" hidden="1" x14ac:dyDescent="0.25">
      <c r="C54">
        <v>1</v>
      </c>
      <c r="E54" s="43"/>
    </row>
    <row r="55" spans="1:23" hidden="1" x14ac:dyDescent="0.25">
      <c r="C55">
        <v>0</v>
      </c>
      <c r="E55" s="43"/>
    </row>
    <row r="56" spans="1:23" hidden="1" x14ac:dyDescent="0.25">
      <c r="C56">
        <v>-1</v>
      </c>
      <c r="E56" s="43"/>
    </row>
    <row r="57" spans="1:23" hidden="1" x14ac:dyDescent="0.25">
      <c r="E57" s="43"/>
    </row>
    <row r="58" spans="1:23" hidden="1" x14ac:dyDescent="0.25">
      <c r="E58" s="43"/>
    </row>
    <row r="59" spans="1:23" hidden="1" x14ac:dyDescent="0.25">
      <c r="E59" s="43"/>
    </row>
    <row r="60" spans="1:23" hidden="1" x14ac:dyDescent="0.25">
      <c r="E60" s="43"/>
      <c r="F60" s="9"/>
      <c r="G60" s="9"/>
      <c r="H60" s="9"/>
    </row>
    <row r="61" spans="1:23" hidden="1" x14ac:dyDescent="0.25">
      <c r="A61" s="36" t="s">
        <v>77</v>
      </c>
      <c r="B61" s="47" t="s">
        <v>88</v>
      </c>
      <c r="C61" s="51" t="s">
        <v>294</v>
      </c>
      <c r="D61" s="9"/>
      <c r="E61" s="43"/>
      <c r="H61" s="13"/>
    </row>
    <row r="62" spans="1:23" hidden="1" x14ac:dyDescent="0.25">
      <c r="A62" s="13"/>
      <c r="B62" s="52" t="s">
        <v>109</v>
      </c>
      <c r="C62" s="47" t="s">
        <v>178</v>
      </c>
      <c r="D62" s="37"/>
      <c r="E62" s="43"/>
      <c r="H62" s="13"/>
    </row>
    <row r="63" spans="1:23" hidden="1" x14ac:dyDescent="0.25">
      <c r="A63" s="13"/>
      <c r="B63" s="52" t="s">
        <v>79</v>
      </c>
      <c r="C63" s="47" t="s">
        <v>179</v>
      </c>
      <c r="D63" s="37"/>
      <c r="E63" s="43"/>
      <c r="H63" s="13"/>
    </row>
    <row r="64" spans="1:23" hidden="1" x14ac:dyDescent="0.25">
      <c r="A64" s="13"/>
      <c r="B64" s="52" t="s">
        <v>80</v>
      </c>
      <c r="C64" s="47" t="s">
        <v>180</v>
      </c>
      <c r="D64" s="37"/>
      <c r="E64" s="43"/>
      <c r="H64" s="13"/>
    </row>
    <row r="65" spans="1:9" hidden="1" x14ac:dyDescent="0.25">
      <c r="A65" s="13"/>
      <c r="B65" s="52" t="s">
        <v>78</v>
      </c>
      <c r="C65" s="47" t="s">
        <v>181</v>
      </c>
      <c r="D65" s="37"/>
      <c r="E65" s="43"/>
      <c r="H65" s="13"/>
    </row>
    <row r="66" spans="1:9" hidden="1" x14ac:dyDescent="0.25">
      <c r="A66" s="13"/>
      <c r="B66" s="52" t="s">
        <v>110</v>
      </c>
      <c r="C66" s="52" t="s">
        <v>182</v>
      </c>
      <c r="D66" s="39"/>
      <c r="E66" s="43"/>
      <c r="H66" s="13"/>
    </row>
    <row r="67" spans="1:9" hidden="1" x14ac:dyDescent="0.25">
      <c r="A67" s="13"/>
      <c r="B67" s="52" t="s">
        <v>81</v>
      </c>
      <c r="C67" s="47" t="s">
        <v>183</v>
      </c>
      <c r="D67" s="37"/>
      <c r="E67" s="43"/>
      <c r="H67" s="13"/>
    </row>
    <row r="68" spans="1:9" hidden="1" x14ac:dyDescent="0.25">
      <c r="A68" s="13"/>
      <c r="B68" s="52" t="s">
        <v>146</v>
      </c>
      <c r="C68" s="47" t="s">
        <v>184</v>
      </c>
      <c r="D68" s="37"/>
      <c r="E68" s="43"/>
      <c r="H68" s="37"/>
      <c r="I68" s="37"/>
    </row>
    <row r="69" spans="1:9" hidden="1" x14ac:dyDescent="0.25">
      <c r="A69" s="37"/>
      <c r="B69" s="47"/>
      <c r="C69" s="51"/>
      <c r="D69" s="9"/>
      <c r="E69" s="43"/>
    </row>
    <row r="70" spans="1:9" hidden="1" x14ac:dyDescent="0.25">
      <c r="A70" s="36" t="s">
        <v>19</v>
      </c>
      <c r="B70" s="48" t="s">
        <v>88</v>
      </c>
      <c r="C70" s="53" t="s">
        <v>294</v>
      </c>
      <c r="D70" s="42"/>
      <c r="E70" s="43"/>
      <c r="H70" s="36"/>
      <c r="I70" s="37"/>
    </row>
    <row r="71" spans="1:9" hidden="1" x14ac:dyDescent="0.25">
      <c r="A71" s="13"/>
      <c r="B71" s="52" t="s">
        <v>111</v>
      </c>
      <c r="C71" s="47" t="s">
        <v>185</v>
      </c>
      <c r="D71" s="37"/>
      <c r="E71" s="43"/>
      <c r="H71" s="13"/>
    </row>
    <row r="72" spans="1:9" hidden="1" x14ac:dyDescent="0.25">
      <c r="A72" s="13"/>
      <c r="B72" s="52" t="s">
        <v>75</v>
      </c>
      <c r="C72" s="47" t="s">
        <v>186</v>
      </c>
      <c r="D72" s="37"/>
      <c r="E72" s="43"/>
      <c r="H72" s="13"/>
    </row>
    <row r="73" spans="1:9" hidden="1" x14ac:dyDescent="0.25">
      <c r="A73" s="13"/>
      <c r="B73" s="52" t="s">
        <v>74</v>
      </c>
      <c r="C73" s="47" t="s">
        <v>187</v>
      </c>
      <c r="D73" s="37"/>
      <c r="E73" s="43"/>
      <c r="H73" s="13"/>
    </row>
    <row r="74" spans="1:9" hidden="1" x14ac:dyDescent="0.25">
      <c r="A74" s="13"/>
      <c r="B74" s="52" t="s">
        <v>76</v>
      </c>
      <c r="C74" s="47" t="s">
        <v>188</v>
      </c>
      <c r="D74" s="37"/>
      <c r="E74" s="43"/>
      <c r="H74" s="13"/>
    </row>
    <row r="75" spans="1:9" hidden="1" x14ac:dyDescent="0.25">
      <c r="A75" s="37"/>
      <c r="B75" s="47"/>
      <c r="C75" s="51"/>
      <c r="D75" s="9"/>
      <c r="E75" s="43"/>
      <c r="H75" s="37"/>
      <c r="I75" s="37"/>
    </row>
    <row r="76" spans="1:9" hidden="1" x14ac:dyDescent="0.25">
      <c r="A76" s="36" t="s">
        <v>18</v>
      </c>
      <c r="B76" s="48" t="s">
        <v>88</v>
      </c>
      <c r="C76" s="53" t="s">
        <v>294</v>
      </c>
      <c r="D76" s="42"/>
      <c r="E76" s="43"/>
      <c r="H76" s="36"/>
      <c r="I76" s="37"/>
    </row>
    <row r="77" spans="1:9" hidden="1" x14ac:dyDescent="0.25">
      <c r="A77" s="13"/>
      <c r="B77" s="52" t="s">
        <v>61</v>
      </c>
      <c r="C77" s="47" t="s">
        <v>189</v>
      </c>
      <c r="D77" s="37"/>
      <c r="E77" s="43"/>
      <c r="H77" s="13"/>
    </row>
    <row r="78" spans="1:9" hidden="1" x14ac:dyDescent="0.25">
      <c r="A78" s="13"/>
      <c r="B78" s="52" t="s">
        <v>62</v>
      </c>
      <c r="C78" s="47" t="s">
        <v>190</v>
      </c>
      <c r="D78" s="37"/>
      <c r="E78" s="43"/>
      <c r="H78" s="13"/>
    </row>
    <row r="79" spans="1:9" hidden="1" x14ac:dyDescent="0.25">
      <c r="A79" s="13"/>
      <c r="B79" s="52" t="s">
        <v>112</v>
      </c>
      <c r="C79" s="47" t="s">
        <v>191</v>
      </c>
      <c r="D79" s="37"/>
      <c r="E79" s="43"/>
      <c r="H79" s="13"/>
    </row>
    <row r="80" spans="1:9" hidden="1" x14ac:dyDescent="0.25">
      <c r="A80" s="13"/>
      <c r="B80" s="52" t="s">
        <v>63</v>
      </c>
      <c r="C80" s="47" t="s">
        <v>192</v>
      </c>
      <c r="D80" s="37"/>
      <c r="E80" s="43"/>
      <c r="H80" s="13"/>
    </row>
    <row r="81" spans="1:9" hidden="1" x14ac:dyDescent="0.25">
      <c r="A81" s="13"/>
      <c r="B81" s="52" t="s">
        <v>113</v>
      </c>
      <c r="C81" s="47" t="s">
        <v>193</v>
      </c>
      <c r="D81" s="37"/>
      <c r="E81" s="43"/>
      <c r="H81" s="13"/>
    </row>
    <row r="82" spans="1:9" hidden="1" x14ac:dyDescent="0.25">
      <c r="A82" s="13"/>
      <c r="B82" s="52" t="s">
        <v>114</v>
      </c>
      <c r="C82" s="47" t="s">
        <v>194</v>
      </c>
      <c r="D82" s="37"/>
      <c r="E82" s="43"/>
      <c r="H82" s="13"/>
    </row>
    <row r="83" spans="1:9" hidden="1" x14ac:dyDescent="0.25">
      <c r="A83" s="13"/>
      <c r="B83" s="52" t="s">
        <v>147</v>
      </c>
      <c r="C83" s="47" t="s">
        <v>195</v>
      </c>
      <c r="D83" s="37"/>
      <c r="E83" s="43"/>
      <c r="H83" s="13"/>
    </row>
    <row r="84" spans="1:9" hidden="1" x14ac:dyDescent="0.25">
      <c r="A84" s="13"/>
      <c r="B84" s="52" t="s">
        <v>148</v>
      </c>
      <c r="C84" s="47" t="s">
        <v>196</v>
      </c>
      <c r="D84" s="37"/>
      <c r="E84" s="43"/>
      <c r="H84" s="13"/>
    </row>
    <row r="85" spans="1:9" hidden="1" x14ac:dyDescent="0.25">
      <c r="A85" s="13"/>
      <c r="B85" s="52" t="s">
        <v>115</v>
      </c>
      <c r="C85" s="52" t="s">
        <v>197</v>
      </c>
      <c r="D85" s="39"/>
      <c r="E85" s="43"/>
      <c r="H85" s="13"/>
    </row>
    <row r="86" spans="1:9" hidden="1" x14ac:dyDescent="0.25">
      <c r="A86" s="13"/>
      <c r="B86" s="52" t="s">
        <v>116</v>
      </c>
      <c r="C86" s="47" t="s">
        <v>198</v>
      </c>
      <c r="D86" s="37"/>
      <c r="E86" s="43"/>
      <c r="H86" s="13"/>
    </row>
    <row r="87" spans="1:9" hidden="1" x14ac:dyDescent="0.25">
      <c r="A87" s="13"/>
      <c r="B87" s="52" t="s">
        <v>149</v>
      </c>
      <c r="C87" s="47" t="s">
        <v>199</v>
      </c>
      <c r="D87" s="37"/>
      <c r="E87" s="43"/>
      <c r="H87" s="13"/>
    </row>
    <row r="88" spans="1:9" hidden="1" x14ac:dyDescent="0.25">
      <c r="A88" s="37"/>
      <c r="B88" s="47"/>
      <c r="C88" s="49"/>
      <c r="E88" s="43"/>
      <c r="H88" s="37"/>
      <c r="I88" s="37"/>
    </row>
    <row r="89" spans="1:9" hidden="1" x14ac:dyDescent="0.25">
      <c r="A89" s="36" t="s">
        <v>117</v>
      </c>
      <c r="B89" s="48" t="s">
        <v>88</v>
      </c>
      <c r="C89" s="53" t="s">
        <v>294</v>
      </c>
      <c r="D89" s="42"/>
      <c r="E89" s="43"/>
      <c r="H89" s="36"/>
      <c r="I89" s="37"/>
    </row>
    <row r="90" spans="1:9" hidden="1" x14ac:dyDescent="0.25">
      <c r="A90" s="13"/>
      <c r="B90" s="52" t="s">
        <v>51</v>
      </c>
      <c r="C90" s="47" t="s">
        <v>200</v>
      </c>
      <c r="D90" s="37"/>
      <c r="E90" s="43"/>
      <c r="H90" s="13"/>
    </row>
    <row r="91" spans="1:9" hidden="1" x14ac:dyDescent="0.25">
      <c r="A91" s="13"/>
      <c r="B91" s="52" t="s">
        <v>118</v>
      </c>
      <c r="C91" s="47" t="s">
        <v>201</v>
      </c>
      <c r="D91" s="37"/>
      <c r="E91" s="43"/>
      <c r="H91" s="13"/>
    </row>
    <row r="92" spans="1:9" hidden="1" x14ac:dyDescent="0.25">
      <c r="A92" s="13"/>
      <c r="B92" s="52" t="s">
        <v>150</v>
      </c>
      <c r="C92" s="47" t="s">
        <v>202</v>
      </c>
      <c r="D92" s="37"/>
      <c r="E92" s="43"/>
      <c r="H92" s="13"/>
    </row>
    <row r="93" spans="1:9" hidden="1" x14ac:dyDescent="0.25">
      <c r="A93" s="13"/>
      <c r="B93" s="52" t="s">
        <v>50</v>
      </c>
      <c r="C93" s="47" t="s">
        <v>203</v>
      </c>
      <c r="D93" s="37"/>
      <c r="E93" s="43"/>
      <c r="H93" s="13"/>
    </row>
    <row r="94" spans="1:9" hidden="1" x14ac:dyDescent="0.25">
      <c r="A94" s="37"/>
      <c r="B94" s="47"/>
      <c r="C94" s="47"/>
      <c r="D94" s="37"/>
      <c r="E94" s="43"/>
      <c r="H94" s="37"/>
    </row>
    <row r="95" spans="1:9" hidden="1" x14ac:dyDescent="0.25">
      <c r="A95" s="38" t="s">
        <v>105</v>
      </c>
      <c r="B95" s="48" t="s">
        <v>88</v>
      </c>
      <c r="C95" s="53" t="s">
        <v>294</v>
      </c>
      <c r="D95" s="42"/>
      <c r="E95" s="43"/>
      <c r="H95" s="38"/>
    </row>
    <row r="96" spans="1:9" hidden="1" x14ac:dyDescent="0.25">
      <c r="A96" s="13"/>
      <c r="B96" s="52" t="s">
        <v>46</v>
      </c>
      <c r="C96" s="47" t="s">
        <v>204</v>
      </c>
      <c r="D96" s="37"/>
      <c r="E96" s="43"/>
      <c r="H96" s="13"/>
    </row>
    <row r="97" spans="1:8" hidden="1" x14ac:dyDescent="0.25">
      <c r="A97" s="13"/>
      <c r="B97" s="52" t="s">
        <v>47</v>
      </c>
      <c r="C97" s="47" t="s">
        <v>205</v>
      </c>
      <c r="D97" s="37"/>
      <c r="E97" s="43"/>
      <c r="H97" s="13"/>
    </row>
    <row r="98" spans="1:8" hidden="1" x14ac:dyDescent="0.25">
      <c r="A98" s="13"/>
      <c r="B98" s="52" t="s">
        <v>49</v>
      </c>
      <c r="C98" s="47" t="s">
        <v>206</v>
      </c>
      <c r="D98" s="37"/>
      <c r="E98" s="43"/>
      <c r="H98" s="13"/>
    </row>
    <row r="99" spans="1:8" hidden="1" x14ac:dyDescent="0.25">
      <c r="A99" s="13"/>
      <c r="B99" s="52" t="s">
        <v>48</v>
      </c>
      <c r="C99" s="47" t="s">
        <v>207</v>
      </c>
      <c r="D99" s="37"/>
      <c r="E99" s="43"/>
      <c r="H99" s="13"/>
    </row>
    <row r="100" spans="1:8" hidden="1" x14ac:dyDescent="0.25">
      <c r="A100" s="13"/>
      <c r="B100" s="52" t="s">
        <v>119</v>
      </c>
      <c r="C100" s="47" t="s">
        <v>208</v>
      </c>
      <c r="D100" s="37"/>
      <c r="E100" s="43"/>
      <c r="H100" s="13"/>
    </row>
    <row r="101" spans="1:8" hidden="1" x14ac:dyDescent="0.25">
      <c r="A101" s="37"/>
      <c r="B101" s="47"/>
      <c r="C101" s="47"/>
      <c r="D101" s="37"/>
      <c r="E101" s="43"/>
      <c r="H101" s="37"/>
    </row>
    <row r="102" spans="1:8" hidden="1" x14ac:dyDescent="0.25">
      <c r="A102" s="38" t="s">
        <v>120</v>
      </c>
      <c r="B102" s="48" t="s">
        <v>88</v>
      </c>
      <c r="C102" s="53" t="s">
        <v>294</v>
      </c>
      <c r="D102" s="42"/>
      <c r="E102" s="43"/>
      <c r="H102" s="38"/>
    </row>
    <row r="103" spans="1:8" hidden="1" x14ac:dyDescent="0.25">
      <c r="A103" s="13"/>
      <c r="B103" s="52" t="s">
        <v>151</v>
      </c>
      <c r="C103" s="47" t="s">
        <v>209</v>
      </c>
      <c r="D103" s="37"/>
      <c r="E103" s="43"/>
      <c r="H103" s="13"/>
    </row>
    <row r="104" spans="1:8" hidden="1" x14ac:dyDescent="0.25">
      <c r="A104" s="13"/>
      <c r="B104" s="52" t="s">
        <v>121</v>
      </c>
      <c r="C104" s="47" t="s">
        <v>210</v>
      </c>
      <c r="D104" s="37"/>
      <c r="E104" s="43"/>
      <c r="H104" s="13"/>
    </row>
    <row r="105" spans="1:8" hidden="1" x14ac:dyDescent="0.25">
      <c r="A105" s="13"/>
      <c r="B105" s="52" t="s">
        <v>122</v>
      </c>
      <c r="C105" s="47" t="s">
        <v>211</v>
      </c>
      <c r="D105" s="37"/>
      <c r="E105" s="43"/>
      <c r="H105" s="13"/>
    </row>
    <row r="106" spans="1:8" hidden="1" x14ac:dyDescent="0.25">
      <c r="A106" s="13"/>
      <c r="B106" s="52" t="s">
        <v>123</v>
      </c>
      <c r="C106" s="47" t="s">
        <v>212</v>
      </c>
      <c r="D106" s="37"/>
      <c r="E106" s="43"/>
      <c r="H106" s="13"/>
    </row>
    <row r="107" spans="1:8" hidden="1" x14ac:dyDescent="0.25">
      <c r="A107" s="13"/>
      <c r="B107" s="52"/>
      <c r="C107" s="47"/>
      <c r="D107" s="37"/>
      <c r="E107" s="43"/>
      <c r="H107" s="13"/>
    </row>
    <row r="108" spans="1:8" hidden="1" x14ac:dyDescent="0.25">
      <c r="A108" s="38" t="s">
        <v>52</v>
      </c>
      <c r="B108" s="48" t="s">
        <v>88</v>
      </c>
      <c r="C108" s="53" t="s">
        <v>294</v>
      </c>
      <c r="D108" s="42"/>
      <c r="E108" s="43"/>
      <c r="H108" s="38"/>
    </row>
    <row r="109" spans="1:8" hidden="1" x14ac:dyDescent="0.25">
      <c r="A109" s="13"/>
      <c r="B109" s="52" t="s">
        <v>152</v>
      </c>
      <c r="C109" s="47" t="s">
        <v>213</v>
      </c>
      <c r="D109" s="37"/>
      <c r="E109" s="43"/>
      <c r="H109" s="13"/>
    </row>
    <row r="110" spans="1:8" hidden="1" x14ac:dyDescent="0.25">
      <c r="A110" s="13"/>
      <c r="B110" s="52" t="s">
        <v>124</v>
      </c>
      <c r="C110" s="47" t="s">
        <v>214</v>
      </c>
      <c r="D110" s="37"/>
      <c r="E110" s="43"/>
      <c r="H110" s="13"/>
    </row>
    <row r="111" spans="1:8" hidden="1" x14ac:dyDescent="0.25">
      <c r="A111" s="13"/>
      <c r="B111" s="52" t="s">
        <v>56</v>
      </c>
      <c r="C111" s="47" t="s">
        <v>215</v>
      </c>
      <c r="D111" s="37"/>
      <c r="E111" s="43"/>
      <c r="H111" s="13"/>
    </row>
    <row r="112" spans="1:8" hidden="1" x14ac:dyDescent="0.25">
      <c r="A112" s="13"/>
      <c r="B112" s="52" t="s">
        <v>55</v>
      </c>
      <c r="C112" s="47" t="s">
        <v>216</v>
      </c>
      <c r="D112" s="37"/>
      <c r="E112" s="43"/>
      <c r="H112" s="13"/>
    </row>
    <row r="113" spans="1:8" hidden="1" x14ac:dyDescent="0.25">
      <c r="A113" s="13"/>
      <c r="B113" s="52" t="s">
        <v>153</v>
      </c>
      <c r="C113" s="47" t="s">
        <v>217</v>
      </c>
      <c r="D113" s="37"/>
      <c r="E113" s="43"/>
      <c r="H113" s="13"/>
    </row>
    <row r="114" spans="1:8" hidden="1" x14ac:dyDescent="0.25">
      <c r="A114" s="13"/>
      <c r="B114" s="52" t="s">
        <v>53</v>
      </c>
      <c r="C114" s="47" t="s">
        <v>218</v>
      </c>
      <c r="D114" s="37"/>
      <c r="E114" s="43"/>
      <c r="H114" s="13"/>
    </row>
    <row r="115" spans="1:8" hidden="1" x14ac:dyDescent="0.25">
      <c r="A115" s="13"/>
      <c r="B115" s="52" t="s">
        <v>125</v>
      </c>
      <c r="C115" s="47" t="s">
        <v>219</v>
      </c>
      <c r="D115" s="37"/>
      <c r="E115" s="43"/>
      <c r="H115" s="13"/>
    </row>
    <row r="116" spans="1:8" hidden="1" x14ac:dyDescent="0.25">
      <c r="A116" s="13"/>
      <c r="B116" s="52" t="s">
        <v>54</v>
      </c>
      <c r="C116" s="47" t="s">
        <v>220</v>
      </c>
      <c r="D116" s="37"/>
      <c r="E116" s="43"/>
      <c r="H116" s="13"/>
    </row>
    <row r="117" spans="1:8" hidden="1" x14ac:dyDescent="0.25">
      <c r="A117" s="37"/>
      <c r="B117" s="47"/>
      <c r="C117" s="47"/>
      <c r="D117" s="37"/>
      <c r="E117" s="43"/>
      <c r="H117" s="37"/>
    </row>
    <row r="118" spans="1:8" hidden="1" x14ac:dyDescent="0.25">
      <c r="A118" s="38" t="s">
        <v>57</v>
      </c>
      <c r="B118" s="48" t="s">
        <v>88</v>
      </c>
      <c r="C118" s="53" t="s">
        <v>294</v>
      </c>
      <c r="D118" s="42"/>
      <c r="E118" s="43"/>
      <c r="H118" s="38"/>
    </row>
    <row r="119" spans="1:8" hidden="1" x14ac:dyDescent="0.25">
      <c r="A119" s="13"/>
      <c r="B119" s="52" t="s">
        <v>59</v>
      </c>
      <c r="C119" s="47" t="s">
        <v>221</v>
      </c>
      <c r="D119" s="37"/>
      <c r="E119" s="43"/>
      <c r="H119" s="13"/>
    </row>
    <row r="120" spans="1:8" hidden="1" x14ac:dyDescent="0.25">
      <c r="A120" s="13"/>
      <c r="B120" s="52" t="s">
        <v>58</v>
      </c>
      <c r="C120" s="47" t="s">
        <v>222</v>
      </c>
      <c r="D120" s="37"/>
      <c r="E120" s="43"/>
      <c r="H120" s="13"/>
    </row>
    <row r="121" spans="1:8" hidden="1" x14ac:dyDescent="0.25">
      <c r="A121" s="13"/>
      <c r="B121" s="52" t="s">
        <v>154</v>
      </c>
      <c r="C121" s="47" t="s">
        <v>223</v>
      </c>
      <c r="D121" s="37"/>
      <c r="E121" s="43"/>
      <c r="H121" s="13"/>
    </row>
    <row r="122" spans="1:8" hidden="1" x14ac:dyDescent="0.25">
      <c r="A122" s="13"/>
      <c r="B122" s="52" t="s">
        <v>155</v>
      </c>
      <c r="C122" s="47" t="s">
        <v>224</v>
      </c>
      <c r="D122" s="37"/>
      <c r="E122" s="43"/>
      <c r="H122" s="13"/>
    </row>
    <row r="123" spans="1:8" hidden="1" x14ac:dyDescent="0.25">
      <c r="A123" s="13"/>
      <c r="B123" s="52" t="s">
        <v>60</v>
      </c>
      <c r="C123" s="47" t="s">
        <v>225</v>
      </c>
      <c r="D123" s="37"/>
      <c r="E123" s="43"/>
      <c r="H123" s="13"/>
    </row>
    <row r="124" spans="1:8" hidden="1" x14ac:dyDescent="0.25">
      <c r="A124" s="37"/>
      <c r="B124" s="47"/>
      <c r="C124" s="47"/>
      <c r="D124" s="37"/>
      <c r="E124" s="43"/>
      <c r="H124" s="37"/>
    </row>
    <row r="125" spans="1:8" hidden="1" x14ac:dyDescent="0.25">
      <c r="A125" s="36" t="s">
        <v>126</v>
      </c>
      <c r="B125" s="48" t="s">
        <v>88</v>
      </c>
      <c r="C125" s="53" t="s">
        <v>294</v>
      </c>
      <c r="D125" s="42"/>
      <c r="E125" s="43"/>
      <c r="H125" s="36"/>
    </row>
    <row r="126" spans="1:8" hidden="1" x14ac:dyDescent="0.25">
      <c r="A126" s="13"/>
      <c r="B126" s="52" t="s">
        <v>156</v>
      </c>
      <c r="C126" s="47" t="s">
        <v>226</v>
      </c>
      <c r="D126" s="37"/>
      <c r="E126" s="43"/>
      <c r="H126" s="13"/>
    </row>
    <row r="127" spans="1:8" hidden="1" x14ac:dyDescent="0.25">
      <c r="A127" s="13"/>
      <c r="B127" s="52" t="s">
        <v>157</v>
      </c>
      <c r="C127" s="47" t="s">
        <v>227</v>
      </c>
      <c r="D127" s="37"/>
      <c r="E127" s="43"/>
      <c r="H127" s="13"/>
    </row>
    <row r="128" spans="1:8" hidden="1" x14ac:dyDescent="0.25">
      <c r="A128" s="13"/>
      <c r="B128" s="52" t="s">
        <v>158</v>
      </c>
      <c r="C128" s="47" t="s">
        <v>228</v>
      </c>
      <c r="D128" s="37"/>
      <c r="E128" s="43"/>
      <c r="H128" s="13"/>
    </row>
    <row r="129" spans="1:8" hidden="1" x14ac:dyDescent="0.25">
      <c r="A129" s="13"/>
      <c r="B129" s="52" t="s">
        <v>42</v>
      </c>
      <c r="C129" s="47" t="s">
        <v>229</v>
      </c>
      <c r="D129" s="37"/>
      <c r="E129" s="43"/>
      <c r="H129" s="13"/>
    </row>
    <row r="130" spans="1:8" hidden="1" x14ac:dyDescent="0.25">
      <c r="A130" s="13"/>
      <c r="B130" s="52" t="s">
        <v>127</v>
      </c>
      <c r="C130" s="47" t="s">
        <v>230</v>
      </c>
      <c r="D130" s="37"/>
      <c r="E130" s="43"/>
      <c r="H130" s="13"/>
    </row>
    <row r="131" spans="1:8" hidden="1" x14ac:dyDescent="0.25">
      <c r="A131" s="13"/>
      <c r="B131" s="52" t="s">
        <v>128</v>
      </c>
      <c r="C131" s="47" t="s">
        <v>231</v>
      </c>
      <c r="D131" s="37"/>
      <c r="E131" s="43"/>
      <c r="H131" s="13"/>
    </row>
    <row r="132" spans="1:8" hidden="1" x14ac:dyDescent="0.25">
      <c r="A132" s="13"/>
      <c r="B132" s="52" t="s">
        <v>41</v>
      </c>
      <c r="C132" s="47" t="s">
        <v>232</v>
      </c>
      <c r="D132" s="37"/>
      <c r="E132" s="43"/>
      <c r="H132" s="13"/>
    </row>
    <row r="133" spans="1:8" hidden="1" x14ac:dyDescent="0.25">
      <c r="A133" s="13"/>
      <c r="B133" s="52" t="s">
        <v>129</v>
      </c>
      <c r="C133" s="47" t="s">
        <v>233</v>
      </c>
      <c r="D133" s="37"/>
      <c r="E133" s="43"/>
      <c r="H133" s="13"/>
    </row>
    <row r="134" spans="1:8" hidden="1" x14ac:dyDescent="0.25">
      <c r="A134" s="37"/>
      <c r="B134" s="47"/>
      <c r="C134" s="47"/>
      <c r="D134" s="37"/>
      <c r="E134" s="43"/>
      <c r="H134" s="37"/>
    </row>
    <row r="135" spans="1:8" hidden="1" x14ac:dyDescent="0.25">
      <c r="A135" s="38" t="s">
        <v>130</v>
      </c>
      <c r="B135" s="48" t="s">
        <v>88</v>
      </c>
      <c r="C135" s="53" t="s">
        <v>294</v>
      </c>
      <c r="D135" s="42"/>
      <c r="E135" s="43"/>
      <c r="H135" s="38"/>
    </row>
    <row r="136" spans="1:8" hidden="1" x14ac:dyDescent="0.25">
      <c r="A136" s="13"/>
      <c r="B136" s="52" t="s">
        <v>131</v>
      </c>
      <c r="C136" s="47" t="s">
        <v>234</v>
      </c>
      <c r="D136" s="37"/>
      <c r="E136" s="43"/>
      <c r="H136" s="13"/>
    </row>
    <row r="137" spans="1:8" hidden="1" x14ac:dyDescent="0.25">
      <c r="A137" s="13"/>
      <c r="B137" s="52" t="s">
        <v>159</v>
      </c>
      <c r="C137" s="47" t="s">
        <v>235</v>
      </c>
      <c r="D137" s="37"/>
      <c r="E137" s="43"/>
      <c r="H137" s="13"/>
    </row>
    <row r="138" spans="1:8" hidden="1" x14ac:dyDescent="0.25">
      <c r="A138" s="13"/>
      <c r="B138" s="52" t="s">
        <v>160</v>
      </c>
      <c r="C138" s="47" t="s">
        <v>236</v>
      </c>
      <c r="D138" s="37"/>
      <c r="E138" s="43"/>
      <c r="H138" s="13"/>
    </row>
    <row r="139" spans="1:8" hidden="1" x14ac:dyDescent="0.25">
      <c r="A139" s="13"/>
      <c r="B139" s="52" t="s">
        <v>161</v>
      </c>
      <c r="C139" s="47" t="s">
        <v>237</v>
      </c>
      <c r="D139" s="37"/>
      <c r="E139" s="43"/>
      <c r="H139" s="13"/>
    </row>
    <row r="140" spans="1:8" hidden="1" x14ac:dyDescent="0.25">
      <c r="A140" s="13"/>
      <c r="B140" s="52" t="s">
        <v>162</v>
      </c>
      <c r="C140" s="47" t="s">
        <v>238</v>
      </c>
      <c r="D140" s="37"/>
      <c r="E140" s="43"/>
      <c r="H140" s="13"/>
    </row>
    <row r="141" spans="1:8" hidden="1" x14ac:dyDescent="0.25">
      <c r="A141" s="13"/>
      <c r="B141" s="52" t="s">
        <v>163</v>
      </c>
      <c r="C141" s="52" t="s">
        <v>239</v>
      </c>
      <c r="D141" s="39"/>
      <c r="E141" s="43"/>
      <c r="H141" s="13"/>
    </row>
    <row r="142" spans="1:8" hidden="1" x14ac:dyDescent="0.25">
      <c r="A142" s="13"/>
      <c r="B142" s="52" t="s">
        <v>164</v>
      </c>
      <c r="C142" s="52" t="s">
        <v>240</v>
      </c>
      <c r="D142" s="39"/>
      <c r="E142" s="43"/>
      <c r="H142" s="13"/>
    </row>
    <row r="143" spans="1:8" hidden="1" x14ac:dyDescent="0.25">
      <c r="A143" s="13"/>
      <c r="B143" s="52" t="s">
        <v>43</v>
      </c>
      <c r="C143" s="47" t="s">
        <v>241</v>
      </c>
      <c r="D143" s="37"/>
      <c r="E143" s="43"/>
      <c r="H143" s="13"/>
    </row>
    <row r="144" spans="1:8" hidden="1" x14ac:dyDescent="0.25">
      <c r="A144" s="13"/>
      <c r="B144" s="52" t="s">
        <v>165</v>
      </c>
      <c r="C144" s="52" t="s">
        <v>242</v>
      </c>
      <c r="D144" s="39"/>
      <c r="E144" s="43"/>
      <c r="H144" s="13"/>
    </row>
    <row r="145" spans="1:8" hidden="1" x14ac:dyDescent="0.25">
      <c r="A145" s="13"/>
      <c r="B145" s="52" t="s">
        <v>166</v>
      </c>
      <c r="C145" s="52" t="s">
        <v>243</v>
      </c>
      <c r="D145" s="39"/>
      <c r="E145" s="43"/>
      <c r="H145" s="13"/>
    </row>
    <row r="146" spans="1:8" hidden="1" x14ac:dyDescent="0.25">
      <c r="A146" s="13"/>
      <c r="B146" s="52" t="s">
        <v>44</v>
      </c>
      <c r="C146" s="47" t="s">
        <v>244</v>
      </c>
      <c r="D146" s="37"/>
      <c r="E146" s="43"/>
      <c r="H146" s="13"/>
    </row>
    <row r="147" spans="1:8" hidden="1" x14ac:dyDescent="0.25">
      <c r="A147" s="13"/>
      <c r="B147" s="52" t="s">
        <v>45</v>
      </c>
      <c r="C147" s="52" t="s">
        <v>245</v>
      </c>
      <c r="D147" s="39"/>
      <c r="E147" s="43"/>
      <c r="H147" s="13"/>
    </row>
    <row r="148" spans="1:8" hidden="1" x14ac:dyDescent="0.25">
      <c r="A148" s="37"/>
      <c r="B148" s="47"/>
      <c r="C148" s="47"/>
      <c r="D148" s="37"/>
      <c r="E148" s="43"/>
      <c r="H148" s="37"/>
    </row>
    <row r="149" spans="1:8" hidden="1" x14ac:dyDescent="0.25">
      <c r="A149" s="36" t="s">
        <v>20</v>
      </c>
      <c r="B149" s="48" t="s">
        <v>88</v>
      </c>
      <c r="C149" s="53" t="s">
        <v>294</v>
      </c>
      <c r="D149" s="42"/>
      <c r="E149" s="43"/>
      <c r="H149" s="36"/>
    </row>
    <row r="150" spans="1:8" hidden="1" x14ac:dyDescent="0.25">
      <c r="A150" s="13"/>
      <c r="B150" s="52" t="s">
        <v>64</v>
      </c>
      <c r="C150" s="47" t="s">
        <v>246</v>
      </c>
      <c r="D150" s="37"/>
      <c r="E150" s="43"/>
      <c r="H150" s="13"/>
    </row>
    <row r="151" spans="1:8" hidden="1" x14ac:dyDescent="0.25">
      <c r="A151" s="13"/>
      <c r="B151" s="52" t="s">
        <v>167</v>
      </c>
      <c r="C151" s="47" t="s">
        <v>247</v>
      </c>
      <c r="D151" s="37"/>
      <c r="E151" s="43"/>
      <c r="H151" s="13"/>
    </row>
    <row r="152" spans="1:8" hidden="1" x14ac:dyDescent="0.25">
      <c r="A152" s="13"/>
      <c r="B152" s="52" t="s">
        <v>168</v>
      </c>
      <c r="C152" s="47" t="s">
        <v>248</v>
      </c>
      <c r="D152" s="37"/>
      <c r="E152" s="43"/>
      <c r="H152" s="13"/>
    </row>
    <row r="153" spans="1:8" hidden="1" x14ac:dyDescent="0.25">
      <c r="A153" s="13"/>
      <c r="B153" s="52" t="s">
        <v>65</v>
      </c>
      <c r="C153" s="47" t="s">
        <v>249</v>
      </c>
      <c r="D153" s="37"/>
      <c r="E153" s="43"/>
      <c r="H153" s="13"/>
    </row>
    <row r="154" spans="1:8" hidden="1" x14ac:dyDescent="0.25">
      <c r="A154" s="13"/>
      <c r="B154" s="52" t="s">
        <v>132</v>
      </c>
      <c r="C154" s="47" t="s">
        <v>250</v>
      </c>
      <c r="D154" s="37"/>
      <c r="E154" s="43"/>
      <c r="H154" s="13"/>
    </row>
    <row r="155" spans="1:8" hidden="1" x14ac:dyDescent="0.25">
      <c r="A155" s="13"/>
      <c r="B155" s="52" t="s">
        <v>68</v>
      </c>
      <c r="C155" s="47" t="s">
        <v>251</v>
      </c>
      <c r="D155" s="37"/>
      <c r="E155" s="43"/>
      <c r="H155" s="13"/>
    </row>
    <row r="156" spans="1:8" hidden="1" x14ac:dyDescent="0.25">
      <c r="A156" s="13"/>
      <c r="B156" s="52" t="s">
        <v>169</v>
      </c>
      <c r="C156" s="47" t="s">
        <v>252</v>
      </c>
      <c r="D156" s="37"/>
      <c r="E156" s="43"/>
      <c r="H156" s="13"/>
    </row>
    <row r="157" spans="1:8" hidden="1" x14ac:dyDescent="0.25">
      <c r="A157" s="13"/>
      <c r="B157" s="52"/>
      <c r="C157" s="47"/>
      <c r="D157" s="37"/>
      <c r="E157" s="43"/>
      <c r="H157" s="13"/>
    </row>
    <row r="158" spans="1:8" hidden="1" x14ac:dyDescent="0.25">
      <c r="A158" s="38" t="s">
        <v>108</v>
      </c>
      <c r="B158" s="48" t="s">
        <v>88</v>
      </c>
      <c r="C158" s="53" t="s">
        <v>294</v>
      </c>
      <c r="D158" s="42"/>
      <c r="E158" s="43"/>
      <c r="H158" s="38"/>
    </row>
    <row r="159" spans="1:8" hidden="1" x14ac:dyDescent="0.25">
      <c r="A159" s="13"/>
      <c r="B159" s="52" t="s">
        <v>66</v>
      </c>
      <c r="C159" s="47" t="s">
        <v>253</v>
      </c>
      <c r="D159" s="37"/>
      <c r="E159" s="43"/>
      <c r="H159" s="13"/>
    </row>
    <row r="160" spans="1:8" hidden="1" x14ac:dyDescent="0.25">
      <c r="A160" s="13"/>
      <c r="B160" s="52" t="s">
        <v>67</v>
      </c>
      <c r="C160" s="47" t="s">
        <v>254</v>
      </c>
      <c r="D160" s="37"/>
      <c r="E160" s="43"/>
      <c r="H160" s="13"/>
    </row>
    <row r="161" spans="1:8" hidden="1" x14ac:dyDescent="0.25">
      <c r="A161" s="13"/>
      <c r="B161" s="52" t="s">
        <v>133</v>
      </c>
      <c r="C161" s="47" t="s">
        <v>255</v>
      </c>
      <c r="D161" s="37"/>
      <c r="E161" s="43"/>
      <c r="H161" s="13"/>
    </row>
    <row r="162" spans="1:8" hidden="1" x14ac:dyDescent="0.25">
      <c r="A162" s="13"/>
      <c r="B162" s="52" t="s">
        <v>170</v>
      </c>
      <c r="C162" s="47" t="s">
        <v>256</v>
      </c>
      <c r="D162" s="37"/>
      <c r="E162" s="43"/>
      <c r="H162" s="13"/>
    </row>
    <row r="163" spans="1:8" hidden="1" x14ac:dyDescent="0.25">
      <c r="A163" s="13"/>
      <c r="B163" s="52" t="s">
        <v>70</v>
      </c>
      <c r="C163" s="47" t="s">
        <v>257</v>
      </c>
      <c r="D163" s="37"/>
      <c r="E163" s="43"/>
      <c r="H163" s="13"/>
    </row>
    <row r="164" spans="1:8" hidden="1" x14ac:dyDescent="0.25">
      <c r="A164" s="13"/>
      <c r="B164" s="52" t="s">
        <v>69</v>
      </c>
      <c r="C164" s="47" t="s">
        <v>258</v>
      </c>
      <c r="D164" s="37"/>
      <c r="E164" s="43"/>
      <c r="H164" s="13"/>
    </row>
    <row r="165" spans="1:8" hidden="1" x14ac:dyDescent="0.25">
      <c r="A165" s="13"/>
      <c r="B165" s="52" t="s">
        <v>134</v>
      </c>
      <c r="C165" s="47" t="s">
        <v>259</v>
      </c>
      <c r="D165" s="37"/>
      <c r="E165" s="43"/>
      <c r="H165" s="13"/>
    </row>
    <row r="166" spans="1:8" hidden="1" x14ac:dyDescent="0.25">
      <c r="A166" s="13"/>
      <c r="B166" s="52" t="s">
        <v>171</v>
      </c>
      <c r="C166" s="47" t="s">
        <v>260</v>
      </c>
      <c r="D166" s="37"/>
      <c r="E166" s="43"/>
      <c r="H166" s="13"/>
    </row>
    <row r="167" spans="1:8" hidden="1" x14ac:dyDescent="0.25">
      <c r="A167" s="37"/>
      <c r="B167" s="47"/>
      <c r="C167" s="47"/>
      <c r="D167" s="37"/>
      <c r="E167" s="43"/>
      <c r="H167" s="37"/>
    </row>
    <row r="168" spans="1:8" hidden="1" x14ac:dyDescent="0.25">
      <c r="A168" s="38" t="s">
        <v>107</v>
      </c>
      <c r="B168" s="48" t="s">
        <v>88</v>
      </c>
      <c r="C168" s="53" t="s">
        <v>294</v>
      </c>
      <c r="D168" s="42"/>
      <c r="E168" s="43"/>
      <c r="H168" s="38"/>
    </row>
    <row r="169" spans="1:8" hidden="1" x14ac:dyDescent="0.25">
      <c r="A169" s="13"/>
      <c r="B169" s="52" t="s">
        <v>135</v>
      </c>
      <c r="C169" s="47" t="s">
        <v>261</v>
      </c>
      <c r="D169" s="37"/>
      <c r="E169" s="43"/>
      <c r="H169" s="13"/>
    </row>
    <row r="170" spans="1:8" hidden="1" x14ac:dyDescent="0.25">
      <c r="A170" s="13"/>
      <c r="B170" s="52" t="s">
        <v>71</v>
      </c>
      <c r="C170" s="47" t="s">
        <v>262</v>
      </c>
      <c r="D170" s="37"/>
      <c r="E170" s="43"/>
      <c r="H170" s="13"/>
    </row>
    <row r="171" spans="1:8" hidden="1" x14ac:dyDescent="0.25">
      <c r="A171" s="13"/>
      <c r="B171" s="52" t="s">
        <v>72</v>
      </c>
      <c r="C171" s="47" t="s">
        <v>263</v>
      </c>
      <c r="D171" s="37"/>
      <c r="E171" s="43"/>
      <c r="H171" s="13"/>
    </row>
    <row r="172" spans="1:8" hidden="1" x14ac:dyDescent="0.25">
      <c r="A172" s="13"/>
      <c r="B172" s="52" t="s">
        <v>136</v>
      </c>
      <c r="C172" s="47" t="s">
        <v>264</v>
      </c>
      <c r="D172" s="37"/>
      <c r="E172" s="43"/>
      <c r="H172" s="13"/>
    </row>
    <row r="173" spans="1:8" hidden="1" x14ac:dyDescent="0.25">
      <c r="A173" s="13"/>
      <c r="B173" s="47"/>
      <c r="C173" s="47"/>
      <c r="D173" s="37"/>
      <c r="E173" s="43"/>
      <c r="H173" s="13"/>
    </row>
    <row r="174" spans="1:8" hidden="1" x14ac:dyDescent="0.25">
      <c r="A174" s="38" t="s">
        <v>106</v>
      </c>
      <c r="B174" s="48" t="s">
        <v>88</v>
      </c>
      <c r="C174" s="53" t="s">
        <v>294</v>
      </c>
      <c r="D174" s="42"/>
      <c r="E174" s="43"/>
      <c r="H174" s="38"/>
    </row>
    <row r="175" spans="1:8" hidden="1" x14ac:dyDescent="0.25">
      <c r="A175" s="13"/>
      <c r="B175" s="52" t="s">
        <v>172</v>
      </c>
      <c r="C175" s="47" t="s">
        <v>265</v>
      </c>
      <c r="D175" s="37"/>
      <c r="E175" s="43"/>
      <c r="H175" s="13"/>
    </row>
    <row r="176" spans="1:8" hidden="1" x14ac:dyDescent="0.25">
      <c r="A176" s="13"/>
      <c r="B176" s="52" t="s">
        <v>73</v>
      </c>
      <c r="C176" s="47" t="s">
        <v>266</v>
      </c>
      <c r="D176" s="37"/>
      <c r="E176" s="43"/>
      <c r="H176" s="13"/>
    </row>
    <row r="177" spans="1:8" hidden="1" x14ac:dyDescent="0.25">
      <c r="A177" s="13"/>
      <c r="B177" s="52" t="s">
        <v>137</v>
      </c>
      <c r="C177" s="47" t="s">
        <v>267</v>
      </c>
      <c r="D177" s="37"/>
      <c r="E177" s="43"/>
      <c r="H177" s="13"/>
    </row>
    <row r="178" spans="1:8" hidden="1" x14ac:dyDescent="0.25">
      <c r="A178" s="37"/>
      <c r="B178" s="47"/>
      <c r="C178" s="47"/>
      <c r="D178" s="37"/>
      <c r="E178" s="43"/>
      <c r="H178" s="37"/>
    </row>
    <row r="179" spans="1:8" hidden="1" x14ac:dyDescent="0.25">
      <c r="A179" s="38" t="s">
        <v>37</v>
      </c>
      <c r="B179" s="48" t="s">
        <v>88</v>
      </c>
      <c r="C179" s="53" t="s">
        <v>294</v>
      </c>
      <c r="D179" s="42"/>
      <c r="E179" s="43"/>
      <c r="H179" s="38"/>
    </row>
    <row r="180" spans="1:8" hidden="1" x14ac:dyDescent="0.25">
      <c r="A180" s="13"/>
      <c r="B180" s="52" t="s">
        <v>138</v>
      </c>
      <c r="C180" s="47" t="s">
        <v>268</v>
      </c>
      <c r="D180" s="37"/>
      <c r="E180" s="43"/>
      <c r="H180" s="13"/>
    </row>
    <row r="181" spans="1:8" hidden="1" x14ac:dyDescent="0.25">
      <c r="A181" s="13"/>
      <c r="B181" s="52" t="s">
        <v>38</v>
      </c>
      <c r="C181" s="47" t="s">
        <v>269</v>
      </c>
      <c r="D181" s="37"/>
      <c r="E181" s="43"/>
      <c r="H181" s="13"/>
    </row>
    <row r="182" spans="1:8" hidden="1" x14ac:dyDescent="0.25">
      <c r="A182" s="13"/>
      <c r="B182" s="52" t="s">
        <v>39</v>
      </c>
      <c r="C182" s="47" t="s">
        <v>270</v>
      </c>
      <c r="D182" s="37"/>
      <c r="E182" s="43"/>
      <c r="H182" s="13"/>
    </row>
    <row r="183" spans="1:8" hidden="1" x14ac:dyDescent="0.25">
      <c r="A183" s="13"/>
      <c r="B183" s="52" t="s">
        <v>139</v>
      </c>
      <c r="C183" s="47" t="s">
        <v>271</v>
      </c>
      <c r="D183" s="37"/>
      <c r="E183" s="43"/>
      <c r="H183" s="13"/>
    </row>
    <row r="184" spans="1:8" hidden="1" x14ac:dyDescent="0.25">
      <c r="A184" s="13"/>
      <c r="B184" s="52" t="s">
        <v>40</v>
      </c>
      <c r="C184" s="47" t="s">
        <v>272</v>
      </c>
      <c r="D184" s="37"/>
      <c r="E184" s="43"/>
      <c r="H184" s="13"/>
    </row>
    <row r="185" spans="1:8" hidden="1" x14ac:dyDescent="0.25">
      <c r="A185" s="13"/>
      <c r="B185" s="52" t="s">
        <v>140</v>
      </c>
      <c r="C185" s="47" t="s">
        <v>273</v>
      </c>
      <c r="D185" s="37"/>
      <c r="E185" s="43"/>
      <c r="H185" s="13"/>
    </row>
    <row r="186" spans="1:8" hidden="1" x14ac:dyDescent="0.25">
      <c r="A186" s="13"/>
      <c r="B186" s="52" t="s">
        <v>141</v>
      </c>
      <c r="C186" s="47" t="s">
        <v>274</v>
      </c>
      <c r="D186" s="37"/>
      <c r="E186" s="43"/>
      <c r="H186" s="13"/>
    </row>
    <row r="187" spans="1:8" hidden="1" x14ac:dyDescent="0.25">
      <c r="A187" s="37"/>
      <c r="B187" s="47"/>
      <c r="C187" s="47"/>
      <c r="D187" s="37"/>
      <c r="E187" s="43"/>
      <c r="H187" s="37"/>
    </row>
    <row r="188" spans="1:8" hidden="1" x14ac:dyDescent="0.25">
      <c r="A188" s="38" t="s">
        <v>22</v>
      </c>
      <c r="B188" s="48" t="s">
        <v>88</v>
      </c>
      <c r="C188" s="53" t="s">
        <v>294</v>
      </c>
      <c r="D188" s="42"/>
      <c r="E188" s="43"/>
      <c r="H188" s="38"/>
    </row>
    <row r="189" spans="1:8" hidden="1" x14ac:dyDescent="0.25">
      <c r="A189" s="13"/>
      <c r="B189" s="52" t="s">
        <v>23</v>
      </c>
      <c r="C189" s="47" t="s">
        <v>275</v>
      </c>
      <c r="D189" s="37"/>
      <c r="E189" s="43"/>
      <c r="H189" s="13"/>
    </row>
    <row r="190" spans="1:8" hidden="1" x14ac:dyDescent="0.25">
      <c r="A190" s="13"/>
      <c r="B190" s="52" t="s">
        <v>25</v>
      </c>
      <c r="C190" s="47" t="s">
        <v>276</v>
      </c>
      <c r="D190" s="37"/>
      <c r="E190" s="43"/>
      <c r="H190" s="13"/>
    </row>
    <row r="191" spans="1:8" hidden="1" x14ac:dyDescent="0.25">
      <c r="A191" s="13"/>
      <c r="B191" s="52" t="s">
        <v>142</v>
      </c>
      <c r="C191" s="47" t="s">
        <v>277</v>
      </c>
      <c r="D191" s="37"/>
      <c r="E191" s="43"/>
      <c r="H191" s="13"/>
    </row>
    <row r="192" spans="1:8" hidden="1" x14ac:dyDescent="0.25">
      <c r="A192" s="13"/>
      <c r="B192" s="52" t="s">
        <v>24</v>
      </c>
      <c r="C192" s="47" t="s">
        <v>278</v>
      </c>
      <c r="D192" s="37"/>
      <c r="E192" s="43"/>
      <c r="H192" s="13"/>
    </row>
    <row r="193" spans="1:8" hidden="1" x14ac:dyDescent="0.25">
      <c r="A193" s="13"/>
      <c r="B193" s="54" t="s">
        <v>173</v>
      </c>
      <c r="C193" s="50" t="s">
        <v>279</v>
      </c>
      <c r="D193" s="13"/>
      <c r="E193" s="43"/>
      <c r="H193" s="13"/>
    </row>
    <row r="194" spans="1:8" hidden="1" x14ac:dyDescent="0.25">
      <c r="A194" s="13"/>
      <c r="B194" s="52" t="s">
        <v>26</v>
      </c>
      <c r="C194" s="47" t="s">
        <v>280</v>
      </c>
      <c r="D194" s="37"/>
      <c r="E194" s="43"/>
      <c r="H194" s="13"/>
    </row>
    <row r="195" spans="1:8" hidden="1" x14ac:dyDescent="0.25">
      <c r="A195" s="13"/>
      <c r="B195" s="52" t="s">
        <v>27</v>
      </c>
      <c r="C195" s="47" t="s">
        <v>281</v>
      </c>
      <c r="D195" s="37"/>
      <c r="E195" s="43"/>
      <c r="H195" s="13"/>
    </row>
    <row r="196" spans="1:8" hidden="1" x14ac:dyDescent="0.25">
      <c r="A196" s="37"/>
      <c r="B196" s="47"/>
      <c r="C196" s="47"/>
      <c r="D196" s="37"/>
      <c r="E196" s="43"/>
      <c r="H196" s="37"/>
    </row>
    <row r="197" spans="1:8" hidden="1" x14ac:dyDescent="0.25">
      <c r="A197" s="38" t="s">
        <v>143</v>
      </c>
      <c r="B197" s="48" t="s">
        <v>88</v>
      </c>
      <c r="C197" s="53" t="s">
        <v>294</v>
      </c>
      <c r="D197" s="42"/>
      <c r="E197" s="43"/>
      <c r="H197" s="38"/>
    </row>
    <row r="198" spans="1:8" hidden="1" x14ac:dyDescent="0.25">
      <c r="A198" s="13"/>
      <c r="B198" s="52" t="s">
        <v>29</v>
      </c>
      <c r="C198" s="52" t="s">
        <v>282</v>
      </c>
      <c r="D198" s="39"/>
      <c r="E198" s="43"/>
      <c r="H198" s="13"/>
    </row>
    <row r="199" spans="1:8" hidden="1" x14ac:dyDescent="0.25">
      <c r="A199" s="13"/>
      <c r="B199" s="52" t="s">
        <v>31</v>
      </c>
      <c r="C199" s="47" t="s">
        <v>283</v>
      </c>
      <c r="D199" s="37"/>
      <c r="E199" s="43"/>
      <c r="H199" s="13"/>
    </row>
    <row r="200" spans="1:8" hidden="1" x14ac:dyDescent="0.25">
      <c r="A200" s="13"/>
      <c r="B200" s="52" t="s">
        <v>28</v>
      </c>
      <c r="C200" s="47" t="s">
        <v>284</v>
      </c>
      <c r="D200" s="37"/>
      <c r="E200" s="43"/>
      <c r="H200" s="13"/>
    </row>
    <row r="201" spans="1:8" hidden="1" x14ac:dyDescent="0.25">
      <c r="A201" s="13"/>
      <c r="B201" s="52" t="s">
        <v>36</v>
      </c>
      <c r="C201" s="47" t="s">
        <v>285</v>
      </c>
      <c r="D201" s="37"/>
      <c r="E201" s="43"/>
      <c r="H201" s="13"/>
    </row>
    <row r="202" spans="1:8" hidden="1" x14ac:dyDescent="0.25">
      <c r="A202" s="13"/>
      <c r="B202" s="52" t="s">
        <v>30</v>
      </c>
      <c r="C202" s="47" t="s">
        <v>286</v>
      </c>
      <c r="D202" s="37"/>
      <c r="E202" s="43"/>
      <c r="H202" s="13"/>
    </row>
    <row r="203" spans="1:8" hidden="1" x14ac:dyDescent="0.25">
      <c r="A203" s="13"/>
      <c r="B203" s="54" t="s">
        <v>144</v>
      </c>
      <c r="C203" s="50" t="s">
        <v>287</v>
      </c>
      <c r="D203" s="13"/>
      <c r="E203" s="43"/>
      <c r="H203" s="13"/>
    </row>
    <row r="204" spans="1:8" hidden="1" x14ac:dyDescent="0.25">
      <c r="A204" s="13"/>
      <c r="B204" s="52"/>
      <c r="C204" s="47"/>
      <c r="D204" s="37"/>
      <c r="E204" s="43"/>
      <c r="H204" s="13"/>
    </row>
    <row r="205" spans="1:8" hidden="1" x14ac:dyDescent="0.25">
      <c r="A205" s="38" t="s">
        <v>104</v>
      </c>
      <c r="B205" s="48" t="s">
        <v>88</v>
      </c>
      <c r="C205" s="53" t="s">
        <v>294</v>
      </c>
      <c r="D205" s="42"/>
      <c r="E205" s="43"/>
      <c r="H205" s="38"/>
    </row>
    <row r="206" spans="1:8" hidden="1" x14ac:dyDescent="0.25">
      <c r="A206" s="13"/>
      <c r="B206" s="52" t="s">
        <v>32</v>
      </c>
      <c r="C206" s="47" t="s">
        <v>288</v>
      </c>
      <c r="D206" s="37"/>
      <c r="E206" s="43"/>
      <c r="H206" s="13"/>
    </row>
    <row r="207" spans="1:8" hidden="1" x14ac:dyDescent="0.25">
      <c r="A207" s="13"/>
      <c r="B207" s="52" t="s">
        <v>34</v>
      </c>
      <c r="C207" s="47" t="s">
        <v>289</v>
      </c>
      <c r="D207" s="37"/>
      <c r="E207" s="43"/>
      <c r="H207" s="13"/>
    </row>
    <row r="208" spans="1:8" hidden="1" x14ac:dyDescent="0.25">
      <c r="A208" s="13"/>
      <c r="B208" s="52" t="s">
        <v>35</v>
      </c>
      <c r="C208" s="47" t="s">
        <v>290</v>
      </c>
      <c r="D208" s="37"/>
      <c r="E208" s="43"/>
      <c r="H208" s="13"/>
    </row>
    <row r="209" spans="1:11" hidden="1" x14ac:dyDescent="0.25">
      <c r="A209" s="13"/>
      <c r="B209" s="52" t="s">
        <v>174</v>
      </c>
      <c r="C209" s="47" t="s">
        <v>291</v>
      </c>
      <c r="D209" s="37"/>
      <c r="E209" s="43"/>
      <c r="H209" s="13"/>
    </row>
    <row r="210" spans="1:11" hidden="1" x14ac:dyDescent="0.25">
      <c r="A210" s="13"/>
      <c r="B210" s="54" t="s">
        <v>145</v>
      </c>
      <c r="C210" s="50" t="s">
        <v>292</v>
      </c>
      <c r="D210" s="13"/>
      <c r="E210" s="43"/>
      <c r="H210" s="13"/>
    </row>
    <row r="211" spans="1:11" hidden="1" x14ac:dyDescent="0.25">
      <c r="A211" s="13"/>
      <c r="B211" s="52" t="s">
        <v>33</v>
      </c>
      <c r="C211" s="47" t="s">
        <v>293</v>
      </c>
      <c r="D211" s="37"/>
      <c r="E211" s="43"/>
      <c r="H211" s="13"/>
    </row>
    <row r="212" spans="1:11" hidden="1" x14ac:dyDescent="0.25">
      <c r="B212" s="49"/>
      <c r="C212" s="49"/>
      <c r="E212" s="43"/>
    </row>
    <row r="213" spans="1:11" hidden="1" x14ac:dyDescent="0.25">
      <c r="B213" s="49"/>
      <c r="C213" s="49"/>
      <c r="E213" s="43"/>
    </row>
    <row r="214" spans="1:11" hidden="1" x14ac:dyDescent="0.25">
      <c r="A214" s="38" t="s">
        <v>17</v>
      </c>
      <c r="B214" s="48" t="s">
        <v>88</v>
      </c>
      <c r="C214" s="53" t="s">
        <v>294</v>
      </c>
      <c r="D214" s="42"/>
      <c r="E214" s="43"/>
    </row>
    <row r="215" spans="1:11" hidden="1" x14ac:dyDescent="0.25">
      <c r="B215" s="52" t="s">
        <v>152</v>
      </c>
      <c r="C215" s="47" t="s">
        <v>213</v>
      </c>
      <c r="D215" s="37"/>
      <c r="E215" s="43"/>
      <c r="I215" s="39"/>
    </row>
    <row r="216" spans="1:11" hidden="1" x14ac:dyDescent="0.25">
      <c r="B216" s="52" t="s">
        <v>59</v>
      </c>
      <c r="C216" s="47" t="s">
        <v>221</v>
      </c>
      <c r="D216" s="37"/>
      <c r="E216" s="43"/>
      <c r="I216" s="39"/>
    </row>
    <row r="217" spans="1:11" hidden="1" x14ac:dyDescent="0.25">
      <c r="B217" s="52" t="s">
        <v>124</v>
      </c>
      <c r="C217" s="47" t="s">
        <v>214</v>
      </c>
      <c r="D217" s="37"/>
      <c r="E217" s="43"/>
      <c r="I217" s="39"/>
    </row>
    <row r="218" spans="1:11" hidden="1" x14ac:dyDescent="0.25">
      <c r="B218" s="52" t="s">
        <v>58</v>
      </c>
      <c r="C218" s="47" t="s">
        <v>222</v>
      </c>
      <c r="D218" s="37"/>
      <c r="E218" s="43"/>
      <c r="I218" s="39"/>
    </row>
    <row r="219" spans="1:11" hidden="1" x14ac:dyDescent="0.25">
      <c r="B219" s="52" t="s">
        <v>56</v>
      </c>
      <c r="C219" s="47" t="s">
        <v>215</v>
      </c>
      <c r="D219" s="37"/>
      <c r="E219" s="43"/>
      <c r="I219" s="39"/>
    </row>
    <row r="220" spans="1:11" hidden="1" x14ac:dyDescent="0.25">
      <c r="B220" s="52" t="s">
        <v>154</v>
      </c>
      <c r="C220" s="47" t="s">
        <v>223</v>
      </c>
      <c r="D220" s="37"/>
      <c r="E220" s="43"/>
      <c r="I220" s="39"/>
    </row>
    <row r="221" spans="1:11" hidden="1" x14ac:dyDescent="0.25">
      <c r="B221" s="52" t="s">
        <v>55</v>
      </c>
      <c r="C221" s="47" t="s">
        <v>216</v>
      </c>
      <c r="D221" s="37"/>
      <c r="E221" s="43"/>
      <c r="I221" s="39"/>
    </row>
    <row r="222" spans="1:11" hidden="1" x14ac:dyDescent="0.25">
      <c r="B222" s="52" t="s">
        <v>155</v>
      </c>
      <c r="C222" s="47" t="s">
        <v>224</v>
      </c>
      <c r="D222" s="37"/>
      <c r="E222" s="43"/>
      <c r="I222" s="39"/>
    </row>
    <row r="223" spans="1:11" hidden="1" x14ac:dyDescent="0.25">
      <c r="B223" s="52" t="s">
        <v>153</v>
      </c>
      <c r="C223" s="47" t="s">
        <v>217</v>
      </c>
      <c r="D223" s="37"/>
      <c r="E223" s="43"/>
      <c r="I223" s="37"/>
      <c r="K223" s="37"/>
    </row>
    <row r="224" spans="1:11" hidden="1" x14ac:dyDescent="0.25">
      <c r="B224" s="52" t="s">
        <v>60</v>
      </c>
      <c r="C224" s="47" t="s">
        <v>225</v>
      </c>
      <c r="D224" s="37"/>
      <c r="E224" s="43"/>
      <c r="I224" s="37"/>
      <c r="K224" s="37"/>
    </row>
    <row r="225" spans="1:11" hidden="1" x14ac:dyDescent="0.25">
      <c r="B225" s="52" t="s">
        <v>53</v>
      </c>
      <c r="C225" s="47" t="s">
        <v>218</v>
      </c>
      <c r="D225" s="37"/>
      <c r="E225" s="43"/>
      <c r="I225" s="39"/>
    </row>
    <row r="226" spans="1:11" hidden="1" x14ac:dyDescent="0.25">
      <c r="B226" s="52" t="s">
        <v>125</v>
      </c>
      <c r="C226" s="47" t="s">
        <v>219</v>
      </c>
      <c r="D226" s="37"/>
      <c r="E226" s="43"/>
      <c r="I226" s="39"/>
    </row>
    <row r="227" spans="1:11" hidden="1" x14ac:dyDescent="0.25">
      <c r="B227" s="52" t="s">
        <v>54</v>
      </c>
      <c r="C227" s="47" t="s">
        <v>220</v>
      </c>
      <c r="D227" s="37"/>
      <c r="E227" s="43"/>
      <c r="I227" s="39"/>
    </row>
    <row r="228" spans="1:11" hidden="1" x14ac:dyDescent="0.25">
      <c r="B228" s="48" t="s">
        <v>88</v>
      </c>
      <c r="C228" s="53" t="s">
        <v>294</v>
      </c>
      <c r="D228" s="42"/>
      <c r="E228" s="43"/>
      <c r="I228" s="39"/>
    </row>
    <row r="229" spans="1:11" hidden="1" x14ac:dyDescent="0.25">
      <c r="A229" s="38" t="s">
        <v>176</v>
      </c>
      <c r="B229" s="52" t="s">
        <v>29</v>
      </c>
      <c r="C229" s="52" t="s">
        <v>282</v>
      </c>
      <c r="D229" s="39"/>
      <c r="E229" s="43"/>
      <c r="I229" s="39"/>
    </row>
    <row r="230" spans="1:11" hidden="1" x14ac:dyDescent="0.25">
      <c r="B230" s="52" t="s">
        <v>32</v>
      </c>
      <c r="C230" s="47" t="s">
        <v>288</v>
      </c>
      <c r="D230" s="37"/>
      <c r="E230" s="43"/>
      <c r="I230" s="39"/>
    </row>
    <row r="231" spans="1:11" hidden="1" x14ac:dyDescent="0.25">
      <c r="B231" s="52" t="s">
        <v>31</v>
      </c>
      <c r="C231" s="47" t="s">
        <v>283</v>
      </c>
      <c r="D231" s="37"/>
      <c r="E231" s="43"/>
      <c r="I231" s="39"/>
    </row>
    <row r="232" spans="1:11" hidden="1" x14ac:dyDescent="0.25">
      <c r="B232" s="52" t="s">
        <v>34</v>
      </c>
      <c r="C232" s="47" t="s">
        <v>289</v>
      </c>
      <c r="D232" s="37"/>
      <c r="E232" s="44"/>
      <c r="I232" s="39"/>
    </row>
    <row r="233" spans="1:11" hidden="1" x14ac:dyDescent="0.25">
      <c r="B233" s="52" t="s">
        <v>28</v>
      </c>
      <c r="C233" s="47" t="s">
        <v>284</v>
      </c>
      <c r="D233" s="37"/>
      <c r="E233" s="45"/>
      <c r="I233" s="39"/>
    </row>
    <row r="234" spans="1:11" hidden="1" x14ac:dyDescent="0.25">
      <c r="B234" s="52" t="s">
        <v>35</v>
      </c>
      <c r="C234" s="47" t="s">
        <v>290</v>
      </c>
      <c r="D234" s="37"/>
      <c r="E234" s="44"/>
      <c r="I234" s="40"/>
    </row>
    <row r="235" spans="1:11" hidden="1" x14ac:dyDescent="0.25">
      <c r="B235" s="52" t="s">
        <v>36</v>
      </c>
      <c r="C235" s="47" t="s">
        <v>285</v>
      </c>
      <c r="D235" s="37"/>
      <c r="E235" s="45"/>
      <c r="I235" s="39"/>
      <c r="K235" s="37"/>
    </row>
    <row r="236" spans="1:11" hidden="1" x14ac:dyDescent="0.25">
      <c r="B236" s="52" t="s">
        <v>174</v>
      </c>
      <c r="C236" s="47" t="s">
        <v>291</v>
      </c>
      <c r="D236" s="37"/>
      <c r="E236" s="43"/>
      <c r="I236" s="37"/>
      <c r="K236" s="37"/>
    </row>
    <row r="237" spans="1:11" hidden="1" x14ac:dyDescent="0.25">
      <c r="B237" s="52" t="s">
        <v>30</v>
      </c>
      <c r="C237" s="47" t="s">
        <v>286</v>
      </c>
      <c r="D237" s="37"/>
      <c r="E237" s="45"/>
      <c r="I237" s="39"/>
    </row>
    <row r="238" spans="1:11" hidden="1" x14ac:dyDescent="0.25">
      <c r="B238" s="54" t="s">
        <v>145</v>
      </c>
      <c r="C238" s="50" t="s">
        <v>292</v>
      </c>
      <c r="D238" s="13"/>
      <c r="E238" s="46"/>
      <c r="I238" s="39"/>
    </row>
    <row r="239" spans="1:11" hidden="1" x14ac:dyDescent="0.25">
      <c r="B239" s="54" t="s">
        <v>144</v>
      </c>
      <c r="C239" s="50" t="s">
        <v>287</v>
      </c>
      <c r="D239" s="13"/>
      <c r="E239" s="45"/>
      <c r="I239" s="39"/>
    </row>
    <row r="240" spans="1:11" hidden="1" x14ac:dyDescent="0.25">
      <c r="B240" s="52" t="s">
        <v>33</v>
      </c>
      <c r="C240" s="47" t="s">
        <v>293</v>
      </c>
      <c r="D240" s="37"/>
      <c r="E240" s="46"/>
      <c r="I240" s="39"/>
    </row>
    <row r="241" spans="1:9" hidden="1" x14ac:dyDescent="0.25">
      <c r="B241" s="48" t="s">
        <v>88</v>
      </c>
      <c r="C241" s="53" t="s">
        <v>294</v>
      </c>
      <c r="D241" s="42"/>
      <c r="E241" s="45"/>
      <c r="I241" s="40"/>
    </row>
    <row r="242" spans="1:9" hidden="1" x14ac:dyDescent="0.25">
      <c r="A242" s="38" t="s">
        <v>175</v>
      </c>
      <c r="B242" s="52" t="s">
        <v>138</v>
      </c>
      <c r="C242" s="47" t="s">
        <v>268</v>
      </c>
      <c r="D242" s="37"/>
      <c r="E242" s="46"/>
      <c r="I242" s="39"/>
    </row>
    <row r="243" spans="1:9" hidden="1" x14ac:dyDescent="0.25">
      <c r="B243" s="52" t="s">
        <v>152</v>
      </c>
      <c r="C243" s="47" t="s">
        <v>213</v>
      </c>
      <c r="D243" s="37"/>
      <c r="E243" s="45"/>
      <c r="I243" s="39"/>
    </row>
    <row r="244" spans="1:9" hidden="1" x14ac:dyDescent="0.25">
      <c r="B244" s="52" t="s">
        <v>38</v>
      </c>
      <c r="C244" s="47" t="s">
        <v>269</v>
      </c>
      <c r="D244" s="37"/>
      <c r="E244" s="46"/>
      <c r="I244" s="39"/>
    </row>
    <row r="245" spans="1:9" hidden="1" x14ac:dyDescent="0.25">
      <c r="B245" s="52" t="s">
        <v>59</v>
      </c>
      <c r="C245" s="47" t="s">
        <v>221</v>
      </c>
      <c r="D245" s="37"/>
      <c r="E245" s="45"/>
      <c r="I245" s="39"/>
    </row>
    <row r="246" spans="1:9" hidden="1" x14ac:dyDescent="0.25">
      <c r="B246" s="52" t="s">
        <v>39</v>
      </c>
      <c r="C246" s="47" t="s">
        <v>270</v>
      </c>
      <c r="D246" s="37"/>
      <c r="E246" s="46"/>
      <c r="I246" s="39"/>
    </row>
    <row r="247" spans="1:9" hidden="1" x14ac:dyDescent="0.25">
      <c r="B247" s="52" t="s">
        <v>124</v>
      </c>
      <c r="C247" s="47" t="s">
        <v>214</v>
      </c>
      <c r="D247" s="37"/>
      <c r="E247" s="45"/>
      <c r="I247" s="39"/>
    </row>
    <row r="248" spans="1:9" hidden="1" x14ac:dyDescent="0.25">
      <c r="B248" s="52" t="s">
        <v>139</v>
      </c>
      <c r="C248" s="47" t="s">
        <v>271</v>
      </c>
      <c r="D248" s="37"/>
      <c r="E248" s="46"/>
      <c r="I248" s="39"/>
    </row>
    <row r="249" spans="1:9" hidden="1" x14ac:dyDescent="0.25">
      <c r="B249" s="52" t="s">
        <v>58</v>
      </c>
      <c r="C249" s="47" t="s">
        <v>222</v>
      </c>
      <c r="D249" s="37"/>
      <c r="E249" s="45"/>
    </row>
    <row r="250" spans="1:9" hidden="1" x14ac:dyDescent="0.25">
      <c r="B250" s="52" t="s">
        <v>40</v>
      </c>
      <c r="C250" s="47" t="s">
        <v>272</v>
      </c>
      <c r="D250" s="37"/>
      <c r="E250" s="46"/>
    </row>
    <row r="251" spans="1:9" hidden="1" x14ac:dyDescent="0.25">
      <c r="B251" s="52" t="s">
        <v>56</v>
      </c>
      <c r="C251" s="47" t="s">
        <v>215</v>
      </c>
      <c r="D251" s="37"/>
      <c r="E251" s="45"/>
      <c r="I251" s="39"/>
    </row>
    <row r="252" spans="1:9" hidden="1" x14ac:dyDescent="0.25">
      <c r="B252" s="52" t="s">
        <v>140</v>
      </c>
      <c r="C252" s="47" t="s">
        <v>273</v>
      </c>
      <c r="D252" s="37"/>
      <c r="E252" s="46"/>
      <c r="I252" s="39"/>
    </row>
    <row r="253" spans="1:9" hidden="1" x14ac:dyDescent="0.25">
      <c r="B253" s="52" t="s">
        <v>154</v>
      </c>
      <c r="C253" s="47" t="s">
        <v>223</v>
      </c>
      <c r="D253" s="37"/>
      <c r="E253" s="45"/>
      <c r="I253" s="39"/>
    </row>
    <row r="254" spans="1:9" hidden="1" x14ac:dyDescent="0.25">
      <c r="B254" s="52" t="s">
        <v>141</v>
      </c>
      <c r="C254" s="47" t="s">
        <v>274</v>
      </c>
      <c r="D254" s="37"/>
      <c r="E254" s="46"/>
      <c r="I254" s="39"/>
    </row>
    <row r="255" spans="1:9" hidden="1" x14ac:dyDescent="0.25">
      <c r="B255" s="52" t="s">
        <v>55</v>
      </c>
      <c r="C255" s="47" t="s">
        <v>216</v>
      </c>
      <c r="D255" s="37"/>
      <c r="E255" s="45"/>
      <c r="I255" s="39"/>
    </row>
    <row r="256" spans="1:9" hidden="1" x14ac:dyDescent="0.25">
      <c r="B256" s="52" t="s">
        <v>155</v>
      </c>
      <c r="C256" s="47" t="s">
        <v>224</v>
      </c>
      <c r="D256" s="37"/>
      <c r="E256" s="46"/>
      <c r="I256" s="39"/>
    </row>
    <row r="257" spans="1:11" hidden="1" x14ac:dyDescent="0.25">
      <c r="B257" s="52" t="s">
        <v>153</v>
      </c>
      <c r="C257" s="47" t="s">
        <v>217</v>
      </c>
      <c r="D257" s="37"/>
      <c r="E257" s="45"/>
      <c r="I257" s="39"/>
    </row>
    <row r="258" spans="1:11" hidden="1" x14ac:dyDescent="0.25">
      <c r="B258" s="52" t="s">
        <v>60</v>
      </c>
      <c r="C258" s="47" t="s">
        <v>225</v>
      </c>
      <c r="D258" s="37"/>
      <c r="E258" s="46"/>
      <c r="I258" s="39"/>
    </row>
    <row r="259" spans="1:11" hidden="1" x14ac:dyDescent="0.25">
      <c r="B259" s="52" t="s">
        <v>53</v>
      </c>
      <c r="C259" s="47" t="s">
        <v>218</v>
      </c>
      <c r="D259" s="37"/>
      <c r="E259" s="45"/>
      <c r="I259" s="39"/>
    </row>
    <row r="260" spans="1:11" hidden="1" x14ac:dyDescent="0.25">
      <c r="B260" s="52" t="s">
        <v>125</v>
      </c>
      <c r="C260" s="47" t="s">
        <v>219</v>
      </c>
      <c r="D260" s="37"/>
      <c r="E260" s="46"/>
      <c r="I260" s="39"/>
    </row>
    <row r="261" spans="1:11" hidden="1" x14ac:dyDescent="0.25">
      <c r="B261" s="52" t="s">
        <v>54</v>
      </c>
      <c r="C261" s="47" t="s">
        <v>220</v>
      </c>
      <c r="D261" s="37"/>
      <c r="E261" s="45"/>
      <c r="I261" s="39"/>
    </row>
    <row r="262" spans="1:11" hidden="1" x14ac:dyDescent="0.25">
      <c r="B262" s="52"/>
      <c r="C262" s="47"/>
      <c r="D262" s="37"/>
      <c r="E262" s="45"/>
      <c r="I262" s="39"/>
    </row>
    <row r="263" spans="1:11" hidden="1" x14ac:dyDescent="0.25">
      <c r="B263" s="48" t="s">
        <v>88</v>
      </c>
      <c r="C263" s="53" t="s">
        <v>294</v>
      </c>
      <c r="D263" s="42"/>
      <c r="E263" s="46"/>
      <c r="I263" s="39"/>
    </row>
    <row r="264" spans="1:11" hidden="1" x14ac:dyDescent="0.25">
      <c r="A264" s="38" t="s">
        <v>177</v>
      </c>
      <c r="B264" s="52" t="s">
        <v>51</v>
      </c>
      <c r="C264" s="47" t="s">
        <v>200</v>
      </c>
      <c r="D264" s="37"/>
      <c r="E264" s="45"/>
      <c r="I264" s="37"/>
    </row>
    <row r="265" spans="1:11" hidden="1" x14ac:dyDescent="0.25">
      <c r="B265" s="52" t="s">
        <v>46</v>
      </c>
      <c r="C265" s="47" t="s">
        <v>204</v>
      </c>
      <c r="D265" s="37"/>
      <c r="E265" s="46"/>
      <c r="I265" s="39"/>
    </row>
    <row r="266" spans="1:11" hidden="1" x14ac:dyDescent="0.25">
      <c r="B266" s="52" t="s">
        <v>118</v>
      </c>
      <c r="C266" s="47" t="s">
        <v>201</v>
      </c>
      <c r="D266" s="37"/>
      <c r="E266" s="45"/>
      <c r="I266" s="39"/>
    </row>
    <row r="267" spans="1:11" hidden="1" x14ac:dyDescent="0.25">
      <c r="B267" s="52" t="s">
        <v>47</v>
      </c>
      <c r="C267" s="47" t="s">
        <v>205</v>
      </c>
      <c r="D267" s="37"/>
      <c r="E267" s="43"/>
      <c r="I267" s="39"/>
    </row>
    <row r="268" spans="1:11" hidden="1" x14ac:dyDescent="0.25">
      <c r="B268" s="52" t="s">
        <v>150</v>
      </c>
      <c r="C268" s="47" t="s">
        <v>202</v>
      </c>
      <c r="D268" s="37"/>
      <c r="E268" s="43"/>
      <c r="I268" s="39"/>
    </row>
    <row r="269" spans="1:11" hidden="1" x14ac:dyDescent="0.25">
      <c r="B269" s="52" t="s">
        <v>49</v>
      </c>
      <c r="C269" s="47" t="s">
        <v>206</v>
      </c>
      <c r="D269" s="37"/>
      <c r="E269" s="45"/>
      <c r="I269" s="37"/>
      <c r="K269" s="37"/>
    </row>
    <row r="270" spans="1:11" hidden="1" x14ac:dyDescent="0.25">
      <c r="B270" s="52" t="s">
        <v>50</v>
      </c>
      <c r="C270" s="47" t="s">
        <v>203</v>
      </c>
      <c r="D270" s="37"/>
      <c r="E270" s="45"/>
      <c r="I270" s="39"/>
      <c r="K270" s="37"/>
    </row>
    <row r="271" spans="1:11" hidden="1" x14ac:dyDescent="0.25">
      <c r="B271" s="52" t="s">
        <v>48</v>
      </c>
      <c r="C271" s="47" t="s">
        <v>207</v>
      </c>
      <c r="D271" s="37"/>
      <c r="E271" s="45"/>
      <c r="I271" s="39"/>
    </row>
    <row r="272" spans="1:11" hidden="1" x14ac:dyDescent="0.25">
      <c r="B272" s="52" t="s">
        <v>119</v>
      </c>
      <c r="C272" s="47" t="s">
        <v>208</v>
      </c>
      <c r="D272" s="37"/>
      <c r="E272" s="45"/>
      <c r="I272" s="39"/>
    </row>
    <row r="273" spans="2:5" hidden="1" x14ac:dyDescent="0.25"/>
    <row r="274" spans="2:5" hidden="1" x14ac:dyDescent="0.25">
      <c r="B274" t="s">
        <v>295</v>
      </c>
      <c r="C274" t="s">
        <v>296</v>
      </c>
      <c r="D274" t="s">
        <v>333</v>
      </c>
      <c r="E274" t="s">
        <v>335</v>
      </c>
    </row>
    <row r="275" spans="2:5" hidden="1" x14ac:dyDescent="0.25">
      <c r="B275" t="s">
        <v>77</v>
      </c>
      <c r="C275" s="37" t="s">
        <v>77</v>
      </c>
      <c r="D275" s="37" t="s">
        <v>312</v>
      </c>
      <c r="E275" s="37" t="str">
        <f>CONCATENATE(Table_Name52[[#This Row],[Table name]],"[Link]")</f>
        <v>Abs[Link]</v>
      </c>
    </row>
    <row r="276" spans="2:5" hidden="1" x14ac:dyDescent="0.25">
      <c r="B276" t="s">
        <v>19</v>
      </c>
      <c r="C276" s="37" t="s">
        <v>19</v>
      </c>
      <c r="D276" s="37" t="s">
        <v>313</v>
      </c>
      <c r="E276" s="37" t="str">
        <f>CONCATENATE(Table_Name52[[#This Row],[Table name]],"[Link]")</f>
        <v>Calves[Link]</v>
      </c>
    </row>
    <row r="277" spans="2:5" hidden="1" x14ac:dyDescent="0.25">
      <c r="B277" t="s">
        <v>18</v>
      </c>
      <c r="C277" s="37" t="s">
        <v>18</v>
      </c>
      <c r="D277" s="37" t="s">
        <v>314</v>
      </c>
      <c r="E277" s="37" t="str">
        <f>CONCATENATE(Table_Name52[[#This Row],[Table name]],"[Link]")</f>
        <v>Biceps[Link]</v>
      </c>
    </row>
    <row r="278" spans="2:5" hidden="1" x14ac:dyDescent="0.25">
      <c r="B278" t="s">
        <v>117</v>
      </c>
      <c r="C278" s="37" t="s">
        <v>297</v>
      </c>
      <c r="D278" s="37" t="s">
        <v>315</v>
      </c>
      <c r="E278" s="37" t="str">
        <f>CONCATENATE(Table_Name52[[#This Row],[Table name]],"[Link]")</f>
        <v>Rear_Delts[Link]</v>
      </c>
    </row>
    <row r="279" spans="2:5" hidden="1" x14ac:dyDescent="0.25">
      <c r="B279" t="s">
        <v>105</v>
      </c>
      <c r="C279" s="37" t="s">
        <v>298</v>
      </c>
      <c r="D279" s="37" t="s">
        <v>316</v>
      </c>
      <c r="E279" s="37" t="str">
        <f>CONCATENATE(Table_Name52[[#This Row],[Table name]],"[Link]")</f>
        <v>Side_Delts[Link]</v>
      </c>
    </row>
    <row r="280" spans="2:5" hidden="1" x14ac:dyDescent="0.25">
      <c r="B280" t="s">
        <v>120</v>
      </c>
      <c r="C280" s="37" t="s">
        <v>120</v>
      </c>
      <c r="D280" s="37" t="s">
        <v>317</v>
      </c>
      <c r="E280" s="37" t="str">
        <f>CONCATENATE(Table_Name52[[#This Row],[Table name]],"[Link]")</f>
        <v>Traps[Link]</v>
      </c>
    </row>
    <row r="281" spans="2:5" hidden="1" x14ac:dyDescent="0.25">
      <c r="B281" t="s">
        <v>52</v>
      </c>
      <c r="C281" s="37" t="s">
        <v>299</v>
      </c>
      <c r="D281" s="37" t="s">
        <v>318</v>
      </c>
      <c r="E281" s="37" t="str">
        <f>CONCATENATE(Table_Name52[[#This Row],[Table name]],"[Link]")</f>
        <v>Horizontal_Triceps[Link]</v>
      </c>
    </row>
    <row r="282" spans="2:5" hidden="1" x14ac:dyDescent="0.25">
      <c r="B282" t="s">
        <v>57</v>
      </c>
      <c r="C282" s="37" t="s">
        <v>300</v>
      </c>
      <c r="D282" s="37" t="s">
        <v>319</v>
      </c>
      <c r="E282" s="37" t="str">
        <f>CONCATENATE(Table_Name52[[#This Row],[Table name]],"[Link]")</f>
        <v>Vertical_Triceps[Link]</v>
      </c>
    </row>
    <row r="283" spans="2:5" hidden="1" x14ac:dyDescent="0.25">
      <c r="B283" t="s">
        <v>338</v>
      </c>
      <c r="C283" s="37" t="s">
        <v>301</v>
      </c>
      <c r="D283" s="37" t="s">
        <v>334</v>
      </c>
      <c r="E283" s="37" t="str">
        <f>CONCATENATE(Table_Name52[[#This Row],[Table name]],"[Link]")</f>
        <v>Horizonal_Back[Link]</v>
      </c>
    </row>
    <row r="284" spans="2:5" hidden="1" x14ac:dyDescent="0.25">
      <c r="B284" t="s">
        <v>339</v>
      </c>
      <c r="C284" s="37" t="s">
        <v>302</v>
      </c>
      <c r="D284" s="37" t="s">
        <v>320</v>
      </c>
      <c r="E284" s="37" t="str">
        <f>CONCATENATE(Table_Name52[[#This Row],[Table name]],"[Link]")</f>
        <v>Vertical_Back[Link]</v>
      </c>
    </row>
    <row r="285" spans="2:5" hidden="1" x14ac:dyDescent="0.25">
      <c r="B285" t="s">
        <v>20</v>
      </c>
      <c r="C285" s="37" t="s">
        <v>20</v>
      </c>
      <c r="D285" s="37" t="s">
        <v>321</v>
      </c>
      <c r="E285" s="37" t="str">
        <f>CONCATENATE(Table_Name52[[#This Row],[Table name]],"[Link]")</f>
        <v>Quads[Link]</v>
      </c>
    </row>
    <row r="286" spans="2:5" hidden="1" x14ac:dyDescent="0.25">
      <c r="B286" t="s">
        <v>108</v>
      </c>
      <c r="C286" s="37" t="s">
        <v>108</v>
      </c>
      <c r="D286" s="37" t="s">
        <v>322</v>
      </c>
      <c r="E286" s="37" t="str">
        <f>CONCATENATE(Table_Name52[[#This Row],[Table name]],"[Link]")</f>
        <v>Glutes[Link]</v>
      </c>
    </row>
    <row r="287" spans="2:5" hidden="1" x14ac:dyDescent="0.25">
      <c r="B287" t="s">
        <v>107</v>
      </c>
      <c r="C287" s="37" t="s">
        <v>303</v>
      </c>
      <c r="D287" s="37" t="s">
        <v>323</v>
      </c>
      <c r="E287" s="37" t="str">
        <f>CONCATENATE(Table_Name52[[#This Row],[Table name]],"[Link]")</f>
        <v>Hamstrings_Hip_Hinge[Link]</v>
      </c>
    </row>
    <row r="288" spans="2:5" hidden="1" x14ac:dyDescent="0.25">
      <c r="B288" t="s">
        <v>106</v>
      </c>
      <c r="C288" s="37" t="s">
        <v>304</v>
      </c>
      <c r="D288" s="37" t="s">
        <v>324</v>
      </c>
      <c r="E288" s="37" t="str">
        <f>CONCATENATE(Table_Name52[[#This Row],[Table name]],"[Link]")</f>
        <v>Hamstrings_Isolation[Link]</v>
      </c>
    </row>
    <row r="289" spans="2:5" hidden="1" x14ac:dyDescent="0.25">
      <c r="B289" t="s">
        <v>37</v>
      </c>
      <c r="C289" s="37" t="s">
        <v>305</v>
      </c>
      <c r="D289" s="37" t="s">
        <v>325</v>
      </c>
      <c r="E289" s="37" t="str">
        <f>CONCATENATE(Table_Name52[[#This Row],[Table name]],"[Link]")</f>
        <v>Chest_Isolation[Link]</v>
      </c>
    </row>
    <row r="290" spans="2:5" hidden="1" x14ac:dyDescent="0.25">
      <c r="B290" t="s">
        <v>344</v>
      </c>
      <c r="C290" s="37" t="s">
        <v>306</v>
      </c>
      <c r="D290" s="37" t="s">
        <v>326</v>
      </c>
      <c r="E290" s="37" t="str">
        <f>CONCATENATE(Table_Name52[[#This Row],[Table name]],"[Link]")</f>
        <v>Horizontal_Push[Link]</v>
      </c>
    </row>
    <row r="291" spans="2:5" hidden="1" x14ac:dyDescent="0.25">
      <c r="B291" t="s">
        <v>343</v>
      </c>
      <c r="C291" s="37" t="s">
        <v>307</v>
      </c>
      <c r="D291" s="37" t="s">
        <v>327</v>
      </c>
      <c r="E291" s="37" t="str">
        <f>CONCATENATE(Table_Name52[[#This Row],[Table name]],"[Link]")</f>
        <v>Incline_Push[Link]</v>
      </c>
    </row>
    <row r="292" spans="2:5" hidden="1" x14ac:dyDescent="0.25">
      <c r="B292" t="s">
        <v>104</v>
      </c>
      <c r="C292" s="37" t="s">
        <v>308</v>
      </c>
      <c r="D292" s="37" t="s">
        <v>328</v>
      </c>
      <c r="E292" s="37" t="str">
        <f>CONCATENATE(Table_Name52[[#This Row],[Table name]],"[Link]")</f>
        <v>Front_Delts[Link]</v>
      </c>
    </row>
    <row r="293" spans="2:5" hidden="1" x14ac:dyDescent="0.25">
      <c r="B293" t="s">
        <v>17</v>
      </c>
      <c r="C293" s="37" t="s">
        <v>17</v>
      </c>
      <c r="D293" s="37" t="s">
        <v>329</v>
      </c>
      <c r="E293" s="37" t="str">
        <f>CONCATENATE(Table_Name52[[#This Row],[Table name]],"[Link]")</f>
        <v>Triceps[Link]</v>
      </c>
    </row>
    <row r="294" spans="2:5" hidden="1" x14ac:dyDescent="0.25">
      <c r="B294" t="s">
        <v>176</v>
      </c>
      <c r="C294" s="37" t="s">
        <v>309</v>
      </c>
      <c r="D294" s="37" t="s">
        <v>330</v>
      </c>
      <c r="E294" s="37" t="str">
        <f>CONCATENATE(Table_Name52[[#This Row],[Table name]],"[Link]")</f>
        <v>Incline_Push_or_Front_Delts[Link]</v>
      </c>
    </row>
    <row r="295" spans="2:5" hidden="1" x14ac:dyDescent="0.25">
      <c r="B295" t="s">
        <v>175</v>
      </c>
      <c r="C295" s="37" t="s">
        <v>310</v>
      </c>
      <c r="D295" s="37" t="s">
        <v>331</v>
      </c>
      <c r="E295" s="37" t="str">
        <f>CONCATENATE(Table_Name52[[#This Row],[Table name]],"[Link]")</f>
        <v>Chest_Isolation_or_Triceps[Link]</v>
      </c>
    </row>
    <row r="296" spans="2:5" hidden="1" x14ac:dyDescent="0.25">
      <c r="B296" t="s">
        <v>340</v>
      </c>
      <c r="C296" s="37" t="s">
        <v>311</v>
      </c>
      <c r="D296" s="37" t="s">
        <v>332</v>
      </c>
      <c r="E296" s="37" t="str">
        <f>CONCATENATE(Table_Name52[[#This Row],[Table name]],"[Link]")</f>
        <v>Rear_or_Side_Delts[Link]</v>
      </c>
    </row>
    <row r="297" spans="2:5" hidden="1" x14ac:dyDescent="0.25"/>
    <row r="298" spans="2:5" hidden="1" x14ac:dyDescent="0.25">
      <c r="B298" s="9" t="s">
        <v>88</v>
      </c>
      <c r="C298" t="s">
        <v>294</v>
      </c>
      <c r="D298" s="9" t="s">
        <v>295</v>
      </c>
    </row>
    <row r="299" spans="2:5" hidden="1" x14ac:dyDescent="0.25">
      <c r="B299" s="37" t="s">
        <v>109</v>
      </c>
      <c r="C299" t="s">
        <v>178</v>
      </c>
      <c r="D299" t="s">
        <v>77</v>
      </c>
    </row>
    <row r="300" spans="2:5" hidden="1" x14ac:dyDescent="0.25">
      <c r="B300" s="37" t="s">
        <v>79</v>
      </c>
      <c r="C300" t="s">
        <v>179</v>
      </c>
      <c r="D300" t="s">
        <v>77</v>
      </c>
    </row>
    <row r="301" spans="2:5" hidden="1" x14ac:dyDescent="0.25">
      <c r="B301" s="37" t="s">
        <v>80</v>
      </c>
      <c r="C301" t="s">
        <v>180</v>
      </c>
      <c r="D301" t="s">
        <v>77</v>
      </c>
    </row>
    <row r="302" spans="2:5" hidden="1" x14ac:dyDescent="0.25">
      <c r="B302" s="37" t="s">
        <v>78</v>
      </c>
      <c r="C302" t="s">
        <v>181</v>
      </c>
      <c r="D302" t="s">
        <v>77</v>
      </c>
    </row>
    <row r="303" spans="2:5" hidden="1" x14ac:dyDescent="0.25">
      <c r="B303" s="39" t="s">
        <v>110</v>
      </c>
      <c r="C303" t="s">
        <v>182</v>
      </c>
      <c r="D303" t="s">
        <v>77</v>
      </c>
    </row>
    <row r="304" spans="2:5" hidden="1" x14ac:dyDescent="0.25">
      <c r="B304" s="37" t="s">
        <v>81</v>
      </c>
      <c r="C304" t="s">
        <v>183</v>
      </c>
      <c r="D304" t="s">
        <v>77</v>
      </c>
    </row>
    <row r="305" spans="2:4" hidden="1" x14ac:dyDescent="0.25">
      <c r="B305" s="37" t="s">
        <v>146</v>
      </c>
      <c r="C305" t="s">
        <v>184</v>
      </c>
      <c r="D305" t="s">
        <v>77</v>
      </c>
    </row>
    <row r="306" spans="2:4" hidden="1" x14ac:dyDescent="0.25">
      <c r="B306" s="37" t="s">
        <v>61</v>
      </c>
      <c r="C306" t="s">
        <v>189</v>
      </c>
      <c r="D306" t="s">
        <v>18</v>
      </c>
    </row>
    <row r="307" spans="2:4" hidden="1" x14ac:dyDescent="0.25">
      <c r="B307" s="37" t="s">
        <v>62</v>
      </c>
      <c r="C307" t="s">
        <v>190</v>
      </c>
      <c r="D307" t="s">
        <v>18</v>
      </c>
    </row>
    <row r="308" spans="2:4" hidden="1" x14ac:dyDescent="0.25">
      <c r="B308" s="37" t="s">
        <v>112</v>
      </c>
      <c r="C308" t="s">
        <v>191</v>
      </c>
      <c r="D308" t="s">
        <v>18</v>
      </c>
    </row>
    <row r="309" spans="2:4" hidden="1" x14ac:dyDescent="0.25">
      <c r="B309" s="37" t="s">
        <v>63</v>
      </c>
      <c r="C309" t="s">
        <v>192</v>
      </c>
      <c r="D309" t="s">
        <v>18</v>
      </c>
    </row>
    <row r="310" spans="2:4" hidden="1" x14ac:dyDescent="0.25">
      <c r="B310" s="37" t="s">
        <v>113</v>
      </c>
      <c r="C310" t="s">
        <v>193</v>
      </c>
      <c r="D310" t="s">
        <v>18</v>
      </c>
    </row>
    <row r="311" spans="2:4" hidden="1" x14ac:dyDescent="0.25">
      <c r="B311" s="37" t="s">
        <v>114</v>
      </c>
      <c r="C311" t="s">
        <v>194</v>
      </c>
      <c r="D311" t="s">
        <v>18</v>
      </c>
    </row>
    <row r="312" spans="2:4" hidden="1" x14ac:dyDescent="0.25">
      <c r="B312" s="37" t="s">
        <v>147</v>
      </c>
      <c r="C312" t="s">
        <v>195</v>
      </c>
      <c r="D312" t="s">
        <v>18</v>
      </c>
    </row>
    <row r="313" spans="2:4" hidden="1" x14ac:dyDescent="0.25">
      <c r="B313" s="37" t="s">
        <v>148</v>
      </c>
      <c r="C313" t="s">
        <v>196</v>
      </c>
      <c r="D313" t="s">
        <v>18</v>
      </c>
    </row>
    <row r="314" spans="2:4" hidden="1" x14ac:dyDescent="0.25">
      <c r="B314" s="39" t="s">
        <v>115</v>
      </c>
      <c r="C314" t="s">
        <v>197</v>
      </c>
      <c r="D314" t="s">
        <v>18</v>
      </c>
    </row>
    <row r="315" spans="2:4" hidden="1" x14ac:dyDescent="0.25">
      <c r="B315" s="37" t="s">
        <v>116</v>
      </c>
      <c r="C315" t="s">
        <v>198</v>
      </c>
      <c r="D315" t="s">
        <v>18</v>
      </c>
    </row>
    <row r="316" spans="2:4" hidden="1" x14ac:dyDescent="0.25">
      <c r="B316" s="37" t="s">
        <v>149</v>
      </c>
      <c r="C316" t="s">
        <v>199</v>
      </c>
      <c r="D316" t="s">
        <v>18</v>
      </c>
    </row>
    <row r="317" spans="2:4" hidden="1" x14ac:dyDescent="0.25">
      <c r="B317" s="37" t="s">
        <v>111</v>
      </c>
      <c r="C317" t="s">
        <v>185</v>
      </c>
      <c r="D317" t="s">
        <v>19</v>
      </c>
    </row>
    <row r="318" spans="2:4" hidden="1" x14ac:dyDescent="0.25">
      <c r="B318" s="37" t="s">
        <v>75</v>
      </c>
      <c r="C318" t="s">
        <v>186</v>
      </c>
      <c r="D318" t="s">
        <v>19</v>
      </c>
    </row>
    <row r="319" spans="2:4" hidden="1" x14ac:dyDescent="0.25">
      <c r="B319" s="37" t="s">
        <v>74</v>
      </c>
      <c r="C319" t="s">
        <v>187</v>
      </c>
      <c r="D319" t="s">
        <v>19</v>
      </c>
    </row>
    <row r="320" spans="2:4" hidden="1" x14ac:dyDescent="0.25">
      <c r="B320" s="37" t="s">
        <v>76</v>
      </c>
      <c r="C320" t="s">
        <v>188</v>
      </c>
      <c r="D320" t="s">
        <v>19</v>
      </c>
    </row>
    <row r="321" spans="2:4" hidden="1" x14ac:dyDescent="0.25">
      <c r="B321" s="37" t="s">
        <v>138</v>
      </c>
      <c r="C321" t="s">
        <v>268</v>
      </c>
      <c r="D321" t="s">
        <v>37</v>
      </c>
    </row>
    <row r="322" spans="2:4" hidden="1" x14ac:dyDescent="0.25">
      <c r="B322" s="37" t="s">
        <v>38</v>
      </c>
      <c r="C322" t="s">
        <v>269</v>
      </c>
      <c r="D322" t="s">
        <v>37</v>
      </c>
    </row>
    <row r="323" spans="2:4" hidden="1" x14ac:dyDescent="0.25">
      <c r="B323" s="37" t="s">
        <v>39</v>
      </c>
      <c r="C323" t="s">
        <v>270</v>
      </c>
      <c r="D323" t="s">
        <v>37</v>
      </c>
    </row>
    <row r="324" spans="2:4" hidden="1" x14ac:dyDescent="0.25">
      <c r="B324" s="37" t="s">
        <v>139</v>
      </c>
      <c r="C324" t="s">
        <v>271</v>
      </c>
      <c r="D324" t="s">
        <v>37</v>
      </c>
    </row>
    <row r="325" spans="2:4" hidden="1" x14ac:dyDescent="0.25">
      <c r="B325" s="37" t="s">
        <v>40</v>
      </c>
      <c r="C325" t="s">
        <v>272</v>
      </c>
      <c r="D325" t="s">
        <v>37</v>
      </c>
    </row>
    <row r="326" spans="2:4" hidden="1" x14ac:dyDescent="0.25">
      <c r="B326" s="37" t="s">
        <v>140</v>
      </c>
      <c r="C326" t="s">
        <v>273</v>
      </c>
      <c r="D326" t="s">
        <v>37</v>
      </c>
    </row>
    <row r="327" spans="2:4" hidden="1" x14ac:dyDescent="0.25">
      <c r="B327" s="37" t="s">
        <v>141</v>
      </c>
      <c r="C327" t="s">
        <v>274</v>
      </c>
      <c r="D327" t="s">
        <v>37</v>
      </c>
    </row>
    <row r="328" spans="2:4" hidden="1" x14ac:dyDescent="0.25">
      <c r="B328" s="37" t="s">
        <v>138</v>
      </c>
      <c r="C328" t="s">
        <v>268</v>
      </c>
      <c r="D328" t="s">
        <v>175</v>
      </c>
    </row>
    <row r="329" spans="2:4" hidden="1" x14ac:dyDescent="0.25">
      <c r="B329" s="37" t="s">
        <v>152</v>
      </c>
      <c r="C329" t="s">
        <v>213</v>
      </c>
      <c r="D329" t="s">
        <v>175</v>
      </c>
    </row>
    <row r="330" spans="2:4" hidden="1" x14ac:dyDescent="0.25">
      <c r="B330" s="37" t="s">
        <v>38</v>
      </c>
      <c r="C330" t="s">
        <v>269</v>
      </c>
      <c r="D330" t="s">
        <v>175</v>
      </c>
    </row>
    <row r="331" spans="2:4" hidden="1" x14ac:dyDescent="0.25">
      <c r="B331" s="37" t="s">
        <v>59</v>
      </c>
      <c r="C331" t="s">
        <v>221</v>
      </c>
      <c r="D331" t="s">
        <v>175</v>
      </c>
    </row>
    <row r="332" spans="2:4" hidden="1" x14ac:dyDescent="0.25">
      <c r="B332" s="37" t="s">
        <v>39</v>
      </c>
      <c r="C332" t="s">
        <v>270</v>
      </c>
      <c r="D332" t="s">
        <v>175</v>
      </c>
    </row>
    <row r="333" spans="2:4" hidden="1" x14ac:dyDescent="0.25">
      <c r="B333" s="37" t="s">
        <v>124</v>
      </c>
      <c r="C333" t="s">
        <v>214</v>
      </c>
      <c r="D333" t="s">
        <v>175</v>
      </c>
    </row>
    <row r="334" spans="2:4" hidden="1" x14ac:dyDescent="0.25">
      <c r="B334" s="37" t="s">
        <v>139</v>
      </c>
      <c r="C334" t="s">
        <v>271</v>
      </c>
      <c r="D334" t="s">
        <v>175</v>
      </c>
    </row>
    <row r="335" spans="2:4" hidden="1" x14ac:dyDescent="0.25">
      <c r="B335" s="37" t="s">
        <v>58</v>
      </c>
      <c r="C335" t="s">
        <v>222</v>
      </c>
      <c r="D335" t="s">
        <v>175</v>
      </c>
    </row>
    <row r="336" spans="2:4" hidden="1" x14ac:dyDescent="0.25">
      <c r="B336" s="37" t="s">
        <v>40</v>
      </c>
      <c r="C336" t="s">
        <v>272</v>
      </c>
      <c r="D336" t="s">
        <v>175</v>
      </c>
    </row>
    <row r="337" spans="2:4" hidden="1" x14ac:dyDescent="0.25">
      <c r="B337" s="37" t="s">
        <v>56</v>
      </c>
      <c r="C337" t="s">
        <v>215</v>
      </c>
      <c r="D337" t="s">
        <v>175</v>
      </c>
    </row>
    <row r="338" spans="2:4" hidden="1" x14ac:dyDescent="0.25">
      <c r="B338" s="37" t="s">
        <v>140</v>
      </c>
      <c r="C338" t="s">
        <v>273</v>
      </c>
      <c r="D338" t="s">
        <v>175</v>
      </c>
    </row>
    <row r="339" spans="2:4" hidden="1" x14ac:dyDescent="0.25">
      <c r="B339" s="37" t="s">
        <v>154</v>
      </c>
      <c r="C339" t="s">
        <v>223</v>
      </c>
      <c r="D339" t="s">
        <v>175</v>
      </c>
    </row>
    <row r="340" spans="2:4" hidden="1" x14ac:dyDescent="0.25">
      <c r="B340" s="37" t="s">
        <v>141</v>
      </c>
      <c r="C340" t="s">
        <v>274</v>
      </c>
      <c r="D340" t="s">
        <v>175</v>
      </c>
    </row>
    <row r="341" spans="2:4" hidden="1" x14ac:dyDescent="0.25">
      <c r="B341" s="37" t="s">
        <v>55</v>
      </c>
      <c r="C341" t="s">
        <v>216</v>
      </c>
      <c r="D341" t="s">
        <v>175</v>
      </c>
    </row>
    <row r="342" spans="2:4" hidden="1" x14ac:dyDescent="0.25">
      <c r="B342" s="37" t="s">
        <v>155</v>
      </c>
      <c r="C342" t="s">
        <v>224</v>
      </c>
      <c r="D342" t="s">
        <v>175</v>
      </c>
    </row>
    <row r="343" spans="2:4" hidden="1" x14ac:dyDescent="0.25">
      <c r="B343" s="37" t="s">
        <v>153</v>
      </c>
      <c r="C343" t="s">
        <v>217</v>
      </c>
      <c r="D343" t="s">
        <v>175</v>
      </c>
    </row>
    <row r="344" spans="2:4" hidden="1" x14ac:dyDescent="0.25">
      <c r="B344" s="37" t="s">
        <v>60</v>
      </c>
      <c r="C344" t="s">
        <v>225</v>
      </c>
      <c r="D344" t="s">
        <v>175</v>
      </c>
    </row>
    <row r="345" spans="2:4" hidden="1" x14ac:dyDescent="0.25">
      <c r="B345" s="37" t="s">
        <v>53</v>
      </c>
      <c r="C345" t="s">
        <v>218</v>
      </c>
      <c r="D345" t="s">
        <v>175</v>
      </c>
    </row>
    <row r="346" spans="2:4" hidden="1" x14ac:dyDescent="0.25">
      <c r="B346" s="37" t="s">
        <v>125</v>
      </c>
      <c r="C346" t="s">
        <v>219</v>
      </c>
      <c r="D346" t="s">
        <v>175</v>
      </c>
    </row>
    <row r="347" spans="2:4" hidden="1" x14ac:dyDescent="0.25">
      <c r="B347" s="37" t="s">
        <v>54</v>
      </c>
      <c r="C347" t="s">
        <v>220</v>
      </c>
      <c r="D347" t="s">
        <v>175</v>
      </c>
    </row>
    <row r="348" spans="2:4" hidden="1" x14ac:dyDescent="0.25">
      <c r="B348" s="37" t="s">
        <v>32</v>
      </c>
      <c r="C348" t="s">
        <v>288</v>
      </c>
      <c r="D348" t="s">
        <v>104</v>
      </c>
    </row>
    <row r="349" spans="2:4" hidden="1" x14ac:dyDescent="0.25">
      <c r="B349" s="37" t="s">
        <v>34</v>
      </c>
      <c r="C349" t="s">
        <v>289</v>
      </c>
      <c r="D349" t="s">
        <v>104</v>
      </c>
    </row>
    <row r="350" spans="2:4" hidden="1" x14ac:dyDescent="0.25">
      <c r="B350" s="37" t="s">
        <v>35</v>
      </c>
      <c r="C350" t="s">
        <v>290</v>
      </c>
      <c r="D350" t="s">
        <v>104</v>
      </c>
    </row>
    <row r="351" spans="2:4" hidden="1" x14ac:dyDescent="0.25">
      <c r="B351" s="37" t="s">
        <v>174</v>
      </c>
      <c r="C351" t="s">
        <v>291</v>
      </c>
      <c r="D351" t="s">
        <v>104</v>
      </c>
    </row>
    <row r="352" spans="2:4" hidden="1" x14ac:dyDescent="0.25">
      <c r="B352" s="13" t="s">
        <v>145</v>
      </c>
      <c r="C352" t="s">
        <v>292</v>
      </c>
      <c r="D352" t="s">
        <v>104</v>
      </c>
    </row>
    <row r="353" spans="2:4" hidden="1" x14ac:dyDescent="0.25">
      <c r="B353" s="37" t="s">
        <v>33</v>
      </c>
      <c r="C353" t="s">
        <v>293</v>
      </c>
      <c r="D353" t="s">
        <v>104</v>
      </c>
    </row>
    <row r="354" spans="2:4" hidden="1" x14ac:dyDescent="0.25">
      <c r="B354" s="37" t="s">
        <v>66</v>
      </c>
      <c r="C354" t="s">
        <v>253</v>
      </c>
      <c r="D354" t="s">
        <v>108</v>
      </c>
    </row>
    <row r="355" spans="2:4" hidden="1" x14ac:dyDescent="0.25">
      <c r="B355" s="37" t="s">
        <v>67</v>
      </c>
      <c r="C355" t="s">
        <v>254</v>
      </c>
      <c r="D355" t="s">
        <v>108</v>
      </c>
    </row>
    <row r="356" spans="2:4" hidden="1" x14ac:dyDescent="0.25">
      <c r="B356" s="37" t="s">
        <v>133</v>
      </c>
      <c r="C356" t="s">
        <v>255</v>
      </c>
      <c r="D356" t="s">
        <v>108</v>
      </c>
    </row>
    <row r="357" spans="2:4" hidden="1" x14ac:dyDescent="0.25">
      <c r="B357" s="37" t="s">
        <v>170</v>
      </c>
      <c r="C357" t="s">
        <v>256</v>
      </c>
      <c r="D357" t="s">
        <v>108</v>
      </c>
    </row>
    <row r="358" spans="2:4" hidden="1" x14ac:dyDescent="0.25">
      <c r="B358" s="37" t="s">
        <v>70</v>
      </c>
      <c r="C358" t="s">
        <v>257</v>
      </c>
      <c r="D358" t="s">
        <v>108</v>
      </c>
    </row>
    <row r="359" spans="2:4" hidden="1" x14ac:dyDescent="0.25">
      <c r="B359" s="37" t="s">
        <v>69</v>
      </c>
      <c r="C359" t="s">
        <v>258</v>
      </c>
      <c r="D359" t="s">
        <v>108</v>
      </c>
    </row>
    <row r="360" spans="2:4" hidden="1" x14ac:dyDescent="0.25">
      <c r="B360" s="37" t="s">
        <v>134</v>
      </c>
      <c r="C360" t="s">
        <v>259</v>
      </c>
      <c r="D360" t="s">
        <v>108</v>
      </c>
    </row>
    <row r="361" spans="2:4" hidden="1" x14ac:dyDescent="0.25">
      <c r="B361" s="37" t="s">
        <v>171</v>
      </c>
      <c r="C361" t="s">
        <v>260</v>
      </c>
      <c r="D361" t="s">
        <v>108</v>
      </c>
    </row>
    <row r="362" spans="2:4" hidden="1" x14ac:dyDescent="0.25">
      <c r="B362" s="37" t="s">
        <v>135</v>
      </c>
      <c r="C362" t="s">
        <v>261</v>
      </c>
      <c r="D362" t="s">
        <v>107</v>
      </c>
    </row>
    <row r="363" spans="2:4" hidden="1" x14ac:dyDescent="0.25">
      <c r="B363" s="37" t="s">
        <v>71</v>
      </c>
      <c r="C363" t="s">
        <v>262</v>
      </c>
      <c r="D363" t="s">
        <v>107</v>
      </c>
    </row>
    <row r="364" spans="2:4" hidden="1" x14ac:dyDescent="0.25">
      <c r="B364" s="37" t="s">
        <v>72</v>
      </c>
      <c r="C364" t="s">
        <v>263</v>
      </c>
      <c r="D364" t="s">
        <v>107</v>
      </c>
    </row>
    <row r="365" spans="2:4" hidden="1" x14ac:dyDescent="0.25">
      <c r="B365" s="37" t="s">
        <v>136</v>
      </c>
      <c r="C365" t="s">
        <v>264</v>
      </c>
      <c r="D365" t="s">
        <v>107</v>
      </c>
    </row>
    <row r="366" spans="2:4" hidden="1" x14ac:dyDescent="0.25">
      <c r="B366" s="37" t="s">
        <v>172</v>
      </c>
      <c r="C366" t="s">
        <v>265</v>
      </c>
      <c r="D366" t="s">
        <v>106</v>
      </c>
    </row>
    <row r="367" spans="2:4" hidden="1" x14ac:dyDescent="0.25">
      <c r="B367" s="37" t="s">
        <v>73</v>
      </c>
      <c r="C367" t="s">
        <v>266</v>
      </c>
      <c r="D367" t="s">
        <v>106</v>
      </c>
    </row>
    <row r="368" spans="2:4" hidden="1" x14ac:dyDescent="0.25">
      <c r="B368" s="37" t="s">
        <v>137</v>
      </c>
      <c r="C368" t="s">
        <v>267</v>
      </c>
      <c r="D368" t="s">
        <v>106</v>
      </c>
    </row>
    <row r="369" spans="2:4" hidden="1" x14ac:dyDescent="0.25">
      <c r="B369" s="37" t="s">
        <v>156</v>
      </c>
      <c r="C369" t="s">
        <v>226</v>
      </c>
      <c r="D369" t="s">
        <v>126</v>
      </c>
    </row>
    <row r="370" spans="2:4" hidden="1" x14ac:dyDescent="0.25">
      <c r="B370" s="37" t="s">
        <v>157</v>
      </c>
      <c r="C370" t="s">
        <v>227</v>
      </c>
      <c r="D370" t="s">
        <v>126</v>
      </c>
    </row>
    <row r="371" spans="2:4" hidden="1" x14ac:dyDescent="0.25">
      <c r="B371" s="37" t="s">
        <v>158</v>
      </c>
      <c r="C371" t="s">
        <v>228</v>
      </c>
      <c r="D371" t="s">
        <v>126</v>
      </c>
    </row>
    <row r="372" spans="2:4" hidden="1" x14ac:dyDescent="0.25">
      <c r="B372" s="37" t="s">
        <v>42</v>
      </c>
      <c r="C372" t="s">
        <v>229</v>
      </c>
      <c r="D372" t="s">
        <v>126</v>
      </c>
    </row>
    <row r="373" spans="2:4" hidden="1" x14ac:dyDescent="0.25">
      <c r="B373" s="37" t="s">
        <v>127</v>
      </c>
      <c r="C373" t="s">
        <v>230</v>
      </c>
      <c r="D373" t="s">
        <v>126</v>
      </c>
    </row>
    <row r="374" spans="2:4" hidden="1" x14ac:dyDescent="0.25">
      <c r="B374" s="37" t="s">
        <v>128</v>
      </c>
      <c r="C374" t="s">
        <v>231</v>
      </c>
      <c r="D374" t="s">
        <v>126</v>
      </c>
    </row>
    <row r="375" spans="2:4" hidden="1" x14ac:dyDescent="0.25">
      <c r="B375" s="37" t="s">
        <v>41</v>
      </c>
      <c r="C375" t="s">
        <v>232</v>
      </c>
      <c r="D375" t="s">
        <v>126</v>
      </c>
    </row>
    <row r="376" spans="2:4" hidden="1" x14ac:dyDescent="0.25">
      <c r="B376" s="37" t="s">
        <v>129</v>
      </c>
      <c r="C376" t="s">
        <v>233</v>
      </c>
      <c r="D376" t="s">
        <v>126</v>
      </c>
    </row>
    <row r="377" spans="2:4" hidden="1" x14ac:dyDescent="0.25">
      <c r="B377" s="37" t="s">
        <v>23</v>
      </c>
      <c r="C377" t="s">
        <v>275</v>
      </c>
      <c r="D377" t="s">
        <v>22</v>
      </c>
    </row>
    <row r="378" spans="2:4" hidden="1" x14ac:dyDescent="0.25">
      <c r="B378" s="37" t="s">
        <v>25</v>
      </c>
      <c r="C378" t="s">
        <v>276</v>
      </c>
      <c r="D378" t="s">
        <v>22</v>
      </c>
    </row>
    <row r="379" spans="2:4" hidden="1" x14ac:dyDescent="0.25">
      <c r="B379" s="37" t="s">
        <v>142</v>
      </c>
      <c r="C379" t="s">
        <v>277</v>
      </c>
      <c r="D379" t="s">
        <v>22</v>
      </c>
    </row>
    <row r="380" spans="2:4" hidden="1" x14ac:dyDescent="0.25">
      <c r="B380" s="37" t="s">
        <v>24</v>
      </c>
      <c r="C380" t="s">
        <v>278</v>
      </c>
      <c r="D380" t="s">
        <v>22</v>
      </c>
    </row>
    <row r="381" spans="2:4" hidden="1" x14ac:dyDescent="0.25">
      <c r="B381" s="13" t="s">
        <v>173</v>
      </c>
      <c r="C381" t="s">
        <v>279</v>
      </c>
      <c r="D381" t="s">
        <v>22</v>
      </c>
    </row>
    <row r="382" spans="2:4" hidden="1" x14ac:dyDescent="0.25">
      <c r="B382" s="37" t="s">
        <v>26</v>
      </c>
      <c r="C382" t="s">
        <v>280</v>
      </c>
      <c r="D382" t="s">
        <v>22</v>
      </c>
    </row>
    <row r="383" spans="2:4" hidden="1" x14ac:dyDescent="0.25">
      <c r="B383" s="37" t="s">
        <v>27</v>
      </c>
      <c r="C383" t="s">
        <v>281</v>
      </c>
      <c r="D383" t="s">
        <v>22</v>
      </c>
    </row>
    <row r="384" spans="2:4" hidden="1" x14ac:dyDescent="0.25">
      <c r="B384" s="37" t="s">
        <v>152</v>
      </c>
      <c r="C384" t="s">
        <v>213</v>
      </c>
      <c r="D384" t="s">
        <v>52</v>
      </c>
    </row>
    <row r="385" spans="2:4" hidden="1" x14ac:dyDescent="0.25">
      <c r="B385" s="37" t="s">
        <v>124</v>
      </c>
      <c r="C385" t="s">
        <v>214</v>
      </c>
      <c r="D385" t="s">
        <v>52</v>
      </c>
    </row>
    <row r="386" spans="2:4" hidden="1" x14ac:dyDescent="0.25">
      <c r="B386" s="37" t="s">
        <v>56</v>
      </c>
      <c r="C386" t="s">
        <v>215</v>
      </c>
      <c r="D386" t="s">
        <v>52</v>
      </c>
    </row>
    <row r="387" spans="2:4" hidden="1" x14ac:dyDescent="0.25">
      <c r="B387" s="37" t="s">
        <v>55</v>
      </c>
      <c r="C387" t="s">
        <v>216</v>
      </c>
      <c r="D387" t="s">
        <v>52</v>
      </c>
    </row>
    <row r="388" spans="2:4" hidden="1" x14ac:dyDescent="0.25">
      <c r="B388" s="37" t="s">
        <v>153</v>
      </c>
      <c r="C388" t="s">
        <v>217</v>
      </c>
      <c r="D388" t="s">
        <v>52</v>
      </c>
    </row>
    <row r="389" spans="2:4" hidden="1" x14ac:dyDescent="0.25">
      <c r="B389" s="37" t="s">
        <v>53</v>
      </c>
      <c r="C389" t="s">
        <v>218</v>
      </c>
      <c r="D389" t="s">
        <v>52</v>
      </c>
    </row>
    <row r="390" spans="2:4" hidden="1" x14ac:dyDescent="0.25">
      <c r="B390" s="37" t="s">
        <v>125</v>
      </c>
      <c r="C390" t="s">
        <v>219</v>
      </c>
      <c r="D390" t="s">
        <v>52</v>
      </c>
    </row>
    <row r="391" spans="2:4" hidden="1" x14ac:dyDescent="0.25">
      <c r="B391" s="37" t="s">
        <v>54</v>
      </c>
      <c r="C391" t="s">
        <v>220</v>
      </c>
      <c r="D391" t="s">
        <v>52</v>
      </c>
    </row>
    <row r="392" spans="2:4" hidden="1" x14ac:dyDescent="0.25">
      <c r="B392" s="39" t="s">
        <v>29</v>
      </c>
      <c r="C392" t="s">
        <v>282</v>
      </c>
      <c r="D392" t="s">
        <v>143</v>
      </c>
    </row>
    <row r="393" spans="2:4" hidden="1" x14ac:dyDescent="0.25">
      <c r="B393" s="37" t="s">
        <v>31</v>
      </c>
      <c r="C393" t="s">
        <v>283</v>
      </c>
      <c r="D393" t="s">
        <v>143</v>
      </c>
    </row>
    <row r="394" spans="2:4" hidden="1" x14ac:dyDescent="0.25">
      <c r="B394" s="37" t="s">
        <v>28</v>
      </c>
      <c r="C394" t="s">
        <v>284</v>
      </c>
      <c r="D394" t="s">
        <v>143</v>
      </c>
    </row>
    <row r="395" spans="2:4" hidden="1" x14ac:dyDescent="0.25">
      <c r="B395" s="37" t="s">
        <v>36</v>
      </c>
      <c r="C395" t="s">
        <v>285</v>
      </c>
      <c r="D395" t="s">
        <v>143</v>
      </c>
    </row>
    <row r="396" spans="2:4" hidden="1" x14ac:dyDescent="0.25">
      <c r="B396" s="37" t="s">
        <v>30</v>
      </c>
      <c r="C396" t="s">
        <v>286</v>
      </c>
      <c r="D396" t="s">
        <v>143</v>
      </c>
    </row>
    <row r="397" spans="2:4" hidden="1" x14ac:dyDescent="0.25">
      <c r="B397" s="13" t="s">
        <v>144</v>
      </c>
      <c r="C397" t="s">
        <v>287</v>
      </c>
      <c r="D397" t="s">
        <v>143</v>
      </c>
    </row>
    <row r="398" spans="2:4" hidden="1" x14ac:dyDescent="0.25">
      <c r="B398" s="39" t="s">
        <v>29</v>
      </c>
      <c r="C398" t="s">
        <v>282</v>
      </c>
      <c r="D398" t="s">
        <v>176</v>
      </c>
    </row>
    <row r="399" spans="2:4" hidden="1" x14ac:dyDescent="0.25">
      <c r="B399" s="37" t="s">
        <v>32</v>
      </c>
      <c r="C399" t="s">
        <v>288</v>
      </c>
      <c r="D399" t="s">
        <v>176</v>
      </c>
    </row>
    <row r="400" spans="2:4" hidden="1" x14ac:dyDescent="0.25">
      <c r="B400" s="37" t="s">
        <v>31</v>
      </c>
      <c r="C400" t="s">
        <v>283</v>
      </c>
      <c r="D400" t="s">
        <v>176</v>
      </c>
    </row>
    <row r="401" spans="2:4" hidden="1" x14ac:dyDescent="0.25">
      <c r="B401" s="37" t="s">
        <v>34</v>
      </c>
      <c r="C401" t="s">
        <v>289</v>
      </c>
      <c r="D401" t="s">
        <v>176</v>
      </c>
    </row>
    <row r="402" spans="2:4" hidden="1" x14ac:dyDescent="0.25">
      <c r="B402" s="37" t="s">
        <v>28</v>
      </c>
      <c r="C402" t="s">
        <v>284</v>
      </c>
      <c r="D402" t="s">
        <v>176</v>
      </c>
    </row>
    <row r="403" spans="2:4" hidden="1" x14ac:dyDescent="0.25">
      <c r="B403" s="37" t="s">
        <v>35</v>
      </c>
      <c r="C403" t="s">
        <v>290</v>
      </c>
      <c r="D403" t="s">
        <v>176</v>
      </c>
    </row>
    <row r="404" spans="2:4" hidden="1" x14ac:dyDescent="0.25">
      <c r="B404" s="37" t="s">
        <v>36</v>
      </c>
      <c r="C404" t="s">
        <v>285</v>
      </c>
      <c r="D404" t="s">
        <v>176</v>
      </c>
    </row>
    <row r="405" spans="2:4" hidden="1" x14ac:dyDescent="0.25">
      <c r="B405" s="37" t="s">
        <v>174</v>
      </c>
      <c r="C405" t="s">
        <v>291</v>
      </c>
      <c r="D405" t="s">
        <v>176</v>
      </c>
    </row>
    <row r="406" spans="2:4" hidden="1" x14ac:dyDescent="0.25">
      <c r="B406" s="37" t="s">
        <v>30</v>
      </c>
      <c r="C406" t="s">
        <v>286</v>
      </c>
      <c r="D406" t="s">
        <v>176</v>
      </c>
    </row>
    <row r="407" spans="2:4" hidden="1" x14ac:dyDescent="0.25">
      <c r="B407" s="13" t="s">
        <v>145</v>
      </c>
      <c r="C407" t="s">
        <v>292</v>
      </c>
      <c r="D407" t="s">
        <v>176</v>
      </c>
    </row>
    <row r="408" spans="2:4" hidden="1" x14ac:dyDescent="0.25">
      <c r="B408" s="13" t="s">
        <v>144</v>
      </c>
      <c r="C408" t="s">
        <v>287</v>
      </c>
      <c r="D408" t="s">
        <v>176</v>
      </c>
    </row>
    <row r="409" spans="2:4" hidden="1" x14ac:dyDescent="0.25">
      <c r="B409" s="37" t="s">
        <v>33</v>
      </c>
      <c r="C409" t="s">
        <v>293</v>
      </c>
      <c r="D409" t="s">
        <v>176</v>
      </c>
    </row>
    <row r="410" spans="2:4" hidden="1" x14ac:dyDescent="0.25">
      <c r="B410" s="37" t="s">
        <v>64</v>
      </c>
      <c r="C410" t="s">
        <v>246</v>
      </c>
      <c r="D410" t="s">
        <v>20</v>
      </c>
    </row>
    <row r="411" spans="2:4" hidden="1" x14ac:dyDescent="0.25">
      <c r="B411" s="37" t="s">
        <v>167</v>
      </c>
      <c r="C411" t="s">
        <v>247</v>
      </c>
      <c r="D411" t="s">
        <v>20</v>
      </c>
    </row>
    <row r="412" spans="2:4" hidden="1" x14ac:dyDescent="0.25">
      <c r="B412" s="37" t="s">
        <v>168</v>
      </c>
      <c r="C412" t="s">
        <v>248</v>
      </c>
      <c r="D412" t="s">
        <v>20</v>
      </c>
    </row>
    <row r="413" spans="2:4" hidden="1" x14ac:dyDescent="0.25">
      <c r="B413" s="37" t="s">
        <v>65</v>
      </c>
      <c r="C413" t="s">
        <v>249</v>
      </c>
      <c r="D413" t="s">
        <v>20</v>
      </c>
    </row>
    <row r="414" spans="2:4" hidden="1" x14ac:dyDescent="0.25">
      <c r="B414" s="37" t="s">
        <v>132</v>
      </c>
      <c r="C414" t="s">
        <v>250</v>
      </c>
      <c r="D414" t="s">
        <v>20</v>
      </c>
    </row>
    <row r="415" spans="2:4" hidden="1" x14ac:dyDescent="0.25">
      <c r="B415" s="37" t="s">
        <v>68</v>
      </c>
      <c r="C415" t="s">
        <v>251</v>
      </c>
      <c r="D415" t="s">
        <v>20</v>
      </c>
    </row>
    <row r="416" spans="2:4" hidden="1" x14ac:dyDescent="0.25">
      <c r="B416" s="37" t="s">
        <v>169</v>
      </c>
      <c r="C416" t="s">
        <v>252</v>
      </c>
      <c r="D416" t="s">
        <v>20</v>
      </c>
    </row>
    <row r="417" spans="2:4" hidden="1" x14ac:dyDescent="0.25">
      <c r="B417" s="37" t="s">
        <v>51</v>
      </c>
      <c r="C417" t="s">
        <v>200</v>
      </c>
      <c r="D417" t="s">
        <v>117</v>
      </c>
    </row>
    <row r="418" spans="2:4" hidden="1" x14ac:dyDescent="0.25">
      <c r="B418" s="37" t="s">
        <v>118</v>
      </c>
      <c r="C418" t="s">
        <v>201</v>
      </c>
      <c r="D418" t="s">
        <v>117</v>
      </c>
    </row>
    <row r="419" spans="2:4" hidden="1" x14ac:dyDescent="0.25">
      <c r="B419" s="37" t="s">
        <v>150</v>
      </c>
      <c r="C419" t="s">
        <v>202</v>
      </c>
      <c r="D419" t="s">
        <v>117</v>
      </c>
    </row>
    <row r="420" spans="2:4" hidden="1" x14ac:dyDescent="0.25">
      <c r="B420" s="37" t="s">
        <v>50</v>
      </c>
      <c r="C420" t="s">
        <v>203</v>
      </c>
      <c r="D420" t="s">
        <v>117</v>
      </c>
    </row>
    <row r="421" spans="2:4" hidden="1" x14ac:dyDescent="0.25">
      <c r="B421" s="37" t="s">
        <v>51</v>
      </c>
      <c r="C421" t="s">
        <v>200</v>
      </c>
      <c r="D421" t="s">
        <v>177</v>
      </c>
    </row>
    <row r="422" spans="2:4" hidden="1" x14ac:dyDescent="0.25">
      <c r="B422" s="37" t="s">
        <v>46</v>
      </c>
      <c r="C422" t="s">
        <v>204</v>
      </c>
      <c r="D422" t="s">
        <v>177</v>
      </c>
    </row>
    <row r="423" spans="2:4" hidden="1" x14ac:dyDescent="0.25">
      <c r="B423" s="37" t="s">
        <v>118</v>
      </c>
      <c r="C423" t="s">
        <v>201</v>
      </c>
      <c r="D423" t="s">
        <v>177</v>
      </c>
    </row>
    <row r="424" spans="2:4" hidden="1" x14ac:dyDescent="0.25">
      <c r="B424" s="37" t="s">
        <v>47</v>
      </c>
      <c r="C424" t="s">
        <v>205</v>
      </c>
      <c r="D424" t="s">
        <v>177</v>
      </c>
    </row>
    <row r="425" spans="2:4" hidden="1" x14ac:dyDescent="0.25">
      <c r="B425" s="37" t="s">
        <v>150</v>
      </c>
      <c r="C425" t="s">
        <v>202</v>
      </c>
      <c r="D425" t="s">
        <v>177</v>
      </c>
    </row>
    <row r="426" spans="2:4" hidden="1" x14ac:dyDescent="0.25">
      <c r="B426" s="37" t="s">
        <v>49</v>
      </c>
      <c r="C426" t="s">
        <v>206</v>
      </c>
      <c r="D426" t="s">
        <v>177</v>
      </c>
    </row>
    <row r="427" spans="2:4" hidden="1" x14ac:dyDescent="0.25">
      <c r="B427" s="37" t="s">
        <v>50</v>
      </c>
      <c r="C427" t="s">
        <v>203</v>
      </c>
      <c r="D427" t="s">
        <v>177</v>
      </c>
    </row>
    <row r="428" spans="2:4" hidden="1" x14ac:dyDescent="0.25">
      <c r="B428" s="37" t="s">
        <v>48</v>
      </c>
      <c r="C428" t="s">
        <v>207</v>
      </c>
      <c r="D428" t="s">
        <v>177</v>
      </c>
    </row>
    <row r="429" spans="2:4" hidden="1" x14ac:dyDescent="0.25">
      <c r="B429" s="37" t="s">
        <v>119</v>
      </c>
      <c r="C429" t="s">
        <v>208</v>
      </c>
      <c r="D429" t="s">
        <v>177</v>
      </c>
    </row>
    <row r="430" spans="2:4" hidden="1" x14ac:dyDescent="0.25">
      <c r="B430" s="37" t="s">
        <v>46</v>
      </c>
      <c r="C430" t="s">
        <v>204</v>
      </c>
      <c r="D430" s="38" t="s">
        <v>105</v>
      </c>
    </row>
    <row r="431" spans="2:4" hidden="1" x14ac:dyDescent="0.25">
      <c r="B431" s="37" t="s">
        <v>47</v>
      </c>
      <c r="C431" t="s">
        <v>205</v>
      </c>
      <c r="D431" s="38" t="s">
        <v>105</v>
      </c>
    </row>
    <row r="432" spans="2:4" hidden="1" x14ac:dyDescent="0.25">
      <c r="B432" s="37" t="s">
        <v>49</v>
      </c>
      <c r="C432" t="s">
        <v>206</v>
      </c>
      <c r="D432" s="38" t="s">
        <v>105</v>
      </c>
    </row>
    <row r="433" spans="2:4" hidden="1" x14ac:dyDescent="0.25">
      <c r="B433" s="37" t="s">
        <v>48</v>
      </c>
      <c r="C433" t="s">
        <v>207</v>
      </c>
      <c r="D433" s="38" t="s">
        <v>105</v>
      </c>
    </row>
    <row r="434" spans="2:4" hidden="1" x14ac:dyDescent="0.25">
      <c r="B434" s="37" t="s">
        <v>119</v>
      </c>
      <c r="C434" t="s">
        <v>208</v>
      </c>
      <c r="D434" s="38" t="s">
        <v>105</v>
      </c>
    </row>
    <row r="435" spans="2:4" hidden="1" x14ac:dyDescent="0.25">
      <c r="B435" s="37" t="s">
        <v>151</v>
      </c>
      <c r="C435" t="s">
        <v>209</v>
      </c>
      <c r="D435" t="s">
        <v>120</v>
      </c>
    </row>
    <row r="436" spans="2:4" hidden="1" x14ac:dyDescent="0.25">
      <c r="B436" s="37" t="s">
        <v>121</v>
      </c>
      <c r="C436" t="s">
        <v>210</v>
      </c>
      <c r="D436" t="s">
        <v>120</v>
      </c>
    </row>
    <row r="437" spans="2:4" hidden="1" x14ac:dyDescent="0.25">
      <c r="B437" s="37" t="s">
        <v>122</v>
      </c>
      <c r="C437" t="s">
        <v>211</v>
      </c>
      <c r="D437" t="s">
        <v>120</v>
      </c>
    </row>
    <row r="438" spans="2:4" hidden="1" x14ac:dyDescent="0.25">
      <c r="B438" s="37" t="s">
        <v>123</v>
      </c>
      <c r="C438" t="s">
        <v>212</v>
      </c>
      <c r="D438" t="s">
        <v>120</v>
      </c>
    </row>
    <row r="439" spans="2:4" hidden="1" x14ac:dyDescent="0.25">
      <c r="B439" s="37" t="s">
        <v>152</v>
      </c>
      <c r="C439" t="s">
        <v>213</v>
      </c>
      <c r="D439" t="s">
        <v>17</v>
      </c>
    </row>
    <row r="440" spans="2:4" hidden="1" x14ac:dyDescent="0.25">
      <c r="B440" s="37" t="s">
        <v>59</v>
      </c>
      <c r="C440" t="s">
        <v>221</v>
      </c>
      <c r="D440" t="s">
        <v>17</v>
      </c>
    </row>
    <row r="441" spans="2:4" hidden="1" x14ac:dyDescent="0.25">
      <c r="B441" s="37" t="s">
        <v>124</v>
      </c>
      <c r="C441" t="s">
        <v>214</v>
      </c>
      <c r="D441" t="s">
        <v>17</v>
      </c>
    </row>
    <row r="442" spans="2:4" hidden="1" x14ac:dyDescent="0.25">
      <c r="B442" s="37" t="s">
        <v>58</v>
      </c>
      <c r="C442" t="s">
        <v>222</v>
      </c>
      <c r="D442" t="s">
        <v>17</v>
      </c>
    </row>
    <row r="443" spans="2:4" hidden="1" x14ac:dyDescent="0.25">
      <c r="B443" s="37" t="s">
        <v>56</v>
      </c>
      <c r="C443" t="s">
        <v>215</v>
      </c>
      <c r="D443" t="s">
        <v>17</v>
      </c>
    </row>
    <row r="444" spans="2:4" hidden="1" x14ac:dyDescent="0.25">
      <c r="B444" s="37" t="s">
        <v>154</v>
      </c>
      <c r="C444" t="s">
        <v>223</v>
      </c>
      <c r="D444" t="s">
        <v>17</v>
      </c>
    </row>
    <row r="445" spans="2:4" hidden="1" x14ac:dyDescent="0.25">
      <c r="B445" s="37" t="s">
        <v>55</v>
      </c>
      <c r="C445" t="s">
        <v>216</v>
      </c>
      <c r="D445" t="s">
        <v>17</v>
      </c>
    </row>
    <row r="446" spans="2:4" hidden="1" x14ac:dyDescent="0.25">
      <c r="B446" s="37" t="s">
        <v>155</v>
      </c>
      <c r="C446" t="s">
        <v>224</v>
      </c>
      <c r="D446" t="s">
        <v>17</v>
      </c>
    </row>
    <row r="447" spans="2:4" hidden="1" x14ac:dyDescent="0.25">
      <c r="B447" s="37" t="s">
        <v>153</v>
      </c>
      <c r="C447" t="s">
        <v>217</v>
      </c>
      <c r="D447" t="s">
        <v>17</v>
      </c>
    </row>
    <row r="448" spans="2:4" hidden="1" x14ac:dyDescent="0.25">
      <c r="B448" s="37" t="s">
        <v>60</v>
      </c>
      <c r="C448" t="s">
        <v>225</v>
      </c>
      <c r="D448" t="s">
        <v>17</v>
      </c>
    </row>
    <row r="449" spans="2:4" hidden="1" x14ac:dyDescent="0.25">
      <c r="B449" s="37" t="s">
        <v>53</v>
      </c>
      <c r="C449" t="s">
        <v>218</v>
      </c>
      <c r="D449" t="s">
        <v>17</v>
      </c>
    </row>
    <row r="450" spans="2:4" hidden="1" x14ac:dyDescent="0.25">
      <c r="B450" s="37" t="s">
        <v>125</v>
      </c>
      <c r="C450" t="s">
        <v>219</v>
      </c>
      <c r="D450" t="s">
        <v>17</v>
      </c>
    </row>
    <row r="451" spans="2:4" hidden="1" x14ac:dyDescent="0.25">
      <c r="B451" s="37" t="s">
        <v>54</v>
      </c>
      <c r="C451" t="s">
        <v>220</v>
      </c>
      <c r="D451" t="s">
        <v>17</v>
      </c>
    </row>
    <row r="452" spans="2:4" hidden="1" x14ac:dyDescent="0.25">
      <c r="B452" s="37" t="s">
        <v>131</v>
      </c>
      <c r="C452" t="s">
        <v>234</v>
      </c>
      <c r="D452" t="s">
        <v>130</v>
      </c>
    </row>
    <row r="453" spans="2:4" hidden="1" x14ac:dyDescent="0.25">
      <c r="B453" s="37" t="s">
        <v>159</v>
      </c>
      <c r="C453" t="s">
        <v>235</v>
      </c>
      <c r="D453" t="s">
        <v>130</v>
      </c>
    </row>
    <row r="454" spans="2:4" hidden="1" x14ac:dyDescent="0.25">
      <c r="B454" s="37" t="s">
        <v>160</v>
      </c>
      <c r="C454" t="s">
        <v>236</v>
      </c>
      <c r="D454" t="s">
        <v>130</v>
      </c>
    </row>
    <row r="455" spans="2:4" hidden="1" x14ac:dyDescent="0.25">
      <c r="B455" s="37" t="s">
        <v>161</v>
      </c>
      <c r="C455" t="s">
        <v>237</v>
      </c>
      <c r="D455" t="s">
        <v>130</v>
      </c>
    </row>
    <row r="456" spans="2:4" hidden="1" x14ac:dyDescent="0.25">
      <c r="B456" s="37" t="s">
        <v>162</v>
      </c>
      <c r="C456" t="s">
        <v>238</v>
      </c>
      <c r="D456" t="s">
        <v>130</v>
      </c>
    </row>
    <row r="457" spans="2:4" hidden="1" x14ac:dyDescent="0.25">
      <c r="B457" s="39" t="s">
        <v>163</v>
      </c>
      <c r="C457" t="s">
        <v>239</v>
      </c>
      <c r="D457" t="s">
        <v>130</v>
      </c>
    </row>
    <row r="458" spans="2:4" hidden="1" x14ac:dyDescent="0.25">
      <c r="B458" s="39" t="s">
        <v>164</v>
      </c>
      <c r="C458" t="s">
        <v>240</v>
      </c>
      <c r="D458" t="s">
        <v>130</v>
      </c>
    </row>
    <row r="459" spans="2:4" hidden="1" x14ac:dyDescent="0.25">
      <c r="B459" s="37" t="s">
        <v>43</v>
      </c>
      <c r="C459" t="s">
        <v>241</v>
      </c>
      <c r="D459" t="s">
        <v>130</v>
      </c>
    </row>
    <row r="460" spans="2:4" hidden="1" x14ac:dyDescent="0.25">
      <c r="B460" s="39" t="s">
        <v>165</v>
      </c>
      <c r="C460" t="s">
        <v>242</v>
      </c>
      <c r="D460" t="s">
        <v>130</v>
      </c>
    </row>
    <row r="461" spans="2:4" hidden="1" x14ac:dyDescent="0.25">
      <c r="B461" s="39" t="s">
        <v>166</v>
      </c>
      <c r="C461" t="s">
        <v>243</v>
      </c>
      <c r="D461" t="s">
        <v>130</v>
      </c>
    </row>
    <row r="462" spans="2:4" hidden="1" x14ac:dyDescent="0.25">
      <c r="B462" s="37" t="s">
        <v>44</v>
      </c>
      <c r="C462" t="s">
        <v>244</v>
      </c>
      <c r="D462" t="s">
        <v>130</v>
      </c>
    </row>
    <row r="463" spans="2:4" hidden="1" x14ac:dyDescent="0.25">
      <c r="B463" s="39" t="s">
        <v>45</v>
      </c>
      <c r="C463" t="s">
        <v>245</v>
      </c>
      <c r="D463" t="s">
        <v>130</v>
      </c>
    </row>
    <row r="464" spans="2:4" hidden="1" x14ac:dyDescent="0.25">
      <c r="B464" s="37" t="s">
        <v>59</v>
      </c>
      <c r="C464" t="s">
        <v>221</v>
      </c>
      <c r="D464" t="s">
        <v>57</v>
      </c>
    </row>
    <row r="465" spans="2:4" hidden="1" x14ac:dyDescent="0.25">
      <c r="B465" s="37" t="s">
        <v>58</v>
      </c>
      <c r="C465" t="s">
        <v>222</v>
      </c>
      <c r="D465" t="s">
        <v>57</v>
      </c>
    </row>
    <row r="466" spans="2:4" hidden="1" x14ac:dyDescent="0.25">
      <c r="B466" s="37" t="s">
        <v>154</v>
      </c>
      <c r="C466" t="s">
        <v>223</v>
      </c>
      <c r="D466" t="s">
        <v>57</v>
      </c>
    </row>
    <row r="467" spans="2:4" hidden="1" x14ac:dyDescent="0.25">
      <c r="B467" s="37" t="s">
        <v>155</v>
      </c>
      <c r="C467" t="s">
        <v>224</v>
      </c>
      <c r="D467" t="s">
        <v>57</v>
      </c>
    </row>
    <row r="468" spans="2:4" hidden="1" x14ac:dyDescent="0.25">
      <c r="B468" s="37" t="s">
        <v>60</v>
      </c>
      <c r="C468" t="s">
        <v>225</v>
      </c>
      <c r="D468" t="s">
        <v>57</v>
      </c>
    </row>
  </sheetData>
  <dataConsolidate/>
  <mergeCells count="15">
    <mergeCell ref="T30:W30"/>
    <mergeCell ref="T37:W37"/>
    <mergeCell ref="H30:M30"/>
    <mergeCell ref="H37:M37"/>
    <mergeCell ref="N16:S16"/>
    <mergeCell ref="N22:S22"/>
    <mergeCell ref="N30:S30"/>
    <mergeCell ref="N37:S37"/>
    <mergeCell ref="H8:M8"/>
    <mergeCell ref="N8:S8"/>
    <mergeCell ref="T8:W8"/>
    <mergeCell ref="H16:M16"/>
    <mergeCell ref="H22:M22"/>
    <mergeCell ref="T16:W16"/>
    <mergeCell ref="T22:W22"/>
  </mergeCells>
  <dataValidations count="2">
    <dataValidation type="list" allowBlank="1" showInputMessage="1" showErrorMessage="1" sqref="S11:S15 M25:M29 M33:M36 M40:M46 S25:S29 S33:S36 S40:S46 S19:S21">
      <formula1>$C$54:$C$56</formula1>
    </dataValidation>
    <dataValidation type="list" allowBlank="1" showInputMessage="1" showErrorMessage="1" sqref="C40:C46 C11:C17 C19:C23 C25:C31 C33:C38">
      <formula1>INDIRECT(D11)</formula1>
    </dataValidation>
  </dataValidations>
  <hyperlinks>
    <hyperlink ref="B198" r:id="rId1"/>
    <hyperlink ref="B147" r:id="rId2"/>
    <hyperlink ref="B145" r:id="rId3"/>
    <hyperlink ref="B144" r:id="rId4"/>
    <hyperlink ref="B141" r:id="rId5"/>
    <hyperlink ref="B142" r:id="rId6"/>
    <hyperlink ref="B85" r:id="rId7"/>
    <hyperlink ref="B66" r:id="rId8"/>
    <hyperlink ref="B65" r:id="rId9"/>
    <hyperlink ref="B63" r:id="rId10"/>
    <hyperlink ref="B64" r:id="rId11"/>
    <hyperlink ref="B67" r:id="rId12"/>
    <hyperlink ref="B68" r:id="rId13"/>
    <hyperlink ref="B62" r:id="rId14"/>
    <hyperlink ref="B73" r:id="rId15"/>
    <hyperlink ref="B71" r:id="rId16"/>
    <hyperlink ref="B72" r:id="rId17"/>
    <hyperlink ref="B74" r:id="rId18"/>
    <hyperlink ref="B77" r:id="rId19"/>
    <hyperlink ref="B78" r:id="rId20"/>
    <hyperlink ref="B80" r:id="rId21"/>
    <hyperlink ref="B79" r:id="rId22"/>
    <hyperlink ref="B81" r:id="rId23"/>
    <hyperlink ref="B82" r:id="rId24"/>
    <hyperlink ref="B83" r:id="rId25"/>
    <hyperlink ref="B84" r:id="rId26"/>
    <hyperlink ref="B87" r:id="rId27"/>
    <hyperlink ref="B86" r:id="rId28"/>
    <hyperlink ref="B96" r:id="rId29"/>
    <hyperlink ref="B99" r:id="rId30"/>
    <hyperlink ref="B100" r:id="rId31"/>
    <hyperlink ref="B98" r:id="rId32"/>
    <hyperlink ref="B97" r:id="rId33"/>
    <hyperlink ref="B92" r:id="rId34"/>
    <hyperlink ref="B93" r:id="rId35"/>
    <hyperlink ref="B91" r:id="rId36"/>
    <hyperlink ref="B90" r:id="rId37"/>
    <hyperlink ref="B127" r:id="rId38"/>
    <hyperlink ref="B126" r:id="rId39"/>
    <hyperlink ref="B129" r:id="rId40"/>
    <hyperlink ref="B132" r:id="rId41"/>
    <hyperlink ref="B139" r:id="rId42"/>
    <hyperlink ref="B136" r:id="rId43"/>
    <hyperlink ref="B137" r:id="rId44"/>
    <hyperlink ref="B138" r:id="rId45"/>
    <hyperlink ref="B146" r:id="rId46"/>
    <hyperlink ref="B140" r:id="rId47"/>
    <hyperlink ref="B143" r:id="rId48"/>
    <hyperlink ref="B130" r:id="rId49"/>
    <hyperlink ref="B128" r:id="rId50"/>
    <hyperlink ref="B104" r:id="rId51"/>
    <hyperlink ref="B103" r:id="rId52"/>
    <hyperlink ref="B105" r:id="rId53"/>
    <hyperlink ref="B131" r:id="rId54"/>
    <hyperlink ref="B106" r:id="rId55"/>
    <hyperlink ref="B133" r:id="rId56"/>
    <hyperlink ref="B150" r:id="rId57"/>
    <hyperlink ref="B155" r:id="rId58"/>
    <hyperlink ref="B156" r:id="rId59"/>
    <hyperlink ref="B152" r:id="rId60"/>
    <hyperlink ref="B161" r:id="rId61"/>
    <hyperlink ref="B151" r:id="rId62"/>
    <hyperlink ref="B162" r:id="rId63"/>
    <hyperlink ref="B169" r:id="rId64"/>
    <hyperlink ref="B165" r:id="rId65"/>
    <hyperlink ref="B163" r:id="rId66"/>
    <hyperlink ref="B164" r:id="rId67"/>
    <hyperlink ref="B153" r:id="rId68"/>
    <hyperlink ref="B154" r:id="rId69"/>
    <hyperlink ref="B159" r:id="rId70"/>
    <hyperlink ref="B160" r:id="rId71"/>
    <hyperlink ref="B170" r:id="rId72"/>
    <hyperlink ref="B171" r:id="rId73"/>
    <hyperlink ref="B172" r:id="rId74"/>
    <hyperlink ref="B166" r:id="rId75"/>
    <hyperlink ref="B176" r:id="rId76"/>
    <hyperlink ref="B175" r:id="rId77"/>
    <hyperlink ref="B177" r:id="rId78"/>
    <hyperlink ref="B189" r:id="rId79"/>
    <hyperlink ref="B192" r:id="rId80"/>
    <hyperlink ref="B190" r:id="rId81"/>
    <hyperlink ref="B202" r:id="rId82"/>
    <hyperlink ref="B199" r:id="rId83"/>
    <hyperlink ref="B206" r:id="rId84"/>
    <hyperlink ref="B211" r:id="rId85"/>
    <hyperlink ref="B194" r:id="rId86"/>
    <hyperlink ref="B195" r:id="rId87"/>
    <hyperlink ref="B200" r:id="rId88"/>
    <hyperlink ref="B201" r:id="rId89"/>
    <hyperlink ref="B209" r:id="rId90"/>
    <hyperlink ref="B191" r:id="rId91"/>
    <hyperlink ref="B181" r:id="rId92"/>
    <hyperlink ref="B180" r:id="rId93"/>
    <hyperlink ref="B184" r:id="rId94"/>
    <hyperlink ref="B182" r:id="rId95"/>
    <hyperlink ref="B183" r:id="rId96"/>
    <hyperlink ref="B185" r:id="rId97"/>
    <hyperlink ref="B186" r:id="rId98"/>
    <hyperlink ref="B111" r:id="rId99"/>
    <hyperlink ref="B112" r:id="rId100"/>
    <hyperlink ref="B207" r:id="rId101"/>
    <hyperlink ref="B208" r:id="rId102"/>
    <hyperlink ref="B193" r:id="rId103"/>
    <hyperlink ref="B210" r:id="rId104"/>
    <hyperlink ref="B203" r:id="rId105"/>
    <hyperlink ref="B114" r:id="rId106"/>
    <hyperlink ref="B115" r:id="rId107"/>
    <hyperlink ref="B116" r:id="rId108"/>
    <hyperlink ref="B109" r:id="rId109"/>
    <hyperlink ref="B113" r:id="rId110"/>
    <hyperlink ref="B123" r:id="rId111"/>
    <hyperlink ref="B119" r:id="rId112"/>
    <hyperlink ref="B120" r:id="rId113"/>
    <hyperlink ref="B121" r:id="rId114"/>
    <hyperlink ref="B122" r:id="rId115"/>
    <hyperlink ref="B110" r:id="rId116"/>
    <hyperlink ref="B219" r:id="rId117"/>
    <hyperlink ref="B221" r:id="rId118"/>
    <hyperlink ref="B225" r:id="rId119"/>
    <hyperlink ref="B226" r:id="rId120"/>
    <hyperlink ref="B227" r:id="rId121"/>
    <hyperlink ref="B215" r:id="rId122"/>
    <hyperlink ref="B223" r:id="rId123"/>
    <hyperlink ref="B224" r:id="rId124"/>
    <hyperlink ref="B216" r:id="rId125"/>
    <hyperlink ref="B218" r:id="rId126"/>
    <hyperlink ref="B220" r:id="rId127"/>
    <hyperlink ref="B222" r:id="rId128"/>
    <hyperlink ref="B217" r:id="rId129"/>
    <hyperlink ref="B229" r:id="rId130"/>
    <hyperlink ref="B237" r:id="rId131"/>
    <hyperlink ref="B231" r:id="rId132"/>
    <hyperlink ref="B233" r:id="rId133"/>
    <hyperlink ref="B235" r:id="rId134"/>
    <hyperlink ref="B239" r:id="rId135"/>
    <hyperlink ref="B230" r:id="rId136"/>
    <hyperlink ref="B240" r:id="rId137"/>
    <hyperlink ref="B236" r:id="rId138"/>
    <hyperlink ref="B232" r:id="rId139"/>
    <hyperlink ref="B234" r:id="rId140"/>
    <hyperlink ref="B238" r:id="rId141"/>
    <hyperlink ref="B251" r:id="rId142"/>
    <hyperlink ref="B255" r:id="rId143"/>
    <hyperlink ref="B259" r:id="rId144"/>
    <hyperlink ref="B260" r:id="rId145"/>
    <hyperlink ref="B261" r:id="rId146"/>
    <hyperlink ref="B243" r:id="rId147"/>
    <hyperlink ref="B257" r:id="rId148"/>
    <hyperlink ref="B258" r:id="rId149"/>
    <hyperlink ref="B245" r:id="rId150"/>
    <hyperlink ref="B249" r:id="rId151"/>
    <hyperlink ref="B253" r:id="rId152"/>
    <hyperlink ref="B256" r:id="rId153"/>
    <hyperlink ref="B247" r:id="rId154"/>
    <hyperlink ref="B244" r:id="rId155"/>
    <hyperlink ref="B242" r:id="rId156"/>
    <hyperlink ref="B250" r:id="rId157"/>
    <hyperlink ref="B246" r:id="rId158"/>
    <hyperlink ref="B248" r:id="rId159"/>
    <hyperlink ref="B252" r:id="rId160"/>
    <hyperlink ref="B254" r:id="rId161"/>
    <hyperlink ref="B265" r:id="rId162"/>
    <hyperlink ref="B271" r:id="rId163"/>
    <hyperlink ref="B272" r:id="rId164"/>
    <hyperlink ref="B269" r:id="rId165"/>
    <hyperlink ref="B267" r:id="rId166"/>
    <hyperlink ref="B268" r:id="rId167"/>
    <hyperlink ref="B270" r:id="rId168"/>
    <hyperlink ref="B266" r:id="rId169"/>
    <hyperlink ref="B264" r:id="rId170"/>
    <hyperlink ref="C198" r:id="rId171"/>
    <hyperlink ref="C147" r:id="rId172"/>
    <hyperlink ref="C145" r:id="rId173"/>
    <hyperlink ref="C144" r:id="rId174"/>
    <hyperlink ref="C141" r:id="rId175"/>
    <hyperlink ref="C142" r:id="rId176"/>
    <hyperlink ref="C85" r:id="rId177"/>
    <hyperlink ref="C66" r:id="rId178"/>
    <hyperlink ref="C229" r:id="rId179"/>
  </hyperlinks>
  <pageMargins left="0.7" right="0.7" top="0.75" bottom="0.75" header="0.3" footer="0.3"/>
  <pageSetup scale="50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Mesocycle 1 Basic Hypertrophy</vt:lpstr>
      <vt:lpstr>Mesocycle 2 Metabolite Focus</vt:lpstr>
      <vt:lpstr>Mesocycle 3 Resensitization</vt:lpstr>
      <vt:lpstr>'Mesocycle 1 Basic Hypertrophy'!Print_Area</vt:lpstr>
      <vt:lpstr>'Mesocycle 2 Metabolite Focus'!Print_Area</vt:lpstr>
      <vt:lpstr>'Mesocycle 3 Resensitization'!Print_Area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2016-12-05T20:18:03Z</dcterms:modified>
</cp:coreProperties>
</file>