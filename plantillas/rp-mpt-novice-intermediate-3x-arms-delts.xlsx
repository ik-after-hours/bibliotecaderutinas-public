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drawings/drawing2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drawings/drawing3.xml" ContentType="application/vnd.openxmlformats-officedocument.drawing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35"/>
  </bookViews>
  <sheets>
    <sheet name="Mesocycle 1 Basic Hypertrophy" sheetId="1" r:id="rId1"/>
    <sheet name="Mesocycle 2 Metabolite Focus" sheetId="3" r:id="rId2"/>
    <sheet name="Mesocycle 3 Resensitization" sheetId="4" r:id="rId3"/>
  </sheets>
  <definedNames>
    <definedName name="_xlnm.Print_Area" localSheetId="0">'Mesocycle 1 Basic Hypertrophy'!$H$8:$AI$40</definedName>
    <definedName name="_xlnm.Print_Area" localSheetId="1">'Mesocycle 2 Metabolite Focus'!$H$8:$AI$44</definedName>
    <definedName name="_xlnm.Print_Area" localSheetId="2">'Mesocycle 3 Resensitization'!$H$8:$W$37</definedName>
  </definedNames>
  <calcPr calcId="152511"/>
</workbook>
</file>

<file path=xl/calcChain.xml><?xml version="1.0" encoding="utf-8"?>
<calcChain xmlns="http://schemas.openxmlformats.org/spreadsheetml/2006/main">
  <c r="J37" i="3" l="1"/>
  <c r="J27" i="3"/>
  <c r="J16" i="3"/>
  <c r="J13" i="3"/>
  <c r="J20" i="3"/>
  <c r="J32" i="3"/>
  <c r="J44" i="3"/>
  <c r="J43" i="3"/>
  <c r="J42" i="3"/>
  <c r="J41" i="3"/>
  <c r="J40" i="3"/>
  <c r="J39" i="3"/>
  <c r="J38" i="3"/>
  <c r="J36" i="3"/>
  <c r="J31" i="3"/>
  <c r="J30" i="3"/>
  <c r="J29" i="3"/>
  <c r="J28" i="3"/>
  <c r="J26" i="3"/>
  <c r="J25" i="3"/>
  <c r="J24" i="3"/>
  <c r="J19" i="3"/>
  <c r="J18" i="3"/>
  <c r="J17" i="3"/>
  <c r="J15" i="3"/>
  <c r="J14" i="3"/>
  <c r="J12" i="3"/>
  <c r="J11" i="3"/>
  <c r="J37" i="4" l="1"/>
  <c r="J26" i="4"/>
  <c r="J36" i="4"/>
  <c r="J35" i="4"/>
  <c r="J34" i="4"/>
  <c r="J33" i="4"/>
  <c r="J32" i="4"/>
  <c r="J31" i="4"/>
  <c r="J30" i="4"/>
  <c r="J25" i="4"/>
  <c r="J24" i="4"/>
  <c r="J23" i="4"/>
  <c r="J22" i="4"/>
  <c r="J21" i="4"/>
  <c r="J20" i="4"/>
  <c r="J15" i="4"/>
  <c r="J14" i="4"/>
  <c r="J13" i="4"/>
  <c r="J12" i="4"/>
  <c r="J16" i="4"/>
  <c r="J11" i="4"/>
  <c r="E324" i="4" l="1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T37" i="4"/>
  <c r="O37" i="4"/>
  <c r="N37" i="4"/>
  <c r="H37" i="4"/>
  <c r="E37" i="4" a="1"/>
  <c r="E37" i="4" s="1"/>
  <c r="F37" i="4" s="1"/>
  <c r="D37" i="4" a="1"/>
  <c r="D37" i="4" s="1"/>
  <c r="T36" i="4"/>
  <c r="O36" i="4"/>
  <c r="N36" i="4"/>
  <c r="V36" i="4"/>
  <c r="H36" i="4"/>
  <c r="E36" i="4" a="1"/>
  <c r="E36" i="4" s="1"/>
  <c r="F36" i="4" s="1"/>
  <c r="D36" i="4" a="1"/>
  <c r="D36" i="4" s="1"/>
  <c r="T35" i="4"/>
  <c r="O35" i="4"/>
  <c r="N35" i="4"/>
  <c r="H35" i="4"/>
  <c r="E35" i="4" a="1"/>
  <c r="E35" i="4" s="1"/>
  <c r="F35" i="4" s="1"/>
  <c r="D35" i="4" a="1"/>
  <c r="D35" i="4" s="1"/>
  <c r="T34" i="4"/>
  <c r="O34" i="4"/>
  <c r="N34" i="4"/>
  <c r="V34" i="4"/>
  <c r="H34" i="4"/>
  <c r="E34" i="4" a="1"/>
  <c r="E34" i="4" s="1"/>
  <c r="F34" i="4" s="1"/>
  <c r="D34" i="4" a="1"/>
  <c r="D34" i="4" s="1"/>
  <c r="T33" i="4"/>
  <c r="O33" i="4"/>
  <c r="N33" i="4"/>
  <c r="H33" i="4"/>
  <c r="E33" i="4" a="1"/>
  <c r="E33" i="4" s="1"/>
  <c r="F33" i="4" s="1"/>
  <c r="D33" i="4" a="1"/>
  <c r="D33" i="4" s="1"/>
  <c r="T32" i="4"/>
  <c r="O32" i="4"/>
  <c r="N32" i="4"/>
  <c r="V32" i="4"/>
  <c r="H32" i="4"/>
  <c r="E32" i="4" a="1"/>
  <c r="E32" i="4" s="1"/>
  <c r="F32" i="4" s="1"/>
  <c r="D32" i="4" a="1"/>
  <c r="D32" i="4" s="1"/>
  <c r="T31" i="4"/>
  <c r="O31" i="4"/>
  <c r="N31" i="4"/>
  <c r="H31" i="4"/>
  <c r="E31" i="4" a="1"/>
  <c r="E31" i="4" s="1"/>
  <c r="F31" i="4" s="1"/>
  <c r="D31" i="4" a="1"/>
  <c r="D31" i="4" s="1"/>
  <c r="T30" i="4"/>
  <c r="O30" i="4"/>
  <c r="N30" i="4"/>
  <c r="H30" i="4"/>
  <c r="E30" i="4" a="1"/>
  <c r="E30" i="4" s="1"/>
  <c r="F30" i="4" s="1"/>
  <c r="D30" i="4" a="1"/>
  <c r="D30" i="4" s="1"/>
  <c r="T26" i="4"/>
  <c r="O26" i="4"/>
  <c r="N26" i="4"/>
  <c r="H26" i="4"/>
  <c r="E26" i="4" a="1"/>
  <c r="E26" i="4" s="1"/>
  <c r="F26" i="4" s="1"/>
  <c r="D26" i="4" a="1"/>
  <c r="D26" i="4" s="1"/>
  <c r="T25" i="4"/>
  <c r="O25" i="4"/>
  <c r="N25" i="4"/>
  <c r="H25" i="4"/>
  <c r="E25" i="4" a="1"/>
  <c r="E25" i="4" s="1"/>
  <c r="F25" i="4" s="1"/>
  <c r="D25" i="4" a="1"/>
  <c r="D25" i="4" s="1"/>
  <c r="T24" i="4"/>
  <c r="O24" i="4"/>
  <c r="N24" i="4"/>
  <c r="H24" i="4"/>
  <c r="E24" i="4" a="1"/>
  <c r="E24" i="4" s="1"/>
  <c r="F24" i="4" s="1"/>
  <c r="D24" i="4" a="1"/>
  <c r="D24" i="4" s="1"/>
  <c r="T23" i="4"/>
  <c r="O23" i="4"/>
  <c r="N23" i="4"/>
  <c r="H23" i="4"/>
  <c r="E23" i="4" a="1"/>
  <c r="E23" i="4" s="1"/>
  <c r="F23" i="4" s="1"/>
  <c r="D23" i="4" a="1"/>
  <c r="D23" i="4" s="1"/>
  <c r="T22" i="4"/>
  <c r="O22" i="4"/>
  <c r="N22" i="4"/>
  <c r="H22" i="4"/>
  <c r="E22" i="4" a="1"/>
  <c r="E22" i="4" s="1"/>
  <c r="F22" i="4" s="1"/>
  <c r="D22" i="4" a="1"/>
  <c r="D22" i="4" s="1"/>
  <c r="T21" i="4"/>
  <c r="O21" i="4"/>
  <c r="N21" i="4"/>
  <c r="H21" i="4"/>
  <c r="E21" i="4" a="1"/>
  <c r="E21" i="4" s="1"/>
  <c r="F21" i="4" s="1"/>
  <c r="D21" i="4" a="1"/>
  <c r="D21" i="4" s="1"/>
  <c r="T20" i="4"/>
  <c r="O20" i="4"/>
  <c r="N20" i="4"/>
  <c r="H20" i="4"/>
  <c r="E20" i="4" a="1"/>
  <c r="E20" i="4" s="1"/>
  <c r="F20" i="4" s="1"/>
  <c r="D20" i="4" a="1"/>
  <c r="D20" i="4" s="1"/>
  <c r="T16" i="4"/>
  <c r="O16" i="4"/>
  <c r="N16" i="4"/>
  <c r="H16" i="4"/>
  <c r="E16" i="4" a="1"/>
  <c r="E16" i="4" s="1"/>
  <c r="F16" i="4" s="1"/>
  <c r="D16" i="4" a="1"/>
  <c r="D16" i="4" s="1"/>
  <c r="T15" i="4"/>
  <c r="O15" i="4"/>
  <c r="N15" i="4"/>
  <c r="H15" i="4"/>
  <c r="E15" i="4" a="1"/>
  <c r="E15" i="4" s="1"/>
  <c r="F15" i="4" s="1"/>
  <c r="D15" i="4" a="1"/>
  <c r="D15" i="4" s="1"/>
  <c r="T14" i="4"/>
  <c r="O14" i="4"/>
  <c r="N14" i="4"/>
  <c r="H14" i="4"/>
  <c r="E14" i="4" a="1"/>
  <c r="E14" i="4" s="1"/>
  <c r="F14" i="4" s="1"/>
  <c r="D14" i="4" a="1"/>
  <c r="D14" i="4" s="1"/>
  <c r="T13" i="4"/>
  <c r="O13" i="4"/>
  <c r="N13" i="4"/>
  <c r="H13" i="4"/>
  <c r="E13" i="4" a="1"/>
  <c r="E13" i="4" s="1"/>
  <c r="F13" i="4" s="1"/>
  <c r="D13" i="4" a="1"/>
  <c r="D13" i="4" s="1"/>
  <c r="T12" i="4"/>
  <c r="O12" i="4"/>
  <c r="N12" i="4"/>
  <c r="H12" i="4"/>
  <c r="E12" i="4" a="1"/>
  <c r="E12" i="4" s="1"/>
  <c r="F12" i="4" s="1"/>
  <c r="D12" i="4" a="1"/>
  <c r="D12" i="4" s="1"/>
  <c r="T11" i="4"/>
  <c r="O11" i="4"/>
  <c r="N11" i="4"/>
  <c r="H11" i="4"/>
  <c r="E11" i="4" a="1"/>
  <c r="E11" i="4" s="1"/>
  <c r="F11" i="4" s="1"/>
  <c r="D11" i="4" a="1"/>
  <c r="D11" i="4" s="1"/>
  <c r="V20" i="4" l="1"/>
  <c r="P20" i="4"/>
  <c r="V13" i="4"/>
  <c r="P13" i="4"/>
  <c r="V15" i="4"/>
  <c r="P15" i="4"/>
  <c r="V25" i="4"/>
  <c r="P25" i="4"/>
  <c r="V11" i="4"/>
  <c r="P11" i="4"/>
  <c r="V30" i="4"/>
  <c r="P30" i="4"/>
  <c r="V12" i="4"/>
  <c r="P12" i="4"/>
  <c r="V23" i="4"/>
  <c r="P23" i="4"/>
  <c r="P14" i="4"/>
  <c r="V14" i="4"/>
  <c r="P16" i="4"/>
  <c r="V16" i="4"/>
  <c r="P21" i="4"/>
  <c r="V21" i="4"/>
  <c r="P22" i="4"/>
  <c r="V22" i="4"/>
  <c r="P24" i="4"/>
  <c r="V24" i="4"/>
  <c r="P26" i="4"/>
  <c r="V26" i="4"/>
  <c r="P31" i="4"/>
  <c r="V31" i="4"/>
  <c r="P33" i="4"/>
  <c r="V33" i="4"/>
  <c r="P35" i="4"/>
  <c r="V35" i="4"/>
  <c r="P37" i="4"/>
  <c r="V37" i="4"/>
  <c r="P32" i="4"/>
  <c r="P34" i="4"/>
  <c r="P36" i="4"/>
  <c r="O37" i="3"/>
  <c r="O36" i="3"/>
  <c r="U37" i="3" s="1"/>
  <c r="O27" i="3"/>
  <c r="O26" i="3"/>
  <c r="U27" i="3" s="1"/>
  <c r="O16" i="3"/>
  <c r="O15" i="3"/>
  <c r="U16" i="3" s="1"/>
  <c r="O13" i="3"/>
  <c r="O12" i="3"/>
  <c r="U13" i="3" s="1"/>
  <c r="Z37" i="3" l="1"/>
  <c r="T37" i="3"/>
  <c r="N37" i="3"/>
  <c r="H37" i="3"/>
  <c r="E37" i="3" a="1"/>
  <c r="E37" i="3" s="1"/>
  <c r="F37" i="3" s="1"/>
  <c r="D37" i="3" a="1"/>
  <c r="D37" i="3" s="1"/>
  <c r="E27" i="3" a="1"/>
  <c r="E27" i="3" s="1"/>
  <c r="F27" i="3" s="1"/>
  <c r="D27" i="3" a="1"/>
  <c r="D27" i="3" s="1"/>
  <c r="Z27" i="3"/>
  <c r="T27" i="3"/>
  <c r="N27" i="3"/>
  <c r="H27" i="3"/>
  <c r="Z16" i="3"/>
  <c r="T16" i="3"/>
  <c r="P16" i="3"/>
  <c r="N16" i="3"/>
  <c r="V16" i="3"/>
  <c r="H16" i="3"/>
  <c r="E16" i="3" a="1"/>
  <c r="E16" i="3" s="1"/>
  <c r="F16" i="3" s="1"/>
  <c r="D16" i="3" a="1"/>
  <c r="D16" i="3" s="1"/>
  <c r="AB13" i="3"/>
  <c r="Z13" i="3"/>
  <c r="V13" i="3"/>
  <c r="T13" i="3"/>
  <c r="P13" i="3"/>
  <c r="N13" i="3"/>
  <c r="H13" i="3"/>
  <c r="E13" i="3" a="1"/>
  <c r="E13" i="3" s="1"/>
  <c r="F13" i="3" s="1"/>
  <c r="D13" i="3" a="1"/>
  <c r="D13" i="3" s="1"/>
  <c r="AB37" i="3" l="1"/>
  <c r="V37" i="3"/>
  <c r="P37" i="3"/>
  <c r="V27" i="3"/>
  <c r="AB27" i="3"/>
  <c r="P27" i="3"/>
  <c r="AB16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AF44" i="3"/>
  <c r="Z44" i="3"/>
  <c r="T44" i="3"/>
  <c r="O44" i="3"/>
  <c r="U44" i="3" s="1"/>
  <c r="AA44" i="3" s="1"/>
  <c r="N44" i="3"/>
  <c r="AH44" i="3"/>
  <c r="H44" i="3"/>
  <c r="E44" i="3" a="1"/>
  <c r="E44" i="3" s="1"/>
  <c r="F44" i="3" s="1"/>
  <c r="D44" i="3" a="1"/>
  <c r="D44" i="3" s="1"/>
  <c r="AF43" i="3"/>
  <c r="Z43" i="3"/>
  <c r="T43" i="3"/>
  <c r="O43" i="3"/>
  <c r="U43" i="3" s="1"/>
  <c r="AA43" i="3" s="1"/>
  <c r="N43" i="3"/>
  <c r="AB43" i="3"/>
  <c r="H43" i="3"/>
  <c r="E43" i="3" a="1"/>
  <c r="E43" i="3" s="1"/>
  <c r="F43" i="3" s="1"/>
  <c r="D43" i="3" a="1"/>
  <c r="D43" i="3" s="1"/>
  <c r="AF42" i="3"/>
  <c r="Z42" i="3"/>
  <c r="T42" i="3"/>
  <c r="O42" i="3"/>
  <c r="U42" i="3" s="1"/>
  <c r="AA42" i="3" s="1"/>
  <c r="N42" i="3"/>
  <c r="AH42" i="3"/>
  <c r="H42" i="3"/>
  <c r="E42" i="3" a="1"/>
  <c r="E42" i="3" s="1"/>
  <c r="F42" i="3" s="1"/>
  <c r="D42" i="3" a="1"/>
  <c r="D42" i="3" s="1"/>
  <c r="AF41" i="3"/>
  <c r="Z41" i="3"/>
  <c r="T41" i="3"/>
  <c r="O41" i="3"/>
  <c r="U41" i="3" s="1"/>
  <c r="AA41" i="3" s="1"/>
  <c r="N41" i="3"/>
  <c r="AB41" i="3"/>
  <c r="H41" i="3"/>
  <c r="E41" i="3" a="1"/>
  <c r="E41" i="3" s="1"/>
  <c r="F41" i="3" s="1"/>
  <c r="D41" i="3" a="1"/>
  <c r="D41" i="3" s="1"/>
  <c r="AF40" i="3"/>
  <c r="Z40" i="3"/>
  <c r="T40" i="3"/>
  <c r="O40" i="3"/>
  <c r="U40" i="3" s="1"/>
  <c r="AA40" i="3" s="1"/>
  <c r="N40" i="3"/>
  <c r="AH40" i="3"/>
  <c r="H40" i="3"/>
  <c r="E40" i="3" a="1"/>
  <c r="E40" i="3" s="1"/>
  <c r="F40" i="3" s="1"/>
  <c r="D40" i="3" a="1"/>
  <c r="D40" i="3" s="1"/>
  <c r="AF39" i="3"/>
  <c r="Z39" i="3"/>
  <c r="T39" i="3"/>
  <c r="O39" i="3"/>
  <c r="U39" i="3" s="1"/>
  <c r="AA39" i="3" s="1"/>
  <c r="N39" i="3"/>
  <c r="AB39" i="3"/>
  <c r="H39" i="3"/>
  <c r="E39" i="3" a="1"/>
  <c r="E39" i="3" s="1"/>
  <c r="F39" i="3" s="1"/>
  <c r="D39" i="3" a="1"/>
  <c r="D39" i="3" s="1"/>
  <c r="AF38" i="3"/>
  <c r="Z38" i="3"/>
  <c r="T38" i="3"/>
  <c r="O38" i="3"/>
  <c r="U38" i="3" s="1"/>
  <c r="AA38" i="3" s="1"/>
  <c r="N38" i="3"/>
  <c r="AH38" i="3"/>
  <c r="H38" i="3"/>
  <c r="E38" i="3" a="1"/>
  <c r="E38" i="3" s="1"/>
  <c r="F38" i="3" s="1"/>
  <c r="D38" i="3" a="1"/>
  <c r="D38" i="3" s="1"/>
  <c r="AF36" i="3"/>
  <c r="Z36" i="3"/>
  <c r="V36" i="3"/>
  <c r="T36" i="3"/>
  <c r="P36" i="3"/>
  <c r="U36" i="3"/>
  <c r="N36" i="3"/>
  <c r="AB36" i="3"/>
  <c r="H36" i="3"/>
  <c r="E36" i="3" a="1"/>
  <c r="E36" i="3" s="1"/>
  <c r="F36" i="3" s="1"/>
  <c r="D36" i="3"/>
  <c r="D36" i="3" a="1"/>
  <c r="AF32" i="3"/>
  <c r="Z32" i="3"/>
  <c r="T32" i="3"/>
  <c r="O32" i="3"/>
  <c r="U32" i="3" s="1"/>
  <c r="AA32" i="3" s="1"/>
  <c r="N32" i="3"/>
  <c r="AH32" i="3"/>
  <c r="H32" i="3"/>
  <c r="E32" i="3" a="1"/>
  <c r="E32" i="3" s="1"/>
  <c r="F32" i="3" s="1"/>
  <c r="D32" i="3" a="1"/>
  <c r="D32" i="3" s="1"/>
  <c r="AF31" i="3"/>
  <c r="Z31" i="3"/>
  <c r="T31" i="3"/>
  <c r="O31" i="3"/>
  <c r="U31" i="3" s="1"/>
  <c r="AA31" i="3" s="1"/>
  <c r="N31" i="3"/>
  <c r="AB31" i="3"/>
  <c r="H31" i="3"/>
  <c r="E31" i="3" a="1"/>
  <c r="E31" i="3" s="1"/>
  <c r="F31" i="3" s="1"/>
  <c r="D31" i="3" a="1"/>
  <c r="D31" i="3" s="1"/>
  <c r="AF30" i="3"/>
  <c r="Z30" i="3"/>
  <c r="T30" i="3"/>
  <c r="O30" i="3"/>
  <c r="U30" i="3" s="1"/>
  <c r="AA30" i="3" s="1"/>
  <c r="N30" i="3"/>
  <c r="AB30" i="3"/>
  <c r="H30" i="3"/>
  <c r="E30" i="3" a="1"/>
  <c r="E30" i="3" s="1"/>
  <c r="F30" i="3" s="1"/>
  <c r="D30" i="3" a="1"/>
  <c r="D30" i="3" s="1"/>
  <c r="AF29" i="3"/>
  <c r="Z29" i="3"/>
  <c r="T29" i="3"/>
  <c r="O29" i="3"/>
  <c r="U29" i="3" s="1"/>
  <c r="AA29" i="3" s="1"/>
  <c r="N29" i="3"/>
  <c r="AB29" i="3"/>
  <c r="H29" i="3"/>
  <c r="E29" i="3" a="1"/>
  <c r="E29" i="3" s="1"/>
  <c r="F29" i="3" s="1"/>
  <c r="D29" i="3" a="1"/>
  <c r="D29" i="3" s="1"/>
  <c r="AF28" i="3"/>
  <c r="Z28" i="3"/>
  <c r="T28" i="3"/>
  <c r="O28" i="3"/>
  <c r="U28" i="3" s="1"/>
  <c r="AA28" i="3" s="1"/>
  <c r="N28" i="3"/>
  <c r="H28" i="3"/>
  <c r="E28" i="3" a="1"/>
  <c r="E28" i="3" s="1"/>
  <c r="F28" i="3" s="1"/>
  <c r="D28" i="3" a="1"/>
  <c r="D28" i="3" s="1"/>
  <c r="AF26" i="3"/>
  <c r="Z26" i="3"/>
  <c r="T26" i="3"/>
  <c r="U26" i="3"/>
  <c r="N26" i="3"/>
  <c r="AB26" i="3"/>
  <c r="H26" i="3"/>
  <c r="E26" i="3" a="1"/>
  <c r="E26" i="3" s="1"/>
  <c r="F26" i="3" s="1"/>
  <c r="D26" i="3" a="1"/>
  <c r="D26" i="3" s="1"/>
  <c r="AF25" i="3"/>
  <c r="Z25" i="3"/>
  <c r="T25" i="3"/>
  <c r="O25" i="3"/>
  <c r="U25" i="3" s="1"/>
  <c r="AA25" i="3" s="1"/>
  <c r="N25" i="3"/>
  <c r="AB25" i="3"/>
  <c r="H25" i="3"/>
  <c r="E25" i="3" a="1"/>
  <c r="E25" i="3" s="1"/>
  <c r="F25" i="3" s="1"/>
  <c r="D25" i="3" a="1"/>
  <c r="D25" i="3" s="1"/>
  <c r="AF24" i="3"/>
  <c r="Z24" i="3"/>
  <c r="T24" i="3"/>
  <c r="O24" i="3"/>
  <c r="U24" i="3" s="1"/>
  <c r="AA24" i="3" s="1"/>
  <c r="N24" i="3"/>
  <c r="AB24" i="3"/>
  <c r="H24" i="3"/>
  <c r="E24" i="3" a="1"/>
  <c r="E24" i="3" s="1"/>
  <c r="F24" i="3" s="1"/>
  <c r="D24" i="3" a="1"/>
  <c r="D24" i="3" s="1"/>
  <c r="AF20" i="3"/>
  <c r="Z20" i="3"/>
  <c r="T20" i="3"/>
  <c r="O20" i="3"/>
  <c r="U20" i="3" s="1"/>
  <c r="AA20" i="3" s="1"/>
  <c r="N20" i="3"/>
  <c r="AB20" i="3"/>
  <c r="H20" i="3"/>
  <c r="E20" i="3" a="1"/>
  <c r="E20" i="3" s="1"/>
  <c r="F20" i="3" s="1"/>
  <c r="D20" i="3" a="1"/>
  <c r="D20" i="3" s="1"/>
  <c r="AF19" i="3"/>
  <c r="Z19" i="3"/>
  <c r="T19" i="3"/>
  <c r="O19" i="3"/>
  <c r="U19" i="3" s="1"/>
  <c r="AA19" i="3" s="1"/>
  <c r="N19" i="3"/>
  <c r="AB19" i="3"/>
  <c r="H19" i="3"/>
  <c r="E19" i="3" a="1"/>
  <c r="E19" i="3" s="1"/>
  <c r="F19" i="3" s="1"/>
  <c r="D19" i="3" a="1"/>
  <c r="D19" i="3" s="1"/>
  <c r="AF18" i="3"/>
  <c r="Z18" i="3"/>
  <c r="T18" i="3"/>
  <c r="O18" i="3"/>
  <c r="U18" i="3" s="1"/>
  <c r="AA18" i="3" s="1"/>
  <c r="N18" i="3"/>
  <c r="V18" i="3"/>
  <c r="H18" i="3"/>
  <c r="E18" i="3" a="1"/>
  <c r="E18" i="3" s="1"/>
  <c r="F18" i="3" s="1"/>
  <c r="D18" i="3" a="1"/>
  <c r="D18" i="3" s="1"/>
  <c r="AF17" i="3"/>
  <c r="Z17" i="3"/>
  <c r="T17" i="3"/>
  <c r="O17" i="3"/>
  <c r="U17" i="3" s="1"/>
  <c r="AA17" i="3" s="1"/>
  <c r="N17" i="3"/>
  <c r="AB17" i="3"/>
  <c r="H17" i="3"/>
  <c r="E17" i="3" a="1"/>
  <c r="E17" i="3" s="1"/>
  <c r="F17" i="3" s="1"/>
  <c r="D17" i="3" a="1"/>
  <c r="D17" i="3" s="1"/>
  <c r="AF15" i="3"/>
  <c r="AA15" i="3"/>
  <c r="Z15" i="3"/>
  <c r="U15" i="3"/>
  <c r="AA16" i="3" s="1"/>
  <c r="T15" i="3"/>
  <c r="N15" i="3"/>
  <c r="V15" i="3"/>
  <c r="H15" i="3"/>
  <c r="E15" i="3" a="1"/>
  <c r="E15" i="3" s="1"/>
  <c r="F15" i="3" s="1"/>
  <c r="D15" i="3" a="1"/>
  <c r="D15" i="3" s="1"/>
  <c r="AF14" i="3"/>
  <c r="Z14" i="3"/>
  <c r="T14" i="3"/>
  <c r="O14" i="3"/>
  <c r="U14" i="3" s="1"/>
  <c r="AA14" i="3" s="1"/>
  <c r="N14" i="3"/>
  <c r="AB14" i="3"/>
  <c r="H14" i="3"/>
  <c r="E14" i="3" a="1"/>
  <c r="E14" i="3" s="1"/>
  <c r="F14" i="3" s="1"/>
  <c r="D14" i="3" a="1"/>
  <c r="D14" i="3" s="1"/>
  <c r="AF12" i="3"/>
  <c r="Z12" i="3"/>
  <c r="U12" i="3"/>
  <c r="T12" i="3"/>
  <c r="N12" i="3"/>
  <c r="V12" i="3"/>
  <c r="H12" i="3"/>
  <c r="E12" i="3" a="1"/>
  <c r="E12" i="3" s="1"/>
  <c r="F12" i="3" s="1"/>
  <c r="D12" i="3" a="1"/>
  <c r="D12" i="3" s="1"/>
  <c r="AF11" i="3"/>
  <c r="Z11" i="3"/>
  <c r="T11" i="3"/>
  <c r="O11" i="3"/>
  <c r="U11" i="3" s="1"/>
  <c r="AA11" i="3" s="1"/>
  <c r="N11" i="3"/>
  <c r="AB11" i="3"/>
  <c r="H11" i="3"/>
  <c r="E11" i="3" a="1"/>
  <c r="E11" i="3" s="1"/>
  <c r="F11" i="3" s="1"/>
  <c r="D11" i="3" a="1"/>
  <c r="D11" i="3" s="1"/>
  <c r="P43" i="3" l="1"/>
  <c r="P41" i="3"/>
  <c r="V29" i="3"/>
  <c r="AB42" i="3"/>
  <c r="V41" i="3"/>
  <c r="P19" i="3"/>
  <c r="V43" i="3"/>
  <c r="V39" i="3"/>
  <c r="V24" i="3"/>
  <c r="AB44" i="3"/>
  <c r="P29" i="3"/>
  <c r="V31" i="3"/>
  <c r="AH24" i="3"/>
  <c r="AH31" i="3"/>
  <c r="P14" i="3"/>
  <c r="AA26" i="3"/>
  <c r="AA27" i="3"/>
  <c r="AH29" i="3"/>
  <c r="AH36" i="3"/>
  <c r="P26" i="3"/>
  <c r="AH39" i="3"/>
  <c r="AA12" i="3"/>
  <c r="AA13" i="3"/>
  <c r="AH26" i="3"/>
  <c r="V14" i="3"/>
  <c r="P24" i="3"/>
  <c r="P31" i="3"/>
  <c r="AB32" i="3"/>
  <c r="AA36" i="3"/>
  <c r="AA37" i="3"/>
  <c r="AH41" i="3"/>
  <c r="AH14" i="3"/>
  <c r="V26" i="3"/>
  <c r="AB38" i="3"/>
  <c r="AH43" i="3"/>
  <c r="P39" i="3"/>
  <c r="AB40" i="3"/>
  <c r="V11" i="3"/>
  <c r="AH11" i="3"/>
  <c r="AH28" i="3"/>
  <c r="P28" i="3"/>
  <c r="V28" i="3"/>
  <c r="P11" i="3"/>
  <c r="AH12" i="3"/>
  <c r="P12" i="3"/>
  <c r="AB12" i="3"/>
  <c r="P17" i="3"/>
  <c r="AH18" i="3"/>
  <c r="P18" i="3"/>
  <c r="AB18" i="3"/>
  <c r="V19" i="3"/>
  <c r="AH19" i="3"/>
  <c r="AH25" i="3"/>
  <c r="P25" i="3"/>
  <c r="V25" i="3"/>
  <c r="AH20" i="3"/>
  <c r="P20" i="3"/>
  <c r="V20" i="3"/>
  <c r="AH15" i="3"/>
  <c r="P15" i="3"/>
  <c r="AB15" i="3"/>
  <c r="V17" i="3"/>
  <c r="AH17" i="3"/>
  <c r="AB28" i="3"/>
  <c r="AH30" i="3"/>
  <c r="P30" i="3"/>
  <c r="V30" i="3"/>
  <c r="V42" i="3"/>
  <c r="V44" i="3"/>
  <c r="V32" i="3"/>
  <c r="V38" i="3"/>
  <c r="V40" i="3"/>
  <c r="P32" i="3"/>
  <c r="P38" i="3"/>
  <c r="P40" i="3"/>
  <c r="P42" i="3"/>
  <c r="P44" i="3"/>
  <c r="O40" i="1"/>
  <c r="U40" i="1" s="1"/>
  <c r="AA40" i="1" s="1"/>
  <c r="O39" i="1"/>
  <c r="U39" i="1" s="1"/>
  <c r="AA39" i="1" s="1"/>
  <c r="O38" i="1"/>
  <c r="U38" i="1" s="1"/>
  <c r="AA38" i="1" s="1"/>
  <c r="O37" i="1"/>
  <c r="U37" i="1" s="1"/>
  <c r="AA37" i="1" s="1"/>
  <c r="O36" i="1"/>
  <c r="U36" i="1" s="1"/>
  <c r="AA36" i="1" s="1"/>
  <c r="O35" i="1"/>
  <c r="U35" i="1" s="1"/>
  <c r="AA35" i="1" s="1"/>
  <c r="O34" i="1"/>
  <c r="U34" i="1" s="1"/>
  <c r="AA34" i="1" s="1"/>
  <c r="O33" i="1"/>
  <c r="U33" i="1" s="1"/>
  <c r="AA33" i="1" s="1"/>
  <c r="O29" i="1"/>
  <c r="U29" i="1" s="1"/>
  <c r="AA29" i="1" s="1"/>
  <c r="O28" i="1"/>
  <c r="U28" i="1" s="1"/>
  <c r="AA28" i="1" s="1"/>
  <c r="O27" i="1"/>
  <c r="U27" i="1" s="1"/>
  <c r="AA27" i="1" s="1"/>
  <c r="O26" i="1"/>
  <c r="U26" i="1" s="1"/>
  <c r="AA26" i="1" s="1"/>
  <c r="O25" i="1"/>
  <c r="U25" i="1" s="1"/>
  <c r="AA25" i="1" s="1"/>
  <c r="O24" i="1"/>
  <c r="U24" i="1" s="1"/>
  <c r="AA24" i="1" s="1"/>
  <c r="O23" i="1"/>
  <c r="U23" i="1" s="1"/>
  <c r="AA23" i="1" s="1"/>
  <c r="O22" i="1"/>
  <c r="U22" i="1" s="1"/>
  <c r="AA22" i="1" s="1"/>
  <c r="O18" i="1"/>
  <c r="U18" i="1" s="1"/>
  <c r="AA18" i="1" s="1"/>
  <c r="O17" i="1"/>
  <c r="U17" i="1" s="1"/>
  <c r="AA17" i="1" s="1"/>
  <c r="O16" i="1"/>
  <c r="U16" i="1" s="1"/>
  <c r="AA16" i="1" s="1"/>
  <c r="O15" i="1"/>
  <c r="U15" i="1" s="1"/>
  <c r="AA15" i="1" s="1"/>
  <c r="O14" i="1"/>
  <c r="U14" i="1" s="1"/>
  <c r="AA14" i="1" s="1"/>
  <c r="O13" i="1"/>
  <c r="U13" i="1" s="1"/>
  <c r="AA13" i="1" s="1"/>
  <c r="O12" i="1"/>
  <c r="U12" i="1" s="1"/>
  <c r="AA12" i="1" s="1"/>
  <c r="O11" i="1"/>
  <c r="U11" i="1" s="1"/>
  <c r="AA11" i="1" s="1"/>
  <c r="AF40" i="1" l="1"/>
  <c r="Z40" i="1"/>
  <c r="T40" i="1"/>
  <c r="N40" i="1"/>
  <c r="J40" i="1"/>
  <c r="AH40" i="1" s="1"/>
  <c r="H40" i="1"/>
  <c r="AF39" i="1"/>
  <c r="Z39" i="1"/>
  <c r="T39" i="1"/>
  <c r="N39" i="1"/>
  <c r="J39" i="1"/>
  <c r="V39" i="1" s="1"/>
  <c r="H39" i="1"/>
  <c r="AF38" i="1"/>
  <c r="Z38" i="1"/>
  <c r="T38" i="1"/>
  <c r="N38" i="1"/>
  <c r="J38" i="1"/>
  <c r="AH38" i="1" s="1"/>
  <c r="H38" i="1"/>
  <c r="AF37" i="1"/>
  <c r="Z37" i="1"/>
  <c r="T37" i="1"/>
  <c r="N37" i="1"/>
  <c r="J37" i="1"/>
  <c r="AB37" i="1" s="1"/>
  <c r="H37" i="1"/>
  <c r="AF36" i="1"/>
  <c r="Z36" i="1"/>
  <c r="T36" i="1"/>
  <c r="N36" i="1"/>
  <c r="J36" i="1"/>
  <c r="V36" i="1" s="1"/>
  <c r="H36" i="1"/>
  <c r="AF35" i="1"/>
  <c r="Z35" i="1"/>
  <c r="T35" i="1"/>
  <c r="N35" i="1"/>
  <c r="J35" i="1"/>
  <c r="AH35" i="1" s="1"/>
  <c r="H35" i="1"/>
  <c r="AF34" i="1"/>
  <c r="Z34" i="1"/>
  <c r="T34" i="1"/>
  <c r="N34" i="1"/>
  <c r="J34" i="1"/>
  <c r="AB34" i="1" s="1"/>
  <c r="H34" i="1"/>
  <c r="AF33" i="1"/>
  <c r="Z33" i="1"/>
  <c r="T33" i="1"/>
  <c r="N33" i="1"/>
  <c r="J33" i="1"/>
  <c r="V33" i="1" s="1"/>
  <c r="H33" i="1"/>
  <c r="AF29" i="1"/>
  <c r="Z29" i="1"/>
  <c r="T29" i="1"/>
  <c r="N29" i="1"/>
  <c r="J29" i="1"/>
  <c r="AH29" i="1" s="1"/>
  <c r="H29" i="1"/>
  <c r="AF28" i="1"/>
  <c r="Z28" i="1"/>
  <c r="T28" i="1"/>
  <c r="N28" i="1"/>
  <c r="J28" i="1"/>
  <c r="AH28" i="1" s="1"/>
  <c r="H28" i="1"/>
  <c r="AF27" i="1"/>
  <c r="Z27" i="1"/>
  <c r="T27" i="1"/>
  <c r="N27" i="1"/>
  <c r="J27" i="1"/>
  <c r="AH27" i="1" s="1"/>
  <c r="H27" i="1"/>
  <c r="AF26" i="1"/>
  <c r="Z26" i="1"/>
  <c r="T26" i="1"/>
  <c r="N26" i="1"/>
  <c r="J26" i="1"/>
  <c r="AB26" i="1" s="1"/>
  <c r="H26" i="1"/>
  <c r="AF25" i="1"/>
  <c r="Z25" i="1"/>
  <c r="T25" i="1"/>
  <c r="N25" i="1"/>
  <c r="J25" i="1"/>
  <c r="V25" i="1" s="1"/>
  <c r="H25" i="1"/>
  <c r="AF24" i="1"/>
  <c r="Z24" i="1"/>
  <c r="T24" i="1"/>
  <c r="N24" i="1"/>
  <c r="J24" i="1"/>
  <c r="AH24" i="1" s="1"/>
  <c r="H24" i="1"/>
  <c r="AF23" i="1"/>
  <c r="Z23" i="1"/>
  <c r="T23" i="1"/>
  <c r="N23" i="1"/>
  <c r="J23" i="1"/>
  <c r="V23" i="1" s="1"/>
  <c r="H23" i="1"/>
  <c r="AF22" i="1"/>
  <c r="Z22" i="1"/>
  <c r="T22" i="1"/>
  <c r="N22" i="1"/>
  <c r="J22" i="1"/>
  <c r="V22" i="1" s="1"/>
  <c r="H22" i="1"/>
  <c r="AF18" i="1"/>
  <c r="Z18" i="1"/>
  <c r="T18" i="1"/>
  <c r="N18" i="1"/>
  <c r="J18" i="1"/>
  <c r="AH18" i="1" s="1"/>
  <c r="H18" i="1"/>
  <c r="AF17" i="1"/>
  <c r="Z17" i="1"/>
  <c r="T17" i="1"/>
  <c r="N17" i="1"/>
  <c r="J17" i="1"/>
  <c r="P17" i="1" s="1"/>
  <c r="H17" i="1"/>
  <c r="AF16" i="1"/>
  <c r="Z16" i="1"/>
  <c r="V16" i="1"/>
  <c r="T16" i="1"/>
  <c r="N16" i="1"/>
  <c r="J16" i="1"/>
  <c r="AB16" i="1" s="1"/>
  <c r="H16" i="1"/>
  <c r="AH15" i="1"/>
  <c r="AF15" i="1"/>
  <c r="Z15" i="1"/>
  <c r="V15" i="1"/>
  <c r="T15" i="1"/>
  <c r="N15" i="1"/>
  <c r="J15" i="1"/>
  <c r="AB15" i="1" s="1"/>
  <c r="H15" i="1"/>
  <c r="AF14" i="1"/>
  <c r="Z14" i="1"/>
  <c r="T14" i="1"/>
  <c r="N14" i="1"/>
  <c r="J14" i="1"/>
  <c r="V14" i="1" s="1"/>
  <c r="H14" i="1"/>
  <c r="AF13" i="1"/>
  <c r="Z13" i="1"/>
  <c r="T13" i="1"/>
  <c r="N13" i="1"/>
  <c r="J13" i="1"/>
  <c r="AH13" i="1" s="1"/>
  <c r="H13" i="1"/>
  <c r="AF12" i="1"/>
  <c r="Z12" i="1"/>
  <c r="T12" i="1"/>
  <c r="N12" i="1"/>
  <c r="J12" i="1"/>
  <c r="AB12" i="1" s="1"/>
  <c r="H12" i="1"/>
  <c r="AF11" i="1"/>
  <c r="Z11" i="1"/>
  <c r="T11" i="1"/>
  <c r="N11" i="1"/>
  <c r="J11" i="1"/>
  <c r="V11" i="1" s="1"/>
  <c r="H11" i="1"/>
  <c r="V24" i="1" l="1"/>
  <c r="P39" i="1"/>
  <c r="AH39" i="1"/>
  <c r="V18" i="1"/>
  <c r="V13" i="1"/>
  <c r="V17" i="1"/>
  <c r="AH12" i="1"/>
  <c r="AB35" i="1"/>
  <c r="V12" i="1"/>
  <c r="AB28" i="1"/>
  <c r="P12" i="1"/>
  <c r="AB17" i="1"/>
  <c r="P34" i="1"/>
  <c r="P37" i="1"/>
  <c r="AH37" i="1"/>
  <c r="AB23" i="1"/>
  <c r="AH26" i="1"/>
  <c r="AH34" i="1"/>
  <c r="AH23" i="1"/>
  <c r="P26" i="1"/>
  <c r="P28" i="1"/>
  <c r="P23" i="1"/>
  <c r="V34" i="1"/>
  <c r="V37" i="1"/>
  <c r="V38" i="1"/>
  <c r="V40" i="1"/>
  <c r="AH17" i="1"/>
  <c r="P15" i="1"/>
  <c r="V26" i="1"/>
  <c r="V27" i="1"/>
  <c r="V28" i="1"/>
  <c r="V35" i="1"/>
  <c r="AB39" i="1"/>
  <c r="V29" i="1"/>
  <c r="AB14" i="1"/>
  <c r="AB22" i="1"/>
  <c r="P25" i="1"/>
  <c r="AH25" i="1"/>
  <c r="AB27" i="1"/>
  <c r="P36" i="1"/>
  <c r="AH36" i="1"/>
  <c r="AB38" i="1"/>
  <c r="AB25" i="1"/>
  <c r="AB33" i="1"/>
  <c r="AH14" i="1"/>
  <c r="AH11" i="1"/>
  <c r="AB13" i="1"/>
  <c r="P33" i="1"/>
  <c r="AH33" i="1"/>
  <c r="P16" i="1"/>
  <c r="AH16" i="1"/>
  <c r="AB18" i="1"/>
  <c r="P27" i="1"/>
  <c r="AB29" i="1"/>
  <c r="P38" i="1"/>
  <c r="AB40" i="1"/>
  <c r="AB36" i="1"/>
  <c r="P14" i="1"/>
  <c r="P22" i="1"/>
  <c r="AB24" i="1"/>
  <c r="P13" i="1"/>
  <c r="P24" i="1"/>
  <c r="P35" i="1"/>
  <c r="AB11" i="1"/>
  <c r="P11" i="1"/>
  <c r="AH22" i="1"/>
  <c r="P18" i="1"/>
  <c r="P29" i="1"/>
  <c r="P40" i="1"/>
  <c r="E40" i="1" a="1"/>
  <c r="E40" i="1" s="1"/>
  <c r="F40" i="1" s="1"/>
  <c r="E39" i="1" a="1"/>
  <c r="E39" i="1" s="1"/>
  <c r="F39" i="1" s="1"/>
  <c r="E38" i="1" a="1"/>
  <c r="E38" i="1" s="1"/>
  <c r="F38" i="1" s="1"/>
  <c r="E37" i="1" a="1"/>
  <c r="E37" i="1" s="1"/>
  <c r="F37" i="1" s="1"/>
  <c r="E36" i="1" a="1"/>
  <c r="E36" i="1" s="1"/>
  <c r="F36" i="1" s="1"/>
  <c r="E35" i="1" a="1"/>
  <c r="E35" i="1" s="1"/>
  <c r="F35" i="1" s="1"/>
  <c r="E34" i="1" a="1"/>
  <c r="E34" i="1" s="1"/>
  <c r="F34" i="1" s="1"/>
  <c r="E33" i="1" a="1"/>
  <c r="E33" i="1" s="1"/>
  <c r="F33" i="1" s="1"/>
  <c r="E29" i="1" a="1"/>
  <c r="E29" i="1" s="1"/>
  <c r="F29" i="1" s="1"/>
  <c r="E28" i="1" a="1"/>
  <c r="E28" i="1" s="1"/>
  <c r="F28" i="1" s="1"/>
  <c r="E27" i="1" a="1"/>
  <c r="E27" i="1" s="1"/>
  <c r="F27" i="1" s="1"/>
  <c r="E26" i="1" a="1"/>
  <c r="E26" i="1" s="1"/>
  <c r="F26" i="1" s="1"/>
  <c r="E25" i="1" a="1"/>
  <c r="E25" i="1" s="1"/>
  <c r="F25" i="1" s="1"/>
  <c r="E24" i="1" a="1"/>
  <c r="E24" i="1" s="1"/>
  <c r="F24" i="1" s="1"/>
  <c r="E23" i="1" a="1"/>
  <c r="E23" i="1" s="1"/>
  <c r="F23" i="1" s="1"/>
  <c r="E22" i="1" a="1"/>
  <c r="E22" i="1" s="1"/>
  <c r="F22" i="1" s="1"/>
  <c r="E12" i="1" a="1"/>
  <c r="E12" i="1" s="1"/>
  <c r="F12" i="1" s="1"/>
  <c r="E13" i="1" a="1"/>
  <c r="E13" i="1" s="1"/>
  <c r="F13" i="1" s="1"/>
  <c r="E14" i="1" a="1"/>
  <c r="E14" i="1" s="1"/>
  <c r="F14" i="1" s="1"/>
  <c r="E15" i="1" a="1"/>
  <c r="E15" i="1" s="1"/>
  <c r="F15" i="1" s="1"/>
  <c r="E16" i="1" a="1"/>
  <c r="E16" i="1" s="1"/>
  <c r="F16" i="1" s="1"/>
  <c r="E17" i="1" a="1"/>
  <c r="E17" i="1" s="1"/>
  <c r="F17" i="1" s="1"/>
  <c r="E18" i="1" a="1"/>
  <c r="E18" i="1" s="1"/>
  <c r="F18" i="1" s="1"/>
  <c r="E11" i="1" a="1"/>
  <c r="E11" i="1" s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D37" i="1" a="1"/>
  <c r="D37" i="1" s="1"/>
  <c r="D38" i="1" a="1"/>
  <c r="D38" i="1" s="1"/>
  <c r="D26" i="1" a="1"/>
  <c r="D26" i="1" s="1"/>
  <c r="D17" i="1" a="1"/>
  <c r="D17" i="1" s="1"/>
  <c r="D35" i="1" a="1"/>
  <c r="D35" i="1" s="1"/>
  <c r="D40" i="1" a="1"/>
  <c r="D40" i="1" s="1"/>
  <c r="D39" i="1" a="1"/>
  <c r="D39" i="1" s="1"/>
  <c r="D36" i="1" a="1"/>
  <c r="D36" i="1" s="1"/>
  <c r="D34" i="1" a="1"/>
  <c r="D34" i="1" s="1"/>
  <c r="D33" i="1" a="1"/>
  <c r="D33" i="1" s="1"/>
  <c r="D28" i="1" a="1"/>
  <c r="D28" i="1" s="1"/>
  <c r="D27" i="1" a="1"/>
  <c r="D27" i="1" s="1"/>
  <c r="D25" i="1" a="1"/>
  <c r="D25" i="1" s="1"/>
  <c r="D24" i="1" a="1"/>
  <c r="D24" i="1" s="1"/>
  <c r="D23" i="1" a="1"/>
  <c r="D23" i="1" s="1"/>
  <c r="D22" i="1" a="1"/>
  <c r="D22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8" i="1" a="1"/>
  <c r="D18" i="1" s="1"/>
  <c r="D29" i="1" l="1" a="1"/>
  <c r="D29" i="1" s="1"/>
  <c r="D11" i="1" a="1"/>
  <c r="D11" i="1" s="1"/>
  <c r="F11" i="1" s="1"/>
</calcChain>
</file>

<file path=xl/sharedStrings.xml><?xml version="1.0" encoding="utf-8"?>
<sst xmlns="http://schemas.openxmlformats.org/spreadsheetml/2006/main" count="3801" uniqueCount="350">
  <si>
    <t xml:space="preserve"> </t>
  </si>
  <si>
    <t>Week 1</t>
  </si>
  <si>
    <t>Week 2</t>
  </si>
  <si>
    <t>Week 3</t>
  </si>
  <si>
    <t>Week 4</t>
  </si>
  <si>
    <t>Week 5: Deload</t>
  </si>
  <si>
    <t>Sets</t>
  </si>
  <si>
    <t>Weight</t>
  </si>
  <si>
    <t>Rep Goal</t>
  </si>
  <si>
    <t>Rep Results</t>
  </si>
  <si>
    <t>*Rating</t>
  </si>
  <si>
    <t>3/fail</t>
  </si>
  <si>
    <t>2/fail</t>
  </si>
  <si>
    <t>1/fail</t>
  </si>
  <si>
    <t>1/2 reps of Week 1</t>
  </si>
  <si>
    <t>Reps</t>
  </si>
  <si>
    <t>(Select from drop-down menus)</t>
  </si>
  <si>
    <t>Triceps</t>
  </si>
  <si>
    <t>Biceps</t>
  </si>
  <si>
    <t>Calves</t>
  </si>
  <si>
    <t>Quads</t>
  </si>
  <si>
    <t>Exercise Rating Menu:</t>
  </si>
  <si>
    <t>Horizontal Push</t>
  </si>
  <si>
    <t>Medium Grip Bench Press</t>
  </si>
  <si>
    <t>Close Grip Bench Press</t>
  </si>
  <si>
    <t>Wide Grip Bench Press</t>
  </si>
  <si>
    <t>Pushup</t>
  </si>
  <si>
    <t>Close Grip Pushup</t>
  </si>
  <si>
    <t>Low Incline Dumbbell Press</t>
  </si>
  <si>
    <t>Incline Medium Grip Bench Press</t>
  </si>
  <si>
    <t>Incline Close Grip Bench Press</t>
  </si>
  <si>
    <t>Incline Wide Grip Bench Press</t>
  </si>
  <si>
    <t>Standing Barbell Shoulder Press</t>
  </si>
  <si>
    <t>Standing Dumbbell Shoulder Press</t>
  </si>
  <si>
    <t>Seated Barbell Shoulder Press</t>
  </si>
  <si>
    <t>Seated Dumbbell Shoulder Press</t>
  </si>
  <si>
    <t>Incline Dumbbell Press</t>
  </si>
  <si>
    <t>Chest Isolation</t>
  </si>
  <si>
    <t>Incline Dumbbell Flye</t>
  </si>
  <si>
    <t>Cable Flye</t>
  </si>
  <si>
    <t>Machine Chest Flye</t>
  </si>
  <si>
    <t>2-Arm Dumbbell Row</t>
  </si>
  <si>
    <t>1-Arm Dumbbell Row</t>
  </si>
  <si>
    <t>Normal Grip Pulldown</t>
  </si>
  <si>
    <t>Wide-Grip Pulldown</t>
  </si>
  <si>
    <t>Narrow Grip Pulldown</t>
  </si>
  <si>
    <t>Barbell Upright Row</t>
  </si>
  <si>
    <t>Dumbbell Upright Row</t>
  </si>
  <si>
    <t>Dumbbell Side Lateral Raise</t>
  </si>
  <si>
    <t>Cable Upright Row</t>
  </si>
  <si>
    <t>Dumbbell Rear Lateral Raise</t>
  </si>
  <si>
    <t>Barbell Facepull</t>
  </si>
  <si>
    <t>Horizontal Triceps</t>
  </si>
  <si>
    <t>Cable Tricep Pushdown</t>
  </si>
  <si>
    <t>Bar Skull</t>
  </si>
  <si>
    <t>Assisted Dips</t>
  </si>
  <si>
    <t>Dips</t>
  </si>
  <si>
    <t>Vertical Triceps</t>
  </si>
  <si>
    <t>Barbell Overhead Tricep Extension</t>
  </si>
  <si>
    <t>EZ Bar Overhead Tricep Extension</t>
  </si>
  <si>
    <t>Cable Overhead Tricep Extension</t>
  </si>
  <si>
    <t>Barbell Curl</t>
  </si>
  <si>
    <t xml:space="preserve">EZ Curl </t>
  </si>
  <si>
    <t>2-Arm Dumbbell Curl</t>
  </si>
  <si>
    <t>High Bar Squat</t>
  </si>
  <si>
    <t>Leg Press</t>
  </si>
  <si>
    <t>Barbell Walking Lunge</t>
  </si>
  <si>
    <t>Dumbbell Walking Lunge</t>
  </si>
  <si>
    <t xml:space="preserve">Front Squat </t>
  </si>
  <si>
    <t>Sumo Deadlift</t>
  </si>
  <si>
    <t>25's Deadlift</t>
  </si>
  <si>
    <t>Low Bar Good Morning</t>
  </si>
  <si>
    <t>High Bar Good Morning</t>
  </si>
  <si>
    <t>Seated Leg Curl</t>
  </si>
  <si>
    <t>Calves on Leg Press</t>
  </si>
  <si>
    <t>Stair Calves</t>
  </si>
  <si>
    <t>Smith Machine Calves</t>
  </si>
  <si>
    <t>Abs</t>
  </si>
  <si>
    <t>V-Up</t>
  </si>
  <si>
    <t>Slant Board Sit-Up</t>
  </si>
  <si>
    <t>Reaching Sit-Up</t>
  </si>
  <si>
    <t>Hanging Knee Raise</t>
  </si>
  <si>
    <t>(-1 = I was very sore and tight in the muscles worked in this exercise (from the last time I trained them), and the reps were very tough to complete.)</t>
  </si>
  <si>
    <t>(0 = I was noticeably sore and tight in the muscles worked in this exercise (from the last time I trained them), and the reps were tough but manageable to complete.)</t>
  </si>
  <si>
    <t>(1 = I wasn't very sore or tight in the muscles worked in this exercise (from the last time I trained them), and the reps were no major struggle to complete.)</t>
  </si>
  <si>
    <t>Day 1:</t>
  </si>
  <si>
    <t>Day 2:</t>
  </si>
  <si>
    <t>1.) Choose Your Exercises Below</t>
  </si>
  <si>
    <t>Exercise</t>
  </si>
  <si>
    <t xml:space="preserve">4.) Begin Training Using The </t>
  </si>
  <si>
    <t>Exercises, Sets, and Rep Goals</t>
  </si>
  <si>
    <t>of Each Week</t>
  </si>
  <si>
    <r>
      <rPr>
        <b/>
        <sz val="14"/>
        <color theme="1"/>
        <rFont val="Calibri"/>
        <family val="2"/>
        <scheme val="minor"/>
      </rPr>
      <t>5.) *Rating Guide:</t>
    </r>
    <r>
      <rPr>
        <sz val="11"/>
        <color theme="1"/>
        <rFont val="Calibri"/>
        <family val="2"/>
        <scheme val="minor"/>
      </rPr>
      <t xml:space="preserve">     (select this from the blue drop down boxes  below as you train and rate each exercise)</t>
    </r>
  </si>
  <si>
    <t xml:space="preserve">6.) Deload by Following the Instructions For Lighter and Easier Training Below </t>
  </si>
  <si>
    <t xml:space="preserve">So That You Can Recover For the Next Round of Great Training! </t>
  </si>
  <si>
    <t>Instructions For Each</t>
  </si>
  <si>
    <t>Exercise You Chose</t>
  </si>
  <si>
    <t xml:space="preserve">2.) Watch Video </t>
  </si>
  <si>
    <t>Your 10RMs</t>
  </si>
  <si>
    <t>Below</t>
  </si>
  <si>
    <t>3.) Estimate</t>
  </si>
  <si>
    <t>(Type in the weight</t>
  </si>
  <si>
    <t xml:space="preserve"> for each exercise)</t>
  </si>
  <si>
    <t>Rest 1-2 days before doing Day 2</t>
  </si>
  <si>
    <t>Rest 1-2 days before doing Day 3</t>
  </si>
  <si>
    <t>Rest 1-2 days before doing Day 1 of the next week</t>
  </si>
  <si>
    <t>Day 3:</t>
  </si>
  <si>
    <t>Front Delts</t>
  </si>
  <si>
    <t>Side Delts</t>
  </si>
  <si>
    <t>Hamstrings Isolation</t>
  </si>
  <si>
    <t>Hamstrings Hip Hinge</t>
  </si>
  <si>
    <t>Glutes</t>
  </si>
  <si>
    <t>Machine Crunch</t>
  </si>
  <si>
    <t>Modified Candlestick</t>
  </si>
  <si>
    <t>Calves on Calf Machine</t>
  </si>
  <si>
    <t>Close Grip Barbell Curl</t>
  </si>
  <si>
    <t>Cable Curl</t>
  </si>
  <si>
    <t>Incline Dumbbell Curl</t>
  </si>
  <si>
    <t>Dumbbell Spider Curl</t>
  </si>
  <si>
    <t>Alternating Dumbbell Curl</t>
  </si>
  <si>
    <t>Rear Delts</t>
  </si>
  <si>
    <t>Dumbbell Facepull</t>
  </si>
  <si>
    <t>Thumbs Down Lateral Raise</t>
  </si>
  <si>
    <t>Traps</t>
  </si>
  <si>
    <t>Barbell Bent Over Shrug</t>
  </si>
  <si>
    <t>Dumbbell Shrug</t>
  </si>
  <si>
    <t>Dumbbell Bent Over Shrug</t>
  </si>
  <si>
    <t>JM Press</t>
  </si>
  <si>
    <t>Cable Rope Pushdown</t>
  </si>
  <si>
    <t>Horizonal Back</t>
  </si>
  <si>
    <t>Chest Supported Row</t>
  </si>
  <si>
    <t>Row Machine</t>
  </si>
  <si>
    <t>Cable Row</t>
  </si>
  <si>
    <t>Vertical Back</t>
  </si>
  <si>
    <t>Overhand Pullup</t>
  </si>
  <si>
    <t>Hack Squat</t>
  </si>
  <si>
    <t>Sumo Squat</t>
  </si>
  <si>
    <t>Deadlift</t>
  </si>
  <si>
    <t>Stiff-Legged Deadlift</t>
  </si>
  <si>
    <t>45 Degree Back Raise</t>
  </si>
  <si>
    <t>Single-Leg Leg Curl</t>
  </si>
  <si>
    <t>Flat Dumbbell Flye</t>
  </si>
  <si>
    <t>High Cable Flye</t>
  </si>
  <si>
    <t>Cable Incline Flye</t>
  </si>
  <si>
    <t>Pec Dec Flye</t>
  </si>
  <si>
    <t>Flat Dumbbell Bench Press</t>
  </si>
  <si>
    <t>Incline Push</t>
  </si>
  <si>
    <t>Incline Machine Bench Press</t>
  </si>
  <si>
    <t>Shoulder Press Machine</t>
  </si>
  <si>
    <t>Hanging Strait Leg Raise</t>
  </si>
  <si>
    <t>Dummbell Twist Curl</t>
  </si>
  <si>
    <t>Hammer Curl</t>
  </si>
  <si>
    <t>Cable Rope Twist Curl</t>
  </si>
  <si>
    <t>Cable Facepull</t>
  </si>
  <si>
    <t>Barbell Shrug</t>
  </si>
  <si>
    <t>Skullcrusher</t>
  </si>
  <si>
    <t>Dumbbell Skullcrusher</t>
  </si>
  <si>
    <t>Seated EZ Bar Overhead Tricep Extension</t>
  </si>
  <si>
    <t>Seated Barbell Overhead Tricep Extension</t>
  </si>
  <si>
    <t>Barbell Bent Over Row</t>
  </si>
  <si>
    <t>Underhand EZ Bar Row</t>
  </si>
  <si>
    <t>Row to Chest</t>
  </si>
  <si>
    <t>Parallel Pullup</t>
  </si>
  <si>
    <t>Underhand Pullup</t>
  </si>
  <si>
    <t>Wide Grip Pullup</t>
  </si>
  <si>
    <t>Assisted Overhand Pullup</t>
  </si>
  <si>
    <t>Assisted Parallel Pullup</t>
  </si>
  <si>
    <t>Assisted Underhand Pullup</t>
  </si>
  <si>
    <t>Parallel Pulldown</t>
  </si>
  <si>
    <t>Underhand Pulldown</t>
  </si>
  <si>
    <t>Close Stance Feet Forward Squats</t>
  </si>
  <si>
    <t>Machine Feet Forward Squat</t>
  </si>
  <si>
    <t>Front Squat (Alernate Grip)</t>
  </si>
  <si>
    <t xml:space="preserve">Deficit Deadlift </t>
  </si>
  <si>
    <t>Hex Bar Deadlift</t>
  </si>
  <si>
    <t>Lying Leg Curl</t>
  </si>
  <si>
    <t>Flat Machine Bench Press</t>
  </si>
  <si>
    <t>High Incline Dumbbell Press</t>
  </si>
  <si>
    <t>Chest Isolation or Triceps</t>
  </si>
  <si>
    <t>Incline Push or Front Delts</t>
  </si>
  <si>
    <t>Rear Delts or Side Delts</t>
  </si>
  <si>
    <t>https://youtu.be/GWeVF2aVk8g</t>
  </si>
  <si>
    <t>https://youtu.be/JYiWXFIikW4</t>
  </si>
  <si>
    <t>https://youtu.be/ENaZCLrz8_c</t>
  </si>
  <si>
    <t>https://youtu.be/vz97voWk3jU</t>
  </si>
  <si>
    <t>https://youtu.be/sPIBL43Ds48</t>
  </si>
  <si>
    <t>https://youtu.be/dmwMfjPQIP8</t>
  </si>
  <si>
    <t>https://youtu.be/5p-vP_XyNaA</t>
  </si>
  <si>
    <t>https://youtu.be/wrPN51LyOUE</t>
  </si>
  <si>
    <t>https://youtu.be/mucRuC4sEjQ</t>
  </si>
  <si>
    <t>https://youtu.be/oRRs1bGzimM</t>
  </si>
  <si>
    <t>https://youtu.be/IkrC1u5e-RQ</t>
  </si>
  <si>
    <t>https://youtu.be/tYpquedo9e0</t>
  </si>
  <si>
    <t>https://youtu.be/MCjBeB844rU</t>
  </si>
  <si>
    <t>https://youtu.be/GztM7atVgd8</t>
  </si>
  <si>
    <t>https://youtu.be/yYB76DOBPsM</t>
  </si>
  <si>
    <t>https://youtu.be/nW7w5vG6IIc</t>
  </si>
  <si>
    <t>https://youtu.be/2jsTYbOkx1U</t>
  </si>
  <si>
    <t>https://youtu.be/DcRJ3bLJuVw</t>
  </si>
  <si>
    <t>https://youtu.be/xsOm9xn83-8</t>
  </si>
  <si>
    <t>https://youtu.be/y_GK6fn7raU</t>
  </si>
  <si>
    <t>https://youtu.be/S97e09rLmEU</t>
  </si>
  <si>
    <t>https://youtu.be/sR_EdrSruyQ</t>
  </si>
  <si>
    <t>https://youtu.be/BvX7g1yr1pY</t>
  </si>
  <si>
    <t>https://youtu.be/d90AskSQcDc</t>
  </si>
  <si>
    <t>https://youtu.be/Ana4dJbCvxE</t>
  </si>
  <si>
    <t>https://youtu.be/c32OxRaEhxM</t>
  </si>
  <si>
    <t>https://youtu.be/fbFISuP7Ezk</t>
  </si>
  <si>
    <t>https://youtu.be/KkpCTyjGlZo</t>
  </si>
  <si>
    <t>https://youtu.be/FoZM6vuuKBc</t>
  </si>
  <si>
    <t>https://youtu.be/pg3hz43P09w</t>
  </si>
  <si>
    <t>https://youtu.be/7P2LTF73EOM</t>
  </si>
  <si>
    <t>https://youtu.be/hR8aOS5LZjU</t>
  </si>
  <si>
    <t>https://youtu.be/6DiJh6_jeoo</t>
  </si>
  <si>
    <t>https://youtu.be/z3yCDRGrQTM</t>
  </si>
  <si>
    <t>https://youtu.be/S3NIBLmlKaU</t>
  </si>
  <si>
    <t>https://youtu.be/hJLXuvZd05w</t>
  </si>
  <si>
    <t>https://youtu.be/daSL236nYZs</t>
  </si>
  <si>
    <t>https://youtu.be/B48xWtzMHxk</t>
  </si>
  <si>
    <t>https://youtu.be/a5_JKN7j7Ug</t>
  </si>
  <si>
    <t>https://youtu.be/TtXlapucVxM</t>
  </si>
  <si>
    <t>https://youtu.be/B33bKk_r5PU</t>
  </si>
  <si>
    <t>https://youtu.be/tu2Q82-HMg0</t>
  </si>
  <si>
    <t>https://youtu.be/gYbmiluG5Ho</t>
  </si>
  <si>
    <t>https://youtu.be/U3SkMY6jw5M</t>
  </si>
  <si>
    <t>https://youtu.be/He-GN_4MAY4</t>
  </si>
  <si>
    <t>https://youtu.be/pOX1m37rOWo</t>
  </si>
  <si>
    <t>https://youtu.be/aNzU6AYZiEs</t>
  </si>
  <si>
    <t>https://youtu.be/B21LHpkamJM</t>
  </si>
  <si>
    <t>https://youtu.be/o2qSVwxiFk4</t>
  </si>
  <si>
    <t>https://youtu.be/ROIrNQJBKZ0</t>
  </si>
  <si>
    <t>https://youtu.be/tRT-cLlXJZ0</t>
  </si>
  <si>
    <t>https://youtu.be/Wdv_3ojsPhU</t>
  </si>
  <si>
    <t>https://youtu.be/4Idz7uwm3OU</t>
  </si>
  <si>
    <t>https://youtu.be/J44yAQ_LXXU</t>
  </si>
  <si>
    <t>https://youtu.be/o1yPuXatVRs</t>
  </si>
  <si>
    <t>https://youtu.be/y47HOtqxZkg</t>
  </si>
  <si>
    <t>https://youtu.be/NF4nbNsqreQ</t>
  </si>
  <si>
    <t>https://youtu.be/lFyDmuDjRts</t>
  </si>
  <si>
    <t>https://youtu.be/SmRa30Jci54</t>
  </si>
  <si>
    <t>https://youtu.be/HOWPPDueZY8</t>
  </si>
  <si>
    <t>https://youtu.be/ghHW6sETs-I</t>
  </si>
  <si>
    <t>https://youtu.be/UNo4yBbidG4</t>
  </si>
  <si>
    <t>https://youtu.be/2PC8eYTte5w</t>
  </si>
  <si>
    <t>https://youtu.be/gQ179IUjMsQ</t>
  </si>
  <si>
    <t>https://youtu.be/uMjeHo2_EwM</t>
  </si>
  <si>
    <t>https://youtu.be/bxfHw1LvH24</t>
  </si>
  <si>
    <t>https://youtu.be/xyoFXl-k644</t>
  </si>
  <si>
    <t>https://youtu.be/QzjjwxZOVdE</t>
  </si>
  <si>
    <t>https://youtu.be/2-o_-HTPhv8</t>
  </si>
  <si>
    <t>https://youtu.be/ppluAD4MHK8</t>
  </si>
  <si>
    <t>https://youtu.be/SYji94GabJg</t>
  </si>
  <si>
    <t>https://youtu.be/mJSsWpuyiCM</t>
  </si>
  <si>
    <t>https://youtu.be/SOyO4LHjhX4</t>
  </si>
  <si>
    <t>https://youtu.be/lNYA35p8XJQ</t>
  </si>
  <si>
    <t>https://youtu.be/uFEPuNtHoOU</t>
  </si>
  <si>
    <t>https://youtu.be/vNgwqFsVstY</t>
  </si>
  <si>
    <t>https://youtu.be/LRgZFHceZGo</t>
  </si>
  <si>
    <t>https://youtu.be/wjw-4R5VR20</t>
  </si>
  <si>
    <t>https://youtu.be/WWS1rPFPyiQ</t>
  </si>
  <si>
    <t>https://youtu.be/7If7L0lAur8</t>
  </si>
  <si>
    <t>https://youtu.be/xp1IeyTOB4U</t>
  </si>
  <si>
    <t>https://youtu.be/euEPxA3gsDo</t>
  </si>
  <si>
    <t>https://youtu.be/f-_q_3tN6Yo</t>
  </si>
  <si>
    <t>https://youtu.be/zbYgjREbdb0</t>
  </si>
  <si>
    <t>https://youtu.be/Z3AC4mmiKhw</t>
  </si>
  <si>
    <t>https://youtu.be/hzHJugCcT6g</t>
  </si>
  <si>
    <t>https://youtu.be/OMUGU1Vh8Ao</t>
  </si>
  <si>
    <t>https://youtu.be/m4KB9-Uo4Kc</t>
  </si>
  <si>
    <t>https://youtu.be/BHxrogNaKoo</t>
  </si>
  <si>
    <t>https://youtu.be/SMln-yOUKSA</t>
  </si>
  <si>
    <t>https://youtu.be/t2Kk-TOhq14</t>
  </si>
  <si>
    <t>https://youtu.be/_GBEHrc_V5U</t>
  </si>
  <si>
    <t>https://youtu.be/60Ai9_c60xg</t>
  </si>
  <si>
    <t>https://youtu.be/ipoTKasbDyQ</t>
  </si>
  <si>
    <t>https://youtu.be/6L7xI3jO_GU</t>
  </si>
  <si>
    <t>https://youtu.be/UPGRju60F60</t>
  </si>
  <si>
    <t>https://youtu.be/ZYM1mNayaeI</t>
  </si>
  <si>
    <t>https://youtu.be/Dl-by6_vATQ</t>
  </si>
  <si>
    <t>https://youtu.be/ILToidt_G0U</t>
  </si>
  <si>
    <t>https://youtu.be/20_pP7oaH34</t>
  </si>
  <si>
    <t>https://youtu.be/3s_QUA4HcxI</t>
  </si>
  <si>
    <t>https://youtu.be/cg4tsxQ1BP4</t>
  </si>
  <si>
    <t>https://youtu.be/TM_PeJIdQwE</t>
  </si>
  <si>
    <t>https://youtu.be/PFtO-p5VLO0</t>
  </si>
  <si>
    <t>https://youtu.be/zWRCV_td3I8</t>
  </si>
  <si>
    <t>https://youtu.be/MDuOnEyof1w</t>
  </si>
  <si>
    <t>https://youtu.be/efDlxayx234</t>
  </si>
  <si>
    <t>https://youtu.be/LYZDsNv8kJ8</t>
  </si>
  <si>
    <t>https://youtu.be/2JIPv1E5a0I</t>
  </si>
  <si>
    <t>https://youtu.be/eaI0E6ZcwM4</t>
  </si>
  <si>
    <t>https://youtu.be/n9RZ6FEthGU</t>
  </si>
  <si>
    <t>https://youtu.be/dF9Pm_-2zmg</t>
  </si>
  <si>
    <t>https://youtu.be/RGFdTZznnRs</t>
  </si>
  <si>
    <t>https://youtu.be/YIqmLutlM1g</t>
  </si>
  <si>
    <t>https://youtu.be/W6kJbZeFssU</t>
  </si>
  <si>
    <t>https://youtu.be/Ax_6UXGQo7o</t>
  </si>
  <si>
    <t>Link</t>
  </si>
  <si>
    <t>Category</t>
  </si>
  <si>
    <t>Table name</t>
  </si>
  <si>
    <t>Rear_Delts</t>
  </si>
  <si>
    <t>Side_Delts</t>
  </si>
  <si>
    <t>Horizontal_Triceps</t>
  </si>
  <si>
    <t>Vertical_Triceps</t>
  </si>
  <si>
    <t>Horizonal_Back</t>
  </si>
  <si>
    <t>Vertical_Back</t>
  </si>
  <si>
    <t>Hamstrings_Hip_Hinge</t>
  </si>
  <si>
    <t>Hamstrings_Isolation</t>
  </si>
  <si>
    <t>Chest_Isolation</t>
  </si>
  <si>
    <t>Horizontal_Push</t>
  </si>
  <si>
    <t>Incline_Push</t>
  </si>
  <si>
    <t>Front_Delts</t>
  </si>
  <si>
    <t>Incline_Push_or_Front_Delts</t>
  </si>
  <si>
    <t>Chest_Isolation_or_Triceps</t>
  </si>
  <si>
    <t>Rear_or_Side_Delts</t>
  </si>
  <si>
    <t>Abs[Exercise]</t>
  </si>
  <si>
    <t>Calves[Exercise]</t>
  </si>
  <si>
    <t>Biceps[Exercise]</t>
  </si>
  <si>
    <t>Rear_Delts[Exercise]</t>
  </si>
  <si>
    <t>Side_Delts[Exercise]</t>
  </si>
  <si>
    <t>Traps[Exercise]</t>
  </si>
  <si>
    <t>Horizontal_Triceps[Exercise]</t>
  </si>
  <si>
    <t>Vertical_Triceps[Exercise]</t>
  </si>
  <si>
    <t>Vertical_Back[Exercise]</t>
  </si>
  <si>
    <t>Quads[Exercise]</t>
  </si>
  <si>
    <t>Glutes[Exercise]</t>
  </si>
  <si>
    <t>Hamstrings_Hip_Hinge[Exercise]</t>
  </si>
  <si>
    <t>Hamstrings_Isolation[Exercise]</t>
  </si>
  <si>
    <t>Chest_Isolation[Exercise]</t>
  </si>
  <si>
    <t>Horizontal_Push[Exercise]</t>
  </si>
  <si>
    <t>Incline_Push[Exercise]</t>
  </si>
  <si>
    <t>Front_Delts[Exercise]</t>
  </si>
  <si>
    <t>Triceps[Exercise]</t>
  </si>
  <si>
    <t>Incline_Push_or_Front_Delts[Exercise]</t>
  </si>
  <si>
    <t>Chest_Isolation_or_Triceps[Exercise]</t>
  </si>
  <si>
    <t>Rear_or_Side_Delts[Exercise]</t>
  </si>
  <si>
    <t>Name List</t>
  </si>
  <si>
    <t>Horizontal_Back[Exercise]</t>
  </si>
  <si>
    <t>Link List</t>
  </si>
  <si>
    <t>Bicep Rear/Side Delt</t>
  </si>
  <si>
    <t>Vertical Pull</t>
  </si>
  <si>
    <t>Horizontal Pull</t>
  </si>
  <si>
    <t>Tricep/ Front Delt</t>
  </si>
  <si>
    <t>Arms</t>
  </si>
  <si>
    <t xml:space="preserve">  </t>
  </si>
  <si>
    <t>Super set this exercise</t>
  </si>
  <si>
    <t>with this one</t>
  </si>
  <si>
    <t>Week 3: Deload</t>
  </si>
  <si>
    <t>Instructional Video</t>
  </si>
  <si>
    <t>10RM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</si>
</sst>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sz val="11"/>
      <color theme="10"/>
      <name val="Calibri"/>
      <family val="2"/>
    </font>
    <font>
      <b/>
      <i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indexed="64"/>
      </right>
      <top style="medium">
        <color rgb="FFFF0000"/>
      </top>
      <bottom/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rgb="FFFF0000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indexed="64"/>
      </right>
      <top/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 style="medium">
        <color rgb="FFFF0000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rgb="FFFF0000"/>
      </bottom>
      <diagonal/>
    </border>
    <border>
      <left/>
      <right style="thin">
        <color indexed="64"/>
      </right>
      <top style="medium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FF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1">
    <xf numFmtId="0" fontId="0" fillId="0" borderId="0" xfId="0"/>
    <xf numFmtId="0" fontId="0" fillId="0" borderId="0" xfId="0" applyBorder="1"/>
    <xf numFmtId="0" fontId="0" fillId="0" borderId="8" xfId="0" applyBorder="1"/>
    <xf numFmtId="0" fontId="0" fillId="7" borderId="9" xfId="0" applyFill="1" applyBorder="1"/>
    <xf numFmtId="0" fontId="0" fillId="7" borderId="0" xfId="0" applyFill="1" applyBorder="1"/>
    <xf numFmtId="0" fontId="0" fillId="0" borderId="0" xfId="0" applyFill="1" applyBorder="1"/>
    <xf numFmtId="0" fontId="0" fillId="0" borderId="9" xfId="0" applyBorder="1"/>
    <xf numFmtId="0" fontId="0" fillId="6" borderId="3" xfId="0" applyFill="1" applyBorder="1"/>
    <xf numFmtId="0" fontId="0" fillId="6" borderId="12" xfId="0" applyFill="1" applyBorder="1"/>
    <xf numFmtId="0" fontId="0" fillId="7" borderId="1" xfId="0" applyFill="1" applyBorder="1"/>
    <xf numFmtId="0" fontId="2" fillId="0" borderId="0" xfId="1" applyAlignment="1" applyProtection="1"/>
    <xf numFmtId="0" fontId="0" fillId="7" borderId="2" xfId="0" applyFill="1" applyBorder="1"/>
    <xf numFmtId="0" fontId="0" fillId="7" borderId="12" xfId="0" applyFill="1" applyBorder="1"/>
    <xf numFmtId="0" fontId="0" fillId="6" borderId="19" xfId="0" applyFill="1" applyBorder="1"/>
    <xf numFmtId="0" fontId="0" fillId="0" borderId="0" xfId="0" applyAlignment="1">
      <alignment horizontal="center" vertical="center"/>
    </xf>
    <xf numFmtId="0" fontId="0" fillId="7" borderId="3" xfId="0" applyFill="1" applyBorder="1"/>
    <xf numFmtId="0" fontId="0" fillId="7" borderId="11" xfId="0" applyFill="1" applyBorder="1"/>
    <xf numFmtId="0" fontId="0" fillId="6" borderId="17" xfId="0" applyFill="1" applyBorder="1"/>
    <xf numFmtId="0" fontId="0" fillId="7" borderId="8" xfId="0" applyFill="1" applyBorder="1"/>
    <xf numFmtId="0" fontId="0" fillId="7" borderId="10" xfId="0" applyFill="1" applyBorder="1"/>
    <xf numFmtId="0" fontId="0" fillId="0" borderId="0" xfId="0" applyFont="1" applyFill="1" applyBorder="1"/>
    <xf numFmtId="0" fontId="0" fillId="6" borderId="1" xfId="0" applyFill="1" applyBorder="1"/>
    <xf numFmtId="0" fontId="3" fillId="6" borderId="13" xfId="0" applyFont="1" applyFill="1" applyBorder="1"/>
    <xf numFmtId="0" fontId="0" fillId="6" borderId="2" xfId="0" applyFill="1" applyBorder="1"/>
    <xf numFmtId="0" fontId="0" fillId="6" borderId="11" xfId="0" applyFill="1" applyBorder="1"/>
    <xf numFmtId="0" fontId="3" fillId="6" borderId="10" xfId="0" applyFont="1" applyFill="1" applyBorder="1"/>
    <xf numFmtId="0" fontId="3" fillId="6" borderId="11" xfId="0" applyFont="1" applyFill="1" applyBorder="1"/>
    <xf numFmtId="0" fontId="3" fillId="8" borderId="18" xfId="0" applyFont="1" applyFill="1" applyBorder="1"/>
    <xf numFmtId="0" fontId="3" fillId="11" borderId="14" xfId="0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center" vertical="center"/>
    </xf>
    <xf numFmtId="0" fontId="3" fillId="10" borderId="14" xfId="0" applyFont="1" applyFill="1" applyBorder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  <xf numFmtId="0" fontId="3" fillId="11" borderId="13" xfId="0" applyFont="1" applyFill="1" applyBorder="1" applyAlignment="1">
      <alignment horizontal="left" vertical="center"/>
    </xf>
    <xf numFmtId="0" fontId="3" fillId="10" borderId="13" xfId="0" applyFont="1" applyFill="1" applyBorder="1" applyAlignment="1">
      <alignment horizontal="left" vertical="center"/>
    </xf>
    <xf numFmtId="0" fontId="3" fillId="8" borderId="16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1" applyAlignment="1" applyProtection="1">
      <alignment horizontal="center"/>
    </xf>
    <xf numFmtId="0" fontId="2" fillId="0" borderId="0" xfId="1" applyAlignment="1" applyProtection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0" fontId="5" fillId="12" borderId="0" xfId="1" applyFont="1" applyFill="1" applyBorder="1" applyAlignment="1" applyProtection="1"/>
    <xf numFmtId="0" fontId="0" fillId="0" borderId="0" xfId="0" applyFill="1"/>
    <xf numFmtId="0" fontId="2" fillId="0" borderId="0" xfId="1" applyFill="1" applyAlignment="1" applyProtection="1"/>
    <xf numFmtId="0" fontId="5" fillId="0" borderId="0" xfId="1" applyFont="1" applyFill="1" applyBorder="1" applyAlignment="1" applyProtection="1"/>
    <xf numFmtId="0" fontId="0" fillId="0" borderId="0" xfId="0" applyFill="1" applyAlignment="1">
      <alignment horizontal="center"/>
    </xf>
    <xf numFmtId="0" fontId="0" fillId="0" borderId="0" xfId="0" applyFont="1" applyAlignment="1">
      <alignment horizontal="center"/>
    </xf>
    <xf numFmtId="0" fontId="4" fillId="12" borderId="20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6" fillId="0" borderId="0" xfId="1" applyFont="1" applyAlignment="1" applyProtection="1"/>
    <xf numFmtId="0" fontId="6" fillId="0" borderId="0" xfId="1" applyFont="1" applyAlignment="1" applyProtection="1">
      <alignment horizontal="center"/>
    </xf>
    <xf numFmtId="0" fontId="6" fillId="12" borderId="21" xfId="1" applyFont="1" applyFill="1" applyBorder="1" applyAlignment="1" applyProtection="1"/>
    <xf numFmtId="0" fontId="6" fillId="0" borderId="0" xfId="1" applyFont="1" applyAlignment="1" applyProtection="1">
      <alignment horizontal="center" vertical="center"/>
    </xf>
    <xf numFmtId="0" fontId="2" fillId="0" borderId="2" xfId="1" applyBorder="1" applyAlignment="1" applyProtection="1"/>
    <xf numFmtId="0" fontId="0" fillId="0" borderId="0" xfId="0" applyAlignment="1">
      <alignment horizontal="right"/>
    </xf>
    <xf numFmtId="0" fontId="7" fillId="0" borderId="16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0" fillId="9" borderId="27" xfId="0" applyFill="1" applyBorder="1" applyAlignment="1">
      <alignment horizontal="center" vertical="center"/>
    </xf>
    <xf numFmtId="0" fontId="2" fillId="9" borderId="26" xfId="1" applyFill="1" applyBorder="1" applyAlignment="1" applyProtection="1">
      <alignment horizontal="center"/>
    </xf>
    <xf numFmtId="0" fontId="1" fillId="0" borderId="45" xfId="0" applyFont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2" fillId="9" borderId="22" xfId="1" applyFill="1" applyBorder="1" applyAlignment="1" applyProtection="1">
      <alignment horizontal="center"/>
    </xf>
    <xf numFmtId="0" fontId="1" fillId="0" borderId="46" xfId="0" applyFont="1" applyBorder="1" applyAlignment="1">
      <alignment horizontal="center"/>
    </xf>
    <xf numFmtId="0" fontId="0" fillId="9" borderId="43" xfId="0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1" applyBorder="1" applyAlignment="1" applyProtection="1">
      <alignment horizontal="center"/>
    </xf>
    <xf numFmtId="0" fontId="7" fillId="0" borderId="18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2" fillId="9" borderId="51" xfId="1" applyFill="1" applyBorder="1" applyAlignment="1" applyProtection="1">
      <alignment horizontal="center"/>
    </xf>
    <xf numFmtId="0" fontId="2" fillId="9" borderId="52" xfId="1" applyFill="1" applyBorder="1" applyAlignment="1" applyProtection="1">
      <alignment horizontal="center"/>
    </xf>
    <xf numFmtId="0" fontId="2" fillId="9" borderId="53" xfId="1" applyFill="1" applyBorder="1" applyAlignment="1" applyProtection="1">
      <alignment horizontal="center"/>
    </xf>
    <xf numFmtId="0" fontId="1" fillId="0" borderId="16" xfId="0" applyFont="1" applyBorder="1" applyAlignment="1">
      <alignment horizontal="center"/>
    </xf>
    <xf numFmtId="0" fontId="0" fillId="9" borderId="44" xfId="0" applyFill="1" applyBorder="1" applyAlignment="1">
      <alignment horizontal="center" vertical="center"/>
    </xf>
    <xf numFmtId="0" fontId="0" fillId="9" borderId="45" xfId="0" applyFill="1" applyBorder="1" applyAlignment="1">
      <alignment horizontal="center" vertical="center"/>
    </xf>
    <xf numFmtId="0" fontId="0" fillId="9" borderId="46" xfId="0" applyFill="1" applyBorder="1" applyAlignment="1">
      <alignment horizontal="center" vertical="center"/>
    </xf>
    <xf numFmtId="0" fontId="2" fillId="11" borderId="44" xfId="1" applyFill="1" applyBorder="1" applyAlignment="1" applyProtection="1">
      <alignment horizontal="center" vertical="center"/>
    </xf>
    <xf numFmtId="0" fontId="2" fillId="11" borderId="45" xfId="1" applyFill="1" applyBorder="1" applyAlignment="1" applyProtection="1">
      <alignment horizontal="center" vertical="center"/>
    </xf>
    <xf numFmtId="0" fontId="2" fillId="11" borderId="46" xfId="1" applyFill="1" applyBorder="1" applyAlignment="1" applyProtection="1">
      <alignment horizontal="center" vertical="center"/>
    </xf>
    <xf numFmtId="0" fontId="0" fillId="10" borderId="44" xfId="0" applyFill="1" applyBorder="1" applyAlignment="1">
      <alignment horizontal="center" vertical="center"/>
    </xf>
    <xf numFmtId="0" fontId="0" fillId="10" borderId="45" xfId="0" applyFill="1" applyBorder="1" applyAlignment="1">
      <alignment horizontal="center" vertical="center"/>
    </xf>
    <xf numFmtId="0" fontId="0" fillId="10" borderId="46" xfId="0" applyFont="1" applyFill="1" applyBorder="1" applyAlignment="1">
      <alignment horizontal="center" vertical="center"/>
    </xf>
    <xf numFmtId="0" fontId="0" fillId="9" borderId="55" xfId="0" applyFill="1" applyBorder="1" applyAlignment="1">
      <alignment horizontal="center" vertical="center"/>
    </xf>
    <xf numFmtId="0" fontId="1" fillId="0" borderId="56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7" borderId="16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9" borderId="33" xfId="1" applyFill="1" applyBorder="1" applyAlignment="1" applyProtection="1">
      <alignment horizontal="center"/>
    </xf>
    <xf numFmtId="0" fontId="0" fillId="9" borderId="57" xfId="0" applyFill="1" applyBorder="1" applyAlignment="1">
      <alignment horizontal="center" vertical="center"/>
    </xf>
    <xf numFmtId="0" fontId="0" fillId="9" borderId="58" xfId="0" applyFill="1" applyBorder="1" applyAlignment="1">
      <alignment horizontal="center" vertical="center"/>
    </xf>
    <xf numFmtId="0" fontId="0" fillId="9" borderId="59" xfId="0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9" borderId="62" xfId="0" applyFill="1" applyBorder="1" applyAlignment="1">
      <alignment horizontal="center" vertical="center"/>
    </xf>
    <xf numFmtId="0" fontId="0" fillId="9" borderId="60" xfId="0" applyFill="1" applyBorder="1" applyAlignment="1">
      <alignment horizontal="center" vertical="center"/>
    </xf>
    <xf numFmtId="0" fontId="0" fillId="9" borderId="61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2" fillId="9" borderId="54" xfId="1" applyFill="1" applyBorder="1" applyAlignment="1" applyProtection="1">
      <alignment horizontal="center"/>
    </xf>
    <xf numFmtId="0" fontId="2" fillId="9" borderId="63" xfId="1" applyFill="1" applyBorder="1" applyAlignment="1" applyProtection="1">
      <alignment horizontal="center"/>
    </xf>
    <xf numFmtId="0" fontId="2" fillId="9" borderId="64" xfId="1" applyFill="1" applyBorder="1" applyAlignment="1" applyProtection="1">
      <alignment horizontal="center"/>
    </xf>
    <xf numFmtId="0" fontId="2" fillId="9" borderId="65" xfId="1" applyFill="1" applyBorder="1" applyAlignment="1" applyProtection="1">
      <alignment horizontal="center"/>
    </xf>
    <xf numFmtId="0" fontId="2" fillId="11" borderId="62" xfId="1" applyFill="1" applyBorder="1" applyAlignment="1" applyProtection="1">
      <alignment horizontal="center" vertical="center"/>
    </xf>
    <xf numFmtId="0" fontId="2" fillId="11" borderId="60" xfId="1" applyFill="1" applyBorder="1" applyAlignment="1" applyProtection="1">
      <alignment horizontal="center" vertical="center"/>
    </xf>
    <xf numFmtId="0" fontId="2" fillId="11" borderId="61" xfId="1" applyFill="1" applyBorder="1" applyAlignment="1" applyProtection="1">
      <alignment horizontal="center" vertical="center"/>
    </xf>
    <xf numFmtId="0" fontId="2" fillId="11" borderId="14" xfId="1" applyFill="1" applyBorder="1" applyAlignment="1" applyProtection="1">
      <alignment horizontal="center" vertical="center"/>
    </xf>
    <xf numFmtId="0" fontId="0" fillId="10" borderId="62" xfId="0" applyFill="1" applyBorder="1" applyAlignment="1">
      <alignment horizontal="center" vertical="center"/>
    </xf>
    <xf numFmtId="0" fontId="0" fillId="10" borderId="60" xfId="0" applyFill="1" applyBorder="1" applyAlignment="1">
      <alignment horizontal="center" vertical="center"/>
    </xf>
    <xf numFmtId="0" fontId="0" fillId="10" borderId="61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1" fillId="0" borderId="66" xfId="0" applyFont="1" applyBorder="1" applyAlignment="1">
      <alignment horizontal="center"/>
    </xf>
    <xf numFmtId="0" fontId="1" fillId="0" borderId="67" xfId="0" applyFont="1" applyBorder="1" applyAlignment="1">
      <alignment horizontal="center"/>
    </xf>
    <xf numFmtId="0" fontId="1" fillId="0" borderId="68" xfId="0" applyFont="1" applyBorder="1" applyAlignment="1">
      <alignment horizontal="center"/>
    </xf>
    <xf numFmtId="0" fontId="0" fillId="9" borderId="69" xfId="0" applyFill="1" applyBorder="1" applyAlignment="1">
      <alignment horizontal="center" vertical="center"/>
    </xf>
    <xf numFmtId="0" fontId="0" fillId="9" borderId="70" xfId="0" applyFill="1" applyBorder="1" applyAlignment="1">
      <alignment horizontal="center" vertical="center"/>
    </xf>
    <xf numFmtId="0" fontId="0" fillId="10" borderId="70" xfId="0" applyFill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0" borderId="29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0" borderId="35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5" xfId="0" applyFill="1" applyBorder="1" applyAlignment="1">
      <alignment horizontal="center"/>
    </xf>
    <xf numFmtId="0" fontId="0" fillId="0" borderId="29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3" fillId="6" borderId="18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02"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rgb="FF95B3D7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rgb="FF95B3D7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border outline="0">
        <top style="thin">
          <color theme="4" tint="0.39997558519241921"/>
        </top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border outline="0">
        <bottom style="thin">
          <color theme="4" tint="0.39997558519241921"/>
        </bottom>
      </border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</font>
      <alignment horizontal="center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u val="none"/>
        <vertAlign val="baseline"/>
        <sz val="11"/>
        <name val="Calibri"/>
      </font>
    </dxf>
    <dxf>
      <font>
        <b val="0"/>
        <strike val="0"/>
        <outline val="0"/>
        <shadow val="0"/>
        <u val="none"/>
        <vertAlign val="baseline"/>
        <sz val="11"/>
        <name val="Calibri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>
          <a:off x="30765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>
          <a:off x="736282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/>
      </xdr:nvSpPr>
      <xdr:spPr>
        <a:xfrm>
          <a:off x="583882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/>
      </xdr:nvSpPr>
      <xdr:spPr>
        <a:xfrm>
          <a:off x="11430000" y="762000"/>
          <a:ext cx="12453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15344775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SpPr/>
      </xdr:nvSpPr>
      <xdr:spPr>
        <a:xfrm>
          <a:off x="13058775" y="727710"/>
          <a:ext cx="1121501" cy="708660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419100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/>
      </xdr:nvSpPr>
      <xdr:spPr>
        <a:xfrm>
          <a:off x="29822775" y="257175"/>
          <a:ext cx="1178651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1" name="Down Arrow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SpPr/>
      </xdr:nvSpPr>
      <xdr:spPr>
        <a:xfrm>
          <a:off x="16293465" y="918211"/>
          <a:ext cx="1283426" cy="51816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1352550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>
        <a:xfrm>
          <a:off x="128206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31</xdr:col>
      <xdr:colOff>419100</xdr:colOff>
      <xdr:row>1</xdr:row>
      <xdr:rowOff>9525</xdr:rowOff>
    </xdr:from>
    <xdr:to>
      <xdr:col>32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>
        <a:xfrm>
          <a:off x="29822775" y="257175"/>
          <a:ext cx="1178651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>
        <a:xfrm>
          <a:off x="128206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2381250</xdr:colOff>
      <xdr:row>7</xdr:row>
      <xdr:rowOff>47625</xdr:rowOff>
    </xdr:to>
    <xdr:pic>
      <xdr:nvPicPr>
        <xdr:cNvPr id="2" name="Picture 1" descr="C:\Users\Nick Shaw\Desktop\Logo.jpg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2981325" cy="15716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685800</xdr:colOff>
      <xdr:row>1</xdr:row>
      <xdr:rowOff>19050</xdr:rowOff>
    </xdr:from>
    <xdr:to>
      <xdr:col>2</xdr:col>
      <xdr:colOff>1931126</xdr:colOff>
      <xdr:row>7</xdr:row>
      <xdr:rowOff>219076</xdr:rowOff>
    </xdr:to>
    <xdr:sp macro="" textlink="">
      <xdr:nvSpPr>
        <xdr:cNvPr id="3" name="Down Arrow 2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3686175" y="266700"/>
          <a:ext cx="1245326" cy="1476376"/>
        </a:xfrm>
        <a:prstGeom prst="downArrow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6</xdr:col>
      <xdr:colOff>104775</xdr:colOff>
      <xdr:row>3</xdr:row>
      <xdr:rowOff>9526</xdr:rowOff>
    </xdr:from>
    <xdr:to>
      <xdr:col>6</xdr:col>
      <xdr:colOff>1045301</xdr:colOff>
      <xdr:row>6</xdr:row>
      <xdr:rowOff>171451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7381875" y="752476"/>
          <a:ext cx="940526" cy="742950"/>
        </a:xfrm>
        <a:prstGeom prst="down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5</xdr:col>
      <xdr:colOff>266700</xdr:colOff>
      <xdr:row>3</xdr:row>
      <xdr:rowOff>19050</xdr:rowOff>
    </xdr:from>
    <xdr:to>
      <xdr:col>5</xdr:col>
      <xdr:colOff>1407251</xdr:colOff>
      <xdr:row>8</xdr:row>
      <xdr:rowOff>161924</xdr:rowOff>
    </xdr:to>
    <xdr:sp macro="" textlink="">
      <xdr:nvSpPr>
        <xdr:cNvPr id="5" name="Down Arrow 4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5857875" y="762000"/>
          <a:ext cx="1140551" cy="1171574"/>
        </a:xfrm>
        <a:prstGeom prst="downArrow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6" name="Down Arrow 5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>
        <a:xfrm>
          <a:off x="128206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7</xdr:col>
      <xdr:colOff>1362075</xdr:colOff>
      <xdr:row>3</xdr:row>
      <xdr:rowOff>19050</xdr:rowOff>
    </xdr:from>
    <xdr:to>
      <xdr:col>8</xdr:col>
      <xdr:colOff>7076</xdr:colOff>
      <xdr:row>6</xdr:row>
      <xdr:rowOff>171450</xdr:rowOff>
    </xdr:to>
    <xdr:sp macro="" textlink="">
      <xdr:nvSpPr>
        <xdr:cNvPr id="8" name="Down Arrow 7">
          <a:extLst>
            <a:ext uri="{FF2B5EF4-FFF2-40B4-BE49-F238E27FC236}">
              <a16:creationId xmlns:a16="http://schemas.microsoft.com/office/drawing/2014/main" xmlns="" id="{00000000-0008-0000-0200-000008000000}"/>
            </a:ext>
          </a:extLst>
        </xdr:cNvPr>
        <xdr:cNvSpPr/>
      </xdr:nvSpPr>
      <xdr:spPr>
        <a:xfrm>
          <a:off x="9867900" y="762000"/>
          <a:ext cx="1054826" cy="733425"/>
        </a:xfrm>
        <a:prstGeom prst="down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19</xdr:col>
      <xdr:colOff>419100</xdr:colOff>
      <xdr:row>1</xdr:row>
      <xdr:rowOff>9525</xdr:rowOff>
    </xdr:from>
    <xdr:to>
      <xdr:col>20</xdr:col>
      <xdr:colOff>197576</xdr:colOff>
      <xdr:row>6</xdr:row>
      <xdr:rowOff>152400</xdr:rowOff>
    </xdr:to>
    <xdr:sp macro="" textlink="">
      <xdr:nvSpPr>
        <xdr:cNvPr id="9" name="Down Arrow 8">
          <a:extLst>
            <a:ext uri="{FF2B5EF4-FFF2-40B4-BE49-F238E27FC236}">
              <a16:creationId xmlns:a16="http://schemas.microsoft.com/office/drawing/2014/main" xmlns="" id="{00000000-0008-0000-0200-000009000000}"/>
            </a:ext>
          </a:extLst>
        </xdr:cNvPr>
        <xdr:cNvSpPr/>
      </xdr:nvSpPr>
      <xdr:spPr>
        <a:xfrm>
          <a:off x="29822775" y="257175"/>
          <a:ext cx="1178651" cy="1219200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  <xdr:twoCellAnchor>
    <xdr:from>
      <xdr:col>11</xdr:col>
      <xdr:colOff>352425</xdr:colOff>
      <xdr:row>4</xdr:row>
      <xdr:rowOff>19051</xdr:rowOff>
    </xdr:from>
    <xdr:to>
      <xdr:col>13</xdr:col>
      <xdr:colOff>340451</xdr:colOff>
      <xdr:row>6</xdr:row>
      <xdr:rowOff>171451</xdr:rowOff>
    </xdr:to>
    <xdr:sp macro="" textlink="">
      <xdr:nvSpPr>
        <xdr:cNvPr id="10" name="Down Arrow 9">
          <a:extLst>
            <a:ext uri="{FF2B5EF4-FFF2-40B4-BE49-F238E27FC236}">
              <a16:creationId xmlns:a16="http://schemas.microsoft.com/office/drawing/2014/main" xmlns="" id="{00000000-0008-0000-0200-00000A000000}"/>
            </a:ext>
          </a:extLst>
        </xdr:cNvPr>
        <xdr:cNvSpPr/>
      </xdr:nvSpPr>
      <xdr:spPr>
        <a:xfrm>
          <a:off x="12820650" y="962026"/>
          <a:ext cx="1245326" cy="533400"/>
        </a:xfrm>
        <a:prstGeom prst="downArrow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id="1" name="Abs" displayName="Abs" ref="B92:C99" totalsRowShown="0" headerRowDxfId="401" dataDxfId="400">
  <autoFilter ref="B92:C99"/>
  <tableColumns count="2">
    <tableColumn id="1" name="Exercise" dataDxfId="399" dataCellStyle="Hyperlink"/>
    <tableColumn id="2" name="Link" dataDxfId="3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ar_or_Side_Delts" displayName="Rear_or_Side_Delts" ref="B294:C303" totalsRowShown="0" headerRowDxfId="397" dataDxfId="395" headerRowBorderDxfId="396" tableBorderDxfId="394">
  <autoFilter ref="B294:C303"/>
  <tableColumns count="2">
    <tableColumn id="1" name="Exercise" dataDxfId="393" dataCellStyle="Hyperlink"/>
    <tableColumn id="2" name="Link" dataDxfId="39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Name" displayName="Table_Name" ref="B305:E327" totalsRowShown="0">
  <autoFilter ref="B305:E327"/>
  <tableColumns count="4">
    <tableColumn id="1" name="Category"/>
    <tableColumn id="2" name="Table name" dataDxfId="391"/>
    <tableColumn id="3" name="Name List" dataDxfId="390"/>
    <tableColumn id="4" name="Link List" dataDxfId="389">
      <calculatedColumnFormula>CONCATENATE(Table_Name[[#This Row],[Table name]],"[Link]")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hest_Isolation_or_Triceps" displayName="Chest_Isolation_or_Triceps" ref="B272:C292" totalsRowShown="0" headerRowDxfId="388" dataDxfId="386" headerRowBorderDxfId="387" tableBorderDxfId="385">
  <autoFilter ref="B272:C292"/>
  <tableColumns count="2">
    <tableColumn id="1" name="Exercise" dataDxfId="384" dataCellStyle="Hyperlink"/>
    <tableColumn id="2" name="Link" dataDxfId="38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cline_Push_or_front_Delts" displayName="Incline_Push_or_front_Delts" ref="B259:C271" totalsRowShown="0" headerRowDxfId="382" dataDxfId="380" headerRowBorderDxfId="381" tableBorderDxfId="379">
  <autoFilter ref="B259:C271"/>
  <tableColumns count="2">
    <tableColumn id="1" name="Exercise" dataDxfId="378" dataCellStyle="Hyperlink"/>
    <tableColumn id="2" name="Link" dataDxfId="37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riceps" displayName="Triceps" ref="B245:C258" totalsRowShown="0" headerRowDxfId="376" dataDxfId="374" headerRowBorderDxfId="375" tableBorderDxfId="373">
  <autoFilter ref="B245:C258"/>
  <tableColumns count="2">
    <tableColumn id="1" name="Exercise" dataDxfId="372" dataCellStyle="Hyperlink"/>
    <tableColumn id="2" name="Link" dataDxfId="37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ront_Delts" displayName="Front_Delts" ref="B236:C242" totalsRowShown="0" headerRowDxfId="370" dataDxfId="368" headerRowBorderDxfId="369" tableBorderDxfId="367">
  <autoFilter ref="B236:C242"/>
  <tableColumns count="2">
    <tableColumn id="1" name="Exercise" dataDxfId="366" dataCellStyle="Hyperlink"/>
    <tableColumn id="2" name="Link" dataDxfId="36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Incline_Push" displayName="Incline_Push" ref="B228:C234" totalsRowShown="0" headerRowDxfId="364" dataDxfId="362" headerRowBorderDxfId="363" tableBorderDxfId="361">
  <autoFilter ref="B228:C234"/>
  <tableColumns count="2">
    <tableColumn id="1" name="Exercise" dataDxfId="360" dataCellStyle="Hyperlink"/>
    <tableColumn id="2" name="Link" dataDxfId="35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orizontal_Push" displayName="Horizontal_Push" ref="B219:C226" totalsRowShown="0" headerRowDxfId="358" dataDxfId="356" headerRowBorderDxfId="357" tableBorderDxfId="355">
  <autoFilter ref="B219:C226"/>
  <tableColumns count="2">
    <tableColumn id="1" name="Exercise" dataDxfId="354" dataCellStyle="Hyperlink"/>
    <tableColumn id="2" name="Link" dataDxfId="3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hest_Isolation" displayName="Chest_Isolation" ref="B210:C217" totalsRowShown="0" headerRowDxfId="352" dataDxfId="350" headerRowBorderDxfId="351" tableBorderDxfId="349">
  <autoFilter ref="B210:C217"/>
  <tableColumns count="2">
    <tableColumn id="1" name="Exercise" dataDxfId="348" dataCellStyle="Hyperlink"/>
    <tableColumn id="2" name="Link" dataDxfId="347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Hamstrings_Isolation" displayName="Hamstrings_Isolation" ref="B205:C208" totalsRowShown="0" headerRowDxfId="346" dataDxfId="344" headerRowBorderDxfId="345" tableBorderDxfId="343">
  <autoFilter ref="B205:C208"/>
  <tableColumns count="2">
    <tableColumn id="1" name="Exercise" dataDxfId="342" dataCellStyle="Hyperlink"/>
    <tableColumn id="2" name="Link" dataDxfId="341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Hamstrings_Hip_Hinge" displayName="Hamstrings_Hip_Hinge" ref="B199:C203" totalsRowShown="0" headerRowDxfId="340" dataDxfId="338" headerRowBorderDxfId="339" tableBorderDxfId="337">
  <autoFilter ref="B199:C203"/>
  <tableColumns count="2">
    <tableColumn id="1" name="Exercise" dataDxfId="336" dataCellStyle="Hyperlink"/>
    <tableColumn id="2" name="Link" dataDxfId="335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Glutes" displayName="Glutes" ref="B189:C197" totalsRowShown="0" headerRowDxfId="334" dataDxfId="332" headerRowBorderDxfId="333" tableBorderDxfId="331">
  <autoFilter ref="B189:C197"/>
  <tableColumns count="2">
    <tableColumn id="1" name="Exercise" dataDxfId="330" dataCellStyle="Hyperlink"/>
    <tableColumn id="2" name="Link" dataDxfId="32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Quads" displayName="Quads" ref="B180:C187" totalsRowShown="0" headerRowDxfId="328" dataDxfId="326" headerRowBorderDxfId="327" tableBorderDxfId="325">
  <autoFilter ref="B180:C187"/>
  <tableColumns count="2">
    <tableColumn id="1" name="Exercise" dataDxfId="324" dataCellStyle="Hyperlink"/>
    <tableColumn id="2" name="Link" dataDxfId="323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Vertical_Back" displayName="Vertical_Back" ref="B166:C178" totalsRowShown="0" headerRowDxfId="322" dataDxfId="320" headerRowBorderDxfId="321" tableBorderDxfId="319" dataCellStyle="Hyperlink">
  <autoFilter ref="B166:C178"/>
  <tableColumns count="2">
    <tableColumn id="1" name="Exercise" dataDxfId="318" dataCellStyle="Hyperlink"/>
    <tableColumn id="2" name="Link" dataDxfId="317" dataCellStyle="Hyperlink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Horizontal_Back" displayName="Horizontal_Back" ref="B156:C164" totalsRowShown="0" headerRowDxfId="316" dataDxfId="314" headerRowBorderDxfId="315" tableBorderDxfId="313">
  <autoFilter ref="B156:C164"/>
  <tableColumns count="2">
    <tableColumn id="1" name="Exercise" dataDxfId="312" dataCellStyle="Hyperlink"/>
    <tableColumn id="2" name="Link" dataDxfId="311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Vertical_Triceps" displayName="Vertical_Triceps" ref="B149:C154" totalsRowShown="0" headerRowDxfId="310" dataDxfId="308" headerRowBorderDxfId="309" tableBorderDxfId="307">
  <autoFilter ref="B149:C154"/>
  <tableColumns count="2">
    <tableColumn id="1" name="Exercise" dataDxfId="306" dataCellStyle="Hyperlink"/>
    <tableColumn id="2" name="Link" dataDxfId="30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Horizontal_Triceps" displayName="Horizontal_Triceps" ref="B139:C147" totalsRowShown="0" headerRowDxfId="304" dataDxfId="302" headerRowBorderDxfId="303" tableBorderDxfId="301">
  <autoFilter ref="B139:C147"/>
  <tableColumns count="2">
    <tableColumn id="1" name="Exercise" dataDxfId="300" dataCellStyle="Hyperlink"/>
    <tableColumn id="2" name="Link" dataDxfId="29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raps" displayName="Traps" ref="B133:C137" totalsRowShown="0" headerRowDxfId="298" dataDxfId="296" headerRowBorderDxfId="297" tableBorderDxfId="295">
  <autoFilter ref="B133:C137"/>
  <tableColumns count="2">
    <tableColumn id="1" name="Exercise" dataDxfId="294" dataCellStyle="Hyperlink"/>
    <tableColumn id="2" name="Link" dataDxfId="293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Side_Delts" displayName="Side_Delts" ref="B126:C131" totalsRowShown="0" headerRowDxfId="292" dataDxfId="290" headerRowBorderDxfId="291" tableBorderDxfId="289">
  <autoFilter ref="B126:C131"/>
  <tableColumns count="2">
    <tableColumn id="1" name="Exercise" dataDxfId="288" dataCellStyle="Hyperlink"/>
    <tableColumn id="2" name="Link" dataDxfId="287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Rear_Delts" displayName="Rear_Delts" ref="B120:C124" totalsRowShown="0" headerRowDxfId="286" dataDxfId="284" headerRowBorderDxfId="285" tableBorderDxfId="283">
  <autoFilter ref="B120:C124"/>
  <tableColumns count="2">
    <tableColumn id="1" name="Exercise" dataDxfId="282" dataCellStyle="Hyperlink"/>
    <tableColumn id="2" name="Link" dataDxfId="281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Biceps" displayName="Biceps" ref="B107:C118" totalsRowShown="0" headerRowDxfId="280" dataDxfId="278" headerRowBorderDxfId="279" tableBorderDxfId="277">
  <autoFilter ref="B107:C118"/>
  <tableColumns count="2">
    <tableColumn id="1" name="Exercise" dataDxfId="276" dataCellStyle="Hyperlink"/>
    <tableColumn id="2" name="Link" dataDxfId="275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Calves" displayName="Calves" ref="B101:C105" totalsRowShown="0" headerRowDxfId="274" dataDxfId="272" headerRowBorderDxfId="273" tableBorderDxfId="271">
  <autoFilter ref="B101:C105"/>
  <tableColumns count="2">
    <tableColumn id="1" name="Exercise" dataDxfId="270" dataCellStyle="Hyperlink"/>
    <tableColumn id="2" name="Link" dataDxfId="269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id="24" name="Links" displayName="Links" ref="B329:D499" totalsRowShown="0">
  <autoFilter ref="B329:D499"/>
  <sortState ref="B331:D540">
    <sortCondition ref="C94:C304"/>
  </sortState>
  <tableColumns count="3">
    <tableColumn id="1" name="Exercise" dataDxfId="268"/>
    <tableColumn id="2" name="Link"/>
    <tableColumn id="3" name="Categor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id="25" name="Abs_26" displayName="Abs_26" ref="B96:C103" totalsRowShown="0" headerRowDxfId="267" dataDxfId="266">
  <autoFilter ref="B96:C103"/>
  <tableColumns count="2">
    <tableColumn id="1" name="Exercise" dataDxfId="265" dataCellStyle="Hyperlink"/>
    <tableColumn id="2" name="Link" dataDxfId="26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id="26" name="Rear_or_Side_Delts27" displayName="Rear_or_Side_Delts27" ref="B298:C307" totalsRowShown="0" headerRowDxfId="263" dataDxfId="261" headerRowBorderDxfId="262" tableBorderDxfId="260">
  <autoFilter ref="B298:C307"/>
  <tableColumns count="2">
    <tableColumn id="1" name="Exercise" dataDxfId="259" dataCellStyle="Hyperlink"/>
    <tableColumn id="2" name="Link" dataDxfId="25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id="27" name="Table_Name28" displayName="Table_Name28" ref="B309:E331" totalsRowShown="0">
  <autoFilter ref="B309:E331"/>
  <tableColumns count="4">
    <tableColumn id="1" name="Category"/>
    <tableColumn id="2" name="Table name" dataDxfId="257"/>
    <tableColumn id="3" name="Name List" dataDxfId="256"/>
    <tableColumn id="4" name="Link List" dataDxfId="255">
      <calculatedColumnFormula>CONCATENATE(Table_Name28[[#This Row],[Table name]],"[Link]")</calculatedColumnFormula>
    </tableColumn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id="28" name="Chest_Isolation_or_Triceps29" displayName="Chest_Isolation_or_Triceps29" ref="B276:C296" totalsRowShown="0" headerRowDxfId="254" dataDxfId="252" headerRowBorderDxfId="253" tableBorderDxfId="251">
  <autoFilter ref="B276:C296"/>
  <tableColumns count="2">
    <tableColumn id="1" name="Exercise" dataDxfId="250" dataCellStyle="Hyperlink"/>
    <tableColumn id="2" name="Link" dataDxfId="24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id="29" name="Incline_Push_or_front_Delts30" displayName="Incline_Push_or_front_Delts30" ref="B263:C275" totalsRowShown="0" headerRowDxfId="248" dataDxfId="246" headerRowBorderDxfId="247" tableBorderDxfId="245">
  <autoFilter ref="B263:C275"/>
  <tableColumns count="2">
    <tableColumn id="1" name="Exercise" dataDxfId="244" dataCellStyle="Hyperlink"/>
    <tableColumn id="2" name="Link" dataDxfId="24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id="30" name="Triceps31" displayName="Triceps31" ref="B249:C262" totalsRowShown="0" headerRowDxfId="242" dataDxfId="240" headerRowBorderDxfId="241" tableBorderDxfId="239">
  <autoFilter ref="B249:C262"/>
  <tableColumns count="2">
    <tableColumn id="1" name="Exercise" dataDxfId="238" dataCellStyle="Hyperlink"/>
    <tableColumn id="2" name="Link" dataDxfId="23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id="31" name="Front_Delts32" displayName="Front_Delts32" ref="B240:C246" totalsRowShown="0" headerRowDxfId="236" dataDxfId="234" headerRowBorderDxfId="235" tableBorderDxfId="233">
  <autoFilter ref="B240:C246"/>
  <tableColumns count="2">
    <tableColumn id="1" name="Exercise" dataDxfId="232" dataCellStyle="Hyperlink"/>
    <tableColumn id="2" name="Link" dataDxfId="231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id="32" name="Incline_Push33" displayName="Incline_Push33" ref="B232:C238" totalsRowShown="0" headerRowDxfId="230" dataDxfId="228" headerRowBorderDxfId="229" tableBorderDxfId="227">
  <autoFilter ref="B232:C238"/>
  <tableColumns count="2">
    <tableColumn id="1" name="Exercise" dataDxfId="226" dataCellStyle="Hyperlink"/>
    <tableColumn id="2" name="Link" dataDxfId="22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id="33" name="Horizontal_Push34" displayName="Horizontal_Push34" ref="B223:C230" totalsRowShown="0" headerRowDxfId="224" dataDxfId="222" headerRowBorderDxfId="223" tableBorderDxfId="221">
  <autoFilter ref="B223:C230"/>
  <tableColumns count="2">
    <tableColumn id="1" name="Exercise" dataDxfId="220" dataCellStyle="Hyperlink"/>
    <tableColumn id="2" name="Link" dataDxfId="21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id="34" name="Chest_Isolation35" displayName="Chest_Isolation35" ref="B214:C221" totalsRowShown="0" headerRowDxfId="218" dataDxfId="216" headerRowBorderDxfId="217" tableBorderDxfId="215">
  <autoFilter ref="B214:C221"/>
  <tableColumns count="2">
    <tableColumn id="1" name="Exercise" dataDxfId="214" dataCellStyle="Hyperlink"/>
    <tableColumn id="2" name="Link" dataDxfId="213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id="35" name="Hamstrings_Isolation36" displayName="Hamstrings_Isolation36" ref="B209:C212" totalsRowShown="0" headerRowDxfId="212" dataDxfId="210" headerRowBorderDxfId="211" tableBorderDxfId="209">
  <autoFilter ref="B209:C212"/>
  <tableColumns count="2">
    <tableColumn id="1" name="Exercise" dataDxfId="208" dataCellStyle="Hyperlink"/>
    <tableColumn id="2" name="Link" dataDxfId="207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id="36" name="Hamstrings_Hip_Hinge37" displayName="Hamstrings_Hip_Hinge37" ref="B203:C207" totalsRowShown="0" headerRowDxfId="206" dataDxfId="204" headerRowBorderDxfId="205" tableBorderDxfId="203">
  <autoFilter ref="B203:C207"/>
  <tableColumns count="2">
    <tableColumn id="1" name="Exercise" dataDxfId="202" dataCellStyle="Hyperlink"/>
    <tableColumn id="2" name="Link" dataDxfId="201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id="37" name="Glutes38" displayName="Glutes38" ref="B193:C201" totalsRowShown="0" headerRowDxfId="200" dataDxfId="198" headerRowBorderDxfId="199" tableBorderDxfId="197">
  <autoFilter ref="B193:C201"/>
  <tableColumns count="2">
    <tableColumn id="1" name="Exercise" dataDxfId="196" dataCellStyle="Hyperlink"/>
    <tableColumn id="2" name="Link" dataDxfId="19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id="38" name="Quads39" displayName="Quads39" ref="B184:C191" totalsRowShown="0" headerRowDxfId="194" dataDxfId="192" headerRowBorderDxfId="193" tableBorderDxfId="191">
  <autoFilter ref="B184:C191"/>
  <tableColumns count="2">
    <tableColumn id="1" name="Exercise" dataDxfId="190" dataCellStyle="Hyperlink"/>
    <tableColumn id="2" name="Link" dataDxfId="18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id="39" name="Vertical_Back40" displayName="Vertical_Back40" ref="B170:C182" totalsRowShown="0" headerRowDxfId="188" dataDxfId="186" headerRowBorderDxfId="187" tableBorderDxfId="185" dataCellStyle="Hyperlink">
  <autoFilter ref="B170:C182"/>
  <tableColumns count="2">
    <tableColumn id="1" name="Exercise" dataDxfId="184" dataCellStyle="Hyperlink"/>
    <tableColumn id="2" name="Link" dataDxfId="183" dataCellStyle="Hyperlink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id="40" name="Horizontal_Back41" displayName="Horizontal_Back41" ref="B160:C168" totalsRowShown="0" headerRowDxfId="182" dataDxfId="180" headerRowBorderDxfId="181" tableBorderDxfId="179">
  <autoFilter ref="B160:C168"/>
  <tableColumns count="2">
    <tableColumn id="1" name="Exercise" dataDxfId="178" dataCellStyle="Hyperlink"/>
    <tableColumn id="2" name="Link" dataDxfId="177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id="41" name="Vertical_Triceps42" displayName="Vertical_Triceps42" ref="B153:C158" totalsRowShown="0" headerRowDxfId="176" dataDxfId="174" headerRowBorderDxfId="175" tableBorderDxfId="173">
  <autoFilter ref="B153:C158"/>
  <tableColumns count="2">
    <tableColumn id="1" name="Exercise" dataDxfId="172" dataCellStyle="Hyperlink"/>
    <tableColumn id="2" name="Link" dataDxfId="17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id="42" name="Horizontal_Triceps43" displayName="Horizontal_Triceps43" ref="B143:C151" totalsRowShown="0" headerRowDxfId="170" dataDxfId="168" headerRowBorderDxfId="169" tableBorderDxfId="167">
  <autoFilter ref="B143:C151"/>
  <tableColumns count="2">
    <tableColumn id="1" name="Exercise" dataDxfId="166" dataCellStyle="Hyperlink"/>
    <tableColumn id="2" name="Link" dataDxfId="165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id="43" name="Traps44" displayName="Traps44" ref="B137:C141" totalsRowShown="0" headerRowDxfId="164" dataDxfId="162" headerRowBorderDxfId="163" tableBorderDxfId="161">
  <autoFilter ref="B137:C141"/>
  <tableColumns count="2">
    <tableColumn id="1" name="Exercise" dataDxfId="160" dataCellStyle="Hyperlink"/>
    <tableColumn id="2" name="Link" dataDxfId="159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id="44" name="Side_Delts45" displayName="Side_Delts45" ref="B130:C135" totalsRowShown="0" headerRowDxfId="158" dataDxfId="156" headerRowBorderDxfId="157" tableBorderDxfId="155">
  <autoFilter ref="B130:C135"/>
  <tableColumns count="2">
    <tableColumn id="1" name="Exercise" dataDxfId="154" dataCellStyle="Hyperlink"/>
    <tableColumn id="2" name="Link" dataDxfId="15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id="45" name="Rear_Delts46" displayName="Rear_Delts46" ref="B124:C128" totalsRowShown="0" headerRowDxfId="152" dataDxfId="150" headerRowBorderDxfId="151" tableBorderDxfId="149">
  <autoFilter ref="B124:C128"/>
  <tableColumns count="2">
    <tableColumn id="1" name="Exercise" dataDxfId="148" dataCellStyle="Hyperlink"/>
    <tableColumn id="2" name="Link" dataDxfId="147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id="46" name="Biceps47" displayName="Biceps47" ref="B111:C122" totalsRowShown="0" headerRowDxfId="146" dataDxfId="144" headerRowBorderDxfId="145" tableBorderDxfId="143">
  <autoFilter ref="B111:C122"/>
  <tableColumns count="2">
    <tableColumn id="1" name="Exercise" dataDxfId="142" dataCellStyle="Hyperlink"/>
    <tableColumn id="2" name="Link" dataDxfId="141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id="47" name="Calves48" displayName="Calves48" ref="B105:C109" totalsRowShown="0" headerRowDxfId="140" dataDxfId="138" headerRowBorderDxfId="139" tableBorderDxfId="137">
  <autoFilter ref="B105:C109"/>
  <tableColumns count="2">
    <tableColumn id="1" name="Exercise" dataDxfId="136" dataCellStyle="Hyperlink"/>
    <tableColumn id="2" name="Link" dataDxfId="135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id="48" name="Links49" displayName="Links49" ref="B333:D503" totalsRowShown="0">
  <autoFilter ref="B333:D503"/>
  <sortState ref="B332:D541">
    <sortCondition ref="C94:C304"/>
  </sortState>
  <tableColumns count="3">
    <tableColumn id="1" name="Exercise" dataDxfId="134"/>
    <tableColumn id="2" name="Link"/>
    <tableColumn id="3" name="Category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id="49" name="Abs_50" displayName="Abs_50" ref="B89:C96" totalsRowShown="0" headerRowDxfId="133" dataDxfId="132">
  <autoFilter ref="B89:C96"/>
  <tableColumns count="2">
    <tableColumn id="1" name="Exercise" dataDxfId="131" dataCellStyle="Hyperlink"/>
    <tableColumn id="2" name="Link" dataDxfId="13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id="50" name="Rear_or_Side_Delts51" displayName="Rear_or_Side_Delts51" ref="B291:C300" totalsRowShown="0" headerRowDxfId="129" dataDxfId="127" headerRowBorderDxfId="128" tableBorderDxfId="126">
  <autoFilter ref="B291:C300"/>
  <tableColumns count="2">
    <tableColumn id="1" name="Exercise" dataDxfId="125" dataCellStyle="Hyperlink"/>
    <tableColumn id="2" name="Link" dataDxfId="124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id="51" name="Table_Name52" displayName="Table_Name52" ref="B302:E324" totalsRowShown="0">
  <autoFilter ref="B302:E324"/>
  <tableColumns count="4">
    <tableColumn id="1" name="Category"/>
    <tableColumn id="2" name="Table name" dataDxfId="123"/>
    <tableColumn id="3" name="Name List" dataDxfId="122"/>
    <tableColumn id="4" name="Link List" dataDxfId="121">
      <calculatedColumnFormula>CONCATENATE(Table_Name52[[#This Row],[Table name]],"[Link]")</calculatedColumnFormula>
    </tableColumn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id="52" name="Chest_Isolation_or_Triceps53" displayName="Chest_Isolation_or_Triceps53" ref="B269:C289" totalsRowShown="0" headerRowDxfId="120" dataDxfId="118" headerRowBorderDxfId="119" tableBorderDxfId="117">
  <autoFilter ref="B269:C289"/>
  <tableColumns count="2">
    <tableColumn id="1" name="Exercise" dataDxfId="116" dataCellStyle="Hyperlink"/>
    <tableColumn id="2" name="Link" dataDxfId="11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id="53" name="Incline_Push_or_front_Delts54" displayName="Incline_Push_or_front_Delts54" ref="B256:C268" totalsRowShown="0" headerRowDxfId="114" dataDxfId="112" headerRowBorderDxfId="113" tableBorderDxfId="111">
  <autoFilter ref="B256:C268"/>
  <tableColumns count="2">
    <tableColumn id="1" name="Exercise" dataDxfId="110" dataCellStyle="Hyperlink"/>
    <tableColumn id="2" name="Link" dataDxfId="109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id="54" name="Triceps55" displayName="Triceps55" ref="B242:C255" totalsRowShown="0" headerRowDxfId="108" dataDxfId="106" headerRowBorderDxfId="107" tableBorderDxfId="105">
  <autoFilter ref="B242:C255"/>
  <tableColumns count="2">
    <tableColumn id="1" name="Exercise" dataDxfId="104" dataCellStyle="Hyperlink"/>
    <tableColumn id="2" name="Link" dataDxfId="103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id="55" name="Front_Delts56" displayName="Front_Delts56" ref="B233:C239" totalsRowShown="0" headerRowDxfId="102" dataDxfId="100" headerRowBorderDxfId="101" tableBorderDxfId="99">
  <autoFilter ref="B233:C239"/>
  <tableColumns count="2">
    <tableColumn id="1" name="Exercise" dataDxfId="98" dataCellStyle="Hyperlink"/>
    <tableColumn id="2" name="Link" dataDxfId="97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id="56" name="Incline_Push57" displayName="Incline_Push57" ref="B225:C231" totalsRowShown="0" headerRowDxfId="96" dataDxfId="94" headerRowBorderDxfId="95" tableBorderDxfId="93">
  <autoFilter ref="B225:C231"/>
  <tableColumns count="2">
    <tableColumn id="1" name="Exercise" dataDxfId="92" dataCellStyle="Hyperlink"/>
    <tableColumn id="2" name="Link" dataDxfId="91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id="57" name="Horizontal_Push58" displayName="Horizontal_Push58" ref="B216:C223" totalsRowShown="0" headerRowDxfId="90" dataDxfId="88" headerRowBorderDxfId="89" tableBorderDxfId="87">
  <autoFilter ref="B216:C223"/>
  <tableColumns count="2">
    <tableColumn id="1" name="Exercise" dataDxfId="86" dataCellStyle="Hyperlink"/>
    <tableColumn id="2" name="Link" dataDxfId="8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id="58" name="Chest_Isolation59" displayName="Chest_Isolation59" ref="B207:C214" totalsRowShown="0" headerRowDxfId="84" dataDxfId="82" headerRowBorderDxfId="83" tableBorderDxfId="81">
  <autoFilter ref="B207:C214"/>
  <tableColumns count="2">
    <tableColumn id="1" name="Exercise" dataDxfId="80" dataCellStyle="Hyperlink"/>
    <tableColumn id="2" name="Link" dataDxfId="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id="59" name="Hamstrings_Isolation60" displayName="Hamstrings_Isolation60" ref="B202:C205" totalsRowShown="0" headerRowDxfId="78" dataDxfId="76" headerRowBorderDxfId="77" tableBorderDxfId="75">
  <autoFilter ref="B202:C205"/>
  <tableColumns count="2">
    <tableColumn id="1" name="Exercise" dataDxfId="74" dataCellStyle="Hyperlink"/>
    <tableColumn id="2" name="Link" dataDxfId="73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id="60" name="Hamstrings_Hip_Hinge61" displayName="Hamstrings_Hip_Hinge61" ref="B196:C200" totalsRowShown="0" headerRowDxfId="72" dataDxfId="70" headerRowBorderDxfId="71" tableBorderDxfId="69">
  <autoFilter ref="B196:C200"/>
  <tableColumns count="2">
    <tableColumn id="1" name="Exercise" dataDxfId="68" dataCellStyle="Hyperlink"/>
    <tableColumn id="2" name="Link" dataDxfId="67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id="61" name="Glutes62" displayName="Glutes62" ref="B186:C194" totalsRowShown="0" headerRowDxfId="66" dataDxfId="64" headerRowBorderDxfId="65" tableBorderDxfId="63">
  <autoFilter ref="B186:C194"/>
  <tableColumns count="2">
    <tableColumn id="1" name="Exercise" dataDxfId="62" dataCellStyle="Hyperlink"/>
    <tableColumn id="2" name="Link" dataDxfId="61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id="62" name="Quads63" displayName="Quads63" ref="B177:C184" totalsRowShown="0" headerRowDxfId="60" dataDxfId="58" headerRowBorderDxfId="59" tableBorderDxfId="57">
  <autoFilter ref="B177:C184"/>
  <tableColumns count="2">
    <tableColumn id="1" name="Exercise" dataDxfId="56" dataCellStyle="Hyperlink"/>
    <tableColumn id="2" name="Link" dataDxfId="55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id="63" name="Vertical_Back64" displayName="Vertical_Back64" ref="B163:C175" totalsRowShown="0" headerRowDxfId="54" dataDxfId="52" headerRowBorderDxfId="53" tableBorderDxfId="51" dataCellStyle="Hyperlink">
  <autoFilter ref="B163:C175"/>
  <tableColumns count="2">
    <tableColumn id="1" name="Exercise" dataDxfId="50" dataCellStyle="Hyperlink"/>
    <tableColumn id="2" name="Link" dataDxfId="49" dataCellStyle="Hyperlink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id="64" name="Horizontal_Back65" displayName="Horizontal_Back65" ref="B153:C161" totalsRowShown="0" headerRowDxfId="48" dataDxfId="46" headerRowBorderDxfId="47" tableBorderDxfId="45">
  <autoFilter ref="B153:C161"/>
  <tableColumns count="2">
    <tableColumn id="1" name="Exercise" dataDxfId="44" dataCellStyle="Hyperlink"/>
    <tableColumn id="2" name="Link" dataDxfId="43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id="65" name="Vertical_Triceps66" displayName="Vertical_Triceps66" ref="B146:C151" totalsRowShown="0" headerRowDxfId="42" dataDxfId="40" headerRowBorderDxfId="41" tableBorderDxfId="39">
  <autoFilter ref="B146:C151"/>
  <tableColumns count="2">
    <tableColumn id="1" name="Exercise" dataDxfId="38" dataCellStyle="Hyperlink"/>
    <tableColumn id="2" name="Link" dataDxfId="37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id="66" name="Horizontal_Triceps67" displayName="Horizontal_Triceps67" ref="B136:C144" totalsRowShown="0" headerRowDxfId="36" dataDxfId="34" headerRowBorderDxfId="35" tableBorderDxfId="33">
  <autoFilter ref="B136:C144"/>
  <tableColumns count="2">
    <tableColumn id="1" name="Exercise" dataDxfId="32" dataCellStyle="Hyperlink"/>
    <tableColumn id="2" name="Link" dataDxfId="3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id="67" name="Traps68" displayName="Traps68" ref="B130:C134" totalsRowShown="0" headerRowDxfId="30" dataDxfId="28" headerRowBorderDxfId="29" tableBorderDxfId="27">
  <autoFilter ref="B130:C134"/>
  <tableColumns count="2">
    <tableColumn id="1" name="Exercise" dataDxfId="26" dataCellStyle="Hyperlink"/>
    <tableColumn id="2" name="Link" dataDxfId="25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id="68" name="Side_Delts69" displayName="Side_Delts69" ref="B123:C128" totalsRowShown="0" headerRowDxfId="24" dataDxfId="22" headerRowBorderDxfId="23" tableBorderDxfId="21">
  <autoFilter ref="B123:C128"/>
  <tableColumns count="2">
    <tableColumn id="1" name="Exercise" dataDxfId="20" dataCellStyle="Hyperlink"/>
    <tableColumn id="2" name="Link" dataDxfId="19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id="69" name="Rear_Delts70" displayName="Rear_Delts70" ref="B117:C121" totalsRowShown="0" headerRowDxfId="18" dataDxfId="16" headerRowBorderDxfId="17" tableBorderDxfId="15">
  <autoFilter ref="B117:C121"/>
  <tableColumns count="2">
    <tableColumn id="1" name="Exercise" dataDxfId="14" dataCellStyle="Hyperlink"/>
    <tableColumn id="2" name="Link" dataDxfId="13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id="70" name="Biceps71" displayName="Biceps71" ref="B104:C115" totalsRowShown="0" headerRowDxfId="12" dataDxfId="10" headerRowBorderDxfId="11" tableBorderDxfId="9">
  <autoFilter ref="B104:C115"/>
  <tableColumns count="2">
    <tableColumn id="1" name="Exercise" dataDxfId="8" dataCellStyle="Hyperlink"/>
    <tableColumn id="2" name="Link" dataDxfId="7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id="71" name="Calves72" displayName="Calves72" ref="B98:C102" totalsRowShown="0" headerRowDxfId="6" dataDxfId="4" headerRowBorderDxfId="5" tableBorderDxfId="3">
  <autoFilter ref="B98:C102"/>
  <tableColumns count="2">
    <tableColumn id="1" name="Exercise" dataDxfId="2" dataCellStyle="Hyperlink"/>
    <tableColumn id="2" name="Link" dataDxfId="1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id="72" name="Links73" displayName="Links73" ref="B326:D496" totalsRowShown="0">
  <autoFilter ref="B326:D496"/>
  <sortState ref="B332:D541">
    <sortCondition ref="C94:C304"/>
  </sortState>
  <tableColumns count="3">
    <tableColumn id="1" name="Exercise" dataDxfId="0"/>
    <tableColumn id="2" name="Link"/>
    <tableColumn id="3" name="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10.xml"/><Relationship Id="rId205" Type="http://schemas.openxmlformats.org/officeDocument/2006/relationships/table" Target="../tables/table24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1.xml"/><Relationship Id="rId186" Type="http://schemas.openxmlformats.org/officeDocument/2006/relationships/table" Target="../tables/table5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11.xml"/><Relationship Id="rId197" Type="http://schemas.openxmlformats.org/officeDocument/2006/relationships/table" Target="../tables/table16.xml"/><Relationship Id="rId201" Type="http://schemas.openxmlformats.org/officeDocument/2006/relationships/table" Target="../tables/table20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1.xml"/><Relationship Id="rId187" Type="http://schemas.openxmlformats.org/officeDocument/2006/relationships/table" Target="../tables/table6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17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12.xml"/><Relationship Id="rId202" Type="http://schemas.openxmlformats.org/officeDocument/2006/relationships/table" Target="../tables/table21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7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13.xml"/><Relationship Id="rId199" Type="http://schemas.openxmlformats.org/officeDocument/2006/relationships/table" Target="../tables/table18.xml"/><Relationship Id="rId203" Type="http://schemas.openxmlformats.org/officeDocument/2006/relationships/table" Target="../tables/table22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3.xml"/><Relationship Id="rId189" Type="http://schemas.openxmlformats.org/officeDocument/2006/relationships/table" Target="../tables/table8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14.xml"/><Relationship Id="rId190" Type="http://schemas.openxmlformats.org/officeDocument/2006/relationships/table" Target="../tables/table9.xml"/><Relationship Id="rId204" Type="http://schemas.openxmlformats.org/officeDocument/2006/relationships/table" Target="../tables/table23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4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1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15.xml"/><Relationship Id="rId200" Type="http://schemas.openxmlformats.org/officeDocument/2006/relationships/table" Target="../tables/table19.xm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34.xml"/><Relationship Id="rId205" Type="http://schemas.openxmlformats.org/officeDocument/2006/relationships/table" Target="../tables/table48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2.xml"/><Relationship Id="rId186" Type="http://schemas.openxmlformats.org/officeDocument/2006/relationships/table" Target="../tables/table29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35.xml"/><Relationship Id="rId197" Type="http://schemas.openxmlformats.org/officeDocument/2006/relationships/table" Target="../tables/table40.xml"/><Relationship Id="rId201" Type="http://schemas.openxmlformats.org/officeDocument/2006/relationships/table" Target="../tables/table44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25.xml"/><Relationship Id="rId187" Type="http://schemas.openxmlformats.org/officeDocument/2006/relationships/table" Target="../tables/table30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41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36.xml"/><Relationship Id="rId202" Type="http://schemas.openxmlformats.org/officeDocument/2006/relationships/table" Target="../tables/table45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31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26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37.xml"/><Relationship Id="rId199" Type="http://schemas.openxmlformats.org/officeDocument/2006/relationships/table" Target="../tables/table42.xml"/><Relationship Id="rId203" Type="http://schemas.openxmlformats.org/officeDocument/2006/relationships/table" Target="../tables/table46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27.xml"/><Relationship Id="rId189" Type="http://schemas.openxmlformats.org/officeDocument/2006/relationships/table" Target="../tables/table32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38.xml"/><Relationship Id="rId190" Type="http://schemas.openxmlformats.org/officeDocument/2006/relationships/table" Target="../tables/table33.xml"/><Relationship Id="rId204" Type="http://schemas.openxmlformats.org/officeDocument/2006/relationships/table" Target="../tables/table47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28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2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39.xml"/><Relationship Id="rId200" Type="http://schemas.openxmlformats.org/officeDocument/2006/relationships/table" Target="../tables/table43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youtu.be/B48xWtzMHxk" TargetMode="External"/><Relationship Id="rId21" Type="http://schemas.openxmlformats.org/officeDocument/2006/relationships/hyperlink" Target="https://youtu.be/yYB76DOBPsM" TargetMode="External"/><Relationship Id="rId42" Type="http://schemas.openxmlformats.org/officeDocument/2006/relationships/hyperlink" Target="https://youtu.be/HOWPPDueZY8" TargetMode="External"/><Relationship Id="rId63" Type="http://schemas.openxmlformats.org/officeDocument/2006/relationships/hyperlink" Target="https://youtu.be/WWS1rPFPyiQ" TargetMode="External"/><Relationship Id="rId84" Type="http://schemas.openxmlformats.org/officeDocument/2006/relationships/hyperlink" Target="https://youtu.be/n9RZ6FEthGU" TargetMode="External"/><Relationship Id="rId138" Type="http://schemas.openxmlformats.org/officeDocument/2006/relationships/hyperlink" Target="https://youtu.be/YIqmLutlM1g" TargetMode="External"/><Relationship Id="rId159" Type="http://schemas.openxmlformats.org/officeDocument/2006/relationships/hyperlink" Target="https://youtu.be/ipoTKasbDyQ" TargetMode="External"/><Relationship Id="rId170" Type="http://schemas.openxmlformats.org/officeDocument/2006/relationships/hyperlink" Target="https://youtu.be/BvX7g1yr1pY" TargetMode="External"/><Relationship Id="rId191" Type="http://schemas.openxmlformats.org/officeDocument/2006/relationships/table" Target="../tables/table58.xml"/><Relationship Id="rId205" Type="http://schemas.openxmlformats.org/officeDocument/2006/relationships/table" Target="../tables/table72.xml"/><Relationship Id="rId16" Type="http://schemas.openxmlformats.org/officeDocument/2006/relationships/hyperlink" Target="https://youtu.be/wrPN51LyOUE" TargetMode="External"/><Relationship Id="rId107" Type="http://schemas.openxmlformats.org/officeDocument/2006/relationships/hyperlink" Target="https://youtu.be/tu2Q82-HMg0" TargetMode="External"/><Relationship Id="rId11" Type="http://schemas.openxmlformats.org/officeDocument/2006/relationships/hyperlink" Target="https://youtu.be/ENaZCLrz8_c" TargetMode="External"/><Relationship Id="rId32" Type="http://schemas.openxmlformats.org/officeDocument/2006/relationships/hyperlink" Target="https://youtu.be/FoZM6vuuKBc" TargetMode="External"/><Relationship Id="rId37" Type="http://schemas.openxmlformats.org/officeDocument/2006/relationships/hyperlink" Target="https://youtu.be/BvX7g1yr1pY" TargetMode="External"/><Relationship Id="rId53" Type="http://schemas.openxmlformats.org/officeDocument/2006/relationships/hyperlink" Target="https://youtu.be/z3yCDRGrQTM" TargetMode="External"/><Relationship Id="rId58" Type="http://schemas.openxmlformats.org/officeDocument/2006/relationships/hyperlink" Target="https://youtu.be/lNYA35p8XJQ" TargetMode="External"/><Relationship Id="rId74" Type="http://schemas.openxmlformats.org/officeDocument/2006/relationships/hyperlink" Target="https://youtu.be/OMUGU1Vh8Ao" TargetMode="External"/><Relationship Id="rId79" Type="http://schemas.openxmlformats.org/officeDocument/2006/relationships/hyperlink" Target="https://youtu.be/Dl-by6_vATQ" TargetMode="External"/><Relationship Id="rId102" Type="http://schemas.openxmlformats.org/officeDocument/2006/relationships/hyperlink" Target="https://youtu.be/RGFdTZznnRs" TargetMode="External"/><Relationship Id="rId123" Type="http://schemas.openxmlformats.org/officeDocument/2006/relationships/hyperlink" Target="https://youtu.be/TtXlapucVxM" TargetMode="External"/><Relationship Id="rId128" Type="http://schemas.openxmlformats.org/officeDocument/2006/relationships/hyperlink" Target="https://youtu.be/aNzU6AYZiEs" TargetMode="External"/><Relationship Id="rId144" Type="http://schemas.openxmlformats.org/officeDocument/2006/relationships/hyperlink" Target="https://youtu.be/B33bKk_r5PU" TargetMode="External"/><Relationship Id="rId149" Type="http://schemas.openxmlformats.org/officeDocument/2006/relationships/hyperlink" Target="https://youtu.be/B21LHpkamJM" TargetMode="External"/><Relationship Id="rId5" Type="http://schemas.openxmlformats.org/officeDocument/2006/relationships/hyperlink" Target="https://youtu.be/UNo4yBbidG4" TargetMode="External"/><Relationship Id="rId90" Type="http://schemas.openxmlformats.org/officeDocument/2006/relationships/hyperlink" Target="https://youtu.be/YIqmLutlM1g" TargetMode="External"/><Relationship Id="rId95" Type="http://schemas.openxmlformats.org/officeDocument/2006/relationships/hyperlink" Target="https://youtu.be/60Ai9_c60xg" TargetMode="External"/><Relationship Id="rId160" Type="http://schemas.openxmlformats.org/officeDocument/2006/relationships/hyperlink" Target="https://youtu.be/UPGRju60F60" TargetMode="External"/><Relationship Id="rId165" Type="http://schemas.openxmlformats.org/officeDocument/2006/relationships/hyperlink" Target="https://youtu.be/FoZM6vuuKBc" TargetMode="External"/><Relationship Id="rId181" Type="http://schemas.openxmlformats.org/officeDocument/2006/relationships/drawing" Target="../drawings/drawing3.xml"/><Relationship Id="rId186" Type="http://schemas.openxmlformats.org/officeDocument/2006/relationships/table" Target="../tables/table53.xml"/><Relationship Id="rId22" Type="http://schemas.openxmlformats.org/officeDocument/2006/relationships/hyperlink" Target="https://youtu.be/GztM7atVgd8" TargetMode="External"/><Relationship Id="rId27" Type="http://schemas.openxmlformats.org/officeDocument/2006/relationships/hyperlink" Target="https://youtu.be/sR_EdrSruyQ" TargetMode="External"/><Relationship Id="rId43" Type="http://schemas.openxmlformats.org/officeDocument/2006/relationships/hyperlink" Target="https://youtu.be/NF4nbNsqreQ" TargetMode="External"/><Relationship Id="rId48" Type="http://schemas.openxmlformats.org/officeDocument/2006/relationships/hyperlink" Target="https://youtu.be/gQ179IUjMsQ" TargetMode="External"/><Relationship Id="rId64" Type="http://schemas.openxmlformats.org/officeDocument/2006/relationships/hyperlink" Target="https://youtu.be/zbYgjREbdb0" TargetMode="External"/><Relationship Id="rId69" Type="http://schemas.openxmlformats.org/officeDocument/2006/relationships/hyperlink" Target="https://youtu.be/SOyO4LHjhX4" TargetMode="External"/><Relationship Id="rId113" Type="http://schemas.openxmlformats.org/officeDocument/2006/relationships/hyperlink" Target="https://youtu.be/He-GN_4MAY4" TargetMode="External"/><Relationship Id="rId118" Type="http://schemas.openxmlformats.org/officeDocument/2006/relationships/hyperlink" Target="https://youtu.be/a5_JKN7j7Ug" TargetMode="External"/><Relationship Id="rId134" Type="http://schemas.openxmlformats.org/officeDocument/2006/relationships/hyperlink" Target="https://youtu.be/LYZDsNv8kJ8" TargetMode="External"/><Relationship Id="rId139" Type="http://schemas.openxmlformats.org/officeDocument/2006/relationships/hyperlink" Target="https://youtu.be/dF9Pm_-2zmg" TargetMode="External"/><Relationship Id="rId80" Type="http://schemas.openxmlformats.org/officeDocument/2006/relationships/hyperlink" Target="https://youtu.be/3s_QUA4HcxI" TargetMode="External"/><Relationship Id="rId85" Type="http://schemas.openxmlformats.org/officeDocument/2006/relationships/hyperlink" Target="https://youtu.be/Ax_6UXGQo7o" TargetMode="External"/><Relationship Id="rId150" Type="http://schemas.openxmlformats.org/officeDocument/2006/relationships/hyperlink" Target="https://youtu.be/U3SkMY6jw5M" TargetMode="External"/><Relationship Id="rId155" Type="http://schemas.openxmlformats.org/officeDocument/2006/relationships/hyperlink" Target="https://youtu.be/_GBEHrc_V5U" TargetMode="External"/><Relationship Id="rId171" Type="http://schemas.openxmlformats.org/officeDocument/2006/relationships/hyperlink" Target="https://youtu.be/zWRCV_td3I8" TargetMode="External"/><Relationship Id="rId176" Type="http://schemas.openxmlformats.org/officeDocument/2006/relationships/hyperlink" Target="https://youtu.be/2PC8eYTte5w" TargetMode="External"/><Relationship Id="rId192" Type="http://schemas.openxmlformats.org/officeDocument/2006/relationships/table" Target="../tables/table59.xml"/><Relationship Id="rId197" Type="http://schemas.openxmlformats.org/officeDocument/2006/relationships/table" Target="../tables/table64.xml"/><Relationship Id="rId201" Type="http://schemas.openxmlformats.org/officeDocument/2006/relationships/table" Target="../tables/table68.xml"/><Relationship Id="rId12" Type="http://schemas.openxmlformats.org/officeDocument/2006/relationships/hyperlink" Target="https://youtu.be/dmwMfjPQIP8" TargetMode="External"/><Relationship Id="rId17" Type="http://schemas.openxmlformats.org/officeDocument/2006/relationships/hyperlink" Target="https://youtu.be/mucRuC4sEjQ" TargetMode="External"/><Relationship Id="rId33" Type="http://schemas.openxmlformats.org/officeDocument/2006/relationships/hyperlink" Target="https://youtu.be/KkpCTyjGlZo" TargetMode="External"/><Relationship Id="rId38" Type="http://schemas.openxmlformats.org/officeDocument/2006/relationships/hyperlink" Target="https://youtu.be/ROIrNQJBKZ0" TargetMode="External"/><Relationship Id="rId59" Type="http://schemas.openxmlformats.org/officeDocument/2006/relationships/hyperlink" Target="https://youtu.be/uFEPuNtHoOU" TargetMode="External"/><Relationship Id="rId103" Type="http://schemas.openxmlformats.org/officeDocument/2006/relationships/hyperlink" Target="https://youtu.be/cg4tsxQ1BP4" TargetMode="External"/><Relationship Id="rId108" Type="http://schemas.openxmlformats.org/officeDocument/2006/relationships/hyperlink" Target="https://youtu.be/gYbmiluG5Ho" TargetMode="External"/><Relationship Id="rId124" Type="http://schemas.openxmlformats.org/officeDocument/2006/relationships/hyperlink" Target="https://youtu.be/B21LHpkamJM" TargetMode="External"/><Relationship Id="rId129" Type="http://schemas.openxmlformats.org/officeDocument/2006/relationships/hyperlink" Target="https://youtu.be/daSL236nYZs" TargetMode="External"/><Relationship Id="rId54" Type="http://schemas.openxmlformats.org/officeDocument/2006/relationships/hyperlink" Target="https://youtu.be/J44yAQ_LXXU" TargetMode="External"/><Relationship Id="rId70" Type="http://schemas.openxmlformats.org/officeDocument/2006/relationships/hyperlink" Target="https://youtu.be/vNgwqFsVstY" TargetMode="External"/><Relationship Id="rId75" Type="http://schemas.openxmlformats.org/officeDocument/2006/relationships/hyperlink" Target="https://youtu.be/f-_q_3tN6Yo" TargetMode="External"/><Relationship Id="rId91" Type="http://schemas.openxmlformats.org/officeDocument/2006/relationships/hyperlink" Target="https://youtu.be/20_pP7oaH34" TargetMode="External"/><Relationship Id="rId96" Type="http://schemas.openxmlformats.org/officeDocument/2006/relationships/hyperlink" Target="https://youtu.be/ipoTKasbDyQ" TargetMode="External"/><Relationship Id="rId140" Type="http://schemas.openxmlformats.org/officeDocument/2006/relationships/hyperlink" Target="https://youtu.be/RGFdTZznnRs" TargetMode="External"/><Relationship Id="rId145" Type="http://schemas.openxmlformats.org/officeDocument/2006/relationships/hyperlink" Target="https://youtu.be/tu2Q82-HMg0" TargetMode="External"/><Relationship Id="rId161" Type="http://schemas.openxmlformats.org/officeDocument/2006/relationships/hyperlink" Target="https://youtu.be/ZYM1mNayaeI" TargetMode="External"/><Relationship Id="rId166" Type="http://schemas.openxmlformats.org/officeDocument/2006/relationships/hyperlink" Target="https://youtu.be/KkpCTyjGlZo" TargetMode="External"/><Relationship Id="rId182" Type="http://schemas.openxmlformats.org/officeDocument/2006/relationships/table" Target="../tables/table49.xml"/><Relationship Id="rId187" Type="http://schemas.openxmlformats.org/officeDocument/2006/relationships/table" Target="../tables/table54.xml"/><Relationship Id="rId1" Type="http://schemas.openxmlformats.org/officeDocument/2006/relationships/hyperlink" Target="https://youtu.be/zWRCV_td3I8" TargetMode="External"/><Relationship Id="rId6" Type="http://schemas.openxmlformats.org/officeDocument/2006/relationships/hyperlink" Target="https://youtu.be/2PC8eYTte5w" TargetMode="External"/><Relationship Id="rId23" Type="http://schemas.openxmlformats.org/officeDocument/2006/relationships/hyperlink" Target="https://youtu.be/nW7w5vG6IIc" TargetMode="External"/><Relationship Id="rId28" Type="http://schemas.openxmlformats.org/officeDocument/2006/relationships/hyperlink" Target="https://youtu.be/S97e09rLmEU" TargetMode="External"/><Relationship Id="rId49" Type="http://schemas.openxmlformats.org/officeDocument/2006/relationships/hyperlink" Target="https://youtu.be/4Idz7uwm3OU" TargetMode="External"/><Relationship Id="rId114" Type="http://schemas.openxmlformats.org/officeDocument/2006/relationships/hyperlink" Target="https://youtu.be/pOX1m37rOWo" TargetMode="External"/><Relationship Id="rId119" Type="http://schemas.openxmlformats.org/officeDocument/2006/relationships/hyperlink" Target="https://youtu.be/B33bKk_r5PU" TargetMode="External"/><Relationship Id="rId44" Type="http://schemas.openxmlformats.org/officeDocument/2006/relationships/hyperlink" Target="https://youtu.be/lFyDmuDjRts" TargetMode="External"/><Relationship Id="rId60" Type="http://schemas.openxmlformats.org/officeDocument/2006/relationships/hyperlink" Target="https://youtu.be/SYji94GabJg" TargetMode="External"/><Relationship Id="rId65" Type="http://schemas.openxmlformats.org/officeDocument/2006/relationships/hyperlink" Target="https://youtu.be/euEPxA3gsDo" TargetMode="External"/><Relationship Id="rId81" Type="http://schemas.openxmlformats.org/officeDocument/2006/relationships/hyperlink" Target="https://youtu.be/ILToidt_G0U" TargetMode="External"/><Relationship Id="rId86" Type="http://schemas.openxmlformats.org/officeDocument/2006/relationships/hyperlink" Target="https://youtu.be/TM_PeJIdQwE" TargetMode="External"/><Relationship Id="rId130" Type="http://schemas.openxmlformats.org/officeDocument/2006/relationships/hyperlink" Target="https://youtu.be/zWRCV_td3I8" TargetMode="External"/><Relationship Id="rId135" Type="http://schemas.openxmlformats.org/officeDocument/2006/relationships/hyperlink" Target="https://youtu.be/eaI0E6ZcwM4" TargetMode="External"/><Relationship Id="rId151" Type="http://schemas.openxmlformats.org/officeDocument/2006/relationships/hyperlink" Target="https://youtu.be/He-GN_4MAY4" TargetMode="External"/><Relationship Id="rId156" Type="http://schemas.openxmlformats.org/officeDocument/2006/relationships/hyperlink" Target="https://youtu.be/t2Kk-TOhq14" TargetMode="External"/><Relationship Id="rId177" Type="http://schemas.openxmlformats.org/officeDocument/2006/relationships/hyperlink" Target="https://youtu.be/y_GK6fn7raU" TargetMode="External"/><Relationship Id="rId198" Type="http://schemas.openxmlformats.org/officeDocument/2006/relationships/table" Target="../tables/table65.xml"/><Relationship Id="rId172" Type="http://schemas.openxmlformats.org/officeDocument/2006/relationships/hyperlink" Target="https://youtu.be/QzjjwxZOVdE" TargetMode="External"/><Relationship Id="rId193" Type="http://schemas.openxmlformats.org/officeDocument/2006/relationships/table" Target="../tables/table60.xml"/><Relationship Id="rId202" Type="http://schemas.openxmlformats.org/officeDocument/2006/relationships/table" Target="../tables/table69.xml"/><Relationship Id="rId13" Type="http://schemas.openxmlformats.org/officeDocument/2006/relationships/hyperlink" Target="https://youtu.be/5p-vP_XyNaA" TargetMode="External"/><Relationship Id="rId18" Type="http://schemas.openxmlformats.org/officeDocument/2006/relationships/hyperlink" Target="https://youtu.be/IkrC1u5e-RQ" TargetMode="External"/><Relationship Id="rId39" Type="http://schemas.openxmlformats.org/officeDocument/2006/relationships/hyperlink" Target="https://youtu.be/o2qSVwxiFk4" TargetMode="External"/><Relationship Id="rId109" Type="http://schemas.openxmlformats.org/officeDocument/2006/relationships/hyperlink" Target="https://youtu.be/hJLXuvZd05w" TargetMode="External"/><Relationship Id="rId34" Type="http://schemas.openxmlformats.org/officeDocument/2006/relationships/hyperlink" Target="https://youtu.be/Ana4dJbCvxE" TargetMode="External"/><Relationship Id="rId50" Type="http://schemas.openxmlformats.org/officeDocument/2006/relationships/hyperlink" Target="https://youtu.be/tRT-cLlXJZ0" TargetMode="External"/><Relationship Id="rId55" Type="http://schemas.openxmlformats.org/officeDocument/2006/relationships/hyperlink" Target="https://youtu.be/S3NIBLmlKaU" TargetMode="External"/><Relationship Id="rId76" Type="http://schemas.openxmlformats.org/officeDocument/2006/relationships/hyperlink" Target="https://youtu.be/BHxrogNaKoo" TargetMode="External"/><Relationship Id="rId97" Type="http://schemas.openxmlformats.org/officeDocument/2006/relationships/hyperlink" Target="https://youtu.be/UPGRju60F60" TargetMode="External"/><Relationship Id="rId104" Type="http://schemas.openxmlformats.org/officeDocument/2006/relationships/hyperlink" Target="https://youtu.be/W6kJbZeFssU" TargetMode="External"/><Relationship Id="rId120" Type="http://schemas.openxmlformats.org/officeDocument/2006/relationships/hyperlink" Target="https://youtu.be/tu2Q82-HMg0" TargetMode="External"/><Relationship Id="rId125" Type="http://schemas.openxmlformats.org/officeDocument/2006/relationships/hyperlink" Target="https://youtu.be/U3SkMY6jw5M" TargetMode="External"/><Relationship Id="rId141" Type="http://schemas.openxmlformats.org/officeDocument/2006/relationships/hyperlink" Target="https://youtu.be/W6kJbZeFssU" TargetMode="External"/><Relationship Id="rId146" Type="http://schemas.openxmlformats.org/officeDocument/2006/relationships/hyperlink" Target="https://youtu.be/gYbmiluG5Ho" TargetMode="External"/><Relationship Id="rId167" Type="http://schemas.openxmlformats.org/officeDocument/2006/relationships/hyperlink" Target="https://youtu.be/Ana4dJbCvxE" TargetMode="External"/><Relationship Id="rId188" Type="http://schemas.openxmlformats.org/officeDocument/2006/relationships/table" Target="../tables/table55.xml"/><Relationship Id="rId7" Type="http://schemas.openxmlformats.org/officeDocument/2006/relationships/hyperlink" Target="https://youtu.be/y_GK6fn7raU" TargetMode="External"/><Relationship Id="rId71" Type="http://schemas.openxmlformats.org/officeDocument/2006/relationships/hyperlink" Target="https://youtu.be/LRgZFHceZGo" TargetMode="External"/><Relationship Id="rId92" Type="http://schemas.openxmlformats.org/officeDocument/2006/relationships/hyperlink" Target="https://youtu.be/_GBEHrc_V5U" TargetMode="External"/><Relationship Id="rId162" Type="http://schemas.openxmlformats.org/officeDocument/2006/relationships/hyperlink" Target="https://youtu.be/fbFISuP7Ezk" TargetMode="External"/><Relationship Id="rId183" Type="http://schemas.openxmlformats.org/officeDocument/2006/relationships/table" Target="../tables/table50.xml"/><Relationship Id="rId2" Type="http://schemas.openxmlformats.org/officeDocument/2006/relationships/hyperlink" Target="https://youtu.be/QzjjwxZOVdE" TargetMode="External"/><Relationship Id="rId29" Type="http://schemas.openxmlformats.org/officeDocument/2006/relationships/hyperlink" Target="https://youtu.be/fbFISuP7Ezk" TargetMode="External"/><Relationship Id="rId24" Type="http://schemas.openxmlformats.org/officeDocument/2006/relationships/hyperlink" Target="https://youtu.be/2jsTYbOkx1U" TargetMode="External"/><Relationship Id="rId40" Type="http://schemas.openxmlformats.org/officeDocument/2006/relationships/hyperlink" Target="https://youtu.be/Wdv_3ojsPhU" TargetMode="External"/><Relationship Id="rId45" Type="http://schemas.openxmlformats.org/officeDocument/2006/relationships/hyperlink" Target="https://youtu.be/SmRa30Jci54" TargetMode="External"/><Relationship Id="rId66" Type="http://schemas.openxmlformats.org/officeDocument/2006/relationships/hyperlink" Target="https://youtu.be/7If7L0lAur8" TargetMode="External"/><Relationship Id="rId87" Type="http://schemas.openxmlformats.org/officeDocument/2006/relationships/hyperlink" Target="https://youtu.be/PFtO-p5VLO0" TargetMode="External"/><Relationship Id="rId110" Type="http://schemas.openxmlformats.org/officeDocument/2006/relationships/hyperlink" Target="https://youtu.be/TtXlapucVxM" TargetMode="External"/><Relationship Id="rId115" Type="http://schemas.openxmlformats.org/officeDocument/2006/relationships/hyperlink" Target="https://youtu.be/aNzU6AYZiEs" TargetMode="External"/><Relationship Id="rId131" Type="http://schemas.openxmlformats.org/officeDocument/2006/relationships/hyperlink" Target="https://youtu.be/2JIPv1E5a0I" TargetMode="External"/><Relationship Id="rId136" Type="http://schemas.openxmlformats.org/officeDocument/2006/relationships/hyperlink" Target="https://youtu.be/n9RZ6FEthGU" TargetMode="External"/><Relationship Id="rId157" Type="http://schemas.openxmlformats.org/officeDocument/2006/relationships/hyperlink" Target="https://youtu.be/6L7xI3jO_GU" TargetMode="External"/><Relationship Id="rId178" Type="http://schemas.openxmlformats.org/officeDocument/2006/relationships/hyperlink" Target="https://youtu.be/sPIBL43Ds48" TargetMode="External"/><Relationship Id="rId61" Type="http://schemas.openxmlformats.org/officeDocument/2006/relationships/hyperlink" Target="https://youtu.be/wjw-4R5VR20" TargetMode="External"/><Relationship Id="rId82" Type="http://schemas.openxmlformats.org/officeDocument/2006/relationships/hyperlink" Target="https://youtu.be/2JIPv1E5a0I" TargetMode="External"/><Relationship Id="rId152" Type="http://schemas.openxmlformats.org/officeDocument/2006/relationships/hyperlink" Target="https://youtu.be/pOX1m37rOWo" TargetMode="External"/><Relationship Id="rId173" Type="http://schemas.openxmlformats.org/officeDocument/2006/relationships/hyperlink" Target="https://youtu.be/bxfHw1LvH24" TargetMode="External"/><Relationship Id="rId194" Type="http://schemas.openxmlformats.org/officeDocument/2006/relationships/table" Target="../tables/table61.xml"/><Relationship Id="rId199" Type="http://schemas.openxmlformats.org/officeDocument/2006/relationships/table" Target="../tables/table66.xml"/><Relationship Id="rId203" Type="http://schemas.openxmlformats.org/officeDocument/2006/relationships/table" Target="../tables/table70.xml"/><Relationship Id="rId19" Type="http://schemas.openxmlformats.org/officeDocument/2006/relationships/hyperlink" Target="https://youtu.be/tYpquedo9e0" TargetMode="External"/><Relationship Id="rId14" Type="http://schemas.openxmlformats.org/officeDocument/2006/relationships/hyperlink" Target="https://youtu.be/GWeVF2aVk8g" TargetMode="External"/><Relationship Id="rId30" Type="http://schemas.openxmlformats.org/officeDocument/2006/relationships/hyperlink" Target="https://youtu.be/pg3hz43P09w" TargetMode="External"/><Relationship Id="rId35" Type="http://schemas.openxmlformats.org/officeDocument/2006/relationships/hyperlink" Target="https://youtu.be/c32OxRaEhxM" TargetMode="External"/><Relationship Id="rId56" Type="http://schemas.openxmlformats.org/officeDocument/2006/relationships/hyperlink" Target="https://youtu.be/y47HOtqxZkg" TargetMode="External"/><Relationship Id="rId77" Type="http://schemas.openxmlformats.org/officeDocument/2006/relationships/hyperlink" Target="https://youtu.be/m4KB9-Uo4Kc" TargetMode="External"/><Relationship Id="rId100" Type="http://schemas.openxmlformats.org/officeDocument/2006/relationships/hyperlink" Target="https://youtu.be/a5_JKN7j7Ug" TargetMode="External"/><Relationship Id="rId105" Type="http://schemas.openxmlformats.org/officeDocument/2006/relationships/hyperlink" Target="https://youtu.be/eaI0E6ZcwM4" TargetMode="External"/><Relationship Id="rId126" Type="http://schemas.openxmlformats.org/officeDocument/2006/relationships/hyperlink" Target="https://youtu.be/He-GN_4MAY4" TargetMode="External"/><Relationship Id="rId147" Type="http://schemas.openxmlformats.org/officeDocument/2006/relationships/hyperlink" Target="https://youtu.be/hJLXuvZd05w" TargetMode="External"/><Relationship Id="rId168" Type="http://schemas.openxmlformats.org/officeDocument/2006/relationships/hyperlink" Target="https://youtu.be/c32OxRaEhxM" TargetMode="External"/><Relationship Id="rId8" Type="http://schemas.openxmlformats.org/officeDocument/2006/relationships/hyperlink" Target="https://youtu.be/sPIBL43Ds48" TargetMode="External"/><Relationship Id="rId51" Type="http://schemas.openxmlformats.org/officeDocument/2006/relationships/hyperlink" Target="https://youtu.be/6DiJh6_jeoo" TargetMode="External"/><Relationship Id="rId72" Type="http://schemas.openxmlformats.org/officeDocument/2006/relationships/hyperlink" Target="https://youtu.be/Z3AC4mmiKhw" TargetMode="External"/><Relationship Id="rId93" Type="http://schemas.openxmlformats.org/officeDocument/2006/relationships/hyperlink" Target="https://youtu.be/t2Kk-TOhq14" TargetMode="External"/><Relationship Id="rId98" Type="http://schemas.openxmlformats.org/officeDocument/2006/relationships/hyperlink" Target="https://youtu.be/ZYM1mNayaeI" TargetMode="External"/><Relationship Id="rId121" Type="http://schemas.openxmlformats.org/officeDocument/2006/relationships/hyperlink" Target="https://youtu.be/gYbmiluG5Ho" TargetMode="External"/><Relationship Id="rId142" Type="http://schemas.openxmlformats.org/officeDocument/2006/relationships/hyperlink" Target="https://youtu.be/B48xWtzMHxk" TargetMode="External"/><Relationship Id="rId163" Type="http://schemas.openxmlformats.org/officeDocument/2006/relationships/hyperlink" Target="https://youtu.be/pg3hz43P09w" TargetMode="External"/><Relationship Id="rId184" Type="http://schemas.openxmlformats.org/officeDocument/2006/relationships/table" Target="../tables/table51.xml"/><Relationship Id="rId189" Type="http://schemas.openxmlformats.org/officeDocument/2006/relationships/table" Target="../tables/table56.xml"/><Relationship Id="rId3" Type="http://schemas.openxmlformats.org/officeDocument/2006/relationships/hyperlink" Target="https://youtu.be/bxfHw1LvH24" TargetMode="External"/><Relationship Id="rId25" Type="http://schemas.openxmlformats.org/officeDocument/2006/relationships/hyperlink" Target="https://youtu.be/DcRJ3bLJuVw" TargetMode="External"/><Relationship Id="rId46" Type="http://schemas.openxmlformats.org/officeDocument/2006/relationships/hyperlink" Target="https://youtu.be/xyoFXl-k644" TargetMode="External"/><Relationship Id="rId67" Type="http://schemas.openxmlformats.org/officeDocument/2006/relationships/hyperlink" Target="https://youtu.be/xp1IeyTOB4U" TargetMode="External"/><Relationship Id="rId116" Type="http://schemas.openxmlformats.org/officeDocument/2006/relationships/hyperlink" Target="https://youtu.be/daSL236nYZs" TargetMode="External"/><Relationship Id="rId137" Type="http://schemas.openxmlformats.org/officeDocument/2006/relationships/hyperlink" Target="https://youtu.be/Ax_6UXGQo7o" TargetMode="External"/><Relationship Id="rId158" Type="http://schemas.openxmlformats.org/officeDocument/2006/relationships/hyperlink" Target="https://youtu.be/60Ai9_c60xg" TargetMode="External"/><Relationship Id="rId20" Type="http://schemas.openxmlformats.org/officeDocument/2006/relationships/hyperlink" Target="https://youtu.be/MCjBeB844rU" TargetMode="External"/><Relationship Id="rId41" Type="http://schemas.openxmlformats.org/officeDocument/2006/relationships/hyperlink" Target="https://youtu.be/o1yPuXatVRs" TargetMode="External"/><Relationship Id="rId62" Type="http://schemas.openxmlformats.org/officeDocument/2006/relationships/hyperlink" Target="https://youtu.be/ppluAD4MHK8" TargetMode="External"/><Relationship Id="rId83" Type="http://schemas.openxmlformats.org/officeDocument/2006/relationships/hyperlink" Target="https://youtu.be/MDuOnEyof1w" TargetMode="External"/><Relationship Id="rId88" Type="http://schemas.openxmlformats.org/officeDocument/2006/relationships/hyperlink" Target="https://youtu.be/efDlxayx234" TargetMode="External"/><Relationship Id="rId111" Type="http://schemas.openxmlformats.org/officeDocument/2006/relationships/hyperlink" Target="https://youtu.be/B21LHpkamJM" TargetMode="External"/><Relationship Id="rId132" Type="http://schemas.openxmlformats.org/officeDocument/2006/relationships/hyperlink" Target="https://youtu.be/MDuOnEyof1w" TargetMode="External"/><Relationship Id="rId153" Type="http://schemas.openxmlformats.org/officeDocument/2006/relationships/hyperlink" Target="https://youtu.be/aNzU6AYZiEs" TargetMode="External"/><Relationship Id="rId174" Type="http://schemas.openxmlformats.org/officeDocument/2006/relationships/hyperlink" Target="https://youtu.be/uMjeHo2_EwM" TargetMode="External"/><Relationship Id="rId179" Type="http://schemas.openxmlformats.org/officeDocument/2006/relationships/hyperlink" Target="https://youtu.be/zWRCV_td3I8" TargetMode="External"/><Relationship Id="rId195" Type="http://schemas.openxmlformats.org/officeDocument/2006/relationships/table" Target="../tables/table62.xml"/><Relationship Id="rId190" Type="http://schemas.openxmlformats.org/officeDocument/2006/relationships/table" Target="../tables/table57.xml"/><Relationship Id="rId204" Type="http://schemas.openxmlformats.org/officeDocument/2006/relationships/table" Target="../tables/table71.xml"/><Relationship Id="rId15" Type="http://schemas.openxmlformats.org/officeDocument/2006/relationships/hyperlink" Target="https://youtu.be/oRRs1bGzimM" TargetMode="External"/><Relationship Id="rId36" Type="http://schemas.openxmlformats.org/officeDocument/2006/relationships/hyperlink" Target="https://youtu.be/d90AskSQcDc" TargetMode="External"/><Relationship Id="rId57" Type="http://schemas.openxmlformats.org/officeDocument/2006/relationships/hyperlink" Target="https://youtu.be/2-o_-HTPhv8" TargetMode="External"/><Relationship Id="rId106" Type="http://schemas.openxmlformats.org/officeDocument/2006/relationships/hyperlink" Target="https://youtu.be/B33bKk_r5PU" TargetMode="External"/><Relationship Id="rId127" Type="http://schemas.openxmlformats.org/officeDocument/2006/relationships/hyperlink" Target="https://youtu.be/pOX1m37rOWo" TargetMode="External"/><Relationship Id="rId10" Type="http://schemas.openxmlformats.org/officeDocument/2006/relationships/hyperlink" Target="https://youtu.be/JYiWXFIikW4" TargetMode="External"/><Relationship Id="rId31" Type="http://schemas.openxmlformats.org/officeDocument/2006/relationships/hyperlink" Target="https://youtu.be/7P2LTF73EOM" TargetMode="External"/><Relationship Id="rId52" Type="http://schemas.openxmlformats.org/officeDocument/2006/relationships/hyperlink" Target="https://youtu.be/hR8aOS5LZjU" TargetMode="External"/><Relationship Id="rId73" Type="http://schemas.openxmlformats.org/officeDocument/2006/relationships/hyperlink" Target="https://youtu.be/hzHJugCcT6g" TargetMode="External"/><Relationship Id="rId78" Type="http://schemas.openxmlformats.org/officeDocument/2006/relationships/hyperlink" Target="https://youtu.be/SMln-yOUKSA" TargetMode="External"/><Relationship Id="rId94" Type="http://schemas.openxmlformats.org/officeDocument/2006/relationships/hyperlink" Target="https://youtu.be/6L7xI3jO_GU" TargetMode="External"/><Relationship Id="rId99" Type="http://schemas.openxmlformats.org/officeDocument/2006/relationships/hyperlink" Target="https://youtu.be/B48xWtzMHxk" TargetMode="External"/><Relationship Id="rId101" Type="http://schemas.openxmlformats.org/officeDocument/2006/relationships/hyperlink" Target="https://youtu.be/dF9Pm_-2zmg" TargetMode="External"/><Relationship Id="rId122" Type="http://schemas.openxmlformats.org/officeDocument/2006/relationships/hyperlink" Target="https://youtu.be/hJLXuvZd05w" TargetMode="External"/><Relationship Id="rId143" Type="http://schemas.openxmlformats.org/officeDocument/2006/relationships/hyperlink" Target="https://youtu.be/a5_JKN7j7Ug" TargetMode="External"/><Relationship Id="rId148" Type="http://schemas.openxmlformats.org/officeDocument/2006/relationships/hyperlink" Target="https://youtu.be/TtXlapucVxM" TargetMode="External"/><Relationship Id="rId164" Type="http://schemas.openxmlformats.org/officeDocument/2006/relationships/hyperlink" Target="https://youtu.be/7P2LTF73EOM" TargetMode="External"/><Relationship Id="rId169" Type="http://schemas.openxmlformats.org/officeDocument/2006/relationships/hyperlink" Target="https://youtu.be/d90AskSQcDc" TargetMode="External"/><Relationship Id="rId185" Type="http://schemas.openxmlformats.org/officeDocument/2006/relationships/table" Target="../tables/table52.xml"/><Relationship Id="rId4" Type="http://schemas.openxmlformats.org/officeDocument/2006/relationships/hyperlink" Target="https://youtu.be/uMjeHo2_EwM" TargetMode="External"/><Relationship Id="rId9" Type="http://schemas.openxmlformats.org/officeDocument/2006/relationships/hyperlink" Target="https://youtu.be/vz97voWk3jU" TargetMode="External"/><Relationship Id="rId180" Type="http://schemas.openxmlformats.org/officeDocument/2006/relationships/printerSettings" Target="../printerSettings/printerSettings3.bin"/><Relationship Id="rId26" Type="http://schemas.openxmlformats.org/officeDocument/2006/relationships/hyperlink" Target="https://youtu.be/xsOm9xn83-8" TargetMode="External"/><Relationship Id="rId47" Type="http://schemas.openxmlformats.org/officeDocument/2006/relationships/hyperlink" Target="https://youtu.be/ghHW6sETs-I" TargetMode="External"/><Relationship Id="rId68" Type="http://schemas.openxmlformats.org/officeDocument/2006/relationships/hyperlink" Target="https://youtu.be/mJSsWpuyiCM" TargetMode="External"/><Relationship Id="rId89" Type="http://schemas.openxmlformats.org/officeDocument/2006/relationships/hyperlink" Target="https://youtu.be/LYZDsNv8kJ8" TargetMode="External"/><Relationship Id="rId112" Type="http://schemas.openxmlformats.org/officeDocument/2006/relationships/hyperlink" Target="https://youtu.be/U3SkMY6jw5M" TargetMode="External"/><Relationship Id="rId133" Type="http://schemas.openxmlformats.org/officeDocument/2006/relationships/hyperlink" Target="https://youtu.be/efDlxayx234" TargetMode="External"/><Relationship Id="rId154" Type="http://schemas.openxmlformats.org/officeDocument/2006/relationships/hyperlink" Target="https://youtu.be/daSL236nYZs" TargetMode="External"/><Relationship Id="rId175" Type="http://schemas.openxmlformats.org/officeDocument/2006/relationships/hyperlink" Target="https://youtu.be/UNo4yBbidG4" TargetMode="External"/><Relationship Id="rId196" Type="http://schemas.openxmlformats.org/officeDocument/2006/relationships/table" Target="../tables/table63.xml"/><Relationship Id="rId200" Type="http://schemas.openxmlformats.org/officeDocument/2006/relationships/table" Target="../tables/table6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499"/>
  <sheetViews>
    <sheetView showGridLines="0" tabSelected="1" workbookViewId="0">
      <selection activeCell="B8" sqref="B8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6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5.71093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7.28515625" customWidth="1"/>
    <col min="21" max="21" width="8.710937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7.710937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29.4257812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1:35" ht="19.5" thickBot="1" x14ac:dyDescent="0.35">
      <c r="C1" s="34" t="s">
        <v>87</v>
      </c>
      <c r="D1" s="43"/>
      <c r="E1" s="27"/>
      <c r="F1" s="32" t="s">
        <v>97</v>
      </c>
      <c r="G1" s="33" t="s">
        <v>100</v>
      </c>
      <c r="H1" s="35" t="s">
        <v>89</v>
      </c>
      <c r="I1" s="9" t="s">
        <v>92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5"/>
      <c r="U1" s="22" t="s">
        <v>93</v>
      </c>
      <c r="V1" s="21"/>
      <c r="W1" s="23"/>
      <c r="X1" s="23"/>
      <c r="Y1" s="23"/>
      <c r="Z1" s="23"/>
      <c r="AA1" s="17"/>
      <c r="AB1" s="17"/>
      <c r="AC1" s="17"/>
      <c r="AD1" s="17"/>
      <c r="AE1" s="17"/>
      <c r="AF1" s="17"/>
      <c r="AG1" s="13"/>
      <c r="AH1" s="2"/>
    </row>
    <row r="2" spans="1:35" ht="19.5" thickBot="1" x14ac:dyDescent="0.35">
      <c r="F2" s="28" t="s">
        <v>95</v>
      </c>
      <c r="G2" s="30" t="s">
        <v>98</v>
      </c>
      <c r="H2" s="36" t="s">
        <v>90</v>
      </c>
      <c r="I2" s="18" t="s">
        <v>84</v>
      </c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25" t="s">
        <v>94</v>
      </c>
      <c r="V2" s="26"/>
      <c r="W2" s="24"/>
      <c r="X2" s="24"/>
      <c r="Y2" s="24"/>
      <c r="Z2" s="8"/>
      <c r="AA2" s="5"/>
      <c r="AB2" s="5"/>
      <c r="AC2" s="5"/>
    </row>
    <row r="3" spans="1:35" ht="19.5" thickBot="1" x14ac:dyDescent="0.3">
      <c r="C3" t="s">
        <v>0</v>
      </c>
      <c r="F3" s="29" t="s">
        <v>96</v>
      </c>
      <c r="G3" s="31" t="s">
        <v>99</v>
      </c>
      <c r="H3" s="37" t="s">
        <v>91</v>
      </c>
      <c r="I3" s="18" t="s">
        <v>83</v>
      </c>
      <c r="J3" s="4"/>
      <c r="K3" s="4"/>
      <c r="L3" s="4"/>
      <c r="M3" s="4"/>
      <c r="N3" s="4"/>
      <c r="O3" s="4"/>
      <c r="P3" s="4"/>
      <c r="Q3" s="4"/>
      <c r="R3" s="4"/>
      <c r="S3" s="4"/>
      <c r="T3" s="3"/>
      <c r="AA3" s="5"/>
      <c r="AB3" s="5"/>
      <c r="AC3" s="5"/>
    </row>
    <row r="4" spans="1:35" ht="15.75" thickBot="1" x14ac:dyDescent="0.3">
      <c r="G4" t="s">
        <v>0</v>
      </c>
      <c r="I4" s="19" t="s">
        <v>82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2"/>
      <c r="U4" s="5"/>
      <c r="V4" s="5"/>
      <c r="W4" s="5"/>
      <c r="X4" s="5"/>
      <c r="Y4" s="5"/>
      <c r="Z4" s="5"/>
      <c r="AA4" s="5"/>
      <c r="AB4" s="5"/>
      <c r="AC4" s="5"/>
    </row>
    <row r="7" spans="1:35" ht="15.75" thickBot="1" x14ac:dyDescent="0.3"/>
    <row r="8" spans="1:35" ht="19.5" thickBot="1" x14ac:dyDescent="0.3">
      <c r="G8" s="6" t="s">
        <v>101</v>
      </c>
      <c r="H8" s="175" t="s">
        <v>1</v>
      </c>
      <c r="I8" s="176"/>
      <c r="J8" s="176"/>
      <c r="K8" s="176"/>
      <c r="L8" s="176"/>
      <c r="M8" s="177"/>
      <c r="N8" s="178" t="s">
        <v>2</v>
      </c>
      <c r="O8" s="179"/>
      <c r="P8" s="179"/>
      <c r="Q8" s="179"/>
      <c r="R8" s="179"/>
      <c r="S8" s="180"/>
      <c r="T8" s="166" t="s">
        <v>3</v>
      </c>
      <c r="U8" s="167"/>
      <c r="V8" s="167"/>
      <c r="W8" s="167"/>
      <c r="X8" s="167"/>
      <c r="Y8" s="168"/>
      <c r="Z8" s="169" t="s">
        <v>4</v>
      </c>
      <c r="AA8" s="170"/>
      <c r="AB8" s="170"/>
      <c r="AC8" s="170"/>
      <c r="AD8" s="170"/>
      <c r="AE8" s="171"/>
      <c r="AF8" s="172" t="s">
        <v>5</v>
      </c>
      <c r="AG8" s="173"/>
      <c r="AH8" s="173"/>
      <c r="AI8" s="174"/>
    </row>
    <row r="9" spans="1:35" ht="15.75" thickBot="1" x14ac:dyDescent="0.3">
      <c r="C9" s="39" t="s">
        <v>16</v>
      </c>
      <c r="G9" s="6" t="s">
        <v>102</v>
      </c>
      <c r="H9" s="97" t="s">
        <v>88</v>
      </c>
      <c r="I9" s="98" t="s">
        <v>6</v>
      </c>
      <c r="J9" s="99" t="s">
        <v>7</v>
      </c>
      <c r="K9" s="74" t="s">
        <v>8</v>
      </c>
      <c r="L9" s="74" t="s">
        <v>9</v>
      </c>
      <c r="M9" s="100" t="s">
        <v>10</v>
      </c>
      <c r="N9" s="98" t="s">
        <v>88</v>
      </c>
      <c r="O9" s="98" t="s">
        <v>6</v>
      </c>
      <c r="P9" s="99" t="s">
        <v>7</v>
      </c>
      <c r="Q9" s="74" t="s">
        <v>8</v>
      </c>
      <c r="R9" s="74" t="s">
        <v>9</v>
      </c>
      <c r="S9" s="100" t="s">
        <v>10</v>
      </c>
      <c r="T9" s="98" t="s">
        <v>88</v>
      </c>
      <c r="U9" s="98" t="s">
        <v>6</v>
      </c>
      <c r="V9" s="99" t="s">
        <v>7</v>
      </c>
      <c r="W9" s="74" t="s">
        <v>8</v>
      </c>
      <c r="X9" s="74" t="s">
        <v>9</v>
      </c>
      <c r="Y9" s="100" t="s">
        <v>10</v>
      </c>
      <c r="Z9" s="98" t="s">
        <v>88</v>
      </c>
      <c r="AA9" s="98" t="s">
        <v>6</v>
      </c>
      <c r="AB9" s="99" t="s">
        <v>7</v>
      </c>
      <c r="AC9" s="74" t="s">
        <v>8</v>
      </c>
      <c r="AD9" s="74" t="s">
        <v>9</v>
      </c>
      <c r="AE9" s="100" t="s">
        <v>10</v>
      </c>
      <c r="AF9" s="98" t="s">
        <v>88</v>
      </c>
      <c r="AG9" s="98" t="s">
        <v>6</v>
      </c>
      <c r="AH9" s="99" t="s">
        <v>7</v>
      </c>
      <c r="AI9" s="62" t="s">
        <v>8</v>
      </c>
    </row>
    <row r="10" spans="1:35" ht="15.75" thickBot="1" x14ac:dyDescent="0.3">
      <c r="B10" s="76" t="s">
        <v>339</v>
      </c>
      <c r="C10" s="84" t="s">
        <v>85</v>
      </c>
      <c r="D10" s="60"/>
      <c r="E10" s="80"/>
      <c r="F10" s="84" t="s">
        <v>348</v>
      </c>
      <c r="G10" s="84" t="s">
        <v>349</v>
      </c>
      <c r="H10" s="74" t="s">
        <v>85</v>
      </c>
      <c r="I10" s="101"/>
      <c r="J10" s="101"/>
      <c r="K10" s="101"/>
      <c r="L10" s="101"/>
      <c r="M10" s="102"/>
      <c r="N10" s="103" t="s">
        <v>85</v>
      </c>
      <c r="O10" s="101"/>
      <c r="P10" s="101"/>
      <c r="Q10" s="101"/>
      <c r="R10" s="101"/>
      <c r="S10" s="102"/>
      <c r="T10" s="103" t="s">
        <v>85</v>
      </c>
      <c r="U10" s="101"/>
      <c r="V10" s="101"/>
      <c r="W10" s="101"/>
      <c r="X10" s="101"/>
      <c r="Y10" s="102"/>
      <c r="Z10" s="103" t="s">
        <v>85</v>
      </c>
      <c r="AA10" s="101"/>
      <c r="AB10" s="101"/>
      <c r="AC10" s="101"/>
      <c r="AD10" s="101"/>
      <c r="AE10" s="102"/>
      <c r="AF10" s="103" t="s">
        <v>85</v>
      </c>
      <c r="AG10" s="101"/>
      <c r="AH10" s="101"/>
      <c r="AI10" s="102"/>
    </row>
    <row r="11" spans="1:35" ht="15.75" thickBot="1" x14ac:dyDescent="0.3">
      <c r="A11" s="6"/>
      <c r="B11" s="77" t="s">
        <v>18</v>
      </c>
      <c r="C11" s="85"/>
      <c r="D11" s="64" t="str">
        <f t="array" ref="D11">INDEX(Table_Name[Name List],MATCH(B11,Table_Name[Category],0))</f>
        <v>Biceps[Exercise]</v>
      </c>
      <c r="E11" s="81" t="e">
        <f t="array" ref="E11">INDEX(Links[Link],MATCH(C11,Links[Exercise],0))</f>
        <v>#N/A</v>
      </c>
      <c r="F11" s="88" t="e">
        <f>HYPERLINK(E11,"Video")</f>
        <v>#N/A</v>
      </c>
      <c r="G11" s="91"/>
      <c r="H11" s="104">
        <f t="shared" ref="H11:H18" si="0">C11</f>
        <v>0</v>
      </c>
      <c r="I11" s="105">
        <v>3</v>
      </c>
      <c r="J11" s="105">
        <f t="shared" ref="J11:J18" si="1">MROUND(((G11)*0.85),5)</f>
        <v>0</v>
      </c>
      <c r="K11" s="105" t="s">
        <v>11</v>
      </c>
      <c r="L11" s="105"/>
      <c r="M11" s="71"/>
      <c r="N11" s="106">
        <f t="shared" ref="N11:N18" si="2">C11</f>
        <v>0</v>
      </c>
      <c r="O11" s="105">
        <f>I11+(M34)</f>
        <v>3</v>
      </c>
      <c r="P11" s="105">
        <f t="shared" ref="P11:P18" si="3">MROUND((J11*1.05),5)</f>
        <v>0</v>
      </c>
      <c r="Q11" s="105" t="s">
        <v>11</v>
      </c>
      <c r="R11" s="105"/>
      <c r="S11" s="107"/>
      <c r="T11" s="108">
        <f t="shared" ref="T11:T18" si="4">C11</f>
        <v>0</v>
      </c>
      <c r="U11" s="105">
        <f>O11+(S34)</f>
        <v>3</v>
      </c>
      <c r="V11" s="105">
        <f t="shared" ref="V11:V18" si="5">MROUND((J11*1.075),5)</f>
        <v>0</v>
      </c>
      <c r="W11" s="105" t="s">
        <v>12</v>
      </c>
      <c r="X11" s="105"/>
      <c r="Y11" s="107"/>
      <c r="Z11" s="106">
        <f t="shared" ref="Z11:Z18" si="6">C11</f>
        <v>0</v>
      </c>
      <c r="AA11" s="105">
        <f>U11+(Y34)</f>
        <v>3</v>
      </c>
      <c r="AB11" s="105">
        <f t="shared" ref="AB11:AB18" si="7">MROUND((J11*1.1),5)</f>
        <v>0</v>
      </c>
      <c r="AC11" s="105" t="s">
        <v>13</v>
      </c>
      <c r="AD11" s="105"/>
      <c r="AE11" s="107"/>
      <c r="AF11" s="106">
        <f t="shared" ref="AF11:AF18" si="8">C11</f>
        <v>0</v>
      </c>
      <c r="AG11" s="105">
        <v>2</v>
      </c>
      <c r="AH11" s="109">
        <f>J11</f>
        <v>0</v>
      </c>
      <c r="AI11" s="71" t="s">
        <v>14</v>
      </c>
    </row>
    <row r="12" spans="1:35" ht="15.75" thickBot="1" x14ac:dyDescent="0.3">
      <c r="A12" s="6"/>
      <c r="B12" s="78" t="s">
        <v>18</v>
      </c>
      <c r="C12" s="86"/>
      <c r="D12" s="67" t="str">
        <f t="array" ref="D12">INDEX(Table_Name[Name List],MATCH(B12,Table_Name[Category],0))</f>
        <v>Biceps[Exercise]</v>
      </c>
      <c r="E12" s="82" t="e">
        <f t="array" ref="E12">INDEX(Links[Link],MATCH(C12,Links[Exercise],0))</f>
        <v>#N/A</v>
      </c>
      <c r="F12" s="89" t="e">
        <f t="shared" ref="F12:F18" si="9">HYPERLINK(E12,"Video")</f>
        <v>#N/A</v>
      </c>
      <c r="G12" s="92"/>
      <c r="H12" s="104">
        <f t="shared" si="0"/>
        <v>0</v>
      </c>
      <c r="I12" s="105">
        <v>3</v>
      </c>
      <c r="J12" s="105">
        <f t="shared" si="1"/>
        <v>0</v>
      </c>
      <c r="K12" s="105" t="s">
        <v>11</v>
      </c>
      <c r="L12" s="105"/>
      <c r="M12" s="71"/>
      <c r="N12" s="106">
        <f t="shared" si="2"/>
        <v>0</v>
      </c>
      <c r="O12" s="105">
        <f>I12+(M34)</f>
        <v>3</v>
      </c>
      <c r="P12" s="105">
        <f t="shared" si="3"/>
        <v>0</v>
      </c>
      <c r="Q12" s="105" t="s">
        <v>11</v>
      </c>
      <c r="R12" s="105"/>
      <c r="S12" s="107"/>
      <c r="T12" s="108">
        <f t="shared" si="4"/>
        <v>0</v>
      </c>
      <c r="U12" s="105">
        <f>O12+(S34)</f>
        <v>3</v>
      </c>
      <c r="V12" s="105">
        <f t="shared" si="5"/>
        <v>0</v>
      </c>
      <c r="W12" s="105" t="s">
        <v>12</v>
      </c>
      <c r="X12" s="105"/>
      <c r="Y12" s="107"/>
      <c r="Z12" s="106">
        <f t="shared" si="6"/>
        <v>0</v>
      </c>
      <c r="AA12" s="105">
        <f>U12+(Y34)</f>
        <v>3</v>
      </c>
      <c r="AB12" s="105">
        <f t="shared" si="7"/>
        <v>0</v>
      </c>
      <c r="AC12" s="105" t="s">
        <v>13</v>
      </c>
      <c r="AD12" s="105"/>
      <c r="AE12" s="107"/>
      <c r="AF12" s="106">
        <f t="shared" si="8"/>
        <v>0</v>
      </c>
      <c r="AG12" s="105">
        <v>2</v>
      </c>
      <c r="AH12" s="109">
        <f t="shared" ref="AH12:AH18" si="10">J12</f>
        <v>0</v>
      </c>
      <c r="AI12" s="71" t="s">
        <v>14</v>
      </c>
    </row>
    <row r="13" spans="1:35" ht="15.75" thickBot="1" x14ac:dyDescent="0.3">
      <c r="A13" s="6"/>
      <c r="B13" s="78" t="s">
        <v>180</v>
      </c>
      <c r="C13" s="86"/>
      <c r="D13" s="67" t="str">
        <f t="array" ref="D13">INDEX(Table_Name[Name List],MATCH(B13,Table_Name[Category],0))</f>
        <v>Rear_or_Side_Delts[Exercise]</v>
      </c>
      <c r="E13" s="82" t="e">
        <f t="array" ref="E13">INDEX(Links[Link],MATCH(C13,Links[Exercise],0))</f>
        <v>#N/A</v>
      </c>
      <c r="F13" s="89" t="e">
        <f t="shared" si="9"/>
        <v>#N/A</v>
      </c>
      <c r="G13" s="92"/>
      <c r="H13" s="104">
        <f t="shared" si="0"/>
        <v>0</v>
      </c>
      <c r="I13" s="105">
        <v>3</v>
      </c>
      <c r="J13" s="105">
        <f t="shared" si="1"/>
        <v>0</v>
      </c>
      <c r="K13" s="105" t="s">
        <v>11</v>
      </c>
      <c r="L13" s="105"/>
      <c r="M13" s="71"/>
      <c r="N13" s="106">
        <f t="shared" si="2"/>
        <v>0</v>
      </c>
      <c r="O13" s="105">
        <f>I13+(M27)</f>
        <v>3</v>
      </c>
      <c r="P13" s="105">
        <f t="shared" si="3"/>
        <v>0</v>
      </c>
      <c r="Q13" s="105" t="s">
        <v>11</v>
      </c>
      <c r="R13" s="105"/>
      <c r="S13" s="107"/>
      <c r="T13" s="108">
        <f t="shared" si="4"/>
        <v>0</v>
      </c>
      <c r="U13" s="105">
        <f>O13+(S27)</f>
        <v>3</v>
      </c>
      <c r="V13" s="105">
        <f t="shared" si="5"/>
        <v>0</v>
      </c>
      <c r="W13" s="105" t="s">
        <v>12</v>
      </c>
      <c r="X13" s="105"/>
      <c r="Y13" s="107"/>
      <c r="Z13" s="106">
        <f t="shared" si="6"/>
        <v>0</v>
      </c>
      <c r="AA13" s="105">
        <f>U13+(Y27)</f>
        <v>3</v>
      </c>
      <c r="AB13" s="105">
        <f t="shared" si="7"/>
        <v>0</v>
      </c>
      <c r="AC13" s="105" t="s">
        <v>13</v>
      </c>
      <c r="AD13" s="105"/>
      <c r="AE13" s="107"/>
      <c r="AF13" s="106">
        <f t="shared" si="8"/>
        <v>0</v>
      </c>
      <c r="AG13" s="105">
        <v>2</v>
      </c>
      <c r="AH13" s="109">
        <f t="shared" si="10"/>
        <v>0</v>
      </c>
      <c r="AI13" s="71" t="s">
        <v>14</v>
      </c>
    </row>
    <row r="14" spans="1:35" ht="15.75" thickBot="1" x14ac:dyDescent="0.3">
      <c r="A14" s="6"/>
      <c r="B14" s="78" t="s">
        <v>180</v>
      </c>
      <c r="C14" s="86"/>
      <c r="D14" s="67" t="str">
        <f t="array" ref="D14">INDEX(Table_Name[Name List],MATCH(B14,Table_Name[Category],0))</f>
        <v>Rear_or_Side_Delts[Exercise]</v>
      </c>
      <c r="E14" s="82" t="e">
        <f t="array" ref="E14">INDEX(Links[Link],MATCH(C14,Links[Exercise],0))</f>
        <v>#N/A</v>
      </c>
      <c r="F14" s="89" t="e">
        <f t="shared" si="9"/>
        <v>#N/A</v>
      </c>
      <c r="G14" s="92"/>
      <c r="H14" s="104">
        <f t="shared" si="0"/>
        <v>0</v>
      </c>
      <c r="I14" s="105">
        <v>3</v>
      </c>
      <c r="J14" s="105">
        <f t="shared" si="1"/>
        <v>0</v>
      </c>
      <c r="K14" s="105" t="s">
        <v>11</v>
      </c>
      <c r="L14" s="105"/>
      <c r="M14" s="71"/>
      <c r="N14" s="106">
        <f t="shared" si="2"/>
        <v>0</v>
      </c>
      <c r="O14" s="105">
        <f>I14+(M27)</f>
        <v>3</v>
      </c>
      <c r="P14" s="105">
        <f t="shared" si="3"/>
        <v>0</v>
      </c>
      <c r="Q14" s="105" t="s">
        <v>11</v>
      </c>
      <c r="R14" s="105"/>
      <c r="S14" s="107"/>
      <c r="T14" s="108">
        <f t="shared" si="4"/>
        <v>0</v>
      </c>
      <c r="U14" s="105">
        <f>O14+(S27)</f>
        <v>3</v>
      </c>
      <c r="V14" s="105">
        <f t="shared" si="5"/>
        <v>0</v>
      </c>
      <c r="W14" s="105" t="s">
        <v>12</v>
      </c>
      <c r="X14" s="105"/>
      <c r="Y14" s="107"/>
      <c r="Z14" s="106">
        <f t="shared" si="6"/>
        <v>0</v>
      </c>
      <c r="AA14" s="105">
        <f>U14+(Y27)</f>
        <v>3</v>
      </c>
      <c r="AB14" s="105">
        <f t="shared" si="7"/>
        <v>0</v>
      </c>
      <c r="AC14" s="105" t="s">
        <v>13</v>
      </c>
      <c r="AD14" s="105"/>
      <c r="AE14" s="107"/>
      <c r="AF14" s="106">
        <f t="shared" si="8"/>
        <v>0</v>
      </c>
      <c r="AG14" s="105">
        <v>2</v>
      </c>
      <c r="AH14" s="109">
        <f t="shared" si="10"/>
        <v>0</v>
      </c>
      <c r="AI14" s="71" t="s">
        <v>14</v>
      </c>
    </row>
    <row r="15" spans="1:35" ht="15.75" thickBot="1" x14ac:dyDescent="0.3">
      <c r="A15" s="6"/>
      <c r="B15" s="78" t="s">
        <v>340</v>
      </c>
      <c r="C15" s="86"/>
      <c r="D15" s="67" t="str">
        <f t="array" ref="D15">INDEX(Table_Name[Name List],MATCH(B15,Table_Name[Category],0))</f>
        <v>Vertical_Back[Exercise]</v>
      </c>
      <c r="E15" s="82" t="e">
        <f t="array" ref="E15">INDEX(Links[Link],MATCH(C15,Links[Exercise],0))</f>
        <v>#N/A</v>
      </c>
      <c r="F15" s="89" t="e">
        <f t="shared" si="9"/>
        <v>#N/A</v>
      </c>
      <c r="G15" s="92"/>
      <c r="H15" s="104">
        <f t="shared" si="0"/>
        <v>0</v>
      </c>
      <c r="I15" s="105">
        <v>3</v>
      </c>
      <c r="J15" s="105">
        <f t="shared" si="1"/>
        <v>0</v>
      </c>
      <c r="K15" s="105" t="s">
        <v>11</v>
      </c>
      <c r="L15" s="105"/>
      <c r="M15" s="71"/>
      <c r="N15" s="106">
        <f t="shared" si="2"/>
        <v>0</v>
      </c>
      <c r="O15" s="105">
        <f>I15+(M28)</f>
        <v>3</v>
      </c>
      <c r="P15" s="105">
        <f t="shared" si="3"/>
        <v>0</v>
      </c>
      <c r="Q15" s="105" t="s">
        <v>11</v>
      </c>
      <c r="R15" s="105"/>
      <c r="S15" s="107"/>
      <c r="T15" s="108">
        <f t="shared" si="4"/>
        <v>0</v>
      </c>
      <c r="U15" s="105">
        <f>O15+(S28)</f>
        <v>3</v>
      </c>
      <c r="V15" s="105">
        <f t="shared" si="5"/>
        <v>0</v>
      </c>
      <c r="W15" s="105" t="s">
        <v>12</v>
      </c>
      <c r="X15" s="105"/>
      <c r="Y15" s="107"/>
      <c r="Z15" s="106">
        <f t="shared" si="6"/>
        <v>0</v>
      </c>
      <c r="AA15" s="105">
        <f>U15+(Y28)</f>
        <v>3</v>
      </c>
      <c r="AB15" s="105">
        <f t="shared" si="7"/>
        <v>0</v>
      </c>
      <c r="AC15" s="105" t="s">
        <v>13</v>
      </c>
      <c r="AD15" s="105"/>
      <c r="AE15" s="107"/>
      <c r="AF15" s="106">
        <f t="shared" si="8"/>
        <v>0</v>
      </c>
      <c r="AG15" s="105">
        <v>2</v>
      </c>
      <c r="AH15" s="109">
        <f t="shared" si="10"/>
        <v>0</v>
      </c>
      <c r="AI15" s="71" t="s">
        <v>14</v>
      </c>
    </row>
    <row r="16" spans="1:35" ht="15.75" thickBot="1" x14ac:dyDescent="0.3">
      <c r="A16" s="6"/>
      <c r="B16" s="78" t="s">
        <v>341</v>
      </c>
      <c r="C16" s="86"/>
      <c r="D16" s="67" t="str">
        <f t="array" ref="D16">INDEX(Table_Name[Name List],MATCH(B16,Table_Name[Category],0))</f>
        <v>Horizontal_Back[Exercise]</v>
      </c>
      <c r="E16" s="82" t="e">
        <f t="array" ref="E16">INDEX(Links[Link],MATCH(C16,Links[Exercise],0))</f>
        <v>#N/A</v>
      </c>
      <c r="F16" s="89" t="e">
        <f t="shared" si="9"/>
        <v>#N/A</v>
      </c>
      <c r="G16" s="92"/>
      <c r="H16" s="104">
        <f t="shared" si="0"/>
        <v>0</v>
      </c>
      <c r="I16" s="105">
        <v>3</v>
      </c>
      <c r="J16" s="105">
        <f t="shared" si="1"/>
        <v>0</v>
      </c>
      <c r="K16" s="105" t="s">
        <v>11</v>
      </c>
      <c r="L16" s="105"/>
      <c r="M16" s="71"/>
      <c r="N16" s="106">
        <f t="shared" si="2"/>
        <v>0</v>
      </c>
      <c r="O16" s="105">
        <f>I16+(M28)</f>
        <v>3</v>
      </c>
      <c r="P16" s="105">
        <f t="shared" si="3"/>
        <v>0</v>
      </c>
      <c r="Q16" s="105" t="s">
        <v>11</v>
      </c>
      <c r="R16" s="105"/>
      <c r="S16" s="107"/>
      <c r="T16" s="108">
        <f t="shared" si="4"/>
        <v>0</v>
      </c>
      <c r="U16" s="105">
        <f>O16+(S28)</f>
        <v>3</v>
      </c>
      <c r="V16" s="105">
        <f t="shared" si="5"/>
        <v>0</v>
      </c>
      <c r="W16" s="105" t="s">
        <v>12</v>
      </c>
      <c r="X16" s="105"/>
      <c r="Y16" s="107"/>
      <c r="Z16" s="106">
        <f t="shared" si="6"/>
        <v>0</v>
      </c>
      <c r="AA16" s="105">
        <f>U16+(Y28)</f>
        <v>3</v>
      </c>
      <c r="AB16" s="105">
        <f t="shared" si="7"/>
        <v>0</v>
      </c>
      <c r="AC16" s="105" t="s">
        <v>13</v>
      </c>
      <c r="AD16" s="105"/>
      <c r="AE16" s="107"/>
      <c r="AF16" s="106">
        <f t="shared" si="8"/>
        <v>0</v>
      </c>
      <c r="AG16" s="105">
        <v>2</v>
      </c>
      <c r="AH16" s="109">
        <f t="shared" si="10"/>
        <v>0</v>
      </c>
      <c r="AI16" s="71" t="s">
        <v>14</v>
      </c>
    </row>
    <row r="17" spans="1:35" ht="15.75" thickBot="1" x14ac:dyDescent="0.3">
      <c r="A17" s="6"/>
      <c r="B17" s="78" t="s">
        <v>22</v>
      </c>
      <c r="C17" s="86"/>
      <c r="D17" s="67" t="str">
        <f t="array" ref="D17">INDEX(Table_Name[Name List],MATCH(B17,Table_Name[Category],0))</f>
        <v>Horizontal_Push[Exercise]</v>
      </c>
      <c r="E17" s="82" t="e">
        <f t="array" ref="E17">INDEX(Links[Link],MATCH(C17,Links[Exercise],0))</f>
        <v>#N/A</v>
      </c>
      <c r="F17" s="89" t="e">
        <f t="shared" si="9"/>
        <v>#N/A</v>
      </c>
      <c r="G17" s="92"/>
      <c r="H17" s="104">
        <f t="shared" si="0"/>
        <v>0</v>
      </c>
      <c r="I17" s="105">
        <v>2</v>
      </c>
      <c r="J17" s="105">
        <f t="shared" si="1"/>
        <v>0</v>
      </c>
      <c r="K17" s="105" t="s">
        <v>11</v>
      </c>
      <c r="L17" s="105" t="s">
        <v>0</v>
      </c>
      <c r="M17" s="71"/>
      <c r="N17" s="106">
        <f t="shared" si="2"/>
        <v>0</v>
      </c>
      <c r="O17" s="105">
        <f>I17+(M26)</f>
        <v>2</v>
      </c>
      <c r="P17" s="105">
        <f t="shared" si="3"/>
        <v>0</v>
      </c>
      <c r="Q17" s="105" t="s">
        <v>11</v>
      </c>
      <c r="R17" s="105"/>
      <c r="S17" s="107"/>
      <c r="T17" s="108">
        <f t="shared" si="4"/>
        <v>0</v>
      </c>
      <c r="U17" s="105">
        <f>O17+(S26)</f>
        <v>2</v>
      </c>
      <c r="V17" s="105">
        <f t="shared" si="5"/>
        <v>0</v>
      </c>
      <c r="W17" s="105" t="s">
        <v>12</v>
      </c>
      <c r="X17" s="105"/>
      <c r="Y17" s="107"/>
      <c r="Z17" s="106">
        <f t="shared" si="6"/>
        <v>0</v>
      </c>
      <c r="AA17" s="105">
        <f>U17+(Y26)</f>
        <v>2</v>
      </c>
      <c r="AB17" s="105">
        <f t="shared" si="7"/>
        <v>0</v>
      </c>
      <c r="AC17" s="105" t="s">
        <v>13</v>
      </c>
      <c r="AD17" s="105"/>
      <c r="AE17" s="107"/>
      <c r="AF17" s="106">
        <f t="shared" si="8"/>
        <v>0</v>
      </c>
      <c r="AG17" s="105">
        <v>2</v>
      </c>
      <c r="AH17" s="109">
        <f t="shared" si="10"/>
        <v>0</v>
      </c>
      <c r="AI17" s="71" t="s">
        <v>14</v>
      </c>
    </row>
    <row r="18" spans="1:35" ht="15.75" thickBot="1" x14ac:dyDescent="0.3">
      <c r="A18" s="6"/>
      <c r="B18" s="79" t="s">
        <v>20</v>
      </c>
      <c r="C18" s="87"/>
      <c r="D18" s="70" t="str">
        <f t="array" ref="D18">INDEX(Table_Name[Name List],MATCH(B18,Table_Name[Category],0))</f>
        <v>Quads[Exercise]</v>
      </c>
      <c r="E18" s="83" t="e">
        <f t="array" ref="E18">INDEX(Links[Link],MATCH(C18,Links[Exercise],0))</f>
        <v>#N/A</v>
      </c>
      <c r="F18" s="90" t="e">
        <f t="shared" si="9"/>
        <v>#N/A</v>
      </c>
      <c r="G18" s="93"/>
      <c r="H18" s="110">
        <f t="shared" si="0"/>
        <v>0</v>
      </c>
      <c r="I18" s="111">
        <v>3</v>
      </c>
      <c r="J18" s="111">
        <f t="shared" si="1"/>
        <v>0</v>
      </c>
      <c r="K18" s="111" t="s">
        <v>11</v>
      </c>
      <c r="L18" s="111"/>
      <c r="M18" s="73"/>
      <c r="N18" s="112">
        <f t="shared" si="2"/>
        <v>0</v>
      </c>
      <c r="O18" s="111">
        <f>I18</f>
        <v>3</v>
      </c>
      <c r="P18" s="111">
        <f t="shared" si="3"/>
        <v>0</v>
      </c>
      <c r="Q18" s="111" t="s">
        <v>11</v>
      </c>
      <c r="R18" s="111"/>
      <c r="S18" s="73"/>
      <c r="T18" s="113">
        <f t="shared" si="4"/>
        <v>0</v>
      </c>
      <c r="U18" s="111">
        <f>O18</f>
        <v>3</v>
      </c>
      <c r="V18" s="111">
        <f t="shared" si="5"/>
        <v>0</v>
      </c>
      <c r="W18" s="111" t="s">
        <v>12</v>
      </c>
      <c r="X18" s="111"/>
      <c r="Y18" s="73"/>
      <c r="Z18" s="112">
        <f t="shared" si="6"/>
        <v>0</v>
      </c>
      <c r="AA18" s="111">
        <f>U18</f>
        <v>3</v>
      </c>
      <c r="AB18" s="111">
        <f t="shared" si="7"/>
        <v>0</v>
      </c>
      <c r="AC18" s="111" t="s">
        <v>13</v>
      </c>
      <c r="AD18" s="111"/>
      <c r="AE18" s="73"/>
      <c r="AF18" s="112">
        <f t="shared" si="8"/>
        <v>0</v>
      </c>
      <c r="AG18" s="111">
        <v>2</v>
      </c>
      <c r="AH18" s="114">
        <f t="shared" si="10"/>
        <v>0</v>
      </c>
      <c r="AI18" s="73" t="s">
        <v>14</v>
      </c>
    </row>
    <row r="19" spans="1:35" ht="19.5" thickBot="1" x14ac:dyDescent="0.3">
      <c r="B19" s="72" t="s">
        <v>103</v>
      </c>
      <c r="C19" s="39"/>
      <c r="D19" s="39"/>
      <c r="E19" s="39"/>
      <c r="F19" s="14"/>
      <c r="G19" s="71"/>
      <c r="H19" s="175" t="s">
        <v>1</v>
      </c>
      <c r="I19" s="176"/>
      <c r="J19" s="176"/>
      <c r="K19" s="176"/>
      <c r="L19" s="176"/>
      <c r="M19" s="177"/>
      <c r="N19" s="178" t="s">
        <v>2</v>
      </c>
      <c r="O19" s="179"/>
      <c r="P19" s="179"/>
      <c r="Q19" s="179"/>
      <c r="R19" s="179"/>
      <c r="S19" s="180"/>
      <c r="T19" s="166" t="s">
        <v>3</v>
      </c>
      <c r="U19" s="167"/>
      <c r="V19" s="167"/>
      <c r="W19" s="167"/>
      <c r="X19" s="167"/>
      <c r="Y19" s="168"/>
      <c r="Z19" s="169" t="s">
        <v>4</v>
      </c>
      <c r="AA19" s="170"/>
      <c r="AB19" s="170"/>
      <c r="AC19" s="170"/>
      <c r="AD19" s="170"/>
      <c r="AE19" s="171"/>
      <c r="AF19" s="172" t="s">
        <v>5</v>
      </c>
      <c r="AG19" s="173"/>
      <c r="AH19" s="173"/>
      <c r="AI19" s="174"/>
    </row>
    <row r="20" spans="1:35" ht="15.75" thickBot="1" x14ac:dyDescent="0.3">
      <c r="B20" s="39"/>
      <c r="C20" s="39"/>
      <c r="D20" s="39"/>
      <c r="E20" s="39"/>
      <c r="F20" s="14"/>
      <c r="G20" s="71"/>
      <c r="H20" s="97" t="s">
        <v>88</v>
      </c>
      <c r="I20" s="98" t="s">
        <v>6</v>
      </c>
      <c r="J20" s="99" t="s">
        <v>7</v>
      </c>
      <c r="K20" s="74" t="s">
        <v>8</v>
      </c>
      <c r="L20" s="74" t="s">
        <v>9</v>
      </c>
      <c r="M20" s="100" t="s">
        <v>10</v>
      </c>
      <c r="N20" s="98" t="s">
        <v>88</v>
      </c>
      <c r="O20" s="98" t="s">
        <v>6</v>
      </c>
      <c r="P20" s="99" t="s">
        <v>7</v>
      </c>
      <c r="Q20" s="74" t="s">
        <v>8</v>
      </c>
      <c r="R20" s="74" t="s">
        <v>9</v>
      </c>
      <c r="S20" s="100" t="s">
        <v>10</v>
      </c>
      <c r="T20" s="98" t="s">
        <v>88</v>
      </c>
      <c r="U20" s="98" t="s">
        <v>6</v>
      </c>
      <c r="V20" s="99" t="s">
        <v>7</v>
      </c>
      <c r="W20" s="74" t="s">
        <v>8</v>
      </c>
      <c r="X20" s="74" t="s">
        <v>9</v>
      </c>
      <c r="Y20" s="100" t="s">
        <v>10</v>
      </c>
      <c r="Z20" s="98" t="s">
        <v>88</v>
      </c>
      <c r="AA20" s="98" t="s">
        <v>6</v>
      </c>
      <c r="AB20" s="99" t="s">
        <v>7</v>
      </c>
      <c r="AC20" s="115" t="s">
        <v>15</v>
      </c>
      <c r="AD20" s="74" t="s">
        <v>9</v>
      </c>
      <c r="AE20" s="100" t="s">
        <v>10</v>
      </c>
      <c r="AF20" s="98" t="s">
        <v>88</v>
      </c>
      <c r="AG20" s="98" t="s">
        <v>6</v>
      </c>
      <c r="AH20" s="99" t="s">
        <v>7</v>
      </c>
      <c r="AI20" s="62" t="s">
        <v>8</v>
      </c>
    </row>
    <row r="21" spans="1:35" ht="15.75" thickBot="1" x14ac:dyDescent="0.3">
      <c r="B21" s="76" t="s">
        <v>342</v>
      </c>
      <c r="C21" s="84" t="s">
        <v>86</v>
      </c>
      <c r="D21" s="60"/>
      <c r="E21" s="80"/>
      <c r="F21" s="84" t="s">
        <v>348</v>
      </c>
      <c r="G21" s="84" t="s">
        <v>349</v>
      </c>
      <c r="H21" s="74" t="s">
        <v>86</v>
      </c>
      <c r="I21" s="101"/>
      <c r="J21" s="101"/>
      <c r="K21" s="101"/>
      <c r="L21" s="101"/>
      <c r="M21" s="102"/>
      <c r="N21" s="103" t="s">
        <v>86</v>
      </c>
      <c r="O21" s="101"/>
      <c r="P21" s="101"/>
      <c r="Q21" s="101"/>
      <c r="R21" s="101"/>
      <c r="S21" s="102"/>
      <c r="T21" s="103" t="s">
        <v>86</v>
      </c>
      <c r="U21" s="101"/>
      <c r="V21" s="101"/>
      <c r="W21" s="101"/>
      <c r="X21" s="101"/>
      <c r="Y21" s="102"/>
      <c r="Z21" s="103" t="s">
        <v>86</v>
      </c>
      <c r="AA21" s="101"/>
      <c r="AB21" s="101"/>
      <c r="AC21" s="101"/>
      <c r="AD21" s="101"/>
      <c r="AE21" s="102"/>
      <c r="AF21" s="103" t="s">
        <v>86</v>
      </c>
      <c r="AG21" s="101"/>
      <c r="AH21" s="101"/>
      <c r="AI21" s="102"/>
    </row>
    <row r="22" spans="1:35" ht="15.75" thickBot="1" x14ac:dyDescent="0.3">
      <c r="B22" s="77" t="s">
        <v>107</v>
      </c>
      <c r="C22" s="85"/>
      <c r="D22" s="64" t="str">
        <f t="array" ref="D22">INDEX(Table_Name[Name List],MATCH(B22,Table_Name[Category],0))</f>
        <v>Front_Delts[Exercise]</v>
      </c>
      <c r="E22" s="81" t="e">
        <f t="array" ref="E22">INDEX(Links[Link],MATCH(C22,Links[Exercise],0))</f>
        <v>#N/A</v>
      </c>
      <c r="F22" s="88" t="e">
        <f>HYPERLINK(E22,"Video")</f>
        <v>#N/A</v>
      </c>
      <c r="G22" s="91"/>
      <c r="H22" s="104">
        <f t="shared" ref="H22:H29" si="11">C22</f>
        <v>0</v>
      </c>
      <c r="I22" s="105">
        <v>3</v>
      </c>
      <c r="J22" s="105">
        <f t="shared" ref="J22:J29" si="12">MROUND(((G22)*0.85),5)</f>
        <v>0</v>
      </c>
      <c r="K22" s="105" t="s">
        <v>11</v>
      </c>
      <c r="L22" s="105"/>
      <c r="M22" s="107"/>
      <c r="N22" s="104">
        <f t="shared" ref="N22:N29" si="13">C22</f>
        <v>0</v>
      </c>
      <c r="O22" s="105">
        <f>I22+(M38)</f>
        <v>3</v>
      </c>
      <c r="P22" s="105">
        <f t="shared" ref="P22:P29" si="14">MROUND((J22*1.05),5)</f>
        <v>0</v>
      </c>
      <c r="Q22" s="105" t="s">
        <v>11</v>
      </c>
      <c r="R22" s="105"/>
      <c r="S22" s="107"/>
      <c r="T22" s="108">
        <f t="shared" ref="T22:T29" si="15">C22</f>
        <v>0</v>
      </c>
      <c r="U22" s="105">
        <f>O22+(S38)</f>
        <v>3</v>
      </c>
      <c r="V22" s="105">
        <f t="shared" ref="V22:V29" si="16">MROUND((J22*1.075),5)</f>
        <v>0</v>
      </c>
      <c r="W22" s="105" t="s">
        <v>12</v>
      </c>
      <c r="X22" s="105"/>
      <c r="Y22" s="107"/>
      <c r="Z22" s="106">
        <f t="shared" ref="Z22:Z29" si="17">C22</f>
        <v>0</v>
      </c>
      <c r="AA22" s="105">
        <f>U22+(Y38)</f>
        <v>3</v>
      </c>
      <c r="AB22" s="105">
        <f t="shared" ref="AB22:AB29" si="18">MROUND((J22*1.1),5)</f>
        <v>0</v>
      </c>
      <c r="AC22" s="105" t="s">
        <v>13</v>
      </c>
      <c r="AD22" s="105"/>
      <c r="AE22" s="107"/>
      <c r="AF22" s="106">
        <f t="shared" ref="AF22:AF29" si="19">C22</f>
        <v>0</v>
      </c>
      <c r="AG22" s="105">
        <v>2</v>
      </c>
      <c r="AH22" s="109">
        <f t="shared" ref="AH22:AH29" si="20">J22</f>
        <v>0</v>
      </c>
      <c r="AI22" s="71" t="s">
        <v>14</v>
      </c>
    </row>
    <row r="23" spans="1:35" ht="15.75" thickBot="1" x14ac:dyDescent="0.3">
      <c r="B23" s="78" t="s">
        <v>17</v>
      </c>
      <c r="C23" s="86"/>
      <c r="D23" s="67" t="str">
        <f t="array" ref="D23">INDEX(Table_Name[Name List],MATCH(B23,Table_Name[Category],0))</f>
        <v>Triceps[Exercise]</v>
      </c>
      <c r="E23" s="82" t="e">
        <f t="array" ref="E23">INDEX(Links[Link],MATCH(C23,Links[Exercise],0))</f>
        <v>#N/A</v>
      </c>
      <c r="F23" s="89" t="e">
        <f t="shared" ref="F23:F29" si="21">HYPERLINK(E23,"Video")</f>
        <v>#N/A</v>
      </c>
      <c r="G23" s="92"/>
      <c r="H23" s="104">
        <f t="shared" si="11"/>
        <v>0</v>
      </c>
      <c r="I23" s="105">
        <v>3</v>
      </c>
      <c r="J23" s="105">
        <f t="shared" si="12"/>
        <v>0</v>
      </c>
      <c r="K23" s="105" t="s">
        <v>11</v>
      </c>
      <c r="L23" s="105"/>
      <c r="M23" s="107"/>
      <c r="N23" s="104">
        <f t="shared" si="13"/>
        <v>0</v>
      </c>
      <c r="O23" s="105">
        <f>I23+(M35)</f>
        <v>3</v>
      </c>
      <c r="P23" s="105">
        <f t="shared" si="14"/>
        <v>0</v>
      </c>
      <c r="Q23" s="105" t="s">
        <v>11</v>
      </c>
      <c r="R23" s="105"/>
      <c r="S23" s="107"/>
      <c r="T23" s="108">
        <f t="shared" si="15"/>
        <v>0</v>
      </c>
      <c r="U23" s="105">
        <f>O23+(S35)</f>
        <v>3</v>
      </c>
      <c r="V23" s="105">
        <f t="shared" si="16"/>
        <v>0</v>
      </c>
      <c r="W23" s="105" t="s">
        <v>12</v>
      </c>
      <c r="X23" s="105"/>
      <c r="Y23" s="107"/>
      <c r="Z23" s="106">
        <f t="shared" si="17"/>
        <v>0</v>
      </c>
      <c r="AA23" s="105">
        <f>U23+(Y35)</f>
        <v>3</v>
      </c>
      <c r="AB23" s="105">
        <f t="shared" si="18"/>
        <v>0</v>
      </c>
      <c r="AC23" s="105" t="s">
        <v>13</v>
      </c>
      <c r="AD23" s="105"/>
      <c r="AE23" s="107"/>
      <c r="AF23" s="106">
        <f t="shared" si="19"/>
        <v>0</v>
      </c>
      <c r="AG23" s="105">
        <v>2</v>
      </c>
      <c r="AH23" s="109">
        <f t="shared" si="20"/>
        <v>0</v>
      </c>
      <c r="AI23" s="71" t="s">
        <v>14</v>
      </c>
    </row>
    <row r="24" spans="1:35" ht="15.75" thickBot="1" x14ac:dyDescent="0.3">
      <c r="B24" s="78" t="s">
        <v>17</v>
      </c>
      <c r="C24" s="86"/>
      <c r="D24" s="67" t="str">
        <f t="array" ref="D24">INDEX(Table_Name[Name List],MATCH(B24,Table_Name[Category],0))</f>
        <v>Triceps[Exercise]</v>
      </c>
      <c r="E24" s="82" t="e">
        <f t="array" ref="E24">INDEX(Links[Link],MATCH(C24,Links[Exercise],0))</f>
        <v>#N/A</v>
      </c>
      <c r="F24" s="89" t="e">
        <f t="shared" si="21"/>
        <v>#N/A</v>
      </c>
      <c r="G24" s="92"/>
      <c r="H24" s="104">
        <f t="shared" si="11"/>
        <v>0</v>
      </c>
      <c r="I24" s="105">
        <v>3</v>
      </c>
      <c r="J24" s="105">
        <f t="shared" si="12"/>
        <v>0</v>
      </c>
      <c r="K24" s="105" t="s">
        <v>11</v>
      </c>
      <c r="L24" s="105"/>
      <c r="M24" s="107"/>
      <c r="N24" s="104">
        <f t="shared" si="13"/>
        <v>0</v>
      </c>
      <c r="O24" s="105">
        <f>I24+(M35)</f>
        <v>3</v>
      </c>
      <c r="P24" s="105">
        <f t="shared" si="14"/>
        <v>0</v>
      </c>
      <c r="Q24" s="105" t="s">
        <v>11</v>
      </c>
      <c r="R24" s="105"/>
      <c r="S24" s="107"/>
      <c r="T24" s="108">
        <f t="shared" si="15"/>
        <v>0</v>
      </c>
      <c r="U24" s="105">
        <f>O24+(S35)</f>
        <v>3</v>
      </c>
      <c r="V24" s="105">
        <f t="shared" si="16"/>
        <v>0</v>
      </c>
      <c r="W24" s="105" t="s">
        <v>12</v>
      </c>
      <c r="X24" s="105"/>
      <c r="Y24" s="107"/>
      <c r="Z24" s="106">
        <f t="shared" si="17"/>
        <v>0</v>
      </c>
      <c r="AA24" s="105">
        <f>U24+(Y35)</f>
        <v>3</v>
      </c>
      <c r="AB24" s="105">
        <f t="shared" si="18"/>
        <v>0</v>
      </c>
      <c r="AC24" s="105" t="s">
        <v>13</v>
      </c>
      <c r="AD24" s="105"/>
      <c r="AE24" s="107"/>
      <c r="AF24" s="106">
        <f t="shared" si="19"/>
        <v>0</v>
      </c>
      <c r="AG24" s="105">
        <v>2</v>
      </c>
      <c r="AH24" s="109">
        <f t="shared" si="20"/>
        <v>0</v>
      </c>
      <c r="AI24" s="71" t="s">
        <v>14</v>
      </c>
    </row>
    <row r="25" spans="1:35" ht="15.75" thickBot="1" x14ac:dyDescent="0.3">
      <c r="B25" s="78" t="s">
        <v>146</v>
      </c>
      <c r="C25" s="86"/>
      <c r="D25" s="67" t="str">
        <f t="array" ref="D25">INDEX(Table_Name[Name List],MATCH(B25,Table_Name[Category],0))</f>
        <v>Incline_Push[Exercise]</v>
      </c>
      <c r="E25" s="82" t="e">
        <f t="array" ref="E25">INDEX(Links[Link],MATCH(C25,Links[Exercise],0))</f>
        <v>#N/A</v>
      </c>
      <c r="F25" s="89" t="e">
        <f t="shared" si="21"/>
        <v>#N/A</v>
      </c>
      <c r="G25" s="92"/>
      <c r="H25" s="104">
        <f t="shared" si="11"/>
        <v>0</v>
      </c>
      <c r="I25" s="105">
        <v>3</v>
      </c>
      <c r="J25" s="105">
        <f t="shared" si="12"/>
        <v>0</v>
      </c>
      <c r="K25" s="105" t="s">
        <v>11</v>
      </c>
      <c r="L25" s="105"/>
      <c r="M25" s="107"/>
      <c r="N25" s="104">
        <f t="shared" si="13"/>
        <v>0</v>
      </c>
      <c r="O25" s="105">
        <f>I25+(M38)</f>
        <v>3</v>
      </c>
      <c r="P25" s="105">
        <f t="shared" si="14"/>
        <v>0</v>
      </c>
      <c r="Q25" s="105" t="s">
        <v>11</v>
      </c>
      <c r="R25" s="105"/>
      <c r="S25" s="107"/>
      <c r="T25" s="108">
        <f t="shared" si="15"/>
        <v>0</v>
      </c>
      <c r="U25" s="105">
        <f>O25+(S38)</f>
        <v>3</v>
      </c>
      <c r="V25" s="105">
        <f t="shared" si="16"/>
        <v>0</v>
      </c>
      <c r="W25" s="105" t="s">
        <v>12</v>
      </c>
      <c r="X25" s="105"/>
      <c r="Y25" s="107"/>
      <c r="Z25" s="106">
        <f t="shared" si="17"/>
        <v>0</v>
      </c>
      <c r="AA25" s="105">
        <f>U25+(Y38)</f>
        <v>3</v>
      </c>
      <c r="AB25" s="105">
        <f t="shared" si="18"/>
        <v>0</v>
      </c>
      <c r="AC25" s="105" t="s">
        <v>13</v>
      </c>
      <c r="AD25" s="105"/>
      <c r="AE25" s="107"/>
      <c r="AF25" s="106">
        <f t="shared" si="19"/>
        <v>0</v>
      </c>
      <c r="AG25" s="105">
        <v>2</v>
      </c>
      <c r="AH25" s="109">
        <f t="shared" si="20"/>
        <v>0</v>
      </c>
      <c r="AI25" s="71" t="s">
        <v>14</v>
      </c>
    </row>
    <row r="26" spans="1:35" ht="15.75" thickBot="1" x14ac:dyDescent="0.3">
      <c r="B26" s="78" t="s">
        <v>22</v>
      </c>
      <c r="C26" s="86"/>
      <c r="D26" s="67" t="str">
        <f t="array" ref="D26">INDEX(Table_Name[Name List],MATCH(B26,Table_Name[Category],0))</f>
        <v>Horizontal_Push[Exercise]</v>
      </c>
      <c r="E26" s="82" t="e">
        <f t="array" ref="E26">INDEX(Links[Link],MATCH(C26,Links[Exercise],0))</f>
        <v>#N/A</v>
      </c>
      <c r="F26" s="89" t="e">
        <f t="shared" si="21"/>
        <v>#N/A</v>
      </c>
      <c r="G26" s="92"/>
      <c r="H26" s="104">
        <f t="shared" si="11"/>
        <v>0</v>
      </c>
      <c r="I26" s="105">
        <v>3</v>
      </c>
      <c r="J26" s="105">
        <f t="shared" si="12"/>
        <v>0</v>
      </c>
      <c r="K26" s="105" t="s">
        <v>11</v>
      </c>
      <c r="L26" s="105"/>
      <c r="M26" s="107"/>
      <c r="N26" s="104">
        <f t="shared" si="13"/>
        <v>0</v>
      </c>
      <c r="O26" s="105">
        <f>I26+(M38)</f>
        <v>3</v>
      </c>
      <c r="P26" s="105">
        <f t="shared" si="14"/>
        <v>0</v>
      </c>
      <c r="Q26" s="105" t="s">
        <v>11</v>
      </c>
      <c r="R26" s="105"/>
      <c r="S26" s="107"/>
      <c r="T26" s="108">
        <f t="shared" si="15"/>
        <v>0</v>
      </c>
      <c r="U26" s="105">
        <f>O26+(S38)</f>
        <v>3</v>
      </c>
      <c r="V26" s="105">
        <f t="shared" si="16"/>
        <v>0</v>
      </c>
      <c r="W26" s="105" t="s">
        <v>12</v>
      </c>
      <c r="X26" s="105"/>
      <c r="Y26" s="107"/>
      <c r="Z26" s="106">
        <f t="shared" si="17"/>
        <v>0</v>
      </c>
      <c r="AA26" s="105">
        <f>U26+(Y38)</f>
        <v>3</v>
      </c>
      <c r="AB26" s="105">
        <f t="shared" si="18"/>
        <v>0</v>
      </c>
      <c r="AC26" s="105" t="s">
        <v>13</v>
      </c>
      <c r="AD26" s="105"/>
      <c r="AE26" s="107"/>
      <c r="AF26" s="106">
        <f t="shared" si="19"/>
        <v>0</v>
      </c>
      <c r="AG26" s="105">
        <v>2</v>
      </c>
      <c r="AH26" s="109">
        <f t="shared" si="20"/>
        <v>0</v>
      </c>
      <c r="AI26" s="71" t="s">
        <v>14</v>
      </c>
    </row>
    <row r="27" spans="1:35" ht="15.75" thickBot="1" x14ac:dyDescent="0.3">
      <c r="B27" s="78" t="s">
        <v>108</v>
      </c>
      <c r="C27" s="86"/>
      <c r="D27" s="67" t="str">
        <f t="array" ref="D27">INDEX(Table_Name[Name List],MATCH(B27,Table_Name[Category],0))</f>
        <v>Side_Delts[Exercise]</v>
      </c>
      <c r="E27" s="82" t="e">
        <f t="array" ref="E27">INDEX(Links[Link],MATCH(C27,Links[Exercise],0))</f>
        <v>#N/A</v>
      </c>
      <c r="F27" s="89" t="e">
        <f t="shared" si="21"/>
        <v>#N/A</v>
      </c>
      <c r="G27" s="92"/>
      <c r="H27" s="104">
        <f t="shared" si="11"/>
        <v>0</v>
      </c>
      <c r="I27" s="105">
        <v>3</v>
      </c>
      <c r="J27" s="105">
        <f t="shared" si="12"/>
        <v>0</v>
      </c>
      <c r="K27" s="105" t="s">
        <v>11</v>
      </c>
      <c r="L27" s="105"/>
      <c r="M27" s="107"/>
      <c r="N27" s="104">
        <f t="shared" si="13"/>
        <v>0</v>
      </c>
      <c r="O27" s="105">
        <f>I27+(M33)</f>
        <v>3</v>
      </c>
      <c r="P27" s="105">
        <f t="shared" si="14"/>
        <v>0</v>
      </c>
      <c r="Q27" s="105" t="s">
        <v>11</v>
      </c>
      <c r="R27" s="105"/>
      <c r="S27" s="107"/>
      <c r="T27" s="108">
        <f t="shared" si="15"/>
        <v>0</v>
      </c>
      <c r="U27" s="105">
        <f>O27+(S33)</f>
        <v>3</v>
      </c>
      <c r="V27" s="105">
        <f t="shared" si="16"/>
        <v>0</v>
      </c>
      <c r="W27" s="105" t="s">
        <v>12</v>
      </c>
      <c r="X27" s="105"/>
      <c r="Y27" s="107"/>
      <c r="Z27" s="106">
        <f t="shared" si="17"/>
        <v>0</v>
      </c>
      <c r="AA27" s="105">
        <f>U27+(Y33)</f>
        <v>3</v>
      </c>
      <c r="AB27" s="105">
        <f t="shared" si="18"/>
        <v>0</v>
      </c>
      <c r="AC27" s="105" t="s">
        <v>13</v>
      </c>
      <c r="AD27" s="105"/>
      <c r="AE27" s="107"/>
      <c r="AF27" s="106">
        <f t="shared" si="19"/>
        <v>0</v>
      </c>
      <c r="AG27" s="105">
        <v>2</v>
      </c>
      <c r="AH27" s="109">
        <f t="shared" si="20"/>
        <v>0</v>
      </c>
      <c r="AI27" s="71" t="s">
        <v>14</v>
      </c>
    </row>
    <row r="28" spans="1:35" ht="15.75" thickBot="1" x14ac:dyDescent="0.3">
      <c r="B28" s="78" t="s">
        <v>340</v>
      </c>
      <c r="C28" s="86"/>
      <c r="D28" s="67" t="str">
        <f t="array" ref="D28">INDEX(Table_Name[Name List],MATCH(B28,Table_Name[Category],0))</f>
        <v>Vertical_Back[Exercise]</v>
      </c>
      <c r="E28" s="82" t="e">
        <f t="array" ref="E28">INDEX(Links[Link],MATCH(C28,Links[Exercise],0))</f>
        <v>#N/A</v>
      </c>
      <c r="F28" s="89" t="e">
        <f t="shared" si="21"/>
        <v>#N/A</v>
      </c>
      <c r="G28" s="92"/>
      <c r="H28" s="104">
        <f t="shared" si="11"/>
        <v>0</v>
      </c>
      <c r="I28" s="105">
        <v>2</v>
      </c>
      <c r="J28" s="105">
        <f t="shared" si="12"/>
        <v>0</v>
      </c>
      <c r="K28" s="105" t="s">
        <v>11</v>
      </c>
      <c r="L28" s="105"/>
      <c r="M28" s="107"/>
      <c r="N28" s="104">
        <f t="shared" si="13"/>
        <v>0</v>
      </c>
      <c r="O28" s="105">
        <f>I28+(M37)</f>
        <v>2</v>
      </c>
      <c r="P28" s="105">
        <f t="shared" si="14"/>
        <v>0</v>
      </c>
      <c r="Q28" s="105" t="s">
        <v>11</v>
      </c>
      <c r="R28" s="105"/>
      <c r="S28" s="107"/>
      <c r="T28" s="108">
        <f t="shared" si="15"/>
        <v>0</v>
      </c>
      <c r="U28" s="105">
        <f>O28+(S37)</f>
        <v>2</v>
      </c>
      <c r="V28" s="105">
        <f t="shared" si="16"/>
        <v>0</v>
      </c>
      <c r="W28" s="105" t="s">
        <v>12</v>
      </c>
      <c r="X28" s="105"/>
      <c r="Y28" s="107"/>
      <c r="Z28" s="106">
        <f t="shared" si="17"/>
        <v>0</v>
      </c>
      <c r="AA28" s="105">
        <f>U28+(Y37)</f>
        <v>2</v>
      </c>
      <c r="AB28" s="105">
        <f t="shared" si="18"/>
        <v>0</v>
      </c>
      <c r="AC28" s="105" t="s">
        <v>13</v>
      </c>
      <c r="AD28" s="105"/>
      <c r="AE28" s="107"/>
      <c r="AF28" s="106">
        <f t="shared" si="19"/>
        <v>0</v>
      </c>
      <c r="AG28" s="105">
        <v>2</v>
      </c>
      <c r="AH28" s="109">
        <f t="shared" si="20"/>
        <v>0</v>
      </c>
      <c r="AI28" s="71" t="s">
        <v>14</v>
      </c>
    </row>
    <row r="29" spans="1:35" ht="15.75" thickBot="1" x14ac:dyDescent="0.3">
      <c r="B29" s="79" t="s">
        <v>111</v>
      </c>
      <c r="C29" s="87"/>
      <c r="D29" s="70" t="str">
        <f t="array" ref="D29">INDEX(Table_Name[Name List],MATCH(B29,Table_Name[Category],0))</f>
        <v>Glutes[Exercise]</v>
      </c>
      <c r="E29" s="82" t="e">
        <f t="array" ref="E29">INDEX(Links[Link],MATCH(C29,Links[Exercise],0))</f>
        <v>#N/A</v>
      </c>
      <c r="F29" s="90" t="e">
        <f t="shared" si="21"/>
        <v>#N/A</v>
      </c>
      <c r="G29" s="93"/>
      <c r="H29" s="110">
        <f t="shared" si="11"/>
        <v>0</v>
      </c>
      <c r="I29" s="111">
        <v>3</v>
      </c>
      <c r="J29" s="111">
        <f t="shared" si="12"/>
        <v>0</v>
      </c>
      <c r="K29" s="111" t="s">
        <v>11</v>
      </c>
      <c r="L29" s="111"/>
      <c r="M29" s="73"/>
      <c r="N29" s="112">
        <f t="shared" si="13"/>
        <v>0</v>
      </c>
      <c r="O29" s="111">
        <f>I29</f>
        <v>3</v>
      </c>
      <c r="P29" s="111">
        <f t="shared" si="14"/>
        <v>0</v>
      </c>
      <c r="Q29" s="111" t="s">
        <v>11</v>
      </c>
      <c r="R29" s="111"/>
      <c r="S29" s="73"/>
      <c r="T29" s="113">
        <f t="shared" si="15"/>
        <v>0</v>
      </c>
      <c r="U29" s="111">
        <f>O29</f>
        <v>3</v>
      </c>
      <c r="V29" s="111">
        <f t="shared" si="16"/>
        <v>0</v>
      </c>
      <c r="W29" s="111" t="s">
        <v>12</v>
      </c>
      <c r="X29" s="111"/>
      <c r="Y29" s="73"/>
      <c r="Z29" s="112">
        <f t="shared" si="17"/>
        <v>0</v>
      </c>
      <c r="AA29" s="111">
        <f>U29</f>
        <v>3</v>
      </c>
      <c r="AB29" s="111">
        <f t="shared" si="18"/>
        <v>0</v>
      </c>
      <c r="AC29" s="111" t="s">
        <v>13</v>
      </c>
      <c r="AD29" s="111"/>
      <c r="AE29" s="73"/>
      <c r="AF29" s="112">
        <f t="shared" si="19"/>
        <v>0</v>
      </c>
      <c r="AG29" s="111">
        <v>2</v>
      </c>
      <c r="AH29" s="114">
        <f t="shared" si="20"/>
        <v>0</v>
      </c>
      <c r="AI29" s="73" t="s">
        <v>14</v>
      </c>
    </row>
    <row r="30" spans="1:35" ht="19.5" thickBot="1" x14ac:dyDescent="0.3">
      <c r="B30" s="72" t="s">
        <v>104</v>
      </c>
      <c r="C30" s="39"/>
      <c r="D30" s="39"/>
      <c r="E30" s="39"/>
      <c r="F30" s="14"/>
      <c r="G30" s="71"/>
      <c r="H30" s="175" t="s">
        <v>1</v>
      </c>
      <c r="I30" s="176"/>
      <c r="J30" s="176"/>
      <c r="K30" s="176"/>
      <c r="L30" s="176"/>
      <c r="M30" s="177"/>
      <c r="N30" s="178" t="s">
        <v>2</v>
      </c>
      <c r="O30" s="179"/>
      <c r="P30" s="179"/>
      <c r="Q30" s="179"/>
      <c r="R30" s="179"/>
      <c r="S30" s="180"/>
      <c r="T30" s="166" t="s">
        <v>3</v>
      </c>
      <c r="U30" s="167"/>
      <c r="V30" s="167"/>
      <c r="W30" s="167"/>
      <c r="X30" s="167"/>
      <c r="Y30" s="168"/>
      <c r="Z30" s="169" t="s">
        <v>4</v>
      </c>
      <c r="AA30" s="170"/>
      <c r="AB30" s="170"/>
      <c r="AC30" s="170"/>
      <c r="AD30" s="170"/>
      <c r="AE30" s="171"/>
      <c r="AF30" s="172" t="s">
        <v>5</v>
      </c>
      <c r="AG30" s="173"/>
      <c r="AH30" s="173"/>
      <c r="AI30" s="174"/>
    </row>
    <row r="31" spans="1:35" ht="15.75" thickBot="1" x14ac:dyDescent="0.3">
      <c r="B31" s="39"/>
      <c r="C31" s="39"/>
      <c r="D31" s="39"/>
      <c r="E31" s="39"/>
      <c r="F31" s="14"/>
      <c r="G31" s="73"/>
      <c r="H31" s="103" t="s">
        <v>88</v>
      </c>
      <c r="I31" s="61" t="s">
        <v>6</v>
      </c>
      <c r="J31" s="99" t="s">
        <v>7</v>
      </c>
      <c r="K31" s="74" t="s">
        <v>8</v>
      </c>
      <c r="L31" s="74" t="s">
        <v>9</v>
      </c>
      <c r="M31" s="100" t="s">
        <v>10</v>
      </c>
      <c r="N31" s="98" t="s">
        <v>88</v>
      </c>
      <c r="O31" s="98" t="s">
        <v>6</v>
      </c>
      <c r="P31" s="99" t="s">
        <v>7</v>
      </c>
      <c r="Q31" s="74" t="s">
        <v>8</v>
      </c>
      <c r="R31" s="74" t="s">
        <v>9</v>
      </c>
      <c r="S31" s="100" t="s">
        <v>10</v>
      </c>
      <c r="T31" s="98" t="s">
        <v>88</v>
      </c>
      <c r="U31" s="98" t="s">
        <v>6</v>
      </c>
      <c r="V31" s="99" t="s">
        <v>7</v>
      </c>
      <c r="W31" s="74" t="s">
        <v>8</v>
      </c>
      <c r="X31" s="74" t="s">
        <v>9</v>
      </c>
      <c r="Y31" s="100" t="s">
        <v>10</v>
      </c>
      <c r="Z31" s="98" t="s">
        <v>88</v>
      </c>
      <c r="AA31" s="98" t="s">
        <v>6</v>
      </c>
      <c r="AB31" s="99" t="s">
        <v>7</v>
      </c>
      <c r="AC31" s="115" t="s">
        <v>15</v>
      </c>
      <c r="AD31" s="74" t="s">
        <v>9</v>
      </c>
      <c r="AE31" s="100" t="s">
        <v>10</v>
      </c>
      <c r="AF31" s="98" t="s">
        <v>88</v>
      </c>
      <c r="AG31" s="98" t="s">
        <v>6</v>
      </c>
      <c r="AH31" s="99" t="s">
        <v>7</v>
      </c>
      <c r="AI31" s="62" t="s">
        <v>8</v>
      </c>
    </row>
    <row r="32" spans="1:35" ht="15.75" thickBot="1" x14ac:dyDescent="0.3">
      <c r="B32" s="96" t="s">
        <v>343</v>
      </c>
      <c r="C32" s="95" t="s">
        <v>106</v>
      </c>
      <c r="D32" s="74"/>
      <c r="E32" s="74"/>
      <c r="F32" s="84" t="s">
        <v>348</v>
      </c>
      <c r="G32" s="84" t="s">
        <v>349</v>
      </c>
      <c r="H32" s="74" t="s">
        <v>106</v>
      </c>
      <c r="I32" s="101"/>
      <c r="J32" s="101"/>
      <c r="K32" s="101"/>
      <c r="L32" s="101"/>
      <c r="M32" s="102"/>
      <c r="N32" s="103" t="s">
        <v>106</v>
      </c>
      <c r="O32" s="101"/>
      <c r="P32" s="101"/>
      <c r="Q32" s="101"/>
      <c r="R32" s="101"/>
      <c r="S32" s="102"/>
      <c r="T32" s="103" t="s">
        <v>106</v>
      </c>
      <c r="U32" s="101"/>
      <c r="V32" s="101"/>
      <c r="W32" s="101"/>
      <c r="X32" s="101"/>
      <c r="Y32" s="102"/>
      <c r="Z32" s="103" t="s">
        <v>106</v>
      </c>
      <c r="AA32" s="101"/>
      <c r="AB32" s="101"/>
      <c r="AC32" s="101"/>
      <c r="AD32" s="101"/>
      <c r="AE32" s="101"/>
      <c r="AF32" s="103" t="s">
        <v>106</v>
      </c>
      <c r="AG32" s="101"/>
      <c r="AH32" s="101"/>
      <c r="AI32" s="102"/>
    </row>
    <row r="33" spans="2:35" ht="15.75" thickBot="1" x14ac:dyDescent="0.3">
      <c r="B33" s="95" t="s">
        <v>108</v>
      </c>
      <c r="C33" s="85"/>
      <c r="D33" s="94" t="str">
        <f t="array" ref="D33">INDEX(Table_Name[Name List],MATCH(B33,Table_Name[Category],0))</f>
        <v>Side_Delts[Exercise]</v>
      </c>
      <c r="E33" s="82" t="e">
        <f t="array" ref="E33">INDEX(Links[Link],MATCH(C33,Links[Exercise],0))</f>
        <v>#N/A</v>
      </c>
      <c r="F33" s="89" t="e">
        <f>HYPERLINK(E33,"Video")</f>
        <v>#N/A</v>
      </c>
      <c r="G33" s="92"/>
      <c r="H33" s="104">
        <f t="shared" ref="H33:H40" si="22">C33</f>
        <v>0</v>
      </c>
      <c r="I33" s="105">
        <v>3</v>
      </c>
      <c r="J33" s="105">
        <f t="shared" ref="J33:J40" si="23">MROUND(((G33)*0.85),5)</f>
        <v>0</v>
      </c>
      <c r="K33" s="105" t="s">
        <v>11</v>
      </c>
      <c r="L33" s="105"/>
      <c r="M33" s="107"/>
      <c r="N33" s="104">
        <f t="shared" ref="N33:N40" si="24">C33</f>
        <v>0</v>
      </c>
      <c r="O33" s="105">
        <f>I33+(S13)</f>
        <v>3</v>
      </c>
      <c r="P33" s="105">
        <f t="shared" ref="P33:P40" si="25">MROUND((J33*1.05),5)</f>
        <v>0</v>
      </c>
      <c r="Q33" s="105" t="s">
        <v>11</v>
      </c>
      <c r="R33" s="105"/>
      <c r="S33" s="107"/>
      <c r="T33" s="108">
        <f t="shared" ref="T33:T40" si="26">C33</f>
        <v>0</v>
      </c>
      <c r="U33" s="105">
        <f>O33+(Y13)</f>
        <v>3</v>
      </c>
      <c r="V33" s="105">
        <f t="shared" ref="V33:V40" si="27">MROUND((J33*1.075),5)</f>
        <v>0</v>
      </c>
      <c r="W33" s="105" t="s">
        <v>12</v>
      </c>
      <c r="X33" s="105"/>
      <c r="Y33" s="107"/>
      <c r="Z33" s="106">
        <f t="shared" ref="Z33:Z40" si="28">C33</f>
        <v>0</v>
      </c>
      <c r="AA33" s="105">
        <f>U33+(AE13)</f>
        <v>3</v>
      </c>
      <c r="AB33" s="105">
        <f t="shared" ref="AB33:AB40" si="29">MROUND((J33*1.1),5)</f>
        <v>0</v>
      </c>
      <c r="AC33" s="105" t="s">
        <v>13</v>
      </c>
      <c r="AD33" s="105"/>
      <c r="AE33" s="105"/>
      <c r="AF33" s="106">
        <f t="shared" ref="AF33:AF40" si="30">C33</f>
        <v>0</v>
      </c>
      <c r="AG33" s="105">
        <v>2</v>
      </c>
      <c r="AH33" s="109">
        <f t="shared" ref="AH33:AH40" si="31">MROUND((J33*0.5),5)</f>
        <v>0</v>
      </c>
      <c r="AI33" s="71" t="s">
        <v>14</v>
      </c>
    </row>
    <row r="34" spans="2:35" ht="15.75" thickBot="1" x14ac:dyDescent="0.3">
      <c r="B34" s="66" t="s">
        <v>18</v>
      </c>
      <c r="C34" s="86"/>
      <c r="D34" s="67" t="str">
        <f t="array" ref="D34">INDEX(Table_Name[Name List],MATCH(B34,Table_Name[Category],0))</f>
        <v>Biceps[Exercise]</v>
      </c>
      <c r="E34" s="82" t="e">
        <f t="array" ref="E34">INDEX(Links[Link],MATCH(C34,Links[Exercise],0))</f>
        <v>#N/A</v>
      </c>
      <c r="F34" s="89" t="e">
        <f t="shared" ref="F34:F40" si="32">HYPERLINK(E34,"Video")</f>
        <v>#N/A</v>
      </c>
      <c r="G34" s="92"/>
      <c r="H34" s="104">
        <f t="shared" si="22"/>
        <v>0</v>
      </c>
      <c r="I34" s="105">
        <v>3</v>
      </c>
      <c r="J34" s="105">
        <f t="shared" si="23"/>
        <v>0</v>
      </c>
      <c r="K34" s="105" t="s">
        <v>11</v>
      </c>
      <c r="L34" s="105"/>
      <c r="M34" s="107"/>
      <c r="N34" s="104">
        <f t="shared" si="24"/>
        <v>0</v>
      </c>
      <c r="O34" s="105">
        <f>I34+(S11)</f>
        <v>3</v>
      </c>
      <c r="P34" s="105">
        <f t="shared" si="25"/>
        <v>0</v>
      </c>
      <c r="Q34" s="105" t="s">
        <v>11</v>
      </c>
      <c r="R34" s="105"/>
      <c r="S34" s="107"/>
      <c r="T34" s="108">
        <f t="shared" si="26"/>
        <v>0</v>
      </c>
      <c r="U34" s="105">
        <f>O34+(Y11)</f>
        <v>3</v>
      </c>
      <c r="V34" s="105">
        <f t="shared" si="27"/>
        <v>0</v>
      </c>
      <c r="W34" s="105" t="s">
        <v>12</v>
      </c>
      <c r="X34" s="105"/>
      <c r="Y34" s="107"/>
      <c r="Z34" s="106">
        <f t="shared" si="28"/>
        <v>0</v>
      </c>
      <c r="AA34" s="105">
        <f>U34+(AE11)</f>
        <v>3</v>
      </c>
      <c r="AB34" s="105">
        <f t="shared" si="29"/>
        <v>0</v>
      </c>
      <c r="AC34" s="105" t="s">
        <v>13</v>
      </c>
      <c r="AD34" s="105"/>
      <c r="AE34" s="105"/>
      <c r="AF34" s="106">
        <f t="shared" si="30"/>
        <v>0</v>
      </c>
      <c r="AG34" s="105">
        <v>2</v>
      </c>
      <c r="AH34" s="109">
        <f t="shared" si="31"/>
        <v>0</v>
      </c>
      <c r="AI34" s="71" t="s">
        <v>14</v>
      </c>
    </row>
    <row r="35" spans="2:35" ht="15.75" thickBot="1" x14ac:dyDescent="0.3">
      <c r="B35" s="66" t="s">
        <v>17</v>
      </c>
      <c r="C35" s="86"/>
      <c r="D35" s="67" t="str">
        <f t="array" ref="D35">INDEX(Table_Name[Name List],MATCH(B35,Table_Name[Category],0))</f>
        <v>Triceps[Exercise]</v>
      </c>
      <c r="E35" s="82" t="e">
        <f t="array" ref="E35">INDEX(Links[Link],MATCH(C35,Links[Exercise],0))</f>
        <v>#N/A</v>
      </c>
      <c r="F35" s="89" t="e">
        <f t="shared" si="32"/>
        <v>#N/A</v>
      </c>
      <c r="G35" s="92"/>
      <c r="H35" s="104">
        <f t="shared" si="22"/>
        <v>0</v>
      </c>
      <c r="I35" s="105">
        <v>3</v>
      </c>
      <c r="J35" s="105">
        <f t="shared" si="23"/>
        <v>0</v>
      </c>
      <c r="K35" s="105" t="s">
        <v>11</v>
      </c>
      <c r="L35" s="105"/>
      <c r="M35" s="107"/>
      <c r="N35" s="104">
        <f t="shared" si="24"/>
        <v>0</v>
      </c>
      <c r="O35" s="105">
        <f>I35+(S23)</f>
        <v>3</v>
      </c>
      <c r="P35" s="105">
        <f t="shared" si="25"/>
        <v>0</v>
      </c>
      <c r="Q35" s="105" t="s">
        <v>11</v>
      </c>
      <c r="R35" s="105"/>
      <c r="S35" s="107"/>
      <c r="T35" s="108">
        <f t="shared" si="26"/>
        <v>0</v>
      </c>
      <c r="U35" s="105">
        <f>O35+(Y23)</f>
        <v>3</v>
      </c>
      <c r="V35" s="105">
        <f t="shared" si="27"/>
        <v>0</v>
      </c>
      <c r="W35" s="105" t="s">
        <v>12</v>
      </c>
      <c r="X35" s="105"/>
      <c r="Y35" s="107"/>
      <c r="Z35" s="106">
        <f t="shared" si="28"/>
        <v>0</v>
      </c>
      <c r="AA35" s="105">
        <f>U35+(AE23)</f>
        <v>3</v>
      </c>
      <c r="AB35" s="105">
        <f t="shared" si="29"/>
        <v>0</v>
      </c>
      <c r="AC35" s="105" t="s">
        <v>13</v>
      </c>
      <c r="AD35" s="105"/>
      <c r="AE35" s="105"/>
      <c r="AF35" s="106">
        <f t="shared" si="30"/>
        <v>0</v>
      </c>
      <c r="AG35" s="105">
        <v>2</v>
      </c>
      <c r="AH35" s="109">
        <f t="shared" si="31"/>
        <v>0</v>
      </c>
      <c r="AI35" s="71" t="s">
        <v>14</v>
      </c>
    </row>
    <row r="36" spans="2:35" ht="15.75" thickBot="1" x14ac:dyDescent="0.3">
      <c r="B36" s="66" t="s">
        <v>123</v>
      </c>
      <c r="C36" s="86"/>
      <c r="D36" s="67" t="str">
        <f t="array" ref="D36">INDEX(Table_Name[Name List],MATCH(B36,Table_Name[Category],0))</f>
        <v>Traps[Exercise]</v>
      </c>
      <c r="E36" s="82" t="e">
        <f t="array" ref="E36">INDEX(Links[Link],MATCH(C36,Links[Exercise],0))</f>
        <v>#N/A</v>
      </c>
      <c r="F36" s="89" t="e">
        <f t="shared" si="32"/>
        <v>#N/A</v>
      </c>
      <c r="G36" s="92"/>
      <c r="H36" s="104">
        <f t="shared" si="22"/>
        <v>0</v>
      </c>
      <c r="I36" s="105">
        <v>3</v>
      </c>
      <c r="J36" s="105">
        <f t="shared" si="23"/>
        <v>0</v>
      </c>
      <c r="K36" s="105" t="s">
        <v>11</v>
      </c>
      <c r="L36" s="105"/>
      <c r="M36" s="107"/>
      <c r="N36" s="104">
        <f t="shared" si="24"/>
        <v>0</v>
      </c>
      <c r="O36" s="105">
        <f>I36+(S13)</f>
        <v>3</v>
      </c>
      <c r="P36" s="105">
        <f t="shared" si="25"/>
        <v>0</v>
      </c>
      <c r="Q36" s="105" t="s">
        <v>11</v>
      </c>
      <c r="R36" s="105"/>
      <c r="S36" s="107"/>
      <c r="T36" s="108">
        <f t="shared" si="26"/>
        <v>0</v>
      </c>
      <c r="U36" s="105">
        <f>O36+(Y13)</f>
        <v>3</v>
      </c>
      <c r="V36" s="105">
        <f t="shared" si="27"/>
        <v>0</v>
      </c>
      <c r="W36" s="105" t="s">
        <v>12</v>
      </c>
      <c r="X36" s="105"/>
      <c r="Y36" s="107"/>
      <c r="Z36" s="106">
        <f t="shared" si="28"/>
        <v>0</v>
      </c>
      <c r="AA36" s="105">
        <f>U36+(AE13)</f>
        <v>3</v>
      </c>
      <c r="AB36" s="105">
        <f t="shared" si="29"/>
        <v>0</v>
      </c>
      <c r="AC36" s="105" t="s">
        <v>13</v>
      </c>
      <c r="AD36" s="105"/>
      <c r="AE36" s="105"/>
      <c r="AF36" s="106">
        <f t="shared" si="30"/>
        <v>0</v>
      </c>
      <c r="AG36" s="105">
        <v>2</v>
      </c>
      <c r="AH36" s="109">
        <f t="shared" si="31"/>
        <v>0</v>
      </c>
      <c r="AI36" s="71" t="s">
        <v>14</v>
      </c>
    </row>
    <row r="37" spans="2:35" ht="15.75" thickBot="1" x14ac:dyDescent="0.3">
      <c r="B37" s="66" t="s">
        <v>341</v>
      </c>
      <c r="C37" s="86"/>
      <c r="D37" s="67" t="str">
        <f t="array" ref="D37">INDEX(Table_Name[Name List],MATCH(B37,Table_Name[Category],0))</f>
        <v>Horizontal_Back[Exercise]</v>
      </c>
      <c r="E37" s="82" t="e">
        <f t="array" ref="E37">INDEX(Links[Link],MATCH(C37,Links[Exercise],0))</f>
        <v>#N/A</v>
      </c>
      <c r="F37" s="89" t="e">
        <f t="shared" si="32"/>
        <v>#N/A</v>
      </c>
      <c r="G37" s="92"/>
      <c r="H37" s="104">
        <f t="shared" si="22"/>
        <v>0</v>
      </c>
      <c r="I37" s="105">
        <v>3</v>
      </c>
      <c r="J37" s="105">
        <f t="shared" si="23"/>
        <v>0</v>
      </c>
      <c r="K37" s="105" t="s">
        <v>11</v>
      </c>
      <c r="L37" s="105"/>
      <c r="M37" s="107"/>
      <c r="N37" s="104">
        <f t="shared" si="24"/>
        <v>0</v>
      </c>
      <c r="O37" s="105">
        <f>I37+(S16)</f>
        <v>3</v>
      </c>
      <c r="P37" s="105">
        <f t="shared" si="25"/>
        <v>0</v>
      </c>
      <c r="Q37" s="105" t="s">
        <v>11</v>
      </c>
      <c r="R37" s="105"/>
      <c r="S37" s="107"/>
      <c r="T37" s="108">
        <f t="shared" si="26"/>
        <v>0</v>
      </c>
      <c r="U37" s="105">
        <f>O37+(Y16)</f>
        <v>3</v>
      </c>
      <c r="V37" s="105">
        <f t="shared" si="27"/>
        <v>0</v>
      </c>
      <c r="W37" s="105" t="s">
        <v>12</v>
      </c>
      <c r="X37" s="105"/>
      <c r="Y37" s="107"/>
      <c r="Z37" s="106">
        <f t="shared" si="28"/>
        <v>0</v>
      </c>
      <c r="AA37" s="105">
        <f>U37+(AE16)</f>
        <v>3</v>
      </c>
      <c r="AB37" s="105">
        <f t="shared" si="29"/>
        <v>0</v>
      </c>
      <c r="AC37" s="105" t="s">
        <v>13</v>
      </c>
      <c r="AD37" s="105"/>
      <c r="AE37" s="105"/>
      <c r="AF37" s="106">
        <f t="shared" si="30"/>
        <v>0</v>
      </c>
      <c r="AG37" s="105">
        <v>2</v>
      </c>
      <c r="AH37" s="109">
        <f t="shared" si="31"/>
        <v>0</v>
      </c>
      <c r="AI37" s="71" t="s">
        <v>14</v>
      </c>
    </row>
    <row r="38" spans="2:35" ht="15.75" thickBot="1" x14ac:dyDescent="0.3">
      <c r="B38" s="66" t="s">
        <v>146</v>
      </c>
      <c r="C38" s="86"/>
      <c r="D38" s="67" t="str">
        <f t="array" ref="D38">INDEX(Table_Name[Name List],MATCH(B38,Table_Name[Category],0))</f>
        <v>Incline_Push[Exercise]</v>
      </c>
      <c r="E38" s="82" t="e">
        <f t="array" ref="E38">INDEX(Links[Link],MATCH(C38,Links[Exercise],0))</f>
        <v>#N/A</v>
      </c>
      <c r="F38" s="89" t="e">
        <f t="shared" si="32"/>
        <v>#N/A</v>
      </c>
      <c r="G38" s="92"/>
      <c r="H38" s="104">
        <f t="shared" si="22"/>
        <v>0</v>
      </c>
      <c r="I38" s="105">
        <v>3</v>
      </c>
      <c r="J38" s="105">
        <f t="shared" si="23"/>
        <v>0</v>
      </c>
      <c r="K38" s="105" t="s">
        <v>11</v>
      </c>
      <c r="L38" s="105"/>
      <c r="M38" s="107"/>
      <c r="N38" s="104">
        <f t="shared" si="24"/>
        <v>0</v>
      </c>
      <c r="O38" s="105">
        <f>I38+(S17)</f>
        <v>3</v>
      </c>
      <c r="P38" s="105">
        <f t="shared" si="25"/>
        <v>0</v>
      </c>
      <c r="Q38" s="105" t="s">
        <v>11</v>
      </c>
      <c r="R38" s="105"/>
      <c r="S38" s="107"/>
      <c r="T38" s="108">
        <f t="shared" si="26"/>
        <v>0</v>
      </c>
      <c r="U38" s="105">
        <f>O38+(Y17)</f>
        <v>3</v>
      </c>
      <c r="V38" s="105">
        <f t="shared" si="27"/>
        <v>0</v>
      </c>
      <c r="W38" s="105" t="s">
        <v>12</v>
      </c>
      <c r="X38" s="105"/>
      <c r="Y38" s="107"/>
      <c r="Z38" s="106">
        <f t="shared" si="28"/>
        <v>0</v>
      </c>
      <c r="AA38" s="105">
        <f>U38+(AE17)</f>
        <v>3</v>
      </c>
      <c r="AB38" s="105">
        <f t="shared" si="29"/>
        <v>0</v>
      </c>
      <c r="AC38" s="105" t="s">
        <v>13</v>
      </c>
      <c r="AD38" s="105"/>
      <c r="AE38" s="105"/>
      <c r="AF38" s="106">
        <f t="shared" si="30"/>
        <v>0</v>
      </c>
      <c r="AG38" s="105">
        <v>2</v>
      </c>
      <c r="AH38" s="109">
        <f t="shared" si="31"/>
        <v>0</v>
      </c>
      <c r="AI38" s="71" t="s">
        <v>14</v>
      </c>
    </row>
    <row r="39" spans="2:35" x14ac:dyDescent="0.25">
      <c r="B39" s="66" t="s">
        <v>20</v>
      </c>
      <c r="C39" s="86"/>
      <c r="D39" s="67" t="str">
        <f t="array" ref="D39">INDEX(Table_Name[Name List],MATCH(B39,Table_Name[Category],0))</f>
        <v>Quads[Exercise]</v>
      </c>
      <c r="E39" s="82" t="e">
        <f t="array" ref="E39">INDEX(Links[Link],MATCH(C39,Links[Exercise],0))</f>
        <v>#N/A</v>
      </c>
      <c r="F39" s="89" t="e">
        <f t="shared" si="32"/>
        <v>#N/A</v>
      </c>
      <c r="G39" s="92"/>
      <c r="H39" s="104">
        <f t="shared" si="22"/>
        <v>0</v>
      </c>
      <c r="I39" s="105">
        <v>2</v>
      </c>
      <c r="J39" s="105">
        <f t="shared" si="23"/>
        <v>0</v>
      </c>
      <c r="K39" s="105" t="s">
        <v>11</v>
      </c>
      <c r="L39" s="105"/>
      <c r="M39" s="71"/>
      <c r="N39" s="104">
        <f t="shared" si="24"/>
        <v>0</v>
      </c>
      <c r="O39" s="105">
        <f>I39</f>
        <v>2</v>
      </c>
      <c r="P39" s="105">
        <f t="shared" si="25"/>
        <v>0</v>
      </c>
      <c r="Q39" s="105" t="s">
        <v>11</v>
      </c>
      <c r="R39" s="105"/>
      <c r="S39" s="71"/>
      <c r="T39" s="108">
        <f t="shared" si="26"/>
        <v>0</v>
      </c>
      <c r="U39" s="105">
        <f>O39</f>
        <v>2</v>
      </c>
      <c r="V39" s="105">
        <f t="shared" si="27"/>
        <v>0</v>
      </c>
      <c r="W39" s="105" t="s">
        <v>12</v>
      </c>
      <c r="X39" s="105"/>
      <c r="Y39" s="71"/>
      <c r="Z39" s="106">
        <f t="shared" si="28"/>
        <v>0</v>
      </c>
      <c r="AA39" s="105">
        <f>U39</f>
        <v>2</v>
      </c>
      <c r="AB39" s="105">
        <f t="shared" si="29"/>
        <v>0</v>
      </c>
      <c r="AC39" s="105" t="s">
        <v>13</v>
      </c>
      <c r="AD39" s="105"/>
      <c r="AE39" s="105"/>
      <c r="AF39" s="106">
        <f t="shared" si="30"/>
        <v>0</v>
      </c>
      <c r="AG39" s="105">
        <v>2</v>
      </c>
      <c r="AH39" s="109">
        <f t="shared" si="31"/>
        <v>0</v>
      </c>
      <c r="AI39" s="71" t="s">
        <v>14</v>
      </c>
    </row>
    <row r="40" spans="2:35" ht="15.75" thickBot="1" x14ac:dyDescent="0.3">
      <c r="B40" s="69" t="s">
        <v>110</v>
      </c>
      <c r="C40" s="87"/>
      <c r="D40" s="70" t="str">
        <f t="array" ref="D40">INDEX(Table_Name[Name List],MATCH(B40,Table_Name[Category],0))</f>
        <v>Hamstrings_Hip_Hinge[Exercise]</v>
      </c>
      <c r="E40" s="82" t="e">
        <f t="array" ref="E40">INDEX(Links[Link],MATCH(C40,Links[Exercise],0))</f>
        <v>#N/A</v>
      </c>
      <c r="F40" s="90" t="e">
        <f t="shared" si="32"/>
        <v>#N/A</v>
      </c>
      <c r="G40" s="93"/>
      <c r="H40" s="110">
        <f t="shared" si="22"/>
        <v>0</v>
      </c>
      <c r="I40" s="111">
        <v>2</v>
      </c>
      <c r="J40" s="111">
        <f t="shared" si="23"/>
        <v>0</v>
      </c>
      <c r="K40" s="111" t="s">
        <v>11</v>
      </c>
      <c r="L40" s="111"/>
      <c r="M40" s="73"/>
      <c r="N40" s="112">
        <f t="shared" si="24"/>
        <v>0</v>
      </c>
      <c r="O40" s="111">
        <f>I40</f>
        <v>2</v>
      </c>
      <c r="P40" s="111">
        <f t="shared" si="25"/>
        <v>0</v>
      </c>
      <c r="Q40" s="111" t="s">
        <v>11</v>
      </c>
      <c r="R40" s="111"/>
      <c r="S40" s="73"/>
      <c r="T40" s="113">
        <f t="shared" si="26"/>
        <v>0</v>
      </c>
      <c r="U40" s="111">
        <f>O40</f>
        <v>2</v>
      </c>
      <c r="V40" s="111">
        <f t="shared" si="27"/>
        <v>0</v>
      </c>
      <c r="W40" s="111" t="s">
        <v>12</v>
      </c>
      <c r="X40" s="111"/>
      <c r="Y40" s="73"/>
      <c r="Z40" s="112">
        <f t="shared" si="28"/>
        <v>0</v>
      </c>
      <c r="AA40" s="111">
        <f>U40</f>
        <v>2</v>
      </c>
      <c r="AB40" s="111">
        <f t="shared" si="29"/>
        <v>0</v>
      </c>
      <c r="AC40" s="111" t="s">
        <v>13</v>
      </c>
      <c r="AD40" s="111"/>
      <c r="AE40" s="111"/>
      <c r="AF40" s="112">
        <f t="shared" si="30"/>
        <v>0</v>
      </c>
      <c r="AG40" s="111">
        <v>2</v>
      </c>
      <c r="AH40" s="114">
        <f t="shared" si="31"/>
        <v>0</v>
      </c>
      <c r="AI40" s="73" t="s">
        <v>14</v>
      </c>
    </row>
    <row r="41" spans="2:35" x14ac:dyDescent="0.25">
      <c r="B41" s="39"/>
      <c r="C41" s="39"/>
      <c r="D41" s="39"/>
      <c r="E41" s="39"/>
      <c r="F41" s="75"/>
      <c r="G41" s="41"/>
      <c r="AC41" t="s">
        <v>0</v>
      </c>
    </row>
    <row r="42" spans="2:35" x14ac:dyDescent="0.25">
      <c r="B42" s="72" t="s">
        <v>105</v>
      </c>
      <c r="C42" s="39"/>
      <c r="D42" s="39"/>
      <c r="E42" s="39"/>
      <c r="F42" s="41"/>
      <c r="G42" s="41"/>
      <c r="I42" s="10"/>
      <c r="O42" s="10"/>
      <c r="U42" s="10"/>
      <c r="Y42" t="s">
        <v>0</v>
      </c>
      <c r="Z42" t="s">
        <v>0</v>
      </c>
      <c r="AA42" s="10"/>
      <c r="AG42" s="10"/>
    </row>
    <row r="43" spans="2:35" x14ac:dyDescent="0.25">
      <c r="B43" s="39"/>
      <c r="C43" s="39"/>
      <c r="D43" s="39"/>
      <c r="E43" s="39"/>
      <c r="F43" s="41"/>
      <c r="G43" s="41"/>
      <c r="AB43" t="s">
        <v>0</v>
      </c>
    </row>
    <row r="44" spans="2:35" x14ac:dyDescent="0.25">
      <c r="G44" t="s">
        <v>0</v>
      </c>
      <c r="H44" t="s">
        <v>0</v>
      </c>
    </row>
    <row r="45" spans="2:35" x14ac:dyDescent="0.25">
      <c r="B45" t="s">
        <v>0</v>
      </c>
    </row>
    <row r="46" spans="2:35" x14ac:dyDescent="0.25">
      <c r="G46" t="s">
        <v>0</v>
      </c>
      <c r="N46" t="s">
        <v>0</v>
      </c>
      <c r="AE46" t="s">
        <v>0</v>
      </c>
    </row>
    <row r="80" spans="5:5" x14ac:dyDescent="0.25">
      <c r="E80" s="45"/>
    </row>
    <row r="81" spans="1:8" x14ac:dyDescent="0.25">
      <c r="E81" s="45"/>
    </row>
    <row r="82" spans="1:8" x14ac:dyDescent="0.25">
      <c r="E82" s="45"/>
    </row>
    <row r="83" spans="1:8" x14ac:dyDescent="0.25">
      <c r="E83" s="45"/>
    </row>
    <row r="84" spans="1:8" hidden="1" x14ac:dyDescent="0.25">
      <c r="C84" t="s">
        <v>21</v>
      </c>
      <c r="E84" s="45"/>
    </row>
    <row r="85" spans="1:8" hidden="1" x14ac:dyDescent="0.25">
      <c r="C85">
        <v>1</v>
      </c>
      <c r="E85" s="45"/>
    </row>
    <row r="86" spans="1:8" hidden="1" x14ac:dyDescent="0.25">
      <c r="C86">
        <v>0</v>
      </c>
      <c r="E86" s="45"/>
    </row>
    <row r="87" spans="1:8" hidden="1" x14ac:dyDescent="0.25">
      <c r="C87">
        <v>-1</v>
      </c>
      <c r="E87" s="45"/>
    </row>
    <row r="88" spans="1:8" hidden="1" x14ac:dyDescent="0.25">
      <c r="E88" s="45"/>
    </row>
    <row r="89" spans="1:8" hidden="1" x14ac:dyDescent="0.25">
      <c r="E89" s="45"/>
    </row>
    <row r="90" spans="1:8" hidden="1" x14ac:dyDescent="0.25">
      <c r="E90" s="45"/>
    </row>
    <row r="91" spans="1:8" hidden="1" x14ac:dyDescent="0.25">
      <c r="E91" s="45"/>
      <c r="F91" s="10"/>
      <c r="G91" s="10"/>
      <c r="H91" s="10"/>
    </row>
    <row r="92" spans="1:8" hidden="1" x14ac:dyDescent="0.25">
      <c r="A92" s="38" t="s">
        <v>77</v>
      </c>
      <c r="B92" s="49" t="s">
        <v>88</v>
      </c>
      <c r="C92" s="53" t="s">
        <v>297</v>
      </c>
      <c r="D92" s="10"/>
      <c r="E92" s="45"/>
      <c r="H92" s="14"/>
    </row>
    <row r="93" spans="1:8" hidden="1" x14ac:dyDescent="0.25">
      <c r="A93" s="14"/>
      <c r="B93" s="54" t="s">
        <v>112</v>
      </c>
      <c r="C93" s="49" t="s">
        <v>181</v>
      </c>
      <c r="D93" s="39"/>
      <c r="E93" s="45"/>
      <c r="H93" s="14"/>
    </row>
    <row r="94" spans="1:8" hidden="1" x14ac:dyDescent="0.25">
      <c r="A94" s="14"/>
      <c r="B94" s="54" t="s">
        <v>79</v>
      </c>
      <c r="C94" s="49" t="s">
        <v>182</v>
      </c>
      <c r="D94" s="39"/>
      <c r="E94" s="45"/>
      <c r="H94" s="14"/>
    </row>
    <row r="95" spans="1:8" hidden="1" x14ac:dyDescent="0.25">
      <c r="A95" s="14"/>
      <c r="B95" s="54" t="s">
        <v>80</v>
      </c>
      <c r="C95" s="49" t="s">
        <v>183</v>
      </c>
      <c r="D95" s="39"/>
      <c r="E95" s="45"/>
      <c r="H95" s="14"/>
    </row>
    <row r="96" spans="1:8" hidden="1" x14ac:dyDescent="0.25">
      <c r="A96" s="14"/>
      <c r="B96" s="54" t="s">
        <v>78</v>
      </c>
      <c r="C96" s="49" t="s">
        <v>184</v>
      </c>
      <c r="D96" s="39"/>
      <c r="E96" s="45"/>
      <c r="H96" s="14"/>
    </row>
    <row r="97" spans="1:9" hidden="1" x14ac:dyDescent="0.25">
      <c r="A97" s="14"/>
      <c r="B97" s="54" t="s">
        <v>113</v>
      </c>
      <c r="C97" s="54" t="s">
        <v>185</v>
      </c>
      <c r="D97" s="41"/>
      <c r="E97" s="45"/>
      <c r="H97" s="14"/>
    </row>
    <row r="98" spans="1:9" hidden="1" x14ac:dyDescent="0.25">
      <c r="A98" s="14"/>
      <c r="B98" s="54" t="s">
        <v>81</v>
      </c>
      <c r="C98" s="49" t="s">
        <v>186</v>
      </c>
      <c r="D98" s="39"/>
      <c r="E98" s="45"/>
      <c r="H98" s="14"/>
    </row>
    <row r="99" spans="1:9" hidden="1" x14ac:dyDescent="0.25">
      <c r="A99" s="14"/>
      <c r="B99" s="54" t="s">
        <v>149</v>
      </c>
      <c r="C99" s="49" t="s">
        <v>187</v>
      </c>
      <c r="D99" s="39"/>
      <c r="E99" s="45"/>
      <c r="H99" s="39"/>
      <c r="I99" s="39"/>
    </row>
    <row r="100" spans="1:9" hidden="1" x14ac:dyDescent="0.25">
      <c r="A100" s="39"/>
      <c r="B100" s="49"/>
      <c r="C100" s="53"/>
      <c r="D100" s="10"/>
      <c r="E100" s="45"/>
    </row>
    <row r="101" spans="1:9" hidden="1" x14ac:dyDescent="0.25">
      <c r="A101" s="38" t="s">
        <v>19</v>
      </c>
      <c r="B101" s="50" t="s">
        <v>88</v>
      </c>
      <c r="C101" s="55" t="s">
        <v>297</v>
      </c>
      <c r="D101" s="44"/>
      <c r="E101" s="45"/>
      <c r="H101" s="38"/>
      <c r="I101" s="39"/>
    </row>
    <row r="102" spans="1:9" hidden="1" x14ac:dyDescent="0.25">
      <c r="A102" s="14"/>
      <c r="B102" s="54" t="s">
        <v>114</v>
      </c>
      <c r="C102" s="49" t="s">
        <v>188</v>
      </c>
      <c r="D102" s="39"/>
      <c r="E102" s="45"/>
      <c r="H102" s="14"/>
    </row>
    <row r="103" spans="1:9" hidden="1" x14ac:dyDescent="0.25">
      <c r="A103" s="14"/>
      <c r="B103" s="54" t="s">
        <v>75</v>
      </c>
      <c r="C103" s="49" t="s">
        <v>189</v>
      </c>
      <c r="D103" s="39"/>
      <c r="E103" s="45"/>
      <c r="H103" s="14"/>
    </row>
    <row r="104" spans="1:9" hidden="1" x14ac:dyDescent="0.25">
      <c r="A104" s="14"/>
      <c r="B104" s="54" t="s">
        <v>74</v>
      </c>
      <c r="C104" s="49" t="s">
        <v>190</v>
      </c>
      <c r="D104" s="39"/>
      <c r="E104" s="45"/>
      <c r="H104" s="14"/>
    </row>
    <row r="105" spans="1:9" hidden="1" x14ac:dyDescent="0.25">
      <c r="A105" s="14"/>
      <c r="B105" s="54" t="s">
        <v>76</v>
      </c>
      <c r="C105" s="49" t="s">
        <v>191</v>
      </c>
      <c r="D105" s="39"/>
      <c r="E105" s="45"/>
      <c r="H105" s="14"/>
    </row>
    <row r="106" spans="1:9" hidden="1" x14ac:dyDescent="0.25">
      <c r="A106" s="39"/>
      <c r="B106" s="49"/>
      <c r="C106" s="53"/>
      <c r="D106" s="10"/>
      <c r="E106" s="45"/>
      <c r="H106" s="39"/>
      <c r="I106" s="39"/>
    </row>
    <row r="107" spans="1:9" hidden="1" x14ac:dyDescent="0.25">
      <c r="A107" s="38" t="s">
        <v>18</v>
      </c>
      <c r="B107" s="50" t="s">
        <v>88</v>
      </c>
      <c r="C107" s="55" t="s">
        <v>297</v>
      </c>
      <c r="D107" s="44"/>
      <c r="E107" s="45"/>
      <c r="H107" s="38"/>
      <c r="I107" s="39"/>
    </row>
    <row r="108" spans="1:9" hidden="1" x14ac:dyDescent="0.25">
      <c r="A108" s="14"/>
      <c r="B108" s="54" t="s">
        <v>61</v>
      </c>
      <c r="C108" s="49" t="s">
        <v>192</v>
      </c>
      <c r="D108" s="39"/>
      <c r="E108" s="45"/>
      <c r="H108" s="14"/>
    </row>
    <row r="109" spans="1:9" hidden="1" x14ac:dyDescent="0.25">
      <c r="A109" s="14"/>
      <c r="B109" s="54" t="s">
        <v>62</v>
      </c>
      <c r="C109" s="49" t="s">
        <v>193</v>
      </c>
      <c r="D109" s="39"/>
      <c r="E109" s="45"/>
      <c r="H109" s="14"/>
    </row>
    <row r="110" spans="1:9" hidden="1" x14ac:dyDescent="0.25">
      <c r="A110" s="14"/>
      <c r="B110" s="54" t="s">
        <v>115</v>
      </c>
      <c r="C110" s="49" t="s">
        <v>194</v>
      </c>
      <c r="D110" s="39"/>
      <c r="E110" s="45"/>
      <c r="H110" s="14"/>
    </row>
    <row r="111" spans="1:9" hidden="1" x14ac:dyDescent="0.25">
      <c r="A111" s="14"/>
      <c r="B111" s="54" t="s">
        <v>63</v>
      </c>
      <c r="C111" s="49" t="s">
        <v>195</v>
      </c>
      <c r="D111" s="39"/>
      <c r="E111" s="45"/>
      <c r="H111" s="14"/>
    </row>
    <row r="112" spans="1:9" hidden="1" x14ac:dyDescent="0.25">
      <c r="A112" s="14"/>
      <c r="B112" s="54" t="s">
        <v>116</v>
      </c>
      <c r="C112" s="49" t="s">
        <v>196</v>
      </c>
      <c r="D112" s="39"/>
      <c r="E112" s="45"/>
      <c r="H112" s="14"/>
    </row>
    <row r="113" spans="1:9" hidden="1" x14ac:dyDescent="0.25">
      <c r="A113" s="14"/>
      <c r="B113" s="54" t="s">
        <v>117</v>
      </c>
      <c r="C113" s="49" t="s">
        <v>197</v>
      </c>
      <c r="D113" s="39"/>
      <c r="E113" s="45"/>
      <c r="H113" s="14"/>
    </row>
    <row r="114" spans="1:9" hidden="1" x14ac:dyDescent="0.25">
      <c r="A114" s="14"/>
      <c r="B114" s="54" t="s">
        <v>150</v>
      </c>
      <c r="C114" s="49" t="s">
        <v>198</v>
      </c>
      <c r="D114" s="39"/>
      <c r="E114" s="45"/>
      <c r="H114" s="14"/>
    </row>
    <row r="115" spans="1:9" hidden="1" x14ac:dyDescent="0.25">
      <c r="A115" s="14"/>
      <c r="B115" s="54" t="s">
        <v>151</v>
      </c>
      <c r="C115" s="49" t="s">
        <v>199</v>
      </c>
      <c r="D115" s="39"/>
      <c r="E115" s="45"/>
      <c r="H115" s="14"/>
    </row>
    <row r="116" spans="1:9" hidden="1" x14ac:dyDescent="0.25">
      <c r="A116" s="14"/>
      <c r="B116" s="54" t="s">
        <v>118</v>
      </c>
      <c r="C116" s="54" t="s">
        <v>200</v>
      </c>
      <c r="D116" s="41"/>
      <c r="E116" s="45"/>
      <c r="H116" s="14"/>
    </row>
    <row r="117" spans="1:9" hidden="1" x14ac:dyDescent="0.25">
      <c r="A117" s="14"/>
      <c r="B117" s="54" t="s">
        <v>119</v>
      </c>
      <c r="C117" s="49" t="s">
        <v>201</v>
      </c>
      <c r="D117" s="39"/>
      <c r="E117" s="45"/>
      <c r="H117" s="14"/>
    </row>
    <row r="118" spans="1:9" hidden="1" x14ac:dyDescent="0.25">
      <c r="A118" s="14"/>
      <c r="B118" s="54" t="s">
        <v>152</v>
      </c>
      <c r="C118" s="49" t="s">
        <v>202</v>
      </c>
      <c r="D118" s="39"/>
      <c r="E118" s="45"/>
      <c r="H118" s="14"/>
    </row>
    <row r="119" spans="1:9" hidden="1" x14ac:dyDescent="0.25">
      <c r="A119" s="39"/>
      <c r="B119" s="49"/>
      <c r="C119" s="51"/>
      <c r="E119" s="45"/>
      <c r="H119" s="39"/>
      <c r="I119" s="39"/>
    </row>
    <row r="120" spans="1:9" hidden="1" x14ac:dyDescent="0.25">
      <c r="A120" s="38" t="s">
        <v>120</v>
      </c>
      <c r="B120" s="50" t="s">
        <v>88</v>
      </c>
      <c r="C120" s="55" t="s">
        <v>297</v>
      </c>
      <c r="D120" s="44"/>
      <c r="E120" s="45"/>
      <c r="H120" s="38"/>
      <c r="I120" s="39"/>
    </row>
    <row r="121" spans="1:9" hidden="1" x14ac:dyDescent="0.25">
      <c r="A121" s="14"/>
      <c r="B121" s="54" t="s">
        <v>51</v>
      </c>
      <c r="C121" s="49" t="s">
        <v>203</v>
      </c>
      <c r="D121" s="39"/>
      <c r="E121" s="45"/>
      <c r="H121" s="14"/>
    </row>
    <row r="122" spans="1:9" hidden="1" x14ac:dyDescent="0.25">
      <c r="A122" s="14"/>
      <c r="B122" s="54" t="s">
        <v>121</v>
      </c>
      <c r="C122" s="49" t="s">
        <v>204</v>
      </c>
      <c r="D122" s="39"/>
      <c r="E122" s="45"/>
      <c r="H122" s="14"/>
    </row>
    <row r="123" spans="1:9" hidden="1" x14ac:dyDescent="0.25">
      <c r="A123" s="14"/>
      <c r="B123" s="54" t="s">
        <v>153</v>
      </c>
      <c r="C123" s="49" t="s">
        <v>205</v>
      </c>
      <c r="D123" s="39"/>
      <c r="E123" s="45"/>
      <c r="H123" s="14"/>
    </row>
    <row r="124" spans="1:9" hidden="1" x14ac:dyDescent="0.25">
      <c r="A124" s="14"/>
      <c r="B124" s="54" t="s">
        <v>50</v>
      </c>
      <c r="C124" s="49" t="s">
        <v>206</v>
      </c>
      <c r="D124" s="39"/>
      <c r="E124" s="45"/>
      <c r="H124" s="14"/>
    </row>
    <row r="125" spans="1:9" hidden="1" x14ac:dyDescent="0.25">
      <c r="A125" s="39"/>
      <c r="B125" s="49"/>
      <c r="C125" s="49"/>
      <c r="D125" s="39"/>
      <c r="E125" s="45"/>
      <c r="H125" s="39"/>
    </row>
    <row r="126" spans="1:9" hidden="1" x14ac:dyDescent="0.25">
      <c r="A126" s="40" t="s">
        <v>108</v>
      </c>
      <c r="B126" s="50" t="s">
        <v>88</v>
      </c>
      <c r="C126" s="55" t="s">
        <v>297</v>
      </c>
      <c r="D126" s="44"/>
      <c r="E126" s="45"/>
      <c r="H126" s="40"/>
    </row>
    <row r="127" spans="1:9" hidden="1" x14ac:dyDescent="0.25">
      <c r="A127" s="14"/>
      <c r="B127" s="54" t="s">
        <v>46</v>
      </c>
      <c r="C127" s="49" t="s">
        <v>207</v>
      </c>
      <c r="D127" s="39"/>
      <c r="E127" s="45"/>
      <c r="H127" s="14"/>
    </row>
    <row r="128" spans="1:9" hidden="1" x14ac:dyDescent="0.25">
      <c r="A128" s="14"/>
      <c r="B128" s="54" t="s">
        <v>47</v>
      </c>
      <c r="C128" s="49" t="s">
        <v>208</v>
      </c>
      <c r="D128" s="39"/>
      <c r="E128" s="45"/>
      <c r="H128" s="14"/>
    </row>
    <row r="129" spans="1:8" hidden="1" x14ac:dyDescent="0.25">
      <c r="A129" s="14"/>
      <c r="B129" s="54" t="s">
        <v>49</v>
      </c>
      <c r="C129" s="49" t="s">
        <v>209</v>
      </c>
      <c r="D129" s="39"/>
      <c r="E129" s="45"/>
      <c r="H129" s="14"/>
    </row>
    <row r="130" spans="1:8" hidden="1" x14ac:dyDescent="0.25">
      <c r="A130" s="14"/>
      <c r="B130" s="54" t="s">
        <v>48</v>
      </c>
      <c r="C130" s="49" t="s">
        <v>210</v>
      </c>
      <c r="D130" s="39"/>
      <c r="E130" s="45"/>
      <c r="H130" s="14"/>
    </row>
    <row r="131" spans="1:8" hidden="1" x14ac:dyDescent="0.25">
      <c r="A131" s="14"/>
      <c r="B131" s="54" t="s">
        <v>122</v>
      </c>
      <c r="C131" s="49" t="s">
        <v>211</v>
      </c>
      <c r="D131" s="39"/>
      <c r="E131" s="45"/>
      <c r="H131" s="14"/>
    </row>
    <row r="132" spans="1:8" hidden="1" x14ac:dyDescent="0.25">
      <c r="A132" s="39"/>
      <c r="B132" s="49"/>
      <c r="C132" s="49"/>
      <c r="D132" s="39"/>
      <c r="E132" s="45"/>
      <c r="H132" s="39"/>
    </row>
    <row r="133" spans="1:8" hidden="1" x14ac:dyDescent="0.25">
      <c r="A133" s="40" t="s">
        <v>123</v>
      </c>
      <c r="B133" s="50" t="s">
        <v>88</v>
      </c>
      <c r="C133" s="55" t="s">
        <v>297</v>
      </c>
      <c r="D133" s="44"/>
      <c r="E133" s="45"/>
      <c r="H133" s="40"/>
    </row>
    <row r="134" spans="1:8" hidden="1" x14ac:dyDescent="0.25">
      <c r="A134" s="14"/>
      <c r="B134" s="54" t="s">
        <v>154</v>
      </c>
      <c r="C134" s="49" t="s">
        <v>212</v>
      </c>
      <c r="D134" s="39"/>
      <c r="E134" s="45"/>
      <c r="H134" s="14"/>
    </row>
    <row r="135" spans="1:8" hidden="1" x14ac:dyDescent="0.25">
      <c r="A135" s="14"/>
      <c r="B135" s="54" t="s">
        <v>124</v>
      </c>
      <c r="C135" s="49" t="s">
        <v>213</v>
      </c>
      <c r="D135" s="39"/>
      <c r="E135" s="45"/>
      <c r="H135" s="14"/>
    </row>
    <row r="136" spans="1:8" hidden="1" x14ac:dyDescent="0.25">
      <c r="A136" s="14"/>
      <c r="B136" s="54" t="s">
        <v>125</v>
      </c>
      <c r="C136" s="49" t="s">
        <v>214</v>
      </c>
      <c r="D136" s="39"/>
      <c r="E136" s="45"/>
      <c r="H136" s="14"/>
    </row>
    <row r="137" spans="1:8" hidden="1" x14ac:dyDescent="0.25">
      <c r="A137" s="14"/>
      <c r="B137" s="54" t="s">
        <v>126</v>
      </c>
      <c r="C137" s="49" t="s">
        <v>215</v>
      </c>
      <c r="D137" s="39"/>
      <c r="E137" s="45"/>
      <c r="H137" s="14"/>
    </row>
    <row r="138" spans="1:8" hidden="1" x14ac:dyDescent="0.25">
      <c r="A138" s="14"/>
      <c r="B138" s="54"/>
      <c r="C138" s="49"/>
      <c r="D138" s="39"/>
      <c r="E138" s="45"/>
      <c r="H138" s="14"/>
    </row>
    <row r="139" spans="1:8" hidden="1" x14ac:dyDescent="0.25">
      <c r="A139" s="40" t="s">
        <v>52</v>
      </c>
      <c r="B139" s="50" t="s">
        <v>88</v>
      </c>
      <c r="C139" s="55" t="s">
        <v>297</v>
      </c>
      <c r="D139" s="44"/>
      <c r="E139" s="45"/>
      <c r="H139" s="40"/>
    </row>
    <row r="140" spans="1:8" hidden="1" x14ac:dyDescent="0.25">
      <c r="A140" s="14"/>
      <c r="B140" s="54" t="s">
        <v>155</v>
      </c>
      <c r="C140" s="49" t="s">
        <v>216</v>
      </c>
      <c r="D140" s="39"/>
      <c r="E140" s="45"/>
      <c r="H140" s="14"/>
    </row>
    <row r="141" spans="1:8" hidden="1" x14ac:dyDescent="0.25">
      <c r="A141" s="14"/>
      <c r="B141" s="54" t="s">
        <v>127</v>
      </c>
      <c r="C141" s="49" t="s">
        <v>217</v>
      </c>
      <c r="D141" s="39"/>
      <c r="E141" s="45"/>
      <c r="H141" s="14"/>
    </row>
    <row r="142" spans="1:8" hidden="1" x14ac:dyDescent="0.25">
      <c r="A142" s="14"/>
      <c r="B142" s="54" t="s">
        <v>56</v>
      </c>
      <c r="C142" s="49" t="s">
        <v>218</v>
      </c>
      <c r="D142" s="39"/>
      <c r="E142" s="45"/>
      <c r="H142" s="14"/>
    </row>
    <row r="143" spans="1:8" hidden="1" x14ac:dyDescent="0.25">
      <c r="A143" s="14"/>
      <c r="B143" s="54" t="s">
        <v>55</v>
      </c>
      <c r="C143" s="49" t="s">
        <v>219</v>
      </c>
      <c r="D143" s="39"/>
      <c r="E143" s="45"/>
      <c r="H143" s="14"/>
    </row>
    <row r="144" spans="1:8" hidden="1" x14ac:dyDescent="0.25">
      <c r="A144" s="14"/>
      <c r="B144" s="54" t="s">
        <v>156</v>
      </c>
      <c r="C144" s="49" t="s">
        <v>220</v>
      </c>
      <c r="D144" s="39"/>
      <c r="E144" s="45"/>
      <c r="H144" s="14"/>
    </row>
    <row r="145" spans="1:8" hidden="1" x14ac:dyDescent="0.25">
      <c r="A145" s="14"/>
      <c r="B145" s="54" t="s">
        <v>53</v>
      </c>
      <c r="C145" s="49" t="s">
        <v>221</v>
      </c>
      <c r="D145" s="39"/>
      <c r="E145" s="45"/>
      <c r="H145" s="14"/>
    </row>
    <row r="146" spans="1:8" hidden="1" x14ac:dyDescent="0.25">
      <c r="A146" s="14"/>
      <c r="B146" s="54" t="s">
        <v>128</v>
      </c>
      <c r="C146" s="49" t="s">
        <v>222</v>
      </c>
      <c r="D146" s="39"/>
      <c r="E146" s="45"/>
      <c r="H146" s="14"/>
    </row>
    <row r="147" spans="1:8" hidden="1" x14ac:dyDescent="0.25">
      <c r="A147" s="14"/>
      <c r="B147" s="54" t="s">
        <v>54</v>
      </c>
      <c r="C147" s="49" t="s">
        <v>223</v>
      </c>
      <c r="D147" s="39"/>
      <c r="E147" s="45"/>
      <c r="H147" s="14"/>
    </row>
    <row r="148" spans="1:8" hidden="1" x14ac:dyDescent="0.25">
      <c r="A148" s="39"/>
      <c r="B148" s="49"/>
      <c r="C148" s="49"/>
      <c r="D148" s="39"/>
      <c r="E148" s="45"/>
      <c r="H148" s="39"/>
    </row>
    <row r="149" spans="1:8" hidden="1" x14ac:dyDescent="0.25">
      <c r="A149" s="40" t="s">
        <v>57</v>
      </c>
      <c r="B149" s="50" t="s">
        <v>88</v>
      </c>
      <c r="C149" s="55" t="s">
        <v>297</v>
      </c>
      <c r="D149" s="44"/>
      <c r="E149" s="45"/>
      <c r="H149" s="40"/>
    </row>
    <row r="150" spans="1:8" hidden="1" x14ac:dyDescent="0.25">
      <c r="A150" s="14"/>
      <c r="B150" s="54" t="s">
        <v>59</v>
      </c>
      <c r="C150" s="49" t="s">
        <v>224</v>
      </c>
      <c r="D150" s="39"/>
      <c r="E150" s="45"/>
      <c r="H150" s="14"/>
    </row>
    <row r="151" spans="1:8" hidden="1" x14ac:dyDescent="0.25">
      <c r="A151" s="14"/>
      <c r="B151" s="54" t="s">
        <v>58</v>
      </c>
      <c r="C151" s="49" t="s">
        <v>225</v>
      </c>
      <c r="D151" s="39"/>
      <c r="E151" s="45"/>
      <c r="H151" s="14"/>
    </row>
    <row r="152" spans="1:8" hidden="1" x14ac:dyDescent="0.25">
      <c r="A152" s="14"/>
      <c r="B152" s="54" t="s">
        <v>157</v>
      </c>
      <c r="C152" s="49" t="s">
        <v>226</v>
      </c>
      <c r="D152" s="39"/>
      <c r="E152" s="45"/>
      <c r="H152" s="14"/>
    </row>
    <row r="153" spans="1:8" hidden="1" x14ac:dyDescent="0.25">
      <c r="A153" s="14"/>
      <c r="B153" s="54" t="s">
        <v>158</v>
      </c>
      <c r="C153" s="49" t="s">
        <v>227</v>
      </c>
      <c r="D153" s="39"/>
      <c r="E153" s="45"/>
      <c r="H153" s="14"/>
    </row>
    <row r="154" spans="1:8" hidden="1" x14ac:dyDescent="0.25">
      <c r="A154" s="14"/>
      <c r="B154" s="54" t="s">
        <v>60</v>
      </c>
      <c r="C154" s="49" t="s">
        <v>228</v>
      </c>
      <c r="D154" s="39"/>
      <c r="E154" s="45"/>
      <c r="H154" s="14"/>
    </row>
    <row r="155" spans="1:8" hidden="1" x14ac:dyDescent="0.25">
      <c r="A155" s="39"/>
      <c r="B155" s="49"/>
      <c r="C155" s="49"/>
      <c r="D155" s="39"/>
      <c r="E155" s="45"/>
      <c r="H155" s="39"/>
    </row>
    <row r="156" spans="1:8" hidden="1" x14ac:dyDescent="0.25">
      <c r="A156" s="38" t="s">
        <v>129</v>
      </c>
      <c r="B156" s="50" t="s">
        <v>88</v>
      </c>
      <c r="C156" s="55" t="s">
        <v>297</v>
      </c>
      <c r="D156" s="44"/>
      <c r="E156" s="45"/>
      <c r="H156" s="38"/>
    </row>
    <row r="157" spans="1:8" hidden="1" x14ac:dyDescent="0.25">
      <c r="A157" s="14"/>
      <c r="B157" s="54" t="s">
        <v>159</v>
      </c>
      <c r="C157" s="49" t="s">
        <v>229</v>
      </c>
      <c r="D157" s="39"/>
      <c r="E157" s="45"/>
      <c r="H157" s="14"/>
    </row>
    <row r="158" spans="1:8" hidden="1" x14ac:dyDescent="0.25">
      <c r="A158" s="14"/>
      <c r="B158" s="54" t="s">
        <v>160</v>
      </c>
      <c r="C158" s="49" t="s">
        <v>230</v>
      </c>
      <c r="D158" s="39"/>
      <c r="E158" s="45"/>
      <c r="H158" s="14"/>
    </row>
    <row r="159" spans="1:8" hidden="1" x14ac:dyDescent="0.25">
      <c r="A159" s="14"/>
      <c r="B159" s="54" t="s">
        <v>161</v>
      </c>
      <c r="C159" s="49" t="s">
        <v>231</v>
      </c>
      <c r="D159" s="39"/>
      <c r="E159" s="45"/>
      <c r="H159" s="14"/>
    </row>
    <row r="160" spans="1:8" hidden="1" x14ac:dyDescent="0.25">
      <c r="A160" s="14"/>
      <c r="B160" s="54" t="s">
        <v>42</v>
      </c>
      <c r="C160" s="49" t="s">
        <v>232</v>
      </c>
      <c r="D160" s="39"/>
      <c r="E160" s="45"/>
      <c r="H160" s="14"/>
    </row>
    <row r="161" spans="1:8" hidden="1" x14ac:dyDescent="0.25">
      <c r="A161" s="14"/>
      <c r="B161" s="54" t="s">
        <v>130</v>
      </c>
      <c r="C161" s="49" t="s">
        <v>233</v>
      </c>
      <c r="D161" s="39"/>
      <c r="E161" s="45"/>
      <c r="H161" s="14"/>
    </row>
    <row r="162" spans="1:8" hidden="1" x14ac:dyDescent="0.25">
      <c r="A162" s="14"/>
      <c r="B162" s="54" t="s">
        <v>131</v>
      </c>
      <c r="C162" s="49" t="s">
        <v>234</v>
      </c>
      <c r="D162" s="39"/>
      <c r="E162" s="45"/>
      <c r="H162" s="14"/>
    </row>
    <row r="163" spans="1:8" hidden="1" x14ac:dyDescent="0.25">
      <c r="A163" s="14"/>
      <c r="B163" s="54" t="s">
        <v>41</v>
      </c>
      <c r="C163" s="49" t="s">
        <v>235</v>
      </c>
      <c r="D163" s="39"/>
      <c r="E163" s="45"/>
      <c r="H163" s="14"/>
    </row>
    <row r="164" spans="1:8" hidden="1" x14ac:dyDescent="0.25">
      <c r="A164" s="14"/>
      <c r="B164" s="54" t="s">
        <v>132</v>
      </c>
      <c r="C164" s="49" t="s">
        <v>236</v>
      </c>
      <c r="D164" s="39"/>
      <c r="E164" s="45"/>
      <c r="H164" s="14"/>
    </row>
    <row r="165" spans="1:8" hidden="1" x14ac:dyDescent="0.25">
      <c r="A165" s="39"/>
      <c r="B165" s="49"/>
      <c r="C165" s="49"/>
      <c r="D165" s="39"/>
      <c r="E165" s="45"/>
      <c r="H165" s="39"/>
    </row>
    <row r="166" spans="1:8" hidden="1" x14ac:dyDescent="0.25">
      <c r="A166" s="40" t="s">
        <v>133</v>
      </c>
      <c r="B166" s="50" t="s">
        <v>88</v>
      </c>
      <c r="C166" s="55" t="s">
        <v>297</v>
      </c>
      <c r="D166" s="44"/>
      <c r="E166" s="45"/>
      <c r="H166" s="40"/>
    </row>
    <row r="167" spans="1:8" hidden="1" x14ac:dyDescent="0.25">
      <c r="A167" s="14"/>
      <c r="B167" s="54" t="s">
        <v>134</v>
      </c>
      <c r="C167" s="49" t="s">
        <v>237</v>
      </c>
      <c r="D167" s="39"/>
      <c r="E167" s="45"/>
      <c r="H167" s="14"/>
    </row>
    <row r="168" spans="1:8" hidden="1" x14ac:dyDescent="0.25">
      <c r="A168" s="14"/>
      <c r="B168" s="54" t="s">
        <v>162</v>
      </c>
      <c r="C168" s="49" t="s">
        <v>238</v>
      </c>
      <c r="D168" s="39"/>
      <c r="E168" s="45"/>
      <c r="H168" s="14"/>
    </row>
    <row r="169" spans="1:8" hidden="1" x14ac:dyDescent="0.25">
      <c r="A169" s="14"/>
      <c r="B169" s="54" t="s">
        <v>163</v>
      </c>
      <c r="C169" s="49" t="s">
        <v>239</v>
      </c>
      <c r="D169" s="39"/>
      <c r="E169" s="45"/>
      <c r="H169" s="14"/>
    </row>
    <row r="170" spans="1:8" hidden="1" x14ac:dyDescent="0.25">
      <c r="A170" s="14"/>
      <c r="B170" s="54" t="s">
        <v>164</v>
      </c>
      <c r="C170" s="49" t="s">
        <v>240</v>
      </c>
      <c r="D170" s="39"/>
      <c r="E170" s="45"/>
      <c r="H170" s="14"/>
    </row>
    <row r="171" spans="1:8" hidden="1" x14ac:dyDescent="0.25">
      <c r="A171" s="14"/>
      <c r="B171" s="54" t="s">
        <v>165</v>
      </c>
      <c r="C171" s="49" t="s">
        <v>241</v>
      </c>
      <c r="D171" s="39"/>
      <c r="E171" s="45"/>
      <c r="H171" s="14"/>
    </row>
    <row r="172" spans="1:8" hidden="1" x14ac:dyDescent="0.25">
      <c r="A172" s="14"/>
      <c r="B172" s="54" t="s">
        <v>166</v>
      </c>
      <c r="C172" s="54" t="s">
        <v>242</v>
      </c>
      <c r="D172" s="41"/>
      <c r="E172" s="45"/>
      <c r="H172" s="14"/>
    </row>
    <row r="173" spans="1:8" hidden="1" x14ac:dyDescent="0.25">
      <c r="A173" s="14"/>
      <c r="B173" s="54" t="s">
        <v>167</v>
      </c>
      <c r="C173" s="54" t="s">
        <v>243</v>
      </c>
      <c r="D173" s="41"/>
      <c r="E173" s="45"/>
      <c r="H173" s="14"/>
    </row>
    <row r="174" spans="1:8" hidden="1" x14ac:dyDescent="0.25">
      <c r="A174" s="14"/>
      <c r="B174" s="54" t="s">
        <v>43</v>
      </c>
      <c r="C174" s="49" t="s">
        <v>244</v>
      </c>
      <c r="D174" s="39"/>
      <c r="E174" s="45"/>
      <c r="H174" s="14"/>
    </row>
    <row r="175" spans="1:8" hidden="1" x14ac:dyDescent="0.25">
      <c r="A175" s="14"/>
      <c r="B175" s="54" t="s">
        <v>168</v>
      </c>
      <c r="C175" s="54" t="s">
        <v>245</v>
      </c>
      <c r="D175" s="41"/>
      <c r="E175" s="45"/>
      <c r="H175" s="14"/>
    </row>
    <row r="176" spans="1:8" hidden="1" x14ac:dyDescent="0.25">
      <c r="A176" s="14"/>
      <c r="B176" s="54" t="s">
        <v>169</v>
      </c>
      <c r="C176" s="54" t="s">
        <v>246</v>
      </c>
      <c r="D176" s="41"/>
      <c r="E176" s="45"/>
      <c r="H176" s="14"/>
    </row>
    <row r="177" spans="1:8" hidden="1" x14ac:dyDescent="0.25">
      <c r="A177" s="14"/>
      <c r="B177" s="54" t="s">
        <v>44</v>
      </c>
      <c r="C177" s="49" t="s">
        <v>247</v>
      </c>
      <c r="D177" s="39"/>
      <c r="E177" s="45"/>
      <c r="H177" s="14"/>
    </row>
    <row r="178" spans="1:8" hidden="1" x14ac:dyDescent="0.25">
      <c r="A178" s="14"/>
      <c r="B178" s="54" t="s">
        <v>45</v>
      </c>
      <c r="C178" s="54" t="s">
        <v>248</v>
      </c>
      <c r="D178" s="41"/>
      <c r="E178" s="45"/>
      <c r="H178" s="14"/>
    </row>
    <row r="179" spans="1:8" hidden="1" x14ac:dyDescent="0.25">
      <c r="A179" s="39"/>
      <c r="B179" s="49"/>
      <c r="C179" s="49"/>
      <c r="D179" s="39"/>
      <c r="E179" s="45"/>
      <c r="H179" s="39"/>
    </row>
    <row r="180" spans="1:8" hidden="1" x14ac:dyDescent="0.25">
      <c r="A180" s="38" t="s">
        <v>20</v>
      </c>
      <c r="B180" s="50" t="s">
        <v>88</v>
      </c>
      <c r="C180" s="55" t="s">
        <v>297</v>
      </c>
      <c r="D180" s="44"/>
      <c r="E180" s="45"/>
      <c r="H180" s="38"/>
    </row>
    <row r="181" spans="1:8" hidden="1" x14ac:dyDescent="0.25">
      <c r="A181" s="14"/>
      <c r="B181" s="54" t="s">
        <v>64</v>
      </c>
      <c r="C181" s="49" t="s">
        <v>249</v>
      </c>
      <c r="D181" s="39"/>
      <c r="E181" s="45"/>
      <c r="H181" s="14"/>
    </row>
    <row r="182" spans="1:8" hidden="1" x14ac:dyDescent="0.25">
      <c r="A182" s="14"/>
      <c r="B182" s="54" t="s">
        <v>170</v>
      </c>
      <c r="C182" s="49" t="s">
        <v>250</v>
      </c>
      <c r="D182" s="39"/>
      <c r="E182" s="45"/>
      <c r="H182" s="14"/>
    </row>
    <row r="183" spans="1:8" hidden="1" x14ac:dyDescent="0.25">
      <c r="A183" s="14"/>
      <c r="B183" s="54" t="s">
        <v>171</v>
      </c>
      <c r="C183" s="49" t="s">
        <v>251</v>
      </c>
      <c r="D183" s="39"/>
      <c r="E183" s="45"/>
      <c r="H183" s="14"/>
    </row>
    <row r="184" spans="1:8" hidden="1" x14ac:dyDescent="0.25">
      <c r="A184" s="14"/>
      <c r="B184" s="54" t="s">
        <v>65</v>
      </c>
      <c r="C184" s="49" t="s">
        <v>252</v>
      </c>
      <c r="D184" s="39"/>
      <c r="E184" s="45"/>
      <c r="H184" s="14"/>
    </row>
    <row r="185" spans="1:8" hidden="1" x14ac:dyDescent="0.25">
      <c r="A185" s="14"/>
      <c r="B185" s="54" t="s">
        <v>135</v>
      </c>
      <c r="C185" s="49" t="s">
        <v>253</v>
      </c>
      <c r="D185" s="39"/>
      <c r="E185" s="45"/>
      <c r="H185" s="14"/>
    </row>
    <row r="186" spans="1:8" hidden="1" x14ac:dyDescent="0.25">
      <c r="A186" s="14"/>
      <c r="B186" s="54" t="s">
        <v>68</v>
      </c>
      <c r="C186" s="49" t="s">
        <v>254</v>
      </c>
      <c r="D186" s="39"/>
      <c r="E186" s="45"/>
      <c r="H186" s="14"/>
    </row>
    <row r="187" spans="1:8" hidden="1" x14ac:dyDescent="0.25">
      <c r="A187" s="14"/>
      <c r="B187" s="54" t="s">
        <v>172</v>
      </c>
      <c r="C187" s="49" t="s">
        <v>255</v>
      </c>
      <c r="D187" s="39"/>
      <c r="E187" s="45"/>
      <c r="H187" s="14"/>
    </row>
    <row r="188" spans="1:8" hidden="1" x14ac:dyDescent="0.25">
      <c r="A188" s="14"/>
      <c r="B188" s="54"/>
      <c r="C188" s="49"/>
      <c r="D188" s="39"/>
      <c r="E188" s="45"/>
      <c r="H188" s="14"/>
    </row>
    <row r="189" spans="1:8" hidden="1" x14ac:dyDescent="0.25">
      <c r="A189" s="40" t="s">
        <v>111</v>
      </c>
      <c r="B189" s="50" t="s">
        <v>88</v>
      </c>
      <c r="C189" s="55" t="s">
        <v>297</v>
      </c>
      <c r="D189" s="44"/>
      <c r="E189" s="45"/>
      <c r="H189" s="40"/>
    </row>
    <row r="190" spans="1:8" hidden="1" x14ac:dyDescent="0.25">
      <c r="A190" s="14"/>
      <c r="B190" s="54" t="s">
        <v>66</v>
      </c>
      <c r="C190" s="49" t="s">
        <v>256</v>
      </c>
      <c r="D190" s="39"/>
      <c r="E190" s="45"/>
      <c r="H190" s="14"/>
    </row>
    <row r="191" spans="1:8" hidden="1" x14ac:dyDescent="0.25">
      <c r="A191" s="14"/>
      <c r="B191" s="54" t="s">
        <v>67</v>
      </c>
      <c r="C191" s="49" t="s">
        <v>257</v>
      </c>
      <c r="D191" s="39"/>
      <c r="E191" s="45"/>
      <c r="H191" s="14"/>
    </row>
    <row r="192" spans="1:8" hidden="1" x14ac:dyDescent="0.25">
      <c r="A192" s="14"/>
      <c r="B192" s="54" t="s">
        <v>136</v>
      </c>
      <c r="C192" s="49" t="s">
        <v>258</v>
      </c>
      <c r="D192" s="39"/>
      <c r="E192" s="45"/>
      <c r="H192" s="14"/>
    </row>
    <row r="193" spans="1:8" hidden="1" x14ac:dyDescent="0.25">
      <c r="A193" s="14"/>
      <c r="B193" s="54" t="s">
        <v>173</v>
      </c>
      <c r="C193" s="49" t="s">
        <v>259</v>
      </c>
      <c r="D193" s="39"/>
      <c r="E193" s="45"/>
      <c r="H193" s="14"/>
    </row>
    <row r="194" spans="1:8" hidden="1" x14ac:dyDescent="0.25">
      <c r="A194" s="14"/>
      <c r="B194" s="54" t="s">
        <v>70</v>
      </c>
      <c r="C194" s="49" t="s">
        <v>260</v>
      </c>
      <c r="D194" s="39"/>
      <c r="E194" s="45"/>
      <c r="H194" s="14"/>
    </row>
    <row r="195" spans="1:8" hidden="1" x14ac:dyDescent="0.25">
      <c r="A195" s="14"/>
      <c r="B195" s="54" t="s">
        <v>69</v>
      </c>
      <c r="C195" s="49" t="s">
        <v>261</v>
      </c>
      <c r="D195" s="39"/>
      <c r="E195" s="45"/>
      <c r="H195" s="14"/>
    </row>
    <row r="196" spans="1:8" hidden="1" x14ac:dyDescent="0.25">
      <c r="A196" s="14"/>
      <c r="B196" s="54" t="s">
        <v>137</v>
      </c>
      <c r="C196" s="49" t="s">
        <v>262</v>
      </c>
      <c r="D196" s="39"/>
      <c r="E196" s="45"/>
      <c r="H196" s="14"/>
    </row>
    <row r="197" spans="1:8" hidden="1" x14ac:dyDescent="0.25">
      <c r="A197" s="14"/>
      <c r="B197" s="54" t="s">
        <v>174</v>
      </c>
      <c r="C197" s="49" t="s">
        <v>263</v>
      </c>
      <c r="D197" s="39"/>
      <c r="E197" s="45"/>
      <c r="H197" s="14"/>
    </row>
    <row r="198" spans="1:8" hidden="1" x14ac:dyDescent="0.25">
      <c r="A198" s="39"/>
      <c r="B198" s="49"/>
      <c r="C198" s="49"/>
      <c r="D198" s="39"/>
      <c r="E198" s="45"/>
      <c r="H198" s="39"/>
    </row>
    <row r="199" spans="1:8" hidden="1" x14ac:dyDescent="0.25">
      <c r="A199" s="40" t="s">
        <v>110</v>
      </c>
      <c r="B199" s="50" t="s">
        <v>88</v>
      </c>
      <c r="C199" s="55" t="s">
        <v>297</v>
      </c>
      <c r="D199" s="44"/>
      <c r="E199" s="45"/>
      <c r="H199" s="40"/>
    </row>
    <row r="200" spans="1:8" hidden="1" x14ac:dyDescent="0.25">
      <c r="A200" s="14"/>
      <c r="B200" s="54" t="s">
        <v>138</v>
      </c>
      <c r="C200" s="49" t="s">
        <v>264</v>
      </c>
      <c r="D200" s="39"/>
      <c r="E200" s="45"/>
      <c r="H200" s="14"/>
    </row>
    <row r="201" spans="1:8" hidden="1" x14ac:dyDescent="0.25">
      <c r="A201" s="14"/>
      <c r="B201" s="54" t="s">
        <v>71</v>
      </c>
      <c r="C201" s="49" t="s">
        <v>265</v>
      </c>
      <c r="D201" s="39"/>
      <c r="E201" s="45"/>
      <c r="H201" s="14"/>
    </row>
    <row r="202" spans="1:8" hidden="1" x14ac:dyDescent="0.25">
      <c r="A202" s="14"/>
      <c r="B202" s="54" t="s">
        <v>72</v>
      </c>
      <c r="C202" s="49" t="s">
        <v>266</v>
      </c>
      <c r="D202" s="39"/>
      <c r="E202" s="45"/>
      <c r="H202" s="14"/>
    </row>
    <row r="203" spans="1:8" hidden="1" x14ac:dyDescent="0.25">
      <c r="A203" s="14"/>
      <c r="B203" s="54" t="s">
        <v>139</v>
      </c>
      <c r="C203" s="49" t="s">
        <v>267</v>
      </c>
      <c r="D203" s="39"/>
      <c r="E203" s="45"/>
      <c r="H203" s="14"/>
    </row>
    <row r="204" spans="1:8" hidden="1" x14ac:dyDescent="0.25">
      <c r="A204" s="14"/>
      <c r="B204" s="49"/>
      <c r="C204" s="49"/>
      <c r="D204" s="39"/>
      <c r="E204" s="45"/>
      <c r="H204" s="14"/>
    </row>
    <row r="205" spans="1:8" hidden="1" x14ac:dyDescent="0.25">
      <c r="A205" s="40" t="s">
        <v>109</v>
      </c>
      <c r="B205" s="50" t="s">
        <v>88</v>
      </c>
      <c r="C205" s="55" t="s">
        <v>297</v>
      </c>
      <c r="D205" s="44"/>
      <c r="E205" s="45"/>
      <c r="H205" s="40"/>
    </row>
    <row r="206" spans="1:8" hidden="1" x14ac:dyDescent="0.25">
      <c r="A206" s="14"/>
      <c r="B206" s="54" t="s">
        <v>175</v>
      </c>
      <c r="C206" s="49" t="s">
        <v>268</v>
      </c>
      <c r="D206" s="39"/>
      <c r="E206" s="45"/>
      <c r="H206" s="14"/>
    </row>
    <row r="207" spans="1:8" hidden="1" x14ac:dyDescent="0.25">
      <c r="A207" s="14"/>
      <c r="B207" s="54" t="s">
        <v>73</v>
      </c>
      <c r="C207" s="49" t="s">
        <v>269</v>
      </c>
      <c r="D207" s="39"/>
      <c r="E207" s="45"/>
      <c r="H207" s="14"/>
    </row>
    <row r="208" spans="1:8" hidden="1" x14ac:dyDescent="0.25">
      <c r="A208" s="14"/>
      <c r="B208" s="54" t="s">
        <v>140</v>
      </c>
      <c r="C208" s="49" t="s">
        <v>270</v>
      </c>
      <c r="D208" s="39"/>
      <c r="E208" s="45"/>
      <c r="H208" s="14"/>
    </row>
    <row r="209" spans="1:8" hidden="1" x14ac:dyDescent="0.25">
      <c r="A209" s="39"/>
      <c r="B209" s="49"/>
      <c r="C209" s="49"/>
      <c r="D209" s="39"/>
      <c r="E209" s="45"/>
      <c r="H209" s="39"/>
    </row>
    <row r="210" spans="1:8" hidden="1" x14ac:dyDescent="0.25">
      <c r="A210" s="40" t="s">
        <v>37</v>
      </c>
      <c r="B210" s="50" t="s">
        <v>88</v>
      </c>
      <c r="C210" s="55" t="s">
        <v>297</v>
      </c>
      <c r="D210" s="44"/>
      <c r="E210" s="45"/>
      <c r="H210" s="40"/>
    </row>
    <row r="211" spans="1:8" hidden="1" x14ac:dyDescent="0.25">
      <c r="A211" s="14"/>
      <c r="B211" s="54" t="s">
        <v>141</v>
      </c>
      <c r="C211" s="49" t="s">
        <v>271</v>
      </c>
      <c r="D211" s="39"/>
      <c r="E211" s="45"/>
      <c r="H211" s="14"/>
    </row>
    <row r="212" spans="1:8" hidden="1" x14ac:dyDescent="0.25">
      <c r="A212" s="14"/>
      <c r="B212" s="54" t="s">
        <v>38</v>
      </c>
      <c r="C212" s="49" t="s">
        <v>272</v>
      </c>
      <c r="D212" s="39"/>
      <c r="E212" s="45"/>
      <c r="H212" s="14"/>
    </row>
    <row r="213" spans="1:8" hidden="1" x14ac:dyDescent="0.25">
      <c r="A213" s="14"/>
      <c r="B213" s="54" t="s">
        <v>39</v>
      </c>
      <c r="C213" s="49" t="s">
        <v>273</v>
      </c>
      <c r="D213" s="39"/>
      <c r="E213" s="45"/>
      <c r="H213" s="14"/>
    </row>
    <row r="214" spans="1:8" hidden="1" x14ac:dyDescent="0.25">
      <c r="A214" s="14"/>
      <c r="B214" s="54" t="s">
        <v>142</v>
      </c>
      <c r="C214" s="49" t="s">
        <v>274</v>
      </c>
      <c r="D214" s="39"/>
      <c r="E214" s="45"/>
      <c r="H214" s="14"/>
    </row>
    <row r="215" spans="1:8" hidden="1" x14ac:dyDescent="0.25">
      <c r="A215" s="14"/>
      <c r="B215" s="54" t="s">
        <v>40</v>
      </c>
      <c r="C215" s="49" t="s">
        <v>275</v>
      </c>
      <c r="D215" s="39"/>
      <c r="E215" s="45"/>
      <c r="H215" s="14"/>
    </row>
    <row r="216" spans="1:8" hidden="1" x14ac:dyDescent="0.25">
      <c r="A216" s="14"/>
      <c r="B216" s="54" t="s">
        <v>143</v>
      </c>
      <c r="C216" s="49" t="s">
        <v>276</v>
      </c>
      <c r="D216" s="39"/>
      <c r="E216" s="45"/>
      <c r="H216" s="14"/>
    </row>
    <row r="217" spans="1:8" hidden="1" x14ac:dyDescent="0.25">
      <c r="A217" s="14"/>
      <c r="B217" s="54" t="s">
        <v>144</v>
      </c>
      <c r="C217" s="49" t="s">
        <v>277</v>
      </c>
      <c r="D217" s="39"/>
      <c r="E217" s="45"/>
      <c r="H217" s="14"/>
    </row>
    <row r="218" spans="1:8" hidden="1" x14ac:dyDescent="0.25">
      <c r="A218" s="39"/>
      <c r="B218" s="49"/>
      <c r="C218" s="49"/>
      <c r="D218" s="39"/>
      <c r="E218" s="45"/>
      <c r="H218" s="39"/>
    </row>
    <row r="219" spans="1:8" hidden="1" x14ac:dyDescent="0.25">
      <c r="A219" s="40" t="s">
        <v>22</v>
      </c>
      <c r="B219" s="50" t="s">
        <v>88</v>
      </c>
      <c r="C219" s="55" t="s">
        <v>297</v>
      </c>
      <c r="D219" s="44"/>
      <c r="E219" s="45"/>
      <c r="H219" s="40"/>
    </row>
    <row r="220" spans="1:8" hidden="1" x14ac:dyDescent="0.25">
      <c r="A220" s="14"/>
      <c r="B220" s="54" t="s">
        <v>23</v>
      </c>
      <c r="C220" s="49" t="s">
        <v>278</v>
      </c>
      <c r="D220" s="39"/>
      <c r="E220" s="45"/>
      <c r="H220" s="14"/>
    </row>
    <row r="221" spans="1:8" hidden="1" x14ac:dyDescent="0.25">
      <c r="A221" s="14"/>
      <c r="B221" s="54" t="s">
        <v>25</v>
      </c>
      <c r="C221" s="49" t="s">
        <v>279</v>
      </c>
      <c r="D221" s="39"/>
      <c r="E221" s="45"/>
      <c r="H221" s="14"/>
    </row>
    <row r="222" spans="1:8" hidden="1" x14ac:dyDescent="0.25">
      <c r="A222" s="14"/>
      <c r="B222" s="54" t="s">
        <v>145</v>
      </c>
      <c r="C222" s="49" t="s">
        <v>280</v>
      </c>
      <c r="D222" s="39"/>
      <c r="E222" s="45"/>
      <c r="H222" s="14"/>
    </row>
    <row r="223" spans="1:8" hidden="1" x14ac:dyDescent="0.25">
      <c r="A223" s="14"/>
      <c r="B223" s="54" t="s">
        <v>24</v>
      </c>
      <c r="C223" s="49" t="s">
        <v>281</v>
      </c>
      <c r="D223" s="39"/>
      <c r="E223" s="45"/>
      <c r="H223" s="14"/>
    </row>
    <row r="224" spans="1:8" hidden="1" x14ac:dyDescent="0.25">
      <c r="A224" s="14"/>
      <c r="B224" s="56" t="s">
        <v>176</v>
      </c>
      <c r="C224" s="52" t="s">
        <v>282</v>
      </c>
      <c r="D224" s="14"/>
      <c r="E224" s="45"/>
      <c r="H224" s="14"/>
    </row>
    <row r="225" spans="1:8" hidden="1" x14ac:dyDescent="0.25">
      <c r="A225" s="14"/>
      <c r="B225" s="54" t="s">
        <v>26</v>
      </c>
      <c r="C225" s="49" t="s">
        <v>283</v>
      </c>
      <c r="D225" s="39"/>
      <c r="E225" s="45"/>
      <c r="H225" s="14"/>
    </row>
    <row r="226" spans="1:8" hidden="1" x14ac:dyDescent="0.25">
      <c r="A226" s="14"/>
      <c r="B226" s="54" t="s">
        <v>27</v>
      </c>
      <c r="C226" s="49" t="s">
        <v>284</v>
      </c>
      <c r="D226" s="39"/>
      <c r="E226" s="45"/>
      <c r="H226" s="14"/>
    </row>
    <row r="227" spans="1:8" hidden="1" x14ac:dyDescent="0.25">
      <c r="A227" s="39"/>
      <c r="B227" s="49"/>
      <c r="C227" s="49"/>
      <c r="D227" s="39"/>
      <c r="E227" s="45"/>
      <c r="H227" s="39"/>
    </row>
    <row r="228" spans="1:8" hidden="1" x14ac:dyDescent="0.25">
      <c r="A228" s="40" t="s">
        <v>146</v>
      </c>
      <c r="B228" s="50" t="s">
        <v>88</v>
      </c>
      <c r="C228" s="55" t="s">
        <v>297</v>
      </c>
      <c r="D228" s="44"/>
      <c r="E228" s="45"/>
      <c r="H228" s="40"/>
    </row>
    <row r="229" spans="1:8" hidden="1" x14ac:dyDescent="0.25">
      <c r="A229" s="14"/>
      <c r="B229" s="54" t="s">
        <v>29</v>
      </c>
      <c r="C229" s="54" t="s">
        <v>285</v>
      </c>
      <c r="D229" s="41"/>
      <c r="E229" s="45"/>
      <c r="H229" s="14"/>
    </row>
    <row r="230" spans="1:8" hidden="1" x14ac:dyDescent="0.25">
      <c r="A230" s="14"/>
      <c r="B230" s="54" t="s">
        <v>31</v>
      </c>
      <c r="C230" s="49" t="s">
        <v>286</v>
      </c>
      <c r="D230" s="39"/>
      <c r="E230" s="45"/>
      <c r="H230" s="14"/>
    </row>
    <row r="231" spans="1:8" hidden="1" x14ac:dyDescent="0.25">
      <c r="A231" s="14"/>
      <c r="B231" s="54" t="s">
        <v>28</v>
      </c>
      <c r="C231" s="49" t="s">
        <v>287</v>
      </c>
      <c r="D231" s="39"/>
      <c r="E231" s="45"/>
      <c r="H231" s="14"/>
    </row>
    <row r="232" spans="1:8" hidden="1" x14ac:dyDescent="0.25">
      <c r="A232" s="14"/>
      <c r="B232" s="54" t="s">
        <v>36</v>
      </c>
      <c r="C232" s="49" t="s">
        <v>288</v>
      </c>
      <c r="D232" s="39"/>
      <c r="E232" s="45"/>
      <c r="H232" s="14"/>
    </row>
    <row r="233" spans="1:8" hidden="1" x14ac:dyDescent="0.25">
      <c r="A233" s="14"/>
      <c r="B233" s="54" t="s">
        <v>30</v>
      </c>
      <c r="C233" s="49" t="s">
        <v>289</v>
      </c>
      <c r="D233" s="39"/>
      <c r="E233" s="45"/>
      <c r="H233" s="14"/>
    </row>
    <row r="234" spans="1:8" hidden="1" x14ac:dyDescent="0.25">
      <c r="A234" s="14"/>
      <c r="B234" s="56" t="s">
        <v>147</v>
      </c>
      <c r="C234" s="52" t="s">
        <v>290</v>
      </c>
      <c r="D234" s="14"/>
      <c r="E234" s="45"/>
      <c r="H234" s="14"/>
    </row>
    <row r="235" spans="1:8" hidden="1" x14ac:dyDescent="0.25">
      <c r="A235" s="14"/>
      <c r="B235" s="54"/>
      <c r="C235" s="49"/>
      <c r="D235" s="39"/>
      <c r="E235" s="45"/>
      <c r="H235" s="14"/>
    </row>
    <row r="236" spans="1:8" hidden="1" x14ac:dyDescent="0.25">
      <c r="A236" s="40" t="s">
        <v>107</v>
      </c>
      <c r="B236" s="50" t="s">
        <v>88</v>
      </c>
      <c r="C236" s="55" t="s">
        <v>297</v>
      </c>
      <c r="D236" s="44"/>
      <c r="E236" s="45"/>
      <c r="H236" s="40"/>
    </row>
    <row r="237" spans="1:8" hidden="1" x14ac:dyDescent="0.25">
      <c r="A237" s="14"/>
      <c r="B237" s="54" t="s">
        <v>32</v>
      </c>
      <c r="C237" s="49" t="s">
        <v>291</v>
      </c>
      <c r="D237" s="39"/>
      <c r="E237" s="45"/>
      <c r="H237" s="14"/>
    </row>
    <row r="238" spans="1:8" hidden="1" x14ac:dyDescent="0.25">
      <c r="A238" s="14"/>
      <c r="B238" s="54" t="s">
        <v>34</v>
      </c>
      <c r="C238" s="49" t="s">
        <v>292</v>
      </c>
      <c r="D238" s="39"/>
      <c r="E238" s="45"/>
      <c r="H238" s="14"/>
    </row>
    <row r="239" spans="1:8" hidden="1" x14ac:dyDescent="0.25">
      <c r="A239" s="14"/>
      <c r="B239" s="54" t="s">
        <v>35</v>
      </c>
      <c r="C239" s="49" t="s">
        <v>293</v>
      </c>
      <c r="D239" s="39"/>
      <c r="E239" s="45"/>
      <c r="H239" s="14"/>
    </row>
    <row r="240" spans="1:8" hidden="1" x14ac:dyDescent="0.25">
      <c r="A240" s="14"/>
      <c r="B240" s="54" t="s">
        <v>177</v>
      </c>
      <c r="C240" s="49" t="s">
        <v>294</v>
      </c>
      <c r="D240" s="39"/>
      <c r="E240" s="45"/>
      <c r="H240" s="14"/>
    </row>
    <row r="241" spans="1:11" hidden="1" x14ac:dyDescent="0.25">
      <c r="A241" s="14"/>
      <c r="B241" s="56" t="s">
        <v>148</v>
      </c>
      <c r="C241" s="52" t="s">
        <v>295</v>
      </c>
      <c r="D241" s="14"/>
      <c r="E241" s="45"/>
      <c r="H241" s="14"/>
    </row>
    <row r="242" spans="1:11" hidden="1" x14ac:dyDescent="0.25">
      <c r="A242" s="14"/>
      <c r="B242" s="54" t="s">
        <v>33</v>
      </c>
      <c r="C242" s="49" t="s">
        <v>296</v>
      </c>
      <c r="D242" s="39"/>
      <c r="E242" s="45"/>
      <c r="H242" s="14"/>
    </row>
    <row r="243" spans="1:11" hidden="1" x14ac:dyDescent="0.25">
      <c r="B243" s="51"/>
      <c r="C243" s="51"/>
      <c r="E243" s="45"/>
    </row>
    <row r="244" spans="1:11" hidden="1" x14ac:dyDescent="0.25">
      <c r="B244" s="51"/>
      <c r="C244" s="51"/>
      <c r="E244" s="45"/>
    </row>
    <row r="245" spans="1:11" hidden="1" x14ac:dyDescent="0.25">
      <c r="A245" s="40" t="s">
        <v>17</v>
      </c>
      <c r="B245" s="50" t="s">
        <v>88</v>
      </c>
      <c r="C245" s="55" t="s">
        <v>297</v>
      </c>
      <c r="D245" s="44"/>
      <c r="E245" s="45"/>
    </row>
    <row r="246" spans="1:11" hidden="1" x14ac:dyDescent="0.25">
      <c r="B246" s="54" t="s">
        <v>155</v>
      </c>
      <c r="C246" s="49" t="s">
        <v>216</v>
      </c>
      <c r="D246" s="39"/>
      <c r="E246" s="45"/>
      <c r="I246" s="41"/>
    </row>
    <row r="247" spans="1:11" hidden="1" x14ac:dyDescent="0.25">
      <c r="B247" s="54" t="s">
        <v>59</v>
      </c>
      <c r="C247" s="49" t="s">
        <v>224</v>
      </c>
      <c r="D247" s="39"/>
      <c r="E247" s="45"/>
      <c r="I247" s="41"/>
    </row>
    <row r="248" spans="1:11" hidden="1" x14ac:dyDescent="0.25">
      <c r="B248" s="54" t="s">
        <v>127</v>
      </c>
      <c r="C248" s="49" t="s">
        <v>217</v>
      </c>
      <c r="D248" s="39"/>
      <c r="E248" s="45"/>
      <c r="I248" s="41"/>
    </row>
    <row r="249" spans="1:11" hidden="1" x14ac:dyDescent="0.25">
      <c r="B249" s="54" t="s">
        <v>58</v>
      </c>
      <c r="C249" s="49" t="s">
        <v>225</v>
      </c>
      <c r="D249" s="39"/>
      <c r="E249" s="45"/>
      <c r="I249" s="41"/>
    </row>
    <row r="250" spans="1:11" hidden="1" x14ac:dyDescent="0.25">
      <c r="B250" s="54" t="s">
        <v>56</v>
      </c>
      <c r="C250" s="49" t="s">
        <v>218</v>
      </c>
      <c r="D250" s="39"/>
      <c r="E250" s="45"/>
      <c r="I250" s="41"/>
    </row>
    <row r="251" spans="1:11" hidden="1" x14ac:dyDescent="0.25">
      <c r="B251" s="54" t="s">
        <v>157</v>
      </c>
      <c r="C251" s="49" t="s">
        <v>226</v>
      </c>
      <c r="D251" s="39"/>
      <c r="E251" s="45"/>
      <c r="I251" s="41"/>
    </row>
    <row r="252" spans="1:11" hidden="1" x14ac:dyDescent="0.25">
      <c r="B252" s="54" t="s">
        <v>55</v>
      </c>
      <c r="C252" s="49" t="s">
        <v>219</v>
      </c>
      <c r="D252" s="39"/>
      <c r="E252" s="45"/>
      <c r="I252" s="41"/>
    </row>
    <row r="253" spans="1:11" hidden="1" x14ac:dyDescent="0.25">
      <c r="B253" s="54" t="s">
        <v>158</v>
      </c>
      <c r="C253" s="49" t="s">
        <v>227</v>
      </c>
      <c r="D253" s="39"/>
      <c r="E253" s="45"/>
      <c r="I253" s="41"/>
    </row>
    <row r="254" spans="1:11" hidden="1" x14ac:dyDescent="0.25">
      <c r="B254" s="54" t="s">
        <v>156</v>
      </c>
      <c r="C254" s="49" t="s">
        <v>220</v>
      </c>
      <c r="D254" s="39"/>
      <c r="E254" s="45"/>
      <c r="I254" s="39"/>
      <c r="K254" s="39"/>
    </row>
    <row r="255" spans="1:11" hidden="1" x14ac:dyDescent="0.25">
      <c r="B255" s="54" t="s">
        <v>60</v>
      </c>
      <c r="C255" s="49" t="s">
        <v>228</v>
      </c>
      <c r="D255" s="39"/>
      <c r="E255" s="45"/>
      <c r="I255" s="39"/>
      <c r="K255" s="39"/>
    </row>
    <row r="256" spans="1:11" hidden="1" x14ac:dyDescent="0.25">
      <c r="B256" s="54" t="s">
        <v>53</v>
      </c>
      <c r="C256" s="49" t="s">
        <v>221</v>
      </c>
      <c r="D256" s="39"/>
      <c r="E256" s="45"/>
      <c r="I256" s="41"/>
    </row>
    <row r="257" spans="1:11" hidden="1" x14ac:dyDescent="0.25">
      <c r="B257" s="54" t="s">
        <v>128</v>
      </c>
      <c r="C257" s="49" t="s">
        <v>222</v>
      </c>
      <c r="D257" s="39"/>
      <c r="E257" s="45"/>
      <c r="I257" s="41"/>
    </row>
    <row r="258" spans="1:11" hidden="1" x14ac:dyDescent="0.25">
      <c r="B258" s="54" t="s">
        <v>54</v>
      </c>
      <c r="C258" s="49" t="s">
        <v>223</v>
      </c>
      <c r="D258" s="39"/>
      <c r="E258" s="45"/>
      <c r="I258" s="41"/>
    </row>
    <row r="259" spans="1:11" hidden="1" x14ac:dyDescent="0.25">
      <c r="B259" s="50" t="s">
        <v>88</v>
      </c>
      <c r="C259" s="55" t="s">
        <v>297</v>
      </c>
      <c r="D259" s="44"/>
      <c r="E259" s="45"/>
      <c r="I259" s="41"/>
    </row>
    <row r="260" spans="1:11" hidden="1" x14ac:dyDescent="0.25">
      <c r="A260" s="40" t="s">
        <v>179</v>
      </c>
      <c r="B260" s="54" t="s">
        <v>29</v>
      </c>
      <c r="C260" s="54" t="s">
        <v>285</v>
      </c>
      <c r="D260" s="41"/>
      <c r="E260" s="45"/>
      <c r="I260" s="41"/>
    </row>
    <row r="261" spans="1:11" hidden="1" x14ac:dyDescent="0.25">
      <c r="B261" s="54" t="s">
        <v>32</v>
      </c>
      <c r="C261" s="49" t="s">
        <v>291</v>
      </c>
      <c r="D261" s="39"/>
      <c r="E261" s="45"/>
      <c r="I261" s="41"/>
    </row>
    <row r="262" spans="1:11" hidden="1" x14ac:dyDescent="0.25">
      <c r="B262" s="54" t="s">
        <v>31</v>
      </c>
      <c r="C262" s="49" t="s">
        <v>286</v>
      </c>
      <c r="D262" s="39"/>
      <c r="E262" s="45"/>
      <c r="I262" s="41"/>
    </row>
    <row r="263" spans="1:11" hidden="1" x14ac:dyDescent="0.25">
      <c r="B263" s="54" t="s">
        <v>34</v>
      </c>
      <c r="C263" s="49" t="s">
        <v>292</v>
      </c>
      <c r="D263" s="39"/>
      <c r="E263" s="46"/>
      <c r="I263" s="41"/>
    </row>
    <row r="264" spans="1:11" hidden="1" x14ac:dyDescent="0.25">
      <c r="B264" s="54" t="s">
        <v>28</v>
      </c>
      <c r="C264" s="49" t="s">
        <v>287</v>
      </c>
      <c r="D264" s="39"/>
      <c r="E264" s="47"/>
      <c r="I264" s="41"/>
    </row>
    <row r="265" spans="1:11" hidden="1" x14ac:dyDescent="0.25">
      <c r="B265" s="54" t="s">
        <v>35</v>
      </c>
      <c r="C265" s="49" t="s">
        <v>293</v>
      </c>
      <c r="D265" s="39"/>
      <c r="E265" s="46"/>
      <c r="I265" s="42"/>
    </row>
    <row r="266" spans="1:11" hidden="1" x14ac:dyDescent="0.25">
      <c r="B266" s="54" t="s">
        <v>36</v>
      </c>
      <c r="C266" s="49" t="s">
        <v>288</v>
      </c>
      <c r="D266" s="39"/>
      <c r="E266" s="47"/>
      <c r="I266" s="41"/>
      <c r="K266" s="39"/>
    </row>
    <row r="267" spans="1:11" hidden="1" x14ac:dyDescent="0.25">
      <c r="B267" s="54" t="s">
        <v>177</v>
      </c>
      <c r="C267" s="49" t="s">
        <v>294</v>
      </c>
      <c r="D267" s="39"/>
      <c r="E267" s="45"/>
      <c r="I267" s="39"/>
      <c r="K267" s="39"/>
    </row>
    <row r="268" spans="1:11" hidden="1" x14ac:dyDescent="0.25">
      <c r="B268" s="54" t="s">
        <v>30</v>
      </c>
      <c r="C268" s="49" t="s">
        <v>289</v>
      </c>
      <c r="D268" s="39"/>
      <c r="E268" s="47"/>
      <c r="I268" s="41"/>
    </row>
    <row r="269" spans="1:11" hidden="1" x14ac:dyDescent="0.25">
      <c r="B269" s="56" t="s">
        <v>148</v>
      </c>
      <c r="C269" s="52" t="s">
        <v>295</v>
      </c>
      <c r="D269" s="14"/>
      <c r="E269" s="48"/>
      <c r="I269" s="41"/>
    </row>
    <row r="270" spans="1:11" hidden="1" x14ac:dyDescent="0.25">
      <c r="B270" s="56" t="s">
        <v>147</v>
      </c>
      <c r="C270" s="52" t="s">
        <v>290</v>
      </c>
      <c r="D270" s="14"/>
      <c r="E270" s="47"/>
      <c r="I270" s="41"/>
    </row>
    <row r="271" spans="1:11" hidden="1" x14ac:dyDescent="0.25">
      <c r="B271" s="54" t="s">
        <v>33</v>
      </c>
      <c r="C271" s="49" t="s">
        <v>296</v>
      </c>
      <c r="D271" s="39"/>
      <c r="E271" s="48"/>
      <c r="I271" s="41"/>
    </row>
    <row r="272" spans="1:11" hidden="1" x14ac:dyDescent="0.25">
      <c r="B272" s="50" t="s">
        <v>88</v>
      </c>
      <c r="C272" s="55" t="s">
        <v>297</v>
      </c>
      <c r="D272" s="44"/>
      <c r="E272" s="47"/>
      <c r="I272" s="42"/>
    </row>
    <row r="273" spans="1:9" hidden="1" x14ac:dyDescent="0.25">
      <c r="A273" s="40" t="s">
        <v>178</v>
      </c>
      <c r="B273" s="54" t="s">
        <v>141</v>
      </c>
      <c r="C273" s="49" t="s">
        <v>271</v>
      </c>
      <c r="D273" s="39"/>
      <c r="E273" s="48"/>
      <c r="I273" s="41"/>
    </row>
    <row r="274" spans="1:9" hidden="1" x14ac:dyDescent="0.25">
      <c r="B274" s="54" t="s">
        <v>155</v>
      </c>
      <c r="C274" s="49" t="s">
        <v>216</v>
      </c>
      <c r="D274" s="39"/>
      <c r="E274" s="47"/>
      <c r="I274" s="41"/>
    </row>
    <row r="275" spans="1:9" hidden="1" x14ac:dyDescent="0.25">
      <c r="B275" s="54" t="s">
        <v>38</v>
      </c>
      <c r="C275" s="49" t="s">
        <v>272</v>
      </c>
      <c r="D275" s="39"/>
      <c r="E275" s="48"/>
      <c r="I275" s="41"/>
    </row>
    <row r="276" spans="1:9" hidden="1" x14ac:dyDescent="0.25">
      <c r="B276" s="54" t="s">
        <v>59</v>
      </c>
      <c r="C276" s="49" t="s">
        <v>224</v>
      </c>
      <c r="D276" s="39"/>
      <c r="E276" s="47"/>
      <c r="I276" s="41"/>
    </row>
    <row r="277" spans="1:9" hidden="1" x14ac:dyDescent="0.25">
      <c r="B277" s="54" t="s">
        <v>39</v>
      </c>
      <c r="C277" s="49" t="s">
        <v>273</v>
      </c>
      <c r="D277" s="39"/>
      <c r="E277" s="48"/>
      <c r="I277" s="41"/>
    </row>
    <row r="278" spans="1:9" hidden="1" x14ac:dyDescent="0.25">
      <c r="B278" s="54" t="s">
        <v>127</v>
      </c>
      <c r="C278" s="49" t="s">
        <v>217</v>
      </c>
      <c r="D278" s="39"/>
      <c r="E278" s="47"/>
      <c r="I278" s="41"/>
    </row>
    <row r="279" spans="1:9" hidden="1" x14ac:dyDescent="0.25">
      <c r="B279" s="54" t="s">
        <v>142</v>
      </c>
      <c r="C279" s="49" t="s">
        <v>274</v>
      </c>
      <c r="D279" s="39"/>
      <c r="E279" s="48"/>
      <c r="I279" s="41"/>
    </row>
    <row r="280" spans="1:9" hidden="1" x14ac:dyDescent="0.25">
      <c r="B280" s="54" t="s">
        <v>58</v>
      </c>
      <c r="C280" s="49" t="s">
        <v>225</v>
      </c>
      <c r="D280" s="39"/>
      <c r="E280" s="47"/>
    </row>
    <row r="281" spans="1:9" hidden="1" x14ac:dyDescent="0.25">
      <c r="B281" s="54" t="s">
        <v>40</v>
      </c>
      <c r="C281" s="49" t="s">
        <v>275</v>
      </c>
      <c r="D281" s="39"/>
      <c r="E281" s="48"/>
    </row>
    <row r="282" spans="1:9" hidden="1" x14ac:dyDescent="0.25">
      <c r="B282" s="54" t="s">
        <v>56</v>
      </c>
      <c r="C282" s="49" t="s">
        <v>218</v>
      </c>
      <c r="D282" s="39"/>
      <c r="E282" s="47"/>
      <c r="I282" s="41"/>
    </row>
    <row r="283" spans="1:9" hidden="1" x14ac:dyDescent="0.25">
      <c r="B283" s="54" t="s">
        <v>143</v>
      </c>
      <c r="C283" s="49" t="s">
        <v>276</v>
      </c>
      <c r="D283" s="39"/>
      <c r="E283" s="48"/>
      <c r="I283" s="41"/>
    </row>
    <row r="284" spans="1:9" hidden="1" x14ac:dyDescent="0.25">
      <c r="B284" s="54" t="s">
        <v>157</v>
      </c>
      <c r="C284" s="49" t="s">
        <v>226</v>
      </c>
      <c r="D284" s="39"/>
      <c r="E284" s="47"/>
      <c r="I284" s="41"/>
    </row>
    <row r="285" spans="1:9" hidden="1" x14ac:dyDescent="0.25">
      <c r="B285" s="54" t="s">
        <v>144</v>
      </c>
      <c r="C285" s="49" t="s">
        <v>277</v>
      </c>
      <c r="D285" s="39"/>
      <c r="E285" s="48"/>
      <c r="I285" s="41"/>
    </row>
    <row r="286" spans="1:9" hidden="1" x14ac:dyDescent="0.25">
      <c r="B286" s="54" t="s">
        <v>55</v>
      </c>
      <c r="C286" s="49" t="s">
        <v>219</v>
      </c>
      <c r="D286" s="39"/>
      <c r="E286" s="47"/>
      <c r="I286" s="41"/>
    </row>
    <row r="287" spans="1:9" hidden="1" x14ac:dyDescent="0.25">
      <c r="B287" s="54" t="s">
        <v>158</v>
      </c>
      <c r="C287" s="49" t="s">
        <v>227</v>
      </c>
      <c r="D287" s="39"/>
      <c r="E287" s="48"/>
      <c r="I287" s="41"/>
    </row>
    <row r="288" spans="1:9" hidden="1" x14ac:dyDescent="0.25">
      <c r="B288" s="54" t="s">
        <v>156</v>
      </c>
      <c r="C288" s="49" t="s">
        <v>220</v>
      </c>
      <c r="D288" s="39"/>
      <c r="E288" s="47"/>
      <c r="I288" s="41"/>
    </row>
    <row r="289" spans="1:11" hidden="1" x14ac:dyDescent="0.25">
      <c r="B289" s="54" t="s">
        <v>60</v>
      </c>
      <c r="C289" s="49" t="s">
        <v>228</v>
      </c>
      <c r="D289" s="39"/>
      <c r="E289" s="48"/>
      <c r="I289" s="41"/>
    </row>
    <row r="290" spans="1:11" hidden="1" x14ac:dyDescent="0.25">
      <c r="B290" s="54" t="s">
        <v>53</v>
      </c>
      <c r="C290" s="49" t="s">
        <v>221</v>
      </c>
      <c r="D290" s="39"/>
      <c r="E290" s="47"/>
      <c r="I290" s="41"/>
    </row>
    <row r="291" spans="1:11" hidden="1" x14ac:dyDescent="0.25">
      <c r="B291" s="54" t="s">
        <v>128</v>
      </c>
      <c r="C291" s="49" t="s">
        <v>222</v>
      </c>
      <c r="D291" s="39"/>
      <c r="E291" s="48"/>
      <c r="I291" s="41"/>
    </row>
    <row r="292" spans="1:11" hidden="1" x14ac:dyDescent="0.25">
      <c r="B292" s="54" t="s">
        <v>54</v>
      </c>
      <c r="C292" s="49" t="s">
        <v>223</v>
      </c>
      <c r="D292" s="39"/>
      <c r="E292" s="47"/>
      <c r="I292" s="41"/>
    </row>
    <row r="293" spans="1:11" hidden="1" x14ac:dyDescent="0.25">
      <c r="B293" s="54"/>
      <c r="C293" s="49"/>
      <c r="D293" s="39"/>
      <c r="E293" s="47"/>
      <c r="I293" s="41"/>
    </row>
    <row r="294" spans="1:11" hidden="1" x14ac:dyDescent="0.25">
      <c r="B294" s="50" t="s">
        <v>88</v>
      </c>
      <c r="C294" s="55" t="s">
        <v>297</v>
      </c>
      <c r="D294" s="44"/>
      <c r="E294" s="48"/>
      <c r="I294" s="41"/>
    </row>
    <row r="295" spans="1:11" hidden="1" x14ac:dyDescent="0.25">
      <c r="A295" s="40" t="s">
        <v>180</v>
      </c>
      <c r="B295" s="54" t="s">
        <v>51</v>
      </c>
      <c r="C295" s="49" t="s">
        <v>203</v>
      </c>
      <c r="D295" s="39"/>
      <c r="E295" s="47"/>
      <c r="I295" s="39"/>
    </row>
    <row r="296" spans="1:11" hidden="1" x14ac:dyDescent="0.25">
      <c r="B296" s="54" t="s">
        <v>46</v>
      </c>
      <c r="C296" s="49" t="s">
        <v>207</v>
      </c>
      <c r="D296" s="39"/>
      <c r="E296" s="48"/>
      <c r="I296" s="41"/>
    </row>
    <row r="297" spans="1:11" hidden="1" x14ac:dyDescent="0.25">
      <c r="B297" s="54" t="s">
        <v>121</v>
      </c>
      <c r="C297" s="49" t="s">
        <v>204</v>
      </c>
      <c r="D297" s="39"/>
      <c r="E297" s="47"/>
      <c r="I297" s="41"/>
    </row>
    <row r="298" spans="1:11" hidden="1" x14ac:dyDescent="0.25">
      <c r="B298" s="54" t="s">
        <v>47</v>
      </c>
      <c r="C298" s="49" t="s">
        <v>208</v>
      </c>
      <c r="D298" s="39"/>
      <c r="E298" s="45"/>
      <c r="I298" s="41"/>
    </row>
    <row r="299" spans="1:11" hidden="1" x14ac:dyDescent="0.25">
      <c r="B299" s="54" t="s">
        <v>153</v>
      </c>
      <c r="C299" s="49" t="s">
        <v>205</v>
      </c>
      <c r="D299" s="39"/>
      <c r="E299" s="45"/>
      <c r="I299" s="41"/>
    </row>
    <row r="300" spans="1:11" hidden="1" x14ac:dyDescent="0.25">
      <c r="B300" s="54" t="s">
        <v>49</v>
      </c>
      <c r="C300" s="49" t="s">
        <v>209</v>
      </c>
      <c r="D300" s="39"/>
      <c r="E300" s="47"/>
      <c r="I300" s="39"/>
      <c r="K300" s="39"/>
    </row>
    <row r="301" spans="1:11" hidden="1" x14ac:dyDescent="0.25">
      <c r="B301" s="54" t="s">
        <v>50</v>
      </c>
      <c r="C301" s="49" t="s">
        <v>206</v>
      </c>
      <c r="D301" s="39"/>
      <c r="E301" s="47"/>
      <c r="I301" s="41"/>
      <c r="K301" s="39"/>
    </row>
    <row r="302" spans="1:11" hidden="1" x14ac:dyDescent="0.25">
      <c r="B302" s="54" t="s">
        <v>48</v>
      </c>
      <c r="C302" s="49" t="s">
        <v>210</v>
      </c>
      <c r="D302" s="39"/>
      <c r="E302" s="47"/>
      <c r="I302" s="41"/>
    </row>
    <row r="303" spans="1:11" hidden="1" x14ac:dyDescent="0.25">
      <c r="B303" s="54" t="s">
        <v>122</v>
      </c>
      <c r="C303" s="49" t="s">
        <v>211</v>
      </c>
      <c r="D303" s="39"/>
      <c r="E303" s="47"/>
      <c r="I303" s="41"/>
    </row>
    <row r="304" spans="1:11" hidden="1" x14ac:dyDescent="0.25"/>
    <row r="305" spans="2:5" hidden="1" x14ac:dyDescent="0.25">
      <c r="B305" t="s">
        <v>298</v>
      </c>
      <c r="C305" t="s">
        <v>299</v>
      </c>
      <c r="D305" t="s">
        <v>336</v>
      </c>
      <c r="E305" t="s">
        <v>338</v>
      </c>
    </row>
    <row r="306" spans="2:5" hidden="1" x14ac:dyDescent="0.25">
      <c r="B306" t="s">
        <v>77</v>
      </c>
      <c r="C306" s="39" t="s">
        <v>77</v>
      </c>
      <c r="D306" s="39" t="s">
        <v>315</v>
      </c>
      <c r="E306" s="39" t="str">
        <f>CONCATENATE(Table_Name[[#This Row],[Table name]],"[Link]")</f>
        <v>Abs[Link]</v>
      </c>
    </row>
    <row r="307" spans="2:5" hidden="1" x14ac:dyDescent="0.25">
      <c r="B307" t="s">
        <v>19</v>
      </c>
      <c r="C307" s="39" t="s">
        <v>19</v>
      </c>
      <c r="D307" s="39" t="s">
        <v>316</v>
      </c>
      <c r="E307" s="39" t="str">
        <f>CONCATENATE(Table_Name[[#This Row],[Table name]],"[Link]")</f>
        <v>Calves[Link]</v>
      </c>
    </row>
    <row r="308" spans="2:5" hidden="1" x14ac:dyDescent="0.25">
      <c r="B308" t="s">
        <v>18</v>
      </c>
      <c r="C308" s="39" t="s">
        <v>18</v>
      </c>
      <c r="D308" s="39" t="s">
        <v>317</v>
      </c>
      <c r="E308" s="39" t="str">
        <f>CONCATENATE(Table_Name[[#This Row],[Table name]],"[Link]")</f>
        <v>Biceps[Link]</v>
      </c>
    </row>
    <row r="309" spans="2:5" hidden="1" x14ac:dyDescent="0.25">
      <c r="B309" t="s">
        <v>120</v>
      </c>
      <c r="C309" s="39" t="s">
        <v>300</v>
      </c>
      <c r="D309" s="39" t="s">
        <v>318</v>
      </c>
      <c r="E309" s="39" t="str">
        <f>CONCATENATE(Table_Name[[#This Row],[Table name]],"[Link]")</f>
        <v>Rear_Delts[Link]</v>
      </c>
    </row>
    <row r="310" spans="2:5" hidden="1" x14ac:dyDescent="0.25">
      <c r="B310" t="s">
        <v>108</v>
      </c>
      <c r="C310" s="39" t="s">
        <v>301</v>
      </c>
      <c r="D310" s="39" t="s">
        <v>319</v>
      </c>
      <c r="E310" s="39" t="str">
        <f>CONCATENATE(Table_Name[[#This Row],[Table name]],"[Link]")</f>
        <v>Side_Delts[Link]</v>
      </c>
    </row>
    <row r="311" spans="2:5" hidden="1" x14ac:dyDescent="0.25">
      <c r="B311" t="s">
        <v>123</v>
      </c>
      <c r="C311" s="39" t="s">
        <v>123</v>
      </c>
      <c r="D311" s="39" t="s">
        <v>320</v>
      </c>
      <c r="E311" s="39" t="str">
        <f>CONCATENATE(Table_Name[[#This Row],[Table name]],"[Link]")</f>
        <v>Traps[Link]</v>
      </c>
    </row>
    <row r="312" spans="2:5" hidden="1" x14ac:dyDescent="0.25">
      <c r="B312" t="s">
        <v>52</v>
      </c>
      <c r="C312" s="39" t="s">
        <v>302</v>
      </c>
      <c r="D312" s="39" t="s">
        <v>321</v>
      </c>
      <c r="E312" s="39" t="str">
        <f>CONCATENATE(Table_Name[[#This Row],[Table name]],"[Link]")</f>
        <v>Horizontal_Triceps[Link]</v>
      </c>
    </row>
    <row r="313" spans="2:5" hidden="1" x14ac:dyDescent="0.25">
      <c r="B313" t="s">
        <v>57</v>
      </c>
      <c r="C313" s="39" t="s">
        <v>303</v>
      </c>
      <c r="D313" s="39" t="s">
        <v>322</v>
      </c>
      <c r="E313" s="39" t="str">
        <f>CONCATENATE(Table_Name[[#This Row],[Table name]],"[Link]")</f>
        <v>Vertical_Triceps[Link]</v>
      </c>
    </row>
    <row r="314" spans="2:5" hidden="1" x14ac:dyDescent="0.25">
      <c r="B314" t="s">
        <v>341</v>
      </c>
      <c r="C314" s="39" t="s">
        <v>304</v>
      </c>
      <c r="D314" s="39" t="s">
        <v>337</v>
      </c>
      <c r="E314" s="39" t="str">
        <f>CONCATENATE(Table_Name[[#This Row],[Table name]],"[Link]")</f>
        <v>Horizonal_Back[Link]</v>
      </c>
    </row>
    <row r="315" spans="2:5" hidden="1" x14ac:dyDescent="0.25">
      <c r="B315" t="s">
        <v>340</v>
      </c>
      <c r="C315" s="39" t="s">
        <v>305</v>
      </c>
      <c r="D315" s="39" t="s">
        <v>323</v>
      </c>
      <c r="E315" s="39" t="str">
        <f>CONCATENATE(Table_Name[[#This Row],[Table name]],"[Link]")</f>
        <v>Vertical_Back[Link]</v>
      </c>
    </row>
    <row r="316" spans="2:5" hidden="1" x14ac:dyDescent="0.25">
      <c r="B316" t="s">
        <v>20</v>
      </c>
      <c r="C316" s="39" t="s">
        <v>20</v>
      </c>
      <c r="D316" s="39" t="s">
        <v>324</v>
      </c>
      <c r="E316" s="39" t="str">
        <f>CONCATENATE(Table_Name[[#This Row],[Table name]],"[Link]")</f>
        <v>Quads[Link]</v>
      </c>
    </row>
    <row r="317" spans="2:5" hidden="1" x14ac:dyDescent="0.25">
      <c r="B317" t="s">
        <v>111</v>
      </c>
      <c r="C317" s="39" t="s">
        <v>111</v>
      </c>
      <c r="D317" s="39" t="s">
        <v>325</v>
      </c>
      <c r="E317" s="39" t="str">
        <f>CONCATENATE(Table_Name[[#This Row],[Table name]],"[Link]")</f>
        <v>Glutes[Link]</v>
      </c>
    </row>
    <row r="318" spans="2:5" hidden="1" x14ac:dyDescent="0.25">
      <c r="B318" t="s">
        <v>110</v>
      </c>
      <c r="C318" s="39" t="s">
        <v>306</v>
      </c>
      <c r="D318" s="39" t="s">
        <v>326</v>
      </c>
      <c r="E318" s="39" t="str">
        <f>CONCATENATE(Table_Name[[#This Row],[Table name]],"[Link]")</f>
        <v>Hamstrings_Hip_Hinge[Link]</v>
      </c>
    </row>
    <row r="319" spans="2:5" hidden="1" x14ac:dyDescent="0.25">
      <c r="B319" t="s">
        <v>109</v>
      </c>
      <c r="C319" s="39" t="s">
        <v>307</v>
      </c>
      <c r="D319" s="39" t="s">
        <v>327</v>
      </c>
      <c r="E319" s="39" t="str">
        <f>CONCATENATE(Table_Name[[#This Row],[Table name]],"[Link]")</f>
        <v>Hamstrings_Isolation[Link]</v>
      </c>
    </row>
    <row r="320" spans="2:5" hidden="1" x14ac:dyDescent="0.25">
      <c r="B320" t="s">
        <v>37</v>
      </c>
      <c r="C320" s="39" t="s">
        <v>308</v>
      </c>
      <c r="D320" s="39" t="s">
        <v>328</v>
      </c>
      <c r="E320" s="39" t="str">
        <f>CONCATENATE(Table_Name[[#This Row],[Table name]],"[Link]")</f>
        <v>Chest_Isolation[Link]</v>
      </c>
    </row>
    <row r="321" spans="2:5" hidden="1" x14ac:dyDescent="0.25">
      <c r="B321" t="s">
        <v>22</v>
      </c>
      <c r="C321" s="39" t="s">
        <v>309</v>
      </c>
      <c r="D321" s="39" t="s">
        <v>329</v>
      </c>
      <c r="E321" s="39" t="str">
        <f>CONCATENATE(Table_Name[[#This Row],[Table name]],"[Link]")</f>
        <v>Horizontal_Push[Link]</v>
      </c>
    </row>
    <row r="322" spans="2:5" hidden="1" x14ac:dyDescent="0.25">
      <c r="B322" t="s">
        <v>146</v>
      </c>
      <c r="C322" s="39" t="s">
        <v>310</v>
      </c>
      <c r="D322" s="39" t="s">
        <v>330</v>
      </c>
      <c r="E322" s="39" t="str">
        <f>CONCATENATE(Table_Name[[#This Row],[Table name]],"[Link]")</f>
        <v>Incline_Push[Link]</v>
      </c>
    </row>
    <row r="323" spans="2:5" hidden="1" x14ac:dyDescent="0.25">
      <c r="B323" t="s">
        <v>107</v>
      </c>
      <c r="C323" s="39" t="s">
        <v>311</v>
      </c>
      <c r="D323" s="39" t="s">
        <v>331</v>
      </c>
      <c r="E323" s="39" t="str">
        <f>CONCATENATE(Table_Name[[#This Row],[Table name]],"[Link]")</f>
        <v>Front_Delts[Link]</v>
      </c>
    </row>
    <row r="324" spans="2:5" hidden="1" x14ac:dyDescent="0.25">
      <c r="B324" t="s">
        <v>17</v>
      </c>
      <c r="C324" s="39" t="s">
        <v>17</v>
      </c>
      <c r="D324" s="39" t="s">
        <v>332</v>
      </c>
      <c r="E324" s="39" t="str">
        <f>CONCATENATE(Table_Name[[#This Row],[Table name]],"[Link]")</f>
        <v>Triceps[Link]</v>
      </c>
    </row>
    <row r="325" spans="2:5" hidden="1" x14ac:dyDescent="0.25">
      <c r="B325" t="s">
        <v>179</v>
      </c>
      <c r="C325" s="39" t="s">
        <v>312</v>
      </c>
      <c r="D325" s="39" t="s">
        <v>333</v>
      </c>
      <c r="E325" s="39" t="str">
        <f>CONCATENATE(Table_Name[[#This Row],[Table name]],"[Link]")</f>
        <v>Incline_Push_or_Front_Delts[Link]</v>
      </c>
    </row>
    <row r="326" spans="2:5" hidden="1" x14ac:dyDescent="0.25">
      <c r="B326" t="s">
        <v>178</v>
      </c>
      <c r="C326" s="39" t="s">
        <v>313</v>
      </c>
      <c r="D326" s="39" t="s">
        <v>334</v>
      </c>
      <c r="E326" s="39" t="str">
        <f>CONCATENATE(Table_Name[[#This Row],[Table name]],"[Link]")</f>
        <v>Chest_Isolation_or_Triceps[Link]</v>
      </c>
    </row>
    <row r="327" spans="2:5" hidden="1" x14ac:dyDescent="0.25">
      <c r="B327" t="s">
        <v>180</v>
      </c>
      <c r="C327" s="39" t="s">
        <v>314</v>
      </c>
      <c r="D327" s="39" t="s">
        <v>335</v>
      </c>
      <c r="E327" s="39" t="str">
        <f>CONCATENATE(Table_Name[[#This Row],[Table name]],"[Link]")</f>
        <v>Rear_or_Side_Delts[Link]</v>
      </c>
    </row>
    <row r="328" spans="2:5" hidden="1" x14ac:dyDescent="0.25"/>
    <row r="329" spans="2:5" hidden="1" x14ac:dyDescent="0.25">
      <c r="B329" s="10" t="s">
        <v>88</v>
      </c>
      <c r="C329" t="s">
        <v>297</v>
      </c>
      <c r="D329" s="10" t="s">
        <v>298</v>
      </c>
    </row>
    <row r="330" spans="2:5" hidden="1" x14ac:dyDescent="0.25">
      <c r="B330" s="39" t="s">
        <v>112</v>
      </c>
      <c r="C330" t="s">
        <v>181</v>
      </c>
      <c r="D330" t="s">
        <v>77</v>
      </c>
    </row>
    <row r="331" spans="2:5" hidden="1" x14ac:dyDescent="0.25">
      <c r="B331" s="39" t="s">
        <v>79</v>
      </c>
      <c r="C331" t="s">
        <v>182</v>
      </c>
      <c r="D331" t="s">
        <v>77</v>
      </c>
    </row>
    <row r="332" spans="2:5" hidden="1" x14ac:dyDescent="0.25">
      <c r="B332" s="39" t="s">
        <v>80</v>
      </c>
      <c r="C332" t="s">
        <v>183</v>
      </c>
      <c r="D332" t="s">
        <v>77</v>
      </c>
    </row>
    <row r="333" spans="2:5" hidden="1" x14ac:dyDescent="0.25">
      <c r="B333" s="39" t="s">
        <v>78</v>
      </c>
      <c r="C333" t="s">
        <v>184</v>
      </c>
      <c r="D333" t="s">
        <v>77</v>
      </c>
    </row>
    <row r="334" spans="2:5" hidden="1" x14ac:dyDescent="0.25">
      <c r="B334" s="41" t="s">
        <v>113</v>
      </c>
      <c r="C334" t="s">
        <v>185</v>
      </c>
      <c r="D334" t="s">
        <v>77</v>
      </c>
    </row>
    <row r="335" spans="2:5" hidden="1" x14ac:dyDescent="0.25">
      <c r="B335" s="39" t="s">
        <v>81</v>
      </c>
      <c r="C335" t="s">
        <v>186</v>
      </c>
      <c r="D335" t="s">
        <v>77</v>
      </c>
    </row>
    <row r="336" spans="2:5" hidden="1" x14ac:dyDescent="0.25">
      <c r="B336" s="39" t="s">
        <v>149</v>
      </c>
      <c r="C336" t="s">
        <v>187</v>
      </c>
      <c r="D336" t="s">
        <v>77</v>
      </c>
    </row>
    <row r="337" spans="2:4" hidden="1" x14ac:dyDescent="0.25">
      <c r="B337" s="39" t="s">
        <v>61</v>
      </c>
      <c r="C337" t="s">
        <v>192</v>
      </c>
      <c r="D337" t="s">
        <v>18</v>
      </c>
    </row>
    <row r="338" spans="2:4" hidden="1" x14ac:dyDescent="0.25">
      <c r="B338" s="39" t="s">
        <v>62</v>
      </c>
      <c r="C338" t="s">
        <v>193</v>
      </c>
      <c r="D338" t="s">
        <v>18</v>
      </c>
    </row>
    <row r="339" spans="2:4" hidden="1" x14ac:dyDescent="0.25">
      <c r="B339" s="39" t="s">
        <v>115</v>
      </c>
      <c r="C339" t="s">
        <v>194</v>
      </c>
      <c r="D339" t="s">
        <v>18</v>
      </c>
    </row>
    <row r="340" spans="2:4" hidden="1" x14ac:dyDescent="0.25">
      <c r="B340" s="39" t="s">
        <v>63</v>
      </c>
      <c r="C340" t="s">
        <v>195</v>
      </c>
      <c r="D340" t="s">
        <v>18</v>
      </c>
    </row>
    <row r="341" spans="2:4" hidden="1" x14ac:dyDescent="0.25">
      <c r="B341" s="39" t="s">
        <v>116</v>
      </c>
      <c r="C341" t="s">
        <v>196</v>
      </c>
      <c r="D341" t="s">
        <v>18</v>
      </c>
    </row>
    <row r="342" spans="2:4" hidden="1" x14ac:dyDescent="0.25">
      <c r="B342" s="39" t="s">
        <v>117</v>
      </c>
      <c r="C342" t="s">
        <v>197</v>
      </c>
      <c r="D342" t="s">
        <v>18</v>
      </c>
    </row>
    <row r="343" spans="2:4" hidden="1" x14ac:dyDescent="0.25">
      <c r="B343" s="39" t="s">
        <v>150</v>
      </c>
      <c r="C343" t="s">
        <v>198</v>
      </c>
      <c r="D343" t="s">
        <v>18</v>
      </c>
    </row>
    <row r="344" spans="2:4" hidden="1" x14ac:dyDescent="0.25">
      <c r="B344" s="39" t="s">
        <v>151</v>
      </c>
      <c r="C344" t="s">
        <v>199</v>
      </c>
      <c r="D344" t="s">
        <v>18</v>
      </c>
    </row>
    <row r="345" spans="2:4" hidden="1" x14ac:dyDescent="0.25">
      <c r="B345" s="41" t="s">
        <v>118</v>
      </c>
      <c r="C345" t="s">
        <v>200</v>
      </c>
      <c r="D345" t="s">
        <v>18</v>
      </c>
    </row>
    <row r="346" spans="2:4" hidden="1" x14ac:dyDescent="0.25">
      <c r="B346" s="39" t="s">
        <v>119</v>
      </c>
      <c r="C346" t="s">
        <v>201</v>
      </c>
      <c r="D346" t="s">
        <v>18</v>
      </c>
    </row>
    <row r="347" spans="2:4" hidden="1" x14ac:dyDescent="0.25">
      <c r="B347" s="39" t="s">
        <v>152</v>
      </c>
      <c r="C347" t="s">
        <v>202</v>
      </c>
      <c r="D347" t="s">
        <v>18</v>
      </c>
    </row>
    <row r="348" spans="2:4" hidden="1" x14ac:dyDescent="0.25">
      <c r="B348" s="39" t="s">
        <v>114</v>
      </c>
      <c r="C348" t="s">
        <v>188</v>
      </c>
      <c r="D348" t="s">
        <v>19</v>
      </c>
    </row>
    <row r="349" spans="2:4" hidden="1" x14ac:dyDescent="0.25">
      <c r="B349" s="39" t="s">
        <v>75</v>
      </c>
      <c r="C349" t="s">
        <v>189</v>
      </c>
      <c r="D349" t="s">
        <v>19</v>
      </c>
    </row>
    <row r="350" spans="2:4" hidden="1" x14ac:dyDescent="0.25">
      <c r="B350" s="39" t="s">
        <v>74</v>
      </c>
      <c r="C350" t="s">
        <v>190</v>
      </c>
      <c r="D350" t="s">
        <v>19</v>
      </c>
    </row>
    <row r="351" spans="2:4" hidden="1" x14ac:dyDescent="0.25">
      <c r="B351" s="39" t="s">
        <v>76</v>
      </c>
      <c r="C351" t="s">
        <v>191</v>
      </c>
      <c r="D351" t="s">
        <v>19</v>
      </c>
    </row>
    <row r="352" spans="2:4" hidden="1" x14ac:dyDescent="0.25">
      <c r="B352" s="39" t="s">
        <v>141</v>
      </c>
      <c r="C352" t="s">
        <v>271</v>
      </c>
      <c r="D352" t="s">
        <v>37</v>
      </c>
    </row>
    <row r="353" spans="2:4" hidden="1" x14ac:dyDescent="0.25">
      <c r="B353" s="39" t="s">
        <v>38</v>
      </c>
      <c r="C353" t="s">
        <v>272</v>
      </c>
      <c r="D353" t="s">
        <v>37</v>
      </c>
    </row>
    <row r="354" spans="2:4" hidden="1" x14ac:dyDescent="0.25">
      <c r="B354" s="39" t="s">
        <v>39</v>
      </c>
      <c r="C354" t="s">
        <v>273</v>
      </c>
      <c r="D354" t="s">
        <v>37</v>
      </c>
    </row>
    <row r="355" spans="2:4" hidden="1" x14ac:dyDescent="0.25">
      <c r="B355" s="39" t="s">
        <v>142</v>
      </c>
      <c r="C355" t="s">
        <v>274</v>
      </c>
      <c r="D355" t="s">
        <v>37</v>
      </c>
    </row>
    <row r="356" spans="2:4" hidden="1" x14ac:dyDescent="0.25">
      <c r="B356" s="39" t="s">
        <v>40</v>
      </c>
      <c r="C356" t="s">
        <v>275</v>
      </c>
      <c r="D356" t="s">
        <v>37</v>
      </c>
    </row>
    <row r="357" spans="2:4" hidden="1" x14ac:dyDescent="0.25">
      <c r="B357" s="39" t="s">
        <v>143</v>
      </c>
      <c r="C357" t="s">
        <v>276</v>
      </c>
      <c r="D357" t="s">
        <v>37</v>
      </c>
    </row>
    <row r="358" spans="2:4" hidden="1" x14ac:dyDescent="0.25">
      <c r="B358" s="39" t="s">
        <v>144</v>
      </c>
      <c r="C358" t="s">
        <v>277</v>
      </c>
      <c r="D358" t="s">
        <v>37</v>
      </c>
    </row>
    <row r="359" spans="2:4" hidden="1" x14ac:dyDescent="0.25">
      <c r="B359" s="39" t="s">
        <v>141</v>
      </c>
      <c r="C359" t="s">
        <v>271</v>
      </c>
      <c r="D359" t="s">
        <v>178</v>
      </c>
    </row>
    <row r="360" spans="2:4" hidden="1" x14ac:dyDescent="0.25">
      <c r="B360" s="39" t="s">
        <v>155</v>
      </c>
      <c r="C360" t="s">
        <v>216</v>
      </c>
      <c r="D360" t="s">
        <v>178</v>
      </c>
    </row>
    <row r="361" spans="2:4" hidden="1" x14ac:dyDescent="0.25">
      <c r="B361" s="39" t="s">
        <v>38</v>
      </c>
      <c r="C361" t="s">
        <v>272</v>
      </c>
      <c r="D361" t="s">
        <v>178</v>
      </c>
    </row>
    <row r="362" spans="2:4" hidden="1" x14ac:dyDescent="0.25">
      <c r="B362" s="39" t="s">
        <v>59</v>
      </c>
      <c r="C362" t="s">
        <v>224</v>
      </c>
      <c r="D362" t="s">
        <v>178</v>
      </c>
    </row>
    <row r="363" spans="2:4" hidden="1" x14ac:dyDescent="0.25">
      <c r="B363" s="39" t="s">
        <v>39</v>
      </c>
      <c r="C363" t="s">
        <v>273</v>
      </c>
      <c r="D363" t="s">
        <v>178</v>
      </c>
    </row>
    <row r="364" spans="2:4" hidden="1" x14ac:dyDescent="0.25">
      <c r="B364" s="39" t="s">
        <v>127</v>
      </c>
      <c r="C364" t="s">
        <v>217</v>
      </c>
      <c r="D364" t="s">
        <v>178</v>
      </c>
    </row>
    <row r="365" spans="2:4" hidden="1" x14ac:dyDescent="0.25">
      <c r="B365" s="39" t="s">
        <v>142</v>
      </c>
      <c r="C365" t="s">
        <v>274</v>
      </c>
      <c r="D365" t="s">
        <v>178</v>
      </c>
    </row>
    <row r="366" spans="2:4" hidden="1" x14ac:dyDescent="0.25">
      <c r="B366" s="39" t="s">
        <v>58</v>
      </c>
      <c r="C366" t="s">
        <v>225</v>
      </c>
      <c r="D366" t="s">
        <v>178</v>
      </c>
    </row>
    <row r="367" spans="2:4" hidden="1" x14ac:dyDescent="0.25">
      <c r="B367" s="39" t="s">
        <v>40</v>
      </c>
      <c r="C367" t="s">
        <v>275</v>
      </c>
      <c r="D367" t="s">
        <v>178</v>
      </c>
    </row>
    <row r="368" spans="2:4" hidden="1" x14ac:dyDescent="0.25">
      <c r="B368" s="39" t="s">
        <v>56</v>
      </c>
      <c r="C368" t="s">
        <v>218</v>
      </c>
      <c r="D368" t="s">
        <v>178</v>
      </c>
    </row>
    <row r="369" spans="2:4" hidden="1" x14ac:dyDescent="0.25">
      <c r="B369" s="39" t="s">
        <v>143</v>
      </c>
      <c r="C369" t="s">
        <v>276</v>
      </c>
      <c r="D369" t="s">
        <v>178</v>
      </c>
    </row>
    <row r="370" spans="2:4" hidden="1" x14ac:dyDescent="0.25">
      <c r="B370" s="39" t="s">
        <v>157</v>
      </c>
      <c r="C370" t="s">
        <v>226</v>
      </c>
      <c r="D370" t="s">
        <v>178</v>
      </c>
    </row>
    <row r="371" spans="2:4" hidden="1" x14ac:dyDescent="0.25">
      <c r="B371" s="39" t="s">
        <v>144</v>
      </c>
      <c r="C371" t="s">
        <v>277</v>
      </c>
      <c r="D371" t="s">
        <v>178</v>
      </c>
    </row>
    <row r="372" spans="2:4" hidden="1" x14ac:dyDescent="0.25">
      <c r="B372" s="39" t="s">
        <v>55</v>
      </c>
      <c r="C372" t="s">
        <v>219</v>
      </c>
      <c r="D372" t="s">
        <v>178</v>
      </c>
    </row>
    <row r="373" spans="2:4" hidden="1" x14ac:dyDescent="0.25">
      <c r="B373" s="39" t="s">
        <v>158</v>
      </c>
      <c r="C373" t="s">
        <v>227</v>
      </c>
      <c r="D373" t="s">
        <v>178</v>
      </c>
    </row>
    <row r="374" spans="2:4" hidden="1" x14ac:dyDescent="0.25">
      <c r="B374" s="39" t="s">
        <v>156</v>
      </c>
      <c r="C374" t="s">
        <v>220</v>
      </c>
      <c r="D374" t="s">
        <v>178</v>
      </c>
    </row>
    <row r="375" spans="2:4" hidden="1" x14ac:dyDescent="0.25">
      <c r="B375" s="39" t="s">
        <v>60</v>
      </c>
      <c r="C375" t="s">
        <v>228</v>
      </c>
      <c r="D375" t="s">
        <v>178</v>
      </c>
    </row>
    <row r="376" spans="2:4" hidden="1" x14ac:dyDescent="0.25">
      <c r="B376" s="39" t="s">
        <v>53</v>
      </c>
      <c r="C376" t="s">
        <v>221</v>
      </c>
      <c r="D376" t="s">
        <v>178</v>
      </c>
    </row>
    <row r="377" spans="2:4" hidden="1" x14ac:dyDescent="0.25">
      <c r="B377" s="39" t="s">
        <v>128</v>
      </c>
      <c r="C377" t="s">
        <v>222</v>
      </c>
      <c r="D377" t="s">
        <v>178</v>
      </c>
    </row>
    <row r="378" spans="2:4" hidden="1" x14ac:dyDescent="0.25">
      <c r="B378" s="39" t="s">
        <v>54</v>
      </c>
      <c r="C378" t="s">
        <v>223</v>
      </c>
      <c r="D378" t="s">
        <v>178</v>
      </c>
    </row>
    <row r="379" spans="2:4" hidden="1" x14ac:dyDescent="0.25">
      <c r="B379" s="39" t="s">
        <v>32</v>
      </c>
      <c r="C379" t="s">
        <v>291</v>
      </c>
      <c r="D379" t="s">
        <v>107</v>
      </c>
    </row>
    <row r="380" spans="2:4" hidden="1" x14ac:dyDescent="0.25">
      <c r="B380" s="39" t="s">
        <v>34</v>
      </c>
      <c r="C380" t="s">
        <v>292</v>
      </c>
      <c r="D380" t="s">
        <v>107</v>
      </c>
    </row>
    <row r="381" spans="2:4" hidden="1" x14ac:dyDescent="0.25">
      <c r="B381" s="39" t="s">
        <v>35</v>
      </c>
      <c r="C381" t="s">
        <v>293</v>
      </c>
      <c r="D381" t="s">
        <v>107</v>
      </c>
    </row>
    <row r="382" spans="2:4" hidden="1" x14ac:dyDescent="0.25">
      <c r="B382" s="39" t="s">
        <v>177</v>
      </c>
      <c r="C382" t="s">
        <v>294</v>
      </c>
      <c r="D382" t="s">
        <v>107</v>
      </c>
    </row>
    <row r="383" spans="2:4" hidden="1" x14ac:dyDescent="0.25">
      <c r="B383" s="14" t="s">
        <v>148</v>
      </c>
      <c r="C383" t="s">
        <v>295</v>
      </c>
      <c r="D383" t="s">
        <v>107</v>
      </c>
    </row>
    <row r="384" spans="2:4" hidden="1" x14ac:dyDescent="0.25">
      <c r="B384" s="39" t="s">
        <v>33</v>
      </c>
      <c r="C384" t="s">
        <v>296</v>
      </c>
      <c r="D384" t="s">
        <v>107</v>
      </c>
    </row>
    <row r="385" spans="2:4" hidden="1" x14ac:dyDescent="0.25">
      <c r="B385" s="39" t="s">
        <v>66</v>
      </c>
      <c r="C385" t="s">
        <v>256</v>
      </c>
      <c r="D385" t="s">
        <v>111</v>
      </c>
    </row>
    <row r="386" spans="2:4" hidden="1" x14ac:dyDescent="0.25">
      <c r="B386" s="39" t="s">
        <v>67</v>
      </c>
      <c r="C386" t="s">
        <v>257</v>
      </c>
      <c r="D386" t="s">
        <v>111</v>
      </c>
    </row>
    <row r="387" spans="2:4" hidden="1" x14ac:dyDescent="0.25">
      <c r="B387" s="39" t="s">
        <v>136</v>
      </c>
      <c r="C387" t="s">
        <v>258</v>
      </c>
      <c r="D387" t="s">
        <v>111</v>
      </c>
    </row>
    <row r="388" spans="2:4" hidden="1" x14ac:dyDescent="0.25">
      <c r="B388" s="39" t="s">
        <v>173</v>
      </c>
      <c r="C388" t="s">
        <v>259</v>
      </c>
      <c r="D388" t="s">
        <v>111</v>
      </c>
    </row>
    <row r="389" spans="2:4" hidden="1" x14ac:dyDescent="0.25">
      <c r="B389" s="39" t="s">
        <v>70</v>
      </c>
      <c r="C389" t="s">
        <v>260</v>
      </c>
      <c r="D389" t="s">
        <v>111</v>
      </c>
    </row>
    <row r="390" spans="2:4" hidden="1" x14ac:dyDescent="0.25">
      <c r="B390" s="39" t="s">
        <v>69</v>
      </c>
      <c r="C390" t="s">
        <v>261</v>
      </c>
      <c r="D390" t="s">
        <v>111</v>
      </c>
    </row>
    <row r="391" spans="2:4" hidden="1" x14ac:dyDescent="0.25">
      <c r="B391" s="39" t="s">
        <v>137</v>
      </c>
      <c r="C391" t="s">
        <v>262</v>
      </c>
      <c r="D391" t="s">
        <v>111</v>
      </c>
    </row>
    <row r="392" spans="2:4" hidden="1" x14ac:dyDescent="0.25">
      <c r="B392" s="39" t="s">
        <v>174</v>
      </c>
      <c r="C392" t="s">
        <v>263</v>
      </c>
      <c r="D392" t="s">
        <v>111</v>
      </c>
    </row>
    <row r="393" spans="2:4" hidden="1" x14ac:dyDescent="0.25">
      <c r="B393" s="39" t="s">
        <v>138</v>
      </c>
      <c r="C393" t="s">
        <v>264</v>
      </c>
      <c r="D393" t="s">
        <v>110</v>
      </c>
    </row>
    <row r="394" spans="2:4" hidden="1" x14ac:dyDescent="0.25">
      <c r="B394" s="39" t="s">
        <v>71</v>
      </c>
      <c r="C394" t="s">
        <v>265</v>
      </c>
      <c r="D394" t="s">
        <v>110</v>
      </c>
    </row>
    <row r="395" spans="2:4" hidden="1" x14ac:dyDescent="0.25">
      <c r="B395" s="39" t="s">
        <v>72</v>
      </c>
      <c r="C395" t="s">
        <v>266</v>
      </c>
      <c r="D395" t="s">
        <v>110</v>
      </c>
    </row>
    <row r="396" spans="2:4" hidden="1" x14ac:dyDescent="0.25">
      <c r="B396" s="39" t="s">
        <v>139</v>
      </c>
      <c r="C396" t="s">
        <v>267</v>
      </c>
      <c r="D396" t="s">
        <v>110</v>
      </c>
    </row>
    <row r="397" spans="2:4" hidden="1" x14ac:dyDescent="0.25">
      <c r="B397" s="39" t="s">
        <v>175</v>
      </c>
      <c r="C397" t="s">
        <v>268</v>
      </c>
      <c r="D397" t="s">
        <v>109</v>
      </c>
    </row>
    <row r="398" spans="2:4" hidden="1" x14ac:dyDescent="0.25">
      <c r="B398" s="39" t="s">
        <v>73</v>
      </c>
      <c r="C398" t="s">
        <v>269</v>
      </c>
      <c r="D398" t="s">
        <v>109</v>
      </c>
    </row>
    <row r="399" spans="2:4" hidden="1" x14ac:dyDescent="0.25">
      <c r="B399" s="39" t="s">
        <v>140</v>
      </c>
      <c r="C399" t="s">
        <v>270</v>
      </c>
      <c r="D399" t="s">
        <v>109</v>
      </c>
    </row>
    <row r="400" spans="2:4" hidden="1" x14ac:dyDescent="0.25">
      <c r="B400" s="39" t="s">
        <v>159</v>
      </c>
      <c r="C400" t="s">
        <v>229</v>
      </c>
      <c r="D400" t="s">
        <v>129</v>
      </c>
    </row>
    <row r="401" spans="2:4" hidden="1" x14ac:dyDescent="0.25">
      <c r="B401" s="39" t="s">
        <v>160</v>
      </c>
      <c r="C401" t="s">
        <v>230</v>
      </c>
      <c r="D401" t="s">
        <v>129</v>
      </c>
    </row>
    <row r="402" spans="2:4" hidden="1" x14ac:dyDescent="0.25">
      <c r="B402" s="39" t="s">
        <v>161</v>
      </c>
      <c r="C402" t="s">
        <v>231</v>
      </c>
      <c r="D402" t="s">
        <v>129</v>
      </c>
    </row>
    <row r="403" spans="2:4" hidden="1" x14ac:dyDescent="0.25">
      <c r="B403" s="39" t="s">
        <v>42</v>
      </c>
      <c r="C403" t="s">
        <v>232</v>
      </c>
      <c r="D403" t="s">
        <v>129</v>
      </c>
    </row>
    <row r="404" spans="2:4" hidden="1" x14ac:dyDescent="0.25">
      <c r="B404" s="39" t="s">
        <v>130</v>
      </c>
      <c r="C404" t="s">
        <v>233</v>
      </c>
      <c r="D404" t="s">
        <v>129</v>
      </c>
    </row>
    <row r="405" spans="2:4" hidden="1" x14ac:dyDescent="0.25">
      <c r="B405" s="39" t="s">
        <v>131</v>
      </c>
      <c r="C405" t="s">
        <v>234</v>
      </c>
      <c r="D405" t="s">
        <v>129</v>
      </c>
    </row>
    <row r="406" spans="2:4" hidden="1" x14ac:dyDescent="0.25">
      <c r="B406" s="39" t="s">
        <v>41</v>
      </c>
      <c r="C406" t="s">
        <v>235</v>
      </c>
      <c r="D406" t="s">
        <v>129</v>
      </c>
    </row>
    <row r="407" spans="2:4" hidden="1" x14ac:dyDescent="0.25">
      <c r="B407" s="39" t="s">
        <v>132</v>
      </c>
      <c r="C407" t="s">
        <v>236</v>
      </c>
      <c r="D407" t="s">
        <v>129</v>
      </c>
    </row>
    <row r="408" spans="2:4" hidden="1" x14ac:dyDescent="0.25">
      <c r="B408" s="39" t="s">
        <v>23</v>
      </c>
      <c r="C408" t="s">
        <v>278</v>
      </c>
      <c r="D408" t="s">
        <v>22</v>
      </c>
    </row>
    <row r="409" spans="2:4" hidden="1" x14ac:dyDescent="0.25">
      <c r="B409" s="39" t="s">
        <v>25</v>
      </c>
      <c r="C409" t="s">
        <v>279</v>
      </c>
      <c r="D409" t="s">
        <v>22</v>
      </c>
    </row>
    <row r="410" spans="2:4" hidden="1" x14ac:dyDescent="0.25">
      <c r="B410" s="39" t="s">
        <v>145</v>
      </c>
      <c r="C410" t="s">
        <v>280</v>
      </c>
      <c r="D410" t="s">
        <v>22</v>
      </c>
    </row>
    <row r="411" spans="2:4" hidden="1" x14ac:dyDescent="0.25">
      <c r="B411" s="39" t="s">
        <v>24</v>
      </c>
      <c r="C411" t="s">
        <v>281</v>
      </c>
      <c r="D411" t="s">
        <v>22</v>
      </c>
    </row>
    <row r="412" spans="2:4" hidden="1" x14ac:dyDescent="0.25">
      <c r="B412" s="14" t="s">
        <v>176</v>
      </c>
      <c r="C412" t="s">
        <v>282</v>
      </c>
      <c r="D412" t="s">
        <v>22</v>
      </c>
    </row>
    <row r="413" spans="2:4" hidden="1" x14ac:dyDescent="0.25">
      <c r="B413" s="39" t="s">
        <v>26</v>
      </c>
      <c r="C413" t="s">
        <v>283</v>
      </c>
      <c r="D413" t="s">
        <v>22</v>
      </c>
    </row>
    <row r="414" spans="2:4" hidden="1" x14ac:dyDescent="0.25">
      <c r="B414" s="39" t="s">
        <v>27</v>
      </c>
      <c r="C414" t="s">
        <v>284</v>
      </c>
      <c r="D414" t="s">
        <v>22</v>
      </c>
    </row>
    <row r="415" spans="2:4" hidden="1" x14ac:dyDescent="0.25">
      <c r="B415" s="39" t="s">
        <v>155</v>
      </c>
      <c r="C415" t="s">
        <v>216</v>
      </c>
      <c r="D415" t="s">
        <v>52</v>
      </c>
    </row>
    <row r="416" spans="2:4" hidden="1" x14ac:dyDescent="0.25">
      <c r="B416" s="39" t="s">
        <v>127</v>
      </c>
      <c r="C416" t="s">
        <v>217</v>
      </c>
      <c r="D416" t="s">
        <v>52</v>
      </c>
    </row>
    <row r="417" spans="2:4" hidden="1" x14ac:dyDescent="0.25">
      <c r="B417" s="39" t="s">
        <v>56</v>
      </c>
      <c r="C417" t="s">
        <v>218</v>
      </c>
      <c r="D417" t="s">
        <v>52</v>
      </c>
    </row>
    <row r="418" spans="2:4" hidden="1" x14ac:dyDescent="0.25">
      <c r="B418" s="39" t="s">
        <v>55</v>
      </c>
      <c r="C418" t="s">
        <v>219</v>
      </c>
      <c r="D418" t="s">
        <v>52</v>
      </c>
    </row>
    <row r="419" spans="2:4" hidden="1" x14ac:dyDescent="0.25">
      <c r="B419" s="39" t="s">
        <v>156</v>
      </c>
      <c r="C419" t="s">
        <v>220</v>
      </c>
      <c r="D419" t="s">
        <v>52</v>
      </c>
    </row>
    <row r="420" spans="2:4" hidden="1" x14ac:dyDescent="0.25">
      <c r="B420" s="39" t="s">
        <v>53</v>
      </c>
      <c r="C420" t="s">
        <v>221</v>
      </c>
      <c r="D420" t="s">
        <v>52</v>
      </c>
    </row>
    <row r="421" spans="2:4" hidden="1" x14ac:dyDescent="0.25">
      <c r="B421" s="39" t="s">
        <v>128</v>
      </c>
      <c r="C421" t="s">
        <v>222</v>
      </c>
      <c r="D421" t="s">
        <v>52</v>
      </c>
    </row>
    <row r="422" spans="2:4" hidden="1" x14ac:dyDescent="0.25">
      <c r="B422" s="39" t="s">
        <v>54</v>
      </c>
      <c r="C422" t="s">
        <v>223</v>
      </c>
      <c r="D422" t="s">
        <v>52</v>
      </c>
    </row>
    <row r="423" spans="2:4" hidden="1" x14ac:dyDescent="0.25">
      <c r="B423" s="41" t="s">
        <v>29</v>
      </c>
      <c r="C423" t="s">
        <v>285</v>
      </c>
      <c r="D423" t="s">
        <v>146</v>
      </c>
    </row>
    <row r="424" spans="2:4" hidden="1" x14ac:dyDescent="0.25">
      <c r="B424" s="39" t="s">
        <v>31</v>
      </c>
      <c r="C424" t="s">
        <v>286</v>
      </c>
      <c r="D424" t="s">
        <v>146</v>
      </c>
    </row>
    <row r="425" spans="2:4" hidden="1" x14ac:dyDescent="0.25">
      <c r="B425" s="39" t="s">
        <v>28</v>
      </c>
      <c r="C425" t="s">
        <v>287</v>
      </c>
      <c r="D425" t="s">
        <v>146</v>
      </c>
    </row>
    <row r="426" spans="2:4" hidden="1" x14ac:dyDescent="0.25">
      <c r="B426" s="39" t="s">
        <v>36</v>
      </c>
      <c r="C426" t="s">
        <v>288</v>
      </c>
      <c r="D426" t="s">
        <v>146</v>
      </c>
    </row>
    <row r="427" spans="2:4" hidden="1" x14ac:dyDescent="0.25">
      <c r="B427" s="39" t="s">
        <v>30</v>
      </c>
      <c r="C427" t="s">
        <v>289</v>
      </c>
      <c r="D427" t="s">
        <v>146</v>
      </c>
    </row>
    <row r="428" spans="2:4" hidden="1" x14ac:dyDescent="0.25">
      <c r="B428" s="14" t="s">
        <v>147</v>
      </c>
      <c r="C428" t="s">
        <v>290</v>
      </c>
      <c r="D428" t="s">
        <v>146</v>
      </c>
    </row>
    <row r="429" spans="2:4" hidden="1" x14ac:dyDescent="0.25">
      <c r="B429" s="41" t="s">
        <v>29</v>
      </c>
      <c r="C429" t="s">
        <v>285</v>
      </c>
      <c r="D429" t="s">
        <v>179</v>
      </c>
    </row>
    <row r="430" spans="2:4" hidden="1" x14ac:dyDescent="0.25">
      <c r="B430" s="39" t="s">
        <v>32</v>
      </c>
      <c r="C430" t="s">
        <v>291</v>
      </c>
      <c r="D430" t="s">
        <v>179</v>
      </c>
    </row>
    <row r="431" spans="2:4" hidden="1" x14ac:dyDescent="0.25">
      <c r="B431" s="39" t="s">
        <v>31</v>
      </c>
      <c r="C431" t="s">
        <v>286</v>
      </c>
      <c r="D431" t="s">
        <v>179</v>
      </c>
    </row>
    <row r="432" spans="2:4" hidden="1" x14ac:dyDescent="0.25">
      <c r="B432" s="39" t="s">
        <v>34</v>
      </c>
      <c r="C432" t="s">
        <v>292</v>
      </c>
      <c r="D432" t="s">
        <v>179</v>
      </c>
    </row>
    <row r="433" spans="2:4" hidden="1" x14ac:dyDescent="0.25">
      <c r="B433" s="39" t="s">
        <v>28</v>
      </c>
      <c r="C433" t="s">
        <v>287</v>
      </c>
      <c r="D433" t="s">
        <v>179</v>
      </c>
    </row>
    <row r="434" spans="2:4" hidden="1" x14ac:dyDescent="0.25">
      <c r="B434" s="39" t="s">
        <v>35</v>
      </c>
      <c r="C434" t="s">
        <v>293</v>
      </c>
      <c r="D434" t="s">
        <v>179</v>
      </c>
    </row>
    <row r="435" spans="2:4" hidden="1" x14ac:dyDescent="0.25">
      <c r="B435" s="39" t="s">
        <v>36</v>
      </c>
      <c r="C435" t="s">
        <v>288</v>
      </c>
      <c r="D435" t="s">
        <v>179</v>
      </c>
    </row>
    <row r="436" spans="2:4" hidden="1" x14ac:dyDescent="0.25">
      <c r="B436" s="39" t="s">
        <v>177</v>
      </c>
      <c r="C436" t="s">
        <v>294</v>
      </c>
      <c r="D436" t="s">
        <v>179</v>
      </c>
    </row>
    <row r="437" spans="2:4" hidden="1" x14ac:dyDescent="0.25">
      <c r="B437" s="39" t="s">
        <v>30</v>
      </c>
      <c r="C437" t="s">
        <v>289</v>
      </c>
      <c r="D437" t="s">
        <v>179</v>
      </c>
    </row>
    <row r="438" spans="2:4" hidden="1" x14ac:dyDescent="0.25">
      <c r="B438" s="14" t="s">
        <v>148</v>
      </c>
      <c r="C438" t="s">
        <v>295</v>
      </c>
      <c r="D438" t="s">
        <v>179</v>
      </c>
    </row>
    <row r="439" spans="2:4" hidden="1" x14ac:dyDescent="0.25">
      <c r="B439" s="14" t="s">
        <v>147</v>
      </c>
      <c r="C439" t="s">
        <v>290</v>
      </c>
      <c r="D439" t="s">
        <v>179</v>
      </c>
    </row>
    <row r="440" spans="2:4" hidden="1" x14ac:dyDescent="0.25">
      <c r="B440" s="39" t="s">
        <v>33</v>
      </c>
      <c r="C440" t="s">
        <v>296</v>
      </c>
      <c r="D440" t="s">
        <v>179</v>
      </c>
    </row>
    <row r="441" spans="2:4" hidden="1" x14ac:dyDescent="0.25">
      <c r="B441" s="39" t="s">
        <v>64</v>
      </c>
      <c r="C441" t="s">
        <v>249</v>
      </c>
      <c r="D441" t="s">
        <v>20</v>
      </c>
    </row>
    <row r="442" spans="2:4" hidden="1" x14ac:dyDescent="0.25">
      <c r="B442" s="39" t="s">
        <v>170</v>
      </c>
      <c r="C442" t="s">
        <v>250</v>
      </c>
      <c r="D442" t="s">
        <v>20</v>
      </c>
    </row>
    <row r="443" spans="2:4" hidden="1" x14ac:dyDescent="0.25">
      <c r="B443" s="39" t="s">
        <v>171</v>
      </c>
      <c r="C443" t="s">
        <v>251</v>
      </c>
      <c r="D443" t="s">
        <v>20</v>
      </c>
    </row>
    <row r="444" spans="2:4" hidden="1" x14ac:dyDescent="0.25">
      <c r="B444" s="39" t="s">
        <v>65</v>
      </c>
      <c r="C444" t="s">
        <v>252</v>
      </c>
      <c r="D444" t="s">
        <v>20</v>
      </c>
    </row>
    <row r="445" spans="2:4" hidden="1" x14ac:dyDescent="0.25">
      <c r="B445" s="39" t="s">
        <v>135</v>
      </c>
      <c r="C445" t="s">
        <v>253</v>
      </c>
      <c r="D445" t="s">
        <v>20</v>
      </c>
    </row>
    <row r="446" spans="2:4" hidden="1" x14ac:dyDescent="0.25">
      <c r="B446" s="39" t="s">
        <v>68</v>
      </c>
      <c r="C446" t="s">
        <v>254</v>
      </c>
      <c r="D446" t="s">
        <v>20</v>
      </c>
    </row>
    <row r="447" spans="2:4" hidden="1" x14ac:dyDescent="0.25">
      <c r="B447" s="39" t="s">
        <v>172</v>
      </c>
      <c r="C447" t="s">
        <v>255</v>
      </c>
      <c r="D447" t="s">
        <v>20</v>
      </c>
    </row>
    <row r="448" spans="2:4" hidden="1" x14ac:dyDescent="0.25">
      <c r="B448" s="39" t="s">
        <v>51</v>
      </c>
      <c r="C448" t="s">
        <v>203</v>
      </c>
      <c r="D448" t="s">
        <v>120</v>
      </c>
    </row>
    <row r="449" spans="2:4" hidden="1" x14ac:dyDescent="0.25">
      <c r="B449" s="39" t="s">
        <v>121</v>
      </c>
      <c r="C449" t="s">
        <v>204</v>
      </c>
      <c r="D449" t="s">
        <v>120</v>
      </c>
    </row>
    <row r="450" spans="2:4" hidden="1" x14ac:dyDescent="0.25">
      <c r="B450" s="39" t="s">
        <v>153</v>
      </c>
      <c r="C450" t="s">
        <v>205</v>
      </c>
      <c r="D450" t="s">
        <v>120</v>
      </c>
    </row>
    <row r="451" spans="2:4" hidden="1" x14ac:dyDescent="0.25">
      <c r="B451" s="39" t="s">
        <v>50</v>
      </c>
      <c r="C451" t="s">
        <v>206</v>
      </c>
      <c r="D451" t="s">
        <v>120</v>
      </c>
    </row>
    <row r="452" spans="2:4" hidden="1" x14ac:dyDescent="0.25">
      <c r="B452" s="39" t="s">
        <v>51</v>
      </c>
      <c r="C452" t="s">
        <v>203</v>
      </c>
      <c r="D452" t="s">
        <v>180</v>
      </c>
    </row>
    <row r="453" spans="2:4" hidden="1" x14ac:dyDescent="0.25">
      <c r="B453" s="39" t="s">
        <v>46</v>
      </c>
      <c r="C453" t="s">
        <v>207</v>
      </c>
      <c r="D453" t="s">
        <v>180</v>
      </c>
    </row>
    <row r="454" spans="2:4" hidden="1" x14ac:dyDescent="0.25">
      <c r="B454" s="39" t="s">
        <v>121</v>
      </c>
      <c r="C454" t="s">
        <v>204</v>
      </c>
      <c r="D454" t="s">
        <v>180</v>
      </c>
    </row>
    <row r="455" spans="2:4" hidden="1" x14ac:dyDescent="0.25">
      <c r="B455" s="39" t="s">
        <v>47</v>
      </c>
      <c r="C455" t="s">
        <v>208</v>
      </c>
      <c r="D455" t="s">
        <v>180</v>
      </c>
    </row>
    <row r="456" spans="2:4" hidden="1" x14ac:dyDescent="0.25">
      <c r="B456" s="39" t="s">
        <v>153</v>
      </c>
      <c r="C456" t="s">
        <v>205</v>
      </c>
      <c r="D456" t="s">
        <v>180</v>
      </c>
    </row>
    <row r="457" spans="2:4" hidden="1" x14ac:dyDescent="0.25">
      <c r="B457" s="39" t="s">
        <v>49</v>
      </c>
      <c r="C457" t="s">
        <v>209</v>
      </c>
      <c r="D457" t="s">
        <v>180</v>
      </c>
    </row>
    <row r="458" spans="2:4" hidden="1" x14ac:dyDescent="0.25">
      <c r="B458" s="39" t="s">
        <v>50</v>
      </c>
      <c r="C458" t="s">
        <v>206</v>
      </c>
      <c r="D458" t="s">
        <v>180</v>
      </c>
    </row>
    <row r="459" spans="2:4" hidden="1" x14ac:dyDescent="0.25">
      <c r="B459" s="39" t="s">
        <v>48</v>
      </c>
      <c r="C459" t="s">
        <v>210</v>
      </c>
      <c r="D459" t="s">
        <v>180</v>
      </c>
    </row>
    <row r="460" spans="2:4" hidden="1" x14ac:dyDescent="0.25">
      <c r="B460" s="39" t="s">
        <v>122</v>
      </c>
      <c r="C460" t="s">
        <v>211</v>
      </c>
      <c r="D460" t="s">
        <v>180</v>
      </c>
    </row>
    <row r="461" spans="2:4" hidden="1" x14ac:dyDescent="0.25">
      <c r="B461" s="39" t="s">
        <v>46</v>
      </c>
      <c r="C461" t="s">
        <v>207</v>
      </c>
      <c r="D461" s="40" t="s">
        <v>108</v>
      </c>
    </row>
    <row r="462" spans="2:4" hidden="1" x14ac:dyDescent="0.25">
      <c r="B462" s="39" t="s">
        <v>47</v>
      </c>
      <c r="C462" t="s">
        <v>208</v>
      </c>
      <c r="D462" s="40" t="s">
        <v>108</v>
      </c>
    </row>
    <row r="463" spans="2:4" hidden="1" x14ac:dyDescent="0.25">
      <c r="B463" s="39" t="s">
        <v>49</v>
      </c>
      <c r="C463" t="s">
        <v>209</v>
      </c>
      <c r="D463" s="40" t="s">
        <v>108</v>
      </c>
    </row>
    <row r="464" spans="2:4" hidden="1" x14ac:dyDescent="0.25">
      <c r="B464" s="39" t="s">
        <v>48</v>
      </c>
      <c r="C464" t="s">
        <v>210</v>
      </c>
      <c r="D464" s="40" t="s">
        <v>108</v>
      </c>
    </row>
    <row r="465" spans="2:4" hidden="1" x14ac:dyDescent="0.25">
      <c r="B465" s="39" t="s">
        <v>122</v>
      </c>
      <c r="C465" t="s">
        <v>211</v>
      </c>
      <c r="D465" s="40" t="s">
        <v>108</v>
      </c>
    </row>
    <row r="466" spans="2:4" hidden="1" x14ac:dyDescent="0.25">
      <c r="B466" s="39" t="s">
        <v>154</v>
      </c>
      <c r="C466" t="s">
        <v>212</v>
      </c>
      <c r="D466" t="s">
        <v>123</v>
      </c>
    </row>
    <row r="467" spans="2:4" hidden="1" x14ac:dyDescent="0.25">
      <c r="B467" s="39" t="s">
        <v>124</v>
      </c>
      <c r="C467" t="s">
        <v>213</v>
      </c>
      <c r="D467" t="s">
        <v>123</v>
      </c>
    </row>
    <row r="468" spans="2:4" hidden="1" x14ac:dyDescent="0.25">
      <c r="B468" s="39" t="s">
        <v>125</v>
      </c>
      <c r="C468" t="s">
        <v>214</v>
      </c>
      <c r="D468" t="s">
        <v>123</v>
      </c>
    </row>
    <row r="469" spans="2:4" hidden="1" x14ac:dyDescent="0.25">
      <c r="B469" s="39" t="s">
        <v>126</v>
      </c>
      <c r="C469" t="s">
        <v>215</v>
      </c>
      <c r="D469" t="s">
        <v>123</v>
      </c>
    </row>
    <row r="470" spans="2:4" hidden="1" x14ac:dyDescent="0.25">
      <c r="B470" s="39" t="s">
        <v>155</v>
      </c>
      <c r="C470" t="s">
        <v>216</v>
      </c>
      <c r="D470" t="s">
        <v>17</v>
      </c>
    </row>
    <row r="471" spans="2:4" hidden="1" x14ac:dyDescent="0.25">
      <c r="B471" s="39" t="s">
        <v>59</v>
      </c>
      <c r="C471" t="s">
        <v>224</v>
      </c>
      <c r="D471" t="s">
        <v>17</v>
      </c>
    </row>
    <row r="472" spans="2:4" hidden="1" x14ac:dyDescent="0.25">
      <c r="B472" s="39" t="s">
        <v>127</v>
      </c>
      <c r="C472" t="s">
        <v>217</v>
      </c>
      <c r="D472" t="s">
        <v>17</v>
      </c>
    </row>
    <row r="473" spans="2:4" hidden="1" x14ac:dyDescent="0.25">
      <c r="B473" s="39" t="s">
        <v>58</v>
      </c>
      <c r="C473" t="s">
        <v>225</v>
      </c>
      <c r="D473" t="s">
        <v>17</v>
      </c>
    </row>
    <row r="474" spans="2:4" hidden="1" x14ac:dyDescent="0.25">
      <c r="B474" s="39" t="s">
        <v>56</v>
      </c>
      <c r="C474" t="s">
        <v>218</v>
      </c>
      <c r="D474" t="s">
        <v>17</v>
      </c>
    </row>
    <row r="475" spans="2:4" hidden="1" x14ac:dyDescent="0.25">
      <c r="B475" s="39" t="s">
        <v>157</v>
      </c>
      <c r="C475" t="s">
        <v>226</v>
      </c>
      <c r="D475" t="s">
        <v>17</v>
      </c>
    </row>
    <row r="476" spans="2:4" hidden="1" x14ac:dyDescent="0.25">
      <c r="B476" s="39" t="s">
        <v>55</v>
      </c>
      <c r="C476" t="s">
        <v>219</v>
      </c>
      <c r="D476" t="s">
        <v>17</v>
      </c>
    </row>
    <row r="477" spans="2:4" hidden="1" x14ac:dyDescent="0.25">
      <c r="B477" s="39" t="s">
        <v>158</v>
      </c>
      <c r="C477" t="s">
        <v>227</v>
      </c>
      <c r="D477" t="s">
        <v>17</v>
      </c>
    </row>
    <row r="478" spans="2:4" hidden="1" x14ac:dyDescent="0.25">
      <c r="B478" s="39" t="s">
        <v>156</v>
      </c>
      <c r="C478" t="s">
        <v>220</v>
      </c>
      <c r="D478" t="s">
        <v>17</v>
      </c>
    </row>
    <row r="479" spans="2:4" hidden="1" x14ac:dyDescent="0.25">
      <c r="B479" s="39" t="s">
        <v>60</v>
      </c>
      <c r="C479" t="s">
        <v>228</v>
      </c>
      <c r="D479" t="s">
        <v>17</v>
      </c>
    </row>
    <row r="480" spans="2:4" hidden="1" x14ac:dyDescent="0.25">
      <c r="B480" s="39" t="s">
        <v>53</v>
      </c>
      <c r="C480" t="s">
        <v>221</v>
      </c>
      <c r="D480" t="s">
        <v>17</v>
      </c>
    </row>
    <row r="481" spans="2:4" hidden="1" x14ac:dyDescent="0.25">
      <c r="B481" s="39" t="s">
        <v>128</v>
      </c>
      <c r="C481" t="s">
        <v>222</v>
      </c>
      <c r="D481" t="s">
        <v>17</v>
      </c>
    </row>
    <row r="482" spans="2:4" hidden="1" x14ac:dyDescent="0.25">
      <c r="B482" s="39" t="s">
        <v>54</v>
      </c>
      <c r="C482" t="s">
        <v>223</v>
      </c>
      <c r="D482" t="s">
        <v>17</v>
      </c>
    </row>
    <row r="483" spans="2:4" hidden="1" x14ac:dyDescent="0.25">
      <c r="B483" s="39" t="s">
        <v>134</v>
      </c>
      <c r="C483" t="s">
        <v>237</v>
      </c>
      <c r="D483" t="s">
        <v>133</v>
      </c>
    </row>
    <row r="484" spans="2:4" hidden="1" x14ac:dyDescent="0.25">
      <c r="B484" s="39" t="s">
        <v>162</v>
      </c>
      <c r="C484" t="s">
        <v>238</v>
      </c>
      <c r="D484" t="s">
        <v>133</v>
      </c>
    </row>
    <row r="485" spans="2:4" hidden="1" x14ac:dyDescent="0.25">
      <c r="B485" s="39" t="s">
        <v>163</v>
      </c>
      <c r="C485" t="s">
        <v>239</v>
      </c>
      <c r="D485" t="s">
        <v>133</v>
      </c>
    </row>
    <row r="486" spans="2:4" hidden="1" x14ac:dyDescent="0.25">
      <c r="B486" s="39" t="s">
        <v>164</v>
      </c>
      <c r="C486" t="s">
        <v>240</v>
      </c>
      <c r="D486" t="s">
        <v>133</v>
      </c>
    </row>
    <row r="487" spans="2:4" hidden="1" x14ac:dyDescent="0.25">
      <c r="B487" s="39" t="s">
        <v>165</v>
      </c>
      <c r="C487" t="s">
        <v>241</v>
      </c>
      <c r="D487" t="s">
        <v>133</v>
      </c>
    </row>
    <row r="488" spans="2:4" hidden="1" x14ac:dyDescent="0.25">
      <c r="B488" s="41" t="s">
        <v>166</v>
      </c>
      <c r="C488" t="s">
        <v>242</v>
      </c>
      <c r="D488" t="s">
        <v>133</v>
      </c>
    </row>
    <row r="489" spans="2:4" hidden="1" x14ac:dyDescent="0.25">
      <c r="B489" s="41" t="s">
        <v>167</v>
      </c>
      <c r="C489" t="s">
        <v>243</v>
      </c>
      <c r="D489" t="s">
        <v>133</v>
      </c>
    </row>
    <row r="490" spans="2:4" hidden="1" x14ac:dyDescent="0.25">
      <c r="B490" s="39" t="s">
        <v>43</v>
      </c>
      <c r="C490" t="s">
        <v>244</v>
      </c>
      <c r="D490" t="s">
        <v>133</v>
      </c>
    </row>
    <row r="491" spans="2:4" hidden="1" x14ac:dyDescent="0.25">
      <c r="B491" s="41" t="s">
        <v>168</v>
      </c>
      <c r="C491" t="s">
        <v>245</v>
      </c>
      <c r="D491" t="s">
        <v>133</v>
      </c>
    </row>
    <row r="492" spans="2:4" hidden="1" x14ac:dyDescent="0.25">
      <c r="B492" s="41" t="s">
        <v>169</v>
      </c>
      <c r="C492" t="s">
        <v>246</v>
      </c>
      <c r="D492" t="s">
        <v>133</v>
      </c>
    </row>
    <row r="493" spans="2:4" hidden="1" x14ac:dyDescent="0.25">
      <c r="B493" s="39" t="s">
        <v>44</v>
      </c>
      <c r="C493" t="s">
        <v>247</v>
      </c>
      <c r="D493" t="s">
        <v>133</v>
      </c>
    </row>
    <row r="494" spans="2:4" hidden="1" x14ac:dyDescent="0.25">
      <c r="B494" s="41" t="s">
        <v>45</v>
      </c>
      <c r="C494" t="s">
        <v>248</v>
      </c>
      <c r="D494" t="s">
        <v>133</v>
      </c>
    </row>
    <row r="495" spans="2:4" hidden="1" x14ac:dyDescent="0.25">
      <c r="B495" s="39" t="s">
        <v>59</v>
      </c>
      <c r="C495" t="s">
        <v>224</v>
      </c>
      <c r="D495" t="s">
        <v>57</v>
      </c>
    </row>
    <row r="496" spans="2:4" hidden="1" x14ac:dyDescent="0.25">
      <c r="B496" s="39" t="s">
        <v>58</v>
      </c>
      <c r="C496" t="s">
        <v>225</v>
      </c>
      <c r="D496" t="s">
        <v>57</v>
      </c>
    </row>
    <row r="497" spans="2:4" hidden="1" x14ac:dyDescent="0.25">
      <c r="B497" s="39" t="s">
        <v>157</v>
      </c>
      <c r="C497" t="s">
        <v>226</v>
      </c>
      <c r="D497" t="s">
        <v>57</v>
      </c>
    </row>
    <row r="498" spans="2:4" hidden="1" x14ac:dyDescent="0.25">
      <c r="B498" s="39" t="s">
        <v>158</v>
      </c>
      <c r="C498" t="s">
        <v>227</v>
      </c>
      <c r="D498" t="s">
        <v>57</v>
      </c>
    </row>
    <row r="499" spans="2:4" hidden="1" x14ac:dyDescent="0.25">
      <c r="B499" s="39" t="s">
        <v>60</v>
      </c>
      <c r="C499" t="s">
        <v>228</v>
      </c>
      <c r="D499" t="s">
        <v>57</v>
      </c>
    </row>
  </sheetData>
  <mergeCells count="15">
    <mergeCell ref="T8:Y8"/>
    <mergeCell ref="Z8:AE8"/>
    <mergeCell ref="AF8:AI8"/>
    <mergeCell ref="H19:M19"/>
    <mergeCell ref="H30:M30"/>
    <mergeCell ref="N19:S19"/>
    <mergeCell ref="N30:S30"/>
    <mergeCell ref="H8:M8"/>
    <mergeCell ref="N8:S8"/>
    <mergeCell ref="T19:Y19"/>
    <mergeCell ref="T30:Y30"/>
    <mergeCell ref="Z19:AE19"/>
    <mergeCell ref="Z30:AE30"/>
    <mergeCell ref="AF19:AI19"/>
    <mergeCell ref="AF30:AI30"/>
  </mergeCells>
  <dataValidations count="2">
    <dataValidation type="list" allowBlank="1" showInputMessage="1" showErrorMessage="1" sqref="S22:S28 S11:S17 AE11:AE17 Y11:Y17 S33:S38 M33:M38 M22:M28 AE22:AE28 Y22:Y28 T22:T29 T33:T40 T11:T18 Y33:Y38">
      <formula1>$C$85:$C$87</formula1>
    </dataValidation>
    <dataValidation type="list" allowBlank="1" showInputMessage="1" showErrorMessage="1" sqref="C11:C18 C22:C29 C33:C40">
      <formula1>INDIRECT(D11)</formula1>
    </dataValidation>
  </dataValidations>
  <hyperlinks>
    <hyperlink ref="B229" r:id="rId1"/>
    <hyperlink ref="B178" r:id="rId2"/>
    <hyperlink ref="B176" r:id="rId3"/>
    <hyperlink ref="B175" r:id="rId4"/>
    <hyperlink ref="B172" r:id="rId5"/>
    <hyperlink ref="B173" r:id="rId6"/>
    <hyperlink ref="B116" r:id="rId7"/>
    <hyperlink ref="B97" r:id="rId8"/>
    <hyperlink ref="B96" r:id="rId9"/>
    <hyperlink ref="B94" r:id="rId10"/>
    <hyperlink ref="B95" r:id="rId11"/>
    <hyperlink ref="B98" r:id="rId12"/>
    <hyperlink ref="B99" r:id="rId13"/>
    <hyperlink ref="B93" r:id="rId14"/>
    <hyperlink ref="B104" r:id="rId15"/>
    <hyperlink ref="B102" r:id="rId16"/>
    <hyperlink ref="B103" r:id="rId17"/>
    <hyperlink ref="B105" r:id="rId18"/>
    <hyperlink ref="B108" r:id="rId19"/>
    <hyperlink ref="B109" r:id="rId20"/>
    <hyperlink ref="B111" r:id="rId21"/>
    <hyperlink ref="B110" r:id="rId22"/>
    <hyperlink ref="B112" r:id="rId23"/>
    <hyperlink ref="B113" r:id="rId24"/>
    <hyperlink ref="B114" r:id="rId25"/>
    <hyperlink ref="B115" r:id="rId26"/>
    <hyperlink ref="B118" r:id="rId27"/>
    <hyperlink ref="B117" r:id="rId28"/>
    <hyperlink ref="B127" r:id="rId29"/>
    <hyperlink ref="B130" r:id="rId30"/>
    <hyperlink ref="B131" r:id="rId31"/>
    <hyperlink ref="B129" r:id="rId32"/>
    <hyperlink ref="B128" r:id="rId33"/>
    <hyperlink ref="B123" r:id="rId34"/>
    <hyperlink ref="B124" r:id="rId35"/>
    <hyperlink ref="B122" r:id="rId36"/>
    <hyperlink ref="B121" r:id="rId37"/>
    <hyperlink ref="B158" r:id="rId38"/>
    <hyperlink ref="B157" r:id="rId39"/>
    <hyperlink ref="B160" r:id="rId40"/>
    <hyperlink ref="B163" r:id="rId41"/>
    <hyperlink ref="B170" r:id="rId42"/>
    <hyperlink ref="B167" r:id="rId43"/>
    <hyperlink ref="B168" r:id="rId44"/>
    <hyperlink ref="B169" r:id="rId45"/>
    <hyperlink ref="B177" r:id="rId46"/>
    <hyperlink ref="B171" r:id="rId47"/>
    <hyperlink ref="B174" r:id="rId48"/>
    <hyperlink ref="B161" r:id="rId49"/>
    <hyperlink ref="B159" r:id="rId50"/>
    <hyperlink ref="B135" r:id="rId51"/>
    <hyperlink ref="B134" r:id="rId52"/>
    <hyperlink ref="B136" r:id="rId53"/>
    <hyperlink ref="B162" r:id="rId54"/>
    <hyperlink ref="B137" r:id="rId55"/>
    <hyperlink ref="B164" r:id="rId56"/>
    <hyperlink ref="B181" r:id="rId57"/>
    <hyperlink ref="B186" r:id="rId58"/>
    <hyperlink ref="B187" r:id="rId59"/>
    <hyperlink ref="B183" r:id="rId60"/>
    <hyperlink ref="B192" r:id="rId61"/>
    <hyperlink ref="B182" r:id="rId62"/>
    <hyperlink ref="B193" r:id="rId63"/>
    <hyperlink ref="B200" r:id="rId64"/>
    <hyperlink ref="B196" r:id="rId65"/>
    <hyperlink ref="B194" r:id="rId66"/>
    <hyperlink ref="B195" r:id="rId67"/>
    <hyperlink ref="B184" r:id="rId68"/>
    <hyperlink ref="B185" r:id="rId69"/>
    <hyperlink ref="B190" r:id="rId70"/>
    <hyperlink ref="B191" r:id="rId71"/>
    <hyperlink ref="B201" r:id="rId72"/>
    <hyperlink ref="B202" r:id="rId73"/>
    <hyperlink ref="B203" r:id="rId74"/>
    <hyperlink ref="B197" r:id="rId75"/>
    <hyperlink ref="B207" r:id="rId76"/>
    <hyperlink ref="B206" r:id="rId77"/>
    <hyperlink ref="B208" r:id="rId78"/>
    <hyperlink ref="B220" r:id="rId79"/>
    <hyperlink ref="B223" r:id="rId80"/>
    <hyperlink ref="B221" r:id="rId81"/>
    <hyperlink ref="B233" r:id="rId82"/>
    <hyperlink ref="B230" r:id="rId83"/>
    <hyperlink ref="B237" r:id="rId84"/>
    <hyperlink ref="B242" r:id="rId85"/>
    <hyperlink ref="B225" r:id="rId86"/>
    <hyperlink ref="B226" r:id="rId87"/>
    <hyperlink ref="B231" r:id="rId88"/>
    <hyperlink ref="B232" r:id="rId89"/>
    <hyperlink ref="B240" r:id="rId90"/>
    <hyperlink ref="B222" r:id="rId91"/>
    <hyperlink ref="B212" r:id="rId92"/>
    <hyperlink ref="B211" r:id="rId93"/>
    <hyperlink ref="B215" r:id="rId94"/>
    <hyperlink ref="B213" r:id="rId95"/>
    <hyperlink ref="B214" r:id="rId96"/>
    <hyperlink ref="B216" r:id="rId97"/>
    <hyperlink ref="B217" r:id="rId98"/>
    <hyperlink ref="B142" r:id="rId99"/>
    <hyperlink ref="B143" r:id="rId100"/>
    <hyperlink ref="B238" r:id="rId101"/>
    <hyperlink ref="B239" r:id="rId102"/>
    <hyperlink ref="B224" r:id="rId103"/>
    <hyperlink ref="B241" r:id="rId104"/>
    <hyperlink ref="B234" r:id="rId105"/>
    <hyperlink ref="B145" r:id="rId106"/>
    <hyperlink ref="B146" r:id="rId107"/>
    <hyperlink ref="B147" r:id="rId108"/>
    <hyperlink ref="B140" r:id="rId109"/>
    <hyperlink ref="B144" r:id="rId110"/>
    <hyperlink ref="B154" r:id="rId111"/>
    <hyperlink ref="B150" r:id="rId112"/>
    <hyperlink ref="B151" r:id="rId113"/>
    <hyperlink ref="B152" r:id="rId114"/>
    <hyperlink ref="B153" r:id="rId115"/>
    <hyperlink ref="B141" r:id="rId116"/>
    <hyperlink ref="B250" r:id="rId117"/>
    <hyperlink ref="B252" r:id="rId118"/>
    <hyperlink ref="B256" r:id="rId119"/>
    <hyperlink ref="B257" r:id="rId120"/>
    <hyperlink ref="B258" r:id="rId121"/>
    <hyperlink ref="B246" r:id="rId122"/>
    <hyperlink ref="B254" r:id="rId123"/>
    <hyperlink ref="B255" r:id="rId124"/>
    <hyperlink ref="B247" r:id="rId125"/>
    <hyperlink ref="B249" r:id="rId126"/>
    <hyperlink ref="B251" r:id="rId127"/>
    <hyperlink ref="B253" r:id="rId128"/>
    <hyperlink ref="B248" r:id="rId129"/>
    <hyperlink ref="B260" r:id="rId130"/>
    <hyperlink ref="B268" r:id="rId131"/>
    <hyperlink ref="B262" r:id="rId132"/>
    <hyperlink ref="B264" r:id="rId133"/>
    <hyperlink ref="B266" r:id="rId134"/>
    <hyperlink ref="B270" r:id="rId135"/>
    <hyperlink ref="B261" r:id="rId136"/>
    <hyperlink ref="B271" r:id="rId137"/>
    <hyperlink ref="B267" r:id="rId138"/>
    <hyperlink ref="B263" r:id="rId139"/>
    <hyperlink ref="B265" r:id="rId140"/>
    <hyperlink ref="B269" r:id="rId141"/>
    <hyperlink ref="B282" r:id="rId142"/>
    <hyperlink ref="B286" r:id="rId143"/>
    <hyperlink ref="B290" r:id="rId144"/>
    <hyperlink ref="B291" r:id="rId145"/>
    <hyperlink ref="B292" r:id="rId146"/>
    <hyperlink ref="B274" r:id="rId147"/>
    <hyperlink ref="B288" r:id="rId148"/>
    <hyperlink ref="B289" r:id="rId149"/>
    <hyperlink ref="B276" r:id="rId150"/>
    <hyperlink ref="B280" r:id="rId151"/>
    <hyperlink ref="B284" r:id="rId152"/>
    <hyperlink ref="B287" r:id="rId153"/>
    <hyperlink ref="B278" r:id="rId154"/>
    <hyperlink ref="B275" r:id="rId155"/>
    <hyperlink ref="B273" r:id="rId156"/>
    <hyperlink ref="B281" r:id="rId157"/>
    <hyperlink ref="B277" r:id="rId158"/>
    <hyperlink ref="B279" r:id="rId159"/>
    <hyperlink ref="B283" r:id="rId160"/>
    <hyperlink ref="B285" r:id="rId161"/>
    <hyperlink ref="B296" r:id="rId162"/>
    <hyperlink ref="B302" r:id="rId163"/>
    <hyperlink ref="B303" r:id="rId164"/>
    <hyperlink ref="B300" r:id="rId165"/>
    <hyperlink ref="B298" r:id="rId166"/>
    <hyperlink ref="B299" r:id="rId167"/>
    <hyperlink ref="B301" r:id="rId168"/>
    <hyperlink ref="B297" r:id="rId169"/>
    <hyperlink ref="B295" r:id="rId170"/>
    <hyperlink ref="C229" r:id="rId171"/>
    <hyperlink ref="C178" r:id="rId172"/>
    <hyperlink ref="C176" r:id="rId173"/>
    <hyperlink ref="C175" r:id="rId174"/>
    <hyperlink ref="C172" r:id="rId175"/>
    <hyperlink ref="C173" r:id="rId176"/>
    <hyperlink ref="C116" r:id="rId177"/>
    <hyperlink ref="C97" r:id="rId178"/>
    <hyperlink ref="C260" r:id="rId179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I503"/>
  <sheetViews>
    <sheetView showGridLines="0" workbookViewId="0">
      <selection activeCell="I35" sqref="I35"/>
    </sheetView>
  </sheetViews>
  <sheetFormatPr defaultRowHeight="15" x14ac:dyDescent="0.25"/>
  <cols>
    <col min="1" max="1" width="24.5703125" bestFit="1" customWidth="1"/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6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35.71093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7.28515625" customWidth="1"/>
    <col min="21" max="21" width="8.7109375" customWidth="1"/>
    <col min="22" max="22" width="7.5703125" bestFit="1" customWidth="1"/>
    <col min="23" max="23" width="9" bestFit="1" customWidth="1"/>
    <col min="24" max="24" width="11.28515625" bestFit="1" customWidth="1"/>
    <col min="25" max="25" width="7.5703125" bestFit="1" customWidth="1"/>
    <col min="26" max="26" width="37.7109375" customWidth="1"/>
    <col min="27" max="27" width="4.7109375" bestFit="1" customWidth="1"/>
    <col min="28" max="28" width="7.5703125" bestFit="1" customWidth="1"/>
    <col min="29" max="29" width="9" bestFit="1" customWidth="1"/>
    <col min="30" max="30" width="11.28515625" bestFit="1" customWidth="1"/>
    <col min="31" max="31" width="7.5703125" bestFit="1" customWidth="1"/>
    <col min="32" max="32" width="32.7109375" customWidth="1"/>
    <col min="33" max="33" width="4.7109375" bestFit="1" customWidth="1"/>
    <col min="34" max="34" width="7.5703125" bestFit="1" customWidth="1"/>
    <col min="35" max="36" width="17.7109375" bestFit="1" customWidth="1"/>
    <col min="37" max="37" width="15.140625" bestFit="1" customWidth="1"/>
    <col min="38" max="38" width="17.7109375" bestFit="1" customWidth="1"/>
  </cols>
  <sheetData>
    <row r="1" spans="1:35" ht="19.5" thickBot="1" x14ac:dyDescent="0.35">
      <c r="C1" s="34" t="s">
        <v>87</v>
      </c>
      <c r="D1" s="43"/>
      <c r="E1" s="27"/>
      <c r="F1" s="32" t="s">
        <v>97</v>
      </c>
      <c r="G1" s="33" t="s">
        <v>100</v>
      </c>
      <c r="H1" s="35" t="s">
        <v>89</v>
      </c>
      <c r="I1" s="9" t="s">
        <v>92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5"/>
      <c r="U1" s="22" t="s">
        <v>93</v>
      </c>
      <c r="V1" s="21"/>
      <c r="W1" s="23"/>
      <c r="X1" s="23"/>
      <c r="Y1" s="23"/>
      <c r="Z1" s="23"/>
      <c r="AA1" s="17"/>
      <c r="AB1" s="17"/>
      <c r="AC1" s="17"/>
      <c r="AD1" s="17"/>
      <c r="AE1" s="17"/>
      <c r="AF1" s="17"/>
      <c r="AG1" s="13"/>
      <c r="AH1" s="2"/>
    </row>
    <row r="2" spans="1:35" ht="19.5" thickBot="1" x14ac:dyDescent="0.35">
      <c r="F2" s="28" t="s">
        <v>95</v>
      </c>
      <c r="G2" s="30" t="s">
        <v>98</v>
      </c>
      <c r="H2" s="36" t="s">
        <v>90</v>
      </c>
      <c r="I2" s="18" t="s">
        <v>84</v>
      </c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25" t="s">
        <v>94</v>
      </c>
      <c r="V2" s="26"/>
      <c r="W2" s="24"/>
      <c r="X2" s="24"/>
      <c r="Y2" s="24"/>
      <c r="Z2" s="8"/>
      <c r="AA2" s="5"/>
      <c r="AB2" s="5"/>
      <c r="AC2" s="5"/>
    </row>
    <row r="3" spans="1:35" ht="19.5" thickBot="1" x14ac:dyDescent="0.3">
      <c r="C3" t="s">
        <v>0</v>
      </c>
      <c r="F3" s="29" t="s">
        <v>96</v>
      </c>
      <c r="G3" s="31" t="s">
        <v>99</v>
      </c>
      <c r="H3" s="37" t="s">
        <v>91</v>
      </c>
      <c r="I3" s="18" t="s">
        <v>83</v>
      </c>
      <c r="J3" s="4"/>
      <c r="K3" s="4"/>
      <c r="L3" s="4"/>
      <c r="M3" s="4"/>
      <c r="N3" s="4"/>
      <c r="O3" s="4"/>
      <c r="P3" s="4"/>
      <c r="Q3" s="4"/>
      <c r="R3" s="4"/>
      <c r="S3" s="4"/>
      <c r="T3" s="3"/>
      <c r="AA3" s="5"/>
      <c r="AB3" s="5"/>
      <c r="AC3" s="5"/>
    </row>
    <row r="4" spans="1:35" ht="15.75" thickBot="1" x14ac:dyDescent="0.3">
      <c r="G4" t="s">
        <v>0</v>
      </c>
      <c r="I4" s="19" t="s">
        <v>82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2"/>
      <c r="U4" s="5"/>
      <c r="V4" s="5"/>
      <c r="W4" s="5"/>
      <c r="X4" s="5"/>
      <c r="Y4" s="5"/>
      <c r="Z4" s="5"/>
      <c r="AA4" s="5"/>
      <c r="AB4" s="5"/>
      <c r="AC4" s="5"/>
    </row>
    <row r="7" spans="1:35" ht="15.75" thickBot="1" x14ac:dyDescent="0.3"/>
    <row r="8" spans="1:35" ht="19.5" thickBot="1" x14ac:dyDescent="0.3">
      <c r="G8" s="6" t="s">
        <v>101</v>
      </c>
      <c r="H8" s="175" t="s">
        <v>1</v>
      </c>
      <c r="I8" s="176"/>
      <c r="J8" s="176"/>
      <c r="K8" s="176"/>
      <c r="L8" s="176"/>
      <c r="M8" s="177"/>
      <c r="N8" s="178" t="s">
        <v>2</v>
      </c>
      <c r="O8" s="179"/>
      <c r="P8" s="179"/>
      <c r="Q8" s="179"/>
      <c r="R8" s="179"/>
      <c r="S8" s="180"/>
      <c r="T8" s="166" t="s">
        <v>3</v>
      </c>
      <c r="U8" s="167"/>
      <c r="V8" s="167"/>
      <c r="W8" s="167"/>
      <c r="X8" s="167"/>
      <c r="Y8" s="168"/>
      <c r="Z8" s="169" t="s">
        <v>4</v>
      </c>
      <c r="AA8" s="170"/>
      <c r="AB8" s="170"/>
      <c r="AC8" s="170"/>
      <c r="AD8" s="170"/>
      <c r="AE8" s="171"/>
      <c r="AF8" s="172" t="s">
        <v>5</v>
      </c>
      <c r="AG8" s="173"/>
      <c r="AH8" s="173"/>
      <c r="AI8" s="174"/>
    </row>
    <row r="9" spans="1:35" ht="15.75" thickBot="1" x14ac:dyDescent="0.3">
      <c r="B9" s="39"/>
      <c r="C9" s="39" t="s">
        <v>16</v>
      </c>
      <c r="D9" s="39"/>
      <c r="E9" s="39"/>
      <c r="F9" s="39"/>
      <c r="G9" s="73" t="s">
        <v>102</v>
      </c>
      <c r="H9" s="97" t="s">
        <v>88</v>
      </c>
      <c r="I9" s="98" t="s">
        <v>6</v>
      </c>
      <c r="J9" s="99" t="s">
        <v>7</v>
      </c>
      <c r="K9" s="74" t="s">
        <v>8</v>
      </c>
      <c r="L9" s="74" t="s">
        <v>9</v>
      </c>
      <c r="M9" s="100" t="s">
        <v>10</v>
      </c>
      <c r="N9" s="98" t="s">
        <v>88</v>
      </c>
      <c r="O9" s="98" t="s">
        <v>6</v>
      </c>
      <c r="P9" s="99" t="s">
        <v>7</v>
      </c>
      <c r="Q9" s="74" t="s">
        <v>8</v>
      </c>
      <c r="R9" s="74" t="s">
        <v>9</v>
      </c>
      <c r="S9" s="100" t="s">
        <v>10</v>
      </c>
      <c r="T9" s="98" t="s">
        <v>88</v>
      </c>
      <c r="U9" s="98" t="s">
        <v>6</v>
      </c>
      <c r="V9" s="99" t="s">
        <v>7</v>
      </c>
      <c r="W9" s="74" t="s">
        <v>8</v>
      </c>
      <c r="X9" s="74" t="s">
        <v>9</v>
      </c>
      <c r="Y9" s="100" t="s">
        <v>10</v>
      </c>
      <c r="Z9" s="98" t="s">
        <v>88</v>
      </c>
      <c r="AA9" s="98" t="s">
        <v>6</v>
      </c>
      <c r="AB9" s="99" t="s">
        <v>7</v>
      </c>
      <c r="AC9" s="74" t="s">
        <v>8</v>
      </c>
      <c r="AD9" s="74" t="s">
        <v>9</v>
      </c>
      <c r="AE9" s="100" t="s">
        <v>10</v>
      </c>
      <c r="AF9" s="98" t="s">
        <v>88</v>
      </c>
      <c r="AG9" s="98" t="s">
        <v>6</v>
      </c>
      <c r="AH9" s="99" t="s">
        <v>7</v>
      </c>
      <c r="AI9" s="62" t="s">
        <v>8</v>
      </c>
    </row>
    <row r="10" spans="1:35" ht="15.75" thickBot="1" x14ac:dyDescent="0.3">
      <c r="B10" s="59" t="s">
        <v>339</v>
      </c>
      <c r="C10" s="84" t="s">
        <v>85</v>
      </c>
      <c r="D10" s="146"/>
      <c r="E10" s="146"/>
      <c r="F10" s="84" t="s">
        <v>348</v>
      </c>
      <c r="G10" s="84" t="s">
        <v>349</v>
      </c>
      <c r="H10" s="103" t="s">
        <v>85</v>
      </c>
      <c r="I10" s="101"/>
      <c r="J10" s="101"/>
      <c r="K10" s="101"/>
      <c r="L10" s="101"/>
      <c r="M10" s="102"/>
      <c r="N10" s="103" t="s">
        <v>85</v>
      </c>
      <c r="O10" s="101"/>
      <c r="P10" s="101"/>
      <c r="Q10" s="101"/>
      <c r="R10" s="101"/>
      <c r="S10" s="102"/>
      <c r="T10" s="103" t="s">
        <v>85</v>
      </c>
      <c r="U10" s="101"/>
      <c r="V10" s="101"/>
      <c r="W10" s="101"/>
      <c r="X10" s="101"/>
      <c r="Y10" s="102"/>
      <c r="Z10" s="103" t="s">
        <v>85</v>
      </c>
      <c r="AA10" s="101"/>
      <c r="AB10" s="101"/>
      <c r="AC10" s="101"/>
      <c r="AD10" s="101"/>
      <c r="AE10" s="102"/>
      <c r="AF10" s="103" t="s">
        <v>85</v>
      </c>
      <c r="AG10" s="101"/>
      <c r="AH10" s="101"/>
      <c r="AI10" s="102"/>
    </row>
    <row r="11" spans="1:35" ht="15.75" thickBot="1" x14ac:dyDescent="0.3">
      <c r="A11" s="1"/>
      <c r="B11" s="123" t="s">
        <v>18</v>
      </c>
      <c r="C11" s="127"/>
      <c r="D11" s="120" t="str">
        <f t="array" ref="D11">INDEX(Table_Name28[Name List],MATCH(B11,Table_Name28[Category],0))</f>
        <v>Biceps[Exercise]</v>
      </c>
      <c r="E11" s="131" t="e">
        <f t="array" ref="E11">INDEX(Links49[Link],MATCH(C11,Links49[Exercise],0))</f>
        <v>#N/A</v>
      </c>
      <c r="F11" s="135" t="e">
        <f>HYPERLINK(E11,"Video")</f>
        <v>#N/A</v>
      </c>
      <c r="G11" s="139"/>
      <c r="H11" s="106">
        <f t="shared" ref="H11:H20" si="0">C11</f>
        <v>0</v>
      </c>
      <c r="I11" s="105">
        <v>4</v>
      </c>
      <c r="J11" s="155">
        <f>MROUND(((G11)*0.75),5)</f>
        <v>0</v>
      </c>
      <c r="K11" s="105" t="s">
        <v>11</v>
      </c>
      <c r="L11" s="105"/>
      <c r="M11" s="71"/>
      <c r="N11" s="106">
        <f t="shared" ref="N11:N20" si="1">C11</f>
        <v>0</v>
      </c>
      <c r="O11" s="105">
        <f>I11+(M38)</f>
        <v>4</v>
      </c>
      <c r="P11" s="105">
        <f t="shared" ref="P11:P20" si="2">MROUND((J11*1.05),5)</f>
        <v>0</v>
      </c>
      <c r="Q11" s="105" t="s">
        <v>11</v>
      </c>
      <c r="R11" s="105"/>
      <c r="S11" s="147"/>
      <c r="T11" s="108">
        <f t="shared" ref="T11:T20" si="3">C11</f>
        <v>0</v>
      </c>
      <c r="U11" s="105">
        <f>O11+(S38)</f>
        <v>4</v>
      </c>
      <c r="V11" s="105">
        <f t="shared" ref="V11:V20" si="4">MROUND((J11*1.075),5)</f>
        <v>0</v>
      </c>
      <c r="W11" s="105" t="s">
        <v>12</v>
      </c>
      <c r="X11" s="105"/>
      <c r="Y11" s="147"/>
      <c r="Z11" s="106">
        <f t="shared" ref="Z11:Z20" si="5">C11</f>
        <v>0</v>
      </c>
      <c r="AA11" s="105">
        <f>U11+(Y38)</f>
        <v>4</v>
      </c>
      <c r="AB11" s="105">
        <f t="shared" ref="AB11:AB20" si="6">MROUND((J11*1.1),5)</f>
        <v>0</v>
      </c>
      <c r="AC11" s="105" t="s">
        <v>13</v>
      </c>
      <c r="AD11" s="105"/>
      <c r="AE11" s="147"/>
      <c r="AF11" s="106">
        <f t="shared" ref="AF11:AF20" si="7">C11</f>
        <v>0</v>
      </c>
      <c r="AG11" s="105">
        <v>2</v>
      </c>
      <c r="AH11" s="109">
        <f>J11</f>
        <v>0</v>
      </c>
      <c r="AI11" s="71" t="s">
        <v>14</v>
      </c>
    </row>
    <row r="12" spans="1:35" ht="15.75" thickBot="1" x14ac:dyDescent="0.3">
      <c r="A12" s="58" t="s">
        <v>345</v>
      </c>
      <c r="B12" s="121" t="s">
        <v>18</v>
      </c>
      <c r="C12" s="125"/>
      <c r="D12" s="118" t="str">
        <f t="array" ref="D12">INDEX(Table_Name28[Name List],MATCH(B12,Table_Name28[Category],0))</f>
        <v>Biceps[Exercise]</v>
      </c>
      <c r="E12" s="129" t="e">
        <f t="array" ref="E12">INDEX(Links49[Link],MATCH(C12,Links49[Exercise],0))</f>
        <v>#N/A</v>
      </c>
      <c r="F12" s="133" t="e">
        <f t="shared" ref="F12:F20" si="8">HYPERLINK(E12,"Video")</f>
        <v>#N/A</v>
      </c>
      <c r="G12" s="137"/>
      <c r="H12" s="148">
        <f t="shared" si="0"/>
        <v>0</v>
      </c>
      <c r="I12" s="149">
        <v>4</v>
      </c>
      <c r="J12" s="105">
        <f>MROUND(((G12)*0.75),5)</f>
        <v>0</v>
      </c>
      <c r="K12" s="149" t="s">
        <v>11</v>
      </c>
      <c r="L12" s="149"/>
      <c r="M12" s="150"/>
      <c r="N12" s="148">
        <f t="shared" si="1"/>
        <v>0</v>
      </c>
      <c r="O12" s="149">
        <f>I12+(M38)</f>
        <v>4</v>
      </c>
      <c r="P12" s="149">
        <f t="shared" si="2"/>
        <v>0</v>
      </c>
      <c r="Q12" s="149" t="s">
        <v>11</v>
      </c>
      <c r="R12" s="149"/>
      <c r="S12" s="151"/>
      <c r="T12" s="152">
        <f t="shared" si="3"/>
        <v>0</v>
      </c>
      <c r="U12" s="149">
        <f>O12+(S38)</f>
        <v>4</v>
      </c>
      <c r="V12" s="149">
        <f t="shared" si="4"/>
        <v>0</v>
      </c>
      <c r="W12" s="149" t="s">
        <v>12</v>
      </c>
      <c r="X12" s="149"/>
      <c r="Y12" s="151"/>
      <c r="Z12" s="148">
        <f t="shared" si="5"/>
        <v>0</v>
      </c>
      <c r="AA12" s="149">
        <f>U12+(Y38)</f>
        <v>4</v>
      </c>
      <c r="AB12" s="149">
        <f t="shared" si="6"/>
        <v>0</v>
      </c>
      <c r="AC12" s="149" t="s">
        <v>13</v>
      </c>
      <c r="AD12" s="149"/>
      <c r="AE12" s="153"/>
      <c r="AF12" s="104">
        <f t="shared" si="7"/>
        <v>0</v>
      </c>
      <c r="AG12" s="105">
        <v>2</v>
      </c>
      <c r="AH12" s="109">
        <f t="shared" ref="AH12:AH20" si="9">J12</f>
        <v>0</v>
      </c>
      <c r="AI12" s="71" t="s">
        <v>14</v>
      </c>
    </row>
    <row r="13" spans="1:35" ht="15.75" thickBot="1" x14ac:dyDescent="0.3">
      <c r="A13" s="58" t="s">
        <v>346</v>
      </c>
      <c r="B13" s="122" t="s">
        <v>18</v>
      </c>
      <c r="C13" s="126"/>
      <c r="D13" s="119" t="str">
        <f t="array" ref="D13">INDEX(Table_Name28[Name List],MATCH(B13,Table_Name28[Category],0))</f>
        <v>Biceps[Exercise]</v>
      </c>
      <c r="E13" s="130" t="e">
        <f t="array" ref="E13">INDEX(Links49[Link],MATCH(C13,Links49[Exercise],0))</f>
        <v>#N/A</v>
      </c>
      <c r="F13" s="134" t="e">
        <f t="shared" ref="F13" si="10">HYPERLINK(E13,"Video")</f>
        <v>#N/A</v>
      </c>
      <c r="G13" s="138"/>
      <c r="H13" s="154">
        <f t="shared" ref="H13" si="11">C13</f>
        <v>0</v>
      </c>
      <c r="I13" s="155">
        <v>4</v>
      </c>
      <c r="J13" s="155">
        <f>MROUND(((G13)*0.6),5)</f>
        <v>0</v>
      </c>
      <c r="K13" s="155" t="s">
        <v>11</v>
      </c>
      <c r="L13" s="155"/>
      <c r="M13" s="156"/>
      <c r="N13" s="154">
        <f t="shared" ref="N13" si="12">C13</f>
        <v>0</v>
      </c>
      <c r="O13" s="155">
        <f>I12+(M38)</f>
        <v>4</v>
      </c>
      <c r="P13" s="155">
        <f t="shared" ref="P13" si="13">MROUND((J13*1.05),5)</f>
        <v>0</v>
      </c>
      <c r="Q13" s="155" t="s">
        <v>11</v>
      </c>
      <c r="R13" s="155"/>
      <c r="S13" s="157"/>
      <c r="T13" s="158">
        <f t="shared" ref="T13" si="14">C13</f>
        <v>0</v>
      </c>
      <c r="U13" s="155">
        <f>O12+(S38)</f>
        <v>4</v>
      </c>
      <c r="V13" s="155">
        <f t="shared" ref="V13" si="15">MROUND((J13*1.075),5)</f>
        <v>0</v>
      </c>
      <c r="W13" s="155" t="s">
        <v>12</v>
      </c>
      <c r="X13" s="155"/>
      <c r="Y13" s="157"/>
      <c r="Z13" s="154">
        <f t="shared" ref="Z13" si="16">C13</f>
        <v>0</v>
      </c>
      <c r="AA13" s="155">
        <f>U12+(Y38)</f>
        <v>4</v>
      </c>
      <c r="AB13" s="155">
        <f t="shared" ref="AB13" si="17">MROUND((J13*1.1),5)</f>
        <v>0</v>
      </c>
      <c r="AC13" s="155" t="s">
        <v>13</v>
      </c>
      <c r="AD13" s="155"/>
      <c r="AE13" s="159"/>
      <c r="AF13" s="104"/>
      <c r="AG13" s="105"/>
      <c r="AH13" s="109"/>
      <c r="AI13" s="71"/>
    </row>
    <row r="14" spans="1:35" ht="15.75" thickBot="1" x14ac:dyDescent="0.3">
      <c r="A14" s="1"/>
      <c r="B14" s="123" t="s">
        <v>180</v>
      </c>
      <c r="C14" s="127"/>
      <c r="D14" s="120" t="str">
        <f t="array" ref="D14">INDEX(Table_Name28[Name List],MATCH(B14,Table_Name28[Category],0))</f>
        <v>Rear_or_Side_Delts[Exercise]</v>
      </c>
      <c r="E14" s="131" t="e">
        <f t="array" ref="E14">INDEX(Links49[Link],MATCH(C14,Links49[Exercise],0))</f>
        <v>#N/A</v>
      </c>
      <c r="F14" s="135" t="e">
        <f t="shared" si="8"/>
        <v>#N/A</v>
      </c>
      <c r="G14" s="139"/>
      <c r="H14" s="106">
        <f t="shared" si="0"/>
        <v>0</v>
      </c>
      <c r="I14" s="105">
        <v>4</v>
      </c>
      <c r="J14" s="105">
        <f>MROUND(((G14)*0.75),5)</f>
        <v>0</v>
      </c>
      <c r="K14" s="105" t="s">
        <v>11</v>
      </c>
      <c r="L14" s="105"/>
      <c r="M14" s="71"/>
      <c r="N14" s="106">
        <f t="shared" si="1"/>
        <v>0</v>
      </c>
      <c r="O14" s="105">
        <f>I14+(M30)</f>
        <v>4</v>
      </c>
      <c r="P14" s="105">
        <f t="shared" si="2"/>
        <v>0</v>
      </c>
      <c r="Q14" s="105" t="s">
        <v>11</v>
      </c>
      <c r="R14" s="105"/>
      <c r="S14" s="160"/>
      <c r="T14" s="108">
        <f t="shared" si="3"/>
        <v>0</v>
      </c>
      <c r="U14" s="105">
        <f>O14+(S30)</f>
        <v>4</v>
      </c>
      <c r="V14" s="105">
        <f t="shared" si="4"/>
        <v>0</v>
      </c>
      <c r="W14" s="105" t="s">
        <v>12</v>
      </c>
      <c r="X14" s="105"/>
      <c r="Y14" s="160"/>
      <c r="Z14" s="106">
        <f t="shared" si="5"/>
        <v>0</v>
      </c>
      <c r="AA14" s="105">
        <f>U14+(Y30)</f>
        <v>4</v>
      </c>
      <c r="AB14" s="105">
        <f t="shared" si="6"/>
        <v>0</v>
      </c>
      <c r="AC14" s="105" t="s">
        <v>13</v>
      </c>
      <c r="AD14" s="105"/>
      <c r="AE14" s="160"/>
      <c r="AF14" s="106">
        <f t="shared" si="7"/>
        <v>0</v>
      </c>
      <c r="AG14" s="105">
        <v>2</v>
      </c>
      <c r="AH14" s="109">
        <f t="shared" si="9"/>
        <v>0</v>
      </c>
      <c r="AI14" s="71" t="s">
        <v>14</v>
      </c>
    </row>
    <row r="15" spans="1:35" ht="15.75" thickBot="1" x14ac:dyDescent="0.3">
      <c r="A15" s="58" t="s">
        <v>345</v>
      </c>
      <c r="B15" s="121" t="s">
        <v>180</v>
      </c>
      <c r="C15" s="125"/>
      <c r="D15" s="118" t="str">
        <f t="array" ref="D15">INDEX(Table_Name28[Name List],MATCH(B15,Table_Name28[Category],0))</f>
        <v>Rear_or_Side_Delts[Exercise]</v>
      </c>
      <c r="E15" s="129" t="e">
        <f t="array" ref="E15">INDEX(Links49[Link],MATCH(C15,Links49[Exercise],0))</f>
        <v>#N/A</v>
      </c>
      <c r="F15" s="133" t="e">
        <f t="shared" si="8"/>
        <v>#N/A</v>
      </c>
      <c r="G15" s="137"/>
      <c r="H15" s="148">
        <f t="shared" si="0"/>
        <v>0</v>
      </c>
      <c r="I15" s="149">
        <v>4</v>
      </c>
      <c r="J15" s="149">
        <f>MROUND(((G15)*0.75),5)</f>
        <v>0</v>
      </c>
      <c r="K15" s="149" t="s">
        <v>11</v>
      </c>
      <c r="L15" s="149"/>
      <c r="M15" s="150"/>
      <c r="N15" s="148">
        <f t="shared" si="1"/>
        <v>0</v>
      </c>
      <c r="O15" s="149">
        <f>I15+(M30)</f>
        <v>4</v>
      </c>
      <c r="P15" s="149">
        <f t="shared" si="2"/>
        <v>0</v>
      </c>
      <c r="Q15" s="149" t="s">
        <v>11</v>
      </c>
      <c r="R15" s="149"/>
      <c r="S15" s="151"/>
      <c r="T15" s="152">
        <f t="shared" si="3"/>
        <v>0</v>
      </c>
      <c r="U15" s="149">
        <f>O15+(S30)</f>
        <v>4</v>
      </c>
      <c r="V15" s="149">
        <f t="shared" si="4"/>
        <v>0</v>
      </c>
      <c r="W15" s="149" t="s">
        <v>12</v>
      </c>
      <c r="X15" s="149"/>
      <c r="Y15" s="151"/>
      <c r="Z15" s="148">
        <f t="shared" si="5"/>
        <v>0</v>
      </c>
      <c r="AA15" s="149">
        <f>U15+(Y30)</f>
        <v>4</v>
      </c>
      <c r="AB15" s="149">
        <f t="shared" si="6"/>
        <v>0</v>
      </c>
      <c r="AC15" s="149" t="s">
        <v>13</v>
      </c>
      <c r="AD15" s="149"/>
      <c r="AE15" s="153"/>
      <c r="AF15" s="104">
        <f t="shared" si="7"/>
        <v>0</v>
      </c>
      <c r="AG15" s="105">
        <v>2</v>
      </c>
      <c r="AH15" s="109">
        <f t="shared" si="9"/>
        <v>0</v>
      </c>
      <c r="AI15" s="71" t="s">
        <v>14</v>
      </c>
    </row>
    <row r="16" spans="1:35" ht="15.75" thickBot="1" x14ac:dyDescent="0.3">
      <c r="A16" s="58" t="s">
        <v>346</v>
      </c>
      <c r="B16" s="122" t="s">
        <v>180</v>
      </c>
      <c r="C16" s="126"/>
      <c r="D16" s="119" t="str">
        <f t="array" ref="D16">INDEX(Table_Name28[Name List],MATCH(B16,Table_Name28[Category],0))</f>
        <v>Rear_or_Side_Delts[Exercise]</v>
      </c>
      <c r="E16" s="130" t="e">
        <f t="array" ref="E16">INDEX(Links49[Link],MATCH(C16,Links49[Exercise],0))</f>
        <v>#N/A</v>
      </c>
      <c r="F16" s="134" t="e">
        <f t="shared" ref="F16" si="18">HYPERLINK(E16,"Video")</f>
        <v>#N/A</v>
      </c>
      <c r="G16" s="138"/>
      <c r="H16" s="154">
        <f t="shared" ref="H16" si="19">C16</f>
        <v>0</v>
      </c>
      <c r="I16" s="155">
        <v>4</v>
      </c>
      <c r="J16" s="155">
        <f>MROUND(((G16)*0.6),5)</f>
        <v>0</v>
      </c>
      <c r="K16" s="155" t="s">
        <v>11</v>
      </c>
      <c r="L16" s="155"/>
      <c r="M16" s="156"/>
      <c r="N16" s="154">
        <f t="shared" ref="N16" si="20">C16</f>
        <v>0</v>
      </c>
      <c r="O16" s="155">
        <f>I15+(M30)</f>
        <v>4</v>
      </c>
      <c r="P16" s="155">
        <f t="shared" ref="P16" si="21">MROUND((J16*1.05),5)</f>
        <v>0</v>
      </c>
      <c r="Q16" s="155" t="s">
        <v>11</v>
      </c>
      <c r="R16" s="155"/>
      <c r="S16" s="157"/>
      <c r="T16" s="158">
        <f t="shared" ref="T16" si="22">C16</f>
        <v>0</v>
      </c>
      <c r="U16" s="155">
        <f>O15+(S30)</f>
        <v>4</v>
      </c>
      <c r="V16" s="155">
        <f t="shared" ref="V16" si="23">MROUND((J16*1.075),5)</f>
        <v>0</v>
      </c>
      <c r="W16" s="155" t="s">
        <v>12</v>
      </c>
      <c r="X16" s="155"/>
      <c r="Y16" s="157"/>
      <c r="Z16" s="154">
        <f t="shared" ref="Z16" si="24">C16</f>
        <v>0</v>
      </c>
      <c r="AA16" s="155">
        <f>U15+(Y30)</f>
        <v>4</v>
      </c>
      <c r="AB16" s="155">
        <f t="shared" ref="AB16" si="25">MROUND((J16*1.1),5)</f>
        <v>0</v>
      </c>
      <c r="AC16" s="155" t="s">
        <v>13</v>
      </c>
      <c r="AD16" s="155"/>
      <c r="AE16" s="159"/>
      <c r="AF16" s="104"/>
      <c r="AG16" s="105"/>
      <c r="AH16" s="109"/>
      <c r="AI16" s="71"/>
    </row>
    <row r="17" spans="1:35" ht="15.75" thickBot="1" x14ac:dyDescent="0.3">
      <c r="A17" s="1"/>
      <c r="B17" s="63" t="s">
        <v>340</v>
      </c>
      <c r="C17" s="85"/>
      <c r="D17" s="64" t="str">
        <f t="array" ref="D17">INDEX(Table_Name28[Name List],MATCH(B17,Table_Name28[Category],0))</f>
        <v>Vertical_Back[Exercise]</v>
      </c>
      <c r="E17" s="81" t="e">
        <f t="array" ref="E17">INDEX(Links49[Link],MATCH(C17,Links49[Exercise],0))</f>
        <v>#N/A</v>
      </c>
      <c r="F17" s="88" t="e">
        <f t="shared" si="8"/>
        <v>#N/A</v>
      </c>
      <c r="G17" s="91"/>
      <c r="H17" s="106">
        <f t="shared" si="0"/>
        <v>0</v>
      </c>
      <c r="I17" s="105">
        <v>3</v>
      </c>
      <c r="J17" s="105">
        <f>MROUND(((G17)*0.75),5)</f>
        <v>0</v>
      </c>
      <c r="K17" s="105" t="s">
        <v>11</v>
      </c>
      <c r="L17" s="105"/>
      <c r="M17" s="71"/>
      <c r="N17" s="106">
        <f t="shared" si="1"/>
        <v>0</v>
      </c>
      <c r="O17" s="105">
        <f>I17+(M31)</f>
        <v>3</v>
      </c>
      <c r="P17" s="105">
        <f t="shared" si="2"/>
        <v>0</v>
      </c>
      <c r="Q17" s="105" t="s">
        <v>11</v>
      </c>
      <c r="R17" s="105"/>
      <c r="S17" s="161"/>
      <c r="T17" s="108">
        <f t="shared" si="3"/>
        <v>0</v>
      </c>
      <c r="U17" s="105">
        <f>O17+(S31)</f>
        <v>3</v>
      </c>
      <c r="V17" s="105">
        <f t="shared" si="4"/>
        <v>0</v>
      </c>
      <c r="W17" s="105" t="s">
        <v>12</v>
      </c>
      <c r="X17" s="105"/>
      <c r="Y17" s="161"/>
      <c r="Z17" s="106">
        <f t="shared" si="5"/>
        <v>0</v>
      </c>
      <c r="AA17" s="105">
        <f>U17+(Y31)</f>
        <v>3</v>
      </c>
      <c r="AB17" s="105">
        <f t="shared" si="6"/>
        <v>0</v>
      </c>
      <c r="AC17" s="105" t="s">
        <v>13</v>
      </c>
      <c r="AD17" s="105"/>
      <c r="AE17" s="161"/>
      <c r="AF17" s="106">
        <f t="shared" si="7"/>
        <v>0</v>
      </c>
      <c r="AG17" s="105">
        <v>2</v>
      </c>
      <c r="AH17" s="109">
        <f t="shared" si="9"/>
        <v>0</v>
      </c>
      <c r="AI17" s="71" t="s">
        <v>14</v>
      </c>
    </row>
    <row r="18" spans="1:35" ht="15.75" thickBot="1" x14ac:dyDescent="0.3">
      <c r="A18" s="1"/>
      <c r="B18" s="66" t="s">
        <v>341</v>
      </c>
      <c r="C18" s="86"/>
      <c r="D18" s="67" t="str">
        <f t="array" ref="D18">INDEX(Table_Name28[Name List],MATCH(B18,Table_Name28[Category],0))</f>
        <v>Horizontal_Back[Exercise]</v>
      </c>
      <c r="E18" s="82" t="e">
        <f t="array" ref="E18">INDEX(Links49[Link],MATCH(C18,Links49[Exercise],0))</f>
        <v>#N/A</v>
      </c>
      <c r="F18" s="89" t="e">
        <f t="shared" si="8"/>
        <v>#N/A</v>
      </c>
      <c r="G18" s="92"/>
      <c r="H18" s="106">
        <f t="shared" si="0"/>
        <v>0</v>
      </c>
      <c r="I18" s="105">
        <v>3</v>
      </c>
      <c r="J18" s="105">
        <f>MROUND(((G18)*0.75),5)</f>
        <v>0</v>
      </c>
      <c r="K18" s="105" t="s">
        <v>11</v>
      </c>
      <c r="L18" s="105"/>
      <c r="M18" s="71"/>
      <c r="N18" s="106">
        <f t="shared" si="1"/>
        <v>0</v>
      </c>
      <c r="O18" s="105">
        <f>I18+(M31)</f>
        <v>3</v>
      </c>
      <c r="P18" s="105">
        <f t="shared" si="2"/>
        <v>0</v>
      </c>
      <c r="Q18" s="105" t="s">
        <v>11</v>
      </c>
      <c r="R18" s="105"/>
      <c r="S18" s="107"/>
      <c r="T18" s="108">
        <f t="shared" si="3"/>
        <v>0</v>
      </c>
      <c r="U18" s="105">
        <f>O18+(S31)</f>
        <v>3</v>
      </c>
      <c r="V18" s="105">
        <f t="shared" si="4"/>
        <v>0</v>
      </c>
      <c r="W18" s="105" t="s">
        <v>12</v>
      </c>
      <c r="X18" s="105"/>
      <c r="Y18" s="107"/>
      <c r="Z18" s="106">
        <f t="shared" si="5"/>
        <v>0</v>
      </c>
      <c r="AA18" s="105">
        <f>U18+(Y31)</f>
        <v>3</v>
      </c>
      <c r="AB18" s="105">
        <f t="shared" si="6"/>
        <v>0</v>
      </c>
      <c r="AC18" s="105" t="s">
        <v>13</v>
      </c>
      <c r="AD18" s="105"/>
      <c r="AE18" s="107"/>
      <c r="AF18" s="106">
        <f t="shared" si="7"/>
        <v>0</v>
      </c>
      <c r="AG18" s="105">
        <v>2</v>
      </c>
      <c r="AH18" s="109">
        <f t="shared" si="9"/>
        <v>0</v>
      </c>
      <c r="AI18" s="71" t="s">
        <v>14</v>
      </c>
    </row>
    <row r="19" spans="1:35" ht="15.75" thickBot="1" x14ac:dyDescent="0.3">
      <c r="A19" s="1"/>
      <c r="B19" s="66" t="s">
        <v>22</v>
      </c>
      <c r="C19" s="86"/>
      <c r="D19" s="67" t="str">
        <f t="array" ref="D19">INDEX(Table_Name28[Name List],MATCH(B19,Table_Name28[Category],0))</f>
        <v>Horizontal_Push[Exercise]</v>
      </c>
      <c r="E19" s="82" t="e">
        <f t="array" ref="E19">INDEX(Links49[Link],MATCH(C19,Links49[Exercise],0))</f>
        <v>#N/A</v>
      </c>
      <c r="F19" s="89" t="e">
        <f t="shared" si="8"/>
        <v>#N/A</v>
      </c>
      <c r="G19" s="92"/>
      <c r="H19" s="106">
        <f t="shared" si="0"/>
        <v>0</v>
      </c>
      <c r="I19" s="105">
        <v>2</v>
      </c>
      <c r="J19" s="105">
        <f>MROUND(((G19)*0.75),5)</f>
        <v>0</v>
      </c>
      <c r="K19" s="105" t="s">
        <v>11</v>
      </c>
      <c r="L19" s="105" t="s">
        <v>0</v>
      </c>
      <c r="M19" s="71"/>
      <c r="N19" s="106">
        <f t="shared" si="1"/>
        <v>0</v>
      </c>
      <c r="O19" s="105">
        <f>I19+(M29)</f>
        <v>2</v>
      </c>
      <c r="P19" s="105">
        <f t="shared" si="2"/>
        <v>0</v>
      </c>
      <c r="Q19" s="105" t="s">
        <v>11</v>
      </c>
      <c r="R19" s="105"/>
      <c r="S19" s="107"/>
      <c r="T19" s="108">
        <f t="shared" si="3"/>
        <v>0</v>
      </c>
      <c r="U19" s="105">
        <f>O19+(S29)</f>
        <v>2</v>
      </c>
      <c r="V19" s="105">
        <f t="shared" si="4"/>
        <v>0</v>
      </c>
      <c r="W19" s="105" t="s">
        <v>12</v>
      </c>
      <c r="X19" s="105"/>
      <c r="Y19" s="107"/>
      <c r="Z19" s="106">
        <f t="shared" si="5"/>
        <v>0</v>
      </c>
      <c r="AA19" s="105">
        <f>U19+(Y29)</f>
        <v>2</v>
      </c>
      <c r="AB19" s="105">
        <f t="shared" si="6"/>
        <v>0</v>
      </c>
      <c r="AC19" s="105" t="s">
        <v>13</v>
      </c>
      <c r="AD19" s="105"/>
      <c r="AE19" s="107"/>
      <c r="AF19" s="106">
        <f t="shared" si="7"/>
        <v>0</v>
      </c>
      <c r="AG19" s="105">
        <v>2</v>
      </c>
      <c r="AH19" s="109">
        <f t="shared" si="9"/>
        <v>0</v>
      </c>
      <c r="AI19" s="71" t="s">
        <v>14</v>
      </c>
    </row>
    <row r="20" spans="1:35" ht="15.75" thickBot="1" x14ac:dyDescent="0.3">
      <c r="A20" s="1"/>
      <c r="B20" s="69" t="s">
        <v>20</v>
      </c>
      <c r="C20" s="87"/>
      <c r="D20" s="70" t="str">
        <f t="array" ref="D20">INDEX(Table_Name28[Name List],MATCH(B20,Table_Name28[Category],0))</f>
        <v>Quads[Exercise]</v>
      </c>
      <c r="E20" s="83" t="e">
        <f t="array" ref="E20">INDEX(Links49[Link],MATCH(C20,Links49[Exercise],0))</f>
        <v>#N/A</v>
      </c>
      <c r="F20" s="90" t="e">
        <f t="shared" si="8"/>
        <v>#N/A</v>
      </c>
      <c r="G20" s="93"/>
      <c r="H20" s="112">
        <f t="shared" si="0"/>
        <v>0</v>
      </c>
      <c r="I20" s="111">
        <v>3</v>
      </c>
      <c r="J20" s="111">
        <f>MROUND(((G20)*0.75),5)</f>
        <v>0</v>
      </c>
      <c r="K20" s="111" t="s">
        <v>11</v>
      </c>
      <c r="L20" s="111"/>
      <c r="M20" s="73"/>
      <c r="N20" s="112">
        <f t="shared" si="1"/>
        <v>0</v>
      </c>
      <c r="O20" s="111">
        <f>I20</f>
        <v>3</v>
      </c>
      <c r="P20" s="111">
        <f t="shared" si="2"/>
        <v>0</v>
      </c>
      <c r="Q20" s="111" t="s">
        <v>11</v>
      </c>
      <c r="R20" s="111"/>
      <c r="S20" s="73"/>
      <c r="T20" s="113">
        <f t="shared" si="3"/>
        <v>0</v>
      </c>
      <c r="U20" s="111">
        <f>O20</f>
        <v>3</v>
      </c>
      <c r="V20" s="111">
        <f t="shared" si="4"/>
        <v>0</v>
      </c>
      <c r="W20" s="111" t="s">
        <v>12</v>
      </c>
      <c r="X20" s="111"/>
      <c r="Y20" s="73"/>
      <c r="Z20" s="112">
        <f t="shared" si="5"/>
        <v>0</v>
      </c>
      <c r="AA20" s="111">
        <f>U20</f>
        <v>3</v>
      </c>
      <c r="AB20" s="111">
        <f t="shared" si="6"/>
        <v>0</v>
      </c>
      <c r="AC20" s="111" t="s">
        <v>13</v>
      </c>
      <c r="AD20" s="111"/>
      <c r="AE20" s="73"/>
      <c r="AF20" s="112">
        <f t="shared" si="7"/>
        <v>0</v>
      </c>
      <c r="AG20" s="111">
        <v>2</v>
      </c>
      <c r="AH20" s="114">
        <f t="shared" si="9"/>
        <v>0</v>
      </c>
      <c r="AI20" s="73" t="s">
        <v>14</v>
      </c>
    </row>
    <row r="21" spans="1:35" ht="19.5" thickBot="1" x14ac:dyDescent="0.3">
      <c r="B21" s="72" t="s">
        <v>103</v>
      </c>
      <c r="C21" s="39"/>
      <c r="D21" s="39"/>
      <c r="E21" s="39"/>
      <c r="F21" s="14"/>
      <c r="G21" s="71"/>
      <c r="H21" s="175" t="s">
        <v>1</v>
      </c>
      <c r="I21" s="176"/>
      <c r="J21" s="176"/>
      <c r="K21" s="176"/>
      <c r="L21" s="176"/>
      <c r="M21" s="177"/>
      <c r="N21" s="178" t="s">
        <v>2</v>
      </c>
      <c r="O21" s="179"/>
      <c r="P21" s="179"/>
      <c r="Q21" s="179"/>
      <c r="R21" s="179"/>
      <c r="S21" s="180"/>
      <c r="T21" s="166" t="s">
        <v>3</v>
      </c>
      <c r="U21" s="167"/>
      <c r="V21" s="167"/>
      <c r="W21" s="167"/>
      <c r="X21" s="167"/>
      <c r="Y21" s="168"/>
      <c r="Z21" s="169" t="s">
        <v>4</v>
      </c>
      <c r="AA21" s="170"/>
      <c r="AB21" s="170"/>
      <c r="AC21" s="170"/>
      <c r="AD21" s="170"/>
      <c r="AE21" s="171"/>
      <c r="AF21" s="172" t="s">
        <v>5</v>
      </c>
      <c r="AG21" s="173"/>
      <c r="AH21" s="173"/>
      <c r="AI21" s="174"/>
    </row>
    <row r="22" spans="1:35" ht="15.75" thickBot="1" x14ac:dyDescent="0.3">
      <c r="B22" s="39"/>
      <c r="C22" s="39"/>
      <c r="D22" s="39"/>
      <c r="E22" s="39"/>
      <c r="F22" s="14"/>
      <c r="G22" s="73"/>
      <c r="H22" s="97" t="s">
        <v>88</v>
      </c>
      <c r="I22" s="98" t="s">
        <v>6</v>
      </c>
      <c r="J22" s="99" t="s">
        <v>7</v>
      </c>
      <c r="K22" s="74" t="s">
        <v>8</v>
      </c>
      <c r="L22" s="74" t="s">
        <v>9</v>
      </c>
      <c r="M22" s="100" t="s">
        <v>10</v>
      </c>
      <c r="N22" s="98" t="s">
        <v>88</v>
      </c>
      <c r="O22" s="98" t="s">
        <v>6</v>
      </c>
      <c r="P22" s="99" t="s">
        <v>7</v>
      </c>
      <c r="Q22" s="74" t="s">
        <v>8</v>
      </c>
      <c r="R22" s="74" t="s">
        <v>9</v>
      </c>
      <c r="S22" s="100" t="s">
        <v>10</v>
      </c>
      <c r="T22" s="98" t="s">
        <v>88</v>
      </c>
      <c r="U22" s="98" t="s">
        <v>6</v>
      </c>
      <c r="V22" s="99" t="s">
        <v>7</v>
      </c>
      <c r="W22" s="74" t="s">
        <v>8</v>
      </c>
      <c r="X22" s="74" t="s">
        <v>9</v>
      </c>
      <c r="Y22" s="100" t="s">
        <v>10</v>
      </c>
      <c r="Z22" s="98" t="s">
        <v>88</v>
      </c>
      <c r="AA22" s="98" t="s">
        <v>6</v>
      </c>
      <c r="AB22" s="99" t="s">
        <v>7</v>
      </c>
      <c r="AC22" s="115" t="s">
        <v>15</v>
      </c>
      <c r="AD22" s="74" t="s">
        <v>9</v>
      </c>
      <c r="AE22" s="100" t="s">
        <v>10</v>
      </c>
      <c r="AF22" s="98" t="s">
        <v>88</v>
      </c>
      <c r="AG22" s="98" t="s">
        <v>6</v>
      </c>
      <c r="AH22" s="99" t="s">
        <v>7</v>
      </c>
      <c r="AI22" s="62" t="s">
        <v>8</v>
      </c>
    </row>
    <row r="23" spans="1:35" ht="15.75" thickBot="1" x14ac:dyDescent="0.3">
      <c r="B23" s="76" t="s">
        <v>342</v>
      </c>
      <c r="C23" s="84" t="s">
        <v>86</v>
      </c>
      <c r="D23" s="146"/>
      <c r="E23" s="146"/>
      <c r="F23" s="84" t="s">
        <v>348</v>
      </c>
      <c r="G23" s="84" t="s">
        <v>349</v>
      </c>
      <c r="H23" s="74" t="s">
        <v>86</v>
      </c>
      <c r="I23" s="101"/>
      <c r="J23" s="101"/>
      <c r="K23" s="101"/>
      <c r="L23" s="101"/>
      <c r="M23" s="102"/>
      <c r="N23" s="103" t="s">
        <v>86</v>
      </c>
      <c r="O23" s="101"/>
      <c r="P23" s="101"/>
      <c r="Q23" s="101"/>
      <c r="R23" s="101"/>
      <c r="S23" s="102"/>
      <c r="T23" s="103" t="s">
        <v>86</v>
      </c>
      <c r="U23" s="101"/>
      <c r="V23" s="101"/>
      <c r="W23" s="101"/>
      <c r="X23" s="101"/>
      <c r="Y23" s="102"/>
      <c r="Z23" s="103" t="s">
        <v>86</v>
      </c>
      <c r="AA23" s="101"/>
      <c r="AB23" s="101"/>
      <c r="AC23" s="101"/>
      <c r="AD23" s="101"/>
      <c r="AE23" s="102"/>
      <c r="AF23" s="103" t="s">
        <v>86</v>
      </c>
      <c r="AG23" s="101"/>
      <c r="AH23" s="101"/>
      <c r="AI23" s="102"/>
    </row>
    <row r="24" spans="1:35" ht="15.75" thickBot="1" x14ac:dyDescent="0.3">
      <c r="B24" s="77" t="s">
        <v>107</v>
      </c>
      <c r="C24" s="85"/>
      <c r="D24" s="64" t="str">
        <f t="array" ref="D24">INDEX(Table_Name28[Name List],MATCH(B24,Table_Name28[Category],0))</f>
        <v>Front_Delts[Exercise]</v>
      </c>
      <c r="E24" s="81" t="e">
        <f t="array" ref="E24">INDEX(Links49[Link],MATCH(C24,Links49[Exercise],0))</f>
        <v>#N/A</v>
      </c>
      <c r="F24" s="88" t="e">
        <f>HYPERLINK(E24,"Video")</f>
        <v>#N/A</v>
      </c>
      <c r="G24" s="91"/>
      <c r="H24" s="104">
        <f t="shared" ref="H24:H32" si="26">C24</f>
        <v>0</v>
      </c>
      <c r="I24" s="105">
        <v>4</v>
      </c>
      <c r="J24" s="105">
        <f>MROUND(((G24)*0.75),5)</f>
        <v>0</v>
      </c>
      <c r="K24" s="105" t="s">
        <v>11</v>
      </c>
      <c r="L24" s="105"/>
      <c r="M24" s="107"/>
      <c r="N24" s="104">
        <f t="shared" ref="N24:N32" si="27">C24</f>
        <v>0</v>
      </c>
      <c r="O24" s="105">
        <f>I24+(M42)</f>
        <v>4</v>
      </c>
      <c r="P24" s="105">
        <f t="shared" ref="P24:P32" si="28">MROUND((J24*1.05),5)</f>
        <v>0</v>
      </c>
      <c r="Q24" s="105" t="s">
        <v>11</v>
      </c>
      <c r="R24" s="105"/>
      <c r="S24" s="107"/>
      <c r="T24" s="108">
        <f t="shared" ref="T24:T32" si="29">C24</f>
        <v>0</v>
      </c>
      <c r="U24" s="105">
        <f>O24+(S42)</f>
        <v>4</v>
      </c>
      <c r="V24" s="105">
        <f t="shared" ref="V24:V32" si="30">MROUND((J24*1.075),5)</f>
        <v>0</v>
      </c>
      <c r="W24" s="105" t="s">
        <v>12</v>
      </c>
      <c r="X24" s="105"/>
      <c r="Y24" s="107"/>
      <c r="Z24" s="106">
        <f t="shared" ref="Z24:Z32" si="31">C24</f>
        <v>0</v>
      </c>
      <c r="AA24" s="105">
        <f>U24+(Y42)</f>
        <v>4</v>
      </c>
      <c r="AB24" s="105">
        <f t="shared" ref="AB24:AB32" si="32">MROUND((J24*1.1),5)</f>
        <v>0</v>
      </c>
      <c r="AC24" s="105" t="s">
        <v>13</v>
      </c>
      <c r="AD24" s="105"/>
      <c r="AE24" s="107"/>
      <c r="AF24" s="106">
        <f t="shared" ref="AF24:AF32" si="33">C24</f>
        <v>0</v>
      </c>
      <c r="AG24" s="105">
        <v>2</v>
      </c>
      <c r="AH24" s="109">
        <f t="shared" ref="AH24:AH32" si="34">J24</f>
        <v>0</v>
      </c>
      <c r="AI24" s="71" t="s">
        <v>14</v>
      </c>
    </row>
    <row r="25" spans="1:35" ht="15.75" thickBot="1" x14ac:dyDescent="0.3">
      <c r="B25" s="140" t="s">
        <v>17</v>
      </c>
      <c r="C25" s="124"/>
      <c r="D25" s="117" t="str">
        <f t="array" ref="D25">INDEX(Table_Name28[Name List],MATCH(B25,Table_Name28[Category],0))</f>
        <v>Triceps[Exercise]</v>
      </c>
      <c r="E25" s="128" t="e">
        <f t="array" ref="E25">INDEX(Links49[Link],MATCH(C25,Links49[Exercise],0))</f>
        <v>#N/A</v>
      </c>
      <c r="F25" s="132" t="e">
        <f t="shared" ref="F25:F32" si="35">HYPERLINK(E25,"Video")</f>
        <v>#N/A</v>
      </c>
      <c r="G25" s="136"/>
      <c r="H25" s="104">
        <f t="shared" si="26"/>
        <v>0</v>
      </c>
      <c r="I25" s="105">
        <v>4</v>
      </c>
      <c r="J25" s="155">
        <f>MROUND(((G25)*0.75),5)</f>
        <v>0</v>
      </c>
      <c r="K25" s="105" t="s">
        <v>11</v>
      </c>
      <c r="L25" s="105"/>
      <c r="M25" s="147"/>
      <c r="N25" s="104">
        <f t="shared" si="27"/>
        <v>0</v>
      </c>
      <c r="O25" s="105">
        <f>I25+(M39)</f>
        <v>4</v>
      </c>
      <c r="P25" s="105">
        <f t="shared" si="28"/>
        <v>0</v>
      </c>
      <c r="Q25" s="105" t="s">
        <v>11</v>
      </c>
      <c r="R25" s="105"/>
      <c r="S25" s="147"/>
      <c r="T25" s="108">
        <f t="shared" si="29"/>
        <v>0</v>
      </c>
      <c r="U25" s="105">
        <f>O25+(S39)</f>
        <v>4</v>
      </c>
      <c r="V25" s="105">
        <f t="shared" si="30"/>
        <v>0</v>
      </c>
      <c r="W25" s="105" t="s">
        <v>12</v>
      </c>
      <c r="X25" s="105"/>
      <c r="Y25" s="147"/>
      <c r="Z25" s="106">
        <f t="shared" si="31"/>
        <v>0</v>
      </c>
      <c r="AA25" s="105">
        <f>U25+(Y39)</f>
        <v>4</v>
      </c>
      <c r="AB25" s="105">
        <f t="shared" si="32"/>
        <v>0</v>
      </c>
      <c r="AC25" s="105" t="s">
        <v>13</v>
      </c>
      <c r="AD25" s="105"/>
      <c r="AE25" s="147"/>
      <c r="AF25" s="106">
        <f t="shared" si="33"/>
        <v>0</v>
      </c>
      <c r="AG25" s="105">
        <v>2</v>
      </c>
      <c r="AH25" s="109">
        <f t="shared" si="34"/>
        <v>0</v>
      </c>
      <c r="AI25" s="71" t="s">
        <v>14</v>
      </c>
    </row>
    <row r="26" spans="1:35" ht="15.75" thickBot="1" x14ac:dyDescent="0.3">
      <c r="A26" s="58" t="s">
        <v>345</v>
      </c>
      <c r="B26" s="141" t="s">
        <v>17</v>
      </c>
      <c r="C26" s="125"/>
      <c r="D26" s="118" t="str">
        <f t="array" ref="D26">INDEX(Table_Name28[Name List],MATCH(B26,Table_Name28[Category],0))</f>
        <v>Triceps[Exercise]</v>
      </c>
      <c r="E26" s="129" t="e">
        <f t="array" ref="E26">INDEX(Links49[Link],MATCH(C26,Links49[Exercise],0))</f>
        <v>#N/A</v>
      </c>
      <c r="F26" s="133" t="e">
        <f t="shared" si="35"/>
        <v>#N/A</v>
      </c>
      <c r="G26" s="137"/>
      <c r="H26" s="162">
        <f t="shared" si="26"/>
        <v>0</v>
      </c>
      <c r="I26" s="149">
        <v>4</v>
      </c>
      <c r="J26" s="105">
        <f>MROUND(((G26)*0.75),5)</f>
        <v>0</v>
      </c>
      <c r="K26" s="149" t="s">
        <v>11</v>
      </c>
      <c r="L26" s="149"/>
      <c r="M26" s="151"/>
      <c r="N26" s="162">
        <f t="shared" si="27"/>
        <v>0</v>
      </c>
      <c r="O26" s="149">
        <f>I26+(M39)</f>
        <v>4</v>
      </c>
      <c r="P26" s="149">
        <f t="shared" si="28"/>
        <v>0</v>
      </c>
      <c r="Q26" s="149" t="s">
        <v>11</v>
      </c>
      <c r="R26" s="149"/>
      <c r="S26" s="151"/>
      <c r="T26" s="152">
        <f t="shared" si="29"/>
        <v>0</v>
      </c>
      <c r="U26" s="149">
        <f>O26+(S39)</f>
        <v>4</v>
      </c>
      <c r="V26" s="149">
        <f t="shared" si="30"/>
        <v>0</v>
      </c>
      <c r="W26" s="149" t="s">
        <v>12</v>
      </c>
      <c r="X26" s="149"/>
      <c r="Y26" s="151"/>
      <c r="Z26" s="148">
        <f t="shared" si="31"/>
        <v>0</v>
      </c>
      <c r="AA26" s="149">
        <f>U26+(Y39)</f>
        <v>4</v>
      </c>
      <c r="AB26" s="149">
        <f t="shared" si="32"/>
        <v>0</v>
      </c>
      <c r="AC26" s="149" t="s">
        <v>13</v>
      </c>
      <c r="AD26" s="149"/>
      <c r="AE26" s="153"/>
      <c r="AF26" s="104">
        <f t="shared" si="33"/>
        <v>0</v>
      </c>
      <c r="AG26" s="105">
        <v>2</v>
      </c>
      <c r="AH26" s="109">
        <f t="shared" si="34"/>
        <v>0</v>
      </c>
      <c r="AI26" s="71" t="s">
        <v>14</v>
      </c>
    </row>
    <row r="27" spans="1:35" ht="15.75" thickBot="1" x14ac:dyDescent="0.3">
      <c r="A27" s="58" t="s">
        <v>346</v>
      </c>
      <c r="B27" s="142" t="s">
        <v>107</v>
      </c>
      <c r="C27" s="144"/>
      <c r="D27" s="143" t="str">
        <f t="array" ref="D27">INDEX(Table_Name28[Name List],MATCH(B27,Table_Name28[Category],0))</f>
        <v>Front_Delts[Exercise]</v>
      </c>
      <c r="E27" s="130" t="e">
        <f t="array" ref="E27">INDEX(Links49[Link],MATCH(C27,Links49[Exercise],0))</f>
        <v>#N/A</v>
      </c>
      <c r="F27" s="134" t="e">
        <f>HYPERLINK(E27,"Video")</f>
        <v>#N/A</v>
      </c>
      <c r="G27" s="145"/>
      <c r="H27" s="163">
        <f t="shared" ref="H27" si="36">C27</f>
        <v>0</v>
      </c>
      <c r="I27" s="155">
        <v>4</v>
      </c>
      <c r="J27" s="155">
        <f>MROUND(((G27)*0.6),5)</f>
        <v>0</v>
      </c>
      <c r="K27" s="155" t="s">
        <v>11</v>
      </c>
      <c r="L27" s="155"/>
      <c r="M27" s="157"/>
      <c r="N27" s="163">
        <f t="shared" ref="N27" si="37">C27</f>
        <v>0</v>
      </c>
      <c r="O27" s="155">
        <f>I26+(M39)</f>
        <v>4</v>
      </c>
      <c r="P27" s="155">
        <f t="shared" ref="P27" si="38">MROUND((J27*1.05),5)</f>
        <v>0</v>
      </c>
      <c r="Q27" s="155" t="s">
        <v>11</v>
      </c>
      <c r="R27" s="155"/>
      <c r="S27" s="157"/>
      <c r="T27" s="158">
        <f t="shared" ref="T27" si="39">C27</f>
        <v>0</v>
      </c>
      <c r="U27" s="155">
        <f>O26+(S39)</f>
        <v>4</v>
      </c>
      <c r="V27" s="155">
        <f t="shared" ref="V27" si="40">MROUND((J27*1.075),5)</f>
        <v>0</v>
      </c>
      <c r="W27" s="155" t="s">
        <v>12</v>
      </c>
      <c r="X27" s="155"/>
      <c r="Y27" s="157"/>
      <c r="Z27" s="154">
        <f t="shared" ref="Z27" si="41">C27</f>
        <v>0</v>
      </c>
      <c r="AA27" s="155">
        <f>U26+(Y39)</f>
        <v>4</v>
      </c>
      <c r="AB27" s="155">
        <f t="shared" ref="AB27" si="42">MROUND((J27*1.1),5)</f>
        <v>0</v>
      </c>
      <c r="AC27" s="155" t="s">
        <v>13</v>
      </c>
      <c r="AD27" s="155"/>
      <c r="AE27" s="159"/>
      <c r="AF27" s="104"/>
      <c r="AG27" s="105"/>
      <c r="AH27" s="109"/>
      <c r="AI27" s="71"/>
    </row>
    <row r="28" spans="1:35" ht="15.75" thickBot="1" x14ac:dyDescent="0.3">
      <c r="B28" s="77" t="s">
        <v>146</v>
      </c>
      <c r="C28" s="85"/>
      <c r="D28" s="64" t="str">
        <f t="array" ref="D28">INDEX(Table_Name28[Name List],MATCH(B28,Table_Name28[Category],0))</f>
        <v>Incline_Push[Exercise]</v>
      </c>
      <c r="E28" s="81" t="e">
        <f t="array" ref="E28">INDEX(Links49[Link],MATCH(C28,Links49[Exercise],0))</f>
        <v>#N/A</v>
      </c>
      <c r="F28" s="88" t="e">
        <f t="shared" si="35"/>
        <v>#N/A</v>
      </c>
      <c r="G28" s="91"/>
      <c r="H28" s="104">
        <f t="shared" si="26"/>
        <v>0</v>
      </c>
      <c r="I28" s="105">
        <v>4</v>
      </c>
      <c r="J28" s="105">
        <f>MROUND(((G28)*0.75),5)</f>
        <v>0</v>
      </c>
      <c r="K28" s="105" t="s">
        <v>11</v>
      </c>
      <c r="L28" s="105"/>
      <c r="M28" s="161"/>
      <c r="N28" s="104">
        <f t="shared" si="27"/>
        <v>0</v>
      </c>
      <c r="O28" s="105">
        <f>I28+(M42)</f>
        <v>4</v>
      </c>
      <c r="P28" s="105">
        <f t="shared" si="28"/>
        <v>0</v>
      </c>
      <c r="Q28" s="105" t="s">
        <v>11</v>
      </c>
      <c r="R28" s="105"/>
      <c r="S28" s="161"/>
      <c r="T28" s="108">
        <f t="shared" si="29"/>
        <v>0</v>
      </c>
      <c r="U28" s="105">
        <f>O28+(S42)</f>
        <v>4</v>
      </c>
      <c r="V28" s="105">
        <f t="shared" si="30"/>
        <v>0</v>
      </c>
      <c r="W28" s="105" t="s">
        <v>12</v>
      </c>
      <c r="X28" s="105"/>
      <c r="Y28" s="161"/>
      <c r="Z28" s="106">
        <f t="shared" si="31"/>
        <v>0</v>
      </c>
      <c r="AA28" s="105">
        <f>U28+(Y42)</f>
        <v>4</v>
      </c>
      <c r="AB28" s="105">
        <f t="shared" si="32"/>
        <v>0</v>
      </c>
      <c r="AC28" s="105" t="s">
        <v>13</v>
      </c>
      <c r="AD28" s="105"/>
      <c r="AE28" s="161"/>
      <c r="AF28" s="106">
        <f t="shared" si="33"/>
        <v>0</v>
      </c>
      <c r="AG28" s="105">
        <v>2</v>
      </c>
      <c r="AH28" s="109">
        <f t="shared" si="34"/>
        <v>0</v>
      </c>
      <c r="AI28" s="71" t="s">
        <v>14</v>
      </c>
    </row>
    <row r="29" spans="1:35" ht="15.75" thickBot="1" x14ac:dyDescent="0.3">
      <c r="B29" s="78" t="s">
        <v>22</v>
      </c>
      <c r="C29" s="86"/>
      <c r="D29" s="67" t="str">
        <f t="array" ref="D29">INDEX(Table_Name28[Name List],MATCH(B29,Table_Name28[Category],0))</f>
        <v>Horizontal_Push[Exercise]</v>
      </c>
      <c r="E29" s="82" t="e">
        <f t="array" ref="E29">INDEX(Links49[Link],MATCH(C29,Links49[Exercise],0))</f>
        <v>#N/A</v>
      </c>
      <c r="F29" s="89" t="e">
        <f t="shared" si="35"/>
        <v>#N/A</v>
      </c>
      <c r="G29" s="92"/>
      <c r="H29" s="104">
        <f t="shared" si="26"/>
        <v>0</v>
      </c>
      <c r="I29" s="105">
        <v>3</v>
      </c>
      <c r="J29" s="105">
        <f>MROUND(((G29)*0.75),5)</f>
        <v>0</v>
      </c>
      <c r="K29" s="105" t="s">
        <v>11</v>
      </c>
      <c r="L29" s="105"/>
      <c r="M29" s="107"/>
      <c r="N29" s="104">
        <f t="shared" si="27"/>
        <v>0</v>
      </c>
      <c r="O29" s="105">
        <f>I29+(M42)</f>
        <v>3</v>
      </c>
      <c r="P29" s="105">
        <f t="shared" si="28"/>
        <v>0</v>
      </c>
      <c r="Q29" s="105" t="s">
        <v>11</v>
      </c>
      <c r="R29" s="105"/>
      <c r="S29" s="107"/>
      <c r="T29" s="108">
        <f t="shared" si="29"/>
        <v>0</v>
      </c>
      <c r="U29" s="105">
        <f>O29+(S42)</f>
        <v>3</v>
      </c>
      <c r="V29" s="105">
        <f t="shared" si="30"/>
        <v>0</v>
      </c>
      <c r="W29" s="105" t="s">
        <v>12</v>
      </c>
      <c r="X29" s="105"/>
      <c r="Y29" s="107"/>
      <c r="Z29" s="106">
        <f t="shared" si="31"/>
        <v>0</v>
      </c>
      <c r="AA29" s="105">
        <f>U29+(Y42)</f>
        <v>3</v>
      </c>
      <c r="AB29" s="105">
        <f t="shared" si="32"/>
        <v>0</v>
      </c>
      <c r="AC29" s="105" t="s">
        <v>13</v>
      </c>
      <c r="AD29" s="105"/>
      <c r="AE29" s="107"/>
      <c r="AF29" s="106">
        <f t="shared" si="33"/>
        <v>0</v>
      </c>
      <c r="AG29" s="105">
        <v>2</v>
      </c>
      <c r="AH29" s="109">
        <f t="shared" si="34"/>
        <v>0</v>
      </c>
      <c r="AI29" s="71" t="s">
        <v>14</v>
      </c>
    </row>
    <row r="30" spans="1:35" ht="15.75" thickBot="1" x14ac:dyDescent="0.3">
      <c r="B30" s="78" t="s">
        <v>108</v>
      </c>
      <c r="C30" s="86"/>
      <c r="D30" s="67" t="str">
        <f t="array" ref="D30">INDEX(Table_Name28[Name List],MATCH(B30,Table_Name28[Category],0))</f>
        <v>Side_Delts[Exercise]</v>
      </c>
      <c r="E30" s="82" t="e">
        <f t="array" ref="E30">INDEX(Links49[Link],MATCH(C30,Links49[Exercise],0))</f>
        <v>#N/A</v>
      </c>
      <c r="F30" s="89" t="e">
        <f t="shared" si="35"/>
        <v>#N/A</v>
      </c>
      <c r="G30" s="92"/>
      <c r="H30" s="104">
        <f t="shared" si="26"/>
        <v>0</v>
      </c>
      <c r="I30" s="105">
        <v>3</v>
      </c>
      <c r="J30" s="105">
        <f>MROUND(((G30)*0.75),5)</f>
        <v>0</v>
      </c>
      <c r="K30" s="105" t="s">
        <v>11</v>
      </c>
      <c r="L30" s="105"/>
      <c r="M30" s="107"/>
      <c r="N30" s="104">
        <f t="shared" si="27"/>
        <v>0</v>
      </c>
      <c r="O30" s="105">
        <f>I30+(M36)</f>
        <v>3</v>
      </c>
      <c r="P30" s="105">
        <f t="shared" si="28"/>
        <v>0</v>
      </c>
      <c r="Q30" s="105" t="s">
        <v>11</v>
      </c>
      <c r="R30" s="105"/>
      <c r="S30" s="107"/>
      <c r="T30" s="108">
        <f t="shared" si="29"/>
        <v>0</v>
      </c>
      <c r="U30" s="105">
        <f>O30+(S36)</f>
        <v>3</v>
      </c>
      <c r="V30" s="105">
        <f t="shared" si="30"/>
        <v>0</v>
      </c>
      <c r="W30" s="105" t="s">
        <v>12</v>
      </c>
      <c r="X30" s="105"/>
      <c r="Y30" s="107"/>
      <c r="Z30" s="106">
        <f t="shared" si="31"/>
        <v>0</v>
      </c>
      <c r="AA30" s="105">
        <f>U30+(Y36)</f>
        <v>3</v>
      </c>
      <c r="AB30" s="105">
        <f t="shared" si="32"/>
        <v>0</v>
      </c>
      <c r="AC30" s="105" t="s">
        <v>13</v>
      </c>
      <c r="AD30" s="105"/>
      <c r="AE30" s="107"/>
      <c r="AF30" s="106">
        <f t="shared" si="33"/>
        <v>0</v>
      </c>
      <c r="AG30" s="105">
        <v>2</v>
      </c>
      <c r="AH30" s="109">
        <f t="shared" si="34"/>
        <v>0</v>
      </c>
      <c r="AI30" s="71" t="s">
        <v>14</v>
      </c>
    </row>
    <row r="31" spans="1:35" ht="15.75" thickBot="1" x14ac:dyDescent="0.3">
      <c r="B31" s="78" t="s">
        <v>340</v>
      </c>
      <c r="C31" s="86"/>
      <c r="D31" s="67" t="str">
        <f t="array" ref="D31">INDEX(Table_Name28[Name List],MATCH(B31,Table_Name28[Category],0))</f>
        <v>Vertical_Back[Exercise]</v>
      </c>
      <c r="E31" s="82" t="e">
        <f t="array" ref="E31">INDEX(Links49[Link],MATCH(C31,Links49[Exercise],0))</f>
        <v>#N/A</v>
      </c>
      <c r="F31" s="89" t="e">
        <f t="shared" si="35"/>
        <v>#N/A</v>
      </c>
      <c r="G31" s="92"/>
      <c r="H31" s="104">
        <f t="shared" si="26"/>
        <v>0</v>
      </c>
      <c r="I31" s="105">
        <v>2</v>
      </c>
      <c r="J31" s="105">
        <f>MROUND(((G31)*0.75),5)</f>
        <v>0</v>
      </c>
      <c r="K31" s="105" t="s">
        <v>11</v>
      </c>
      <c r="L31" s="105"/>
      <c r="M31" s="107"/>
      <c r="N31" s="104">
        <f t="shared" si="27"/>
        <v>0</v>
      </c>
      <c r="O31" s="105">
        <f>I31+(M41)</f>
        <v>2</v>
      </c>
      <c r="P31" s="105">
        <f t="shared" si="28"/>
        <v>0</v>
      </c>
      <c r="Q31" s="105" t="s">
        <v>11</v>
      </c>
      <c r="R31" s="105"/>
      <c r="S31" s="107"/>
      <c r="T31" s="108">
        <f t="shared" si="29"/>
        <v>0</v>
      </c>
      <c r="U31" s="105">
        <f>O31+(S41)</f>
        <v>2</v>
      </c>
      <c r="V31" s="105">
        <f t="shared" si="30"/>
        <v>0</v>
      </c>
      <c r="W31" s="105" t="s">
        <v>12</v>
      </c>
      <c r="X31" s="105"/>
      <c r="Y31" s="107"/>
      <c r="Z31" s="106">
        <f t="shared" si="31"/>
        <v>0</v>
      </c>
      <c r="AA31" s="105">
        <f>U31+(Y41)</f>
        <v>2</v>
      </c>
      <c r="AB31" s="105">
        <f t="shared" si="32"/>
        <v>0</v>
      </c>
      <c r="AC31" s="105" t="s">
        <v>13</v>
      </c>
      <c r="AD31" s="105"/>
      <c r="AE31" s="107"/>
      <c r="AF31" s="106">
        <f t="shared" si="33"/>
        <v>0</v>
      </c>
      <c r="AG31" s="105">
        <v>2</v>
      </c>
      <c r="AH31" s="109">
        <f t="shared" si="34"/>
        <v>0</v>
      </c>
      <c r="AI31" s="71" t="s">
        <v>14</v>
      </c>
    </row>
    <row r="32" spans="1:35" ht="15.75" thickBot="1" x14ac:dyDescent="0.3">
      <c r="B32" s="79" t="s">
        <v>111</v>
      </c>
      <c r="C32" s="87"/>
      <c r="D32" s="70" t="str">
        <f t="array" ref="D32">INDEX(Table_Name28[Name List],MATCH(B32,Table_Name28[Category],0))</f>
        <v>Glutes[Exercise]</v>
      </c>
      <c r="E32" s="82" t="e">
        <f t="array" ref="E32">INDEX(Links49[Link],MATCH(C32,Links49[Exercise],0))</f>
        <v>#N/A</v>
      </c>
      <c r="F32" s="90" t="e">
        <f t="shared" si="35"/>
        <v>#N/A</v>
      </c>
      <c r="G32" s="93"/>
      <c r="H32" s="110">
        <f t="shared" si="26"/>
        <v>0</v>
      </c>
      <c r="I32" s="111">
        <v>3</v>
      </c>
      <c r="J32" s="111">
        <f>MROUND(((G32)*0.75),5)</f>
        <v>0</v>
      </c>
      <c r="K32" s="111" t="s">
        <v>11</v>
      </c>
      <c r="L32" s="111"/>
      <c r="M32" s="73"/>
      <c r="N32" s="112">
        <f t="shared" si="27"/>
        <v>0</v>
      </c>
      <c r="O32" s="111">
        <f>I32</f>
        <v>3</v>
      </c>
      <c r="P32" s="111">
        <f t="shared" si="28"/>
        <v>0</v>
      </c>
      <c r="Q32" s="111" t="s">
        <v>11</v>
      </c>
      <c r="R32" s="111"/>
      <c r="S32" s="73"/>
      <c r="T32" s="113">
        <f t="shared" si="29"/>
        <v>0</v>
      </c>
      <c r="U32" s="111">
        <f>O32</f>
        <v>3</v>
      </c>
      <c r="V32" s="111">
        <f t="shared" si="30"/>
        <v>0</v>
      </c>
      <c r="W32" s="111" t="s">
        <v>12</v>
      </c>
      <c r="X32" s="111"/>
      <c r="Y32" s="73"/>
      <c r="Z32" s="112">
        <f t="shared" si="31"/>
        <v>0</v>
      </c>
      <c r="AA32" s="111">
        <f>U32</f>
        <v>3</v>
      </c>
      <c r="AB32" s="111">
        <f t="shared" si="32"/>
        <v>0</v>
      </c>
      <c r="AC32" s="111" t="s">
        <v>13</v>
      </c>
      <c r="AD32" s="111"/>
      <c r="AE32" s="73"/>
      <c r="AF32" s="112">
        <f t="shared" si="33"/>
        <v>0</v>
      </c>
      <c r="AG32" s="111">
        <v>2</v>
      </c>
      <c r="AH32" s="114">
        <f t="shared" si="34"/>
        <v>0</v>
      </c>
      <c r="AI32" s="73" t="s">
        <v>14</v>
      </c>
    </row>
    <row r="33" spans="1:35" ht="19.5" thickBot="1" x14ac:dyDescent="0.3">
      <c r="B33" s="72" t="s">
        <v>104</v>
      </c>
      <c r="C33" s="39"/>
      <c r="D33" s="39"/>
      <c r="E33" s="39"/>
      <c r="F33" s="14"/>
      <c r="G33" s="71"/>
      <c r="H33" s="175" t="s">
        <v>1</v>
      </c>
      <c r="I33" s="176"/>
      <c r="J33" s="176"/>
      <c r="K33" s="176"/>
      <c r="L33" s="176"/>
      <c r="M33" s="177"/>
      <c r="N33" s="178" t="s">
        <v>2</v>
      </c>
      <c r="O33" s="179"/>
      <c r="P33" s="179"/>
      <c r="Q33" s="179"/>
      <c r="R33" s="179"/>
      <c r="S33" s="180"/>
      <c r="T33" s="166" t="s">
        <v>3</v>
      </c>
      <c r="U33" s="167"/>
      <c r="V33" s="167"/>
      <c r="W33" s="167"/>
      <c r="X33" s="167"/>
      <c r="Y33" s="168"/>
      <c r="Z33" s="169" t="s">
        <v>4</v>
      </c>
      <c r="AA33" s="170"/>
      <c r="AB33" s="170"/>
      <c r="AC33" s="170"/>
      <c r="AD33" s="170"/>
      <c r="AE33" s="171"/>
      <c r="AF33" s="172" t="s">
        <v>5</v>
      </c>
      <c r="AG33" s="173"/>
      <c r="AH33" s="173"/>
      <c r="AI33" s="174"/>
    </row>
    <row r="34" spans="1:35" ht="15.75" thickBot="1" x14ac:dyDescent="0.3">
      <c r="B34" s="39"/>
      <c r="C34" s="39"/>
      <c r="D34" s="39"/>
      <c r="E34" s="39"/>
      <c r="F34" s="14"/>
      <c r="G34" s="73"/>
      <c r="H34" s="103" t="s">
        <v>88</v>
      </c>
      <c r="I34" s="61" t="s">
        <v>6</v>
      </c>
      <c r="J34" s="99" t="s">
        <v>7</v>
      </c>
      <c r="K34" s="74" t="s">
        <v>8</v>
      </c>
      <c r="L34" s="74" t="s">
        <v>9</v>
      </c>
      <c r="M34" s="100" t="s">
        <v>10</v>
      </c>
      <c r="N34" s="98" t="s">
        <v>88</v>
      </c>
      <c r="O34" s="98" t="s">
        <v>6</v>
      </c>
      <c r="P34" s="99" t="s">
        <v>7</v>
      </c>
      <c r="Q34" s="74" t="s">
        <v>8</v>
      </c>
      <c r="R34" s="74" t="s">
        <v>9</v>
      </c>
      <c r="S34" s="100" t="s">
        <v>10</v>
      </c>
      <c r="T34" s="98" t="s">
        <v>88</v>
      </c>
      <c r="U34" s="98" t="s">
        <v>6</v>
      </c>
      <c r="V34" s="99" t="s">
        <v>7</v>
      </c>
      <c r="W34" s="74" t="s">
        <v>8</v>
      </c>
      <c r="X34" s="74" t="s">
        <v>9</v>
      </c>
      <c r="Y34" s="100" t="s">
        <v>10</v>
      </c>
      <c r="Z34" s="98" t="s">
        <v>88</v>
      </c>
      <c r="AA34" s="98" t="s">
        <v>6</v>
      </c>
      <c r="AB34" s="99" t="s">
        <v>7</v>
      </c>
      <c r="AC34" s="115" t="s">
        <v>15</v>
      </c>
      <c r="AD34" s="74" t="s">
        <v>9</v>
      </c>
      <c r="AE34" s="100" t="s">
        <v>10</v>
      </c>
      <c r="AF34" s="98" t="s">
        <v>88</v>
      </c>
      <c r="AG34" s="98" t="s">
        <v>6</v>
      </c>
      <c r="AH34" s="99" t="s">
        <v>7</v>
      </c>
      <c r="AI34" s="62" t="s">
        <v>8</v>
      </c>
    </row>
    <row r="35" spans="1:35" ht="15.75" thickBot="1" x14ac:dyDescent="0.3">
      <c r="B35" s="59" t="s">
        <v>343</v>
      </c>
      <c r="C35" s="84" t="s">
        <v>106</v>
      </c>
      <c r="D35" s="146"/>
      <c r="E35" s="146"/>
      <c r="F35" s="84" t="s">
        <v>348</v>
      </c>
      <c r="G35" s="84" t="s">
        <v>349</v>
      </c>
      <c r="H35" s="74" t="s">
        <v>106</v>
      </c>
      <c r="I35" s="101"/>
      <c r="J35" s="101"/>
      <c r="K35" s="101"/>
      <c r="L35" s="101"/>
      <c r="M35" s="102"/>
      <c r="N35" s="103" t="s">
        <v>106</v>
      </c>
      <c r="O35" s="101"/>
      <c r="P35" s="101"/>
      <c r="Q35" s="101"/>
      <c r="R35" s="101"/>
      <c r="S35" s="102"/>
      <c r="T35" s="103" t="s">
        <v>106</v>
      </c>
      <c r="U35" s="101"/>
      <c r="V35" s="101"/>
      <c r="W35" s="101"/>
      <c r="X35" s="101"/>
      <c r="Y35" s="102"/>
      <c r="Z35" s="103" t="s">
        <v>106</v>
      </c>
      <c r="AA35" s="101"/>
      <c r="AB35" s="101"/>
      <c r="AC35" s="101"/>
      <c r="AD35" s="101"/>
      <c r="AE35" s="101"/>
      <c r="AF35" s="103" t="s">
        <v>106</v>
      </c>
      <c r="AG35" s="101"/>
      <c r="AH35" s="101"/>
      <c r="AI35" s="102"/>
    </row>
    <row r="36" spans="1:35" ht="15.75" thickBot="1" x14ac:dyDescent="0.3">
      <c r="A36" s="58" t="s">
        <v>345</v>
      </c>
      <c r="B36" s="63" t="s">
        <v>108</v>
      </c>
      <c r="C36" s="85"/>
      <c r="D36" s="64" t="str">
        <f t="array" ref="D36">INDEX(Table_Name28[Name List],MATCH(B36,Table_Name28[Category],0))</f>
        <v>Side_Delts[Exercise]</v>
      </c>
      <c r="E36" s="65" t="e">
        <f t="array" ref="E36">INDEX(Links49[Link],MATCH(C36,Links49[Exercise],0))</f>
        <v>#N/A</v>
      </c>
      <c r="F36" s="88" t="e">
        <f>HYPERLINK(E36,"Video")</f>
        <v>#N/A</v>
      </c>
      <c r="G36" s="91"/>
      <c r="H36" s="162">
        <f t="shared" ref="H36:H44" si="43">C36</f>
        <v>0</v>
      </c>
      <c r="I36" s="149">
        <v>3</v>
      </c>
      <c r="J36" s="149">
        <f>MROUND(((G36)*0.75),5)</f>
        <v>0</v>
      </c>
      <c r="K36" s="149" t="s">
        <v>11</v>
      </c>
      <c r="L36" s="149"/>
      <c r="M36" s="151"/>
      <c r="N36" s="162">
        <f t="shared" ref="N36:N44" si="44">C36</f>
        <v>0</v>
      </c>
      <c r="O36" s="149">
        <f>I36+(S14)</f>
        <v>3</v>
      </c>
      <c r="P36" s="149">
        <f t="shared" ref="P36:P44" si="45">MROUND((J36*1.05),5)</f>
        <v>0</v>
      </c>
      <c r="Q36" s="149" t="s">
        <v>11</v>
      </c>
      <c r="R36" s="149"/>
      <c r="S36" s="151"/>
      <c r="T36" s="152">
        <f t="shared" ref="T36:T44" si="46">C36</f>
        <v>0</v>
      </c>
      <c r="U36" s="149">
        <f>O36+(Y14)</f>
        <v>3</v>
      </c>
      <c r="V36" s="149">
        <f t="shared" ref="V36:V44" si="47">MROUND((J36*1.075),5)</f>
        <v>0</v>
      </c>
      <c r="W36" s="149" t="s">
        <v>12</v>
      </c>
      <c r="X36" s="149"/>
      <c r="Y36" s="151"/>
      <c r="Z36" s="148">
        <f t="shared" ref="Z36:Z44" si="48">C36</f>
        <v>0</v>
      </c>
      <c r="AA36" s="149">
        <f>U36+(AE14)</f>
        <v>3</v>
      </c>
      <c r="AB36" s="149">
        <f t="shared" ref="AB36:AB44" si="49">MROUND((J36*1.1),5)</f>
        <v>0</v>
      </c>
      <c r="AC36" s="149" t="s">
        <v>13</v>
      </c>
      <c r="AD36" s="149"/>
      <c r="AE36" s="164"/>
      <c r="AF36" s="104">
        <f t="shared" ref="AF36:AF44" si="50">C36</f>
        <v>0</v>
      </c>
      <c r="AG36" s="105">
        <v>2</v>
      </c>
      <c r="AH36" s="109">
        <f t="shared" ref="AH36:AH44" si="51">MROUND((J36*0.5),5)</f>
        <v>0</v>
      </c>
      <c r="AI36" s="71" t="s">
        <v>14</v>
      </c>
    </row>
    <row r="37" spans="1:35" ht="15.75" thickBot="1" x14ac:dyDescent="0.3">
      <c r="A37" s="58" t="s">
        <v>346</v>
      </c>
      <c r="B37" s="122" t="s">
        <v>108</v>
      </c>
      <c r="C37" s="126"/>
      <c r="D37" s="119" t="str">
        <f t="array" ref="D37">INDEX(Table_Name28[Name List],MATCH(B37,Table_Name28[Category],0))</f>
        <v>Side_Delts[Exercise]</v>
      </c>
      <c r="E37" s="116" t="e">
        <f t="array" ref="E37">INDEX(Links49[Link],MATCH(C37,Links49[Exercise],0))</f>
        <v>#N/A</v>
      </c>
      <c r="F37" s="134" t="e">
        <f t="shared" ref="F37" si="52">HYPERLINK(E37,"Video")</f>
        <v>#N/A</v>
      </c>
      <c r="G37" s="138"/>
      <c r="H37" s="163">
        <f t="shared" si="43"/>
        <v>0</v>
      </c>
      <c r="I37" s="155">
        <v>3</v>
      </c>
      <c r="J37" s="155">
        <f>MROUND(((G37)*0.6),5)</f>
        <v>0</v>
      </c>
      <c r="K37" s="155" t="s">
        <v>11</v>
      </c>
      <c r="L37" s="155"/>
      <c r="M37" s="157"/>
      <c r="N37" s="163">
        <f t="shared" si="44"/>
        <v>0</v>
      </c>
      <c r="O37" s="155">
        <f>I36+(S14)</f>
        <v>3</v>
      </c>
      <c r="P37" s="155">
        <f t="shared" si="45"/>
        <v>0</v>
      </c>
      <c r="Q37" s="155" t="s">
        <v>11</v>
      </c>
      <c r="R37" s="155"/>
      <c r="S37" s="157"/>
      <c r="T37" s="158">
        <f t="shared" si="46"/>
        <v>0</v>
      </c>
      <c r="U37" s="155">
        <f>O36+(Y14)</f>
        <v>3</v>
      </c>
      <c r="V37" s="155">
        <f t="shared" si="47"/>
        <v>0</v>
      </c>
      <c r="W37" s="155" t="s">
        <v>12</v>
      </c>
      <c r="X37" s="155"/>
      <c r="Y37" s="157"/>
      <c r="Z37" s="154">
        <f t="shared" si="48"/>
        <v>0</v>
      </c>
      <c r="AA37" s="155">
        <f>U36+(AE14)</f>
        <v>3</v>
      </c>
      <c r="AB37" s="155">
        <f t="shared" si="49"/>
        <v>0</v>
      </c>
      <c r="AC37" s="155" t="s">
        <v>13</v>
      </c>
      <c r="AD37" s="155"/>
      <c r="AE37" s="165" t="s">
        <v>344</v>
      </c>
      <c r="AF37" s="104"/>
      <c r="AG37" s="105"/>
      <c r="AH37" s="109"/>
      <c r="AI37" s="71"/>
    </row>
    <row r="38" spans="1:35" ht="15.75" thickBot="1" x14ac:dyDescent="0.3">
      <c r="B38" s="63" t="s">
        <v>18</v>
      </c>
      <c r="C38" s="85"/>
      <c r="D38" s="64" t="str">
        <f t="array" ref="D38">INDEX(Table_Name28[Name List],MATCH(B38,Table_Name28[Category],0))</f>
        <v>Biceps[Exercise]</v>
      </c>
      <c r="E38" s="65" t="e">
        <f t="array" ref="E38">INDEX(Links49[Link],MATCH(C38,Links49[Exercise],0))</f>
        <v>#N/A</v>
      </c>
      <c r="F38" s="88" t="e">
        <f t="shared" ref="F38:F44" si="53">HYPERLINK(E38,"Video")</f>
        <v>#N/A</v>
      </c>
      <c r="G38" s="91"/>
      <c r="H38" s="104">
        <f t="shared" si="43"/>
        <v>0</v>
      </c>
      <c r="I38" s="105">
        <v>4</v>
      </c>
      <c r="J38" s="105">
        <f t="shared" ref="J38:J44" si="54">MROUND(((G38)*0.75),5)</f>
        <v>0</v>
      </c>
      <c r="K38" s="105" t="s">
        <v>11</v>
      </c>
      <c r="L38" s="105"/>
      <c r="M38" s="161"/>
      <c r="N38" s="104">
        <f t="shared" si="44"/>
        <v>0</v>
      </c>
      <c r="O38" s="105">
        <f>I38+(S11)</f>
        <v>4</v>
      </c>
      <c r="P38" s="105">
        <f t="shared" si="45"/>
        <v>0</v>
      </c>
      <c r="Q38" s="105" t="s">
        <v>11</v>
      </c>
      <c r="R38" s="105"/>
      <c r="S38" s="161"/>
      <c r="T38" s="108">
        <f t="shared" si="46"/>
        <v>0</v>
      </c>
      <c r="U38" s="105">
        <f>O38+(Y11)</f>
        <v>4</v>
      </c>
      <c r="V38" s="105">
        <f t="shared" si="47"/>
        <v>0</v>
      </c>
      <c r="W38" s="105" t="s">
        <v>12</v>
      </c>
      <c r="X38" s="105"/>
      <c r="Y38" s="161"/>
      <c r="Z38" s="106">
        <f t="shared" si="48"/>
        <v>0</v>
      </c>
      <c r="AA38" s="105">
        <f>U38+(AE11)</f>
        <v>4</v>
      </c>
      <c r="AB38" s="105">
        <f t="shared" si="49"/>
        <v>0</v>
      </c>
      <c r="AC38" s="105" t="s">
        <v>13</v>
      </c>
      <c r="AD38" s="105"/>
      <c r="AE38" s="105"/>
      <c r="AF38" s="106">
        <f t="shared" si="50"/>
        <v>0</v>
      </c>
      <c r="AG38" s="105">
        <v>2</v>
      </c>
      <c r="AH38" s="109">
        <f t="shared" si="51"/>
        <v>0</v>
      </c>
      <c r="AI38" s="71" t="s">
        <v>14</v>
      </c>
    </row>
    <row r="39" spans="1:35" ht="15.75" thickBot="1" x14ac:dyDescent="0.3">
      <c r="B39" s="66" t="s">
        <v>17</v>
      </c>
      <c r="C39" s="86"/>
      <c r="D39" s="67" t="str">
        <f t="array" ref="D39">INDEX(Table_Name28[Name List],MATCH(B39,Table_Name28[Category],0))</f>
        <v>Triceps[Exercise]</v>
      </c>
      <c r="E39" s="68" t="e">
        <f t="array" ref="E39">INDEX(Links49[Link],MATCH(C39,Links49[Exercise],0))</f>
        <v>#N/A</v>
      </c>
      <c r="F39" s="89" t="e">
        <f t="shared" si="53"/>
        <v>#N/A</v>
      </c>
      <c r="G39" s="92"/>
      <c r="H39" s="104">
        <f t="shared" si="43"/>
        <v>0</v>
      </c>
      <c r="I39" s="105">
        <v>4</v>
      </c>
      <c r="J39" s="105">
        <f t="shared" si="54"/>
        <v>0</v>
      </c>
      <c r="K39" s="105" t="s">
        <v>11</v>
      </c>
      <c r="L39" s="105"/>
      <c r="M39" s="107"/>
      <c r="N39" s="104">
        <f t="shared" si="44"/>
        <v>0</v>
      </c>
      <c r="O39" s="105">
        <f>I39+(S25)</f>
        <v>4</v>
      </c>
      <c r="P39" s="105">
        <f t="shared" si="45"/>
        <v>0</v>
      </c>
      <c r="Q39" s="105" t="s">
        <v>11</v>
      </c>
      <c r="R39" s="105"/>
      <c r="S39" s="107"/>
      <c r="T39" s="108">
        <f t="shared" si="46"/>
        <v>0</v>
      </c>
      <c r="U39" s="105">
        <f>O39+(Y25)</f>
        <v>4</v>
      </c>
      <c r="V39" s="105">
        <f t="shared" si="47"/>
        <v>0</v>
      </c>
      <c r="W39" s="105" t="s">
        <v>12</v>
      </c>
      <c r="X39" s="105"/>
      <c r="Y39" s="107"/>
      <c r="Z39" s="106">
        <f t="shared" si="48"/>
        <v>0</v>
      </c>
      <c r="AA39" s="105">
        <f>U39+(AE25)</f>
        <v>4</v>
      </c>
      <c r="AB39" s="105">
        <f t="shared" si="49"/>
        <v>0</v>
      </c>
      <c r="AC39" s="105" t="s">
        <v>13</v>
      </c>
      <c r="AD39" s="105"/>
      <c r="AE39" s="105"/>
      <c r="AF39" s="106">
        <f t="shared" si="50"/>
        <v>0</v>
      </c>
      <c r="AG39" s="105">
        <v>2</v>
      </c>
      <c r="AH39" s="109">
        <f t="shared" si="51"/>
        <v>0</v>
      </c>
      <c r="AI39" s="71" t="s">
        <v>14</v>
      </c>
    </row>
    <row r="40" spans="1:35" ht="15.75" thickBot="1" x14ac:dyDescent="0.3">
      <c r="B40" s="66" t="s">
        <v>123</v>
      </c>
      <c r="C40" s="86"/>
      <c r="D40" s="67" t="str">
        <f t="array" ref="D40">INDEX(Table_Name28[Name List],MATCH(B40,Table_Name28[Category],0))</f>
        <v>Traps[Exercise]</v>
      </c>
      <c r="E40" s="68" t="e">
        <f t="array" ref="E40">INDEX(Links49[Link],MATCH(C40,Links49[Exercise],0))</f>
        <v>#N/A</v>
      </c>
      <c r="F40" s="89" t="e">
        <f t="shared" si="53"/>
        <v>#N/A</v>
      </c>
      <c r="G40" s="92"/>
      <c r="H40" s="104">
        <f t="shared" si="43"/>
        <v>0</v>
      </c>
      <c r="I40" s="105">
        <v>4</v>
      </c>
      <c r="J40" s="105">
        <f t="shared" si="54"/>
        <v>0</v>
      </c>
      <c r="K40" s="105" t="s">
        <v>11</v>
      </c>
      <c r="L40" s="105"/>
      <c r="M40" s="107"/>
      <c r="N40" s="104">
        <f t="shared" si="44"/>
        <v>0</v>
      </c>
      <c r="O40" s="105">
        <f>I40+(S14)</f>
        <v>4</v>
      </c>
      <c r="P40" s="105">
        <f t="shared" si="45"/>
        <v>0</v>
      </c>
      <c r="Q40" s="105" t="s">
        <v>11</v>
      </c>
      <c r="R40" s="105"/>
      <c r="S40" s="107"/>
      <c r="T40" s="108">
        <f t="shared" si="46"/>
        <v>0</v>
      </c>
      <c r="U40" s="105">
        <f>O40+(Y14)</f>
        <v>4</v>
      </c>
      <c r="V40" s="105">
        <f t="shared" si="47"/>
        <v>0</v>
      </c>
      <c r="W40" s="105" t="s">
        <v>12</v>
      </c>
      <c r="X40" s="105"/>
      <c r="Y40" s="107"/>
      <c r="Z40" s="106">
        <f t="shared" si="48"/>
        <v>0</v>
      </c>
      <c r="AA40" s="105">
        <f>U40+(AE14)</f>
        <v>4</v>
      </c>
      <c r="AB40" s="105">
        <f t="shared" si="49"/>
        <v>0</v>
      </c>
      <c r="AC40" s="105" t="s">
        <v>13</v>
      </c>
      <c r="AD40" s="105"/>
      <c r="AE40" s="105"/>
      <c r="AF40" s="106">
        <f t="shared" si="50"/>
        <v>0</v>
      </c>
      <c r="AG40" s="105">
        <v>2</v>
      </c>
      <c r="AH40" s="109">
        <f t="shared" si="51"/>
        <v>0</v>
      </c>
      <c r="AI40" s="71" t="s">
        <v>14</v>
      </c>
    </row>
    <row r="41" spans="1:35" ht="15.75" thickBot="1" x14ac:dyDescent="0.3">
      <c r="B41" s="66" t="s">
        <v>341</v>
      </c>
      <c r="C41" s="86"/>
      <c r="D41" s="67" t="str">
        <f t="array" ref="D41">INDEX(Table_Name28[Name List],MATCH(B41,Table_Name28[Category],0))</f>
        <v>Horizontal_Back[Exercise]</v>
      </c>
      <c r="E41" s="68" t="e">
        <f t="array" ref="E41">INDEX(Links49[Link],MATCH(C41,Links49[Exercise],0))</f>
        <v>#N/A</v>
      </c>
      <c r="F41" s="89" t="e">
        <f t="shared" si="53"/>
        <v>#N/A</v>
      </c>
      <c r="G41" s="92"/>
      <c r="H41" s="104">
        <f t="shared" si="43"/>
        <v>0</v>
      </c>
      <c r="I41" s="105">
        <v>3</v>
      </c>
      <c r="J41" s="105">
        <f t="shared" si="54"/>
        <v>0</v>
      </c>
      <c r="K41" s="105" t="s">
        <v>11</v>
      </c>
      <c r="L41" s="105"/>
      <c r="M41" s="107"/>
      <c r="N41" s="104">
        <f t="shared" si="44"/>
        <v>0</v>
      </c>
      <c r="O41" s="105">
        <f>I41+(S18)</f>
        <v>3</v>
      </c>
      <c r="P41" s="105">
        <f t="shared" si="45"/>
        <v>0</v>
      </c>
      <c r="Q41" s="105" t="s">
        <v>11</v>
      </c>
      <c r="R41" s="105"/>
      <c r="S41" s="107"/>
      <c r="T41" s="108">
        <f t="shared" si="46"/>
        <v>0</v>
      </c>
      <c r="U41" s="105">
        <f>O41+(Y18)</f>
        <v>3</v>
      </c>
      <c r="V41" s="105">
        <f t="shared" si="47"/>
        <v>0</v>
      </c>
      <c r="W41" s="105" t="s">
        <v>12</v>
      </c>
      <c r="X41" s="105"/>
      <c r="Y41" s="107"/>
      <c r="Z41" s="106">
        <f t="shared" si="48"/>
        <v>0</v>
      </c>
      <c r="AA41" s="105">
        <f>U41+(AE18)</f>
        <v>3</v>
      </c>
      <c r="AB41" s="105">
        <f t="shared" si="49"/>
        <v>0</v>
      </c>
      <c r="AC41" s="105" t="s">
        <v>13</v>
      </c>
      <c r="AD41" s="105"/>
      <c r="AE41" s="105"/>
      <c r="AF41" s="106">
        <f t="shared" si="50"/>
        <v>0</v>
      </c>
      <c r="AG41" s="105">
        <v>2</v>
      </c>
      <c r="AH41" s="109">
        <f t="shared" si="51"/>
        <v>0</v>
      </c>
      <c r="AI41" s="71" t="s">
        <v>14</v>
      </c>
    </row>
    <row r="42" spans="1:35" ht="15.75" thickBot="1" x14ac:dyDescent="0.3">
      <c r="B42" s="66" t="s">
        <v>146</v>
      </c>
      <c r="C42" s="86"/>
      <c r="D42" s="67" t="str">
        <f t="array" ref="D42">INDEX(Table_Name28[Name List],MATCH(B42,Table_Name28[Category],0))</f>
        <v>Incline_Push[Exercise]</v>
      </c>
      <c r="E42" s="68" t="e">
        <f t="array" ref="E42">INDEX(Links49[Link],MATCH(C42,Links49[Exercise],0))</f>
        <v>#N/A</v>
      </c>
      <c r="F42" s="89" t="e">
        <f t="shared" si="53"/>
        <v>#N/A</v>
      </c>
      <c r="G42" s="92"/>
      <c r="H42" s="104">
        <f t="shared" si="43"/>
        <v>0</v>
      </c>
      <c r="I42" s="105">
        <v>3</v>
      </c>
      <c r="J42" s="105">
        <f t="shared" si="54"/>
        <v>0</v>
      </c>
      <c r="K42" s="105" t="s">
        <v>11</v>
      </c>
      <c r="L42" s="105"/>
      <c r="M42" s="107"/>
      <c r="N42" s="104">
        <f t="shared" si="44"/>
        <v>0</v>
      </c>
      <c r="O42" s="105">
        <f>I42+(S19)</f>
        <v>3</v>
      </c>
      <c r="P42" s="105">
        <f t="shared" si="45"/>
        <v>0</v>
      </c>
      <c r="Q42" s="105" t="s">
        <v>11</v>
      </c>
      <c r="R42" s="105"/>
      <c r="S42" s="107"/>
      <c r="T42" s="108">
        <f t="shared" si="46"/>
        <v>0</v>
      </c>
      <c r="U42" s="105">
        <f>O42+(Y19)</f>
        <v>3</v>
      </c>
      <c r="V42" s="105">
        <f t="shared" si="47"/>
        <v>0</v>
      </c>
      <c r="W42" s="105" t="s">
        <v>12</v>
      </c>
      <c r="X42" s="105"/>
      <c r="Y42" s="107"/>
      <c r="Z42" s="106">
        <f t="shared" si="48"/>
        <v>0</v>
      </c>
      <c r="AA42" s="105">
        <f>U42+(AE19)</f>
        <v>3</v>
      </c>
      <c r="AB42" s="105">
        <f t="shared" si="49"/>
        <v>0</v>
      </c>
      <c r="AC42" s="105" t="s">
        <v>13</v>
      </c>
      <c r="AD42" s="105"/>
      <c r="AE42" s="105"/>
      <c r="AF42" s="106">
        <f t="shared" si="50"/>
        <v>0</v>
      </c>
      <c r="AG42" s="105">
        <v>2</v>
      </c>
      <c r="AH42" s="109">
        <f t="shared" si="51"/>
        <v>0</v>
      </c>
      <c r="AI42" s="71" t="s">
        <v>14</v>
      </c>
    </row>
    <row r="43" spans="1:35" x14ac:dyDescent="0.25">
      <c r="B43" s="66" t="s">
        <v>20</v>
      </c>
      <c r="C43" s="86"/>
      <c r="D43" s="67" t="str">
        <f t="array" ref="D43">INDEX(Table_Name28[Name List],MATCH(B43,Table_Name28[Category],0))</f>
        <v>Quads[Exercise]</v>
      </c>
      <c r="E43" s="68" t="e">
        <f t="array" ref="E43">INDEX(Links49[Link],MATCH(C43,Links49[Exercise],0))</f>
        <v>#N/A</v>
      </c>
      <c r="F43" s="89" t="e">
        <f t="shared" si="53"/>
        <v>#N/A</v>
      </c>
      <c r="G43" s="92"/>
      <c r="H43" s="104">
        <f t="shared" si="43"/>
        <v>0</v>
      </c>
      <c r="I43" s="105">
        <v>2</v>
      </c>
      <c r="J43" s="105">
        <f t="shared" si="54"/>
        <v>0</v>
      </c>
      <c r="K43" s="105" t="s">
        <v>11</v>
      </c>
      <c r="L43" s="105"/>
      <c r="M43" s="71"/>
      <c r="N43" s="104">
        <f t="shared" si="44"/>
        <v>0</v>
      </c>
      <c r="O43" s="105">
        <f>I43</f>
        <v>2</v>
      </c>
      <c r="P43" s="105">
        <f t="shared" si="45"/>
        <v>0</v>
      </c>
      <c r="Q43" s="105" t="s">
        <v>11</v>
      </c>
      <c r="R43" s="105"/>
      <c r="S43" s="71"/>
      <c r="T43" s="108">
        <f t="shared" si="46"/>
        <v>0</v>
      </c>
      <c r="U43" s="105">
        <f>O43</f>
        <v>2</v>
      </c>
      <c r="V43" s="105">
        <f t="shared" si="47"/>
        <v>0</v>
      </c>
      <c r="W43" s="105" t="s">
        <v>12</v>
      </c>
      <c r="X43" s="105"/>
      <c r="Y43" s="71"/>
      <c r="Z43" s="106">
        <f t="shared" si="48"/>
        <v>0</v>
      </c>
      <c r="AA43" s="105">
        <f>U43</f>
        <v>2</v>
      </c>
      <c r="AB43" s="105">
        <f t="shared" si="49"/>
        <v>0</v>
      </c>
      <c r="AC43" s="105" t="s">
        <v>13</v>
      </c>
      <c r="AD43" s="105"/>
      <c r="AE43" s="105"/>
      <c r="AF43" s="106">
        <f t="shared" si="50"/>
        <v>0</v>
      </c>
      <c r="AG43" s="105">
        <v>2</v>
      </c>
      <c r="AH43" s="109">
        <f t="shared" si="51"/>
        <v>0</v>
      </c>
      <c r="AI43" s="71" t="s">
        <v>14</v>
      </c>
    </row>
    <row r="44" spans="1:35" ht="15.75" thickBot="1" x14ac:dyDescent="0.3">
      <c r="B44" s="69" t="s">
        <v>110</v>
      </c>
      <c r="C44" s="87"/>
      <c r="D44" s="70" t="str">
        <f t="array" ref="D44">INDEX(Table_Name28[Name List],MATCH(B44,Table_Name28[Category],0))</f>
        <v>Hamstrings_Hip_Hinge[Exercise]</v>
      </c>
      <c r="E44" s="68" t="e">
        <f t="array" ref="E44">INDEX(Links49[Link],MATCH(C44,Links49[Exercise],0))</f>
        <v>#N/A</v>
      </c>
      <c r="F44" s="90" t="e">
        <f t="shared" si="53"/>
        <v>#N/A</v>
      </c>
      <c r="G44" s="93"/>
      <c r="H44" s="110">
        <f t="shared" si="43"/>
        <v>0</v>
      </c>
      <c r="I44" s="111">
        <v>2</v>
      </c>
      <c r="J44" s="111">
        <f t="shared" si="54"/>
        <v>0</v>
      </c>
      <c r="K44" s="111" t="s">
        <v>11</v>
      </c>
      <c r="L44" s="111"/>
      <c r="M44" s="73"/>
      <c r="N44" s="112">
        <f t="shared" si="44"/>
        <v>0</v>
      </c>
      <c r="O44" s="111">
        <f>I44</f>
        <v>2</v>
      </c>
      <c r="P44" s="111">
        <f t="shared" si="45"/>
        <v>0</v>
      </c>
      <c r="Q44" s="111" t="s">
        <v>11</v>
      </c>
      <c r="R44" s="111"/>
      <c r="S44" s="73"/>
      <c r="T44" s="113">
        <f t="shared" si="46"/>
        <v>0</v>
      </c>
      <c r="U44" s="111">
        <f>O44</f>
        <v>2</v>
      </c>
      <c r="V44" s="111">
        <f t="shared" si="47"/>
        <v>0</v>
      </c>
      <c r="W44" s="111" t="s">
        <v>12</v>
      </c>
      <c r="X44" s="111"/>
      <c r="Y44" s="73"/>
      <c r="Z44" s="112">
        <f t="shared" si="48"/>
        <v>0</v>
      </c>
      <c r="AA44" s="111">
        <f>U44</f>
        <v>2</v>
      </c>
      <c r="AB44" s="111">
        <f t="shared" si="49"/>
        <v>0</v>
      </c>
      <c r="AC44" s="111" t="s">
        <v>13</v>
      </c>
      <c r="AD44" s="111"/>
      <c r="AE44" s="111"/>
      <c r="AF44" s="112">
        <f t="shared" si="50"/>
        <v>0</v>
      </c>
      <c r="AG44" s="111">
        <v>2</v>
      </c>
      <c r="AH44" s="114">
        <f t="shared" si="51"/>
        <v>0</v>
      </c>
      <c r="AI44" s="73" t="s">
        <v>14</v>
      </c>
    </row>
    <row r="45" spans="1:35" x14ac:dyDescent="0.25">
      <c r="F45" s="57"/>
      <c r="G45" s="10"/>
      <c r="AC45" t="s">
        <v>0</v>
      </c>
    </row>
    <row r="46" spans="1:35" x14ac:dyDescent="0.25">
      <c r="B46" s="20" t="s">
        <v>105</v>
      </c>
      <c r="F46" s="10"/>
      <c r="G46" s="10"/>
      <c r="I46" s="10"/>
      <c r="O46" s="10"/>
      <c r="U46" s="10"/>
      <c r="Y46" t="s">
        <v>0</v>
      </c>
      <c r="Z46" t="s">
        <v>0</v>
      </c>
      <c r="AA46" s="10"/>
      <c r="AG46" s="10"/>
    </row>
    <row r="47" spans="1:35" x14ac:dyDescent="0.25">
      <c r="F47" s="10"/>
      <c r="G47" s="10"/>
      <c r="AB47" t="s">
        <v>0</v>
      </c>
    </row>
    <row r="48" spans="1:35" x14ac:dyDescent="0.25">
      <c r="G48" t="s">
        <v>0</v>
      </c>
      <c r="H48" t="s">
        <v>0</v>
      </c>
    </row>
    <row r="49" spans="2:31" x14ac:dyDescent="0.25">
      <c r="B49" t="s">
        <v>0</v>
      </c>
    </row>
    <row r="50" spans="2:31" x14ac:dyDescent="0.25">
      <c r="G50" t="s">
        <v>0</v>
      </c>
      <c r="N50" t="s">
        <v>0</v>
      </c>
      <c r="AE50" t="s">
        <v>0</v>
      </c>
    </row>
    <row r="84" spans="1:8" x14ac:dyDescent="0.25">
      <c r="E84" s="45"/>
    </row>
    <row r="85" spans="1:8" x14ac:dyDescent="0.25">
      <c r="E85" s="45"/>
    </row>
    <row r="86" spans="1:8" x14ac:dyDescent="0.25">
      <c r="E86" s="45"/>
    </row>
    <row r="87" spans="1:8" x14ac:dyDescent="0.25">
      <c r="E87" s="45"/>
    </row>
    <row r="88" spans="1:8" hidden="1" x14ac:dyDescent="0.25">
      <c r="C88" t="s">
        <v>21</v>
      </c>
      <c r="E88" s="45"/>
    </row>
    <row r="89" spans="1:8" hidden="1" x14ac:dyDescent="0.25">
      <c r="C89">
        <v>1</v>
      </c>
      <c r="E89" s="45"/>
    </row>
    <row r="90" spans="1:8" hidden="1" x14ac:dyDescent="0.25">
      <c r="C90">
        <v>0</v>
      </c>
      <c r="E90" s="45"/>
    </row>
    <row r="91" spans="1:8" hidden="1" x14ac:dyDescent="0.25">
      <c r="C91">
        <v>-1</v>
      </c>
      <c r="E91" s="45"/>
    </row>
    <row r="92" spans="1:8" hidden="1" x14ac:dyDescent="0.25">
      <c r="E92" s="45"/>
    </row>
    <row r="93" spans="1:8" hidden="1" x14ac:dyDescent="0.25">
      <c r="E93" s="45"/>
    </row>
    <row r="94" spans="1:8" hidden="1" x14ac:dyDescent="0.25">
      <c r="E94" s="45"/>
    </row>
    <row r="95" spans="1:8" hidden="1" x14ac:dyDescent="0.25">
      <c r="E95" s="45"/>
      <c r="F95" s="10"/>
      <c r="G95" s="10"/>
      <c r="H95" s="10"/>
    </row>
    <row r="96" spans="1:8" hidden="1" x14ac:dyDescent="0.25">
      <c r="A96" s="38" t="s">
        <v>77</v>
      </c>
      <c r="B96" s="49" t="s">
        <v>88</v>
      </c>
      <c r="C96" s="53" t="s">
        <v>297</v>
      </c>
      <c r="D96" s="10"/>
      <c r="E96" s="45"/>
      <c r="H96" s="14"/>
    </row>
    <row r="97" spans="1:9" hidden="1" x14ac:dyDescent="0.25">
      <c r="A97" s="14"/>
      <c r="B97" s="54" t="s">
        <v>112</v>
      </c>
      <c r="C97" s="49" t="s">
        <v>181</v>
      </c>
      <c r="D97" s="39"/>
      <c r="E97" s="45"/>
      <c r="H97" s="14"/>
    </row>
    <row r="98" spans="1:9" hidden="1" x14ac:dyDescent="0.25">
      <c r="A98" s="14"/>
      <c r="B98" s="54" t="s">
        <v>79</v>
      </c>
      <c r="C98" s="49" t="s">
        <v>182</v>
      </c>
      <c r="D98" s="39"/>
      <c r="E98" s="45"/>
      <c r="H98" s="14"/>
    </row>
    <row r="99" spans="1:9" hidden="1" x14ac:dyDescent="0.25">
      <c r="A99" s="14"/>
      <c r="B99" s="54" t="s">
        <v>80</v>
      </c>
      <c r="C99" s="49" t="s">
        <v>183</v>
      </c>
      <c r="D99" s="39"/>
      <c r="E99" s="45"/>
      <c r="H99" s="14"/>
    </row>
    <row r="100" spans="1:9" hidden="1" x14ac:dyDescent="0.25">
      <c r="A100" s="14"/>
      <c r="B100" s="54" t="s">
        <v>78</v>
      </c>
      <c r="C100" s="49" t="s">
        <v>184</v>
      </c>
      <c r="D100" s="39"/>
      <c r="E100" s="45"/>
      <c r="H100" s="14"/>
    </row>
    <row r="101" spans="1:9" hidden="1" x14ac:dyDescent="0.25">
      <c r="A101" s="14"/>
      <c r="B101" s="54" t="s">
        <v>113</v>
      </c>
      <c r="C101" s="54" t="s">
        <v>185</v>
      </c>
      <c r="D101" s="41"/>
      <c r="E101" s="45"/>
      <c r="H101" s="14"/>
    </row>
    <row r="102" spans="1:9" hidden="1" x14ac:dyDescent="0.25">
      <c r="A102" s="14"/>
      <c r="B102" s="54" t="s">
        <v>81</v>
      </c>
      <c r="C102" s="49" t="s">
        <v>186</v>
      </c>
      <c r="D102" s="39"/>
      <c r="E102" s="45"/>
      <c r="H102" s="14"/>
    </row>
    <row r="103" spans="1:9" hidden="1" x14ac:dyDescent="0.25">
      <c r="A103" s="14"/>
      <c r="B103" s="54" t="s">
        <v>149</v>
      </c>
      <c r="C103" s="49" t="s">
        <v>187</v>
      </c>
      <c r="D103" s="39"/>
      <c r="E103" s="45"/>
      <c r="H103" s="39"/>
      <c r="I103" s="39"/>
    </row>
    <row r="104" spans="1:9" hidden="1" x14ac:dyDescent="0.25">
      <c r="A104" s="39"/>
      <c r="B104" s="49"/>
      <c r="C104" s="53"/>
      <c r="D104" s="10"/>
      <c r="E104" s="45"/>
    </row>
    <row r="105" spans="1:9" hidden="1" x14ac:dyDescent="0.25">
      <c r="A105" s="38" t="s">
        <v>19</v>
      </c>
      <c r="B105" s="50" t="s">
        <v>88</v>
      </c>
      <c r="C105" s="55" t="s">
        <v>297</v>
      </c>
      <c r="D105" s="44"/>
      <c r="E105" s="45"/>
      <c r="H105" s="38"/>
      <c r="I105" s="39"/>
    </row>
    <row r="106" spans="1:9" hidden="1" x14ac:dyDescent="0.25">
      <c r="A106" s="14"/>
      <c r="B106" s="54" t="s">
        <v>114</v>
      </c>
      <c r="C106" s="49" t="s">
        <v>188</v>
      </c>
      <c r="D106" s="39"/>
      <c r="E106" s="45"/>
      <c r="H106" s="14"/>
    </row>
    <row r="107" spans="1:9" hidden="1" x14ac:dyDescent="0.25">
      <c r="A107" s="14"/>
      <c r="B107" s="54" t="s">
        <v>75</v>
      </c>
      <c r="C107" s="49" t="s">
        <v>189</v>
      </c>
      <c r="D107" s="39"/>
      <c r="E107" s="45"/>
      <c r="H107" s="14"/>
    </row>
    <row r="108" spans="1:9" hidden="1" x14ac:dyDescent="0.25">
      <c r="A108" s="14"/>
      <c r="B108" s="54" t="s">
        <v>74</v>
      </c>
      <c r="C108" s="49" t="s">
        <v>190</v>
      </c>
      <c r="D108" s="39"/>
      <c r="E108" s="45"/>
      <c r="H108" s="14"/>
    </row>
    <row r="109" spans="1:9" hidden="1" x14ac:dyDescent="0.25">
      <c r="A109" s="14"/>
      <c r="B109" s="54" t="s">
        <v>76</v>
      </c>
      <c r="C109" s="49" t="s">
        <v>191</v>
      </c>
      <c r="D109" s="39"/>
      <c r="E109" s="45"/>
      <c r="H109" s="14"/>
    </row>
    <row r="110" spans="1:9" hidden="1" x14ac:dyDescent="0.25">
      <c r="A110" s="39"/>
      <c r="B110" s="49"/>
      <c r="C110" s="53"/>
      <c r="D110" s="10"/>
      <c r="E110" s="45"/>
      <c r="H110" s="39"/>
      <c r="I110" s="39"/>
    </row>
    <row r="111" spans="1:9" hidden="1" x14ac:dyDescent="0.25">
      <c r="A111" s="38" t="s">
        <v>18</v>
      </c>
      <c r="B111" s="50" t="s">
        <v>88</v>
      </c>
      <c r="C111" s="55" t="s">
        <v>297</v>
      </c>
      <c r="D111" s="44"/>
      <c r="E111" s="45"/>
      <c r="H111" s="38"/>
      <c r="I111" s="39"/>
    </row>
    <row r="112" spans="1:9" hidden="1" x14ac:dyDescent="0.25">
      <c r="A112" s="14"/>
      <c r="B112" s="54" t="s">
        <v>61</v>
      </c>
      <c r="C112" s="49" t="s">
        <v>192</v>
      </c>
      <c r="D112" s="39"/>
      <c r="E112" s="45"/>
      <c r="H112" s="14"/>
    </row>
    <row r="113" spans="1:9" hidden="1" x14ac:dyDescent="0.25">
      <c r="A113" s="14"/>
      <c r="B113" s="54" t="s">
        <v>62</v>
      </c>
      <c r="C113" s="49" t="s">
        <v>193</v>
      </c>
      <c r="D113" s="39"/>
      <c r="E113" s="45"/>
      <c r="H113" s="14"/>
    </row>
    <row r="114" spans="1:9" hidden="1" x14ac:dyDescent="0.25">
      <c r="A114" s="14"/>
      <c r="B114" s="54" t="s">
        <v>115</v>
      </c>
      <c r="C114" s="49" t="s">
        <v>194</v>
      </c>
      <c r="D114" s="39"/>
      <c r="E114" s="45"/>
      <c r="H114" s="14"/>
    </row>
    <row r="115" spans="1:9" hidden="1" x14ac:dyDescent="0.25">
      <c r="A115" s="14"/>
      <c r="B115" s="54" t="s">
        <v>63</v>
      </c>
      <c r="C115" s="49" t="s">
        <v>195</v>
      </c>
      <c r="D115" s="39"/>
      <c r="E115" s="45"/>
      <c r="H115" s="14"/>
    </row>
    <row r="116" spans="1:9" hidden="1" x14ac:dyDescent="0.25">
      <c r="A116" s="14"/>
      <c r="B116" s="54" t="s">
        <v>116</v>
      </c>
      <c r="C116" s="49" t="s">
        <v>196</v>
      </c>
      <c r="D116" s="39"/>
      <c r="E116" s="45"/>
      <c r="H116" s="14"/>
    </row>
    <row r="117" spans="1:9" hidden="1" x14ac:dyDescent="0.25">
      <c r="A117" s="14"/>
      <c r="B117" s="54" t="s">
        <v>117</v>
      </c>
      <c r="C117" s="49" t="s">
        <v>197</v>
      </c>
      <c r="D117" s="39"/>
      <c r="E117" s="45"/>
      <c r="H117" s="14"/>
    </row>
    <row r="118" spans="1:9" hidden="1" x14ac:dyDescent="0.25">
      <c r="A118" s="14"/>
      <c r="B118" s="54" t="s">
        <v>150</v>
      </c>
      <c r="C118" s="49" t="s">
        <v>198</v>
      </c>
      <c r="D118" s="39"/>
      <c r="E118" s="45"/>
      <c r="H118" s="14"/>
    </row>
    <row r="119" spans="1:9" hidden="1" x14ac:dyDescent="0.25">
      <c r="A119" s="14"/>
      <c r="B119" s="54" t="s">
        <v>151</v>
      </c>
      <c r="C119" s="49" t="s">
        <v>199</v>
      </c>
      <c r="D119" s="39"/>
      <c r="E119" s="45"/>
      <c r="H119" s="14"/>
    </row>
    <row r="120" spans="1:9" hidden="1" x14ac:dyDescent="0.25">
      <c r="A120" s="14"/>
      <c r="B120" s="54" t="s">
        <v>118</v>
      </c>
      <c r="C120" s="54" t="s">
        <v>200</v>
      </c>
      <c r="D120" s="41"/>
      <c r="E120" s="45"/>
      <c r="H120" s="14"/>
    </row>
    <row r="121" spans="1:9" hidden="1" x14ac:dyDescent="0.25">
      <c r="A121" s="14"/>
      <c r="B121" s="54" t="s">
        <v>119</v>
      </c>
      <c r="C121" s="49" t="s">
        <v>201</v>
      </c>
      <c r="D121" s="39"/>
      <c r="E121" s="45"/>
      <c r="H121" s="14"/>
    </row>
    <row r="122" spans="1:9" hidden="1" x14ac:dyDescent="0.25">
      <c r="A122" s="14"/>
      <c r="B122" s="54" t="s">
        <v>152</v>
      </c>
      <c r="C122" s="49" t="s">
        <v>202</v>
      </c>
      <c r="D122" s="39"/>
      <c r="E122" s="45"/>
      <c r="H122" s="14"/>
    </row>
    <row r="123" spans="1:9" hidden="1" x14ac:dyDescent="0.25">
      <c r="A123" s="39"/>
      <c r="B123" s="49"/>
      <c r="C123" s="51"/>
      <c r="E123" s="45"/>
      <c r="H123" s="39"/>
      <c r="I123" s="39"/>
    </row>
    <row r="124" spans="1:9" hidden="1" x14ac:dyDescent="0.25">
      <c r="A124" s="38" t="s">
        <v>120</v>
      </c>
      <c r="B124" s="50" t="s">
        <v>88</v>
      </c>
      <c r="C124" s="55" t="s">
        <v>297</v>
      </c>
      <c r="D124" s="44"/>
      <c r="E124" s="45"/>
      <c r="H124" s="38"/>
      <c r="I124" s="39"/>
    </row>
    <row r="125" spans="1:9" hidden="1" x14ac:dyDescent="0.25">
      <c r="A125" s="14"/>
      <c r="B125" s="54" t="s">
        <v>51</v>
      </c>
      <c r="C125" s="49" t="s">
        <v>203</v>
      </c>
      <c r="D125" s="39"/>
      <c r="E125" s="45"/>
      <c r="H125" s="14"/>
    </row>
    <row r="126" spans="1:9" hidden="1" x14ac:dyDescent="0.25">
      <c r="A126" s="14"/>
      <c r="B126" s="54" t="s">
        <v>121</v>
      </c>
      <c r="C126" s="49" t="s">
        <v>204</v>
      </c>
      <c r="D126" s="39"/>
      <c r="E126" s="45"/>
      <c r="H126" s="14"/>
    </row>
    <row r="127" spans="1:9" hidden="1" x14ac:dyDescent="0.25">
      <c r="A127" s="14"/>
      <c r="B127" s="54" t="s">
        <v>153</v>
      </c>
      <c r="C127" s="49" t="s">
        <v>205</v>
      </c>
      <c r="D127" s="39"/>
      <c r="E127" s="45"/>
      <c r="H127" s="14"/>
    </row>
    <row r="128" spans="1:9" hidden="1" x14ac:dyDescent="0.25">
      <c r="A128" s="14"/>
      <c r="B128" s="54" t="s">
        <v>50</v>
      </c>
      <c r="C128" s="49" t="s">
        <v>206</v>
      </c>
      <c r="D128" s="39"/>
      <c r="E128" s="45"/>
      <c r="H128" s="14"/>
    </row>
    <row r="129" spans="1:8" hidden="1" x14ac:dyDescent="0.25">
      <c r="A129" s="39"/>
      <c r="B129" s="49"/>
      <c r="C129" s="49"/>
      <c r="D129" s="39"/>
      <c r="E129" s="45"/>
      <c r="H129" s="39"/>
    </row>
    <row r="130" spans="1:8" hidden="1" x14ac:dyDescent="0.25">
      <c r="A130" s="40" t="s">
        <v>108</v>
      </c>
      <c r="B130" s="50" t="s">
        <v>88</v>
      </c>
      <c r="C130" s="55" t="s">
        <v>297</v>
      </c>
      <c r="D130" s="44"/>
      <c r="E130" s="45"/>
      <c r="H130" s="40"/>
    </row>
    <row r="131" spans="1:8" hidden="1" x14ac:dyDescent="0.25">
      <c r="A131" s="14"/>
      <c r="B131" s="54" t="s">
        <v>46</v>
      </c>
      <c r="C131" s="49" t="s">
        <v>207</v>
      </c>
      <c r="D131" s="39"/>
      <c r="E131" s="45"/>
      <c r="H131" s="14"/>
    </row>
    <row r="132" spans="1:8" hidden="1" x14ac:dyDescent="0.25">
      <c r="A132" s="14"/>
      <c r="B132" s="54" t="s">
        <v>47</v>
      </c>
      <c r="C132" s="49" t="s">
        <v>208</v>
      </c>
      <c r="D132" s="39"/>
      <c r="E132" s="45"/>
      <c r="H132" s="14"/>
    </row>
    <row r="133" spans="1:8" hidden="1" x14ac:dyDescent="0.25">
      <c r="A133" s="14"/>
      <c r="B133" s="54" t="s">
        <v>49</v>
      </c>
      <c r="C133" s="49" t="s">
        <v>209</v>
      </c>
      <c r="D133" s="39"/>
      <c r="E133" s="45"/>
      <c r="H133" s="14"/>
    </row>
    <row r="134" spans="1:8" hidden="1" x14ac:dyDescent="0.25">
      <c r="A134" s="14"/>
      <c r="B134" s="54" t="s">
        <v>48</v>
      </c>
      <c r="C134" s="49" t="s">
        <v>210</v>
      </c>
      <c r="D134" s="39"/>
      <c r="E134" s="45"/>
      <c r="H134" s="14"/>
    </row>
    <row r="135" spans="1:8" hidden="1" x14ac:dyDescent="0.25">
      <c r="A135" s="14"/>
      <c r="B135" s="54" t="s">
        <v>122</v>
      </c>
      <c r="C135" s="49" t="s">
        <v>211</v>
      </c>
      <c r="D135" s="39"/>
      <c r="E135" s="45"/>
      <c r="H135" s="14"/>
    </row>
    <row r="136" spans="1:8" hidden="1" x14ac:dyDescent="0.25">
      <c r="A136" s="39"/>
      <c r="B136" s="49"/>
      <c r="C136" s="49"/>
      <c r="D136" s="39"/>
      <c r="E136" s="45"/>
      <c r="H136" s="39"/>
    </row>
    <row r="137" spans="1:8" hidden="1" x14ac:dyDescent="0.25">
      <c r="A137" s="40" t="s">
        <v>123</v>
      </c>
      <c r="B137" s="50" t="s">
        <v>88</v>
      </c>
      <c r="C137" s="55" t="s">
        <v>297</v>
      </c>
      <c r="D137" s="44"/>
      <c r="E137" s="45"/>
      <c r="H137" s="40"/>
    </row>
    <row r="138" spans="1:8" hidden="1" x14ac:dyDescent="0.25">
      <c r="A138" s="14"/>
      <c r="B138" s="54" t="s">
        <v>154</v>
      </c>
      <c r="C138" s="49" t="s">
        <v>212</v>
      </c>
      <c r="D138" s="39"/>
      <c r="E138" s="45"/>
      <c r="H138" s="14"/>
    </row>
    <row r="139" spans="1:8" hidden="1" x14ac:dyDescent="0.25">
      <c r="A139" s="14"/>
      <c r="B139" s="54" t="s">
        <v>124</v>
      </c>
      <c r="C139" s="49" t="s">
        <v>213</v>
      </c>
      <c r="D139" s="39"/>
      <c r="E139" s="45"/>
      <c r="H139" s="14"/>
    </row>
    <row r="140" spans="1:8" hidden="1" x14ac:dyDescent="0.25">
      <c r="A140" s="14"/>
      <c r="B140" s="54" t="s">
        <v>125</v>
      </c>
      <c r="C140" s="49" t="s">
        <v>214</v>
      </c>
      <c r="D140" s="39"/>
      <c r="E140" s="45"/>
      <c r="H140" s="14"/>
    </row>
    <row r="141" spans="1:8" hidden="1" x14ac:dyDescent="0.25">
      <c r="A141" s="14"/>
      <c r="B141" s="54" t="s">
        <v>126</v>
      </c>
      <c r="C141" s="49" t="s">
        <v>215</v>
      </c>
      <c r="D141" s="39"/>
      <c r="E141" s="45"/>
      <c r="H141" s="14"/>
    </row>
    <row r="142" spans="1:8" hidden="1" x14ac:dyDescent="0.25">
      <c r="A142" s="14"/>
      <c r="B142" s="54"/>
      <c r="C142" s="49"/>
      <c r="D142" s="39"/>
      <c r="E142" s="45"/>
      <c r="H142" s="14"/>
    </row>
    <row r="143" spans="1:8" hidden="1" x14ac:dyDescent="0.25">
      <c r="A143" s="40" t="s">
        <v>52</v>
      </c>
      <c r="B143" s="50" t="s">
        <v>88</v>
      </c>
      <c r="C143" s="55" t="s">
        <v>297</v>
      </c>
      <c r="D143" s="44"/>
      <c r="E143" s="45"/>
      <c r="H143" s="40"/>
    </row>
    <row r="144" spans="1:8" hidden="1" x14ac:dyDescent="0.25">
      <c r="A144" s="14"/>
      <c r="B144" s="54" t="s">
        <v>155</v>
      </c>
      <c r="C144" s="49" t="s">
        <v>216</v>
      </c>
      <c r="D144" s="39"/>
      <c r="E144" s="45"/>
      <c r="H144" s="14"/>
    </row>
    <row r="145" spans="1:8" hidden="1" x14ac:dyDescent="0.25">
      <c r="A145" s="14"/>
      <c r="B145" s="54" t="s">
        <v>127</v>
      </c>
      <c r="C145" s="49" t="s">
        <v>217</v>
      </c>
      <c r="D145" s="39"/>
      <c r="E145" s="45"/>
      <c r="H145" s="14"/>
    </row>
    <row r="146" spans="1:8" hidden="1" x14ac:dyDescent="0.25">
      <c r="A146" s="14"/>
      <c r="B146" s="54" t="s">
        <v>56</v>
      </c>
      <c r="C146" s="49" t="s">
        <v>218</v>
      </c>
      <c r="D146" s="39"/>
      <c r="E146" s="45"/>
      <c r="H146" s="14"/>
    </row>
    <row r="147" spans="1:8" hidden="1" x14ac:dyDescent="0.25">
      <c r="A147" s="14"/>
      <c r="B147" s="54" t="s">
        <v>55</v>
      </c>
      <c r="C147" s="49" t="s">
        <v>219</v>
      </c>
      <c r="D147" s="39"/>
      <c r="E147" s="45"/>
      <c r="H147" s="14"/>
    </row>
    <row r="148" spans="1:8" hidden="1" x14ac:dyDescent="0.25">
      <c r="A148" s="14"/>
      <c r="B148" s="54" t="s">
        <v>156</v>
      </c>
      <c r="C148" s="49" t="s">
        <v>220</v>
      </c>
      <c r="D148" s="39"/>
      <c r="E148" s="45"/>
      <c r="H148" s="14"/>
    </row>
    <row r="149" spans="1:8" hidden="1" x14ac:dyDescent="0.25">
      <c r="A149" s="14"/>
      <c r="B149" s="54" t="s">
        <v>53</v>
      </c>
      <c r="C149" s="49" t="s">
        <v>221</v>
      </c>
      <c r="D149" s="39"/>
      <c r="E149" s="45"/>
      <c r="H149" s="14"/>
    </row>
    <row r="150" spans="1:8" hidden="1" x14ac:dyDescent="0.25">
      <c r="A150" s="14"/>
      <c r="B150" s="54" t="s">
        <v>128</v>
      </c>
      <c r="C150" s="49" t="s">
        <v>222</v>
      </c>
      <c r="D150" s="39"/>
      <c r="E150" s="45"/>
      <c r="H150" s="14"/>
    </row>
    <row r="151" spans="1:8" hidden="1" x14ac:dyDescent="0.25">
      <c r="A151" s="14"/>
      <c r="B151" s="54" t="s">
        <v>54</v>
      </c>
      <c r="C151" s="49" t="s">
        <v>223</v>
      </c>
      <c r="D151" s="39"/>
      <c r="E151" s="45"/>
      <c r="H151" s="14"/>
    </row>
    <row r="152" spans="1:8" hidden="1" x14ac:dyDescent="0.25">
      <c r="A152" s="39"/>
      <c r="B152" s="49"/>
      <c r="C152" s="49"/>
      <c r="D152" s="39"/>
      <c r="E152" s="45"/>
      <c r="H152" s="39"/>
    </row>
    <row r="153" spans="1:8" hidden="1" x14ac:dyDescent="0.25">
      <c r="A153" s="40" t="s">
        <v>57</v>
      </c>
      <c r="B153" s="50" t="s">
        <v>88</v>
      </c>
      <c r="C153" s="55" t="s">
        <v>297</v>
      </c>
      <c r="D153" s="44"/>
      <c r="E153" s="45"/>
      <c r="H153" s="40"/>
    </row>
    <row r="154" spans="1:8" hidden="1" x14ac:dyDescent="0.25">
      <c r="A154" s="14"/>
      <c r="B154" s="54" t="s">
        <v>59</v>
      </c>
      <c r="C154" s="49" t="s">
        <v>224</v>
      </c>
      <c r="D154" s="39"/>
      <c r="E154" s="45"/>
      <c r="H154" s="14"/>
    </row>
    <row r="155" spans="1:8" hidden="1" x14ac:dyDescent="0.25">
      <c r="A155" s="14"/>
      <c r="B155" s="54" t="s">
        <v>58</v>
      </c>
      <c r="C155" s="49" t="s">
        <v>225</v>
      </c>
      <c r="D155" s="39"/>
      <c r="E155" s="45"/>
      <c r="H155" s="14"/>
    </row>
    <row r="156" spans="1:8" hidden="1" x14ac:dyDescent="0.25">
      <c r="A156" s="14"/>
      <c r="B156" s="54" t="s">
        <v>157</v>
      </c>
      <c r="C156" s="49" t="s">
        <v>226</v>
      </c>
      <c r="D156" s="39"/>
      <c r="E156" s="45"/>
      <c r="H156" s="14"/>
    </row>
    <row r="157" spans="1:8" hidden="1" x14ac:dyDescent="0.25">
      <c r="A157" s="14"/>
      <c r="B157" s="54" t="s">
        <v>158</v>
      </c>
      <c r="C157" s="49" t="s">
        <v>227</v>
      </c>
      <c r="D157" s="39"/>
      <c r="E157" s="45"/>
      <c r="H157" s="14"/>
    </row>
    <row r="158" spans="1:8" hidden="1" x14ac:dyDescent="0.25">
      <c r="A158" s="14"/>
      <c r="B158" s="54" t="s">
        <v>60</v>
      </c>
      <c r="C158" s="49" t="s">
        <v>228</v>
      </c>
      <c r="D158" s="39"/>
      <c r="E158" s="45"/>
      <c r="H158" s="14"/>
    </row>
    <row r="159" spans="1:8" hidden="1" x14ac:dyDescent="0.25">
      <c r="A159" s="39"/>
      <c r="B159" s="49"/>
      <c r="C159" s="49"/>
      <c r="D159" s="39"/>
      <c r="E159" s="45"/>
      <c r="H159" s="39"/>
    </row>
    <row r="160" spans="1:8" hidden="1" x14ac:dyDescent="0.25">
      <c r="A160" s="38" t="s">
        <v>129</v>
      </c>
      <c r="B160" s="50" t="s">
        <v>88</v>
      </c>
      <c r="C160" s="55" t="s">
        <v>297</v>
      </c>
      <c r="D160" s="44"/>
      <c r="E160" s="45"/>
      <c r="H160" s="38"/>
    </row>
    <row r="161" spans="1:8" hidden="1" x14ac:dyDescent="0.25">
      <c r="A161" s="14"/>
      <c r="B161" s="54" t="s">
        <v>159</v>
      </c>
      <c r="C161" s="49" t="s">
        <v>229</v>
      </c>
      <c r="D161" s="39"/>
      <c r="E161" s="45"/>
      <c r="H161" s="14"/>
    </row>
    <row r="162" spans="1:8" hidden="1" x14ac:dyDescent="0.25">
      <c r="A162" s="14"/>
      <c r="B162" s="54" t="s">
        <v>160</v>
      </c>
      <c r="C162" s="49" t="s">
        <v>230</v>
      </c>
      <c r="D162" s="39"/>
      <c r="E162" s="45"/>
      <c r="H162" s="14"/>
    </row>
    <row r="163" spans="1:8" hidden="1" x14ac:dyDescent="0.25">
      <c r="A163" s="14"/>
      <c r="B163" s="54" t="s">
        <v>161</v>
      </c>
      <c r="C163" s="49" t="s">
        <v>231</v>
      </c>
      <c r="D163" s="39"/>
      <c r="E163" s="45"/>
      <c r="H163" s="14"/>
    </row>
    <row r="164" spans="1:8" hidden="1" x14ac:dyDescent="0.25">
      <c r="A164" s="14"/>
      <c r="B164" s="54" t="s">
        <v>42</v>
      </c>
      <c r="C164" s="49" t="s">
        <v>232</v>
      </c>
      <c r="D164" s="39"/>
      <c r="E164" s="45"/>
      <c r="H164" s="14"/>
    </row>
    <row r="165" spans="1:8" hidden="1" x14ac:dyDescent="0.25">
      <c r="A165" s="14"/>
      <c r="B165" s="54" t="s">
        <v>130</v>
      </c>
      <c r="C165" s="49" t="s">
        <v>233</v>
      </c>
      <c r="D165" s="39"/>
      <c r="E165" s="45"/>
      <c r="H165" s="14"/>
    </row>
    <row r="166" spans="1:8" hidden="1" x14ac:dyDescent="0.25">
      <c r="A166" s="14"/>
      <c r="B166" s="54" t="s">
        <v>131</v>
      </c>
      <c r="C166" s="49" t="s">
        <v>234</v>
      </c>
      <c r="D166" s="39"/>
      <c r="E166" s="45"/>
      <c r="H166" s="14"/>
    </row>
    <row r="167" spans="1:8" hidden="1" x14ac:dyDescent="0.25">
      <c r="A167" s="14"/>
      <c r="B167" s="54" t="s">
        <v>41</v>
      </c>
      <c r="C167" s="49" t="s">
        <v>235</v>
      </c>
      <c r="D167" s="39"/>
      <c r="E167" s="45"/>
      <c r="H167" s="14"/>
    </row>
    <row r="168" spans="1:8" hidden="1" x14ac:dyDescent="0.25">
      <c r="A168" s="14"/>
      <c r="B168" s="54" t="s">
        <v>132</v>
      </c>
      <c r="C168" s="49" t="s">
        <v>236</v>
      </c>
      <c r="D168" s="39"/>
      <c r="E168" s="45"/>
      <c r="H168" s="14"/>
    </row>
    <row r="169" spans="1:8" hidden="1" x14ac:dyDescent="0.25">
      <c r="A169" s="39"/>
      <c r="B169" s="49"/>
      <c r="C169" s="49"/>
      <c r="D169" s="39"/>
      <c r="E169" s="45"/>
      <c r="H169" s="39"/>
    </row>
    <row r="170" spans="1:8" hidden="1" x14ac:dyDescent="0.25">
      <c r="A170" s="40" t="s">
        <v>133</v>
      </c>
      <c r="B170" s="50" t="s">
        <v>88</v>
      </c>
      <c r="C170" s="55" t="s">
        <v>297</v>
      </c>
      <c r="D170" s="44"/>
      <c r="E170" s="45"/>
      <c r="H170" s="40"/>
    </row>
    <row r="171" spans="1:8" hidden="1" x14ac:dyDescent="0.25">
      <c r="A171" s="14"/>
      <c r="B171" s="54" t="s">
        <v>134</v>
      </c>
      <c r="C171" s="49" t="s">
        <v>237</v>
      </c>
      <c r="D171" s="39"/>
      <c r="E171" s="45"/>
      <c r="H171" s="14"/>
    </row>
    <row r="172" spans="1:8" hidden="1" x14ac:dyDescent="0.25">
      <c r="A172" s="14"/>
      <c r="B172" s="54" t="s">
        <v>162</v>
      </c>
      <c r="C172" s="49" t="s">
        <v>238</v>
      </c>
      <c r="D172" s="39"/>
      <c r="E172" s="45"/>
      <c r="H172" s="14"/>
    </row>
    <row r="173" spans="1:8" hidden="1" x14ac:dyDescent="0.25">
      <c r="A173" s="14"/>
      <c r="B173" s="54" t="s">
        <v>163</v>
      </c>
      <c r="C173" s="49" t="s">
        <v>239</v>
      </c>
      <c r="D173" s="39"/>
      <c r="E173" s="45"/>
      <c r="H173" s="14"/>
    </row>
    <row r="174" spans="1:8" hidden="1" x14ac:dyDescent="0.25">
      <c r="A174" s="14"/>
      <c r="B174" s="54" t="s">
        <v>164</v>
      </c>
      <c r="C174" s="49" t="s">
        <v>240</v>
      </c>
      <c r="D174" s="39"/>
      <c r="E174" s="45"/>
      <c r="H174" s="14"/>
    </row>
    <row r="175" spans="1:8" hidden="1" x14ac:dyDescent="0.25">
      <c r="A175" s="14"/>
      <c r="B175" s="54" t="s">
        <v>165</v>
      </c>
      <c r="C175" s="49" t="s">
        <v>241</v>
      </c>
      <c r="D175" s="39"/>
      <c r="E175" s="45"/>
      <c r="H175" s="14"/>
    </row>
    <row r="176" spans="1:8" hidden="1" x14ac:dyDescent="0.25">
      <c r="A176" s="14"/>
      <c r="B176" s="54" t="s">
        <v>166</v>
      </c>
      <c r="C176" s="54" t="s">
        <v>242</v>
      </c>
      <c r="D176" s="41"/>
      <c r="E176" s="45"/>
      <c r="H176" s="14"/>
    </row>
    <row r="177" spans="1:8" hidden="1" x14ac:dyDescent="0.25">
      <c r="A177" s="14"/>
      <c r="B177" s="54" t="s">
        <v>167</v>
      </c>
      <c r="C177" s="54" t="s">
        <v>243</v>
      </c>
      <c r="D177" s="41"/>
      <c r="E177" s="45"/>
      <c r="H177" s="14"/>
    </row>
    <row r="178" spans="1:8" hidden="1" x14ac:dyDescent="0.25">
      <c r="A178" s="14"/>
      <c r="B178" s="54" t="s">
        <v>43</v>
      </c>
      <c r="C178" s="49" t="s">
        <v>244</v>
      </c>
      <c r="D178" s="39"/>
      <c r="E178" s="45"/>
      <c r="H178" s="14"/>
    </row>
    <row r="179" spans="1:8" hidden="1" x14ac:dyDescent="0.25">
      <c r="A179" s="14"/>
      <c r="B179" s="54" t="s">
        <v>168</v>
      </c>
      <c r="C179" s="54" t="s">
        <v>245</v>
      </c>
      <c r="D179" s="41"/>
      <c r="E179" s="45"/>
      <c r="H179" s="14"/>
    </row>
    <row r="180" spans="1:8" hidden="1" x14ac:dyDescent="0.25">
      <c r="A180" s="14"/>
      <c r="B180" s="54" t="s">
        <v>169</v>
      </c>
      <c r="C180" s="54" t="s">
        <v>246</v>
      </c>
      <c r="D180" s="41"/>
      <c r="E180" s="45"/>
      <c r="H180" s="14"/>
    </row>
    <row r="181" spans="1:8" hidden="1" x14ac:dyDescent="0.25">
      <c r="A181" s="14"/>
      <c r="B181" s="54" t="s">
        <v>44</v>
      </c>
      <c r="C181" s="49" t="s">
        <v>247</v>
      </c>
      <c r="D181" s="39"/>
      <c r="E181" s="45"/>
      <c r="H181" s="14"/>
    </row>
    <row r="182" spans="1:8" hidden="1" x14ac:dyDescent="0.25">
      <c r="A182" s="14"/>
      <c r="B182" s="54" t="s">
        <v>45</v>
      </c>
      <c r="C182" s="54" t="s">
        <v>248</v>
      </c>
      <c r="D182" s="41"/>
      <c r="E182" s="45"/>
      <c r="H182" s="14"/>
    </row>
    <row r="183" spans="1:8" hidden="1" x14ac:dyDescent="0.25">
      <c r="A183" s="39"/>
      <c r="B183" s="49"/>
      <c r="C183" s="49"/>
      <c r="D183" s="39"/>
      <c r="E183" s="45"/>
      <c r="H183" s="39"/>
    </row>
    <row r="184" spans="1:8" hidden="1" x14ac:dyDescent="0.25">
      <c r="A184" s="38" t="s">
        <v>20</v>
      </c>
      <c r="B184" s="50" t="s">
        <v>88</v>
      </c>
      <c r="C184" s="55" t="s">
        <v>297</v>
      </c>
      <c r="D184" s="44"/>
      <c r="E184" s="45"/>
      <c r="H184" s="38"/>
    </row>
    <row r="185" spans="1:8" hidden="1" x14ac:dyDescent="0.25">
      <c r="A185" s="14"/>
      <c r="B185" s="54" t="s">
        <v>64</v>
      </c>
      <c r="C185" s="49" t="s">
        <v>249</v>
      </c>
      <c r="D185" s="39"/>
      <c r="E185" s="45"/>
      <c r="H185" s="14"/>
    </row>
    <row r="186" spans="1:8" hidden="1" x14ac:dyDescent="0.25">
      <c r="A186" s="14"/>
      <c r="B186" s="54" t="s">
        <v>170</v>
      </c>
      <c r="C186" s="49" t="s">
        <v>250</v>
      </c>
      <c r="D186" s="39"/>
      <c r="E186" s="45"/>
      <c r="H186" s="14"/>
    </row>
    <row r="187" spans="1:8" hidden="1" x14ac:dyDescent="0.25">
      <c r="A187" s="14"/>
      <c r="B187" s="54" t="s">
        <v>171</v>
      </c>
      <c r="C187" s="49" t="s">
        <v>251</v>
      </c>
      <c r="D187" s="39"/>
      <c r="E187" s="45"/>
      <c r="H187" s="14"/>
    </row>
    <row r="188" spans="1:8" hidden="1" x14ac:dyDescent="0.25">
      <c r="A188" s="14"/>
      <c r="B188" s="54" t="s">
        <v>65</v>
      </c>
      <c r="C188" s="49" t="s">
        <v>252</v>
      </c>
      <c r="D188" s="39"/>
      <c r="E188" s="45"/>
      <c r="H188" s="14"/>
    </row>
    <row r="189" spans="1:8" hidden="1" x14ac:dyDescent="0.25">
      <c r="A189" s="14"/>
      <c r="B189" s="54" t="s">
        <v>135</v>
      </c>
      <c r="C189" s="49" t="s">
        <v>253</v>
      </c>
      <c r="D189" s="39"/>
      <c r="E189" s="45"/>
      <c r="H189" s="14"/>
    </row>
    <row r="190" spans="1:8" hidden="1" x14ac:dyDescent="0.25">
      <c r="A190" s="14"/>
      <c r="B190" s="54" t="s">
        <v>68</v>
      </c>
      <c r="C190" s="49" t="s">
        <v>254</v>
      </c>
      <c r="D190" s="39"/>
      <c r="E190" s="45"/>
      <c r="H190" s="14"/>
    </row>
    <row r="191" spans="1:8" hidden="1" x14ac:dyDescent="0.25">
      <c r="A191" s="14"/>
      <c r="B191" s="54" t="s">
        <v>172</v>
      </c>
      <c r="C191" s="49" t="s">
        <v>255</v>
      </c>
      <c r="D191" s="39"/>
      <c r="E191" s="45"/>
      <c r="H191" s="14"/>
    </row>
    <row r="192" spans="1:8" hidden="1" x14ac:dyDescent="0.25">
      <c r="A192" s="14"/>
      <c r="B192" s="54"/>
      <c r="C192" s="49"/>
      <c r="D192" s="39"/>
      <c r="E192" s="45"/>
      <c r="H192" s="14"/>
    </row>
    <row r="193" spans="1:8" hidden="1" x14ac:dyDescent="0.25">
      <c r="A193" s="40" t="s">
        <v>111</v>
      </c>
      <c r="B193" s="50" t="s">
        <v>88</v>
      </c>
      <c r="C193" s="55" t="s">
        <v>297</v>
      </c>
      <c r="D193" s="44"/>
      <c r="E193" s="45"/>
      <c r="H193" s="40"/>
    </row>
    <row r="194" spans="1:8" hidden="1" x14ac:dyDescent="0.25">
      <c r="A194" s="14"/>
      <c r="B194" s="54" t="s">
        <v>66</v>
      </c>
      <c r="C194" s="49" t="s">
        <v>256</v>
      </c>
      <c r="D194" s="39"/>
      <c r="E194" s="45"/>
      <c r="H194" s="14"/>
    </row>
    <row r="195" spans="1:8" hidden="1" x14ac:dyDescent="0.25">
      <c r="A195" s="14"/>
      <c r="B195" s="54" t="s">
        <v>67</v>
      </c>
      <c r="C195" s="49" t="s">
        <v>257</v>
      </c>
      <c r="D195" s="39"/>
      <c r="E195" s="45"/>
      <c r="H195" s="14"/>
    </row>
    <row r="196" spans="1:8" hidden="1" x14ac:dyDescent="0.25">
      <c r="A196" s="14"/>
      <c r="B196" s="54" t="s">
        <v>136</v>
      </c>
      <c r="C196" s="49" t="s">
        <v>258</v>
      </c>
      <c r="D196" s="39"/>
      <c r="E196" s="45"/>
      <c r="H196" s="14"/>
    </row>
    <row r="197" spans="1:8" hidden="1" x14ac:dyDescent="0.25">
      <c r="A197" s="14"/>
      <c r="B197" s="54" t="s">
        <v>173</v>
      </c>
      <c r="C197" s="49" t="s">
        <v>259</v>
      </c>
      <c r="D197" s="39"/>
      <c r="E197" s="45"/>
      <c r="H197" s="14"/>
    </row>
    <row r="198" spans="1:8" hidden="1" x14ac:dyDescent="0.25">
      <c r="A198" s="14"/>
      <c r="B198" s="54" t="s">
        <v>70</v>
      </c>
      <c r="C198" s="49" t="s">
        <v>260</v>
      </c>
      <c r="D198" s="39"/>
      <c r="E198" s="45"/>
      <c r="H198" s="14"/>
    </row>
    <row r="199" spans="1:8" hidden="1" x14ac:dyDescent="0.25">
      <c r="A199" s="14"/>
      <c r="B199" s="54" t="s">
        <v>69</v>
      </c>
      <c r="C199" s="49" t="s">
        <v>261</v>
      </c>
      <c r="D199" s="39"/>
      <c r="E199" s="45"/>
      <c r="H199" s="14"/>
    </row>
    <row r="200" spans="1:8" hidden="1" x14ac:dyDescent="0.25">
      <c r="A200" s="14"/>
      <c r="B200" s="54" t="s">
        <v>137</v>
      </c>
      <c r="C200" s="49" t="s">
        <v>262</v>
      </c>
      <c r="D200" s="39"/>
      <c r="E200" s="45"/>
      <c r="H200" s="14"/>
    </row>
    <row r="201" spans="1:8" hidden="1" x14ac:dyDescent="0.25">
      <c r="A201" s="14"/>
      <c r="B201" s="54" t="s">
        <v>174</v>
      </c>
      <c r="C201" s="49" t="s">
        <v>263</v>
      </c>
      <c r="D201" s="39"/>
      <c r="E201" s="45"/>
      <c r="H201" s="14"/>
    </row>
    <row r="202" spans="1:8" hidden="1" x14ac:dyDescent="0.25">
      <c r="A202" s="39"/>
      <c r="B202" s="49"/>
      <c r="C202" s="49"/>
      <c r="D202" s="39"/>
      <c r="E202" s="45"/>
      <c r="H202" s="39"/>
    </row>
    <row r="203" spans="1:8" hidden="1" x14ac:dyDescent="0.25">
      <c r="A203" s="40" t="s">
        <v>110</v>
      </c>
      <c r="B203" s="50" t="s">
        <v>88</v>
      </c>
      <c r="C203" s="55" t="s">
        <v>297</v>
      </c>
      <c r="D203" s="44"/>
      <c r="E203" s="45"/>
      <c r="H203" s="40"/>
    </row>
    <row r="204" spans="1:8" hidden="1" x14ac:dyDescent="0.25">
      <c r="A204" s="14"/>
      <c r="B204" s="54" t="s">
        <v>138</v>
      </c>
      <c r="C204" s="49" t="s">
        <v>264</v>
      </c>
      <c r="D204" s="39"/>
      <c r="E204" s="45"/>
      <c r="H204" s="14"/>
    </row>
    <row r="205" spans="1:8" hidden="1" x14ac:dyDescent="0.25">
      <c r="A205" s="14"/>
      <c r="B205" s="54" t="s">
        <v>71</v>
      </c>
      <c r="C205" s="49" t="s">
        <v>265</v>
      </c>
      <c r="D205" s="39"/>
      <c r="E205" s="45"/>
      <c r="H205" s="14"/>
    </row>
    <row r="206" spans="1:8" hidden="1" x14ac:dyDescent="0.25">
      <c r="A206" s="14"/>
      <c r="B206" s="54" t="s">
        <v>72</v>
      </c>
      <c r="C206" s="49" t="s">
        <v>266</v>
      </c>
      <c r="D206" s="39"/>
      <c r="E206" s="45"/>
      <c r="H206" s="14"/>
    </row>
    <row r="207" spans="1:8" hidden="1" x14ac:dyDescent="0.25">
      <c r="A207" s="14"/>
      <c r="B207" s="54" t="s">
        <v>139</v>
      </c>
      <c r="C207" s="49" t="s">
        <v>267</v>
      </c>
      <c r="D207" s="39"/>
      <c r="E207" s="45"/>
      <c r="H207" s="14"/>
    </row>
    <row r="208" spans="1:8" hidden="1" x14ac:dyDescent="0.25">
      <c r="A208" s="14"/>
      <c r="B208" s="49"/>
      <c r="C208" s="49"/>
      <c r="D208" s="39"/>
      <c r="E208" s="45"/>
      <c r="H208" s="14"/>
    </row>
    <row r="209" spans="1:8" hidden="1" x14ac:dyDescent="0.25">
      <c r="A209" s="40" t="s">
        <v>109</v>
      </c>
      <c r="B209" s="50" t="s">
        <v>88</v>
      </c>
      <c r="C209" s="55" t="s">
        <v>297</v>
      </c>
      <c r="D209" s="44"/>
      <c r="E209" s="45"/>
      <c r="H209" s="40"/>
    </row>
    <row r="210" spans="1:8" hidden="1" x14ac:dyDescent="0.25">
      <c r="A210" s="14"/>
      <c r="B210" s="54" t="s">
        <v>175</v>
      </c>
      <c r="C210" s="49" t="s">
        <v>268</v>
      </c>
      <c r="D210" s="39"/>
      <c r="E210" s="45"/>
      <c r="H210" s="14"/>
    </row>
    <row r="211" spans="1:8" hidden="1" x14ac:dyDescent="0.25">
      <c r="A211" s="14"/>
      <c r="B211" s="54" t="s">
        <v>73</v>
      </c>
      <c r="C211" s="49" t="s">
        <v>269</v>
      </c>
      <c r="D211" s="39"/>
      <c r="E211" s="45"/>
      <c r="H211" s="14"/>
    </row>
    <row r="212" spans="1:8" hidden="1" x14ac:dyDescent="0.25">
      <c r="A212" s="14"/>
      <c r="B212" s="54" t="s">
        <v>140</v>
      </c>
      <c r="C212" s="49" t="s">
        <v>270</v>
      </c>
      <c r="D212" s="39"/>
      <c r="E212" s="45"/>
      <c r="H212" s="14"/>
    </row>
    <row r="213" spans="1:8" hidden="1" x14ac:dyDescent="0.25">
      <c r="A213" s="39"/>
      <c r="B213" s="49"/>
      <c r="C213" s="49"/>
      <c r="D213" s="39"/>
      <c r="E213" s="45"/>
      <c r="H213" s="39"/>
    </row>
    <row r="214" spans="1:8" hidden="1" x14ac:dyDescent="0.25">
      <c r="A214" s="40" t="s">
        <v>37</v>
      </c>
      <c r="B214" s="50" t="s">
        <v>88</v>
      </c>
      <c r="C214" s="55" t="s">
        <v>297</v>
      </c>
      <c r="D214" s="44"/>
      <c r="E214" s="45"/>
      <c r="H214" s="40"/>
    </row>
    <row r="215" spans="1:8" hidden="1" x14ac:dyDescent="0.25">
      <c r="A215" s="14"/>
      <c r="B215" s="54" t="s">
        <v>141</v>
      </c>
      <c r="C215" s="49" t="s">
        <v>271</v>
      </c>
      <c r="D215" s="39"/>
      <c r="E215" s="45"/>
      <c r="H215" s="14"/>
    </row>
    <row r="216" spans="1:8" hidden="1" x14ac:dyDescent="0.25">
      <c r="A216" s="14"/>
      <c r="B216" s="54" t="s">
        <v>38</v>
      </c>
      <c r="C216" s="49" t="s">
        <v>272</v>
      </c>
      <c r="D216" s="39"/>
      <c r="E216" s="45"/>
      <c r="H216" s="14"/>
    </row>
    <row r="217" spans="1:8" hidden="1" x14ac:dyDescent="0.25">
      <c r="A217" s="14"/>
      <c r="B217" s="54" t="s">
        <v>39</v>
      </c>
      <c r="C217" s="49" t="s">
        <v>273</v>
      </c>
      <c r="D217" s="39"/>
      <c r="E217" s="45"/>
      <c r="H217" s="14"/>
    </row>
    <row r="218" spans="1:8" hidden="1" x14ac:dyDescent="0.25">
      <c r="A218" s="14"/>
      <c r="B218" s="54" t="s">
        <v>142</v>
      </c>
      <c r="C218" s="49" t="s">
        <v>274</v>
      </c>
      <c r="D218" s="39"/>
      <c r="E218" s="45"/>
      <c r="H218" s="14"/>
    </row>
    <row r="219" spans="1:8" hidden="1" x14ac:dyDescent="0.25">
      <c r="A219" s="14"/>
      <c r="B219" s="54" t="s">
        <v>40</v>
      </c>
      <c r="C219" s="49" t="s">
        <v>275</v>
      </c>
      <c r="D219" s="39"/>
      <c r="E219" s="45"/>
      <c r="H219" s="14"/>
    </row>
    <row r="220" spans="1:8" hidden="1" x14ac:dyDescent="0.25">
      <c r="A220" s="14"/>
      <c r="B220" s="54" t="s">
        <v>143</v>
      </c>
      <c r="C220" s="49" t="s">
        <v>276</v>
      </c>
      <c r="D220" s="39"/>
      <c r="E220" s="45"/>
      <c r="H220" s="14"/>
    </row>
    <row r="221" spans="1:8" hidden="1" x14ac:dyDescent="0.25">
      <c r="A221" s="14"/>
      <c r="B221" s="54" t="s">
        <v>144</v>
      </c>
      <c r="C221" s="49" t="s">
        <v>277</v>
      </c>
      <c r="D221" s="39"/>
      <c r="E221" s="45"/>
      <c r="H221" s="14"/>
    </row>
    <row r="222" spans="1:8" hidden="1" x14ac:dyDescent="0.25">
      <c r="A222" s="39"/>
      <c r="B222" s="49"/>
      <c r="C222" s="49"/>
      <c r="D222" s="39"/>
      <c r="E222" s="45"/>
      <c r="H222" s="39"/>
    </row>
    <row r="223" spans="1:8" hidden="1" x14ac:dyDescent="0.25">
      <c r="A223" s="40" t="s">
        <v>22</v>
      </c>
      <c r="B223" s="50" t="s">
        <v>88</v>
      </c>
      <c r="C223" s="55" t="s">
        <v>297</v>
      </c>
      <c r="D223" s="44"/>
      <c r="E223" s="45"/>
      <c r="H223" s="40"/>
    </row>
    <row r="224" spans="1:8" hidden="1" x14ac:dyDescent="0.25">
      <c r="A224" s="14"/>
      <c r="B224" s="54" t="s">
        <v>23</v>
      </c>
      <c r="C224" s="49" t="s">
        <v>278</v>
      </c>
      <c r="D224" s="39"/>
      <c r="E224" s="45"/>
      <c r="H224" s="14"/>
    </row>
    <row r="225" spans="1:8" hidden="1" x14ac:dyDescent="0.25">
      <c r="A225" s="14"/>
      <c r="B225" s="54" t="s">
        <v>25</v>
      </c>
      <c r="C225" s="49" t="s">
        <v>279</v>
      </c>
      <c r="D225" s="39"/>
      <c r="E225" s="45"/>
      <c r="H225" s="14"/>
    </row>
    <row r="226" spans="1:8" hidden="1" x14ac:dyDescent="0.25">
      <c r="A226" s="14"/>
      <c r="B226" s="54" t="s">
        <v>145</v>
      </c>
      <c r="C226" s="49" t="s">
        <v>280</v>
      </c>
      <c r="D226" s="39"/>
      <c r="E226" s="45"/>
      <c r="H226" s="14"/>
    </row>
    <row r="227" spans="1:8" hidden="1" x14ac:dyDescent="0.25">
      <c r="A227" s="14"/>
      <c r="B227" s="54" t="s">
        <v>24</v>
      </c>
      <c r="C227" s="49" t="s">
        <v>281</v>
      </c>
      <c r="D227" s="39"/>
      <c r="E227" s="45"/>
      <c r="H227" s="14"/>
    </row>
    <row r="228" spans="1:8" hidden="1" x14ac:dyDescent="0.25">
      <c r="A228" s="14"/>
      <c r="B228" s="56" t="s">
        <v>176</v>
      </c>
      <c r="C228" s="52" t="s">
        <v>282</v>
      </c>
      <c r="D228" s="14"/>
      <c r="E228" s="45"/>
      <c r="H228" s="14"/>
    </row>
    <row r="229" spans="1:8" hidden="1" x14ac:dyDescent="0.25">
      <c r="A229" s="14"/>
      <c r="B229" s="54" t="s">
        <v>26</v>
      </c>
      <c r="C229" s="49" t="s">
        <v>283</v>
      </c>
      <c r="D229" s="39"/>
      <c r="E229" s="45"/>
      <c r="H229" s="14"/>
    </row>
    <row r="230" spans="1:8" hidden="1" x14ac:dyDescent="0.25">
      <c r="A230" s="14"/>
      <c r="B230" s="54" t="s">
        <v>27</v>
      </c>
      <c r="C230" s="49" t="s">
        <v>284</v>
      </c>
      <c r="D230" s="39"/>
      <c r="E230" s="45"/>
      <c r="H230" s="14"/>
    </row>
    <row r="231" spans="1:8" hidden="1" x14ac:dyDescent="0.25">
      <c r="A231" s="39"/>
      <c r="B231" s="49"/>
      <c r="C231" s="49"/>
      <c r="D231" s="39"/>
      <c r="E231" s="45"/>
      <c r="H231" s="39"/>
    </row>
    <row r="232" spans="1:8" hidden="1" x14ac:dyDescent="0.25">
      <c r="A232" s="40" t="s">
        <v>146</v>
      </c>
      <c r="B232" s="50" t="s">
        <v>88</v>
      </c>
      <c r="C232" s="55" t="s">
        <v>297</v>
      </c>
      <c r="D232" s="44"/>
      <c r="E232" s="45"/>
      <c r="H232" s="40"/>
    </row>
    <row r="233" spans="1:8" hidden="1" x14ac:dyDescent="0.25">
      <c r="A233" s="14"/>
      <c r="B233" s="54" t="s">
        <v>29</v>
      </c>
      <c r="C233" s="54" t="s">
        <v>285</v>
      </c>
      <c r="D233" s="41"/>
      <c r="E233" s="45"/>
      <c r="H233" s="14"/>
    </row>
    <row r="234" spans="1:8" hidden="1" x14ac:dyDescent="0.25">
      <c r="A234" s="14"/>
      <c r="B234" s="54" t="s">
        <v>31</v>
      </c>
      <c r="C234" s="49" t="s">
        <v>286</v>
      </c>
      <c r="D234" s="39"/>
      <c r="E234" s="45"/>
      <c r="H234" s="14"/>
    </row>
    <row r="235" spans="1:8" hidden="1" x14ac:dyDescent="0.25">
      <c r="A235" s="14"/>
      <c r="B235" s="54" t="s">
        <v>28</v>
      </c>
      <c r="C235" s="49" t="s">
        <v>287</v>
      </c>
      <c r="D235" s="39"/>
      <c r="E235" s="45"/>
      <c r="H235" s="14"/>
    </row>
    <row r="236" spans="1:8" hidden="1" x14ac:dyDescent="0.25">
      <c r="A236" s="14"/>
      <c r="B236" s="54" t="s">
        <v>36</v>
      </c>
      <c r="C236" s="49" t="s">
        <v>288</v>
      </c>
      <c r="D236" s="39"/>
      <c r="E236" s="45"/>
      <c r="H236" s="14"/>
    </row>
    <row r="237" spans="1:8" hidden="1" x14ac:dyDescent="0.25">
      <c r="A237" s="14"/>
      <c r="B237" s="54" t="s">
        <v>30</v>
      </c>
      <c r="C237" s="49" t="s">
        <v>289</v>
      </c>
      <c r="D237" s="39"/>
      <c r="E237" s="45"/>
      <c r="H237" s="14"/>
    </row>
    <row r="238" spans="1:8" hidden="1" x14ac:dyDescent="0.25">
      <c r="A238" s="14"/>
      <c r="B238" s="56" t="s">
        <v>147</v>
      </c>
      <c r="C238" s="52" t="s">
        <v>290</v>
      </c>
      <c r="D238" s="14"/>
      <c r="E238" s="45"/>
      <c r="H238" s="14"/>
    </row>
    <row r="239" spans="1:8" hidden="1" x14ac:dyDescent="0.25">
      <c r="A239" s="14"/>
      <c r="B239" s="54"/>
      <c r="C239" s="49"/>
      <c r="D239" s="39"/>
      <c r="E239" s="45"/>
      <c r="H239" s="14"/>
    </row>
    <row r="240" spans="1:8" hidden="1" x14ac:dyDescent="0.25">
      <c r="A240" s="40" t="s">
        <v>107</v>
      </c>
      <c r="B240" s="50" t="s">
        <v>88</v>
      </c>
      <c r="C240" s="55" t="s">
        <v>297</v>
      </c>
      <c r="D240" s="44"/>
      <c r="E240" s="45"/>
      <c r="H240" s="40"/>
    </row>
    <row r="241" spans="1:9" hidden="1" x14ac:dyDescent="0.25">
      <c r="A241" s="14"/>
      <c r="B241" s="54" t="s">
        <v>32</v>
      </c>
      <c r="C241" s="49" t="s">
        <v>291</v>
      </c>
      <c r="D241" s="39"/>
      <c r="E241" s="45"/>
      <c r="H241" s="14"/>
    </row>
    <row r="242" spans="1:9" hidden="1" x14ac:dyDescent="0.25">
      <c r="A242" s="14"/>
      <c r="B242" s="54" t="s">
        <v>34</v>
      </c>
      <c r="C242" s="49" t="s">
        <v>292</v>
      </c>
      <c r="D242" s="39"/>
      <c r="E242" s="45"/>
      <c r="H242" s="14"/>
    </row>
    <row r="243" spans="1:9" hidden="1" x14ac:dyDescent="0.25">
      <c r="A243" s="14"/>
      <c r="B243" s="54" t="s">
        <v>35</v>
      </c>
      <c r="C243" s="49" t="s">
        <v>293</v>
      </c>
      <c r="D243" s="39"/>
      <c r="E243" s="45"/>
      <c r="H243" s="14"/>
    </row>
    <row r="244" spans="1:9" hidden="1" x14ac:dyDescent="0.25">
      <c r="A244" s="14"/>
      <c r="B244" s="54" t="s">
        <v>177</v>
      </c>
      <c r="C244" s="49" t="s">
        <v>294</v>
      </c>
      <c r="D244" s="39"/>
      <c r="E244" s="45"/>
      <c r="H244" s="14"/>
    </row>
    <row r="245" spans="1:9" hidden="1" x14ac:dyDescent="0.25">
      <c r="A245" s="14"/>
      <c r="B245" s="56" t="s">
        <v>148</v>
      </c>
      <c r="C245" s="52" t="s">
        <v>295</v>
      </c>
      <c r="D245" s="14"/>
      <c r="E245" s="45"/>
      <c r="H245" s="14"/>
    </row>
    <row r="246" spans="1:9" hidden="1" x14ac:dyDescent="0.25">
      <c r="A246" s="14"/>
      <c r="B246" s="54" t="s">
        <v>33</v>
      </c>
      <c r="C246" s="49" t="s">
        <v>296</v>
      </c>
      <c r="D246" s="39"/>
      <c r="E246" s="45"/>
      <c r="H246" s="14"/>
    </row>
    <row r="247" spans="1:9" hidden="1" x14ac:dyDescent="0.25">
      <c r="B247" s="51"/>
      <c r="C247" s="51"/>
      <c r="E247" s="45"/>
    </row>
    <row r="248" spans="1:9" hidden="1" x14ac:dyDescent="0.25">
      <c r="B248" s="51"/>
      <c r="C248" s="51"/>
      <c r="E248" s="45"/>
    </row>
    <row r="249" spans="1:9" hidden="1" x14ac:dyDescent="0.25">
      <c r="A249" s="40" t="s">
        <v>17</v>
      </c>
      <c r="B249" s="50" t="s">
        <v>88</v>
      </c>
      <c r="C249" s="55" t="s">
        <v>297</v>
      </c>
      <c r="D249" s="44"/>
      <c r="E249" s="45"/>
    </row>
    <row r="250" spans="1:9" hidden="1" x14ac:dyDescent="0.25">
      <c r="B250" s="54" t="s">
        <v>155</v>
      </c>
      <c r="C250" s="49" t="s">
        <v>216</v>
      </c>
      <c r="D250" s="39"/>
      <c r="E250" s="45"/>
      <c r="I250" s="41"/>
    </row>
    <row r="251" spans="1:9" hidden="1" x14ac:dyDescent="0.25">
      <c r="B251" s="54" t="s">
        <v>59</v>
      </c>
      <c r="C251" s="49" t="s">
        <v>224</v>
      </c>
      <c r="D251" s="39"/>
      <c r="E251" s="45"/>
      <c r="I251" s="41"/>
    </row>
    <row r="252" spans="1:9" hidden="1" x14ac:dyDescent="0.25">
      <c r="B252" s="54" t="s">
        <v>127</v>
      </c>
      <c r="C252" s="49" t="s">
        <v>217</v>
      </c>
      <c r="D252" s="39"/>
      <c r="E252" s="45"/>
      <c r="I252" s="41"/>
    </row>
    <row r="253" spans="1:9" hidden="1" x14ac:dyDescent="0.25">
      <c r="B253" s="54" t="s">
        <v>58</v>
      </c>
      <c r="C253" s="49" t="s">
        <v>225</v>
      </c>
      <c r="D253" s="39"/>
      <c r="E253" s="45"/>
      <c r="I253" s="41"/>
    </row>
    <row r="254" spans="1:9" hidden="1" x14ac:dyDescent="0.25">
      <c r="B254" s="54" t="s">
        <v>56</v>
      </c>
      <c r="C254" s="49" t="s">
        <v>218</v>
      </c>
      <c r="D254" s="39"/>
      <c r="E254" s="45"/>
      <c r="I254" s="41"/>
    </row>
    <row r="255" spans="1:9" hidden="1" x14ac:dyDescent="0.25">
      <c r="B255" s="54" t="s">
        <v>157</v>
      </c>
      <c r="C255" s="49" t="s">
        <v>226</v>
      </c>
      <c r="D255" s="39"/>
      <c r="E255" s="45"/>
      <c r="I255" s="41"/>
    </row>
    <row r="256" spans="1:9" hidden="1" x14ac:dyDescent="0.25">
      <c r="B256" s="54" t="s">
        <v>55</v>
      </c>
      <c r="C256" s="49" t="s">
        <v>219</v>
      </c>
      <c r="D256" s="39"/>
      <c r="E256" s="45"/>
      <c r="I256" s="41"/>
    </row>
    <row r="257" spans="1:11" hidden="1" x14ac:dyDescent="0.25">
      <c r="B257" s="54" t="s">
        <v>158</v>
      </c>
      <c r="C257" s="49" t="s">
        <v>227</v>
      </c>
      <c r="D257" s="39"/>
      <c r="E257" s="45"/>
      <c r="I257" s="41"/>
    </row>
    <row r="258" spans="1:11" hidden="1" x14ac:dyDescent="0.25">
      <c r="B258" s="54" t="s">
        <v>156</v>
      </c>
      <c r="C258" s="49" t="s">
        <v>220</v>
      </c>
      <c r="D258" s="39"/>
      <c r="E258" s="45"/>
      <c r="I258" s="39"/>
      <c r="K258" s="39"/>
    </row>
    <row r="259" spans="1:11" hidden="1" x14ac:dyDescent="0.25">
      <c r="B259" s="54" t="s">
        <v>60</v>
      </c>
      <c r="C259" s="49" t="s">
        <v>228</v>
      </c>
      <c r="D259" s="39"/>
      <c r="E259" s="45"/>
      <c r="I259" s="39"/>
      <c r="K259" s="39"/>
    </row>
    <row r="260" spans="1:11" hidden="1" x14ac:dyDescent="0.25">
      <c r="B260" s="54" t="s">
        <v>53</v>
      </c>
      <c r="C260" s="49" t="s">
        <v>221</v>
      </c>
      <c r="D260" s="39"/>
      <c r="E260" s="45"/>
      <c r="I260" s="41"/>
    </row>
    <row r="261" spans="1:11" hidden="1" x14ac:dyDescent="0.25">
      <c r="B261" s="54" t="s">
        <v>128</v>
      </c>
      <c r="C261" s="49" t="s">
        <v>222</v>
      </c>
      <c r="D261" s="39"/>
      <c r="E261" s="45"/>
      <c r="I261" s="41"/>
    </row>
    <row r="262" spans="1:11" hidden="1" x14ac:dyDescent="0.25">
      <c r="B262" s="54" t="s">
        <v>54</v>
      </c>
      <c r="C262" s="49" t="s">
        <v>223</v>
      </c>
      <c r="D262" s="39"/>
      <c r="E262" s="45"/>
      <c r="I262" s="41"/>
    </row>
    <row r="263" spans="1:11" hidden="1" x14ac:dyDescent="0.25">
      <c r="B263" s="50" t="s">
        <v>88</v>
      </c>
      <c r="C263" s="55" t="s">
        <v>297</v>
      </c>
      <c r="D263" s="44"/>
      <c r="E263" s="45"/>
      <c r="I263" s="41"/>
    </row>
    <row r="264" spans="1:11" hidden="1" x14ac:dyDescent="0.25">
      <c r="A264" s="40" t="s">
        <v>179</v>
      </c>
      <c r="B264" s="54" t="s">
        <v>29</v>
      </c>
      <c r="C264" s="54" t="s">
        <v>285</v>
      </c>
      <c r="D264" s="41"/>
      <c r="E264" s="45"/>
      <c r="I264" s="41"/>
    </row>
    <row r="265" spans="1:11" hidden="1" x14ac:dyDescent="0.25">
      <c r="B265" s="54" t="s">
        <v>32</v>
      </c>
      <c r="C265" s="49" t="s">
        <v>291</v>
      </c>
      <c r="D265" s="39"/>
      <c r="E265" s="45"/>
      <c r="I265" s="41"/>
    </row>
    <row r="266" spans="1:11" hidden="1" x14ac:dyDescent="0.25">
      <c r="B266" s="54" t="s">
        <v>31</v>
      </c>
      <c r="C266" s="49" t="s">
        <v>286</v>
      </c>
      <c r="D266" s="39"/>
      <c r="E266" s="45"/>
      <c r="I266" s="41"/>
    </row>
    <row r="267" spans="1:11" hidden="1" x14ac:dyDescent="0.25">
      <c r="B267" s="54" t="s">
        <v>34</v>
      </c>
      <c r="C267" s="49" t="s">
        <v>292</v>
      </c>
      <c r="D267" s="39"/>
      <c r="E267" s="46"/>
      <c r="I267" s="41"/>
    </row>
    <row r="268" spans="1:11" hidden="1" x14ac:dyDescent="0.25">
      <c r="B268" s="54" t="s">
        <v>28</v>
      </c>
      <c r="C268" s="49" t="s">
        <v>287</v>
      </c>
      <c r="D268" s="39"/>
      <c r="E268" s="47"/>
      <c r="I268" s="41"/>
    </row>
    <row r="269" spans="1:11" hidden="1" x14ac:dyDescent="0.25">
      <c r="B269" s="54" t="s">
        <v>35</v>
      </c>
      <c r="C269" s="49" t="s">
        <v>293</v>
      </c>
      <c r="D269" s="39"/>
      <c r="E269" s="46"/>
      <c r="I269" s="42"/>
    </row>
    <row r="270" spans="1:11" hidden="1" x14ac:dyDescent="0.25">
      <c r="B270" s="54" t="s">
        <v>36</v>
      </c>
      <c r="C270" s="49" t="s">
        <v>288</v>
      </c>
      <c r="D270" s="39"/>
      <c r="E270" s="47"/>
      <c r="I270" s="41"/>
      <c r="K270" s="39"/>
    </row>
    <row r="271" spans="1:11" hidden="1" x14ac:dyDescent="0.25">
      <c r="B271" s="54" t="s">
        <v>177</v>
      </c>
      <c r="C271" s="49" t="s">
        <v>294</v>
      </c>
      <c r="D271" s="39"/>
      <c r="E271" s="45"/>
      <c r="I271" s="39"/>
      <c r="K271" s="39"/>
    </row>
    <row r="272" spans="1:11" hidden="1" x14ac:dyDescent="0.25">
      <c r="B272" s="54" t="s">
        <v>30</v>
      </c>
      <c r="C272" s="49" t="s">
        <v>289</v>
      </c>
      <c r="D272" s="39"/>
      <c r="E272" s="47"/>
      <c r="I272" s="41"/>
    </row>
    <row r="273" spans="1:9" hidden="1" x14ac:dyDescent="0.25">
      <c r="B273" s="56" t="s">
        <v>148</v>
      </c>
      <c r="C273" s="52" t="s">
        <v>295</v>
      </c>
      <c r="D273" s="14"/>
      <c r="E273" s="48"/>
      <c r="I273" s="41"/>
    </row>
    <row r="274" spans="1:9" hidden="1" x14ac:dyDescent="0.25">
      <c r="B274" s="56" t="s">
        <v>147</v>
      </c>
      <c r="C274" s="52" t="s">
        <v>290</v>
      </c>
      <c r="D274" s="14"/>
      <c r="E274" s="47"/>
      <c r="I274" s="41"/>
    </row>
    <row r="275" spans="1:9" hidden="1" x14ac:dyDescent="0.25">
      <c r="B275" s="54" t="s">
        <v>33</v>
      </c>
      <c r="C275" s="49" t="s">
        <v>296</v>
      </c>
      <c r="D275" s="39"/>
      <c r="E275" s="48"/>
      <c r="I275" s="41"/>
    </row>
    <row r="276" spans="1:9" hidden="1" x14ac:dyDescent="0.25">
      <c r="B276" s="50" t="s">
        <v>88</v>
      </c>
      <c r="C276" s="55" t="s">
        <v>297</v>
      </c>
      <c r="D276" s="44"/>
      <c r="E276" s="47"/>
      <c r="I276" s="42"/>
    </row>
    <row r="277" spans="1:9" hidden="1" x14ac:dyDescent="0.25">
      <c r="A277" s="40" t="s">
        <v>178</v>
      </c>
      <c r="B277" s="54" t="s">
        <v>141</v>
      </c>
      <c r="C277" s="49" t="s">
        <v>271</v>
      </c>
      <c r="D277" s="39"/>
      <c r="E277" s="48"/>
      <c r="I277" s="41"/>
    </row>
    <row r="278" spans="1:9" hidden="1" x14ac:dyDescent="0.25">
      <c r="B278" s="54" t="s">
        <v>155</v>
      </c>
      <c r="C278" s="49" t="s">
        <v>216</v>
      </c>
      <c r="D278" s="39"/>
      <c r="E278" s="47"/>
      <c r="I278" s="41"/>
    </row>
    <row r="279" spans="1:9" hidden="1" x14ac:dyDescent="0.25">
      <c r="B279" s="54" t="s">
        <v>38</v>
      </c>
      <c r="C279" s="49" t="s">
        <v>272</v>
      </c>
      <c r="D279" s="39"/>
      <c r="E279" s="48"/>
      <c r="I279" s="41"/>
    </row>
    <row r="280" spans="1:9" hidden="1" x14ac:dyDescent="0.25">
      <c r="B280" s="54" t="s">
        <v>59</v>
      </c>
      <c r="C280" s="49" t="s">
        <v>224</v>
      </c>
      <c r="D280" s="39"/>
      <c r="E280" s="47"/>
      <c r="I280" s="41"/>
    </row>
    <row r="281" spans="1:9" hidden="1" x14ac:dyDescent="0.25">
      <c r="B281" s="54" t="s">
        <v>39</v>
      </c>
      <c r="C281" s="49" t="s">
        <v>273</v>
      </c>
      <c r="D281" s="39"/>
      <c r="E281" s="48"/>
      <c r="I281" s="41"/>
    </row>
    <row r="282" spans="1:9" hidden="1" x14ac:dyDescent="0.25">
      <c r="B282" s="54" t="s">
        <v>127</v>
      </c>
      <c r="C282" s="49" t="s">
        <v>217</v>
      </c>
      <c r="D282" s="39"/>
      <c r="E282" s="47"/>
      <c r="I282" s="41"/>
    </row>
    <row r="283" spans="1:9" hidden="1" x14ac:dyDescent="0.25">
      <c r="B283" s="54" t="s">
        <v>142</v>
      </c>
      <c r="C283" s="49" t="s">
        <v>274</v>
      </c>
      <c r="D283" s="39"/>
      <c r="E283" s="48"/>
      <c r="I283" s="41"/>
    </row>
    <row r="284" spans="1:9" hidden="1" x14ac:dyDescent="0.25">
      <c r="B284" s="54" t="s">
        <v>58</v>
      </c>
      <c r="C284" s="49" t="s">
        <v>225</v>
      </c>
      <c r="D284" s="39"/>
      <c r="E284" s="47"/>
    </row>
    <row r="285" spans="1:9" hidden="1" x14ac:dyDescent="0.25">
      <c r="B285" s="54" t="s">
        <v>40</v>
      </c>
      <c r="C285" s="49" t="s">
        <v>275</v>
      </c>
      <c r="D285" s="39"/>
      <c r="E285" s="48"/>
    </row>
    <row r="286" spans="1:9" hidden="1" x14ac:dyDescent="0.25">
      <c r="B286" s="54" t="s">
        <v>56</v>
      </c>
      <c r="C286" s="49" t="s">
        <v>218</v>
      </c>
      <c r="D286" s="39"/>
      <c r="E286" s="47"/>
      <c r="I286" s="41"/>
    </row>
    <row r="287" spans="1:9" hidden="1" x14ac:dyDescent="0.25">
      <c r="B287" s="54" t="s">
        <v>143</v>
      </c>
      <c r="C287" s="49" t="s">
        <v>276</v>
      </c>
      <c r="D287" s="39"/>
      <c r="E287" s="48"/>
      <c r="I287" s="41"/>
    </row>
    <row r="288" spans="1:9" hidden="1" x14ac:dyDescent="0.25">
      <c r="B288" s="54" t="s">
        <v>157</v>
      </c>
      <c r="C288" s="49" t="s">
        <v>226</v>
      </c>
      <c r="D288" s="39"/>
      <c r="E288" s="47"/>
      <c r="I288" s="41"/>
    </row>
    <row r="289" spans="1:11" hidden="1" x14ac:dyDescent="0.25">
      <c r="B289" s="54" t="s">
        <v>144</v>
      </c>
      <c r="C289" s="49" t="s">
        <v>277</v>
      </c>
      <c r="D289" s="39"/>
      <c r="E289" s="48"/>
      <c r="I289" s="41"/>
    </row>
    <row r="290" spans="1:11" hidden="1" x14ac:dyDescent="0.25">
      <c r="B290" s="54" t="s">
        <v>55</v>
      </c>
      <c r="C290" s="49" t="s">
        <v>219</v>
      </c>
      <c r="D290" s="39"/>
      <c r="E290" s="47"/>
      <c r="I290" s="41"/>
    </row>
    <row r="291" spans="1:11" hidden="1" x14ac:dyDescent="0.25">
      <c r="B291" s="54" t="s">
        <v>158</v>
      </c>
      <c r="C291" s="49" t="s">
        <v>227</v>
      </c>
      <c r="D291" s="39"/>
      <c r="E291" s="48"/>
      <c r="I291" s="41"/>
    </row>
    <row r="292" spans="1:11" hidden="1" x14ac:dyDescent="0.25">
      <c r="B292" s="54" t="s">
        <v>156</v>
      </c>
      <c r="C292" s="49" t="s">
        <v>220</v>
      </c>
      <c r="D292" s="39"/>
      <c r="E292" s="47"/>
      <c r="I292" s="41"/>
    </row>
    <row r="293" spans="1:11" hidden="1" x14ac:dyDescent="0.25">
      <c r="B293" s="54" t="s">
        <v>60</v>
      </c>
      <c r="C293" s="49" t="s">
        <v>228</v>
      </c>
      <c r="D293" s="39"/>
      <c r="E293" s="48"/>
      <c r="I293" s="41"/>
    </row>
    <row r="294" spans="1:11" hidden="1" x14ac:dyDescent="0.25">
      <c r="B294" s="54" t="s">
        <v>53</v>
      </c>
      <c r="C294" s="49" t="s">
        <v>221</v>
      </c>
      <c r="D294" s="39"/>
      <c r="E294" s="47"/>
      <c r="I294" s="41"/>
    </row>
    <row r="295" spans="1:11" hidden="1" x14ac:dyDescent="0.25">
      <c r="B295" s="54" t="s">
        <v>128</v>
      </c>
      <c r="C295" s="49" t="s">
        <v>222</v>
      </c>
      <c r="D295" s="39"/>
      <c r="E295" s="48"/>
      <c r="I295" s="41"/>
    </row>
    <row r="296" spans="1:11" hidden="1" x14ac:dyDescent="0.25">
      <c r="B296" s="54" t="s">
        <v>54</v>
      </c>
      <c r="C296" s="49" t="s">
        <v>223</v>
      </c>
      <c r="D296" s="39"/>
      <c r="E296" s="47"/>
      <c r="I296" s="41"/>
    </row>
    <row r="297" spans="1:11" hidden="1" x14ac:dyDescent="0.25">
      <c r="B297" s="54"/>
      <c r="C297" s="49"/>
      <c r="D297" s="39"/>
      <c r="E297" s="47"/>
      <c r="I297" s="41"/>
    </row>
    <row r="298" spans="1:11" hidden="1" x14ac:dyDescent="0.25">
      <c r="B298" s="50" t="s">
        <v>88</v>
      </c>
      <c r="C298" s="55" t="s">
        <v>297</v>
      </c>
      <c r="D298" s="44"/>
      <c r="E298" s="48"/>
      <c r="I298" s="41"/>
    </row>
    <row r="299" spans="1:11" hidden="1" x14ac:dyDescent="0.25">
      <c r="A299" s="40" t="s">
        <v>180</v>
      </c>
      <c r="B299" s="54" t="s">
        <v>51</v>
      </c>
      <c r="C299" s="49" t="s">
        <v>203</v>
      </c>
      <c r="D299" s="39"/>
      <c r="E299" s="47"/>
      <c r="I299" s="39"/>
    </row>
    <row r="300" spans="1:11" hidden="1" x14ac:dyDescent="0.25">
      <c r="B300" s="54" t="s">
        <v>46</v>
      </c>
      <c r="C300" s="49" t="s">
        <v>207</v>
      </c>
      <c r="D300" s="39"/>
      <c r="E300" s="48"/>
      <c r="I300" s="41"/>
    </row>
    <row r="301" spans="1:11" hidden="1" x14ac:dyDescent="0.25">
      <c r="B301" s="54" t="s">
        <v>121</v>
      </c>
      <c r="C301" s="49" t="s">
        <v>204</v>
      </c>
      <c r="D301" s="39"/>
      <c r="E301" s="47"/>
      <c r="I301" s="41"/>
    </row>
    <row r="302" spans="1:11" hidden="1" x14ac:dyDescent="0.25">
      <c r="B302" s="54" t="s">
        <v>47</v>
      </c>
      <c r="C302" s="49" t="s">
        <v>208</v>
      </c>
      <c r="D302" s="39"/>
      <c r="E302" s="45"/>
      <c r="I302" s="41"/>
    </row>
    <row r="303" spans="1:11" hidden="1" x14ac:dyDescent="0.25">
      <c r="B303" s="54" t="s">
        <v>153</v>
      </c>
      <c r="C303" s="49" t="s">
        <v>205</v>
      </c>
      <c r="D303" s="39"/>
      <c r="E303" s="45"/>
      <c r="I303" s="41"/>
    </row>
    <row r="304" spans="1:11" hidden="1" x14ac:dyDescent="0.25">
      <c r="B304" s="54" t="s">
        <v>49</v>
      </c>
      <c r="C304" s="49" t="s">
        <v>209</v>
      </c>
      <c r="D304" s="39"/>
      <c r="E304" s="47"/>
      <c r="I304" s="39"/>
      <c r="K304" s="39"/>
    </row>
    <row r="305" spans="2:11" hidden="1" x14ac:dyDescent="0.25">
      <c r="B305" s="54" t="s">
        <v>50</v>
      </c>
      <c r="C305" s="49" t="s">
        <v>206</v>
      </c>
      <c r="D305" s="39"/>
      <c r="E305" s="47"/>
      <c r="I305" s="41"/>
      <c r="K305" s="39"/>
    </row>
    <row r="306" spans="2:11" hidden="1" x14ac:dyDescent="0.25">
      <c r="B306" s="54" t="s">
        <v>48</v>
      </c>
      <c r="C306" s="49" t="s">
        <v>210</v>
      </c>
      <c r="D306" s="39"/>
      <c r="E306" s="47"/>
      <c r="I306" s="41"/>
    </row>
    <row r="307" spans="2:11" hidden="1" x14ac:dyDescent="0.25">
      <c r="B307" s="54" t="s">
        <v>122</v>
      </c>
      <c r="C307" s="49" t="s">
        <v>211</v>
      </c>
      <c r="D307" s="39"/>
      <c r="E307" s="47"/>
      <c r="I307" s="41"/>
    </row>
    <row r="308" spans="2:11" hidden="1" x14ac:dyDescent="0.25"/>
    <row r="309" spans="2:11" hidden="1" x14ac:dyDescent="0.25">
      <c r="B309" t="s">
        <v>298</v>
      </c>
      <c r="C309" t="s">
        <v>299</v>
      </c>
      <c r="D309" t="s">
        <v>336</v>
      </c>
      <c r="E309" t="s">
        <v>338</v>
      </c>
    </row>
    <row r="310" spans="2:11" hidden="1" x14ac:dyDescent="0.25">
      <c r="B310" t="s">
        <v>77</v>
      </c>
      <c r="C310" s="39" t="s">
        <v>77</v>
      </c>
      <c r="D310" s="39" t="s">
        <v>315</v>
      </c>
      <c r="E310" s="39" t="str">
        <f>CONCATENATE(Table_Name28[[#This Row],[Table name]],"[Link]")</f>
        <v>Abs[Link]</v>
      </c>
    </row>
    <row r="311" spans="2:11" hidden="1" x14ac:dyDescent="0.25">
      <c r="B311" t="s">
        <v>19</v>
      </c>
      <c r="C311" s="39" t="s">
        <v>19</v>
      </c>
      <c r="D311" s="39" t="s">
        <v>316</v>
      </c>
      <c r="E311" s="39" t="str">
        <f>CONCATENATE(Table_Name28[[#This Row],[Table name]],"[Link]")</f>
        <v>Calves[Link]</v>
      </c>
    </row>
    <row r="312" spans="2:11" hidden="1" x14ac:dyDescent="0.25">
      <c r="B312" t="s">
        <v>18</v>
      </c>
      <c r="C312" s="39" t="s">
        <v>18</v>
      </c>
      <c r="D312" s="39" t="s">
        <v>317</v>
      </c>
      <c r="E312" s="39" t="str">
        <f>CONCATENATE(Table_Name28[[#This Row],[Table name]],"[Link]")</f>
        <v>Biceps[Link]</v>
      </c>
    </row>
    <row r="313" spans="2:11" hidden="1" x14ac:dyDescent="0.25">
      <c r="B313" t="s">
        <v>120</v>
      </c>
      <c r="C313" s="39" t="s">
        <v>300</v>
      </c>
      <c r="D313" s="39" t="s">
        <v>318</v>
      </c>
      <c r="E313" s="39" t="str">
        <f>CONCATENATE(Table_Name28[[#This Row],[Table name]],"[Link]")</f>
        <v>Rear_Delts[Link]</v>
      </c>
    </row>
    <row r="314" spans="2:11" hidden="1" x14ac:dyDescent="0.25">
      <c r="B314" t="s">
        <v>108</v>
      </c>
      <c r="C314" s="39" t="s">
        <v>301</v>
      </c>
      <c r="D314" s="39" t="s">
        <v>319</v>
      </c>
      <c r="E314" s="39" t="str">
        <f>CONCATENATE(Table_Name28[[#This Row],[Table name]],"[Link]")</f>
        <v>Side_Delts[Link]</v>
      </c>
    </row>
    <row r="315" spans="2:11" hidden="1" x14ac:dyDescent="0.25">
      <c r="B315" t="s">
        <v>123</v>
      </c>
      <c r="C315" s="39" t="s">
        <v>123</v>
      </c>
      <c r="D315" s="39" t="s">
        <v>320</v>
      </c>
      <c r="E315" s="39" t="str">
        <f>CONCATENATE(Table_Name28[[#This Row],[Table name]],"[Link]")</f>
        <v>Traps[Link]</v>
      </c>
    </row>
    <row r="316" spans="2:11" hidden="1" x14ac:dyDescent="0.25">
      <c r="B316" t="s">
        <v>52</v>
      </c>
      <c r="C316" s="39" t="s">
        <v>302</v>
      </c>
      <c r="D316" s="39" t="s">
        <v>321</v>
      </c>
      <c r="E316" s="39" t="str">
        <f>CONCATENATE(Table_Name28[[#This Row],[Table name]],"[Link]")</f>
        <v>Horizontal_Triceps[Link]</v>
      </c>
    </row>
    <row r="317" spans="2:11" hidden="1" x14ac:dyDescent="0.25">
      <c r="B317" t="s">
        <v>57</v>
      </c>
      <c r="C317" s="39" t="s">
        <v>303</v>
      </c>
      <c r="D317" s="39" t="s">
        <v>322</v>
      </c>
      <c r="E317" s="39" t="str">
        <f>CONCATENATE(Table_Name28[[#This Row],[Table name]],"[Link]")</f>
        <v>Vertical_Triceps[Link]</v>
      </c>
    </row>
    <row r="318" spans="2:11" hidden="1" x14ac:dyDescent="0.25">
      <c r="B318" t="s">
        <v>341</v>
      </c>
      <c r="C318" s="39" t="s">
        <v>304</v>
      </c>
      <c r="D318" s="39" t="s">
        <v>337</v>
      </c>
      <c r="E318" s="39" t="str">
        <f>CONCATENATE(Table_Name28[[#This Row],[Table name]],"[Link]")</f>
        <v>Horizonal_Back[Link]</v>
      </c>
    </row>
    <row r="319" spans="2:11" hidden="1" x14ac:dyDescent="0.25">
      <c r="B319" t="s">
        <v>340</v>
      </c>
      <c r="C319" s="39" t="s">
        <v>305</v>
      </c>
      <c r="D319" s="39" t="s">
        <v>323</v>
      </c>
      <c r="E319" s="39" t="str">
        <f>CONCATENATE(Table_Name28[[#This Row],[Table name]],"[Link]")</f>
        <v>Vertical_Back[Link]</v>
      </c>
    </row>
    <row r="320" spans="2:11" hidden="1" x14ac:dyDescent="0.25">
      <c r="B320" t="s">
        <v>20</v>
      </c>
      <c r="C320" s="39" t="s">
        <v>20</v>
      </c>
      <c r="D320" s="39" t="s">
        <v>324</v>
      </c>
      <c r="E320" s="39" t="str">
        <f>CONCATENATE(Table_Name28[[#This Row],[Table name]],"[Link]")</f>
        <v>Quads[Link]</v>
      </c>
    </row>
    <row r="321" spans="2:5" hidden="1" x14ac:dyDescent="0.25">
      <c r="B321" t="s">
        <v>111</v>
      </c>
      <c r="C321" s="39" t="s">
        <v>111</v>
      </c>
      <c r="D321" s="39" t="s">
        <v>325</v>
      </c>
      <c r="E321" s="39" t="str">
        <f>CONCATENATE(Table_Name28[[#This Row],[Table name]],"[Link]")</f>
        <v>Glutes[Link]</v>
      </c>
    </row>
    <row r="322" spans="2:5" hidden="1" x14ac:dyDescent="0.25">
      <c r="B322" t="s">
        <v>110</v>
      </c>
      <c r="C322" s="39" t="s">
        <v>306</v>
      </c>
      <c r="D322" s="39" t="s">
        <v>326</v>
      </c>
      <c r="E322" s="39" t="str">
        <f>CONCATENATE(Table_Name28[[#This Row],[Table name]],"[Link]")</f>
        <v>Hamstrings_Hip_Hinge[Link]</v>
      </c>
    </row>
    <row r="323" spans="2:5" hidden="1" x14ac:dyDescent="0.25">
      <c r="B323" t="s">
        <v>109</v>
      </c>
      <c r="C323" s="39" t="s">
        <v>307</v>
      </c>
      <c r="D323" s="39" t="s">
        <v>327</v>
      </c>
      <c r="E323" s="39" t="str">
        <f>CONCATENATE(Table_Name28[[#This Row],[Table name]],"[Link]")</f>
        <v>Hamstrings_Isolation[Link]</v>
      </c>
    </row>
    <row r="324" spans="2:5" hidden="1" x14ac:dyDescent="0.25">
      <c r="B324" t="s">
        <v>37</v>
      </c>
      <c r="C324" s="39" t="s">
        <v>308</v>
      </c>
      <c r="D324" s="39" t="s">
        <v>328</v>
      </c>
      <c r="E324" s="39" t="str">
        <f>CONCATENATE(Table_Name28[[#This Row],[Table name]],"[Link]")</f>
        <v>Chest_Isolation[Link]</v>
      </c>
    </row>
    <row r="325" spans="2:5" hidden="1" x14ac:dyDescent="0.25">
      <c r="B325" t="s">
        <v>22</v>
      </c>
      <c r="C325" s="39" t="s">
        <v>309</v>
      </c>
      <c r="D325" s="39" t="s">
        <v>329</v>
      </c>
      <c r="E325" s="39" t="str">
        <f>CONCATENATE(Table_Name28[[#This Row],[Table name]],"[Link]")</f>
        <v>Horizontal_Push[Link]</v>
      </c>
    </row>
    <row r="326" spans="2:5" hidden="1" x14ac:dyDescent="0.25">
      <c r="B326" t="s">
        <v>146</v>
      </c>
      <c r="C326" s="39" t="s">
        <v>310</v>
      </c>
      <c r="D326" s="39" t="s">
        <v>330</v>
      </c>
      <c r="E326" s="39" t="str">
        <f>CONCATENATE(Table_Name28[[#This Row],[Table name]],"[Link]")</f>
        <v>Incline_Push[Link]</v>
      </c>
    </row>
    <row r="327" spans="2:5" hidden="1" x14ac:dyDescent="0.25">
      <c r="B327" t="s">
        <v>107</v>
      </c>
      <c r="C327" s="39" t="s">
        <v>311</v>
      </c>
      <c r="D327" s="39" t="s">
        <v>331</v>
      </c>
      <c r="E327" s="39" t="str">
        <f>CONCATENATE(Table_Name28[[#This Row],[Table name]],"[Link]")</f>
        <v>Front_Delts[Link]</v>
      </c>
    </row>
    <row r="328" spans="2:5" hidden="1" x14ac:dyDescent="0.25">
      <c r="B328" t="s">
        <v>17</v>
      </c>
      <c r="C328" s="39" t="s">
        <v>17</v>
      </c>
      <c r="D328" s="39" t="s">
        <v>332</v>
      </c>
      <c r="E328" s="39" t="str">
        <f>CONCATENATE(Table_Name28[[#This Row],[Table name]],"[Link]")</f>
        <v>Triceps[Link]</v>
      </c>
    </row>
    <row r="329" spans="2:5" hidden="1" x14ac:dyDescent="0.25">
      <c r="B329" t="s">
        <v>179</v>
      </c>
      <c r="C329" s="39" t="s">
        <v>312</v>
      </c>
      <c r="D329" s="39" t="s">
        <v>333</v>
      </c>
      <c r="E329" s="39" t="str">
        <f>CONCATENATE(Table_Name28[[#This Row],[Table name]],"[Link]")</f>
        <v>Incline_Push_or_Front_Delts[Link]</v>
      </c>
    </row>
    <row r="330" spans="2:5" hidden="1" x14ac:dyDescent="0.25">
      <c r="B330" t="s">
        <v>178</v>
      </c>
      <c r="C330" s="39" t="s">
        <v>313</v>
      </c>
      <c r="D330" s="39" t="s">
        <v>334</v>
      </c>
      <c r="E330" s="39" t="str">
        <f>CONCATENATE(Table_Name28[[#This Row],[Table name]],"[Link]")</f>
        <v>Chest_Isolation_or_Triceps[Link]</v>
      </c>
    </row>
    <row r="331" spans="2:5" hidden="1" x14ac:dyDescent="0.25">
      <c r="B331" t="s">
        <v>180</v>
      </c>
      <c r="C331" s="39" t="s">
        <v>314</v>
      </c>
      <c r="D331" s="39" t="s">
        <v>335</v>
      </c>
      <c r="E331" s="39" t="str">
        <f>CONCATENATE(Table_Name28[[#This Row],[Table name]],"[Link]")</f>
        <v>Rear_or_Side_Delts[Link]</v>
      </c>
    </row>
    <row r="332" spans="2:5" hidden="1" x14ac:dyDescent="0.25"/>
    <row r="333" spans="2:5" hidden="1" x14ac:dyDescent="0.25">
      <c r="B333" s="10" t="s">
        <v>88</v>
      </c>
      <c r="C333" t="s">
        <v>297</v>
      </c>
      <c r="D333" s="10" t="s">
        <v>298</v>
      </c>
    </row>
    <row r="334" spans="2:5" hidden="1" x14ac:dyDescent="0.25">
      <c r="B334" s="39" t="s">
        <v>112</v>
      </c>
      <c r="C334" t="s">
        <v>181</v>
      </c>
      <c r="D334" t="s">
        <v>77</v>
      </c>
    </row>
    <row r="335" spans="2:5" hidden="1" x14ac:dyDescent="0.25">
      <c r="B335" s="39" t="s">
        <v>79</v>
      </c>
      <c r="C335" t="s">
        <v>182</v>
      </c>
      <c r="D335" t="s">
        <v>77</v>
      </c>
    </row>
    <row r="336" spans="2:5" hidden="1" x14ac:dyDescent="0.25">
      <c r="B336" s="39" t="s">
        <v>80</v>
      </c>
      <c r="C336" t="s">
        <v>183</v>
      </c>
      <c r="D336" t="s">
        <v>77</v>
      </c>
    </row>
    <row r="337" spans="2:4" hidden="1" x14ac:dyDescent="0.25">
      <c r="B337" s="39" t="s">
        <v>78</v>
      </c>
      <c r="C337" t="s">
        <v>184</v>
      </c>
      <c r="D337" t="s">
        <v>77</v>
      </c>
    </row>
    <row r="338" spans="2:4" hidden="1" x14ac:dyDescent="0.25">
      <c r="B338" s="41" t="s">
        <v>113</v>
      </c>
      <c r="C338" t="s">
        <v>185</v>
      </c>
      <c r="D338" t="s">
        <v>77</v>
      </c>
    </row>
    <row r="339" spans="2:4" hidden="1" x14ac:dyDescent="0.25">
      <c r="B339" s="39" t="s">
        <v>81</v>
      </c>
      <c r="C339" t="s">
        <v>186</v>
      </c>
      <c r="D339" t="s">
        <v>77</v>
      </c>
    </row>
    <row r="340" spans="2:4" hidden="1" x14ac:dyDescent="0.25">
      <c r="B340" s="39" t="s">
        <v>149</v>
      </c>
      <c r="C340" t="s">
        <v>187</v>
      </c>
      <c r="D340" t="s">
        <v>77</v>
      </c>
    </row>
    <row r="341" spans="2:4" hidden="1" x14ac:dyDescent="0.25">
      <c r="B341" s="39" t="s">
        <v>61</v>
      </c>
      <c r="C341" t="s">
        <v>192</v>
      </c>
      <c r="D341" t="s">
        <v>18</v>
      </c>
    </row>
    <row r="342" spans="2:4" hidden="1" x14ac:dyDescent="0.25">
      <c r="B342" s="39" t="s">
        <v>62</v>
      </c>
      <c r="C342" t="s">
        <v>193</v>
      </c>
      <c r="D342" t="s">
        <v>18</v>
      </c>
    </row>
    <row r="343" spans="2:4" hidden="1" x14ac:dyDescent="0.25">
      <c r="B343" s="39" t="s">
        <v>115</v>
      </c>
      <c r="C343" t="s">
        <v>194</v>
      </c>
      <c r="D343" t="s">
        <v>18</v>
      </c>
    </row>
    <row r="344" spans="2:4" hidden="1" x14ac:dyDescent="0.25">
      <c r="B344" s="39" t="s">
        <v>63</v>
      </c>
      <c r="C344" t="s">
        <v>195</v>
      </c>
      <c r="D344" t="s">
        <v>18</v>
      </c>
    </row>
    <row r="345" spans="2:4" hidden="1" x14ac:dyDescent="0.25">
      <c r="B345" s="39" t="s">
        <v>116</v>
      </c>
      <c r="C345" t="s">
        <v>196</v>
      </c>
      <c r="D345" t="s">
        <v>18</v>
      </c>
    </row>
    <row r="346" spans="2:4" hidden="1" x14ac:dyDescent="0.25">
      <c r="B346" s="39" t="s">
        <v>117</v>
      </c>
      <c r="C346" t="s">
        <v>197</v>
      </c>
      <c r="D346" t="s">
        <v>18</v>
      </c>
    </row>
    <row r="347" spans="2:4" hidden="1" x14ac:dyDescent="0.25">
      <c r="B347" s="39" t="s">
        <v>150</v>
      </c>
      <c r="C347" t="s">
        <v>198</v>
      </c>
      <c r="D347" t="s">
        <v>18</v>
      </c>
    </row>
    <row r="348" spans="2:4" hidden="1" x14ac:dyDescent="0.25">
      <c r="B348" s="39" t="s">
        <v>151</v>
      </c>
      <c r="C348" t="s">
        <v>199</v>
      </c>
      <c r="D348" t="s">
        <v>18</v>
      </c>
    </row>
    <row r="349" spans="2:4" hidden="1" x14ac:dyDescent="0.25">
      <c r="B349" s="41" t="s">
        <v>118</v>
      </c>
      <c r="C349" t="s">
        <v>200</v>
      </c>
      <c r="D349" t="s">
        <v>18</v>
      </c>
    </row>
    <row r="350" spans="2:4" hidden="1" x14ac:dyDescent="0.25">
      <c r="B350" s="39" t="s">
        <v>119</v>
      </c>
      <c r="C350" t="s">
        <v>201</v>
      </c>
      <c r="D350" t="s">
        <v>18</v>
      </c>
    </row>
    <row r="351" spans="2:4" hidden="1" x14ac:dyDescent="0.25">
      <c r="B351" s="39" t="s">
        <v>152</v>
      </c>
      <c r="C351" t="s">
        <v>202</v>
      </c>
      <c r="D351" t="s">
        <v>18</v>
      </c>
    </row>
    <row r="352" spans="2:4" hidden="1" x14ac:dyDescent="0.25">
      <c r="B352" s="39" t="s">
        <v>114</v>
      </c>
      <c r="C352" t="s">
        <v>188</v>
      </c>
      <c r="D352" t="s">
        <v>19</v>
      </c>
    </row>
    <row r="353" spans="2:4" hidden="1" x14ac:dyDescent="0.25">
      <c r="B353" s="39" t="s">
        <v>75</v>
      </c>
      <c r="C353" t="s">
        <v>189</v>
      </c>
      <c r="D353" t="s">
        <v>19</v>
      </c>
    </row>
    <row r="354" spans="2:4" hidden="1" x14ac:dyDescent="0.25">
      <c r="B354" s="39" t="s">
        <v>74</v>
      </c>
      <c r="C354" t="s">
        <v>190</v>
      </c>
      <c r="D354" t="s">
        <v>19</v>
      </c>
    </row>
    <row r="355" spans="2:4" hidden="1" x14ac:dyDescent="0.25">
      <c r="B355" s="39" t="s">
        <v>76</v>
      </c>
      <c r="C355" t="s">
        <v>191</v>
      </c>
      <c r="D355" t="s">
        <v>19</v>
      </c>
    </row>
    <row r="356" spans="2:4" hidden="1" x14ac:dyDescent="0.25">
      <c r="B356" s="39" t="s">
        <v>141</v>
      </c>
      <c r="C356" t="s">
        <v>271</v>
      </c>
      <c r="D356" t="s">
        <v>37</v>
      </c>
    </row>
    <row r="357" spans="2:4" hidden="1" x14ac:dyDescent="0.25">
      <c r="B357" s="39" t="s">
        <v>38</v>
      </c>
      <c r="C357" t="s">
        <v>272</v>
      </c>
      <c r="D357" t="s">
        <v>37</v>
      </c>
    </row>
    <row r="358" spans="2:4" hidden="1" x14ac:dyDescent="0.25">
      <c r="B358" s="39" t="s">
        <v>39</v>
      </c>
      <c r="C358" t="s">
        <v>273</v>
      </c>
      <c r="D358" t="s">
        <v>37</v>
      </c>
    </row>
    <row r="359" spans="2:4" hidden="1" x14ac:dyDescent="0.25">
      <c r="B359" s="39" t="s">
        <v>142</v>
      </c>
      <c r="C359" t="s">
        <v>274</v>
      </c>
      <c r="D359" t="s">
        <v>37</v>
      </c>
    </row>
    <row r="360" spans="2:4" hidden="1" x14ac:dyDescent="0.25">
      <c r="B360" s="39" t="s">
        <v>40</v>
      </c>
      <c r="C360" t="s">
        <v>275</v>
      </c>
      <c r="D360" t="s">
        <v>37</v>
      </c>
    </row>
    <row r="361" spans="2:4" hidden="1" x14ac:dyDescent="0.25">
      <c r="B361" s="39" t="s">
        <v>143</v>
      </c>
      <c r="C361" t="s">
        <v>276</v>
      </c>
      <c r="D361" t="s">
        <v>37</v>
      </c>
    </row>
    <row r="362" spans="2:4" hidden="1" x14ac:dyDescent="0.25">
      <c r="B362" s="39" t="s">
        <v>144</v>
      </c>
      <c r="C362" t="s">
        <v>277</v>
      </c>
      <c r="D362" t="s">
        <v>37</v>
      </c>
    </row>
    <row r="363" spans="2:4" hidden="1" x14ac:dyDescent="0.25">
      <c r="B363" s="39" t="s">
        <v>141</v>
      </c>
      <c r="C363" t="s">
        <v>271</v>
      </c>
      <c r="D363" t="s">
        <v>178</v>
      </c>
    </row>
    <row r="364" spans="2:4" hidden="1" x14ac:dyDescent="0.25">
      <c r="B364" s="39" t="s">
        <v>155</v>
      </c>
      <c r="C364" t="s">
        <v>216</v>
      </c>
      <c r="D364" t="s">
        <v>178</v>
      </c>
    </row>
    <row r="365" spans="2:4" hidden="1" x14ac:dyDescent="0.25">
      <c r="B365" s="39" t="s">
        <v>38</v>
      </c>
      <c r="C365" t="s">
        <v>272</v>
      </c>
      <c r="D365" t="s">
        <v>178</v>
      </c>
    </row>
    <row r="366" spans="2:4" hidden="1" x14ac:dyDescent="0.25">
      <c r="B366" s="39" t="s">
        <v>59</v>
      </c>
      <c r="C366" t="s">
        <v>224</v>
      </c>
      <c r="D366" t="s">
        <v>178</v>
      </c>
    </row>
    <row r="367" spans="2:4" hidden="1" x14ac:dyDescent="0.25">
      <c r="B367" s="39" t="s">
        <v>39</v>
      </c>
      <c r="C367" t="s">
        <v>273</v>
      </c>
      <c r="D367" t="s">
        <v>178</v>
      </c>
    </row>
    <row r="368" spans="2:4" hidden="1" x14ac:dyDescent="0.25">
      <c r="B368" s="39" t="s">
        <v>127</v>
      </c>
      <c r="C368" t="s">
        <v>217</v>
      </c>
      <c r="D368" t="s">
        <v>178</v>
      </c>
    </row>
    <row r="369" spans="2:4" hidden="1" x14ac:dyDescent="0.25">
      <c r="B369" s="39" t="s">
        <v>142</v>
      </c>
      <c r="C369" t="s">
        <v>274</v>
      </c>
      <c r="D369" t="s">
        <v>178</v>
      </c>
    </row>
    <row r="370" spans="2:4" hidden="1" x14ac:dyDescent="0.25">
      <c r="B370" s="39" t="s">
        <v>58</v>
      </c>
      <c r="C370" t="s">
        <v>225</v>
      </c>
      <c r="D370" t="s">
        <v>178</v>
      </c>
    </row>
    <row r="371" spans="2:4" hidden="1" x14ac:dyDescent="0.25">
      <c r="B371" s="39" t="s">
        <v>40</v>
      </c>
      <c r="C371" t="s">
        <v>275</v>
      </c>
      <c r="D371" t="s">
        <v>178</v>
      </c>
    </row>
    <row r="372" spans="2:4" hidden="1" x14ac:dyDescent="0.25">
      <c r="B372" s="39" t="s">
        <v>56</v>
      </c>
      <c r="C372" t="s">
        <v>218</v>
      </c>
      <c r="D372" t="s">
        <v>178</v>
      </c>
    </row>
    <row r="373" spans="2:4" hidden="1" x14ac:dyDescent="0.25">
      <c r="B373" s="39" t="s">
        <v>143</v>
      </c>
      <c r="C373" t="s">
        <v>276</v>
      </c>
      <c r="D373" t="s">
        <v>178</v>
      </c>
    </row>
    <row r="374" spans="2:4" hidden="1" x14ac:dyDescent="0.25">
      <c r="B374" s="39" t="s">
        <v>157</v>
      </c>
      <c r="C374" t="s">
        <v>226</v>
      </c>
      <c r="D374" t="s">
        <v>178</v>
      </c>
    </row>
    <row r="375" spans="2:4" hidden="1" x14ac:dyDescent="0.25">
      <c r="B375" s="39" t="s">
        <v>144</v>
      </c>
      <c r="C375" t="s">
        <v>277</v>
      </c>
      <c r="D375" t="s">
        <v>178</v>
      </c>
    </row>
    <row r="376" spans="2:4" hidden="1" x14ac:dyDescent="0.25">
      <c r="B376" s="39" t="s">
        <v>55</v>
      </c>
      <c r="C376" t="s">
        <v>219</v>
      </c>
      <c r="D376" t="s">
        <v>178</v>
      </c>
    </row>
    <row r="377" spans="2:4" hidden="1" x14ac:dyDescent="0.25">
      <c r="B377" s="39" t="s">
        <v>158</v>
      </c>
      <c r="C377" t="s">
        <v>227</v>
      </c>
      <c r="D377" t="s">
        <v>178</v>
      </c>
    </row>
    <row r="378" spans="2:4" hidden="1" x14ac:dyDescent="0.25">
      <c r="B378" s="39" t="s">
        <v>156</v>
      </c>
      <c r="C378" t="s">
        <v>220</v>
      </c>
      <c r="D378" t="s">
        <v>178</v>
      </c>
    </row>
    <row r="379" spans="2:4" hidden="1" x14ac:dyDescent="0.25">
      <c r="B379" s="39" t="s">
        <v>60</v>
      </c>
      <c r="C379" t="s">
        <v>228</v>
      </c>
      <c r="D379" t="s">
        <v>178</v>
      </c>
    </row>
    <row r="380" spans="2:4" hidden="1" x14ac:dyDescent="0.25">
      <c r="B380" s="39" t="s">
        <v>53</v>
      </c>
      <c r="C380" t="s">
        <v>221</v>
      </c>
      <c r="D380" t="s">
        <v>178</v>
      </c>
    </row>
    <row r="381" spans="2:4" hidden="1" x14ac:dyDescent="0.25">
      <c r="B381" s="39" t="s">
        <v>128</v>
      </c>
      <c r="C381" t="s">
        <v>222</v>
      </c>
      <c r="D381" t="s">
        <v>178</v>
      </c>
    </row>
    <row r="382" spans="2:4" hidden="1" x14ac:dyDescent="0.25">
      <c r="B382" s="39" t="s">
        <v>54</v>
      </c>
      <c r="C382" t="s">
        <v>223</v>
      </c>
      <c r="D382" t="s">
        <v>178</v>
      </c>
    </row>
    <row r="383" spans="2:4" hidden="1" x14ac:dyDescent="0.25">
      <c r="B383" s="39" t="s">
        <v>32</v>
      </c>
      <c r="C383" t="s">
        <v>291</v>
      </c>
      <c r="D383" t="s">
        <v>107</v>
      </c>
    </row>
    <row r="384" spans="2:4" hidden="1" x14ac:dyDescent="0.25">
      <c r="B384" s="39" t="s">
        <v>34</v>
      </c>
      <c r="C384" t="s">
        <v>292</v>
      </c>
      <c r="D384" t="s">
        <v>107</v>
      </c>
    </row>
    <row r="385" spans="2:4" hidden="1" x14ac:dyDescent="0.25">
      <c r="B385" s="39" t="s">
        <v>35</v>
      </c>
      <c r="C385" t="s">
        <v>293</v>
      </c>
      <c r="D385" t="s">
        <v>107</v>
      </c>
    </row>
    <row r="386" spans="2:4" hidden="1" x14ac:dyDescent="0.25">
      <c r="B386" s="39" t="s">
        <v>177</v>
      </c>
      <c r="C386" t="s">
        <v>294</v>
      </c>
      <c r="D386" t="s">
        <v>107</v>
      </c>
    </row>
    <row r="387" spans="2:4" hidden="1" x14ac:dyDescent="0.25">
      <c r="B387" s="14" t="s">
        <v>148</v>
      </c>
      <c r="C387" t="s">
        <v>295</v>
      </c>
      <c r="D387" t="s">
        <v>107</v>
      </c>
    </row>
    <row r="388" spans="2:4" hidden="1" x14ac:dyDescent="0.25">
      <c r="B388" s="39" t="s">
        <v>33</v>
      </c>
      <c r="C388" t="s">
        <v>296</v>
      </c>
      <c r="D388" t="s">
        <v>107</v>
      </c>
    </row>
    <row r="389" spans="2:4" hidden="1" x14ac:dyDescent="0.25">
      <c r="B389" s="39" t="s">
        <v>66</v>
      </c>
      <c r="C389" t="s">
        <v>256</v>
      </c>
      <c r="D389" t="s">
        <v>111</v>
      </c>
    </row>
    <row r="390" spans="2:4" hidden="1" x14ac:dyDescent="0.25">
      <c r="B390" s="39" t="s">
        <v>67</v>
      </c>
      <c r="C390" t="s">
        <v>257</v>
      </c>
      <c r="D390" t="s">
        <v>111</v>
      </c>
    </row>
    <row r="391" spans="2:4" hidden="1" x14ac:dyDescent="0.25">
      <c r="B391" s="39" t="s">
        <v>136</v>
      </c>
      <c r="C391" t="s">
        <v>258</v>
      </c>
      <c r="D391" t="s">
        <v>111</v>
      </c>
    </row>
    <row r="392" spans="2:4" hidden="1" x14ac:dyDescent="0.25">
      <c r="B392" s="39" t="s">
        <v>173</v>
      </c>
      <c r="C392" t="s">
        <v>259</v>
      </c>
      <c r="D392" t="s">
        <v>111</v>
      </c>
    </row>
    <row r="393" spans="2:4" hidden="1" x14ac:dyDescent="0.25">
      <c r="B393" s="39" t="s">
        <v>70</v>
      </c>
      <c r="C393" t="s">
        <v>260</v>
      </c>
      <c r="D393" t="s">
        <v>111</v>
      </c>
    </row>
    <row r="394" spans="2:4" hidden="1" x14ac:dyDescent="0.25">
      <c r="B394" s="39" t="s">
        <v>69</v>
      </c>
      <c r="C394" t="s">
        <v>261</v>
      </c>
      <c r="D394" t="s">
        <v>111</v>
      </c>
    </row>
    <row r="395" spans="2:4" hidden="1" x14ac:dyDescent="0.25">
      <c r="B395" s="39" t="s">
        <v>137</v>
      </c>
      <c r="C395" t="s">
        <v>262</v>
      </c>
      <c r="D395" t="s">
        <v>111</v>
      </c>
    </row>
    <row r="396" spans="2:4" hidden="1" x14ac:dyDescent="0.25">
      <c r="B396" s="39" t="s">
        <v>174</v>
      </c>
      <c r="C396" t="s">
        <v>263</v>
      </c>
      <c r="D396" t="s">
        <v>111</v>
      </c>
    </row>
    <row r="397" spans="2:4" hidden="1" x14ac:dyDescent="0.25">
      <c r="B397" s="39" t="s">
        <v>138</v>
      </c>
      <c r="C397" t="s">
        <v>264</v>
      </c>
      <c r="D397" t="s">
        <v>110</v>
      </c>
    </row>
    <row r="398" spans="2:4" hidden="1" x14ac:dyDescent="0.25">
      <c r="B398" s="39" t="s">
        <v>71</v>
      </c>
      <c r="C398" t="s">
        <v>265</v>
      </c>
      <c r="D398" t="s">
        <v>110</v>
      </c>
    </row>
    <row r="399" spans="2:4" hidden="1" x14ac:dyDescent="0.25">
      <c r="B399" s="39" t="s">
        <v>72</v>
      </c>
      <c r="C399" t="s">
        <v>266</v>
      </c>
      <c r="D399" t="s">
        <v>110</v>
      </c>
    </row>
    <row r="400" spans="2:4" hidden="1" x14ac:dyDescent="0.25">
      <c r="B400" s="39" t="s">
        <v>139</v>
      </c>
      <c r="C400" t="s">
        <v>267</v>
      </c>
      <c r="D400" t="s">
        <v>110</v>
      </c>
    </row>
    <row r="401" spans="2:4" hidden="1" x14ac:dyDescent="0.25">
      <c r="B401" s="39" t="s">
        <v>175</v>
      </c>
      <c r="C401" t="s">
        <v>268</v>
      </c>
      <c r="D401" t="s">
        <v>109</v>
      </c>
    </row>
    <row r="402" spans="2:4" hidden="1" x14ac:dyDescent="0.25">
      <c r="B402" s="39" t="s">
        <v>73</v>
      </c>
      <c r="C402" t="s">
        <v>269</v>
      </c>
      <c r="D402" t="s">
        <v>109</v>
      </c>
    </row>
    <row r="403" spans="2:4" hidden="1" x14ac:dyDescent="0.25">
      <c r="B403" s="39" t="s">
        <v>140</v>
      </c>
      <c r="C403" t="s">
        <v>270</v>
      </c>
      <c r="D403" t="s">
        <v>109</v>
      </c>
    </row>
    <row r="404" spans="2:4" hidden="1" x14ac:dyDescent="0.25">
      <c r="B404" s="39" t="s">
        <v>159</v>
      </c>
      <c r="C404" t="s">
        <v>229</v>
      </c>
      <c r="D404" t="s">
        <v>129</v>
      </c>
    </row>
    <row r="405" spans="2:4" hidden="1" x14ac:dyDescent="0.25">
      <c r="B405" s="39" t="s">
        <v>160</v>
      </c>
      <c r="C405" t="s">
        <v>230</v>
      </c>
      <c r="D405" t="s">
        <v>129</v>
      </c>
    </row>
    <row r="406" spans="2:4" hidden="1" x14ac:dyDescent="0.25">
      <c r="B406" s="39" t="s">
        <v>161</v>
      </c>
      <c r="C406" t="s">
        <v>231</v>
      </c>
      <c r="D406" t="s">
        <v>129</v>
      </c>
    </row>
    <row r="407" spans="2:4" hidden="1" x14ac:dyDescent="0.25">
      <c r="B407" s="39" t="s">
        <v>42</v>
      </c>
      <c r="C407" t="s">
        <v>232</v>
      </c>
      <c r="D407" t="s">
        <v>129</v>
      </c>
    </row>
    <row r="408" spans="2:4" hidden="1" x14ac:dyDescent="0.25">
      <c r="B408" s="39" t="s">
        <v>130</v>
      </c>
      <c r="C408" t="s">
        <v>233</v>
      </c>
      <c r="D408" t="s">
        <v>129</v>
      </c>
    </row>
    <row r="409" spans="2:4" hidden="1" x14ac:dyDescent="0.25">
      <c r="B409" s="39" t="s">
        <v>131</v>
      </c>
      <c r="C409" t="s">
        <v>234</v>
      </c>
      <c r="D409" t="s">
        <v>129</v>
      </c>
    </row>
    <row r="410" spans="2:4" hidden="1" x14ac:dyDescent="0.25">
      <c r="B410" s="39" t="s">
        <v>41</v>
      </c>
      <c r="C410" t="s">
        <v>235</v>
      </c>
      <c r="D410" t="s">
        <v>129</v>
      </c>
    </row>
    <row r="411" spans="2:4" hidden="1" x14ac:dyDescent="0.25">
      <c r="B411" s="39" t="s">
        <v>132</v>
      </c>
      <c r="C411" t="s">
        <v>236</v>
      </c>
      <c r="D411" t="s">
        <v>129</v>
      </c>
    </row>
    <row r="412" spans="2:4" hidden="1" x14ac:dyDescent="0.25">
      <c r="B412" s="39" t="s">
        <v>23</v>
      </c>
      <c r="C412" t="s">
        <v>278</v>
      </c>
      <c r="D412" t="s">
        <v>22</v>
      </c>
    </row>
    <row r="413" spans="2:4" hidden="1" x14ac:dyDescent="0.25">
      <c r="B413" s="39" t="s">
        <v>25</v>
      </c>
      <c r="C413" t="s">
        <v>279</v>
      </c>
      <c r="D413" t="s">
        <v>22</v>
      </c>
    </row>
    <row r="414" spans="2:4" hidden="1" x14ac:dyDescent="0.25">
      <c r="B414" s="39" t="s">
        <v>145</v>
      </c>
      <c r="C414" t="s">
        <v>280</v>
      </c>
      <c r="D414" t="s">
        <v>22</v>
      </c>
    </row>
    <row r="415" spans="2:4" hidden="1" x14ac:dyDescent="0.25">
      <c r="B415" s="39" t="s">
        <v>24</v>
      </c>
      <c r="C415" t="s">
        <v>281</v>
      </c>
      <c r="D415" t="s">
        <v>22</v>
      </c>
    </row>
    <row r="416" spans="2:4" hidden="1" x14ac:dyDescent="0.25">
      <c r="B416" s="14" t="s">
        <v>176</v>
      </c>
      <c r="C416" t="s">
        <v>282</v>
      </c>
      <c r="D416" t="s">
        <v>22</v>
      </c>
    </row>
    <row r="417" spans="2:4" hidden="1" x14ac:dyDescent="0.25">
      <c r="B417" s="39" t="s">
        <v>26</v>
      </c>
      <c r="C417" t="s">
        <v>283</v>
      </c>
      <c r="D417" t="s">
        <v>22</v>
      </c>
    </row>
    <row r="418" spans="2:4" hidden="1" x14ac:dyDescent="0.25">
      <c r="B418" s="39" t="s">
        <v>27</v>
      </c>
      <c r="C418" t="s">
        <v>284</v>
      </c>
      <c r="D418" t="s">
        <v>22</v>
      </c>
    </row>
    <row r="419" spans="2:4" hidden="1" x14ac:dyDescent="0.25">
      <c r="B419" s="39" t="s">
        <v>155</v>
      </c>
      <c r="C419" t="s">
        <v>216</v>
      </c>
      <c r="D419" t="s">
        <v>52</v>
      </c>
    </row>
    <row r="420" spans="2:4" hidden="1" x14ac:dyDescent="0.25">
      <c r="B420" s="39" t="s">
        <v>127</v>
      </c>
      <c r="C420" t="s">
        <v>217</v>
      </c>
      <c r="D420" t="s">
        <v>52</v>
      </c>
    </row>
    <row r="421" spans="2:4" hidden="1" x14ac:dyDescent="0.25">
      <c r="B421" s="39" t="s">
        <v>56</v>
      </c>
      <c r="C421" t="s">
        <v>218</v>
      </c>
      <c r="D421" t="s">
        <v>52</v>
      </c>
    </row>
    <row r="422" spans="2:4" hidden="1" x14ac:dyDescent="0.25">
      <c r="B422" s="39" t="s">
        <v>55</v>
      </c>
      <c r="C422" t="s">
        <v>219</v>
      </c>
      <c r="D422" t="s">
        <v>52</v>
      </c>
    </row>
    <row r="423" spans="2:4" hidden="1" x14ac:dyDescent="0.25">
      <c r="B423" s="39" t="s">
        <v>156</v>
      </c>
      <c r="C423" t="s">
        <v>220</v>
      </c>
      <c r="D423" t="s">
        <v>52</v>
      </c>
    </row>
    <row r="424" spans="2:4" hidden="1" x14ac:dyDescent="0.25">
      <c r="B424" s="39" t="s">
        <v>53</v>
      </c>
      <c r="C424" t="s">
        <v>221</v>
      </c>
      <c r="D424" t="s">
        <v>52</v>
      </c>
    </row>
    <row r="425" spans="2:4" hidden="1" x14ac:dyDescent="0.25">
      <c r="B425" s="39" t="s">
        <v>128</v>
      </c>
      <c r="C425" t="s">
        <v>222</v>
      </c>
      <c r="D425" t="s">
        <v>52</v>
      </c>
    </row>
    <row r="426" spans="2:4" hidden="1" x14ac:dyDescent="0.25">
      <c r="B426" s="39" t="s">
        <v>54</v>
      </c>
      <c r="C426" t="s">
        <v>223</v>
      </c>
      <c r="D426" t="s">
        <v>52</v>
      </c>
    </row>
    <row r="427" spans="2:4" hidden="1" x14ac:dyDescent="0.25">
      <c r="B427" s="41" t="s">
        <v>29</v>
      </c>
      <c r="C427" t="s">
        <v>285</v>
      </c>
      <c r="D427" t="s">
        <v>146</v>
      </c>
    </row>
    <row r="428" spans="2:4" hidden="1" x14ac:dyDescent="0.25">
      <c r="B428" s="39" t="s">
        <v>31</v>
      </c>
      <c r="C428" t="s">
        <v>286</v>
      </c>
      <c r="D428" t="s">
        <v>146</v>
      </c>
    </row>
    <row r="429" spans="2:4" hidden="1" x14ac:dyDescent="0.25">
      <c r="B429" s="39" t="s">
        <v>28</v>
      </c>
      <c r="C429" t="s">
        <v>287</v>
      </c>
      <c r="D429" t="s">
        <v>146</v>
      </c>
    </row>
    <row r="430" spans="2:4" hidden="1" x14ac:dyDescent="0.25">
      <c r="B430" s="39" t="s">
        <v>36</v>
      </c>
      <c r="C430" t="s">
        <v>288</v>
      </c>
      <c r="D430" t="s">
        <v>146</v>
      </c>
    </row>
    <row r="431" spans="2:4" hidden="1" x14ac:dyDescent="0.25">
      <c r="B431" s="39" t="s">
        <v>30</v>
      </c>
      <c r="C431" t="s">
        <v>289</v>
      </c>
      <c r="D431" t="s">
        <v>146</v>
      </c>
    </row>
    <row r="432" spans="2:4" hidden="1" x14ac:dyDescent="0.25">
      <c r="B432" s="14" t="s">
        <v>147</v>
      </c>
      <c r="C432" t="s">
        <v>290</v>
      </c>
      <c r="D432" t="s">
        <v>146</v>
      </c>
    </row>
    <row r="433" spans="2:4" hidden="1" x14ac:dyDescent="0.25">
      <c r="B433" s="41" t="s">
        <v>29</v>
      </c>
      <c r="C433" t="s">
        <v>285</v>
      </c>
      <c r="D433" t="s">
        <v>179</v>
      </c>
    </row>
    <row r="434" spans="2:4" hidden="1" x14ac:dyDescent="0.25">
      <c r="B434" s="39" t="s">
        <v>32</v>
      </c>
      <c r="C434" t="s">
        <v>291</v>
      </c>
      <c r="D434" t="s">
        <v>179</v>
      </c>
    </row>
    <row r="435" spans="2:4" hidden="1" x14ac:dyDescent="0.25">
      <c r="B435" s="39" t="s">
        <v>31</v>
      </c>
      <c r="C435" t="s">
        <v>286</v>
      </c>
      <c r="D435" t="s">
        <v>179</v>
      </c>
    </row>
    <row r="436" spans="2:4" hidden="1" x14ac:dyDescent="0.25">
      <c r="B436" s="39" t="s">
        <v>34</v>
      </c>
      <c r="C436" t="s">
        <v>292</v>
      </c>
      <c r="D436" t="s">
        <v>179</v>
      </c>
    </row>
    <row r="437" spans="2:4" hidden="1" x14ac:dyDescent="0.25">
      <c r="B437" s="39" t="s">
        <v>28</v>
      </c>
      <c r="C437" t="s">
        <v>287</v>
      </c>
      <c r="D437" t="s">
        <v>179</v>
      </c>
    </row>
    <row r="438" spans="2:4" hidden="1" x14ac:dyDescent="0.25">
      <c r="B438" s="39" t="s">
        <v>35</v>
      </c>
      <c r="C438" t="s">
        <v>293</v>
      </c>
      <c r="D438" t="s">
        <v>179</v>
      </c>
    </row>
    <row r="439" spans="2:4" hidden="1" x14ac:dyDescent="0.25">
      <c r="B439" s="39" t="s">
        <v>36</v>
      </c>
      <c r="C439" t="s">
        <v>288</v>
      </c>
      <c r="D439" t="s">
        <v>179</v>
      </c>
    </row>
    <row r="440" spans="2:4" hidden="1" x14ac:dyDescent="0.25">
      <c r="B440" s="39" t="s">
        <v>177</v>
      </c>
      <c r="C440" t="s">
        <v>294</v>
      </c>
      <c r="D440" t="s">
        <v>179</v>
      </c>
    </row>
    <row r="441" spans="2:4" hidden="1" x14ac:dyDescent="0.25">
      <c r="B441" s="39" t="s">
        <v>30</v>
      </c>
      <c r="C441" t="s">
        <v>289</v>
      </c>
      <c r="D441" t="s">
        <v>179</v>
      </c>
    </row>
    <row r="442" spans="2:4" hidden="1" x14ac:dyDescent="0.25">
      <c r="B442" s="14" t="s">
        <v>148</v>
      </c>
      <c r="C442" t="s">
        <v>295</v>
      </c>
      <c r="D442" t="s">
        <v>179</v>
      </c>
    </row>
    <row r="443" spans="2:4" hidden="1" x14ac:dyDescent="0.25">
      <c r="B443" s="14" t="s">
        <v>147</v>
      </c>
      <c r="C443" t="s">
        <v>290</v>
      </c>
      <c r="D443" t="s">
        <v>179</v>
      </c>
    </row>
    <row r="444" spans="2:4" hidden="1" x14ac:dyDescent="0.25">
      <c r="B444" s="39" t="s">
        <v>33</v>
      </c>
      <c r="C444" t="s">
        <v>296</v>
      </c>
      <c r="D444" t="s">
        <v>179</v>
      </c>
    </row>
    <row r="445" spans="2:4" hidden="1" x14ac:dyDescent="0.25">
      <c r="B445" s="39" t="s">
        <v>64</v>
      </c>
      <c r="C445" t="s">
        <v>249</v>
      </c>
      <c r="D445" t="s">
        <v>20</v>
      </c>
    </row>
    <row r="446" spans="2:4" hidden="1" x14ac:dyDescent="0.25">
      <c r="B446" s="39" t="s">
        <v>170</v>
      </c>
      <c r="C446" t="s">
        <v>250</v>
      </c>
      <c r="D446" t="s">
        <v>20</v>
      </c>
    </row>
    <row r="447" spans="2:4" hidden="1" x14ac:dyDescent="0.25">
      <c r="B447" s="39" t="s">
        <v>171</v>
      </c>
      <c r="C447" t="s">
        <v>251</v>
      </c>
      <c r="D447" t="s">
        <v>20</v>
      </c>
    </row>
    <row r="448" spans="2:4" hidden="1" x14ac:dyDescent="0.25">
      <c r="B448" s="39" t="s">
        <v>65</v>
      </c>
      <c r="C448" t="s">
        <v>252</v>
      </c>
      <c r="D448" t="s">
        <v>20</v>
      </c>
    </row>
    <row r="449" spans="2:4" hidden="1" x14ac:dyDescent="0.25">
      <c r="B449" s="39" t="s">
        <v>135</v>
      </c>
      <c r="C449" t="s">
        <v>253</v>
      </c>
      <c r="D449" t="s">
        <v>20</v>
      </c>
    </row>
    <row r="450" spans="2:4" hidden="1" x14ac:dyDescent="0.25">
      <c r="B450" s="39" t="s">
        <v>68</v>
      </c>
      <c r="C450" t="s">
        <v>254</v>
      </c>
      <c r="D450" t="s">
        <v>20</v>
      </c>
    </row>
    <row r="451" spans="2:4" hidden="1" x14ac:dyDescent="0.25">
      <c r="B451" s="39" t="s">
        <v>172</v>
      </c>
      <c r="C451" t="s">
        <v>255</v>
      </c>
      <c r="D451" t="s">
        <v>20</v>
      </c>
    </row>
    <row r="452" spans="2:4" hidden="1" x14ac:dyDescent="0.25">
      <c r="B452" s="39" t="s">
        <v>51</v>
      </c>
      <c r="C452" t="s">
        <v>203</v>
      </c>
      <c r="D452" t="s">
        <v>120</v>
      </c>
    </row>
    <row r="453" spans="2:4" hidden="1" x14ac:dyDescent="0.25">
      <c r="B453" s="39" t="s">
        <v>121</v>
      </c>
      <c r="C453" t="s">
        <v>204</v>
      </c>
      <c r="D453" t="s">
        <v>120</v>
      </c>
    </row>
    <row r="454" spans="2:4" hidden="1" x14ac:dyDescent="0.25">
      <c r="B454" s="39" t="s">
        <v>153</v>
      </c>
      <c r="C454" t="s">
        <v>205</v>
      </c>
      <c r="D454" t="s">
        <v>120</v>
      </c>
    </row>
    <row r="455" spans="2:4" hidden="1" x14ac:dyDescent="0.25">
      <c r="B455" s="39" t="s">
        <v>50</v>
      </c>
      <c r="C455" t="s">
        <v>206</v>
      </c>
      <c r="D455" t="s">
        <v>120</v>
      </c>
    </row>
    <row r="456" spans="2:4" hidden="1" x14ac:dyDescent="0.25">
      <c r="B456" s="39" t="s">
        <v>51</v>
      </c>
      <c r="C456" t="s">
        <v>203</v>
      </c>
      <c r="D456" t="s">
        <v>180</v>
      </c>
    </row>
    <row r="457" spans="2:4" hidden="1" x14ac:dyDescent="0.25">
      <c r="B457" s="39" t="s">
        <v>46</v>
      </c>
      <c r="C457" t="s">
        <v>207</v>
      </c>
      <c r="D457" t="s">
        <v>180</v>
      </c>
    </row>
    <row r="458" spans="2:4" hidden="1" x14ac:dyDescent="0.25">
      <c r="B458" s="39" t="s">
        <v>121</v>
      </c>
      <c r="C458" t="s">
        <v>204</v>
      </c>
      <c r="D458" t="s">
        <v>180</v>
      </c>
    </row>
    <row r="459" spans="2:4" hidden="1" x14ac:dyDescent="0.25">
      <c r="B459" s="39" t="s">
        <v>47</v>
      </c>
      <c r="C459" t="s">
        <v>208</v>
      </c>
      <c r="D459" t="s">
        <v>180</v>
      </c>
    </row>
    <row r="460" spans="2:4" hidden="1" x14ac:dyDescent="0.25">
      <c r="B460" s="39" t="s">
        <v>153</v>
      </c>
      <c r="C460" t="s">
        <v>205</v>
      </c>
      <c r="D460" t="s">
        <v>180</v>
      </c>
    </row>
    <row r="461" spans="2:4" hidden="1" x14ac:dyDescent="0.25">
      <c r="B461" s="39" t="s">
        <v>49</v>
      </c>
      <c r="C461" t="s">
        <v>209</v>
      </c>
      <c r="D461" t="s">
        <v>180</v>
      </c>
    </row>
    <row r="462" spans="2:4" hidden="1" x14ac:dyDescent="0.25">
      <c r="B462" s="39" t="s">
        <v>50</v>
      </c>
      <c r="C462" t="s">
        <v>206</v>
      </c>
      <c r="D462" t="s">
        <v>180</v>
      </c>
    </row>
    <row r="463" spans="2:4" hidden="1" x14ac:dyDescent="0.25">
      <c r="B463" s="39" t="s">
        <v>48</v>
      </c>
      <c r="C463" t="s">
        <v>210</v>
      </c>
      <c r="D463" t="s">
        <v>180</v>
      </c>
    </row>
    <row r="464" spans="2:4" hidden="1" x14ac:dyDescent="0.25">
      <c r="B464" s="39" t="s">
        <v>122</v>
      </c>
      <c r="C464" t="s">
        <v>211</v>
      </c>
      <c r="D464" t="s">
        <v>180</v>
      </c>
    </row>
    <row r="465" spans="2:4" hidden="1" x14ac:dyDescent="0.25">
      <c r="B465" s="39" t="s">
        <v>46</v>
      </c>
      <c r="C465" t="s">
        <v>207</v>
      </c>
      <c r="D465" s="40" t="s">
        <v>108</v>
      </c>
    </row>
    <row r="466" spans="2:4" hidden="1" x14ac:dyDescent="0.25">
      <c r="B466" s="39" t="s">
        <v>47</v>
      </c>
      <c r="C466" t="s">
        <v>208</v>
      </c>
      <c r="D466" s="40" t="s">
        <v>108</v>
      </c>
    </row>
    <row r="467" spans="2:4" hidden="1" x14ac:dyDescent="0.25">
      <c r="B467" s="39" t="s">
        <v>49</v>
      </c>
      <c r="C467" t="s">
        <v>209</v>
      </c>
      <c r="D467" s="40" t="s">
        <v>108</v>
      </c>
    </row>
    <row r="468" spans="2:4" hidden="1" x14ac:dyDescent="0.25">
      <c r="B468" s="39" t="s">
        <v>48</v>
      </c>
      <c r="C468" t="s">
        <v>210</v>
      </c>
      <c r="D468" s="40" t="s">
        <v>108</v>
      </c>
    </row>
    <row r="469" spans="2:4" hidden="1" x14ac:dyDescent="0.25">
      <c r="B469" s="39" t="s">
        <v>122</v>
      </c>
      <c r="C469" t="s">
        <v>211</v>
      </c>
      <c r="D469" s="40" t="s">
        <v>108</v>
      </c>
    </row>
    <row r="470" spans="2:4" hidden="1" x14ac:dyDescent="0.25">
      <c r="B470" s="39" t="s">
        <v>154</v>
      </c>
      <c r="C470" t="s">
        <v>212</v>
      </c>
      <c r="D470" t="s">
        <v>123</v>
      </c>
    </row>
    <row r="471" spans="2:4" hidden="1" x14ac:dyDescent="0.25">
      <c r="B471" s="39" t="s">
        <v>124</v>
      </c>
      <c r="C471" t="s">
        <v>213</v>
      </c>
      <c r="D471" t="s">
        <v>123</v>
      </c>
    </row>
    <row r="472" spans="2:4" hidden="1" x14ac:dyDescent="0.25">
      <c r="B472" s="39" t="s">
        <v>125</v>
      </c>
      <c r="C472" t="s">
        <v>214</v>
      </c>
      <c r="D472" t="s">
        <v>123</v>
      </c>
    </row>
    <row r="473" spans="2:4" hidden="1" x14ac:dyDescent="0.25">
      <c r="B473" s="39" t="s">
        <v>126</v>
      </c>
      <c r="C473" t="s">
        <v>215</v>
      </c>
      <c r="D473" t="s">
        <v>123</v>
      </c>
    </row>
    <row r="474" spans="2:4" hidden="1" x14ac:dyDescent="0.25">
      <c r="B474" s="39" t="s">
        <v>155</v>
      </c>
      <c r="C474" t="s">
        <v>216</v>
      </c>
      <c r="D474" t="s">
        <v>17</v>
      </c>
    </row>
    <row r="475" spans="2:4" hidden="1" x14ac:dyDescent="0.25">
      <c r="B475" s="39" t="s">
        <v>59</v>
      </c>
      <c r="C475" t="s">
        <v>224</v>
      </c>
      <c r="D475" t="s">
        <v>17</v>
      </c>
    </row>
    <row r="476" spans="2:4" hidden="1" x14ac:dyDescent="0.25">
      <c r="B476" s="39" t="s">
        <v>127</v>
      </c>
      <c r="C476" t="s">
        <v>217</v>
      </c>
      <c r="D476" t="s">
        <v>17</v>
      </c>
    </row>
    <row r="477" spans="2:4" hidden="1" x14ac:dyDescent="0.25">
      <c r="B477" s="39" t="s">
        <v>58</v>
      </c>
      <c r="C477" t="s">
        <v>225</v>
      </c>
      <c r="D477" t="s">
        <v>17</v>
      </c>
    </row>
    <row r="478" spans="2:4" hidden="1" x14ac:dyDescent="0.25">
      <c r="B478" s="39" t="s">
        <v>56</v>
      </c>
      <c r="C478" t="s">
        <v>218</v>
      </c>
      <c r="D478" t="s">
        <v>17</v>
      </c>
    </row>
    <row r="479" spans="2:4" hidden="1" x14ac:dyDescent="0.25">
      <c r="B479" s="39" t="s">
        <v>157</v>
      </c>
      <c r="C479" t="s">
        <v>226</v>
      </c>
      <c r="D479" t="s">
        <v>17</v>
      </c>
    </row>
    <row r="480" spans="2:4" hidden="1" x14ac:dyDescent="0.25">
      <c r="B480" s="39" t="s">
        <v>55</v>
      </c>
      <c r="C480" t="s">
        <v>219</v>
      </c>
      <c r="D480" t="s">
        <v>17</v>
      </c>
    </row>
    <row r="481" spans="2:4" hidden="1" x14ac:dyDescent="0.25">
      <c r="B481" s="39" t="s">
        <v>158</v>
      </c>
      <c r="C481" t="s">
        <v>227</v>
      </c>
      <c r="D481" t="s">
        <v>17</v>
      </c>
    </row>
    <row r="482" spans="2:4" hidden="1" x14ac:dyDescent="0.25">
      <c r="B482" s="39" t="s">
        <v>156</v>
      </c>
      <c r="C482" t="s">
        <v>220</v>
      </c>
      <c r="D482" t="s">
        <v>17</v>
      </c>
    </row>
    <row r="483" spans="2:4" hidden="1" x14ac:dyDescent="0.25">
      <c r="B483" s="39" t="s">
        <v>60</v>
      </c>
      <c r="C483" t="s">
        <v>228</v>
      </c>
      <c r="D483" t="s">
        <v>17</v>
      </c>
    </row>
    <row r="484" spans="2:4" hidden="1" x14ac:dyDescent="0.25">
      <c r="B484" s="39" t="s">
        <v>53</v>
      </c>
      <c r="C484" t="s">
        <v>221</v>
      </c>
      <c r="D484" t="s">
        <v>17</v>
      </c>
    </row>
    <row r="485" spans="2:4" hidden="1" x14ac:dyDescent="0.25">
      <c r="B485" s="39" t="s">
        <v>128</v>
      </c>
      <c r="C485" t="s">
        <v>222</v>
      </c>
      <c r="D485" t="s">
        <v>17</v>
      </c>
    </row>
    <row r="486" spans="2:4" hidden="1" x14ac:dyDescent="0.25">
      <c r="B486" s="39" t="s">
        <v>54</v>
      </c>
      <c r="C486" t="s">
        <v>223</v>
      </c>
      <c r="D486" t="s">
        <v>17</v>
      </c>
    </row>
    <row r="487" spans="2:4" hidden="1" x14ac:dyDescent="0.25">
      <c r="B487" s="39" t="s">
        <v>134</v>
      </c>
      <c r="C487" t="s">
        <v>237</v>
      </c>
      <c r="D487" t="s">
        <v>133</v>
      </c>
    </row>
    <row r="488" spans="2:4" hidden="1" x14ac:dyDescent="0.25">
      <c r="B488" s="39" t="s">
        <v>162</v>
      </c>
      <c r="C488" t="s">
        <v>238</v>
      </c>
      <c r="D488" t="s">
        <v>133</v>
      </c>
    </row>
    <row r="489" spans="2:4" hidden="1" x14ac:dyDescent="0.25">
      <c r="B489" s="39" t="s">
        <v>163</v>
      </c>
      <c r="C489" t="s">
        <v>239</v>
      </c>
      <c r="D489" t="s">
        <v>133</v>
      </c>
    </row>
    <row r="490" spans="2:4" hidden="1" x14ac:dyDescent="0.25">
      <c r="B490" s="39" t="s">
        <v>164</v>
      </c>
      <c r="C490" t="s">
        <v>240</v>
      </c>
      <c r="D490" t="s">
        <v>133</v>
      </c>
    </row>
    <row r="491" spans="2:4" hidden="1" x14ac:dyDescent="0.25">
      <c r="B491" s="39" t="s">
        <v>165</v>
      </c>
      <c r="C491" t="s">
        <v>241</v>
      </c>
      <c r="D491" t="s">
        <v>133</v>
      </c>
    </row>
    <row r="492" spans="2:4" hidden="1" x14ac:dyDescent="0.25">
      <c r="B492" s="41" t="s">
        <v>166</v>
      </c>
      <c r="C492" t="s">
        <v>242</v>
      </c>
      <c r="D492" t="s">
        <v>133</v>
      </c>
    </row>
    <row r="493" spans="2:4" hidden="1" x14ac:dyDescent="0.25">
      <c r="B493" s="41" t="s">
        <v>167</v>
      </c>
      <c r="C493" t="s">
        <v>243</v>
      </c>
      <c r="D493" t="s">
        <v>133</v>
      </c>
    </row>
    <row r="494" spans="2:4" hidden="1" x14ac:dyDescent="0.25">
      <c r="B494" s="39" t="s">
        <v>43</v>
      </c>
      <c r="C494" t="s">
        <v>244</v>
      </c>
      <c r="D494" t="s">
        <v>133</v>
      </c>
    </row>
    <row r="495" spans="2:4" hidden="1" x14ac:dyDescent="0.25">
      <c r="B495" s="41" t="s">
        <v>168</v>
      </c>
      <c r="C495" t="s">
        <v>245</v>
      </c>
      <c r="D495" t="s">
        <v>133</v>
      </c>
    </row>
    <row r="496" spans="2:4" hidden="1" x14ac:dyDescent="0.25">
      <c r="B496" s="41" t="s">
        <v>169</v>
      </c>
      <c r="C496" t="s">
        <v>246</v>
      </c>
      <c r="D496" t="s">
        <v>133</v>
      </c>
    </row>
    <row r="497" spans="2:4" hidden="1" x14ac:dyDescent="0.25">
      <c r="B497" s="39" t="s">
        <v>44</v>
      </c>
      <c r="C497" t="s">
        <v>247</v>
      </c>
      <c r="D497" t="s">
        <v>133</v>
      </c>
    </row>
    <row r="498" spans="2:4" hidden="1" x14ac:dyDescent="0.25">
      <c r="B498" s="41" t="s">
        <v>45</v>
      </c>
      <c r="C498" t="s">
        <v>248</v>
      </c>
      <c r="D498" t="s">
        <v>133</v>
      </c>
    </row>
    <row r="499" spans="2:4" hidden="1" x14ac:dyDescent="0.25">
      <c r="B499" s="39" t="s">
        <v>59</v>
      </c>
      <c r="C499" t="s">
        <v>224</v>
      </c>
      <c r="D499" t="s">
        <v>57</v>
      </c>
    </row>
    <row r="500" spans="2:4" hidden="1" x14ac:dyDescent="0.25">
      <c r="B500" s="39" t="s">
        <v>58</v>
      </c>
      <c r="C500" t="s">
        <v>225</v>
      </c>
      <c r="D500" t="s">
        <v>57</v>
      </c>
    </row>
    <row r="501" spans="2:4" hidden="1" x14ac:dyDescent="0.25">
      <c r="B501" s="39" t="s">
        <v>157</v>
      </c>
      <c r="C501" t="s">
        <v>226</v>
      </c>
      <c r="D501" t="s">
        <v>57</v>
      </c>
    </row>
    <row r="502" spans="2:4" hidden="1" x14ac:dyDescent="0.25">
      <c r="B502" s="39" t="s">
        <v>158</v>
      </c>
      <c r="C502" t="s">
        <v>227</v>
      </c>
      <c r="D502" t="s">
        <v>57</v>
      </c>
    </row>
    <row r="503" spans="2:4" hidden="1" x14ac:dyDescent="0.25">
      <c r="B503" s="39" t="s">
        <v>60</v>
      </c>
      <c r="C503" t="s">
        <v>228</v>
      </c>
      <c r="D503" t="s">
        <v>57</v>
      </c>
    </row>
  </sheetData>
  <mergeCells count="15">
    <mergeCell ref="Z21:AE21"/>
    <mergeCell ref="AF21:AI21"/>
    <mergeCell ref="Z33:AE33"/>
    <mergeCell ref="AF33:AI33"/>
    <mergeCell ref="H21:M21"/>
    <mergeCell ref="H33:M33"/>
    <mergeCell ref="N21:S21"/>
    <mergeCell ref="T21:Y21"/>
    <mergeCell ref="N33:S33"/>
    <mergeCell ref="T33:Y33"/>
    <mergeCell ref="H8:M8"/>
    <mergeCell ref="N8:S8"/>
    <mergeCell ref="T8:Y8"/>
    <mergeCell ref="Z8:AE8"/>
    <mergeCell ref="AF8:AI8"/>
  </mergeCells>
  <dataValidations count="2">
    <dataValidation type="list" allowBlank="1" showInputMessage="1" showErrorMessage="1" sqref="C24:C32 C11:C20 C36:C44">
      <formula1>INDIRECT(D11)</formula1>
    </dataValidation>
    <dataValidation type="list" allowBlank="1" showInputMessage="1" showErrorMessage="1" sqref="T11:T20 S24:S31 T24:T32 Y24:Y31 AE24:AE31 M24:M31 Y11:Y19 S11:S19 AE11:AE19 T36:T44 Y36:Y42 M36:M42 S36:S42">
      <formula1>$C$89:$C$91</formula1>
    </dataValidation>
  </dataValidations>
  <hyperlinks>
    <hyperlink ref="B233" r:id="rId1"/>
    <hyperlink ref="B182" r:id="rId2"/>
    <hyperlink ref="B180" r:id="rId3"/>
    <hyperlink ref="B179" r:id="rId4"/>
    <hyperlink ref="B176" r:id="rId5"/>
    <hyperlink ref="B177" r:id="rId6"/>
    <hyperlink ref="B120" r:id="rId7"/>
    <hyperlink ref="B101" r:id="rId8"/>
    <hyperlink ref="B100" r:id="rId9"/>
    <hyperlink ref="B98" r:id="rId10"/>
    <hyperlink ref="B99" r:id="rId11"/>
    <hyperlink ref="B102" r:id="rId12"/>
    <hyperlink ref="B103" r:id="rId13"/>
    <hyperlink ref="B97" r:id="rId14"/>
    <hyperlink ref="B108" r:id="rId15"/>
    <hyperlink ref="B106" r:id="rId16"/>
    <hyperlink ref="B107" r:id="rId17"/>
    <hyperlink ref="B109" r:id="rId18"/>
    <hyperlink ref="B112" r:id="rId19"/>
    <hyperlink ref="B113" r:id="rId20"/>
    <hyperlink ref="B115" r:id="rId21"/>
    <hyperlink ref="B114" r:id="rId22"/>
    <hyperlink ref="B116" r:id="rId23"/>
    <hyperlink ref="B117" r:id="rId24"/>
    <hyperlink ref="B118" r:id="rId25"/>
    <hyperlink ref="B119" r:id="rId26"/>
    <hyperlink ref="B122" r:id="rId27"/>
    <hyperlink ref="B121" r:id="rId28"/>
    <hyperlink ref="B131" r:id="rId29"/>
    <hyperlink ref="B134" r:id="rId30"/>
    <hyperlink ref="B135" r:id="rId31"/>
    <hyperlink ref="B133" r:id="rId32"/>
    <hyperlink ref="B132" r:id="rId33"/>
    <hyperlink ref="B127" r:id="rId34"/>
    <hyperlink ref="B128" r:id="rId35"/>
    <hyperlink ref="B126" r:id="rId36"/>
    <hyperlink ref="B125" r:id="rId37"/>
    <hyperlink ref="B162" r:id="rId38"/>
    <hyperlink ref="B161" r:id="rId39"/>
    <hyperlink ref="B164" r:id="rId40"/>
    <hyperlink ref="B167" r:id="rId41"/>
    <hyperlink ref="B174" r:id="rId42"/>
    <hyperlink ref="B171" r:id="rId43"/>
    <hyperlink ref="B172" r:id="rId44"/>
    <hyperlink ref="B173" r:id="rId45"/>
    <hyperlink ref="B181" r:id="rId46"/>
    <hyperlink ref="B175" r:id="rId47"/>
    <hyperlink ref="B178" r:id="rId48"/>
    <hyperlink ref="B165" r:id="rId49"/>
    <hyperlink ref="B163" r:id="rId50"/>
    <hyperlink ref="B139" r:id="rId51"/>
    <hyperlink ref="B138" r:id="rId52"/>
    <hyperlink ref="B140" r:id="rId53"/>
    <hyperlink ref="B166" r:id="rId54"/>
    <hyperlink ref="B141" r:id="rId55"/>
    <hyperlink ref="B168" r:id="rId56"/>
    <hyperlink ref="B185" r:id="rId57"/>
    <hyperlink ref="B190" r:id="rId58"/>
    <hyperlink ref="B191" r:id="rId59"/>
    <hyperlink ref="B187" r:id="rId60"/>
    <hyperlink ref="B196" r:id="rId61"/>
    <hyperlink ref="B186" r:id="rId62"/>
    <hyperlink ref="B197" r:id="rId63"/>
    <hyperlink ref="B204" r:id="rId64"/>
    <hyperlink ref="B200" r:id="rId65"/>
    <hyperlink ref="B198" r:id="rId66"/>
    <hyperlink ref="B199" r:id="rId67"/>
    <hyperlink ref="B188" r:id="rId68"/>
    <hyperlink ref="B189" r:id="rId69"/>
    <hyperlink ref="B194" r:id="rId70"/>
    <hyperlink ref="B195" r:id="rId71"/>
    <hyperlink ref="B205" r:id="rId72"/>
    <hyperlink ref="B206" r:id="rId73"/>
    <hyperlink ref="B207" r:id="rId74"/>
    <hyperlink ref="B201" r:id="rId75"/>
    <hyperlink ref="B211" r:id="rId76"/>
    <hyperlink ref="B210" r:id="rId77"/>
    <hyperlink ref="B212" r:id="rId78"/>
    <hyperlink ref="B224" r:id="rId79"/>
    <hyperlink ref="B227" r:id="rId80"/>
    <hyperlink ref="B225" r:id="rId81"/>
    <hyperlink ref="B237" r:id="rId82"/>
    <hyperlink ref="B234" r:id="rId83"/>
    <hyperlink ref="B241" r:id="rId84"/>
    <hyperlink ref="B246" r:id="rId85"/>
    <hyperlink ref="B229" r:id="rId86"/>
    <hyperlink ref="B230" r:id="rId87"/>
    <hyperlink ref="B235" r:id="rId88"/>
    <hyperlink ref="B236" r:id="rId89"/>
    <hyperlink ref="B244" r:id="rId90"/>
    <hyperlink ref="B226" r:id="rId91"/>
    <hyperlink ref="B216" r:id="rId92"/>
    <hyperlink ref="B215" r:id="rId93"/>
    <hyperlink ref="B219" r:id="rId94"/>
    <hyperlink ref="B217" r:id="rId95"/>
    <hyperlink ref="B218" r:id="rId96"/>
    <hyperlink ref="B220" r:id="rId97"/>
    <hyperlink ref="B221" r:id="rId98"/>
    <hyperlink ref="B146" r:id="rId99"/>
    <hyperlink ref="B147" r:id="rId100"/>
    <hyperlink ref="B242" r:id="rId101"/>
    <hyperlink ref="B243" r:id="rId102"/>
    <hyperlink ref="B228" r:id="rId103"/>
    <hyperlink ref="B245" r:id="rId104"/>
    <hyperlink ref="B238" r:id="rId105"/>
    <hyperlink ref="B149" r:id="rId106"/>
    <hyperlink ref="B150" r:id="rId107"/>
    <hyperlink ref="B151" r:id="rId108"/>
    <hyperlink ref="B144" r:id="rId109"/>
    <hyperlink ref="B148" r:id="rId110"/>
    <hyperlink ref="B158" r:id="rId111"/>
    <hyperlink ref="B154" r:id="rId112"/>
    <hyperlink ref="B155" r:id="rId113"/>
    <hyperlink ref="B156" r:id="rId114"/>
    <hyperlink ref="B157" r:id="rId115"/>
    <hyperlink ref="B145" r:id="rId116"/>
    <hyperlink ref="B254" r:id="rId117"/>
    <hyperlink ref="B256" r:id="rId118"/>
    <hyperlink ref="B260" r:id="rId119"/>
    <hyperlink ref="B261" r:id="rId120"/>
    <hyperlink ref="B262" r:id="rId121"/>
    <hyperlink ref="B250" r:id="rId122"/>
    <hyperlink ref="B258" r:id="rId123"/>
    <hyperlink ref="B259" r:id="rId124"/>
    <hyperlink ref="B251" r:id="rId125"/>
    <hyperlink ref="B253" r:id="rId126"/>
    <hyperlink ref="B255" r:id="rId127"/>
    <hyperlink ref="B257" r:id="rId128"/>
    <hyperlink ref="B252" r:id="rId129"/>
    <hyperlink ref="B264" r:id="rId130"/>
    <hyperlink ref="B272" r:id="rId131"/>
    <hyperlink ref="B266" r:id="rId132"/>
    <hyperlink ref="B268" r:id="rId133"/>
    <hyperlink ref="B270" r:id="rId134"/>
    <hyperlink ref="B274" r:id="rId135"/>
    <hyperlink ref="B265" r:id="rId136"/>
    <hyperlink ref="B275" r:id="rId137"/>
    <hyperlink ref="B271" r:id="rId138"/>
    <hyperlink ref="B267" r:id="rId139"/>
    <hyperlink ref="B269" r:id="rId140"/>
    <hyperlink ref="B273" r:id="rId141"/>
    <hyperlink ref="B286" r:id="rId142"/>
    <hyperlink ref="B290" r:id="rId143"/>
    <hyperlink ref="B294" r:id="rId144"/>
    <hyperlink ref="B295" r:id="rId145"/>
    <hyperlink ref="B296" r:id="rId146"/>
    <hyperlink ref="B278" r:id="rId147"/>
    <hyperlink ref="B292" r:id="rId148"/>
    <hyperlink ref="B293" r:id="rId149"/>
    <hyperlink ref="B280" r:id="rId150"/>
    <hyperlink ref="B284" r:id="rId151"/>
    <hyperlink ref="B288" r:id="rId152"/>
    <hyperlink ref="B291" r:id="rId153"/>
    <hyperlink ref="B282" r:id="rId154"/>
    <hyperlink ref="B279" r:id="rId155"/>
    <hyperlink ref="B277" r:id="rId156"/>
    <hyperlink ref="B285" r:id="rId157"/>
    <hyperlink ref="B281" r:id="rId158"/>
    <hyperlink ref="B283" r:id="rId159"/>
    <hyperlink ref="B287" r:id="rId160"/>
    <hyperlink ref="B289" r:id="rId161"/>
    <hyperlink ref="B300" r:id="rId162"/>
    <hyperlink ref="B306" r:id="rId163"/>
    <hyperlink ref="B307" r:id="rId164"/>
    <hyperlink ref="B304" r:id="rId165"/>
    <hyperlink ref="B302" r:id="rId166"/>
    <hyperlink ref="B303" r:id="rId167"/>
    <hyperlink ref="B305" r:id="rId168"/>
    <hyperlink ref="B301" r:id="rId169"/>
    <hyperlink ref="B299" r:id="rId170"/>
    <hyperlink ref="C233" r:id="rId171"/>
    <hyperlink ref="C182" r:id="rId172"/>
    <hyperlink ref="C180" r:id="rId173"/>
    <hyperlink ref="C179" r:id="rId174"/>
    <hyperlink ref="C176" r:id="rId175"/>
    <hyperlink ref="C177" r:id="rId176"/>
    <hyperlink ref="C120" r:id="rId177"/>
    <hyperlink ref="C101" r:id="rId178"/>
    <hyperlink ref="C264" r:id="rId179"/>
  </hyperlinks>
  <pageMargins left="0.7" right="0.7" top="0.75" bottom="0.75" header="0.3" footer="0.3"/>
  <pageSetup scale="33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96"/>
  <sheetViews>
    <sheetView showGridLines="0" workbookViewId="0">
      <selection activeCell="A23" sqref="A23"/>
    </sheetView>
  </sheetViews>
  <sheetFormatPr defaultRowHeight="15" x14ac:dyDescent="0.25"/>
  <cols>
    <col min="2" max="2" width="35.85546875" customWidth="1"/>
    <col min="3" max="3" width="38.85546875" bestFit="1" customWidth="1"/>
    <col min="4" max="4" width="36" hidden="1" customWidth="1"/>
    <col min="5" max="5" width="32.140625" hidden="1" customWidth="1"/>
    <col min="6" max="6" width="25.28515625" bestFit="1" customWidth="1"/>
    <col min="7" max="7" width="18.42578125" bestFit="1" customWidth="1"/>
    <col min="8" max="8" width="36.140625" bestFit="1" customWidth="1"/>
    <col min="9" max="9" width="6.7109375" customWidth="1"/>
    <col min="10" max="10" width="7.5703125" bestFit="1" customWidth="1"/>
    <col min="11" max="11" width="9" bestFit="1" customWidth="1"/>
    <col min="12" max="12" width="11.28515625" bestFit="1" customWidth="1"/>
    <col min="13" max="13" width="7.5703125" bestFit="1" customWidth="1"/>
    <col min="14" max="14" width="54.7109375" customWidth="1"/>
    <col min="15" max="15" width="4.7109375" bestFit="1" customWidth="1"/>
    <col min="16" max="16" width="7.5703125" bestFit="1" customWidth="1"/>
    <col min="17" max="17" width="9" bestFit="1" customWidth="1"/>
    <col min="18" max="18" width="11.28515625" bestFit="1" customWidth="1"/>
    <col min="19" max="19" width="7.5703125" bestFit="1" customWidth="1"/>
    <col min="20" max="20" width="31.7109375" customWidth="1"/>
    <col min="21" max="21" width="4.7109375" bestFit="1" customWidth="1"/>
    <col min="22" max="22" width="7.5703125" bestFit="1" customWidth="1"/>
    <col min="23" max="24" width="17.7109375" bestFit="1" customWidth="1"/>
    <col min="25" max="25" width="21" customWidth="1"/>
    <col min="26" max="26" width="17.7109375" bestFit="1" customWidth="1"/>
  </cols>
  <sheetData>
    <row r="1" spans="1:25" ht="19.5" thickBot="1" x14ac:dyDescent="0.35">
      <c r="C1" s="34" t="s">
        <v>87</v>
      </c>
      <c r="D1" s="43"/>
      <c r="E1" s="27"/>
      <c r="F1" s="32" t="s">
        <v>97</v>
      </c>
      <c r="G1" s="33" t="s">
        <v>100</v>
      </c>
      <c r="H1" s="35" t="s">
        <v>89</v>
      </c>
      <c r="I1" s="9" t="s">
        <v>92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22" t="s">
        <v>93</v>
      </c>
      <c r="U1" s="21"/>
      <c r="V1" s="23"/>
      <c r="W1" s="23"/>
      <c r="X1" s="23"/>
      <c r="Y1" s="7"/>
    </row>
    <row r="2" spans="1:25" ht="19.5" thickBot="1" x14ac:dyDescent="0.35">
      <c r="F2" s="28" t="s">
        <v>95</v>
      </c>
      <c r="G2" s="30" t="s">
        <v>98</v>
      </c>
      <c r="H2" s="36" t="s">
        <v>90</v>
      </c>
      <c r="I2" s="18" t="s">
        <v>84</v>
      </c>
      <c r="J2" s="4"/>
      <c r="K2" s="4"/>
      <c r="L2" s="4"/>
      <c r="M2" s="4"/>
      <c r="N2" s="4"/>
      <c r="O2" s="4"/>
      <c r="P2" s="4"/>
      <c r="Q2" s="4"/>
      <c r="R2" s="4"/>
      <c r="S2" s="4"/>
      <c r="T2" s="25" t="s">
        <v>94</v>
      </c>
      <c r="U2" s="26"/>
      <c r="V2" s="24"/>
      <c r="W2" s="24"/>
      <c r="X2" s="24"/>
      <c r="Y2" s="8"/>
    </row>
    <row r="3" spans="1:25" ht="19.5" thickBot="1" x14ac:dyDescent="0.3">
      <c r="C3" t="s">
        <v>0</v>
      </c>
      <c r="F3" s="29" t="s">
        <v>96</v>
      </c>
      <c r="G3" s="31" t="s">
        <v>99</v>
      </c>
      <c r="H3" s="37" t="s">
        <v>91</v>
      </c>
      <c r="I3" s="18" t="s">
        <v>83</v>
      </c>
      <c r="J3" s="4"/>
      <c r="K3" s="4"/>
      <c r="L3" s="4"/>
      <c r="M3" s="4"/>
      <c r="N3" s="4"/>
      <c r="O3" s="4"/>
      <c r="P3" s="4"/>
      <c r="Q3" s="4"/>
      <c r="R3" s="4"/>
      <c r="S3" s="4"/>
    </row>
    <row r="4" spans="1:25" ht="15.75" thickBot="1" x14ac:dyDescent="0.3">
      <c r="G4" t="s">
        <v>0</v>
      </c>
      <c r="I4" s="19" t="s">
        <v>82</v>
      </c>
      <c r="J4" s="16"/>
      <c r="K4" s="16"/>
      <c r="L4" s="16"/>
      <c r="M4" s="16"/>
      <c r="N4" s="16"/>
      <c r="O4" s="16"/>
      <c r="P4" s="16"/>
      <c r="Q4" s="16"/>
      <c r="R4" s="16"/>
      <c r="S4" s="16"/>
    </row>
    <row r="7" spans="1:25" ht="15.75" thickBot="1" x14ac:dyDescent="0.3"/>
    <row r="8" spans="1:25" ht="19.5" thickBot="1" x14ac:dyDescent="0.3">
      <c r="G8" s="6" t="s">
        <v>101</v>
      </c>
      <c r="H8" s="175" t="s">
        <v>1</v>
      </c>
      <c r="I8" s="176"/>
      <c r="J8" s="176"/>
      <c r="K8" s="176"/>
      <c r="L8" s="176"/>
      <c r="M8" s="177"/>
      <c r="N8" s="178" t="s">
        <v>2</v>
      </c>
      <c r="O8" s="179"/>
      <c r="P8" s="179"/>
      <c r="Q8" s="179"/>
      <c r="R8" s="179"/>
      <c r="S8" s="180"/>
      <c r="T8" s="172" t="s">
        <v>347</v>
      </c>
      <c r="U8" s="173"/>
      <c r="V8" s="173"/>
      <c r="W8" s="174"/>
    </row>
    <row r="9" spans="1:25" ht="15.75" thickBot="1" x14ac:dyDescent="0.3">
      <c r="B9" s="39"/>
      <c r="C9" s="39" t="s">
        <v>16</v>
      </c>
      <c r="D9" s="39"/>
      <c r="E9" s="39"/>
      <c r="F9" s="39"/>
      <c r="G9" s="71" t="s">
        <v>102</v>
      </c>
      <c r="H9" s="97" t="s">
        <v>88</v>
      </c>
      <c r="I9" s="98" t="s">
        <v>6</v>
      </c>
      <c r="J9" s="99" t="s">
        <v>7</v>
      </c>
      <c r="K9" s="74" t="s">
        <v>8</v>
      </c>
      <c r="L9" s="74" t="s">
        <v>9</v>
      </c>
      <c r="M9" s="100" t="s">
        <v>10</v>
      </c>
      <c r="N9" s="98" t="s">
        <v>88</v>
      </c>
      <c r="O9" s="98" t="s">
        <v>6</v>
      </c>
      <c r="P9" s="99" t="s">
        <v>7</v>
      </c>
      <c r="Q9" s="74" t="s">
        <v>8</v>
      </c>
      <c r="R9" s="74" t="s">
        <v>9</v>
      </c>
      <c r="S9" s="100" t="s">
        <v>10</v>
      </c>
      <c r="T9" s="98" t="s">
        <v>88</v>
      </c>
      <c r="U9" s="98" t="s">
        <v>6</v>
      </c>
      <c r="V9" s="99" t="s">
        <v>7</v>
      </c>
      <c r="W9" s="62" t="s">
        <v>8</v>
      </c>
    </row>
    <row r="10" spans="1:25" ht="15.75" thickBot="1" x14ac:dyDescent="0.3">
      <c r="B10" s="76" t="s">
        <v>339</v>
      </c>
      <c r="C10" s="84" t="s">
        <v>85</v>
      </c>
      <c r="D10" s="146"/>
      <c r="E10" s="146"/>
      <c r="F10" s="84" t="s">
        <v>348</v>
      </c>
      <c r="G10" s="84" t="s">
        <v>349</v>
      </c>
      <c r="H10" s="74" t="s">
        <v>85</v>
      </c>
      <c r="I10" s="101"/>
      <c r="J10" s="101"/>
      <c r="K10" s="101"/>
      <c r="L10" s="101"/>
      <c r="M10" s="102"/>
      <c r="N10" s="103" t="s">
        <v>85</v>
      </c>
      <c r="O10" s="101"/>
      <c r="P10" s="101"/>
      <c r="Q10" s="101"/>
      <c r="R10" s="101"/>
      <c r="S10" s="102"/>
      <c r="T10" s="103" t="s">
        <v>85</v>
      </c>
      <c r="U10" s="101"/>
      <c r="V10" s="101"/>
      <c r="W10" s="102"/>
    </row>
    <row r="11" spans="1:25" ht="15.75" thickBot="1" x14ac:dyDescent="0.3">
      <c r="A11" s="6"/>
      <c r="B11" s="77" t="s">
        <v>18</v>
      </c>
      <c r="C11" s="85"/>
      <c r="D11" s="64" t="str">
        <f t="array" ref="D11">INDEX(Table_Name52[Name List],MATCH(B11,Table_Name52[Category],0))</f>
        <v>Biceps[Exercise]</v>
      </c>
      <c r="E11" s="81" t="e">
        <f t="array" ref="E11">INDEX(Links73[Link],MATCH(C11,Links73[Exercise],0))</f>
        <v>#N/A</v>
      </c>
      <c r="F11" s="88" t="e">
        <f>HYPERLINK(E11,"Video")</f>
        <v>#N/A</v>
      </c>
      <c r="G11" s="91"/>
      <c r="H11" s="104">
        <f t="shared" ref="H11:H16" si="0">C11</f>
        <v>0</v>
      </c>
      <c r="I11" s="105">
        <v>3</v>
      </c>
      <c r="J11" s="105">
        <f t="shared" ref="J11:J16" si="1">MROUND(((G11)),5)</f>
        <v>0</v>
      </c>
      <c r="K11" s="105" t="s">
        <v>11</v>
      </c>
      <c r="L11" s="105"/>
      <c r="M11" s="71"/>
      <c r="N11" s="106">
        <f t="shared" ref="N11:N16" si="2">C11</f>
        <v>0</v>
      </c>
      <c r="O11" s="105">
        <f>I11+(M31)</f>
        <v>3</v>
      </c>
      <c r="P11" s="105">
        <f t="shared" ref="P11:P16" si="3">MROUND((J11*1.05),5)</f>
        <v>0</v>
      </c>
      <c r="Q11" s="105" t="s">
        <v>11</v>
      </c>
      <c r="R11" s="105"/>
      <c r="S11" s="107"/>
      <c r="T11" s="106">
        <f t="shared" ref="T11:T16" si="4">C11</f>
        <v>0</v>
      </c>
      <c r="U11" s="105">
        <v>2</v>
      </c>
      <c r="V11" s="109">
        <f t="shared" ref="V11:V16" si="5">J11</f>
        <v>0</v>
      </c>
      <c r="W11" s="71" t="s">
        <v>14</v>
      </c>
    </row>
    <row r="12" spans="1:25" ht="15.75" thickBot="1" x14ac:dyDescent="0.3">
      <c r="A12" s="6"/>
      <c r="B12" s="78" t="s">
        <v>180</v>
      </c>
      <c r="C12" s="86"/>
      <c r="D12" s="67" t="str">
        <f t="array" ref="D12">INDEX(Table_Name52[Name List],MATCH(B12,Table_Name52[Category],0))</f>
        <v>Rear_or_Side_Delts[Exercise]</v>
      </c>
      <c r="E12" s="82" t="e">
        <f t="array" ref="E12">INDEX(Links73[Link],MATCH(C12,Links73[Exercise],0))</f>
        <v>#N/A</v>
      </c>
      <c r="F12" s="89" t="e">
        <f t="shared" ref="F12:F16" si="6">HYPERLINK(E12,"Video")</f>
        <v>#N/A</v>
      </c>
      <c r="G12" s="92"/>
      <c r="H12" s="104">
        <f t="shared" si="0"/>
        <v>0</v>
      </c>
      <c r="I12" s="105">
        <v>3</v>
      </c>
      <c r="J12" s="105">
        <f t="shared" si="1"/>
        <v>0</v>
      </c>
      <c r="K12" s="105" t="s">
        <v>11</v>
      </c>
      <c r="L12" s="105"/>
      <c r="M12" s="71"/>
      <c r="N12" s="106">
        <f t="shared" si="2"/>
        <v>0</v>
      </c>
      <c r="O12" s="105">
        <f>I12+(M24)</f>
        <v>3</v>
      </c>
      <c r="P12" s="105">
        <f t="shared" si="3"/>
        <v>0</v>
      </c>
      <c r="Q12" s="105" t="s">
        <v>11</v>
      </c>
      <c r="R12" s="105"/>
      <c r="S12" s="107"/>
      <c r="T12" s="106">
        <f t="shared" si="4"/>
        <v>0</v>
      </c>
      <c r="U12" s="105">
        <v>2</v>
      </c>
      <c r="V12" s="109">
        <f t="shared" si="5"/>
        <v>0</v>
      </c>
      <c r="W12" s="71" t="s">
        <v>14</v>
      </c>
    </row>
    <row r="13" spans="1:25" ht="15.75" thickBot="1" x14ac:dyDescent="0.3">
      <c r="A13" s="6"/>
      <c r="B13" s="78" t="s">
        <v>340</v>
      </c>
      <c r="C13" s="86"/>
      <c r="D13" s="67" t="str">
        <f t="array" ref="D13">INDEX(Table_Name52[Name List],MATCH(B13,Table_Name52[Category],0))</f>
        <v>Vertical_Back[Exercise]</v>
      </c>
      <c r="E13" s="82" t="e">
        <f t="array" ref="E13">INDEX(Links73[Link],MATCH(C13,Links73[Exercise],0))</f>
        <v>#N/A</v>
      </c>
      <c r="F13" s="89" t="e">
        <f t="shared" si="6"/>
        <v>#N/A</v>
      </c>
      <c r="G13" s="92"/>
      <c r="H13" s="104">
        <f t="shared" si="0"/>
        <v>0</v>
      </c>
      <c r="I13" s="105">
        <v>2</v>
      </c>
      <c r="J13" s="105">
        <f t="shared" si="1"/>
        <v>0</v>
      </c>
      <c r="K13" s="105" t="s">
        <v>11</v>
      </c>
      <c r="L13" s="105"/>
      <c r="M13" s="71"/>
      <c r="N13" s="106">
        <f t="shared" si="2"/>
        <v>0</v>
      </c>
      <c r="O13" s="105">
        <f>I13+(M25)</f>
        <v>2</v>
      </c>
      <c r="P13" s="105">
        <f t="shared" si="3"/>
        <v>0</v>
      </c>
      <c r="Q13" s="105" t="s">
        <v>11</v>
      </c>
      <c r="R13" s="105"/>
      <c r="S13" s="107"/>
      <c r="T13" s="106">
        <f t="shared" si="4"/>
        <v>0</v>
      </c>
      <c r="U13" s="105">
        <v>2</v>
      </c>
      <c r="V13" s="109">
        <f t="shared" si="5"/>
        <v>0</v>
      </c>
      <c r="W13" s="71" t="s">
        <v>14</v>
      </c>
    </row>
    <row r="14" spans="1:25" ht="15.75" thickBot="1" x14ac:dyDescent="0.3">
      <c r="A14" s="6"/>
      <c r="B14" s="78" t="s">
        <v>341</v>
      </c>
      <c r="C14" s="86"/>
      <c r="D14" s="67" t="str">
        <f t="array" ref="D14">INDEX(Table_Name52[Name List],MATCH(B14,Table_Name52[Category],0))</f>
        <v>Horizontal_Back[Exercise]</v>
      </c>
      <c r="E14" s="82" t="e">
        <f t="array" ref="E14">INDEX(Links73[Link],MATCH(C14,Links73[Exercise],0))</f>
        <v>#N/A</v>
      </c>
      <c r="F14" s="89" t="e">
        <f t="shared" si="6"/>
        <v>#N/A</v>
      </c>
      <c r="G14" s="92"/>
      <c r="H14" s="104">
        <f t="shared" si="0"/>
        <v>0</v>
      </c>
      <c r="I14" s="105">
        <v>2</v>
      </c>
      <c r="J14" s="105">
        <f t="shared" si="1"/>
        <v>0</v>
      </c>
      <c r="K14" s="105" t="s">
        <v>11</v>
      </c>
      <c r="L14" s="105"/>
      <c r="M14" s="71"/>
      <c r="N14" s="106">
        <f t="shared" si="2"/>
        <v>0</v>
      </c>
      <c r="O14" s="105">
        <f>I14+(M25)</f>
        <v>2</v>
      </c>
      <c r="P14" s="105">
        <f t="shared" si="3"/>
        <v>0</v>
      </c>
      <c r="Q14" s="105" t="s">
        <v>11</v>
      </c>
      <c r="R14" s="105"/>
      <c r="S14" s="107"/>
      <c r="T14" s="106">
        <f t="shared" si="4"/>
        <v>0</v>
      </c>
      <c r="U14" s="105">
        <v>2</v>
      </c>
      <c r="V14" s="109">
        <f t="shared" si="5"/>
        <v>0</v>
      </c>
      <c r="W14" s="71" t="s">
        <v>14</v>
      </c>
    </row>
    <row r="15" spans="1:25" ht="15.75" thickBot="1" x14ac:dyDescent="0.3">
      <c r="A15" s="6"/>
      <c r="B15" s="78" t="s">
        <v>22</v>
      </c>
      <c r="C15" s="86"/>
      <c r="D15" s="67" t="str">
        <f t="array" ref="D15">INDEX(Table_Name52[Name List],MATCH(B15,Table_Name52[Category],0))</f>
        <v>Horizontal_Push[Exercise]</v>
      </c>
      <c r="E15" s="82" t="e">
        <f t="array" ref="E15">INDEX(Links73[Link],MATCH(C15,Links73[Exercise],0))</f>
        <v>#N/A</v>
      </c>
      <c r="F15" s="89" t="e">
        <f t="shared" si="6"/>
        <v>#N/A</v>
      </c>
      <c r="G15" s="92"/>
      <c r="H15" s="104">
        <f t="shared" si="0"/>
        <v>0</v>
      </c>
      <c r="I15" s="105">
        <v>1</v>
      </c>
      <c r="J15" s="105">
        <f t="shared" si="1"/>
        <v>0</v>
      </c>
      <c r="K15" s="105" t="s">
        <v>11</v>
      </c>
      <c r="L15" s="105" t="s">
        <v>0</v>
      </c>
      <c r="M15" s="71"/>
      <c r="N15" s="106">
        <f t="shared" si="2"/>
        <v>0</v>
      </c>
      <c r="O15" s="105">
        <f>I15+(M23)</f>
        <v>1</v>
      </c>
      <c r="P15" s="105">
        <f t="shared" si="3"/>
        <v>0</v>
      </c>
      <c r="Q15" s="105" t="s">
        <v>11</v>
      </c>
      <c r="R15" s="105"/>
      <c r="S15" s="107"/>
      <c r="T15" s="106">
        <f t="shared" si="4"/>
        <v>0</v>
      </c>
      <c r="U15" s="105">
        <v>2</v>
      </c>
      <c r="V15" s="109">
        <f t="shared" si="5"/>
        <v>0</v>
      </c>
      <c r="W15" s="71" t="s">
        <v>14</v>
      </c>
    </row>
    <row r="16" spans="1:25" ht="15.75" thickBot="1" x14ac:dyDescent="0.3">
      <c r="A16" s="6"/>
      <c r="B16" s="79" t="s">
        <v>20</v>
      </c>
      <c r="C16" s="87"/>
      <c r="D16" s="70" t="str">
        <f t="array" ref="D16">INDEX(Table_Name52[Name List],MATCH(B16,Table_Name52[Category],0))</f>
        <v>Quads[Exercise]</v>
      </c>
      <c r="E16" s="83" t="e">
        <f t="array" ref="E16">INDEX(Links73[Link],MATCH(C16,Links73[Exercise],0))</f>
        <v>#N/A</v>
      </c>
      <c r="F16" s="90" t="e">
        <f t="shared" si="6"/>
        <v>#N/A</v>
      </c>
      <c r="G16" s="93"/>
      <c r="H16" s="110">
        <f t="shared" si="0"/>
        <v>0</v>
      </c>
      <c r="I16" s="111">
        <v>2</v>
      </c>
      <c r="J16" s="111">
        <f t="shared" si="1"/>
        <v>0</v>
      </c>
      <c r="K16" s="111" t="s">
        <v>11</v>
      </c>
      <c r="L16" s="111"/>
      <c r="M16" s="73"/>
      <c r="N16" s="112">
        <f t="shared" si="2"/>
        <v>0</v>
      </c>
      <c r="O16" s="111">
        <f>I16</f>
        <v>2</v>
      </c>
      <c r="P16" s="111">
        <f t="shared" si="3"/>
        <v>0</v>
      </c>
      <c r="Q16" s="111" t="s">
        <v>11</v>
      </c>
      <c r="R16" s="111"/>
      <c r="S16" s="73"/>
      <c r="T16" s="112">
        <f t="shared" si="4"/>
        <v>0</v>
      </c>
      <c r="U16" s="111">
        <v>2</v>
      </c>
      <c r="V16" s="114">
        <f t="shared" si="5"/>
        <v>0</v>
      </c>
      <c r="W16" s="73" t="s">
        <v>14</v>
      </c>
    </row>
    <row r="17" spans="2:23" ht="19.5" thickBot="1" x14ac:dyDescent="0.3">
      <c r="B17" s="72" t="s">
        <v>103</v>
      </c>
      <c r="C17" s="39"/>
      <c r="D17" s="39"/>
      <c r="E17" s="39"/>
      <c r="F17" s="14"/>
      <c r="G17" s="71"/>
      <c r="H17" s="175" t="s">
        <v>1</v>
      </c>
      <c r="I17" s="176"/>
      <c r="J17" s="176"/>
      <c r="K17" s="176"/>
      <c r="L17" s="176"/>
      <c r="M17" s="177"/>
      <c r="N17" s="178" t="s">
        <v>2</v>
      </c>
      <c r="O17" s="179"/>
      <c r="P17" s="179"/>
      <c r="Q17" s="179"/>
      <c r="R17" s="179"/>
      <c r="S17" s="180"/>
      <c r="T17" s="172" t="s">
        <v>347</v>
      </c>
      <c r="U17" s="173"/>
      <c r="V17" s="173"/>
      <c r="W17" s="174"/>
    </row>
    <row r="18" spans="2:23" ht="15.75" thickBot="1" x14ac:dyDescent="0.3">
      <c r="B18" s="39"/>
      <c r="C18" s="39"/>
      <c r="D18" s="39"/>
      <c r="E18" s="39"/>
      <c r="F18" s="14"/>
      <c r="G18" s="71"/>
      <c r="H18" s="97" t="s">
        <v>88</v>
      </c>
      <c r="I18" s="98" t="s">
        <v>6</v>
      </c>
      <c r="J18" s="99" t="s">
        <v>7</v>
      </c>
      <c r="K18" s="74" t="s">
        <v>8</v>
      </c>
      <c r="L18" s="74" t="s">
        <v>9</v>
      </c>
      <c r="M18" s="100" t="s">
        <v>10</v>
      </c>
      <c r="N18" s="98" t="s">
        <v>88</v>
      </c>
      <c r="O18" s="98" t="s">
        <v>6</v>
      </c>
      <c r="P18" s="99" t="s">
        <v>7</v>
      </c>
      <c r="Q18" s="74" t="s">
        <v>8</v>
      </c>
      <c r="R18" s="74" t="s">
        <v>9</v>
      </c>
      <c r="S18" s="100" t="s">
        <v>10</v>
      </c>
      <c r="T18" s="98" t="s">
        <v>88</v>
      </c>
      <c r="U18" s="98" t="s">
        <v>6</v>
      </c>
      <c r="V18" s="99" t="s">
        <v>7</v>
      </c>
      <c r="W18" s="62" t="s">
        <v>8</v>
      </c>
    </row>
    <row r="19" spans="2:23" ht="15.75" thickBot="1" x14ac:dyDescent="0.3">
      <c r="B19" s="76" t="s">
        <v>342</v>
      </c>
      <c r="C19" s="84" t="s">
        <v>86</v>
      </c>
      <c r="D19" s="146"/>
      <c r="E19" s="146"/>
      <c r="F19" s="84" t="s">
        <v>348</v>
      </c>
      <c r="G19" s="84" t="s">
        <v>349</v>
      </c>
      <c r="H19" s="74" t="s">
        <v>86</v>
      </c>
      <c r="I19" s="101"/>
      <c r="J19" s="101"/>
      <c r="K19" s="101"/>
      <c r="L19" s="101"/>
      <c r="M19" s="102"/>
      <c r="N19" s="103" t="s">
        <v>86</v>
      </c>
      <c r="O19" s="101"/>
      <c r="P19" s="101"/>
      <c r="Q19" s="101"/>
      <c r="R19" s="101"/>
      <c r="S19" s="102"/>
      <c r="T19" s="103" t="s">
        <v>86</v>
      </c>
      <c r="U19" s="101"/>
      <c r="V19" s="101"/>
      <c r="W19" s="102"/>
    </row>
    <row r="20" spans="2:23" ht="15.75" thickBot="1" x14ac:dyDescent="0.3">
      <c r="B20" s="77" t="s">
        <v>107</v>
      </c>
      <c r="C20" s="85"/>
      <c r="D20" s="64" t="str">
        <f t="array" ref="D20">INDEX(Table_Name52[Name List],MATCH(B20,Table_Name52[Category],0))</f>
        <v>Front_Delts[Exercise]</v>
      </c>
      <c r="E20" s="81" t="e">
        <f t="array" ref="E20">INDEX(Links73[Link],MATCH(C20,Links73[Exercise],0))</f>
        <v>#N/A</v>
      </c>
      <c r="F20" s="88" t="e">
        <f>HYPERLINK(E20,"Video")</f>
        <v>#N/A</v>
      </c>
      <c r="G20" s="91"/>
      <c r="H20" s="104">
        <f t="shared" ref="H20:H26" si="7">C20</f>
        <v>0</v>
      </c>
      <c r="I20" s="105">
        <v>3</v>
      </c>
      <c r="J20" s="105">
        <f t="shared" ref="J20:J26" si="8">MROUND(((G20)),5)</f>
        <v>0</v>
      </c>
      <c r="K20" s="105" t="s">
        <v>11</v>
      </c>
      <c r="L20" s="105"/>
      <c r="M20" s="107"/>
      <c r="N20" s="104">
        <f t="shared" ref="N20:N26" si="9">C20</f>
        <v>0</v>
      </c>
      <c r="O20" s="105">
        <f>I20+(M35)</f>
        <v>3</v>
      </c>
      <c r="P20" s="105">
        <f t="shared" ref="P20:P26" si="10">MROUND((J20*1.05),5)</f>
        <v>0</v>
      </c>
      <c r="Q20" s="105" t="s">
        <v>11</v>
      </c>
      <c r="R20" s="105"/>
      <c r="S20" s="107"/>
      <c r="T20" s="106">
        <f t="shared" ref="T20:T26" si="11">C20</f>
        <v>0</v>
      </c>
      <c r="U20" s="105">
        <v>2</v>
      </c>
      <c r="V20" s="109">
        <f t="shared" ref="V20:V26" si="12">J20</f>
        <v>0</v>
      </c>
      <c r="W20" s="71" t="s">
        <v>14</v>
      </c>
    </row>
    <row r="21" spans="2:23" ht="15.75" thickBot="1" x14ac:dyDescent="0.3">
      <c r="B21" s="78" t="s">
        <v>17</v>
      </c>
      <c r="C21" s="86"/>
      <c r="D21" s="67" t="str">
        <f t="array" ref="D21">INDEX(Table_Name52[Name List],MATCH(B21,Table_Name52[Category],0))</f>
        <v>Triceps[Exercise]</v>
      </c>
      <c r="E21" s="82" t="e">
        <f t="array" ref="E21">INDEX(Links73[Link],MATCH(C21,Links73[Exercise],0))</f>
        <v>#N/A</v>
      </c>
      <c r="F21" s="89" t="e">
        <f t="shared" ref="F21:F26" si="13">HYPERLINK(E21,"Video")</f>
        <v>#N/A</v>
      </c>
      <c r="G21" s="92"/>
      <c r="H21" s="104">
        <f t="shared" si="7"/>
        <v>0</v>
      </c>
      <c r="I21" s="105">
        <v>3</v>
      </c>
      <c r="J21" s="105">
        <f t="shared" si="8"/>
        <v>0</v>
      </c>
      <c r="K21" s="105" t="s">
        <v>11</v>
      </c>
      <c r="L21" s="105"/>
      <c r="M21" s="107"/>
      <c r="N21" s="104">
        <f t="shared" si="9"/>
        <v>0</v>
      </c>
      <c r="O21" s="105">
        <f>I21+(M32)</f>
        <v>3</v>
      </c>
      <c r="P21" s="105">
        <f t="shared" si="10"/>
        <v>0</v>
      </c>
      <c r="Q21" s="105" t="s">
        <v>11</v>
      </c>
      <c r="R21" s="105"/>
      <c r="S21" s="107"/>
      <c r="T21" s="106">
        <f t="shared" si="11"/>
        <v>0</v>
      </c>
      <c r="U21" s="105">
        <v>2</v>
      </c>
      <c r="V21" s="109">
        <f t="shared" si="12"/>
        <v>0</v>
      </c>
      <c r="W21" s="71" t="s">
        <v>14</v>
      </c>
    </row>
    <row r="22" spans="2:23" ht="15.75" thickBot="1" x14ac:dyDescent="0.3">
      <c r="B22" s="78" t="s">
        <v>146</v>
      </c>
      <c r="C22" s="86"/>
      <c r="D22" s="67" t="str">
        <f t="array" ref="D22">INDEX(Table_Name52[Name List],MATCH(B22,Table_Name52[Category],0))</f>
        <v>Incline_Push[Exercise]</v>
      </c>
      <c r="E22" s="82" t="e">
        <f t="array" ref="E22">INDEX(Links73[Link],MATCH(C22,Links73[Exercise],0))</f>
        <v>#N/A</v>
      </c>
      <c r="F22" s="89" t="e">
        <f t="shared" si="13"/>
        <v>#N/A</v>
      </c>
      <c r="G22" s="92"/>
      <c r="H22" s="104">
        <f t="shared" si="7"/>
        <v>0</v>
      </c>
      <c r="I22" s="105">
        <v>3</v>
      </c>
      <c r="J22" s="105">
        <f t="shared" si="8"/>
        <v>0</v>
      </c>
      <c r="K22" s="105" t="s">
        <v>11</v>
      </c>
      <c r="L22" s="105"/>
      <c r="M22" s="107"/>
      <c r="N22" s="104">
        <f t="shared" si="9"/>
        <v>0</v>
      </c>
      <c r="O22" s="105">
        <f>I22+(M35)</f>
        <v>3</v>
      </c>
      <c r="P22" s="105">
        <f t="shared" si="10"/>
        <v>0</v>
      </c>
      <c r="Q22" s="105" t="s">
        <v>11</v>
      </c>
      <c r="R22" s="105"/>
      <c r="S22" s="107"/>
      <c r="T22" s="106">
        <f t="shared" si="11"/>
        <v>0</v>
      </c>
      <c r="U22" s="105">
        <v>2</v>
      </c>
      <c r="V22" s="109">
        <f t="shared" si="12"/>
        <v>0</v>
      </c>
      <c r="W22" s="71" t="s">
        <v>14</v>
      </c>
    </row>
    <row r="23" spans="2:23" ht="15.75" thickBot="1" x14ac:dyDescent="0.3">
      <c r="B23" s="78" t="s">
        <v>22</v>
      </c>
      <c r="C23" s="86"/>
      <c r="D23" s="67" t="str">
        <f t="array" ref="D23">INDEX(Table_Name52[Name List],MATCH(B23,Table_Name52[Category],0))</f>
        <v>Horizontal_Push[Exercise]</v>
      </c>
      <c r="E23" s="82" t="e">
        <f t="array" ref="E23">INDEX(Links73[Link],MATCH(C23,Links73[Exercise],0))</f>
        <v>#N/A</v>
      </c>
      <c r="F23" s="89" t="e">
        <f t="shared" si="13"/>
        <v>#N/A</v>
      </c>
      <c r="G23" s="92"/>
      <c r="H23" s="104">
        <f t="shared" si="7"/>
        <v>0</v>
      </c>
      <c r="I23" s="105">
        <v>2</v>
      </c>
      <c r="J23" s="105">
        <f t="shared" si="8"/>
        <v>0</v>
      </c>
      <c r="K23" s="105" t="s">
        <v>11</v>
      </c>
      <c r="L23" s="105"/>
      <c r="M23" s="107"/>
      <c r="N23" s="104">
        <f t="shared" si="9"/>
        <v>0</v>
      </c>
      <c r="O23" s="105">
        <f>I23+(M35)</f>
        <v>2</v>
      </c>
      <c r="P23" s="105">
        <f t="shared" si="10"/>
        <v>0</v>
      </c>
      <c r="Q23" s="105" t="s">
        <v>11</v>
      </c>
      <c r="R23" s="105"/>
      <c r="S23" s="107"/>
      <c r="T23" s="106">
        <f t="shared" si="11"/>
        <v>0</v>
      </c>
      <c r="U23" s="105">
        <v>2</v>
      </c>
      <c r="V23" s="109">
        <f t="shared" si="12"/>
        <v>0</v>
      </c>
      <c r="W23" s="71" t="s">
        <v>14</v>
      </c>
    </row>
    <row r="24" spans="2:23" ht="15.75" thickBot="1" x14ac:dyDescent="0.3">
      <c r="B24" s="78" t="s">
        <v>108</v>
      </c>
      <c r="C24" s="86"/>
      <c r="D24" s="67" t="str">
        <f t="array" ref="D24">INDEX(Table_Name52[Name List],MATCH(B24,Table_Name52[Category],0))</f>
        <v>Side_Delts[Exercise]</v>
      </c>
      <c r="E24" s="82" t="e">
        <f t="array" ref="E24">INDEX(Links73[Link],MATCH(C24,Links73[Exercise],0))</f>
        <v>#N/A</v>
      </c>
      <c r="F24" s="89" t="e">
        <f t="shared" si="13"/>
        <v>#N/A</v>
      </c>
      <c r="G24" s="92"/>
      <c r="H24" s="104">
        <f t="shared" si="7"/>
        <v>0</v>
      </c>
      <c r="I24" s="105">
        <v>2</v>
      </c>
      <c r="J24" s="105">
        <f t="shared" si="8"/>
        <v>0</v>
      </c>
      <c r="K24" s="105" t="s">
        <v>11</v>
      </c>
      <c r="L24" s="105"/>
      <c r="M24" s="107"/>
      <c r="N24" s="104">
        <f t="shared" si="9"/>
        <v>0</v>
      </c>
      <c r="O24" s="105">
        <f>I24+(M30)</f>
        <v>2</v>
      </c>
      <c r="P24" s="105">
        <f t="shared" si="10"/>
        <v>0</v>
      </c>
      <c r="Q24" s="105" t="s">
        <v>11</v>
      </c>
      <c r="R24" s="105"/>
      <c r="S24" s="107"/>
      <c r="T24" s="106">
        <f t="shared" si="11"/>
        <v>0</v>
      </c>
      <c r="U24" s="105">
        <v>2</v>
      </c>
      <c r="V24" s="109">
        <f t="shared" si="12"/>
        <v>0</v>
      </c>
      <c r="W24" s="71" t="s">
        <v>14</v>
      </c>
    </row>
    <row r="25" spans="2:23" ht="15.75" thickBot="1" x14ac:dyDescent="0.3">
      <c r="B25" s="78" t="s">
        <v>340</v>
      </c>
      <c r="C25" s="86"/>
      <c r="D25" s="67" t="str">
        <f t="array" ref="D25">INDEX(Table_Name52[Name List],MATCH(B25,Table_Name52[Category],0))</f>
        <v>Vertical_Back[Exercise]</v>
      </c>
      <c r="E25" s="82" t="e">
        <f t="array" ref="E25">INDEX(Links73[Link],MATCH(C25,Links73[Exercise],0))</f>
        <v>#N/A</v>
      </c>
      <c r="F25" s="89" t="e">
        <f t="shared" si="13"/>
        <v>#N/A</v>
      </c>
      <c r="G25" s="92"/>
      <c r="H25" s="104">
        <f t="shared" si="7"/>
        <v>0</v>
      </c>
      <c r="I25" s="105">
        <v>1</v>
      </c>
      <c r="J25" s="105">
        <f t="shared" si="8"/>
        <v>0</v>
      </c>
      <c r="K25" s="105" t="s">
        <v>11</v>
      </c>
      <c r="L25" s="105"/>
      <c r="M25" s="107"/>
      <c r="N25" s="104">
        <f t="shared" si="9"/>
        <v>0</v>
      </c>
      <c r="O25" s="105">
        <f>I25+(M34)</f>
        <v>1</v>
      </c>
      <c r="P25" s="105">
        <f t="shared" si="10"/>
        <v>0</v>
      </c>
      <c r="Q25" s="105" t="s">
        <v>11</v>
      </c>
      <c r="R25" s="105"/>
      <c r="S25" s="107"/>
      <c r="T25" s="106">
        <f t="shared" si="11"/>
        <v>0</v>
      </c>
      <c r="U25" s="105">
        <v>2</v>
      </c>
      <c r="V25" s="109">
        <f t="shared" si="12"/>
        <v>0</v>
      </c>
      <c r="W25" s="71" t="s">
        <v>14</v>
      </c>
    </row>
    <row r="26" spans="2:23" ht="15.75" thickBot="1" x14ac:dyDescent="0.3">
      <c r="B26" s="79" t="s">
        <v>111</v>
      </c>
      <c r="C26" s="87"/>
      <c r="D26" s="70" t="str">
        <f t="array" ref="D26">INDEX(Table_Name52[Name List],MATCH(B26,Table_Name52[Category],0))</f>
        <v>Glutes[Exercise]</v>
      </c>
      <c r="E26" s="82" t="e">
        <f t="array" ref="E26">INDEX(Links73[Link],MATCH(C26,Links73[Exercise],0))</f>
        <v>#N/A</v>
      </c>
      <c r="F26" s="90" t="e">
        <f t="shared" si="13"/>
        <v>#N/A</v>
      </c>
      <c r="G26" s="93"/>
      <c r="H26" s="110">
        <f t="shared" si="7"/>
        <v>0</v>
      </c>
      <c r="I26" s="111">
        <v>2</v>
      </c>
      <c r="J26" s="111">
        <f t="shared" si="8"/>
        <v>0</v>
      </c>
      <c r="K26" s="111" t="s">
        <v>11</v>
      </c>
      <c r="L26" s="111"/>
      <c r="M26" s="73"/>
      <c r="N26" s="112">
        <f t="shared" si="9"/>
        <v>0</v>
      </c>
      <c r="O26" s="111">
        <f>I26</f>
        <v>2</v>
      </c>
      <c r="P26" s="111">
        <f t="shared" si="10"/>
        <v>0</v>
      </c>
      <c r="Q26" s="111" t="s">
        <v>11</v>
      </c>
      <c r="R26" s="111"/>
      <c r="S26" s="73"/>
      <c r="T26" s="112">
        <f t="shared" si="11"/>
        <v>0</v>
      </c>
      <c r="U26" s="111">
        <v>2</v>
      </c>
      <c r="V26" s="114">
        <f t="shared" si="12"/>
        <v>0</v>
      </c>
      <c r="W26" s="73" t="s">
        <v>14</v>
      </c>
    </row>
    <row r="27" spans="2:23" ht="19.5" thickBot="1" x14ac:dyDescent="0.3">
      <c r="B27" s="72" t="s">
        <v>104</v>
      </c>
      <c r="C27" s="39"/>
      <c r="D27" s="39"/>
      <c r="E27" s="39"/>
      <c r="F27" s="14"/>
      <c r="G27" s="71"/>
      <c r="H27" s="175" t="s">
        <v>1</v>
      </c>
      <c r="I27" s="176"/>
      <c r="J27" s="176"/>
      <c r="K27" s="176"/>
      <c r="L27" s="176"/>
      <c r="M27" s="177"/>
      <c r="N27" s="178" t="s">
        <v>2</v>
      </c>
      <c r="O27" s="179"/>
      <c r="P27" s="179"/>
      <c r="Q27" s="179"/>
      <c r="R27" s="179"/>
      <c r="S27" s="180"/>
      <c r="T27" s="172" t="s">
        <v>347</v>
      </c>
      <c r="U27" s="173"/>
      <c r="V27" s="173"/>
      <c r="W27" s="174"/>
    </row>
    <row r="28" spans="2:23" ht="15.75" thickBot="1" x14ac:dyDescent="0.3">
      <c r="B28" s="39"/>
      <c r="C28" s="39"/>
      <c r="D28" s="39"/>
      <c r="E28" s="39"/>
      <c r="F28" s="14"/>
      <c r="G28" s="71"/>
      <c r="H28" s="103" t="s">
        <v>88</v>
      </c>
      <c r="I28" s="61" t="s">
        <v>6</v>
      </c>
      <c r="J28" s="99" t="s">
        <v>7</v>
      </c>
      <c r="K28" s="74" t="s">
        <v>8</v>
      </c>
      <c r="L28" s="74" t="s">
        <v>9</v>
      </c>
      <c r="M28" s="100" t="s">
        <v>10</v>
      </c>
      <c r="N28" s="98" t="s">
        <v>88</v>
      </c>
      <c r="O28" s="98" t="s">
        <v>6</v>
      </c>
      <c r="P28" s="99" t="s">
        <v>7</v>
      </c>
      <c r="Q28" s="74" t="s">
        <v>8</v>
      </c>
      <c r="R28" s="74" t="s">
        <v>9</v>
      </c>
      <c r="S28" s="100" t="s">
        <v>10</v>
      </c>
      <c r="T28" s="98" t="s">
        <v>88</v>
      </c>
      <c r="U28" s="98" t="s">
        <v>6</v>
      </c>
      <c r="V28" s="99" t="s">
        <v>7</v>
      </c>
      <c r="W28" s="62" t="s">
        <v>8</v>
      </c>
    </row>
    <row r="29" spans="2:23" ht="15.75" thickBot="1" x14ac:dyDescent="0.3">
      <c r="B29" s="76" t="s">
        <v>343</v>
      </c>
      <c r="C29" s="84" t="s">
        <v>106</v>
      </c>
      <c r="D29" s="146"/>
      <c r="E29" s="146"/>
      <c r="F29" s="84" t="s">
        <v>348</v>
      </c>
      <c r="G29" s="84" t="s">
        <v>349</v>
      </c>
      <c r="H29" s="74" t="s">
        <v>106</v>
      </c>
      <c r="I29" s="101"/>
      <c r="J29" s="101"/>
      <c r="K29" s="101"/>
      <c r="L29" s="101"/>
      <c r="M29" s="102"/>
      <c r="N29" s="103" t="s">
        <v>106</v>
      </c>
      <c r="O29" s="101"/>
      <c r="P29" s="101"/>
      <c r="Q29" s="101"/>
      <c r="R29" s="101"/>
      <c r="S29" s="102"/>
      <c r="T29" s="103" t="s">
        <v>106</v>
      </c>
      <c r="U29" s="101"/>
      <c r="V29" s="101"/>
      <c r="W29" s="102"/>
    </row>
    <row r="30" spans="2:23" ht="15.75" thickBot="1" x14ac:dyDescent="0.3">
      <c r="B30" s="77" t="s">
        <v>108</v>
      </c>
      <c r="C30" s="85"/>
      <c r="D30" s="64" t="str">
        <f t="array" ref="D30">INDEX(Table_Name52[Name List],MATCH(B30,Table_Name52[Category],0))</f>
        <v>Side_Delts[Exercise]</v>
      </c>
      <c r="E30" s="81" t="e">
        <f t="array" ref="E30">INDEX(Links73[Link],MATCH(C30,Links73[Exercise],0))</f>
        <v>#N/A</v>
      </c>
      <c r="F30" s="88" t="e">
        <f>HYPERLINK(E30,"Video")</f>
        <v>#N/A</v>
      </c>
      <c r="G30" s="91"/>
      <c r="H30" s="104">
        <f t="shared" ref="H30:H37" si="14">C30</f>
        <v>0</v>
      </c>
      <c r="I30" s="105">
        <v>3</v>
      </c>
      <c r="J30" s="105">
        <f t="shared" ref="J30:J37" si="15">MROUND(((G30)),5)</f>
        <v>0</v>
      </c>
      <c r="K30" s="105" t="s">
        <v>11</v>
      </c>
      <c r="L30" s="105"/>
      <c r="M30" s="107"/>
      <c r="N30" s="104">
        <f t="shared" ref="N30:N37" si="16">C30</f>
        <v>0</v>
      </c>
      <c r="O30" s="105">
        <f>I30+(S12)</f>
        <v>3</v>
      </c>
      <c r="P30" s="105">
        <f t="shared" ref="P30:P37" si="17">MROUND((J30*1.05),5)</f>
        <v>0</v>
      </c>
      <c r="Q30" s="105" t="s">
        <v>11</v>
      </c>
      <c r="R30" s="105"/>
      <c r="S30" s="107"/>
      <c r="T30" s="106">
        <f t="shared" ref="T30:T37" si="18">C30</f>
        <v>0</v>
      </c>
      <c r="U30" s="105">
        <v>2</v>
      </c>
      <c r="V30" s="109">
        <f t="shared" ref="V30:V37" si="19">MROUND((J30*0.5),5)</f>
        <v>0</v>
      </c>
      <c r="W30" s="71" t="s">
        <v>14</v>
      </c>
    </row>
    <row r="31" spans="2:23" ht="15.75" thickBot="1" x14ac:dyDescent="0.3">
      <c r="B31" s="78" t="s">
        <v>18</v>
      </c>
      <c r="C31" s="86"/>
      <c r="D31" s="67" t="str">
        <f t="array" ref="D31">INDEX(Table_Name52[Name List],MATCH(B31,Table_Name52[Category],0))</f>
        <v>Biceps[Exercise]</v>
      </c>
      <c r="E31" s="82" t="e">
        <f t="array" ref="E31">INDEX(Links73[Link],MATCH(C31,Links73[Exercise],0))</f>
        <v>#N/A</v>
      </c>
      <c r="F31" s="89" t="e">
        <f t="shared" ref="F31:F37" si="20">HYPERLINK(E31,"Video")</f>
        <v>#N/A</v>
      </c>
      <c r="G31" s="92"/>
      <c r="H31" s="104">
        <f t="shared" si="14"/>
        <v>0</v>
      </c>
      <c r="I31" s="105">
        <v>3</v>
      </c>
      <c r="J31" s="105">
        <f t="shared" si="15"/>
        <v>0</v>
      </c>
      <c r="K31" s="105" t="s">
        <v>11</v>
      </c>
      <c r="L31" s="105"/>
      <c r="M31" s="107"/>
      <c r="N31" s="104">
        <f t="shared" si="16"/>
        <v>0</v>
      </c>
      <c r="O31" s="105">
        <f>I31+(S11)</f>
        <v>3</v>
      </c>
      <c r="P31" s="105">
        <f t="shared" si="17"/>
        <v>0</v>
      </c>
      <c r="Q31" s="105" t="s">
        <v>11</v>
      </c>
      <c r="R31" s="105"/>
      <c r="S31" s="107"/>
      <c r="T31" s="106">
        <f t="shared" si="18"/>
        <v>0</v>
      </c>
      <c r="U31" s="105">
        <v>2</v>
      </c>
      <c r="V31" s="109">
        <f t="shared" si="19"/>
        <v>0</v>
      </c>
      <c r="W31" s="71" t="s">
        <v>14</v>
      </c>
    </row>
    <row r="32" spans="2:23" ht="15.75" thickBot="1" x14ac:dyDescent="0.3">
      <c r="B32" s="78" t="s">
        <v>17</v>
      </c>
      <c r="C32" s="86"/>
      <c r="D32" s="67" t="str">
        <f t="array" ref="D32">INDEX(Table_Name52[Name List],MATCH(B32,Table_Name52[Category],0))</f>
        <v>Triceps[Exercise]</v>
      </c>
      <c r="E32" s="82" t="e">
        <f t="array" ref="E32">INDEX(Links73[Link],MATCH(C32,Links73[Exercise],0))</f>
        <v>#N/A</v>
      </c>
      <c r="F32" s="89" t="e">
        <f t="shared" si="20"/>
        <v>#N/A</v>
      </c>
      <c r="G32" s="92"/>
      <c r="H32" s="104">
        <f t="shared" si="14"/>
        <v>0</v>
      </c>
      <c r="I32" s="105">
        <v>3</v>
      </c>
      <c r="J32" s="105">
        <f t="shared" si="15"/>
        <v>0</v>
      </c>
      <c r="K32" s="105" t="s">
        <v>11</v>
      </c>
      <c r="L32" s="105"/>
      <c r="M32" s="107"/>
      <c r="N32" s="104">
        <f t="shared" si="16"/>
        <v>0</v>
      </c>
      <c r="O32" s="105">
        <f>I32+(S21)</f>
        <v>3</v>
      </c>
      <c r="P32" s="105">
        <f t="shared" si="17"/>
        <v>0</v>
      </c>
      <c r="Q32" s="105" t="s">
        <v>11</v>
      </c>
      <c r="R32" s="105"/>
      <c r="S32" s="107"/>
      <c r="T32" s="106">
        <f t="shared" si="18"/>
        <v>0</v>
      </c>
      <c r="U32" s="105">
        <v>2</v>
      </c>
      <c r="V32" s="109">
        <f t="shared" si="19"/>
        <v>0</v>
      </c>
      <c r="W32" s="71" t="s">
        <v>14</v>
      </c>
    </row>
    <row r="33" spans="2:23" ht="15.75" thickBot="1" x14ac:dyDescent="0.3">
      <c r="B33" s="78" t="s">
        <v>123</v>
      </c>
      <c r="C33" s="86"/>
      <c r="D33" s="67" t="str">
        <f t="array" ref="D33">INDEX(Table_Name52[Name List],MATCH(B33,Table_Name52[Category],0))</f>
        <v>Traps[Exercise]</v>
      </c>
      <c r="E33" s="82" t="e">
        <f t="array" ref="E33">INDEX(Links73[Link],MATCH(C33,Links73[Exercise],0))</f>
        <v>#N/A</v>
      </c>
      <c r="F33" s="89" t="e">
        <f t="shared" si="20"/>
        <v>#N/A</v>
      </c>
      <c r="G33" s="92"/>
      <c r="H33" s="104">
        <f t="shared" si="14"/>
        <v>0</v>
      </c>
      <c r="I33" s="105">
        <v>3</v>
      </c>
      <c r="J33" s="105">
        <f t="shared" si="15"/>
        <v>0</v>
      </c>
      <c r="K33" s="105" t="s">
        <v>11</v>
      </c>
      <c r="L33" s="105"/>
      <c r="M33" s="107"/>
      <c r="N33" s="104">
        <f t="shared" si="16"/>
        <v>0</v>
      </c>
      <c r="O33" s="105">
        <f>I33+(S12)</f>
        <v>3</v>
      </c>
      <c r="P33" s="105">
        <f t="shared" si="17"/>
        <v>0</v>
      </c>
      <c r="Q33" s="105" t="s">
        <v>11</v>
      </c>
      <c r="R33" s="105"/>
      <c r="S33" s="107"/>
      <c r="T33" s="106">
        <f t="shared" si="18"/>
        <v>0</v>
      </c>
      <c r="U33" s="105">
        <v>2</v>
      </c>
      <c r="V33" s="109">
        <f t="shared" si="19"/>
        <v>0</v>
      </c>
      <c r="W33" s="71" t="s">
        <v>14</v>
      </c>
    </row>
    <row r="34" spans="2:23" ht="15.75" thickBot="1" x14ac:dyDescent="0.3">
      <c r="B34" s="78" t="s">
        <v>341</v>
      </c>
      <c r="C34" s="86"/>
      <c r="D34" s="67" t="str">
        <f t="array" ref="D34">INDEX(Table_Name52[Name List],MATCH(B34,Table_Name52[Category],0))</f>
        <v>Horizontal_Back[Exercise]</v>
      </c>
      <c r="E34" s="82" t="e">
        <f t="array" ref="E34">INDEX(Links73[Link],MATCH(C34,Links73[Exercise],0))</f>
        <v>#N/A</v>
      </c>
      <c r="F34" s="89" t="e">
        <f t="shared" si="20"/>
        <v>#N/A</v>
      </c>
      <c r="G34" s="92"/>
      <c r="H34" s="104">
        <f t="shared" si="14"/>
        <v>0</v>
      </c>
      <c r="I34" s="105">
        <v>2</v>
      </c>
      <c r="J34" s="105">
        <f t="shared" si="15"/>
        <v>0</v>
      </c>
      <c r="K34" s="105" t="s">
        <v>11</v>
      </c>
      <c r="L34" s="105"/>
      <c r="M34" s="107"/>
      <c r="N34" s="104">
        <f t="shared" si="16"/>
        <v>0</v>
      </c>
      <c r="O34" s="105">
        <f>I34+(S14)</f>
        <v>2</v>
      </c>
      <c r="P34" s="105">
        <f t="shared" si="17"/>
        <v>0</v>
      </c>
      <c r="Q34" s="105" t="s">
        <v>11</v>
      </c>
      <c r="R34" s="105"/>
      <c r="S34" s="107"/>
      <c r="T34" s="106">
        <f t="shared" si="18"/>
        <v>0</v>
      </c>
      <c r="U34" s="105">
        <v>2</v>
      </c>
      <c r="V34" s="109">
        <f t="shared" si="19"/>
        <v>0</v>
      </c>
      <c r="W34" s="71" t="s">
        <v>14</v>
      </c>
    </row>
    <row r="35" spans="2:23" ht="15.75" thickBot="1" x14ac:dyDescent="0.3">
      <c r="B35" s="78" t="s">
        <v>146</v>
      </c>
      <c r="C35" s="86"/>
      <c r="D35" s="67" t="str">
        <f t="array" ref="D35">INDEX(Table_Name52[Name List],MATCH(B35,Table_Name52[Category],0))</f>
        <v>Incline_Push[Exercise]</v>
      </c>
      <c r="E35" s="82" t="e">
        <f t="array" ref="E35">INDEX(Links73[Link],MATCH(C35,Links73[Exercise],0))</f>
        <v>#N/A</v>
      </c>
      <c r="F35" s="89" t="e">
        <f t="shared" si="20"/>
        <v>#N/A</v>
      </c>
      <c r="G35" s="92"/>
      <c r="H35" s="104">
        <f t="shared" si="14"/>
        <v>0</v>
      </c>
      <c r="I35" s="105">
        <v>2</v>
      </c>
      <c r="J35" s="105">
        <f t="shared" si="15"/>
        <v>0</v>
      </c>
      <c r="K35" s="105" t="s">
        <v>11</v>
      </c>
      <c r="L35" s="105"/>
      <c r="M35" s="107"/>
      <c r="N35" s="104">
        <f t="shared" si="16"/>
        <v>0</v>
      </c>
      <c r="O35" s="105">
        <f>I35+(S15)</f>
        <v>2</v>
      </c>
      <c r="P35" s="105">
        <f t="shared" si="17"/>
        <v>0</v>
      </c>
      <c r="Q35" s="105" t="s">
        <v>11</v>
      </c>
      <c r="R35" s="105"/>
      <c r="S35" s="107"/>
      <c r="T35" s="106">
        <f t="shared" si="18"/>
        <v>0</v>
      </c>
      <c r="U35" s="105">
        <v>2</v>
      </c>
      <c r="V35" s="109">
        <f t="shared" si="19"/>
        <v>0</v>
      </c>
      <c r="W35" s="71" t="s">
        <v>14</v>
      </c>
    </row>
    <row r="36" spans="2:23" x14ac:dyDescent="0.25">
      <c r="B36" s="78" t="s">
        <v>20</v>
      </c>
      <c r="C36" s="86"/>
      <c r="D36" s="67" t="str">
        <f t="array" ref="D36">INDEX(Table_Name52[Name List],MATCH(B36,Table_Name52[Category],0))</f>
        <v>Quads[Exercise]</v>
      </c>
      <c r="E36" s="82" t="e">
        <f t="array" ref="E36">INDEX(Links73[Link],MATCH(C36,Links73[Exercise],0))</f>
        <v>#N/A</v>
      </c>
      <c r="F36" s="89" t="e">
        <f t="shared" si="20"/>
        <v>#N/A</v>
      </c>
      <c r="G36" s="92"/>
      <c r="H36" s="104">
        <f t="shared" si="14"/>
        <v>0</v>
      </c>
      <c r="I36" s="105">
        <v>1</v>
      </c>
      <c r="J36" s="105">
        <f t="shared" si="15"/>
        <v>0</v>
      </c>
      <c r="K36" s="105" t="s">
        <v>11</v>
      </c>
      <c r="L36" s="105"/>
      <c r="M36" s="71"/>
      <c r="N36" s="104">
        <f t="shared" si="16"/>
        <v>0</v>
      </c>
      <c r="O36" s="105">
        <f>I36</f>
        <v>1</v>
      </c>
      <c r="P36" s="105">
        <f t="shared" si="17"/>
        <v>0</v>
      </c>
      <c r="Q36" s="105" t="s">
        <v>11</v>
      </c>
      <c r="R36" s="105"/>
      <c r="S36" s="71"/>
      <c r="T36" s="106">
        <f t="shared" si="18"/>
        <v>0</v>
      </c>
      <c r="U36" s="105">
        <v>2</v>
      </c>
      <c r="V36" s="109">
        <f t="shared" si="19"/>
        <v>0</v>
      </c>
      <c r="W36" s="71" t="s">
        <v>14</v>
      </c>
    </row>
    <row r="37" spans="2:23" ht="15.75" thickBot="1" x14ac:dyDescent="0.3">
      <c r="B37" s="79" t="s">
        <v>110</v>
      </c>
      <c r="C37" s="87"/>
      <c r="D37" s="70" t="str">
        <f t="array" ref="D37">INDEX(Table_Name52[Name List],MATCH(B37,Table_Name52[Category],0))</f>
        <v>Hamstrings_Hip_Hinge[Exercise]</v>
      </c>
      <c r="E37" s="82" t="e">
        <f t="array" ref="E37">INDEX(Links73[Link],MATCH(C37,Links73[Exercise],0))</f>
        <v>#N/A</v>
      </c>
      <c r="F37" s="90" t="e">
        <f t="shared" si="20"/>
        <v>#N/A</v>
      </c>
      <c r="G37" s="93"/>
      <c r="H37" s="110">
        <f t="shared" si="14"/>
        <v>0</v>
      </c>
      <c r="I37" s="111">
        <v>1</v>
      </c>
      <c r="J37" s="111">
        <f t="shared" si="15"/>
        <v>0</v>
      </c>
      <c r="K37" s="111" t="s">
        <v>11</v>
      </c>
      <c r="L37" s="111"/>
      <c r="M37" s="73"/>
      <c r="N37" s="112">
        <f t="shared" si="16"/>
        <v>0</v>
      </c>
      <c r="O37" s="111">
        <f>I37</f>
        <v>1</v>
      </c>
      <c r="P37" s="111">
        <f t="shared" si="17"/>
        <v>0</v>
      </c>
      <c r="Q37" s="111" t="s">
        <v>11</v>
      </c>
      <c r="R37" s="111"/>
      <c r="S37" s="73"/>
      <c r="T37" s="112">
        <f t="shared" si="18"/>
        <v>0</v>
      </c>
      <c r="U37" s="111">
        <v>2</v>
      </c>
      <c r="V37" s="114">
        <f t="shared" si="19"/>
        <v>0</v>
      </c>
      <c r="W37" s="73" t="s">
        <v>14</v>
      </c>
    </row>
    <row r="38" spans="2:23" x14ac:dyDescent="0.25">
      <c r="F38" s="57"/>
      <c r="G38" s="10"/>
    </row>
    <row r="39" spans="2:23" x14ac:dyDescent="0.25">
      <c r="B39" s="20" t="s">
        <v>105</v>
      </c>
      <c r="F39" s="10"/>
      <c r="G39" s="10"/>
      <c r="I39" s="10"/>
      <c r="O39" s="10"/>
      <c r="U39" s="10"/>
    </row>
    <row r="40" spans="2:23" x14ac:dyDescent="0.25">
      <c r="F40" s="10"/>
      <c r="G40" s="10"/>
    </row>
    <row r="41" spans="2:23" x14ac:dyDescent="0.25">
      <c r="G41" t="s">
        <v>0</v>
      </c>
      <c r="H41" t="s">
        <v>0</v>
      </c>
    </row>
    <row r="42" spans="2:23" x14ac:dyDescent="0.25">
      <c r="B42" t="s">
        <v>0</v>
      </c>
    </row>
    <row r="43" spans="2:23" x14ac:dyDescent="0.25">
      <c r="G43" t="s">
        <v>0</v>
      </c>
      <c r="N43" t="s">
        <v>0</v>
      </c>
    </row>
    <row r="77" spans="5:5" x14ac:dyDescent="0.25">
      <c r="E77" s="45"/>
    </row>
    <row r="78" spans="5:5" x14ac:dyDescent="0.25">
      <c r="E78" s="45"/>
    </row>
    <row r="79" spans="5:5" x14ac:dyDescent="0.25">
      <c r="E79" s="45"/>
    </row>
    <row r="80" spans="5:5" x14ac:dyDescent="0.25">
      <c r="E80" s="45"/>
    </row>
    <row r="81" spans="1:9" hidden="1" x14ac:dyDescent="0.25">
      <c r="C81" t="s">
        <v>21</v>
      </c>
      <c r="E81" s="45"/>
    </row>
    <row r="82" spans="1:9" hidden="1" x14ac:dyDescent="0.25">
      <c r="C82">
        <v>1</v>
      </c>
      <c r="E82" s="45"/>
    </row>
    <row r="83" spans="1:9" hidden="1" x14ac:dyDescent="0.25">
      <c r="C83">
        <v>0</v>
      </c>
      <c r="E83" s="45"/>
    </row>
    <row r="84" spans="1:9" hidden="1" x14ac:dyDescent="0.25">
      <c r="C84">
        <v>-1</v>
      </c>
      <c r="E84" s="45"/>
    </row>
    <row r="85" spans="1:9" hidden="1" x14ac:dyDescent="0.25">
      <c r="E85" s="45"/>
    </row>
    <row r="86" spans="1:9" hidden="1" x14ac:dyDescent="0.25">
      <c r="E86" s="45"/>
    </row>
    <row r="87" spans="1:9" hidden="1" x14ac:dyDescent="0.25">
      <c r="E87" s="45"/>
    </row>
    <row r="88" spans="1:9" hidden="1" x14ac:dyDescent="0.25">
      <c r="E88" s="45"/>
      <c r="F88" s="10"/>
      <c r="G88" s="10"/>
      <c r="H88" s="10"/>
    </row>
    <row r="89" spans="1:9" hidden="1" x14ac:dyDescent="0.25">
      <c r="A89" s="38" t="s">
        <v>77</v>
      </c>
      <c r="B89" s="49" t="s">
        <v>88</v>
      </c>
      <c r="C89" s="53" t="s">
        <v>297</v>
      </c>
      <c r="D89" s="10"/>
      <c r="E89" s="45"/>
      <c r="H89" s="14"/>
    </row>
    <row r="90" spans="1:9" hidden="1" x14ac:dyDescent="0.25">
      <c r="A90" s="14"/>
      <c r="B90" s="54" t="s">
        <v>112</v>
      </c>
      <c r="C90" s="49" t="s">
        <v>181</v>
      </c>
      <c r="D90" s="39"/>
      <c r="E90" s="45"/>
      <c r="H90" s="14"/>
    </row>
    <row r="91" spans="1:9" hidden="1" x14ac:dyDescent="0.25">
      <c r="A91" s="14"/>
      <c r="B91" s="54" t="s">
        <v>79</v>
      </c>
      <c r="C91" s="49" t="s">
        <v>182</v>
      </c>
      <c r="D91" s="39"/>
      <c r="E91" s="45"/>
      <c r="H91" s="14"/>
    </row>
    <row r="92" spans="1:9" hidden="1" x14ac:dyDescent="0.25">
      <c r="A92" s="14"/>
      <c r="B92" s="54" t="s">
        <v>80</v>
      </c>
      <c r="C92" s="49" t="s">
        <v>183</v>
      </c>
      <c r="D92" s="39"/>
      <c r="E92" s="45"/>
      <c r="H92" s="14"/>
    </row>
    <row r="93" spans="1:9" hidden="1" x14ac:dyDescent="0.25">
      <c r="A93" s="14"/>
      <c r="B93" s="54" t="s">
        <v>78</v>
      </c>
      <c r="C93" s="49" t="s">
        <v>184</v>
      </c>
      <c r="D93" s="39"/>
      <c r="E93" s="45"/>
      <c r="H93" s="14"/>
    </row>
    <row r="94" spans="1:9" hidden="1" x14ac:dyDescent="0.25">
      <c r="A94" s="14"/>
      <c r="B94" s="54" t="s">
        <v>113</v>
      </c>
      <c r="C94" s="54" t="s">
        <v>185</v>
      </c>
      <c r="D94" s="41"/>
      <c r="E94" s="45"/>
      <c r="H94" s="14"/>
    </row>
    <row r="95" spans="1:9" hidden="1" x14ac:dyDescent="0.25">
      <c r="A95" s="14"/>
      <c r="B95" s="54" t="s">
        <v>81</v>
      </c>
      <c r="C95" s="49" t="s">
        <v>186</v>
      </c>
      <c r="D95" s="39"/>
      <c r="E95" s="45"/>
      <c r="H95" s="14"/>
    </row>
    <row r="96" spans="1:9" hidden="1" x14ac:dyDescent="0.25">
      <c r="A96" s="14"/>
      <c r="B96" s="54" t="s">
        <v>149</v>
      </c>
      <c r="C96" s="49" t="s">
        <v>187</v>
      </c>
      <c r="D96" s="39"/>
      <c r="E96" s="45"/>
      <c r="H96" s="39"/>
      <c r="I96" s="39"/>
    </row>
    <row r="97" spans="1:9" hidden="1" x14ac:dyDescent="0.25">
      <c r="A97" s="39"/>
      <c r="B97" s="49"/>
      <c r="C97" s="53"/>
      <c r="D97" s="10"/>
      <c r="E97" s="45"/>
    </row>
    <row r="98" spans="1:9" hidden="1" x14ac:dyDescent="0.25">
      <c r="A98" s="38" t="s">
        <v>19</v>
      </c>
      <c r="B98" s="50" t="s">
        <v>88</v>
      </c>
      <c r="C98" s="55" t="s">
        <v>297</v>
      </c>
      <c r="D98" s="44"/>
      <c r="E98" s="45"/>
      <c r="H98" s="38"/>
      <c r="I98" s="39"/>
    </row>
    <row r="99" spans="1:9" hidden="1" x14ac:dyDescent="0.25">
      <c r="A99" s="14"/>
      <c r="B99" s="54" t="s">
        <v>114</v>
      </c>
      <c r="C99" s="49" t="s">
        <v>188</v>
      </c>
      <c r="D99" s="39"/>
      <c r="E99" s="45"/>
      <c r="H99" s="14"/>
    </row>
    <row r="100" spans="1:9" hidden="1" x14ac:dyDescent="0.25">
      <c r="A100" s="14"/>
      <c r="B100" s="54" t="s">
        <v>75</v>
      </c>
      <c r="C100" s="49" t="s">
        <v>189</v>
      </c>
      <c r="D100" s="39"/>
      <c r="E100" s="45"/>
      <c r="H100" s="14"/>
    </row>
    <row r="101" spans="1:9" hidden="1" x14ac:dyDescent="0.25">
      <c r="A101" s="14"/>
      <c r="B101" s="54" t="s">
        <v>74</v>
      </c>
      <c r="C101" s="49" t="s">
        <v>190</v>
      </c>
      <c r="D101" s="39"/>
      <c r="E101" s="45"/>
      <c r="H101" s="14"/>
    </row>
    <row r="102" spans="1:9" hidden="1" x14ac:dyDescent="0.25">
      <c r="A102" s="14"/>
      <c r="B102" s="54" t="s">
        <v>76</v>
      </c>
      <c r="C102" s="49" t="s">
        <v>191</v>
      </c>
      <c r="D102" s="39"/>
      <c r="E102" s="45"/>
      <c r="H102" s="14"/>
    </row>
    <row r="103" spans="1:9" hidden="1" x14ac:dyDescent="0.25">
      <c r="A103" s="39"/>
      <c r="B103" s="49"/>
      <c r="C103" s="53"/>
      <c r="D103" s="10"/>
      <c r="E103" s="45"/>
      <c r="H103" s="39"/>
      <c r="I103" s="39"/>
    </row>
    <row r="104" spans="1:9" hidden="1" x14ac:dyDescent="0.25">
      <c r="A104" s="38" t="s">
        <v>18</v>
      </c>
      <c r="B104" s="50" t="s">
        <v>88</v>
      </c>
      <c r="C104" s="55" t="s">
        <v>297</v>
      </c>
      <c r="D104" s="44"/>
      <c r="E104" s="45"/>
      <c r="H104" s="38"/>
      <c r="I104" s="39"/>
    </row>
    <row r="105" spans="1:9" hidden="1" x14ac:dyDescent="0.25">
      <c r="A105" s="14"/>
      <c r="B105" s="54" t="s">
        <v>61</v>
      </c>
      <c r="C105" s="49" t="s">
        <v>192</v>
      </c>
      <c r="D105" s="39"/>
      <c r="E105" s="45"/>
      <c r="H105" s="14"/>
    </row>
    <row r="106" spans="1:9" hidden="1" x14ac:dyDescent="0.25">
      <c r="A106" s="14"/>
      <c r="B106" s="54" t="s">
        <v>62</v>
      </c>
      <c r="C106" s="49" t="s">
        <v>193</v>
      </c>
      <c r="D106" s="39"/>
      <c r="E106" s="45"/>
      <c r="H106" s="14"/>
    </row>
    <row r="107" spans="1:9" hidden="1" x14ac:dyDescent="0.25">
      <c r="A107" s="14"/>
      <c r="B107" s="54" t="s">
        <v>115</v>
      </c>
      <c r="C107" s="49" t="s">
        <v>194</v>
      </c>
      <c r="D107" s="39"/>
      <c r="E107" s="45"/>
      <c r="H107" s="14"/>
    </row>
    <row r="108" spans="1:9" hidden="1" x14ac:dyDescent="0.25">
      <c r="A108" s="14"/>
      <c r="B108" s="54" t="s">
        <v>63</v>
      </c>
      <c r="C108" s="49" t="s">
        <v>195</v>
      </c>
      <c r="D108" s="39"/>
      <c r="E108" s="45"/>
      <c r="H108" s="14"/>
    </row>
    <row r="109" spans="1:9" hidden="1" x14ac:dyDescent="0.25">
      <c r="A109" s="14"/>
      <c r="B109" s="54" t="s">
        <v>116</v>
      </c>
      <c r="C109" s="49" t="s">
        <v>196</v>
      </c>
      <c r="D109" s="39"/>
      <c r="E109" s="45"/>
      <c r="H109" s="14"/>
    </row>
    <row r="110" spans="1:9" hidden="1" x14ac:dyDescent="0.25">
      <c r="A110" s="14"/>
      <c r="B110" s="54" t="s">
        <v>117</v>
      </c>
      <c r="C110" s="49" t="s">
        <v>197</v>
      </c>
      <c r="D110" s="39"/>
      <c r="E110" s="45"/>
      <c r="H110" s="14"/>
    </row>
    <row r="111" spans="1:9" hidden="1" x14ac:dyDescent="0.25">
      <c r="A111" s="14"/>
      <c r="B111" s="54" t="s">
        <v>150</v>
      </c>
      <c r="C111" s="49" t="s">
        <v>198</v>
      </c>
      <c r="D111" s="39"/>
      <c r="E111" s="45"/>
      <c r="H111" s="14"/>
    </row>
    <row r="112" spans="1:9" hidden="1" x14ac:dyDescent="0.25">
      <c r="A112" s="14"/>
      <c r="B112" s="54" t="s">
        <v>151</v>
      </c>
      <c r="C112" s="49" t="s">
        <v>199</v>
      </c>
      <c r="D112" s="39"/>
      <c r="E112" s="45"/>
      <c r="H112" s="14"/>
    </row>
    <row r="113" spans="1:9" hidden="1" x14ac:dyDescent="0.25">
      <c r="A113" s="14"/>
      <c r="B113" s="54" t="s">
        <v>118</v>
      </c>
      <c r="C113" s="54" t="s">
        <v>200</v>
      </c>
      <c r="D113" s="41"/>
      <c r="E113" s="45"/>
      <c r="H113" s="14"/>
    </row>
    <row r="114" spans="1:9" hidden="1" x14ac:dyDescent="0.25">
      <c r="A114" s="14"/>
      <c r="B114" s="54" t="s">
        <v>119</v>
      </c>
      <c r="C114" s="49" t="s">
        <v>201</v>
      </c>
      <c r="D114" s="39"/>
      <c r="E114" s="45"/>
      <c r="H114" s="14"/>
    </row>
    <row r="115" spans="1:9" hidden="1" x14ac:dyDescent="0.25">
      <c r="A115" s="14"/>
      <c r="B115" s="54" t="s">
        <v>152</v>
      </c>
      <c r="C115" s="49" t="s">
        <v>202</v>
      </c>
      <c r="D115" s="39"/>
      <c r="E115" s="45"/>
      <c r="H115" s="14"/>
    </row>
    <row r="116" spans="1:9" hidden="1" x14ac:dyDescent="0.25">
      <c r="A116" s="39"/>
      <c r="B116" s="49"/>
      <c r="C116" s="51"/>
      <c r="E116" s="45"/>
      <c r="H116" s="39"/>
      <c r="I116" s="39"/>
    </row>
    <row r="117" spans="1:9" hidden="1" x14ac:dyDescent="0.25">
      <c r="A117" s="38" t="s">
        <v>120</v>
      </c>
      <c r="B117" s="50" t="s">
        <v>88</v>
      </c>
      <c r="C117" s="55" t="s">
        <v>297</v>
      </c>
      <c r="D117" s="44"/>
      <c r="E117" s="45"/>
      <c r="H117" s="38"/>
      <c r="I117" s="39"/>
    </row>
    <row r="118" spans="1:9" hidden="1" x14ac:dyDescent="0.25">
      <c r="A118" s="14"/>
      <c r="B118" s="54" t="s">
        <v>51</v>
      </c>
      <c r="C118" s="49" t="s">
        <v>203</v>
      </c>
      <c r="D118" s="39"/>
      <c r="E118" s="45"/>
      <c r="H118" s="14"/>
    </row>
    <row r="119" spans="1:9" hidden="1" x14ac:dyDescent="0.25">
      <c r="A119" s="14"/>
      <c r="B119" s="54" t="s">
        <v>121</v>
      </c>
      <c r="C119" s="49" t="s">
        <v>204</v>
      </c>
      <c r="D119" s="39"/>
      <c r="E119" s="45"/>
      <c r="H119" s="14"/>
    </row>
    <row r="120" spans="1:9" hidden="1" x14ac:dyDescent="0.25">
      <c r="A120" s="14"/>
      <c r="B120" s="54" t="s">
        <v>153</v>
      </c>
      <c r="C120" s="49" t="s">
        <v>205</v>
      </c>
      <c r="D120" s="39"/>
      <c r="E120" s="45"/>
      <c r="H120" s="14"/>
    </row>
    <row r="121" spans="1:9" hidden="1" x14ac:dyDescent="0.25">
      <c r="A121" s="14"/>
      <c r="B121" s="54" t="s">
        <v>50</v>
      </c>
      <c r="C121" s="49" t="s">
        <v>206</v>
      </c>
      <c r="D121" s="39"/>
      <c r="E121" s="45"/>
      <c r="H121" s="14"/>
    </row>
    <row r="122" spans="1:9" hidden="1" x14ac:dyDescent="0.25">
      <c r="A122" s="39"/>
      <c r="B122" s="49"/>
      <c r="C122" s="49"/>
      <c r="D122" s="39"/>
      <c r="E122" s="45"/>
      <c r="H122" s="39"/>
    </row>
    <row r="123" spans="1:9" hidden="1" x14ac:dyDescent="0.25">
      <c r="A123" s="40" t="s">
        <v>108</v>
      </c>
      <c r="B123" s="50" t="s">
        <v>88</v>
      </c>
      <c r="C123" s="55" t="s">
        <v>297</v>
      </c>
      <c r="D123" s="44"/>
      <c r="E123" s="45"/>
      <c r="H123" s="40"/>
    </row>
    <row r="124" spans="1:9" hidden="1" x14ac:dyDescent="0.25">
      <c r="A124" s="14"/>
      <c r="B124" s="54" t="s">
        <v>46</v>
      </c>
      <c r="C124" s="49" t="s">
        <v>207</v>
      </c>
      <c r="D124" s="39"/>
      <c r="E124" s="45"/>
      <c r="H124" s="14"/>
    </row>
    <row r="125" spans="1:9" hidden="1" x14ac:dyDescent="0.25">
      <c r="A125" s="14"/>
      <c r="B125" s="54" t="s">
        <v>47</v>
      </c>
      <c r="C125" s="49" t="s">
        <v>208</v>
      </c>
      <c r="D125" s="39"/>
      <c r="E125" s="45"/>
      <c r="H125" s="14"/>
    </row>
    <row r="126" spans="1:9" hidden="1" x14ac:dyDescent="0.25">
      <c r="A126" s="14"/>
      <c r="B126" s="54" t="s">
        <v>49</v>
      </c>
      <c r="C126" s="49" t="s">
        <v>209</v>
      </c>
      <c r="D126" s="39"/>
      <c r="E126" s="45"/>
      <c r="H126" s="14"/>
    </row>
    <row r="127" spans="1:9" hidden="1" x14ac:dyDescent="0.25">
      <c r="A127" s="14"/>
      <c r="B127" s="54" t="s">
        <v>48</v>
      </c>
      <c r="C127" s="49" t="s">
        <v>210</v>
      </c>
      <c r="D127" s="39"/>
      <c r="E127" s="45"/>
      <c r="H127" s="14"/>
    </row>
    <row r="128" spans="1:9" hidden="1" x14ac:dyDescent="0.25">
      <c r="A128" s="14"/>
      <c r="B128" s="54" t="s">
        <v>122</v>
      </c>
      <c r="C128" s="49" t="s">
        <v>211</v>
      </c>
      <c r="D128" s="39"/>
      <c r="E128" s="45"/>
      <c r="H128" s="14"/>
    </row>
    <row r="129" spans="1:8" hidden="1" x14ac:dyDescent="0.25">
      <c r="A129" s="39"/>
      <c r="B129" s="49"/>
      <c r="C129" s="49"/>
      <c r="D129" s="39"/>
      <c r="E129" s="45"/>
      <c r="H129" s="39"/>
    </row>
    <row r="130" spans="1:8" hidden="1" x14ac:dyDescent="0.25">
      <c r="A130" s="40" t="s">
        <v>123</v>
      </c>
      <c r="B130" s="50" t="s">
        <v>88</v>
      </c>
      <c r="C130" s="55" t="s">
        <v>297</v>
      </c>
      <c r="D130" s="44"/>
      <c r="E130" s="45"/>
      <c r="H130" s="40"/>
    </row>
    <row r="131" spans="1:8" hidden="1" x14ac:dyDescent="0.25">
      <c r="A131" s="14"/>
      <c r="B131" s="54" t="s">
        <v>154</v>
      </c>
      <c r="C131" s="49" t="s">
        <v>212</v>
      </c>
      <c r="D131" s="39"/>
      <c r="E131" s="45"/>
      <c r="H131" s="14"/>
    </row>
    <row r="132" spans="1:8" hidden="1" x14ac:dyDescent="0.25">
      <c r="A132" s="14"/>
      <c r="B132" s="54" t="s">
        <v>124</v>
      </c>
      <c r="C132" s="49" t="s">
        <v>213</v>
      </c>
      <c r="D132" s="39"/>
      <c r="E132" s="45"/>
      <c r="H132" s="14"/>
    </row>
    <row r="133" spans="1:8" hidden="1" x14ac:dyDescent="0.25">
      <c r="A133" s="14"/>
      <c r="B133" s="54" t="s">
        <v>125</v>
      </c>
      <c r="C133" s="49" t="s">
        <v>214</v>
      </c>
      <c r="D133" s="39"/>
      <c r="E133" s="45"/>
      <c r="H133" s="14"/>
    </row>
    <row r="134" spans="1:8" hidden="1" x14ac:dyDescent="0.25">
      <c r="A134" s="14"/>
      <c r="B134" s="54" t="s">
        <v>126</v>
      </c>
      <c r="C134" s="49" t="s">
        <v>215</v>
      </c>
      <c r="D134" s="39"/>
      <c r="E134" s="45"/>
      <c r="H134" s="14"/>
    </row>
    <row r="135" spans="1:8" hidden="1" x14ac:dyDescent="0.25">
      <c r="A135" s="14"/>
      <c r="B135" s="54"/>
      <c r="C135" s="49"/>
      <c r="D135" s="39"/>
      <c r="E135" s="45"/>
      <c r="H135" s="14"/>
    </row>
    <row r="136" spans="1:8" hidden="1" x14ac:dyDescent="0.25">
      <c r="A136" s="40" t="s">
        <v>52</v>
      </c>
      <c r="B136" s="50" t="s">
        <v>88</v>
      </c>
      <c r="C136" s="55" t="s">
        <v>297</v>
      </c>
      <c r="D136" s="44"/>
      <c r="E136" s="45"/>
      <c r="H136" s="40"/>
    </row>
    <row r="137" spans="1:8" hidden="1" x14ac:dyDescent="0.25">
      <c r="A137" s="14"/>
      <c r="B137" s="54" t="s">
        <v>155</v>
      </c>
      <c r="C137" s="49" t="s">
        <v>216</v>
      </c>
      <c r="D137" s="39"/>
      <c r="E137" s="45"/>
      <c r="H137" s="14"/>
    </row>
    <row r="138" spans="1:8" hidden="1" x14ac:dyDescent="0.25">
      <c r="A138" s="14"/>
      <c r="B138" s="54" t="s">
        <v>127</v>
      </c>
      <c r="C138" s="49" t="s">
        <v>217</v>
      </c>
      <c r="D138" s="39"/>
      <c r="E138" s="45"/>
      <c r="H138" s="14"/>
    </row>
    <row r="139" spans="1:8" hidden="1" x14ac:dyDescent="0.25">
      <c r="A139" s="14"/>
      <c r="B139" s="54" t="s">
        <v>56</v>
      </c>
      <c r="C139" s="49" t="s">
        <v>218</v>
      </c>
      <c r="D139" s="39"/>
      <c r="E139" s="45"/>
      <c r="H139" s="14"/>
    </row>
    <row r="140" spans="1:8" hidden="1" x14ac:dyDescent="0.25">
      <c r="A140" s="14"/>
      <c r="B140" s="54" t="s">
        <v>55</v>
      </c>
      <c r="C140" s="49" t="s">
        <v>219</v>
      </c>
      <c r="D140" s="39"/>
      <c r="E140" s="45"/>
      <c r="H140" s="14"/>
    </row>
    <row r="141" spans="1:8" hidden="1" x14ac:dyDescent="0.25">
      <c r="A141" s="14"/>
      <c r="B141" s="54" t="s">
        <v>156</v>
      </c>
      <c r="C141" s="49" t="s">
        <v>220</v>
      </c>
      <c r="D141" s="39"/>
      <c r="E141" s="45"/>
      <c r="H141" s="14"/>
    </row>
    <row r="142" spans="1:8" hidden="1" x14ac:dyDescent="0.25">
      <c r="A142" s="14"/>
      <c r="B142" s="54" t="s">
        <v>53</v>
      </c>
      <c r="C142" s="49" t="s">
        <v>221</v>
      </c>
      <c r="D142" s="39"/>
      <c r="E142" s="45"/>
      <c r="H142" s="14"/>
    </row>
    <row r="143" spans="1:8" hidden="1" x14ac:dyDescent="0.25">
      <c r="A143" s="14"/>
      <c r="B143" s="54" t="s">
        <v>128</v>
      </c>
      <c r="C143" s="49" t="s">
        <v>222</v>
      </c>
      <c r="D143" s="39"/>
      <c r="E143" s="45"/>
      <c r="H143" s="14"/>
    </row>
    <row r="144" spans="1:8" hidden="1" x14ac:dyDescent="0.25">
      <c r="A144" s="14"/>
      <c r="B144" s="54" t="s">
        <v>54</v>
      </c>
      <c r="C144" s="49" t="s">
        <v>223</v>
      </c>
      <c r="D144" s="39"/>
      <c r="E144" s="45"/>
      <c r="H144" s="14"/>
    </row>
    <row r="145" spans="1:8" hidden="1" x14ac:dyDescent="0.25">
      <c r="A145" s="39"/>
      <c r="B145" s="49"/>
      <c r="C145" s="49"/>
      <c r="D145" s="39"/>
      <c r="E145" s="45"/>
      <c r="H145" s="39"/>
    </row>
    <row r="146" spans="1:8" hidden="1" x14ac:dyDescent="0.25">
      <c r="A146" s="40" t="s">
        <v>57</v>
      </c>
      <c r="B146" s="50" t="s">
        <v>88</v>
      </c>
      <c r="C146" s="55" t="s">
        <v>297</v>
      </c>
      <c r="D146" s="44"/>
      <c r="E146" s="45"/>
      <c r="H146" s="40"/>
    </row>
    <row r="147" spans="1:8" hidden="1" x14ac:dyDescent="0.25">
      <c r="A147" s="14"/>
      <c r="B147" s="54" t="s">
        <v>59</v>
      </c>
      <c r="C147" s="49" t="s">
        <v>224</v>
      </c>
      <c r="D147" s="39"/>
      <c r="E147" s="45"/>
      <c r="H147" s="14"/>
    </row>
    <row r="148" spans="1:8" hidden="1" x14ac:dyDescent="0.25">
      <c r="A148" s="14"/>
      <c r="B148" s="54" t="s">
        <v>58</v>
      </c>
      <c r="C148" s="49" t="s">
        <v>225</v>
      </c>
      <c r="D148" s="39"/>
      <c r="E148" s="45"/>
      <c r="H148" s="14"/>
    </row>
    <row r="149" spans="1:8" hidden="1" x14ac:dyDescent="0.25">
      <c r="A149" s="14"/>
      <c r="B149" s="54" t="s">
        <v>157</v>
      </c>
      <c r="C149" s="49" t="s">
        <v>226</v>
      </c>
      <c r="D149" s="39"/>
      <c r="E149" s="45"/>
      <c r="H149" s="14"/>
    </row>
    <row r="150" spans="1:8" hidden="1" x14ac:dyDescent="0.25">
      <c r="A150" s="14"/>
      <c r="B150" s="54" t="s">
        <v>158</v>
      </c>
      <c r="C150" s="49" t="s">
        <v>227</v>
      </c>
      <c r="D150" s="39"/>
      <c r="E150" s="45"/>
      <c r="H150" s="14"/>
    </row>
    <row r="151" spans="1:8" hidden="1" x14ac:dyDescent="0.25">
      <c r="A151" s="14"/>
      <c r="B151" s="54" t="s">
        <v>60</v>
      </c>
      <c r="C151" s="49" t="s">
        <v>228</v>
      </c>
      <c r="D151" s="39"/>
      <c r="E151" s="45"/>
      <c r="H151" s="14"/>
    </row>
    <row r="152" spans="1:8" hidden="1" x14ac:dyDescent="0.25">
      <c r="A152" s="39"/>
      <c r="B152" s="49"/>
      <c r="C152" s="49"/>
      <c r="D152" s="39"/>
      <c r="E152" s="45"/>
      <c r="H152" s="39"/>
    </row>
    <row r="153" spans="1:8" hidden="1" x14ac:dyDescent="0.25">
      <c r="A153" s="38" t="s">
        <v>129</v>
      </c>
      <c r="B153" s="50" t="s">
        <v>88</v>
      </c>
      <c r="C153" s="55" t="s">
        <v>297</v>
      </c>
      <c r="D153" s="44"/>
      <c r="E153" s="45"/>
      <c r="H153" s="38"/>
    </row>
    <row r="154" spans="1:8" hidden="1" x14ac:dyDescent="0.25">
      <c r="A154" s="14"/>
      <c r="B154" s="54" t="s">
        <v>159</v>
      </c>
      <c r="C154" s="49" t="s">
        <v>229</v>
      </c>
      <c r="D154" s="39"/>
      <c r="E154" s="45"/>
      <c r="H154" s="14"/>
    </row>
    <row r="155" spans="1:8" hidden="1" x14ac:dyDescent="0.25">
      <c r="A155" s="14"/>
      <c r="B155" s="54" t="s">
        <v>160</v>
      </c>
      <c r="C155" s="49" t="s">
        <v>230</v>
      </c>
      <c r="D155" s="39"/>
      <c r="E155" s="45"/>
      <c r="H155" s="14"/>
    </row>
    <row r="156" spans="1:8" hidden="1" x14ac:dyDescent="0.25">
      <c r="A156" s="14"/>
      <c r="B156" s="54" t="s">
        <v>161</v>
      </c>
      <c r="C156" s="49" t="s">
        <v>231</v>
      </c>
      <c r="D156" s="39"/>
      <c r="E156" s="45"/>
      <c r="H156" s="14"/>
    </row>
    <row r="157" spans="1:8" hidden="1" x14ac:dyDescent="0.25">
      <c r="A157" s="14"/>
      <c r="B157" s="54" t="s">
        <v>42</v>
      </c>
      <c r="C157" s="49" t="s">
        <v>232</v>
      </c>
      <c r="D157" s="39"/>
      <c r="E157" s="45"/>
      <c r="H157" s="14"/>
    </row>
    <row r="158" spans="1:8" hidden="1" x14ac:dyDescent="0.25">
      <c r="A158" s="14"/>
      <c r="B158" s="54" t="s">
        <v>130</v>
      </c>
      <c r="C158" s="49" t="s">
        <v>233</v>
      </c>
      <c r="D158" s="39"/>
      <c r="E158" s="45"/>
      <c r="H158" s="14"/>
    </row>
    <row r="159" spans="1:8" hidden="1" x14ac:dyDescent="0.25">
      <c r="A159" s="14"/>
      <c r="B159" s="54" t="s">
        <v>131</v>
      </c>
      <c r="C159" s="49" t="s">
        <v>234</v>
      </c>
      <c r="D159" s="39"/>
      <c r="E159" s="45"/>
      <c r="H159" s="14"/>
    </row>
    <row r="160" spans="1:8" hidden="1" x14ac:dyDescent="0.25">
      <c r="A160" s="14"/>
      <c r="B160" s="54" t="s">
        <v>41</v>
      </c>
      <c r="C160" s="49" t="s">
        <v>235</v>
      </c>
      <c r="D160" s="39"/>
      <c r="E160" s="45"/>
      <c r="H160" s="14"/>
    </row>
    <row r="161" spans="1:8" hidden="1" x14ac:dyDescent="0.25">
      <c r="A161" s="14"/>
      <c r="B161" s="54" t="s">
        <v>132</v>
      </c>
      <c r="C161" s="49" t="s">
        <v>236</v>
      </c>
      <c r="D161" s="39"/>
      <c r="E161" s="45"/>
      <c r="H161" s="14"/>
    </row>
    <row r="162" spans="1:8" hidden="1" x14ac:dyDescent="0.25">
      <c r="A162" s="39"/>
      <c r="B162" s="49"/>
      <c r="C162" s="49"/>
      <c r="D162" s="39"/>
      <c r="E162" s="45"/>
      <c r="H162" s="39"/>
    </row>
    <row r="163" spans="1:8" hidden="1" x14ac:dyDescent="0.25">
      <c r="A163" s="40" t="s">
        <v>133</v>
      </c>
      <c r="B163" s="50" t="s">
        <v>88</v>
      </c>
      <c r="C163" s="55" t="s">
        <v>297</v>
      </c>
      <c r="D163" s="44"/>
      <c r="E163" s="45"/>
      <c r="H163" s="40"/>
    </row>
    <row r="164" spans="1:8" hidden="1" x14ac:dyDescent="0.25">
      <c r="A164" s="14"/>
      <c r="B164" s="54" t="s">
        <v>134</v>
      </c>
      <c r="C164" s="49" t="s">
        <v>237</v>
      </c>
      <c r="D164" s="39"/>
      <c r="E164" s="45"/>
      <c r="H164" s="14"/>
    </row>
    <row r="165" spans="1:8" hidden="1" x14ac:dyDescent="0.25">
      <c r="A165" s="14"/>
      <c r="B165" s="54" t="s">
        <v>162</v>
      </c>
      <c r="C165" s="49" t="s">
        <v>238</v>
      </c>
      <c r="D165" s="39"/>
      <c r="E165" s="45"/>
      <c r="H165" s="14"/>
    </row>
    <row r="166" spans="1:8" hidden="1" x14ac:dyDescent="0.25">
      <c r="A166" s="14"/>
      <c r="B166" s="54" t="s">
        <v>163</v>
      </c>
      <c r="C166" s="49" t="s">
        <v>239</v>
      </c>
      <c r="D166" s="39"/>
      <c r="E166" s="45"/>
      <c r="H166" s="14"/>
    </row>
    <row r="167" spans="1:8" hidden="1" x14ac:dyDescent="0.25">
      <c r="A167" s="14"/>
      <c r="B167" s="54" t="s">
        <v>164</v>
      </c>
      <c r="C167" s="49" t="s">
        <v>240</v>
      </c>
      <c r="D167" s="39"/>
      <c r="E167" s="45"/>
      <c r="H167" s="14"/>
    </row>
    <row r="168" spans="1:8" hidden="1" x14ac:dyDescent="0.25">
      <c r="A168" s="14"/>
      <c r="B168" s="54" t="s">
        <v>165</v>
      </c>
      <c r="C168" s="49" t="s">
        <v>241</v>
      </c>
      <c r="D168" s="39"/>
      <c r="E168" s="45"/>
      <c r="H168" s="14"/>
    </row>
    <row r="169" spans="1:8" hidden="1" x14ac:dyDescent="0.25">
      <c r="A169" s="14"/>
      <c r="B169" s="54" t="s">
        <v>166</v>
      </c>
      <c r="C169" s="54" t="s">
        <v>242</v>
      </c>
      <c r="D169" s="41"/>
      <c r="E169" s="45"/>
      <c r="H169" s="14"/>
    </row>
    <row r="170" spans="1:8" hidden="1" x14ac:dyDescent="0.25">
      <c r="A170" s="14"/>
      <c r="B170" s="54" t="s">
        <v>167</v>
      </c>
      <c r="C170" s="54" t="s">
        <v>243</v>
      </c>
      <c r="D170" s="41"/>
      <c r="E170" s="45"/>
      <c r="H170" s="14"/>
    </row>
    <row r="171" spans="1:8" hidden="1" x14ac:dyDescent="0.25">
      <c r="A171" s="14"/>
      <c r="B171" s="54" t="s">
        <v>43</v>
      </c>
      <c r="C171" s="49" t="s">
        <v>244</v>
      </c>
      <c r="D171" s="39"/>
      <c r="E171" s="45"/>
      <c r="H171" s="14"/>
    </row>
    <row r="172" spans="1:8" hidden="1" x14ac:dyDescent="0.25">
      <c r="A172" s="14"/>
      <c r="B172" s="54" t="s">
        <v>168</v>
      </c>
      <c r="C172" s="54" t="s">
        <v>245</v>
      </c>
      <c r="D172" s="41"/>
      <c r="E172" s="45"/>
      <c r="H172" s="14"/>
    </row>
    <row r="173" spans="1:8" hidden="1" x14ac:dyDescent="0.25">
      <c r="A173" s="14"/>
      <c r="B173" s="54" t="s">
        <v>169</v>
      </c>
      <c r="C173" s="54" t="s">
        <v>246</v>
      </c>
      <c r="D173" s="41"/>
      <c r="E173" s="45"/>
      <c r="H173" s="14"/>
    </row>
    <row r="174" spans="1:8" hidden="1" x14ac:dyDescent="0.25">
      <c r="A174" s="14"/>
      <c r="B174" s="54" t="s">
        <v>44</v>
      </c>
      <c r="C174" s="49" t="s">
        <v>247</v>
      </c>
      <c r="D174" s="39"/>
      <c r="E174" s="45"/>
      <c r="H174" s="14"/>
    </row>
    <row r="175" spans="1:8" hidden="1" x14ac:dyDescent="0.25">
      <c r="A175" s="14"/>
      <c r="B175" s="54" t="s">
        <v>45</v>
      </c>
      <c r="C175" s="54" t="s">
        <v>248</v>
      </c>
      <c r="D175" s="41"/>
      <c r="E175" s="45"/>
      <c r="H175" s="14"/>
    </row>
    <row r="176" spans="1:8" hidden="1" x14ac:dyDescent="0.25">
      <c r="A176" s="39"/>
      <c r="B176" s="49"/>
      <c r="C176" s="49"/>
      <c r="D176" s="39"/>
      <c r="E176" s="45"/>
      <c r="H176" s="39"/>
    </row>
    <row r="177" spans="1:8" hidden="1" x14ac:dyDescent="0.25">
      <c r="A177" s="38" t="s">
        <v>20</v>
      </c>
      <c r="B177" s="50" t="s">
        <v>88</v>
      </c>
      <c r="C177" s="55" t="s">
        <v>297</v>
      </c>
      <c r="D177" s="44"/>
      <c r="E177" s="45"/>
      <c r="H177" s="38"/>
    </row>
    <row r="178" spans="1:8" hidden="1" x14ac:dyDescent="0.25">
      <c r="A178" s="14"/>
      <c r="B178" s="54" t="s">
        <v>64</v>
      </c>
      <c r="C178" s="49" t="s">
        <v>249</v>
      </c>
      <c r="D178" s="39"/>
      <c r="E178" s="45"/>
      <c r="H178" s="14"/>
    </row>
    <row r="179" spans="1:8" hidden="1" x14ac:dyDescent="0.25">
      <c r="A179" s="14"/>
      <c r="B179" s="54" t="s">
        <v>170</v>
      </c>
      <c r="C179" s="49" t="s">
        <v>250</v>
      </c>
      <c r="D179" s="39"/>
      <c r="E179" s="45"/>
      <c r="H179" s="14"/>
    </row>
    <row r="180" spans="1:8" hidden="1" x14ac:dyDescent="0.25">
      <c r="A180" s="14"/>
      <c r="B180" s="54" t="s">
        <v>171</v>
      </c>
      <c r="C180" s="49" t="s">
        <v>251</v>
      </c>
      <c r="D180" s="39"/>
      <c r="E180" s="45"/>
      <c r="H180" s="14"/>
    </row>
    <row r="181" spans="1:8" hidden="1" x14ac:dyDescent="0.25">
      <c r="A181" s="14"/>
      <c r="B181" s="54" t="s">
        <v>65</v>
      </c>
      <c r="C181" s="49" t="s">
        <v>252</v>
      </c>
      <c r="D181" s="39"/>
      <c r="E181" s="45"/>
      <c r="H181" s="14"/>
    </row>
    <row r="182" spans="1:8" hidden="1" x14ac:dyDescent="0.25">
      <c r="A182" s="14"/>
      <c r="B182" s="54" t="s">
        <v>135</v>
      </c>
      <c r="C182" s="49" t="s">
        <v>253</v>
      </c>
      <c r="D182" s="39"/>
      <c r="E182" s="45"/>
      <c r="H182" s="14"/>
    </row>
    <row r="183" spans="1:8" hidden="1" x14ac:dyDescent="0.25">
      <c r="A183" s="14"/>
      <c r="B183" s="54" t="s">
        <v>68</v>
      </c>
      <c r="C183" s="49" t="s">
        <v>254</v>
      </c>
      <c r="D183" s="39"/>
      <c r="E183" s="45"/>
      <c r="H183" s="14"/>
    </row>
    <row r="184" spans="1:8" hidden="1" x14ac:dyDescent="0.25">
      <c r="A184" s="14"/>
      <c r="B184" s="54" t="s">
        <v>172</v>
      </c>
      <c r="C184" s="49" t="s">
        <v>255</v>
      </c>
      <c r="D184" s="39"/>
      <c r="E184" s="45"/>
      <c r="H184" s="14"/>
    </row>
    <row r="185" spans="1:8" hidden="1" x14ac:dyDescent="0.25">
      <c r="A185" s="14"/>
      <c r="B185" s="54"/>
      <c r="C185" s="49"/>
      <c r="D185" s="39"/>
      <c r="E185" s="45"/>
      <c r="H185" s="14"/>
    </row>
    <row r="186" spans="1:8" hidden="1" x14ac:dyDescent="0.25">
      <c r="A186" s="40" t="s">
        <v>111</v>
      </c>
      <c r="B186" s="50" t="s">
        <v>88</v>
      </c>
      <c r="C186" s="55" t="s">
        <v>297</v>
      </c>
      <c r="D186" s="44"/>
      <c r="E186" s="45"/>
      <c r="H186" s="40"/>
    </row>
    <row r="187" spans="1:8" hidden="1" x14ac:dyDescent="0.25">
      <c r="A187" s="14"/>
      <c r="B187" s="54" t="s">
        <v>66</v>
      </c>
      <c r="C187" s="49" t="s">
        <v>256</v>
      </c>
      <c r="D187" s="39"/>
      <c r="E187" s="45"/>
      <c r="H187" s="14"/>
    </row>
    <row r="188" spans="1:8" hidden="1" x14ac:dyDescent="0.25">
      <c r="A188" s="14"/>
      <c r="B188" s="54" t="s">
        <v>67</v>
      </c>
      <c r="C188" s="49" t="s">
        <v>257</v>
      </c>
      <c r="D188" s="39"/>
      <c r="E188" s="45"/>
      <c r="H188" s="14"/>
    </row>
    <row r="189" spans="1:8" hidden="1" x14ac:dyDescent="0.25">
      <c r="A189" s="14"/>
      <c r="B189" s="54" t="s">
        <v>136</v>
      </c>
      <c r="C189" s="49" t="s">
        <v>258</v>
      </c>
      <c r="D189" s="39"/>
      <c r="E189" s="45"/>
      <c r="H189" s="14"/>
    </row>
    <row r="190" spans="1:8" hidden="1" x14ac:dyDescent="0.25">
      <c r="A190" s="14"/>
      <c r="B190" s="54" t="s">
        <v>173</v>
      </c>
      <c r="C190" s="49" t="s">
        <v>259</v>
      </c>
      <c r="D190" s="39"/>
      <c r="E190" s="45"/>
      <c r="H190" s="14"/>
    </row>
    <row r="191" spans="1:8" hidden="1" x14ac:dyDescent="0.25">
      <c r="A191" s="14"/>
      <c r="B191" s="54" t="s">
        <v>70</v>
      </c>
      <c r="C191" s="49" t="s">
        <v>260</v>
      </c>
      <c r="D191" s="39"/>
      <c r="E191" s="45"/>
      <c r="H191" s="14"/>
    </row>
    <row r="192" spans="1:8" hidden="1" x14ac:dyDescent="0.25">
      <c r="A192" s="14"/>
      <c r="B192" s="54" t="s">
        <v>69</v>
      </c>
      <c r="C192" s="49" t="s">
        <v>261</v>
      </c>
      <c r="D192" s="39"/>
      <c r="E192" s="45"/>
      <c r="H192" s="14"/>
    </row>
    <row r="193" spans="1:8" hidden="1" x14ac:dyDescent="0.25">
      <c r="A193" s="14"/>
      <c r="B193" s="54" t="s">
        <v>137</v>
      </c>
      <c r="C193" s="49" t="s">
        <v>262</v>
      </c>
      <c r="D193" s="39"/>
      <c r="E193" s="45"/>
      <c r="H193" s="14"/>
    </row>
    <row r="194" spans="1:8" hidden="1" x14ac:dyDescent="0.25">
      <c r="A194" s="14"/>
      <c r="B194" s="54" t="s">
        <v>174</v>
      </c>
      <c r="C194" s="49" t="s">
        <v>263</v>
      </c>
      <c r="D194" s="39"/>
      <c r="E194" s="45"/>
      <c r="H194" s="14"/>
    </row>
    <row r="195" spans="1:8" hidden="1" x14ac:dyDescent="0.25">
      <c r="A195" s="39"/>
      <c r="B195" s="49"/>
      <c r="C195" s="49"/>
      <c r="D195" s="39"/>
      <c r="E195" s="45"/>
      <c r="H195" s="39"/>
    </row>
    <row r="196" spans="1:8" hidden="1" x14ac:dyDescent="0.25">
      <c r="A196" s="40" t="s">
        <v>110</v>
      </c>
      <c r="B196" s="50" t="s">
        <v>88</v>
      </c>
      <c r="C196" s="55" t="s">
        <v>297</v>
      </c>
      <c r="D196" s="44"/>
      <c r="E196" s="45"/>
      <c r="H196" s="40"/>
    </row>
    <row r="197" spans="1:8" hidden="1" x14ac:dyDescent="0.25">
      <c r="A197" s="14"/>
      <c r="B197" s="54" t="s">
        <v>138</v>
      </c>
      <c r="C197" s="49" t="s">
        <v>264</v>
      </c>
      <c r="D197" s="39"/>
      <c r="E197" s="45"/>
      <c r="H197" s="14"/>
    </row>
    <row r="198" spans="1:8" hidden="1" x14ac:dyDescent="0.25">
      <c r="A198" s="14"/>
      <c r="B198" s="54" t="s">
        <v>71</v>
      </c>
      <c r="C198" s="49" t="s">
        <v>265</v>
      </c>
      <c r="D198" s="39"/>
      <c r="E198" s="45"/>
      <c r="H198" s="14"/>
    </row>
    <row r="199" spans="1:8" hidden="1" x14ac:dyDescent="0.25">
      <c r="A199" s="14"/>
      <c r="B199" s="54" t="s">
        <v>72</v>
      </c>
      <c r="C199" s="49" t="s">
        <v>266</v>
      </c>
      <c r="D199" s="39"/>
      <c r="E199" s="45"/>
      <c r="H199" s="14"/>
    </row>
    <row r="200" spans="1:8" hidden="1" x14ac:dyDescent="0.25">
      <c r="A200" s="14"/>
      <c r="B200" s="54" t="s">
        <v>139</v>
      </c>
      <c r="C200" s="49" t="s">
        <v>267</v>
      </c>
      <c r="D200" s="39"/>
      <c r="E200" s="45"/>
      <c r="H200" s="14"/>
    </row>
    <row r="201" spans="1:8" hidden="1" x14ac:dyDescent="0.25">
      <c r="A201" s="14"/>
      <c r="B201" s="49"/>
      <c r="C201" s="49"/>
      <c r="D201" s="39"/>
      <c r="E201" s="45"/>
      <c r="H201" s="14"/>
    </row>
    <row r="202" spans="1:8" hidden="1" x14ac:dyDescent="0.25">
      <c r="A202" s="40" t="s">
        <v>109</v>
      </c>
      <c r="B202" s="50" t="s">
        <v>88</v>
      </c>
      <c r="C202" s="55" t="s">
        <v>297</v>
      </c>
      <c r="D202" s="44"/>
      <c r="E202" s="45"/>
      <c r="H202" s="40"/>
    </row>
    <row r="203" spans="1:8" hidden="1" x14ac:dyDescent="0.25">
      <c r="A203" s="14"/>
      <c r="B203" s="54" t="s">
        <v>175</v>
      </c>
      <c r="C203" s="49" t="s">
        <v>268</v>
      </c>
      <c r="D203" s="39"/>
      <c r="E203" s="45"/>
      <c r="H203" s="14"/>
    </row>
    <row r="204" spans="1:8" hidden="1" x14ac:dyDescent="0.25">
      <c r="A204" s="14"/>
      <c r="B204" s="54" t="s">
        <v>73</v>
      </c>
      <c r="C204" s="49" t="s">
        <v>269</v>
      </c>
      <c r="D204" s="39"/>
      <c r="E204" s="45"/>
      <c r="H204" s="14"/>
    </row>
    <row r="205" spans="1:8" hidden="1" x14ac:dyDescent="0.25">
      <c r="A205" s="14"/>
      <c r="B205" s="54" t="s">
        <v>140</v>
      </c>
      <c r="C205" s="49" t="s">
        <v>270</v>
      </c>
      <c r="D205" s="39"/>
      <c r="E205" s="45"/>
      <c r="H205" s="14"/>
    </row>
    <row r="206" spans="1:8" hidden="1" x14ac:dyDescent="0.25">
      <c r="A206" s="39"/>
      <c r="B206" s="49"/>
      <c r="C206" s="49"/>
      <c r="D206" s="39"/>
      <c r="E206" s="45"/>
      <c r="H206" s="39"/>
    </row>
    <row r="207" spans="1:8" hidden="1" x14ac:dyDescent="0.25">
      <c r="A207" s="40" t="s">
        <v>37</v>
      </c>
      <c r="B207" s="50" t="s">
        <v>88</v>
      </c>
      <c r="C207" s="55" t="s">
        <v>297</v>
      </c>
      <c r="D207" s="44"/>
      <c r="E207" s="45"/>
      <c r="H207" s="40"/>
    </row>
    <row r="208" spans="1:8" hidden="1" x14ac:dyDescent="0.25">
      <c r="A208" s="14"/>
      <c r="B208" s="54" t="s">
        <v>141</v>
      </c>
      <c r="C208" s="49" t="s">
        <v>271</v>
      </c>
      <c r="D208" s="39"/>
      <c r="E208" s="45"/>
      <c r="H208" s="14"/>
    </row>
    <row r="209" spans="1:8" hidden="1" x14ac:dyDescent="0.25">
      <c r="A209" s="14"/>
      <c r="B209" s="54" t="s">
        <v>38</v>
      </c>
      <c r="C209" s="49" t="s">
        <v>272</v>
      </c>
      <c r="D209" s="39"/>
      <c r="E209" s="45"/>
      <c r="H209" s="14"/>
    </row>
    <row r="210" spans="1:8" hidden="1" x14ac:dyDescent="0.25">
      <c r="A210" s="14"/>
      <c r="B210" s="54" t="s">
        <v>39</v>
      </c>
      <c r="C210" s="49" t="s">
        <v>273</v>
      </c>
      <c r="D210" s="39"/>
      <c r="E210" s="45"/>
      <c r="H210" s="14"/>
    </row>
    <row r="211" spans="1:8" hidden="1" x14ac:dyDescent="0.25">
      <c r="A211" s="14"/>
      <c r="B211" s="54" t="s">
        <v>142</v>
      </c>
      <c r="C211" s="49" t="s">
        <v>274</v>
      </c>
      <c r="D211" s="39"/>
      <c r="E211" s="45"/>
      <c r="H211" s="14"/>
    </row>
    <row r="212" spans="1:8" hidden="1" x14ac:dyDescent="0.25">
      <c r="A212" s="14"/>
      <c r="B212" s="54" t="s">
        <v>40</v>
      </c>
      <c r="C212" s="49" t="s">
        <v>275</v>
      </c>
      <c r="D212" s="39"/>
      <c r="E212" s="45"/>
      <c r="H212" s="14"/>
    </row>
    <row r="213" spans="1:8" hidden="1" x14ac:dyDescent="0.25">
      <c r="A213" s="14"/>
      <c r="B213" s="54" t="s">
        <v>143</v>
      </c>
      <c r="C213" s="49" t="s">
        <v>276</v>
      </c>
      <c r="D213" s="39"/>
      <c r="E213" s="45"/>
      <c r="H213" s="14"/>
    </row>
    <row r="214" spans="1:8" hidden="1" x14ac:dyDescent="0.25">
      <c r="A214" s="14"/>
      <c r="B214" s="54" t="s">
        <v>144</v>
      </c>
      <c r="C214" s="49" t="s">
        <v>277</v>
      </c>
      <c r="D214" s="39"/>
      <c r="E214" s="45"/>
      <c r="H214" s="14"/>
    </row>
    <row r="215" spans="1:8" hidden="1" x14ac:dyDescent="0.25">
      <c r="A215" s="39"/>
      <c r="B215" s="49"/>
      <c r="C215" s="49"/>
      <c r="D215" s="39"/>
      <c r="E215" s="45"/>
      <c r="H215" s="39"/>
    </row>
    <row r="216" spans="1:8" hidden="1" x14ac:dyDescent="0.25">
      <c r="A216" s="40" t="s">
        <v>22</v>
      </c>
      <c r="B216" s="50" t="s">
        <v>88</v>
      </c>
      <c r="C216" s="55" t="s">
        <v>297</v>
      </c>
      <c r="D216" s="44"/>
      <c r="E216" s="45"/>
      <c r="H216" s="40"/>
    </row>
    <row r="217" spans="1:8" hidden="1" x14ac:dyDescent="0.25">
      <c r="A217" s="14"/>
      <c r="B217" s="54" t="s">
        <v>23</v>
      </c>
      <c r="C217" s="49" t="s">
        <v>278</v>
      </c>
      <c r="D217" s="39"/>
      <c r="E217" s="45"/>
      <c r="H217" s="14"/>
    </row>
    <row r="218" spans="1:8" hidden="1" x14ac:dyDescent="0.25">
      <c r="A218" s="14"/>
      <c r="B218" s="54" t="s">
        <v>25</v>
      </c>
      <c r="C218" s="49" t="s">
        <v>279</v>
      </c>
      <c r="D218" s="39"/>
      <c r="E218" s="45"/>
      <c r="H218" s="14"/>
    </row>
    <row r="219" spans="1:8" hidden="1" x14ac:dyDescent="0.25">
      <c r="A219" s="14"/>
      <c r="B219" s="54" t="s">
        <v>145</v>
      </c>
      <c r="C219" s="49" t="s">
        <v>280</v>
      </c>
      <c r="D219" s="39"/>
      <c r="E219" s="45"/>
      <c r="H219" s="14"/>
    </row>
    <row r="220" spans="1:8" hidden="1" x14ac:dyDescent="0.25">
      <c r="A220" s="14"/>
      <c r="B220" s="54" t="s">
        <v>24</v>
      </c>
      <c r="C220" s="49" t="s">
        <v>281</v>
      </c>
      <c r="D220" s="39"/>
      <c r="E220" s="45"/>
      <c r="H220" s="14"/>
    </row>
    <row r="221" spans="1:8" hidden="1" x14ac:dyDescent="0.25">
      <c r="A221" s="14"/>
      <c r="B221" s="56" t="s">
        <v>176</v>
      </c>
      <c r="C221" s="52" t="s">
        <v>282</v>
      </c>
      <c r="D221" s="14"/>
      <c r="E221" s="45"/>
      <c r="H221" s="14"/>
    </row>
    <row r="222" spans="1:8" hidden="1" x14ac:dyDescent="0.25">
      <c r="A222" s="14"/>
      <c r="B222" s="54" t="s">
        <v>26</v>
      </c>
      <c r="C222" s="49" t="s">
        <v>283</v>
      </c>
      <c r="D222" s="39"/>
      <c r="E222" s="45"/>
      <c r="H222" s="14"/>
    </row>
    <row r="223" spans="1:8" hidden="1" x14ac:dyDescent="0.25">
      <c r="A223" s="14"/>
      <c r="B223" s="54" t="s">
        <v>27</v>
      </c>
      <c r="C223" s="49" t="s">
        <v>284</v>
      </c>
      <c r="D223" s="39"/>
      <c r="E223" s="45"/>
      <c r="H223" s="14"/>
    </row>
    <row r="224" spans="1:8" hidden="1" x14ac:dyDescent="0.25">
      <c r="A224" s="39"/>
      <c r="B224" s="49"/>
      <c r="C224" s="49"/>
      <c r="D224" s="39"/>
      <c r="E224" s="45"/>
      <c r="H224" s="39"/>
    </row>
    <row r="225" spans="1:8" hidden="1" x14ac:dyDescent="0.25">
      <c r="A225" s="40" t="s">
        <v>146</v>
      </c>
      <c r="B225" s="50" t="s">
        <v>88</v>
      </c>
      <c r="C225" s="55" t="s">
        <v>297</v>
      </c>
      <c r="D225" s="44"/>
      <c r="E225" s="45"/>
      <c r="H225" s="40"/>
    </row>
    <row r="226" spans="1:8" hidden="1" x14ac:dyDescent="0.25">
      <c r="A226" s="14"/>
      <c r="B226" s="54" t="s">
        <v>29</v>
      </c>
      <c r="C226" s="54" t="s">
        <v>285</v>
      </c>
      <c r="D226" s="41"/>
      <c r="E226" s="45"/>
      <c r="H226" s="14"/>
    </row>
    <row r="227" spans="1:8" hidden="1" x14ac:dyDescent="0.25">
      <c r="A227" s="14"/>
      <c r="B227" s="54" t="s">
        <v>31</v>
      </c>
      <c r="C227" s="49" t="s">
        <v>286</v>
      </c>
      <c r="D227" s="39"/>
      <c r="E227" s="45"/>
      <c r="H227" s="14"/>
    </row>
    <row r="228" spans="1:8" hidden="1" x14ac:dyDescent="0.25">
      <c r="A228" s="14"/>
      <c r="B228" s="54" t="s">
        <v>28</v>
      </c>
      <c r="C228" s="49" t="s">
        <v>287</v>
      </c>
      <c r="D228" s="39"/>
      <c r="E228" s="45"/>
      <c r="H228" s="14"/>
    </row>
    <row r="229" spans="1:8" hidden="1" x14ac:dyDescent="0.25">
      <c r="A229" s="14"/>
      <c r="B229" s="54" t="s">
        <v>36</v>
      </c>
      <c r="C229" s="49" t="s">
        <v>288</v>
      </c>
      <c r="D229" s="39"/>
      <c r="E229" s="45"/>
      <c r="H229" s="14"/>
    </row>
    <row r="230" spans="1:8" hidden="1" x14ac:dyDescent="0.25">
      <c r="A230" s="14"/>
      <c r="B230" s="54" t="s">
        <v>30</v>
      </c>
      <c r="C230" s="49" t="s">
        <v>289</v>
      </c>
      <c r="D230" s="39"/>
      <c r="E230" s="45"/>
      <c r="H230" s="14"/>
    </row>
    <row r="231" spans="1:8" hidden="1" x14ac:dyDescent="0.25">
      <c r="A231" s="14"/>
      <c r="B231" s="56" t="s">
        <v>147</v>
      </c>
      <c r="C231" s="52" t="s">
        <v>290</v>
      </c>
      <c r="D231" s="14"/>
      <c r="E231" s="45"/>
      <c r="H231" s="14"/>
    </row>
    <row r="232" spans="1:8" hidden="1" x14ac:dyDescent="0.25">
      <c r="A232" s="14"/>
      <c r="B232" s="54"/>
      <c r="C232" s="49"/>
      <c r="D232" s="39"/>
      <c r="E232" s="45"/>
      <c r="H232" s="14"/>
    </row>
    <row r="233" spans="1:8" hidden="1" x14ac:dyDescent="0.25">
      <c r="A233" s="40" t="s">
        <v>107</v>
      </c>
      <c r="B233" s="50" t="s">
        <v>88</v>
      </c>
      <c r="C233" s="55" t="s">
        <v>297</v>
      </c>
      <c r="D233" s="44"/>
      <c r="E233" s="45"/>
      <c r="H233" s="40"/>
    </row>
    <row r="234" spans="1:8" hidden="1" x14ac:dyDescent="0.25">
      <c r="A234" s="14"/>
      <c r="B234" s="54" t="s">
        <v>32</v>
      </c>
      <c r="C234" s="49" t="s">
        <v>291</v>
      </c>
      <c r="D234" s="39"/>
      <c r="E234" s="45"/>
      <c r="H234" s="14"/>
    </row>
    <row r="235" spans="1:8" hidden="1" x14ac:dyDescent="0.25">
      <c r="A235" s="14"/>
      <c r="B235" s="54" t="s">
        <v>34</v>
      </c>
      <c r="C235" s="49" t="s">
        <v>292</v>
      </c>
      <c r="D235" s="39"/>
      <c r="E235" s="45"/>
      <c r="H235" s="14"/>
    </row>
    <row r="236" spans="1:8" hidden="1" x14ac:dyDescent="0.25">
      <c r="A236" s="14"/>
      <c r="B236" s="54" t="s">
        <v>35</v>
      </c>
      <c r="C236" s="49" t="s">
        <v>293</v>
      </c>
      <c r="D236" s="39"/>
      <c r="E236" s="45"/>
      <c r="H236" s="14"/>
    </row>
    <row r="237" spans="1:8" hidden="1" x14ac:dyDescent="0.25">
      <c r="A237" s="14"/>
      <c r="B237" s="54" t="s">
        <v>177</v>
      </c>
      <c r="C237" s="49" t="s">
        <v>294</v>
      </c>
      <c r="D237" s="39"/>
      <c r="E237" s="45"/>
      <c r="H237" s="14"/>
    </row>
    <row r="238" spans="1:8" hidden="1" x14ac:dyDescent="0.25">
      <c r="A238" s="14"/>
      <c r="B238" s="56" t="s">
        <v>148</v>
      </c>
      <c r="C238" s="52" t="s">
        <v>295</v>
      </c>
      <c r="D238" s="14"/>
      <c r="E238" s="45"/>
      <c r="H238" s="14"/>
    </row>
    <row r="239" spans="1:8" hidden="1" x14ac:dyDescent="0.25">
      <c r="A239" s="14"/>
      <c r="B239" s="54" t="s">
        <v>33</v>
      </c>
      <c r="C239" s="49" t="s">
        <v>296</v>
      </c>
      <c r="D239" s="39"/>
      <c r="E239" s="45"/>
      <c r="H239" s="14"/>
    </row>
    <row r="240" spans="1:8" hidden="1" x14ac:dyDescent="0.25">
      <c r="B240" s="51"/>
      <c r="C240" s="51"/>
      <c r="E240" s="45"/>
    </row>
    <row r="241" spans="1:11" hidden="1" x14ac:dyDescent="0.25">
      <c r="B241" s="51"/>
      <c r="C241" s="51"/>
      <c r="E241" s="45"/>
    </row>
    <row r="242" spans="1:11" hidden="1" x14ac:dyDescent="0.25">
      <c r="A242" s="40" t="s">
        <v>17</v>
      </c>
      <c r="B242" s="50" t="s">
        <v>88</v>
      </c>
      <c r="C242" s="55" t="s">
        <v>297</v>
      </c>
      <c r="D242" s="44"/>
      <c r="E242" s="45"/>
    </row>
    <row r="243" spans="1:11" hidden="1" x14ac:dyDescent="0.25">
      <c r="B243" s="54" t="s">
        <v>155</v>
      </c>
      <c r="C243" s="49" t="s">
        <v>216</v>
      </c>
      <c r="D243" s="39"/>
      <c r="E243" s="45"/>
      <c r="I243" s="41"/>
    </row>
    <row r="244" spans="1:11" hidden="1" x14ac:dyDescent="0.25">
      <c r="B244" s="54" t="s">
        <v>59</v>
      </c>
      <c r="C244" s="49" t="s">
        <v>224</v>
      </c>
      <c r="D244" s="39"/>
      <c r="E244" s="45"/>
      <c r="I244" s="41"/>
    </row>
    <row r="245" spans="1:11" hidden="1" x14ac:dyDescent="0.25">
      <c r="B245" s="54" t="s">
        <v>127</v>
      </c>
      <c r="C245" s="49" t="s">
        <v>217</v>
      </c>
      <c r="D245" s="39"/>
      <c r="E245" s="45"/>
      <c r="I245" s="41"/>
    </row>
    <row r="246" spans="1:11" hidden="1" x14ac:dyDescent="0.25">
      <c r="B246" s="54" t="s">
        <v>58</v>
      </c>
      <c r="C246" s="49" t="s">
        <v>225</v>
      </c>
      <c r="D246" s="39"/>
      <c r="E246" s="45"/>
      <c r="I246" s="41"/>
    </row>
    <row r="247" spans="1:11" hidden="1" x14ac:dyDescent="0.25">
      <c r="B247" s="54" t="s">
        <v>56</v>
      </c>
      <c r="C247" s="49" t="s">
        <v>218</v>
      </c>
      <c r="D247" s="39"/>
      <c r="E247" s="45"/>
      <c r="I247" s="41"/>
    </row>
    <row r="248" spans="1:11" hidden="1" x14ac:dyDescent="0.25">
      <c r="B248" s="54" t="s">
        <v>157</v>
      </c>
      <c r="C248" s="49" t="s">
        <v>226</v>
      </c>
      <c r="D248" s="39"/>
      <c r="E248" s="45"/>
      <c r="I248" s="41"/>
    </row>
    <row r="249" spans="1:11" hidden="1" x14ac:dyDescent="0.25">
      <c r="B249" s="54" t="s">
        <v>55</v>
      </c>
      <c r="C249" s="49" t="s">
        <v>219</v>
      </c>
      <c r="D249" s="39"/>
      <c r="E249" s="45"/>
      <c r="I249" s="41"/>
    </row>
    <row r="250" spans="1:11" hidden="1" x14ac:dyDescent="0.25">
      <c r="B250" s="54" t="s">
        <v>158</v>
      </c>
      <c r="C250" s="49" t="s">
        <v>227</v>
      </c>
      <c r="D250" s="39"/>
      <c r="E250" s="45"/>
      <c r="I250" s="41"/>
    </row>
    <row r="251" spans="1:11" hidden="1" x14ac:dyDescent="0.25">
      <c r="B251" s="54" t="s">
        <v>156</v>
      </c>
      <c r="C251" s="49" t="s">
        <v>220</v>
      </c>
      <c r="D251" s="39"/>
      <c r="E251" s="45"/>
      <c r="I251" s="39"/>
      <c r="K251" s="39"/>
    </row>
    <row r="252" spans="1:11" hidden="1" x14ac:dyDescent="0.25">
      <c r="B252" s="54" t="s">
        <v>60</v>
      </c>
      <c r="C252" s="49" t="s">
        <v>228</v>
      </c>
      <c r="D252" s="39"/>
      <c r="E252" s="45"/>
      <c r="I252" s="39"/>
      <c r="K252" s="39"/>
    </row>
    <row r="253" spans="1:11" hidden="1" x14ac:dyDescent="0.25">
      <c r="B253" s="54" t="s">
        <v>53</v>
      </c>
      <c r="C253" s="49" t="s">
        <v>221</v>
      </c>
      <c r="D253" s="39"/>
      <c r="E253" s="45"/>
      <c r="I253" s="41"/>
    </row>
    <row r="254" spans="1:11" hidden="1" x14ac:dyDescent="0.25">
      <c r="B254" s="54" t="s">
        <v>128</v>
      </c>
      <c r="C254" s="49" t="s">
        <v>222</v>
      </c>
      <c r="D254" s="39"/>
      <c r="E254" s="45"/>
      <c r="I254" s="41"/>
    </row>
    <row r="255" spans="1:11" hidden="1" x14ac:dyDescent="0.25">
      <c r="B255" s="54" t="s">
        <v>54</v>
      </c>
      <c r="C255" s="49" t="s">
        <v>223</v>
      </c>
      <c r="D255" s="39"/>
      <c r="E255" s="45"/>
      <c r="I255" s="41"/>
    </row>
    <row r="256" spans="1:11" hidden="1" x14ac:dyDescent="0.25">
      <c r="B256" s="50" t="s">
        <v>88</v>
      </c>
      <c r="C256" s="55" t="s">
        <v>297</v>
      </c>
      <c r="D256" s="44"/>
      <c r="E256" s="45"/>
      <c r="I256" s="41"/>
    </row>
    <row r="257" spans="1:11" hidden="1" x14ac:dyDescent="0.25">
      <c r="A257" s="40" t="s">
        <v>179</v>
      </c>
      <c r="B257" s="54" t="s">
        <v>29</v>
      </c>
      <c r="C257" s="54" t="s">
        <v>285</v>
      </c>
      <c r="D257" s="41"/>
      <c r="E257" s="45"/>
      <c r="I257" s="41"/>
    </row>
    <row r="258" spans="1:11" hidden="1" x14ac:dyDescent="0.25">
      <c r="B258" s="54" t="s">
        <v>32</v>
      </c>
      <c r="C258" s="49" t="s">
        <v>291</v>
      </c>
      <c r="D258" s="39"/>
      <c r="E258" s="45"/>
      <c r="I258" s="41"/>
    </row>
    <row r="259" spans="1:11" hidden="1" x14ac:dyDescent="0.25">
      <c r="B259" s="54" t="s">
        <v>31</v>
      </c>
      <c r="C259" s="49" t="s">
        <v>286</v>
      </c>
      <c r="D259" s="39"/>
      <c r="E259" s="45"/>
      <c r="I259" s="41"/>
    </row>
    <row r="260" spans="1:11" hidden="1" x14ac:dyDescent="0.25">
      <c r="B260" s="54" t="s">
        <v>34</v>
      </c>
      <c r="C260" s="49" t="s">
        <v>292</v>
      </c>
      <c r="D260" s="39"/>
      <c r="E260" s="46"/>
      <c r="I260" s="41"/>
    </row>
    <row r="261" spans="1:11" hidden="1" x14ac:dyDescent="0.25">
      <c r="B261" s="54" t="s">
        <v>28</v>
      </c>
      <c r="C261" s="49" t="s">
        <v>287</v>
      </c>
      <c r="D261" s="39"/>
      <c r="E261" s="47"/>
      <c r="I261" s="41"/>
    </row>
    <row r="262" spans="1:11" hidden="1" x14ac:dyDescent="0.25">
      <c r="B262" s="54" t="s">
        <v>35</v>
      </c>
      <c r="C262" s="49" t="s">
        <v>293</v>
      </c>
      <c r="D262" s="39"/>
      <c r="E262" s="46"/>
      <c r="I262" s="42"/>
    </row>
    <row r="263" spans="1:11" hidden="1" x14ac:dyDescent="0.25">
      <c r="B263" s="54" t="s">
        <v>36</v>
      </c>
      <c r="C263" s="49" t="s">
        <v>288</v>
      </c>
      <c r="D263" s="39"/>
      <c r="E263" s="47"/>
      <c r="I263" s="41"/>
      <c r="K263" s="39"/>
    </row>
    <row r="264" spans="1:11" hidden="1" x14ac:dyDescent="0.25">
      <c r="B264" s="54" t="s">
        <v>177</v>
      </c>
      <c r="C264" s="49" t="s">
        <v>294</v>
      </c>
      <c r="D264" s="39"/>
      <c r="E264" s="45"/>
      <c r="I264" s="39"/>
      <c r="K264" s="39"/>
    </row>
    <row r="265" spans="1:11" hidden="1" x14ac:dyDescent="0.25">
      <c r="B265" s="54" t="s">
        <v>30</v>
      </c>
      <c r="C265" s="49" t="s">
        <v>289</v>
      </c>
      <c r="D265" s="39"/>
      <c r="E265" s="47"/>
      <c r="I265" s="41"/>
    </row>
    <row r="266" spans="1:11" hidden="1" x14ac:dyDescent="0.25">
      <c r="B266" s="56" t="s">
        <v>148</v>
      </c>
      <c r="C266" s="52" t="s">
        <v>295</v>
      </c>
      <c r="D266" s="14"/>
      <c r="E266" s="48"/>
      <c r="I266" s="41"/>
    </row>
    <row r="267" spans="1:11" hidden="1" x14ac:dyDescent="0.25">
      <c r="B267" s="56" t="s">
        <v>147</v>
      </c>
      <c r="C267" s="52" t="s">
        <v>290</v>
      </c>
      <c r="D267" s="14"/>
      <c r="E267" s="47"/>
      <c r="I267" s="41"/>
    </row>
    <row r="268" spans="1:11" hidden="1" x14ac:dyDescent="0.25">
      <c r="B268" s="54" t="s">
        <v>33</v>
      </c>
      <c r="C268" s="49" t="s">
        <v>296</v>
      </c>
      <c r="D268" s="39"/>
      <c r="E268" s="48"/>
      <c r="I268" s="41"/>
    </row>
    <row r="269" spans="1:11" hidden="1" x14ac:dyDescent="0.25">
      <c r="B269" s="50" t="s">
        <v>88</v>
      </c>
      <c r="C269" s="55" t="s">
        <v>297</v>
      </c>
      <c r="D269" s="44"/>
      <c r="E269" s="47"/>
      <c r="I269" s="42"/>
    </row>
    <row r="270" spans="1:11" hidden="1" x14ac:dyDescent="0.25">
      <c r="A270" s="40" t="s">
        <v>178</v>
      </c>
      <c r="B270" s="54" t="s">
        <v>141</v>
      </c>
      <c r="C270" s="49" t="s">
        <v>271</v>
      </c>
      <c r="D270" s="39"/>
      <c r="E270" s="48"/>
      <c r="I270" s="41"/>
    </row>
    <row r="271" spans="1:11" hidden="1" x14ac:dyDescent="0.25">
      <c r="B271" s="54" t="s">
        <v>155</v>
      </c>
      <c r="C271" s="49" t="s">
        <v>216</v>
      </c>
      <c r="D271" s="39"/>
      <c r="E271" s="47"/>
      <c r="I271" s="41"/>
    </row>
    <row r="272" spans="1:11" hidden="1" x14ac:dyDescent="0.25">
      <c r="B272" s="54" t="s">
        <v>38</v>
      </c>
      <c r="C272" s="49" t="s">
        <v>272</v>
      </c>
      <c r="D272" s="39"/>
      <c r="E272" s="48"/>
      <c r="I272" s="41"/>
    </row>
    <row r="273" spans="2:9" hidden="1" x14ac:dyDescent="0.25">
      <c r="B273" s="54" t="s">
        <v>59</v>
      </c>
      <c r="C273" s="49" t="s">
        <v>224</v>
      </c>
      <c r="D273" s="39"/>
      <c r="E273" s="47"/>
      <c r="I273" s="41"/>
    </row>
    <row r="274" spans="2:9" hidden="1" x14ac:dyDescent="0.25">
      <c r="B274" s="54" t="s">
        <v>39</v>
      </c>
      <c r="C274" s="49" t="s">
        <v>273</v>
      </c>
      <c r="D274" s="39"/>
      <c r="E274" s="48"/>
      <c r="I274" s="41"/>
    </row>
    <row r="275" spans="2:9" hidden="1" x14ac:dyDescent="0.25">
      <c r="B275" s="54" t="s">
        <v>127</v>
      </c>
      <c r="C275" s="49" t="s">
        <v>217</v>
      </c>
      <c r="D275" s="39"/>
      <c r="E275" s="47"/>
      <c r="I275" s="41"/>
    </row>
    <row r="276" spans="2:9" hidden="1" x14ac:dyDescent="0.25">
      <c r="B276" s="54" t="s">
        <v>142</v>
      </c>
      <c r="C276" s="49" t="s">
        <v>274</v>
      </c>
      <c r="D276" s="39"/>
      <c r="E276" s="48"/>
      <c r="I276" s="41"/>
    </row>
    <row r="277" spans="2:9" hidden="1" x14ac:dyDescent="0.25">
      <c r="B277" s="54" t="s">
        <v>58</v>
      </c>
      <c r="C277" s="49" t="s">
        <v>225</v>
      </c>
      <c r="D277" s="39"/>
      <c r="E277" s="47"/>
    </row>
    <row r="278" spans="2:9" hidden="1" x14ac:dyDescent="0.25">
      <c r="B278" s="54" t="s">
        <v>40</v>
      </c>
      <c r="C278" s="49" t="s">
        <v>275</v>
      </c>
      <c r="D278" s="39"/>
      <c r="E278" s="48"/>
    </row>
    <row r="279" spans="2:9" hidden="1" x14ac:dyDescent="0.25">
      <c r="B279" s="54" t="s">
        <v>56</v>
      </c>
      <c r="C279" s="49" t="s">
        <v>218</v>
      </c>
      <c r="D279" s="39"/>
      <c r="E279" s="47"/>
      <c r="I279" s="41"/>
    </row>
    <row r="280" spans="2:9" hidden="1" x14ac:dyDescent="0.25">
      <c r="B280" s="54" t="s">
        <v>143</v>
      </c>
      <c r="C280" s="49" t="s">
        <v>276</v>
      </c>
      <c r="D280" s="39"/>
      <c r="E280" s="48"/>
      <c r="I280" s="41"/>
    </row>
    <row r="281" spans="2:9" hidden="1" x14ac:dyDescent="0.25">
      <c r="B281" s="54" t="s">
        <v>157</v>
      </c>
      <c r="C281" s="49" t="s">
        <v>226</v>
      </c>
      <c r="D281" s="39"/>
      <c r="E281" s="47"/>
      <c r="I281" s="41"/>
    </row>
    <row r="282" spans="2:9" hidden="1" x14ac:dyDescent="0.25">
      <c r="B282" s="54" t="s">
        <v>144</v>
      </c>
      <c r="C282" s="49" t="s">
        <v>277</v>
      </c>
      <c r="D282" s="39"/>
      <c r="E282" s="48"/>
      <c r="I282" s="41"/>
    </row>
    <row r="283" spans="2:9" hidden="1" x14ac:dyDescent="0.25">
      <c r="B283" s="54" t="s">
        <v>55</v>
      </c>
      <c r="C283" s="49" t="s">
        <v>219</v>
      </c>
      <c r="D283" s="39"/>
      <c r="E283" s="47"/>
      <c r="I283" s="41"/>
    </row>
    <row r="284" spans="2:9" hidden="1" x14ac:dyDescent="0.25">
      <c r="B284" s="54" t="s">
        <v>158</v>
      </c>
      <c r="C284" s="49" t="s">
        <v>227</v>
      </c>
      <c r="D284" s="39"/>
      <c r="E284" s="48"/>
      <c r="I284" s="41"/>
    </row>
    <row r="285" spans="2:9" hidden="1" x14ac:dyDescent="0.25">
      <c r="B285" s="54" t="s">
        <v>156</v>
      </c>
      <c r="C285" s="49" t="s">
        <v>220</v>
      </c>
      <c r="D285" s="39"/>
      <c r="E285" s="47"/>
      <c r="I285" s="41"/>
    </row>
    <row r="286" spans="2:9" hidden="1" x14ac:dyDescent="0.25">
      <c r="B286" s="54" t="s">
        <v>60</v>
      </c>
      <c r="C286" s="49" t="s">
        <v>228</v>
      </c>
      <c r="D286" s="39"/>
      <c r="E286" s="48"/>
      <c r="I286" s="41"/>
    </row>
    <row r="287" spans="2:9" hidden="1" x14ac:dyDescent="0.25">
      <c r="B287" s="54" t="s">
        <v>53</v>
      </c>
      <c r="C287" s="49" t="s">
        <v>221</v>
      </c>
      <c r="D287" s="39"/>
      <c r="E287" s="47"/>
      <c r="I287" s="41"/>
    </row>
    <row r="288" spans="2:9" hidden="1" x14ac:dyDescent="0.25">
      <c r="B288" s="54" t="s">
        <v>128</v>
      </c>
      <c r="C288" s="49" t="s">
        <v>222</v>
      </c>
      <c r="D288" s="39"/>
      <c r="E288" s="48"/>
      <c r="I288" s="41"/>
    </row>
    <row r="289" spans="1:11" hidden="1" x14ac:dyDescent="0.25">
      <c r="B289" s="54" t="s">
        <v>54</v>
      </c>
      <c r="C289" s="49" t="s">
        <v>223</v>
      </c>
      <c r="D289" s="39"/>
      <c r="E289" s="47"/>
      <c r="I289" s="41"/>
    </row>
    <row r="290" spans="1:11" hidden="1" x14ac:dyDescent="0.25">
      <c r="B290" s="54"/>
      <c r="C290" s="49"/>
      <c r="D290" s="39"/>
      <c r="E290" s="47"/>
      <c r="I290" s="41"/>
    </row>
    <row r="291" spans="1:11" hidden="1" x14ac:dyDescent="0.25">
      <c r="B291" s="50" t="s">
        <v>88</v>
      </c>
      <c r="C291" s="55" t="s">
        <v>297</v>
      </c>
      <c r="D291" s="44"/>
      <c r="E291" s="48"/>
      <c r="I291" s="41"/>
    </row>
    <row r="292" spans="1:11" hidden="1" x14ac:dyDescent="0.25">
      <c r="A292" s="40" t="s">
        <v>180</v>
      </c>
      <c r="B292" s="54" t="s">
        <v>51</v>
      </c>
      <c r="C292" s="49" t="s">
        <v>203</v>
      </c>
      <c r="D292" s="39"/>
      <c r="E292" s="47"/>
      <c r="I292" s="39"/>
    </row>
    <row r="293" spans="1:11" hidden="1" x14ac:dyDescent="0.25">
      <c r="B293" s="54" t="s">
        <v>46</v>
      </c>
      <c r="C293" s="49" t="s">
        <v>207</v>
      </c>
      <c r="D293" s="39"/>
      <c r="E293" s="48"/>
      <c r="I293" s="41"/>
    </row>
    <row r="294" spans="1:11" hidden="1" x14ac:dyDescent="0.25">
      <c r="B294" s="54" t="s">
        <v>121</v>
      </c>
      <c r="C294" s="49" t="s">
        <v>204</v>
      </c>
      <c r="D294" s="39"/>
      <c r="E294" s="47"/>
      <c r="I294" s="41"/>
    </row>
    <row r="295" spans="1:11" hidden="1" x14ac:dyDescent="0.25">
      <c r="B295" s="54" t="s">
        <v>47</v>
      </c>
      <c r="C295" s="49" t="s">
        <v>208</v>
      </c>
      <c r="D295" s="39"/>
      <c r="E295" s="45"/>
      <c r="I295" s="41"/>
    </row>
    <row r="296" spans="1:11" hidden="1" x14ac:dyDescent="0.25">
      <c r="B296" s="54" t="s">
        <v>153</v>
      </c>
      <c r="C296" s="49" t="s">
        <v>205</v>
      </c>
      <c r="D296" s="39"/>
      <c r="E296" s="45"/>
      <c r="I296" s="41"/>
    </row>
    <row r="297" spans="1:11" hidden="1" x14ac:dyDescent="0.25">
      <c r="B297" s="54" t="s">
        <v>49</v>
      </c>
      <c r="C297" s="49" t="s">
        <v>209</v>
      </c>
      <c r="D297" s="39"/>
      <c r="E297" s="47"/>
      <c r="I297" s="39"/>
      <c r="K297" s="39"/>
    </row>
    <row r="298" spans="1:11" hidden="1" x14ac:dyDescent="0.25">
      <c r="B298" s="54" t="s">
        <v>50</v>
      </c>
      <c r="C298" s="49" t="s">
        <v>206</v>
      </c>
      <c r="D298" s="39"/>
      <c r="E298" s="47"/>
      <c r="I298" s="41"/>
      <c r="K298" s="39"/>
    </row>
    <row r="299" spans="1:11" hidden="1" x14ac:dyDescent="0.25">
      <c r="B299" s="54" t="s">
        <v>48</v>
      </c>
      <c r="C299" s="49" t="s">
        <v>210</v>
      </c>
      <c r="D299" s="39"/>
      <c r="E299" s="47"/>
      <c r="I299" s="41"/>
    </row>
    <row r="300" spans="1:11" hidden="1" x14ac:dyDescent="0.25">
      <c r="B300" s="54" t="s">
        <v>122</v>
      </c>
      <c r="C300" s="49" t="s">
        <v>211</v>
      </c>
      <c r="D300" s="39"/>
      <c r="E300" s="47"/>
      <c r="I300" s="41"/>
    </row>
    <row r="301" spans="1:11" hidden="1" x14ac:dyDescent="0.25"/>
    <row r="302" spans="1:11" hidden="1" x14ac:dyDescent="0.25">
      <c r="B302" t="s">
        <v>298</v>
      </c>
      <c r="C302" t="s">
        <v>299</v>
      </c>
      <c r="D302" t="s">
        <v>336</v>
      </c>
      <c r="E302" t="s">
        <v>338</v>
      </c>
    </row>
    <row r="303" spans="1:11" hidden="1" x14ac:dyDescent="0.25">
      <c r="B303" t="s">
        <v>77</v>
      </c>
      <c r="C303" s="39" t="s">
        <v>77</v>
      </c>
      <c r="D303" s="39" t="s">
        <v>315</v>
      </c>
      <c r="E303" s="39" t="str">
        <f>CONCATENATE(Table_Name52[[#This Row],[Table name]],"[Link]")</f>
        <v>Abs[Link]</v>
      </c>
    </row>
    <row r="304" spans="1:11" hidden="1" x14ac:dyDescent="0.25">
      <c r="B304" t="s">
        <v>19</v>
      </c>
      <c r="C304" s="39" t="s">
        <v>19</v>
      </c>
      <c r="D304" s="39" t="s">
        <v>316</v>
      </c>
      <c r="E304" s="39" t="str">
        <f>CONCATENATE(Table_Name52[[#This Row],[Table name]],"[Link]")</f>
        <v>Calves[Link]</v>
      </c>
    </row>
    <row r="305" spans="2:5" hidden="1" x14ac:dyDescent="0.25">
      <c r="B305" t="s">
        <v>18</v>
      </c>
      <c r="C305" s="39" t="s">
        <v>18</v>
      </c>
      <c r="D305" s="39" t="s">
        <v>317</v>
      </c>
      <c r="E305" s="39" t="str">
        <f>CONCATENATE(Table_Name52[[#This Row],[Table name]],"[Link]")</f>
        <v>Biceps[Link]</v>
      </c>
    </row>
    <row r="306" spans="2:5" hidden="1" x14ac:dyDescent="0.25">
      <c r="B306" t="s">
        <v>120</v>
      </c>
      <c r="C306" s="39" t="s">
        <v>300</v>
      </c>
      <c r="D306" s="39" t="s">
        <v>318</v>
      </c>
      <c r="E306" s="39" t="str">
        <f>CONCATENATE(Table_Name52[[#This Row],[Table name]],"[Link]")</f>
        <v>Rear_Delts[Link]</v>
      </c>
    </row>
    <row r="307" spans="2:5" hidden="1" x14ac:dyDescent="0.25">
      <c r="B307" t="s">
        <v>108</v>
      </c>
      <c r="C307" s="39" t="s">
        <v>301</v>
      </c>
      <c r="D307" s="39" t="s">
        <v>319</v>
      </c>
      <c r="E307" s="39" t="str">
        <f>CONCATENATE(Table_Name52[[#This Row],[Table name]],"[Link]")</f>
        <v>Side_Delts[Link]</v>
      </c>
    </row>
    <row r="308" spans="2:5" hidden="1" x14ac:dyDescent="0.25">
      <c r="B308" t="s">
        <v>123</v>
      </c>
      <c r="C308" s="39" t="s">
        <v>123</v>
      </c>
      <c r="D308" s="39" t="s">
        <v>320</v>
      </c>
      <c r="E308" s="39" t="str">
        <f>CONCATENATE(Table_Name52[[#This Row],[Table name]],"[Link]")</f>
        <v>Traps[Link]</v>
      </c>
    </row>
    <row r="309" spans="2:5" hidden="1" x14ac:dyDescent="0.25">
      <c r="B309" t="s">
        <v>52</v>
      </c>
      <c r="C309" s="39" t="s">
        <v>302</v>
      </c>
      <c r="D309" s="39" t="s">
        <v>321</v>
      </c>
      <c r="E309" s="39" t="str">
        <f>CONCATENATE(Table_Name52[[#This Row],[Table name]],"[Link]")</f>
        <v>Horizontal_Triceps[Link]</v>
      </c>
    </row>
    <row r="310" spans="2:5" hidden="1" x14ac:dyDescent="0.25">
      <c r="B310" t="s">
        <v>57</v>
      </c>
      <c r="C310" s="39" t="s">
        <v>303</v>
      </c>
      <c r="D310" s="39" t="s">
        <v>322</v>
      </c>
      <c r="E310" s="39" t="str">
        <f>CONCATENATE(Table_Name52[[#This Row],[Table name]],"[Link]")</f>
        <v>Vertical_Triceps[Link]</v>
      </c>
    </row>
    <row r="311" spans="2:5" hidden="1" x14ac:dyDescent="0.25">
      <c r="B311" t="s">
        <v>341</v>
      </c>
      <c r="C311" s="39" t="s">
        <v>304</v>
      </c>
      <c r="D311" s="39" t="s">
        <v>337</v>
      </c>
      <c r="E311" s="39" t="str">
        <f>CONCATENATE(Table_Name52[[#This Row],[Table name]],"[Link]")</f>
        <v>Horizonal_Back[Link]</v>
      </c>
    </row>
    <row r="312" spans="2:5" hidden="1" x14ac:dyDescent="0.25">
      <c r="B312" t="s">
        <v>340</v>
      </c>
      <c r="C312" s="39" t="s">
        <v>305</v>
      </c>
      <c r="D312" s="39" t="s">
        <v>323</v>
      </c>
      <c r="E312" s="39" t="str">
        <f>CONCATENATE(Table_Name52[[#This Row],[Table name]],"[Link]")</f>
        <v>Vertical_Back[Link]</v>
      </c>
    </row>
    <row r="313" spans="2:5" hidden="1" x14ac:dyDescent="0.25">
      <c r="B313" t="s">
        <v>20</v>
      </c>
      <c r="C313" s="39" t="s">
        <v>20</v>
      </c>
      <c r="D313" s="39" t="s">
        <v>324</v>
      </c>
      <c r="E313" s="39" t="str">
        <f>CONCATENATE(Table_Name52[[#This Row],[Table name]],"[Link]")</f>
        <v>Quads[Link]</v>
      </c>
    </row>
    <row r="314" spans="2:5" hidden="1" x14ac:dyDescent="0.25">
      <c r="B314" t="s">
        <v>111</v>
      </c>
      <c r="C314" s="39" t="s">
        <v>111</v>
      </c>
      <c r="D314" s="39" t="s">
        <v>325</v>
      </c>
      <c r="E314" s="39" t="str">
        <f>CONCATENATE(Table_Name52[[#This Row],[Table name]],"[Link]")</f>
        <v>Glutes[Link]</v>
      </c>
    </row>
    <row r="315" spans="2:5" hidden="1" x14ac:dyDescent="0.25">
      <c r="B315" t="s">
        <v>110</v>
      </c>
      <c r="C315" s="39" t="s">
        <v>306</v>
      </c>
      <c r="D315" s="39" t="s">
        <v>326</v>
      </c>
      <c r="E315" s="39" t="str">
        <f>CONCATENATE(Table_Name52[[#This Row],[Table name]],"[Link]")</f>
        <v>Hamstrings_Hip_Hinge[Link]</v>
      </c>
    </row>
    <row r="316" spans="2:5" hidden="1" x14ac:dyDescent="0.25">
      <c r="B316" t="s">
        <v>109</v>
      </c>
      <c r="C316" s="39" t="s">
        <v>307</v>
      </c>
      <c r="D316" s="39" t="s">
        <v>327</v>
      </c>
      <c r="E316" s="39" t="str">
        <f>CONCATENATE(Table_Name52[[#This Row],[Table name]],"[Link]")</f>
        <v>Hamstrings_Isolation[Link]</v>
      </c>
    </row>
    <row r="317" spans="2:5" hidden="1" x14ac:dyDescent="0.25">
      <c r="B317" t="s">
        <v>37</v>
      </c>
      <c r="C317" s="39" t="s">
        <v>308</v>
      </c>
      <c r="D317" s="39" t="s">
        <v>328</v>
      </c>
      <c r="E317" s="39" t="str">
        <f>CONCATENATE(Table_Name52[[#This Row],[Table name]],"[Link]")</f>
        <v>Chest_Isolation[Link]</v>
      </c>
    </row>
    <row r="318" spans="2:5" hidden="1" x14ac:dyDescent="0.25">
      <c r="B318" t="s">
        <v>22</v>
      </c>
      <c r="C318" s="39" t="s">
        <v>309</v>
      </c>
      <c r="D318" s="39" t="s">
        <v>329</v>
      </c>
      <c r="E318" s="39" t="str">
        <f>CONCATENATE(Table_Name52[[#This Row],[Table name]],"[Link]")</f>
        <v>Horizontal_Push[Link]</v>
      </c>
    </row>
    <row r="319" spans="2:5" hidden="1" x14ac:dyDescent="0.25">
      <c r="B319" t="s">
        <v>146</v>
      </c>
      <c r="C319" s="39" t="s">
        <v>310</v>
      </c>
      <c r="D319" s="39" t="s">
        <v>330</v>
      </c>
      <c r="E319" s="39" t="str">
        <f>CONCATENATE(Table_Name52[[#This Row],[Table name]],"[Link]")</f>
        <v>Incline_Push[Link]</v>
      </c>
    </row>
    <row r="320" spans="2:5" hidden="1" x14ac:dyDescent="0.25">
      <c r="B320" t="s">
        <v>107</v>
      </c>
      <c r="C320" s="39" t="s">
        <v>311</v>
      </c>
      <c r="D320" s="39" t="s">
        <v>331</v>
      </c>
      <c r="E320" s="39" t="str">
        <f>CONCATENATE(Table_Name52[[#This Row],[Table name]],"[Link]")</f>
        <v>Front_Delts[Link]</v>
      </c>
    </row>
    <row r="321" spans="2:5" hidden="1" x14ac:dyDescent="0.25">
      <c r="B321" t="s">
        <v>17</v>
      </c>
      <c r="C321" s="39" t="s">
        <v>17</v>
      </c>
      <c r="D321" s="39" t="s">
        <v>332</v>
      </c>
      <c r="E321" s="39" t="str">
        <f>CONCATENATE(Table_Name52[[#This Row],[Table name]],"[Link]")</f>
        <v>Triceps[Link]</v>
      </c>
    </row>
    <row r="322" spans="2:5" hidden="1" x14ac:dyDescent="0.25">
      <c r="B322" t="s">
        <v>179</v>
      </c>
      <c r="C322" s="39" t="s">
        <v>312</v>
      </c>
      <c r="D322" s="39" t="s">
        <v>333</v>
      </c>
      <c r="E322" s="39" t="str">
        <f>CONCATENATE(Table_Name52[[#This Row],[Table name]],"[Link]")</f>
        <v>Incline_Push_or_Front_Delts[Link]</v>
      </c>
    </row>
    <row r="323" spans="2:5" hidden="1" x14ac:dyDescent="0.25">
      <c r="B323" t="s">
        <v>178</v>
      </c>
      <c r="C323" s="39" t="s">
        <v>313</v>
      </c>
      <c r="D323" s="39" t="s">
        <v>334</v>
      </c>
      <c r="E323" s="39" t="str">
        <f>CONCATENATE(Table_Name52[[#This Row],[Table name]],"[Link]")</f>
        <v>Chest_Isolation_or_Triceps[Link]</v>
      </c>
    </row>
    <row r="324" spans="2:5" hidden="1" x14ac:dyDescent="0.25">
      <c r="B324" t="s">
        <v>180</v>
      </c>
      <c r="C324" s="39" t="s">
        <v>314</v>
      </c>
      <c r="D324" s="39" t="s">
        <v>335</v>
      </c>
      <c r="E324" s="39" t="str">
        <f>CONCATENATE(Table_Name52[[#This Row],[Table name]],"[Link]")</f>
        <v>Rear_or_Side_Delts[Link]</v>
      </c>
    </row>
    <row r="325" spans="2:5" hidden="1" x14ac:dyDescent="0.25"/>
    <row r="326" spans="2:5" hidden="1" x14ac:dyDescent="0.25">
      <c r="B326" s="10" t="s">
        <v>88</v>
      </c>
      <c r="C326" t="s">
        <v>297</v>
      </c>
      <c r="D326" s="10" t="s">
        <v>298</v>
      </c>
    </row>
    <row r="327" spans="2:5" hidden="1" x14ac:dyDescent="0.25">
      <c r="B327" s="39" t="s">
        <v>112</v>
      </c>
      <c r="C327" t="s">
        <v>181</v>
      </c>
      <c r="D327" t="s">
        <v>77</v>
      </c>
    </row>
    <row r="328" spans="2:5" hidden="1" x14ac:dyDescent="0.25">
      <c r="B328" s="39" t="s">
        <v>79</v>
      </c>
      <c r="C328" t="s">
        <v>182</v>
      </c>
      <c r="D328" t="s">
        <v>77</v>
      </c>
    </row>
    <row r="329" spans="2:5" hidden="1" x14ac:dyDescent="0.25">
      <c r="B329" s="39" t="s">
        <v>80</v>
      </c>
      <c r="C329" t="s">
        <v>183</v>
      </c>
      <c r="D329" t="s">
        <v>77</v>
      </c>
    </row>
    <row r="330" spans="2:5" hidden="1" x14ac:dyDescent="0.25">
      <c r="B330" s="39" t="s">
        <v>78</v>
      </c>
      <c r="C330" t="s">
        <v>184</v>
      </c>
      <c r="D330" t="s">
        <v>77</v>
      </c>
    </row>
    <row r="331" spans="2:5" hidden="1" x14ac:dyDescent="0.25">
      <c r="B331" s="41" t="s">
        <v>113</v>
      </c>
      <c r="C331" t="s">
        <v>185</v>
      </c>
      <c r="D331" t="s">
        <v>77</v>
      </c>
    </row>
    <row r="332" spans="2:5" hidden="1" x14ac:dyDescent="0.25">
      <c r="B332" s="39" t="s">
        <v>81</v>
      </c>
      <c r="C332" t="s">
        <v>186</v>
      </c>
      <c r="D332" t="s">
        <v>77</v>
      </c>
    </row>
    <row r="333" spans="2:5" hidden="1" x14ac:dyDescent="0.25">
      <c r="B333" s="39" t="s">
        <v>149</v>
      </c>
      <c r="C333" t="s">
        <v>187</v>
      </c>
      <c r="D333" t="s">
        <v>77</v>
      </c>
    </row>
    <row r="334" spans="2:5" hidden="1" x14ac:dyDescent="0.25">
      <c r="B334" s="39" t="s">
        <v>61</v>
      </c>
      <c r="C334" t="s">
        <v>192</v>
      </c>
      <c r="D334" t="s">
        <v>18</v>
      </c>
    </row>
    <row r="335" spans="2:5" hidden="1" x14ac:dyDescent="0.25">
      <c r="B335" s="39" t="s">
        <v>62</v>
      </c>
      <c r="C335" t="s">
        <v>193</v>
      </c>
      <c r="D335" t="s">
        <v>18</v>
      </c>
    </row>
    <row r="336" spans="2:5" hidden="1" x14ac:dyDescent="0.25">
      <c r="B336" s="39" t="s">
        <v>115</v>
      </c>
      <c r="C336" t="s">
        <v>194</v>
      </c>
      <c r="D336" t="s">
        <v>18</v>
      </c>
    </row>
    <row r="337" spans="2:4" hidden="1" x14ac:dyDescent="0.25">
      <c r="B337" s="39" t="s">
        <v>63</v>
      </c>
      <c r="C337" t="s">
        <v>195</v>
      </c>
      <c r="D337" t="s">
        <v>18</v>
      </c>
    </row>
    <row r="338" spans="2:4" hidden="1" x14ac:dyDescent="0.25">
      <c r="B338" s="39" t="s">
        <v>116</v>
      </c>
      <c r="C338" t="s">
        <v>196</v>
      </c>
      <c r="D338" t="s">
        <v>18</v>
      </c>
    </row>
    <row r="339" spans="2:4" hidden="1" x14ac:dyDescent="0.25">
      <c r="B339" s="39" t="s">
        <v>117</v>
      </c>
      <c r="C339" t="s">
        <v>197</v>
      </c>
      <c r="D339" t="s">
        <v>18</v>
      </c>
    </row>
    <row r="340" spans="2:4" hidden="1" x14ac:dyDescent="0.25">
      <c r="B340" s="39" t="s">
        <v>150</v>
      </c>
      <c r="C340" t="s">
        <v>198</v>
      </c>
      <c r="D340" t="s">
        <v>18</v>
      </c>
    </row>
    <row r="341" spans="2:4" hidden="1" x14ac:dyDescent="0.25">
      <c r="B341" s="39" t="s">
        <v>151</v>
      </c>
      <c r="C341" t="s">
        <v>199</v>
      </c>
      <c r="D341" t="s">
        <v>18</v>
      </c>
    </row>
    <row r="342" spans="2:4" hidden="1" x14ac:dyDescent="0.25">
      <c r="B342" s="41" t="s">
        <v>118</v>
      </c>
      <c r="C342" t="s">
        <v>200</v>
      </c>
      <c r="D342" t="s">
        <v>18</v>
      </c>
    </row>
    <row r="343" spans="2:4" hidden="1" x14ac:dyDescent="0.25">
      <c r="B343" s="39" t="s">
        <v>119</v>
      </c>
      <c r="C343" t="s">
        <v>201</v>
      </c>
      <c r="D343" t="s">
        <v>18</v>
      </c>
    </row>
    <row r="344" spans="2:4" hidden="1" x14ac:dyDescent="0.25">
      <c r="B344" s="39" t="s">
        <v>152</v>
      </c>
      <c r="C344" t="s">
        <v>202</v>
      </c>
      <c r="D344" t="s">
        <v>18</v>
      </c>
    </row>
    <row r="345" spans="2:4" hidden="1" x14ac:dyDescent="0.25">
      <c r="B345" s="39" t="s">
        <v>114</v>
      </c>
      <c r="C345" t="s">
        <v>188</v>
      </c>
      <c r="D345" t="s">
        <v>19</v>
      </c>
    </row>
    <row r="346" spans="2:4" hidden="1" x14ac:dyDescent="0.25">
      <c r="B346" s="39" t="s">
        <v>75</v>
      </c>
      <c r="C346" t="s">
        <v>189</v>
      </c>
      <c r="D346" t="s">
        <v>19</v>
      </c>
    </row>
    <row r="347" spans="2:4" hidden="1" x14ac:dyDescent="0.25">
      <c r="B347" s="39" t="s">
        <v>74</v>
      </c>
      <c r="C347" t="s">
        <v>190</v>
      </c>
      <c r="D347" t="s">
        <v>19</v>
      </c>
    </row>
    <row r="348" spans="2:4" hidden="1" x14ac:dyDescent="0.25">
      <c r="B348" s="39" t="s">
        <v>76</v>
      </c>
      <c r="C348" t="s">
        <v>191</v>
      </c>
      <c r="D348" t="s">
        <v>19</v>
      </c>
    </row>
    <row r="349" spans="2:4" hidden="1" x14ac:dyDescent="0.25">
      <c r="B349" s="39" t="s">
        <v>141</v>
      </c>
      <c r="C349" t="s">
        <v>271</v>
      </c>
      <c r="D349" t="s">
        <v>37</v>
      </c>
    </row>
    <row r="350" spans="2:4" hidden="1" x14ac:dyDescent="0.25">
      <c r="B350" s="39" t="s">
        <v>38</v>
      </c>
      <c r="C350" t="s">
        <v>272</v>
      </c>
      <c r="D350" t="s">
        <v>37</v>
      </c>
    </row>
    <row r="351" spans="2:4" hidden="1" x14ac:dyDescent="0.25">
      <c r="B351" s="39" t="s">
        <v>39</v>
      </c>
      <c r="C351" t="s">
        <v>273</v>
      </c>
      <c r="D351" t="s">
        <v>37</v>
      </c>
    </row>
    <row r="352" spans="2:4" hidden="1" x14ac:dyDescent="0.25">
      <c r="B352" s="39" t="s">
        <v>142</v>
      </c>
      <c r="C352" t="s">
        <v>274</v>
      </c>
      <c r="D352" t="s">
        <v>37</v>
      </c>
    </row>
    <row r="353" spans="2:4" hidden="1" x14ac:dyDescent="0.25">
      <c r="B353" s="39" t="s">
        <v>40</v>
      </c>
      <c r="C353" t="s">
        <v>275</v>
      </c>
      <c r="D353" t="s">
        <v>37</v>
      </c>
    </row>
    <row r="354" spans="2:4" hidden="1" x14ac:dyDescent="0.25">
      <c r="B354" s="39" t="s">
        <v>143</v>
      </c>
      <c r="C354" t="s">
        <v>276</v>
      </c>
      <c r="D354" t="s">
        <v>37</v>
      </c>
    </row>
    <row r="355" spans="2:4" hidden="1" x14ac:dyDescent="0.25">
      <c r="B355" s="39" t="s">
        <v>144</v>
      </c>
      <c r="C355" t="s">
        <v>277</v>
      </c>
      <c r="D355" t="s">
        <v>37</v>
      </c>
    </row>
    <row r="356" spans="2:4" hidden="1" x14ac:dyDescent="0.25">
      <c r="B356" s="39" t="s">
        <v>141</v>
      </c>
      <c r="C356" t="s">
        <v>271</v>
      </c>
      <c r="D356" t="s">
        <v>178</v>
      </c>
    </row>
    <row r="357" spans="2:4" hidden="1" x14ac:dyDescent="0.25">
      <c r="B357" s="39" t="s">
        <v>155</v>
      </c>
      <c r="C357" t="s">
        <v>216</v>
      </c>
      <c r="D357" t="s">
        <v>178</v>
      </c>
    </row>
    <row r="358" spans="2:4" hidden="1" x14ac:dyDescent="0.25">
      <c r="B358" s="39" t="s">
        <v>38</v>
      </c>
      <c r="C358" t="s">
        <v>272</v>
      </c>
      <c r="D358" t="s">
        <v>178</v>
      </c>
    </row>
    <row r="359" spans="2:4" hidden="1" x14ac:dyDescent="0.25">
      <c r="B359" s="39" t="s">
        <v>59</v>
      </c>
      <c r="C359" t="s">
        <v>224</v>
      </c>
      <c r="D359" t="s">
        <v>178</v>
      </c>
    </row>
    <row r="360" spans="2:4" hidden="1" x14ac:dyDescent="0.25">
      <c r="B360" s="39" t="s">
        <v>39</v>
      </c>
      <c r="C360" t="s">
        <v>273</v>
      </c>
      <c r="D360" t="s">
        <v>178</v>
      </c>
    </row>
    <row r="361" spans="2:4" hidden="1" x14ac:dyDescent="0.25">
      <c r="B361" s="39" t="s">
        <v>127</v>
      </c>
      <c r="C361" t="s">
        <v>217</v>
      </c>
      <c r="D361" t="s">
        <v>178</v>
      </c>
    </row>
    <row r="362" spans="2:4" hidden="1" x14ac:dyDescent="0.25">
      <c r="B362" s="39" t="s">
        <v>142</v>
      </c>
      <c r="C362" t="s">
        <v>274</v>
      </c>
      <c r="D362" t="s">
        <v>178</v>
      </c>
    </row>
    <row r="363" spans="2:4" hidden="1" x14ac:dyDescent="0.25">
      <c r="B363" s="39" t="s">
        <v>58</v>
      </c>
      <c r="C363" t="s">
        <v>225</v>
      </c>
      <c r="D363" t="s">
        <v>178</v>
      </c>
    </row>
    <row r="364" spans="2:4" hidden="1" x14ac:dyDescent="0.25">
      <c r="B364" s="39" t="s">
        <v>40</v>
      </c>
      <c r="C364" t="s">
        <v>275</v>
      </c>
      <c r="D364" t="s">
        <v>178</v>
      </c>
    </row>
    <row r="365" spans="2:4" hidden="1" x14ac:dyDescent="0.25">
      <c r="B365" s="39" t="s">
        <v>56</v>
      </c>
      <c r="C365" t="s">
        <v>218</v>
      </c>
      <c r="D365" t="s">
        <v>178</v>
      </c>
    </row>
    <row r="366" spans="2:4" hidden="1" x14ac:dyDescent="0.25">
      <c r="B366" s="39" t="s">
        <v>143</v>
      </c>
      <c r="C366" t="s">
        <v>276</v>
      </c>
      <c r="D366" t="s">
        <v>178</v>
      </c>
    </row>
    <row r="367" spans="2:4" hidden="1" x14ac:dyDescent="0.25">
      <c r="B367" s="39" t="s">
        <v>157</v>
      </c>
      <c r="C367" t="s">
        <v>226</v>
      </c>
      <c r="D367" t="s">
        <v>178</v>
      </c>
    </row>
    <row r="368" spans="2:4" hidden="1" x14ac:dyDescent="0.25">
      <c r="B368" s="39" t="s">
        <v>144</v>
      </c>
      <c r="C368" t="s">
        <v>277</v>
      </c>
      <c r="D368" t="s">
        <v>178</v>
      </c>
    </row>
    <row r="369" spans="2:4" hidden="1" x14ac:dyDescent="0.25">
      <c r="B369" s="39" t="s">
        <v>55</v>
      </c>
      <c r="C369" t="s">
        <v>219</v>
      </c>
      <c r="D369" t="s">
        <v>178</v>
      </c>
    </row>
    <row r="370" spans="2:4" hidden="1" x14ac:dyDescent="0.25">
      <c r="B370" s="39" t="s">
        <v>158</v>
      </c>
      <c r="C370" t="s">
        <v>227</v>
      </c>
      <c r="D370" t="s">
        <v>178</v>
      </c>
    </row>
    <row r="371" spans="2:4" hidden="1" x14ac:dyDescent="0.25">
      <c r="B371" s="39" t="s">
        <v>156</v>
      </c>
      <c r="C371" t="s">
        <v>220</v>
      </c>
      <c r="D371" t="s">
        <v>178</v>
      </c>
    </row>
    <row r="372" spans="2:4" hidden="1" x14ac:dyDescent="0.25">
      <c r="B372" s="39" t="s">
        <v>60</v>
      </c>
      <c r="C372" t="s">
        <v>228</v>
      </c>
      <c r="D372" t="s">
        <v>178</v>
      </c>
    </row>
    <row r="373" spans="2:4" hidden="1" x14ac:dyDescent="0.25">
      <c r="B373" s="39" t="s">
        <v>53</v>
      </c>
      <c r="C373" t="s">
        <v>221</v>
      </c>
      <c r="D373" t="s">
        <v>178</v>
      </c>
    </row>
    <row r="374" spans="2:4" hidden="1" x14ac:dyDescent="0.25">
      <c r="B374" s="39" t="s">
        <v>128</v>
      </c>
      <c r="C374" t="s">
        <v>222</v>
      </c>
      <c r="D374" t="s">
        <v>178</v>
      </c>
    </row>
    <row r="375" spans="2:4" hidden="1" x14ac:dyDescent="0.25">
      <c r="B375" s="39" t="s">
        <v>54</v>
      </c>
      <c r="C375" t="s">
        <v>223</v>
      </c>
      <c r="D375" t="s">
        <v>178</v>
      </c>
    </row>
    <row r="376" spans="2:4" hidden="1" x14ac:dyDescent="0.25">
      <c r="B376" s="39" t="s">
        <v>32</v>
      </c>
      <c r="C376" t="s">
        <v>291</v>
      </c>
      <c r="D376" t="s">
        <v>107</v>
      </c>
    </row>
    <row r="377" spans="2:4" hidden="1" x14ac:dyDescent="0.25">
      <c r="B377" s="39" t="s">
        <v>34</v>
      </c>
      <c r="C377" t="s">
        <v>292</v>
      </c>
      <c r="D377" t="s">
        <v>107</v>
      </c>
    </row>
    <row r="378" spans="2:4" hidden="1" x14ac:dyDescent="0.25">
      <c r="B378" s="39" t="s">
        <v>35</v>
      </c>
      <c r="C378" t="s">
        <v>293</v>
      </c>
      <c r="D378" t="s">
        <v>107</v>
      </c>
    </row>
    <row r="379" spans="2:4" hidden="1" x14ac:dyDescent="0.25">
      <c r="B379" s="39" t="s">
        <v>177</v>
      </c>
      <c r="C379" t="s">
        <v>294</v>
      </c>
      <c r="D379" t="s">
        <v>107</v>
      </c>
    </row>
    <row r="380" spans="2:4" hidden="1" x14ac:dyDescent="0.25">
      <c r="B380" s="14" t="s">
        <v>148</v>
      </c>
      <c r="C380" t="s">
        <v>295</v>
      </c>
      <c r="D380" t="s">
        <v>107</v>
      </c>
    </row>
    <row r="381" spans="2:4" hidden="1" x14ac:dyDescent="0.25">
      <c r="B381" s="39" t="s">
        <v>33</v>
      </c>
      <c r="C381" t="s">
        <v>296</v>
      </c>
      <c r="D381" t="s">
        <v>107</v>
      </c>
    </row>
    <row r="382" spans="2:4" hidden="1" x14ac:dyDescent="0.25">
      <c r="B382" s="39" t="s">
        <v>66</v>
      </c>
      <c r="C382" t="s">
        <v>256</v>
      </c>
      <c r="D382" t="s">
        <v>111</v>
      </c>
    </row>
    <row r="383" spans="2:4" hidden="1" x14ac:dyDescent="0.25">
      <c r="B383" s="39" t="s">
        <v>67</v>
      </c>
      <c r="C383" t="s">
        <v>257</v>
      </c>
      <c r="D383" t="s">
        <v>111</v>
      </c>
    </row>
    <row r="384" spans="2:4" hidden="1" x14ac:dyDescent="0.25">
      <c r="B384" s="39" t="s">
        <v>136</v>
      </c>
      <c r="C384" t="s">
        <v>258</v>
      </c>
      <c r="D384" t="s">
        <v>111</v>
      </c>
    </row>
    <row r="385" spans="2:4" hidden="1" x14ac:dyDescent="0.25">
      <c r="B385" s="39" t="s">
        <v>173</v>
      </c>
      <c r="C385" t="s">
        <v>259</v>
      </c>
      <c r="D385" t="s">
        <v>111</v>
      </c>
    </row>
    <row r="386" spans="2:4" hidden="1" x14ac:dyDescent="0.25">
      <c r="B386" s="39" t="s">
        <v>70</v>
      </c>
      <c r="C386" t="s">
        <v>260</v>
      </c>
      <c r="D386" t="s">
        <v>111</v>
      </c>
    </row>
    <row r="387" spans="2:4" hidden="1" x14ac:dyDescent="0.25">
      <c r="B387" s="39" t="s">
        <v>69</v>
      </c>
      <c r="C387" t="s">
        <v>261</v>
      </c>
      <c r="D387" t="s">
        <v>111</v>
      </c>
    </row>
    <row r="388" spans="2:4" hidden="1" x14ac:dyDescent="0.25">
      <c r="B388" s="39" t="s">
        <v>137</v>
      </c>
      <c r="C388" t="s">
        <v>262</v>
      </c>
      <c r="D388" t="s">
        <v>111</v>
      </c>
    </row>
    <row r="389" spans="2:4" hidden="1" x14ac:dyDescent="0.25">
      <c r="B389" s="39" t="s">
        <v>174</v>
      </c>
      <c r="C389" t="s">
        <v>263</v>
      </c>
      <c r="D389" t="s">
        <v>111</v>
      </c>
    </row>
    <row r="390" spans="2:4" hidden="1" x14ac:dyDescent="0.25">
      <c r="B390" s="39" t="s">
        <v>138</v>
      </c>
      <c r="C390" t="s">
        <v>264</v>
      </c>
      <c r="D390" t="s">
        <v>110</v>
      </c>
    </row>
    <row r="391" spans="2:4" hidden="1" x14ac:dyDescent="0.25">
      <c r="B391" s="39" t="s">
        <v>71</v>
      </c>
      <c r="C391" t="s">
        <v>265</v>
      </c>
      <c r="D391" t="s">
        <v>110</v>
      </c>
    </row>
    <row r="392" spans="2:4" hidden="1" x14ac:dyDescent="0.25">
      <c r="B392" s="39" t="s">
        <v>72</v>
      </c>
      <c r="C392" t="s">
        <v>266</v>
      </c>
      <c r="D392" t="s">
        <v>110</v>
      </c>
    </row>
    <row r="393" spans="2:4" hidden="1" x14ac:dyDescent="0.25">
      <c r="B393" s="39" t="s">
        <v>139</v>
      </c>
      <c r="C393" t="s">
        <v>267</v>
      </c>
      <c r="D393" t="s">
        <v>110</v>
      </c>
    </row>
    <row r="394" spans="2:4" hidden="1" x14ac:dyDescent="0.25">
      <c r="B394" s="39" t="s">
        <v>175</v>
      </c>
      <c r="C394" t="s">
        <v>268</v>
      </c>
      <c r="D394" t="s">
        <v>109</v>
      </c>
    </row>
    <row r="395" spans="2:4" hidden="1" x14ac:dyDescent="0.25">
      <c r="B395" s="39" t="s">
        <v>73</v>
      </c>
      <c r="C395" t="s">
        <v>269</v>
      </c>
      <c r="D395" t="s">
        <v>109</v>
      </c>
    </row>
    <row r="396" spans="2:4" hidden="1" x14ac:dyDescent="0.25">
      <c r="B396" s="39" t="s">
        <v>140</v>
      </c>
      <c r="C396" t="s">
        <v>270</v>
      </c>
      <c r="D396" t="s">
        <v>109</v>
      </c>
    </row>
    <row r="397" spans="2:4" hidden="1" x14ac:dyDescent="0.25">
      <c r="B397" s="39" t="s">
        <v>159</v>
      </c>
      <c r="C397" t="s">
        <v>229</v>
      </c>
      <c r="D397" t="s">
        <v>129</v>
      </c>
    </row>
    <row r="398" spans="2:4" hidden="1" x14ac:dyDescent="0.25">
      <c r="B398" s="39" t="s">
        <v>160</v>
      </c>
      <c r="C398" t="s">
        <v>230</v>
      </c>
      <c r="D398" t="s">
        <v>129</v>
      </c>
    </row>
    <row r="399" spans="2:4" hidden="1" x14ac:dyDescent="0.25">
      <c r="B399" s="39" t="s">
        <v>161</v>
      </c>
      <c r="C399" t="s">
        <v>231</v>
      </c>
      <c r="D399" t="s">
        <v>129</v>
      </c>
    </row>
    <row r="400" spans="2:4" hidden="1" x14ac:dyDescent="0.25">
      <c r="B400" s="39" t="s">
        <v>42</v>
      </c>
      <c r="C400" t="s">
        <v>232</v>
      </c>
      <c r="D400" t="s">
        <v>129</v>
      </c>
    </row>
    <row r="401" spans="2:4" hidden="1" x14ac:dyDescent="0.25">
      <c r="B401" s="39" t="s">
        <v>130</v>
      </c>
      <c r="C401" t="s">
        <v>233</v>
      </c>
      <c r="D401" t="s">
        <v>129</v>
      </c>
    </row>
    <row r="402" spans="2:4" hidden="1" x14ac:dyDescent="0.25">
      <c r="B402" s="39" t="s">
        <v>131</v>
      </c>
      <c r="C402" t="s">
        <v>234</v>
      </c>
      <c r="D402" t="s">
        <v>129</v>
      </c>
    </row>
    <row r="403" spans="2:4" hidden="1" x14ac:dyDescent="0.25">
      <c r="B403" s="39" t="s">
        <v>41</v>
      </c>
      <c r="C403" t="s">
        <v>235</v>
      </c>
      <c r="D403" t="s">
        <v>129</v>
      </c>
    </row>
    <row r="404" spans="2:4" hidden="1" x14ac:dyDescent="0.25">
      <c r="B404" s="39" t="s">
        <v>132</v>
      </c>
      <c r="C404" t="s">
        <v>236</v>
      </c>
      <c r="D404" t="s">
        <v>129</v>
      </c>
    </row>
    <row r="405" spans="2:4" hidden="1" x14ac:dyDescent="0.25">
      <c r="B405" s="39" t="s">
        <v>23</v>
      </c>
      <c r="C405" t="s">
        <v>278</v>
      </c>
      <c r="D405" t="s">
        <v>22</v>
      </c>
    </row>
    <row r="406" spans="2:4" hidden="1" x14ac:dyDescent="0.25">
      <c r="B406" s="39" t="s">
        <v>25</v>
      </c>
      <c r="C406" t="s">
        <v>279</v>
      </c>
      <c r="D406" t="s">
        <v>22</v>
      </c>
    </row>
    <row r="407" spans="2:4" hidden="1" x14ac:dyDescent="0.25">
      <c r="B407" s="39" t="s">
        <v>145</v>
      </c>
      <c r="C407" t="s">
        <v>280</v>
      </c>
      <c r="D407" t="s">
        <v>22</v>
      </c>
    </row>
    <row r="408" spans="2:4" hidden="1" x14ac:dyDescent="0.25">
      <c r="B408" s="39" t="s">
        <v>24</v>
      </c>
      <c r="C408" t="s">
        <v>281</v>
      </c>
      <c r="D408" t="s">
        <v>22</v>
      </c>
    </row>
    <row r="409" spans="2:4" hidden="1" x14ac:dyDescent="0.25">
      <c r="B409" s="14" t="s">
        <v>176</v>
      </c>
      <c r="C409" t="s">
        <v>282</v>
      </c>
      <c r="D409" t="s">
        <v>22</v>
      </c>
    </row>
    <row r="410" spans="2:4" hidden="1" x14ac:dyDescent="0.25">
      <c r="B410" s="39" t="s">
        <v>26</v>
      </c>
      <c r="C410" t="s">
        <v>283</v>
      </c>
      <c r="D410" t="s">
        <v>22</v>
      </c>
    </row>
    <row r="411" spans="2:4" hidden="1" x14ac:dyDescent="0.25">
      <c r="B411" s="39" t="s">
        <v>27</v>
      </c>
      <c r="C411" t="s">
        <v>284</v>
      </c>
      <c r="D411" t="s">
        <v>22</v>
      </c>
    </row>
    <row r="412" spans="2:4" hidden="1" x14ac:dyDescent="0.25">
      <c r="B412" s="39" t="s">
        <v>155</v>
      </c>
      <c r="C412" t="s">
        <v>216</v>
      </c>
      <c r="D412" t="s">
        <v>52</v>
      </c>
    </row>
    <row r="413" spans="2:4" hidden="1" x14ac:dyDescent="0.25">
      <c r="B413" s="39" t="s">
        <v>127</v>
      </c>
      <c r="C413" t="s">
        <v>217</v>
      </c>
      <c r="D413" t="s">
        <v>52</v>
      </c>
    </row>
    <row r="414" spans="2:4" hidden="1" x14ac:dyDescent="0.25">
      <c r="B414" s="39" t="s">
        <v>56</v>
      </c>
      <c r="C414" t="s">
        <v>218</v>
      </c>
      <c r="D414" t="s">
        <v>52</v>
      </c>
    </row>
    <row r="415" spans="2:4" hidden="1" x14ac:dyDescent="0.25">
      <c r="B415" s="39" t="s">
        <v>55</v>
      </c>
      <c r="C415" t="s">
        <v>219</v>
      </c>
      <c r="D415" t="s">
        <v>52</v>
      </c>
    </row>
    <row r="416" spans="2:4" hidden="1" x14ac:dyDescent="0.25">
      <c r="B416" s="39" t="s">
        <v>156</v>
      </c>
      <c r="C416" t="s">
        <v>220</v>
      </c>
      <c r="D416" t="s">
        <v>52</v>
      </c>
    </row>
    <row r="417" spans="2:4" hidden="1" x14ac:dyDescent="0.25">
      <c r="B417" s="39" t="s">
        <v>53</v>
      </c>
      <c r="C417" t="s">
        <v>221</v>
      </c>
      <c r="D417" t="s">
        <v>52</v>
      </c>
    </row>
    <row r="418" spans="2:4" hidden="1" x14ac:dyDescent="0.25">
      <c r="B418" s="39" t="s">
        <v>128</v>
      </c>
      <c r="C418" t="s">
        <v>222</v>
      </c>
      <c r="D418" t="s">
        <v>52</v>
      </c>
    </row>
    <row r="419" spans="2:4" hidden="1" x14ac:dyDescent="0.25">
      <c r="B419" s="39" t="s">
        <v>54</v>
      </c>
      <c r="C419" t="s">
        <v>223</v>
      </c>
      <c r="D419" t="s">
        <v>52</v>
      </c>
    </row>
    <row r="420" spans="2:4" hidden="1" x14ac:dyDescent="0.25">
      <c r="B420" s="41" t="s">
        <v>29</v>
      </c>
      <c r="C420" t="s">
        <v>285</v>
      </c>
      <c r="D420" t="s">
        <v>146</v>
      </c>
    </row>
    <row r="421" spans="2:4" hidden="1" x14ac:dyDescent="0.25">
      <c r="B421" s="39" t="s">
        <v>31</v>
      </c>
      <c r="C421" t="s">
        <v>286</v>
      </c>
      <c r="D421" t="s">
        <v>146</v>
      </c>
    </row>
    <row r="422" spans="2:4" hidden="1" x14ac:dyDescent="0.25">
      <c r="B422" s="39" t="s">
        <v>28</v>
      </c>
      <c r="C422" t="s">
        <v>287</v>
      </c>
      <c r="D422" t="s">
        <v>146</v>
      </c>
    </row>
    <row r="423" spans="2:4" hidden="1" x14ac:dyDescent="0.25">
      <c r="B423" s="39" t="s">
        <v>36</v>
      </c>
      <c r="C423" t="s">
        <v>288</v>
      </c>
      <c r="D423" t="s">
        <v>146</v>
      </c>
    </row>
    <row r="424" spans="2:4" hidden="1" x14ac:dyDescent="0.25">
      <c r="B424" s="39" t="s">
        <v>30</v>
      </c>
      <c r="C424" t="s">
        <v>289</v>
      </c>
      <c r="D424" t="s">
        <v>146</v>
      </c>
    </row>
    <row r="425" spans="2:4" hidden="1" x14ac:dyDescent="0.25">
      <c r="B425" s="14" t="s">
        <v>147</v>
      </c>
      <c r="C425" t="s">
        <v>290</v>
      </c>
      <c r="D425" t="s">
        <v>146</v>
      </c>
    </row>
    <row r="426" spans="2:4" hidden="1" x14ac:dyDescent="0.25">
      <c r="B426" s="41" t="s">
        <v>29</v>
      </c>
      <c r="C426" t="s">
        <v>285</v>
      </c>
      <c r="D426" t="s">
        <v>179</v>
      </c>
    </row>
    <row r="427" spans="2:4" hidden="1" x14ac:dyDescent="0.25">
      <c r="B427" s="39" t="s">
        <v>32</v>
      </c>
      <c r="C427" t="s">
        <v>291</v>
      </c>
      <c r="D427" t="s">
        <v>179</v>
      </c>
    </row>
    <row r="428" spans="2:4" hidden="1" x14ac:dyDescent="0.25">
      <c r="B428" s="39" t="s">
        <v>31</v>
      </c>
      <c r="C428" t="s">
        <v>286</v>
      </c>
      <c r="D428" t="s">
        <v>179</v>
      </c>
    </row>
    <row r="429" spans="2:4" hidden="1" x14ac:dyDescent="0.25">
      <c r="B429" s="39" t="s">
        <v>34</v>
      </c>
      <c r="C429" t="s">
        <v>292</v>
      </c>
      <c r="D429" t="s">
        <v>179</v>
      </c>
    </row>
    <row r="430" spans="2:4" hidden="1" x14ac:dyDescent="0.25">
      <c r="B430" s="39" t="s">
        <v>28</v>
      </c>
      <c r="C430" t="s">
        <v>287</v>
      </c>
      <c r="D430" t="s">
        <v>179</v>
      </c>
    </row>
    <row r="431" spans="2:4" hidden="1" x14ac:dyDescent="0.25">
      <c r="B431" s="39" t="s">
        <v>35</v>
      </c>
      <c r="C431" t="s">
        <v>293</v>
      </c>
      <c r="D431" t="s">
        <v>179</v>
      </c>
    </row>
    <row r="432" spans="2:4" hidden="1" x14ac:dyDescent="0.25">
      <c r="B432" s="39" t="s">
        <v>36</v>
      </c>
      <c r="C432" t="s">
        <v>288</v>
      </c>
      <c r="D432" t="s">
        <v>179</v>
      </c>
    </row>
    <row r="433" spans="2:4" hidden="1" x14ac:dyDescent="0.25">
      <c r="B433" s="39" t="s">
        <v>177</v>
      </c>
      <c r="C433" t="s">
        <v>294</v>
      </c>
      <c r="D433" t="s">
        <v>179</v>
      </c>
    </row>
    <row r="434" spans="2:4" hidden="1" x14ac:dyDescent="0.25">
      <c r="B434" s="39" t="s">
        <v>30</v>
      </c>
      <c r="C434" t="s">
        <v>289</v>
      </c>
      <c r="D434" t="s">
        <v>179</v>
      </c>
    </row>
    <row r="435" spans="2:4" hidden="1" x14ac:dyDescent="0.25">
      <c r="B435" s="14" t="s">
        <v>148</v>
      </c>
      <c r="C435" t="s">
        <v>295</v>
      </c>
      <c r="D435" t="s">
        <v>179</v>
      </c>
    </row>
    <row r="436" spans="2:4" hidden="1" x14ac:dyDescent="0.25">
      <c r="B436" s="14" t="s">
        <v>147</v>
      </c>
      <c r="C436" t="s">
        <v>290</v>
      </c>
      <c r="D436" t="s">
        <v>179</v>
      </c>
    </row>
    <row r="437" spans="2:4" hidden="1" x14ac:dyDescent="0.25">
      <c r="B437" s="39" t="s">
        <v>33</v>
      </c>
      <c r="C437" t="s">
        <v>296</v>
      </c>
      <c r="D437" t="s">
        <v>179</v>
      </c>
    </row>
    <row r="438" spans="2:4" hidden="1" x14ac:dyDescent="0.25">
      <c r="B438" s="39" t="s">
        <v>64</v>
      </c>
      <c r="C438" t="s">
        <v>249</v>
      </c>
      <c r="D438" t="s">
        <v>20</v>
      </c>
    </row>
    <row r="439" spans="2:4" hidden="1" x14ac:dyDescent="0.25">
      <c r="B439" s="39" t="s">
        <v>170</v>
      </c>
      <c r="C439" t="s">
        <v>250</v>
      </c>
      <c r="D439" t="s">
        <v>20</v>
      </c>
    </row>
    <row r="440" spans="2:4" hidden="1" x14ac:dyDescent="0.25">
      <c r="B440" s="39" t="s">
        <v>171</v>
      </c>
      <c r="C440" t="s">
        <v>251</v>
      </c>
      <c r="D440" t="s">
        <v>20</v>
      </c>
    </row>
    <row r="441" spans="2:4" hidden="1" x14ac:dyDescent="0.25">
      <c r="B441" s="39" t="s">
        <v>65</v>
      </c>
      <c r="C441" t="s">
        <v>252</v>
      </c>
      <c r="D441" t="s">
        <v>20</v>
      </c>
    </row>
    <row r="442" spans="2:4" hidden="1" x14ac:dyDescent="0.25">
      <c r="B442" s="39" t="s">
        <v>135</v>
      </c>
      <c r="C442" t="s">
        <v>253</v>
      </c>
      <c r="D442" t="s">
        <v>20</v>
      </c>
    </row>
    <row r="443" spans="2:4" hidden="1" x14ac:dyDescent="0.25">
      <c r="B443" s="39" t="s">
        <v>68</v>
      </c>
      <c r="C443" t="s">
        <v>254</v>
      </c>
      <c r="D443" t="s">
        <v>20</v>
      </c>
    </row>
    <row r="444" spans="2:4" hidden="1" x14ac:dyDescent="0.25">
      <c r="B444" s="39" t="s">
        <v>172</v>
      </c>
      <c r="C444" t="s">
        <v>255</v>
      </c>
      <c r="D444" t="s">
        <v>20</v>
      </c>
    </row>
    <row r="445" spans="2:4" hidden="1" x14ac:dyDescent="0.25">
      <c r="B445" s="39" t="s">
        <v>51</v>
      </c>
      <c r="C445" t="s">
        <v>203</v>
      </c>
      <c r="D445" t="s">
        <v>120</v>
      </c>
    </row>
    <row r="446" spans="2:4" hidden="1" x14ac:dyDescent="0.25">
      <c r="B446" s="39" t="s">
        <v>121</v>
      </c>
      <c r="C446" t="s">
        <v>204</v>
      </c>
      <c r="D446" t="s">
        <v>120</v>
      </c>
    </row>
    <row r="447" spans="2:4" hidden="1" x14ac:dyDescent="0.25">
      <c r="B447" s="39" t="s">
        <v>153</v>
      </c>
      <c r="C447" t="s">
        <v>205</v>
      </c>
      <c r="D447" t="s">
        <v>120</v>
      </c>
    </row>
    <row r="448" spans="2:4" hidden="1" x14ac:dyDescent="0.25">
      <c r="B448" s="39" t="s">
        <v>50</v>
      </c>
      <c r="C448" t="s">
        <v>206</v>
      </c>
      <c r="D448" t="s">
        <v>120</v>
      </c>
    </row>
    <row r="449" spans="2:4" hidden="1" x14ac:dyDescent="0.25">
      <c r="B449" s="39" t="s">
        <v>51</v>
      </c>
      <c r="C449" t="s">
        <v>203</v>
      </c>
      <c r="D449" t="s">
        <v>180</v>
      </c>
    </row>
    <row r="450" spans="2:4" hidden="1" x14ac:dyDescent="0.25">
      <c r="B450" s="39" t="s">
        <v>46</v>
      </c>
      <c r="C450" t="s">
        <v>207</v>
      </c>
      <c r="D450" t="s">
        <v>180</v>
      </c>
    </row>
    <row r="451" spans="2:4" hidden="1" x14ac:dyDescent="0.25">
      <c r="B451" s="39" t="s">
        <v>121</v>
      </c>
      <c r="C451" t="s">
        <v>204</v>
      </c>
      <c r="D451" t="s">
        <v>180</v>
      </c>
    </row>
    <row r="452" spans="2:4" hidden="1" x14ac:dyDescent="0.25">
      <c r="B452" s="39" t="s">
        <v>47</v>
      </c>
      <c r="C452" t="s">
        <v>208</v>
      </c>
      <c r="D452" t="s">
        <v>180</v>
      </c>
    </row>
    <row r="453" spans="2:4" hidden="1" x14ac:dyDescent="0.25">
      <c r="B453" s="39" t="s">
        <v>153</v>
      </c>
      <c r="C453" t="s">
        <v>205</v>
      </c>
      <c r="D453" t="s">
        <v>180</v>
      </c>
    </row>
    <row r="454" spans="2:4" hidden="1" x14ac:dyDescent="0.25">
      <c r="B454" s="39" t="s">
        <v>49</v>
      </c>
      <c r="C454" t="s">
        <v>209</v>
      </c>
      <c r="D454" t="s">
        <v>180</v>
      </c>
    </row>
    <row r="455" spans="2:4" hidden="1" x14ac:dyDescent="0.25">
      <c r="B455" s="39" t="s">
        <v>50</v>
      </c>
      <c r="C455" t="s">
        <v>206</v>
      </c>
      <c r="D455" t="s">
        <v>180</v>
      </c>
    </row>
    <row r="456" spans="2:4" hidden="1" x14ac:dyDescent="0.25">
      <c r="B456" s="39" t="s">
        <v>48</v>
      </c>
      <c r="C456" t="s">
        <v>210</v>
      </c>
      <c r="D456" t="s">
        <v>180</v>
      </c>
    </row>
    <row r="457" spans="2:4" hidden="1" x14ac:dyDescent="0.25">
      <c r="B457" s="39" t="s">
        <v>122</v>
      </c>
      <c r="C457" t="s">
        <v>211</v>
      </c>
      <c r="D457" t="s">
        <v>180</v>
      </c>
    </row>
    <row r="458" spans="2:4" hidden="1" x14ac:dyDescent="0.25">
      <c r="B458" s="39" t="s">
        <v>46</v>
      </c>
      <c r="C458" t="s">
        <v>207</v>
      </c>
      <c r="D458" s="40" t="s">
        <v>108</v>
      </c>
    </row>
    <row r="459" spans="2:4" hidden="1" x14ac:dyDescent="0.25">
      <c r="B459" s="39" t="s">
        <v>47</v>
      </c>
      <c r="C459" t="s">
        <v>208</v>
      </c>
      <c r="D459" s="40" t="s">
        <v>108</v>
      </c>
    </row>
    <row r="460" spans="2:4" hidden="1" x14ac:dyDescent="0.25">
      <c r="B460" s="39" t="s">
        <v>49</v>
      </c>
      <c r="C460" t="s">
        <v>209</v>
      </c>
      <c r="D460" s="40" t="s">
        <v>108</v>
      </c>
    </row>
    <row r="461" spans="2:4" hidden="1" x14ac:dyDescent="0.25">
      <c r="B461" s="39" t="s">
        <v>48</v>
      </c>
      <c r="C461" t="s">
        <v>210</v>
      </c>
      <c r="D461" s="40" t="s">
        <v>108</v>
      </c>
    </row>
    <row r="462" spans="2:4" hidden="1" x14ac:dyDescent="0.25">
      <c r="B462" s="39" t="s">
        <v>122</v>
      </c>
      <c r="C462" t="s">
        <v>211</v>
      </c>
      <c r="D462" s="40" t="s">
        <v>108</v>
      </c>
    </row>
    <row r="463" spans="2:4" hidden="1" x14ac:dyDescent="0.25">
      <c r="B463" s="39" t="s">
        <v>154</v>
      </c>
      <c r="C463" t="s">
        <v>212</v>
      </c>
      <c r="D463" t="s">
        <v>123</v>
      </c>
    </row>
    <row r="464" spans="2:4" hidden="1" x14ac:dyDescent="0.25">
      <c r="B464" s="39" t="s">
        <v>124</v>
      </c>
      <c r="C464" t="s">
        <v>213</v>
      </c>
      <c r="D464" t="s">
        <v>123</v>
      </c>
    </row>
    <row r="465" spans="2:4" hidden="1" x14ac:dyDescent="0.25">
      <c r="B465" s="39" t="s">
        <v>125</v>
      </c>
      <c r="C465" t="s">
        <v>214</v>
      </c>
      <c r="D465" t="s">
        <v>123</v>
      </c>
    </row>
    <row r="466" spans="2:4" hidden="1" x14ac:dyDescent="0.25">
      <c r="B466" s="39" t="s">
        <v>126</v>
      </c>
      <c r="C466" t="s">
        <v>215</v>
      </c>
      <c r="D466" t="s">
        <v>123</v>
      </c>
    </row>
    <row r="467" spans="2:4" hidden="1" x14ac:dyDescent="0.25">
      <c r="B467" s="39" t="s">
        <v>155</v>
      </c>
      <c r="C467" t="s">
        <v>216</v>
      </c>
      <c r="D467" t="s">
        <v>17</v>
      </c>
    </row>
    <row r="468" spans="2:4" hidden="1" x14ac:dyDescent="0.25">
      <c r="B468" s="39" t="s">
        <v>59</v>
      </c>
      <c r="C468" t="s">
        <v>224</v>
      </c>
      <c r="D468" t="s">
        <v>17</v>
      </c>
    </row>
    <row r="469" spans="2:4" hidden="1" x14ac:dyDescent="0.25">
      <c r="B469" s="39" t="s">
        <v>127</v>
      </c>
      <c r="C469" t="s">
        <v>217</v>
      </c>
      <c r="D469" t="s">
        <v>17</v>
      </c>
    </row>
    <row r="470" spans="2:4" hidden="1" x14ac:dyDescent="0.25">
      <c r="B470" s="39" t="s">
        <v>58</v>
      </c>
      <c r="C470" t="s">
        <v>225</v>
      </c>
      <c r="D470" t="s">
        <v>17</v>
      </c>
    </row>
    <row r="471" spans="2:4" hidden="1" x14ac:dyDescent="0.25">
      <c r="B471" s="39" t="s">
        <v>56</v>
      </c>
      <c r="C471" t="s">
        <v>218</v>
      </c>
      <c r="D471" t="s">
        <v>17</v>
      </c>
    </row>
    <row r="472" spans="2:4" hidden="1" x14ac:dyDescent="0.25">
      <c r="B472" s="39" t="s">
        <v>157</v>
      </c>
      <c r="C472" t="s">
        <v>226</v>
      </c>
      <c r="D472" t="s">
        <v>17</v>
      </c>
    </row>
    <row r="473" spans="2:4" hidden="1" x14ac:dyDescent="0.25">
      <c r="B473" s="39" t="s">
        <v>55</v>
      </c>
      <c r="C473" t="s">
        <v>219</v>
      </c>
      <c r="D473" t="s">
        <v>17</v>
      </c>
    </row>
    <row r="474" spans="2:4" hidden="1" x14ac:dyDescent="0.25">
      <c r="B474" s="39" t="s">
        <v>158</v>
      </c>
      <c r="C474" t="s">
        <v>227</v>
      </c>
      <c r="D474" t="s">
        <v>17</v>
      </c>
    </row>
    <row r="475" spans="2:4" hidden="1" x14ac:dyDescent="0.25">
      <c r="B475" s="39" t="s">
        <v>156</v>
      </c>
      <c r="C475" t="s">
        <v>220</v>
      </c>
      <c r="D475" t="s">
        <v>17</v>
      </c>
    </row>
    <row r="476" spans="2:4" hidden="1" x14ac:dyDescent="0.25">
      <c r="B476" s="39" t="s">
        <v>60</v>
      </c>
      <c r="C476" t="s">
        <v>228</v>
      </c>
      <c r="D476" t="s">
        <v>17</v>
      </c>
    </row>
    <row r="477" spans="2:4" hidden="1" x14ac:dyDescent="0.25">
      <c r="B477" s="39" t="s">
        <v>53</v>
      </c>
      <c r="C477" t="s">
        <v>221</v>
      </c>
      <c r="D477" t="s">
        <v>17</v>
      </c>
    </row>
    <row r="478" spans="2:4" hidden="1" x14ac:dyDescent="0.25">
      <c r="B478" s="39" t="s">
        <v>128</v>
      </c>
      <c r="C478" t="s">
        <v>222</v>
      </c>
      <c r="D478" t="s">
        <v>17</v>
      </c>
    </row>
    <row r="479" spans="2:4" hidden="1" x14ac:dyDescent="0.25">
      <c r="B479" s="39" t="s">
        <v>54</v>
      </c>
      <c r="C479" t="s">
        <v>223</v>
      </c>
      <c r="D479" t="s">
        <v>17</v>
      </c>
    </row>
    <row r="480" spans="2:4" hidden="1" x14ac:dyDescent="0.25">
      <c r="B480" s="39" t="s">
        <v>134</v>
      </c>
      <c r="C480" t="s">
        <v>237</v>
      </c>
      <c r="D480" t="s">
        <v>133</v>
      </c>
    </row>
    <row r="481" spans="2:4" hidden="1" x14ac:dyDescent="0.25">
      <c r="B481" s="39" t="s">
        <v>162</v>
      </c>
      <c r="C481" t="s">
        <v>238</v>
      </c>
      <c r="D481" t="s">
        <v>133</v>
      </c>
    </row>
    <row r="482" spans="2:4" hidden="1" x14ac:dyDescent="0.25">
      <c r="B482" s="39" t="s">
        <v>163</v>
      </c>
      <c r="C482" t="s">
        <v>239</v>
      </c>
      <c r="D482" t="s">
        <v>133</v>
      </c>
    </row>
    <row r="483" spans="2:4" hidden="1" x14ac:dyDescent="0.25">
      <c r="B483" s="39" t="s">
        <v>164</v>
      </c>
      <c r="C483" t="s">
        <v>240</v>
      </c>
      <c r="D483" t="s">
        <v>133</v>
      </c>
    </row>
    <row r="484" spans="2:4" hidden="1" x14ac:dyDescent="0.25">
      <c r="B484" s="39" t="s">
        <v>165</v>
      </c>
      <c r="C484" t="s">
        <v>241</v>
      </c>
      <c r="D484" t="s">
        <v>133</v>
      </c>
    </row>
    <row r="485" spans="2:4" hidden="1" x14ac:dyDescent="0.25">
      <c r="B485" s="41" t="s">
        <v>166</v>
      </c>
      <c r="C485" t="s">
        <v>242</v>
      </c>
      <c r="D485" t="s">
        <v>133</v>
      </c>
    </row>
    <row r="486" spans="2:4" hidden="1" x14ac:dyDescent="0.25">
      <c r="B486" s="41" t="s">
        <v>167</v>
      </c>
      <c r="C486" t="s">
        <v>243</v>
      </c>
      <c r="D486" t="s">
        <v>133</v>
      </c>
    </row>
    <row r="487" spans="2:4" hidden="1" x14ac:dyDescent="0.25">
      <c r="B487" s="39" t="s">
        <v>43</v>
      </c>
      <c r="C487" t="s">
        <v>244</v>
      </c>
      <c r="D487" t="s">
        <v>133</v>
      </c>
    </row>
    <row r="488" spans="2:4" hidden="1" x14ac:dyDescent="0.25">
      <c r="B488" s="41" t="s">
        <v>168</v>
      </c>
      <c r="C488" t="s">
        <v>245</v>
      </c>
      <c r="D488" t="s">
        <v>133</v>
      </c>
    </row>
    <row r="489" spans="2:4" hidden="1" x14ac:dyDescent="0.25">
      <c r="B489" s="41" t="s">
        <v>169</v>
      </c>
      <c r="C489" t="s">
        <v>246</v>
      </c>
      <c r="D489" t="s">
        <v>133</v>
      </c>
    </row>
    <row r="490" spans="2:4" hidden="1" x14ac:dyDescent="0.25">
      <c r="B490" s="39" t="s">
        <v>44</v>
      </c>
      <c r="C490" t="s">
        <v>247</v>
      </c>
      <c r="D490" t="s">
        <v>133</v>
      </c>
    </row>
    <row r="491" spans="2:4" hidden="1" x14ac:dyDescent="0.25">
      <c r="B491" s="41" t="s">
        <v>45</v>
      </c>
      <c r="C491" t="s">
        <v>248</v>
      </c>
      <c r="D491" t="s">
        <v>133</v>
      </c>
    </row>
    <row r="492" spans="2:4" hidden="1" x14ac:dyDescent="0.25">
      <c r="B492" s="39" t="s">
        <v>59</v>
      </c>
      <c r="C492" t="s">
        <v>224</v>
      </c>
      <c r="D492" t="s">
        <v>57</v>
      </c>
    </row>
    <row r="493" spans="2:4" hidden="1" x14ac:dyDescent="0.25">
      <c r="B493" s="39" t="s">
        <v>58</v>
      </c>
      <c r="C493" t="s">
        <v>225</v>
      </c>
      <c r="D493" t="s">
        <v>57</v>
      </c>
    </row>
    <row r="494" spans="2:4" hidden="1" x14ac:dyDescent="0.25">
      <c r="B494" s="39" t="s">
        <v>157</v>
      </c>
      <c r="C494" t="s">
        <v>226</v>
      </c>
      <c r="D494" t="s">
        <v>57</v>
      </c>
    </row>
    <row r="495" spans="2:4" hidden="1" x14ac:dyDescent="0.25">
      <c r="B495" s="39" t="s">
        <v>158</v>
      </c>
      <c r="C495" t="s">
        <v>227</v>
      </c>
      <c r="D495" t="s">
        <v>57</v>
      </c>
    </row>
    <row r="496" spans="2:4" hidden="1" x14ac:dyDescent="0.25">
      <c r="B496" s="39" t="s">
        <v>60</v>
      </c>
      <c r="C496" t="s">
        <v>228</v>
      </c>
      <c r="D496" t="s">
        <v>57</v>
      </c>
    </row>
  </sheetData>
  <mergeCells count="9">
    <mergeCell ref="H8:M8"/>
    <mergeCell ref="N8:S8"/>
    <mergeCell ref="T8:W8"/>
    <mergeCell ref="H17:M17"/>
    <mergeCell ref="H27:M27"/>
    <mergeCell ref="N17:S17"/>
    <mergeCell ref="N27:S27"/>
    <mergeCell ref="T17:W17"/>
    <mergeCell ref="T27:W27"/>
  </mergeCells>
  <dataValidations count="2">
    <dataValidation type="list" allowBlank="1" showInputMessage="1" showErrorMessage="1" sqref="C30:C37 C11:C16 C20:C26">
      <formula1>INDIRECT(D11)</formula1>
    </dataValidation>
    <dataValidation type="list" allowBlank="1" showInputMessage="1" showErrorMessage="1" sqref="S11:S15 M20:M25 M30:M35 S30:S35 S20:S25">
      <formula1>$C$82:$C$84</formula1>
    </dataValidation>
  </dataValidations>
  <hyperlinks>
    <hyperlink ref="B226" r:id="rId1"/>
    <hyperlink ref="B175" r:id="rId2"/>
    <hyperlink ref="B173" r:id="rId3"/>
    <hyperlink ref="B172" r:id="rId4"/>
    <hyperlink ref="B169" r:id="rId5"/>
    <hyperlink ref="B170" r:id="rId6"/>
    <hyperlink ref="B113" r:id="rId7"/>
    <hyperlink ref="B94" r:id="rId8"/>
    <hyperlink ref="B93" r:id="rId9"/>
    <hyperlink ref="B91" r:id="rId10"/>
    <hyperlink ref="B92" r:id="rId11"/>
    <hyperlink ref="B95" r:id="rId12"/>
    <hyperlink ref="B96" r:id="rId13"/>
    <hyperlink ref="B90" r:id="rId14"/>
    <hyperlink ref="B101" r:id="rId15"/>
    <hyperlink ref="B99" r:id="rId16"/>
    <hyperlink ref="B100" r:id="rId17"/>
    <hyperlink ref="B102" r:id="rId18"/>
    <hyperlink ref="B105" r:id="rId19"/>
    <hyperlink ref="B106" r:id="rId20"/>
    <hyperlink ref="B108" r:id="rId21"/>
    <hyperlink ref="B107" r:id="rId22"/>
    <hyperlink ref="B109" r:id="rId23"/>
    <hyperlink ref="B110" r:id="rId24"/>
    <hyperlink ref="B111" r:id="rId25"/>
    <hyperlink ref="B112" r:id="rId26"/>
    <hyperlink ref="B115" r:id="rId27"/>
    <hyperlink ref="B114" r:id="rId28"/>
    <hyperlink ref="B124" r:id="rId29"/>
    <hyperlink ref="B127" r:id="rId30"/>
    <hyperlink ref="B128" r:id="rId31"/>
    <hyperlink ref="B126" r:id="rId32"/>
    <hyperlink ref="B125" r:id="rId33"/>
    <hyperlink ref="B120" r:id="rId34"/>
    <hyperlink ref="B121" r:id="rId35"/>
    <hyperlink ref="B119" r:id="rId36"/>
    <hyperlink ref="B118" r:id="rId37"/>
    <hyperlink ref="B155" r:id="rId38"/>
    <hyperlink ref="B154" r:id="rId39"/>
    <hyperlink ref="B157" r:id="rId40"/>
    <hyperlink ref="B160" r:id="rId41"/>
    <hyperlink ref="B167" r:id="rId42"/>
    <hyperlink ref="B164" r:id="rId43"/>
    <hyperlink ref="B165" r:id="rId44"/>
    <hyperlink ref="B166" r:id="rId45"/>
    <hyperlink ref="B174" r:id="rId46"/>
    <hyperlink ref="B168" r:id="rId47"/>
    <hyperlink ref="B171" r:id="rId48"/>
    <hyperlink ref="B158" r:id="rId49"/>
    <hyperlink ref="B156" r:id="rId50"/>
    <hyperlink ref="B132" r:id="rId51"/>
    <hyperlink ref="B131" r:id="rId52"/>
    <hyperlink ref="B133" r:id="rId53"/>
    <hyperlink ref="B159" r:id="rId54"/>
    <hyperlink ref="B134" r:id="rId55"/>
    <hyperlink ref="B161" r:id="rId56"/>
    <hyperlink ref="B178" r:id="rId57"/>
    <hyperlink ref="B183" r:id="rId58"/>
    <hyperlink ref="B184" r:id="rId59"/>
    <hyperlink ref="B180" r:id="rId60"/>
    <hyperlink ref="B189" r:id="rId61"/>
    <hyperlink ref="B179" r:id="rId62"/>
    <hyperlink ref="B190" r:id="rId63"/>
    <hyperlink ref="B197" r:id="rId64"/>
    <hyperlink ref="B193" r:id="rId65"/>
    <hyperlink ref="B191" r:id="rId66"/>
    <hyperlink ref="B192" r:id="rId67"/>
    <hyperlink ref="B181" r:id="rId68"/>
    <hyperlink ref="B182" r:id="rId69"/>
    <hyperlink ref="B187" r:id="rId70"/>
    <hyperlink ref="B188" r:id="rId71"/>
    <hyperlink ref="B198" r:id="rId72"/>
    <hyperlink ref="B199" r:id="rId73"/>
    <hyperlink ref="B200" r:id="rId74"/>
    <hyperlink ref="B194" r:id="rId75"/>
    <hyperlink ref="B204" r:id="rId76"/>
    <hyperlink ref="B203" r:id="rId77"/>
    <hyperlink ref="B205" r:id="rId78"/>
    <hyperlink ref="B217" r:id="rId79"/>
    <hyperlink ref="B220" r:id="rId80"/>
    <hyperlink ref="B218" r:id="rId81"/>
    <hyperlink ref="B230" r:id="rId82"/>
    <hyperlink ref="B227" r:id="rId83"/>
    <hyperlink ref="B234" r:id="rId84"/>
    <hyperlink ref="B239" r:id="rId85"/>
    <hyperlink ref="B222" r:id="rId86"/>
    <hyperlink ref="B223" r:id="rId87"/>
    <hyperlink ref="B228" r:id="rId88"/>
    <hyperlink ref="B229" r:id="rId89"/>
    <hyperlink ref="B237" r:id="rId90"/>
    <hyperlink ref="B219" r:id="rId91"/>
    <hyperlink ref="B209" r:id="rId92"/>
    <hyperlink ref="B208" r:id="rId93"/>
    <hyperlink ref="B212" r:id="rId94"/>
    <hyperlink ref="B210" r:id="rId95"/>
    <hyperlink ref="B211" r:id="rId96"/>
    <hyperlink ref="B213" r:id="rId97"/>
    <hyperlink ref="B214" r:id="rId98"/>
    <hyperlink ref="B139" r:id="rId99"/>
    <hyperlink ref="B140" r:id="rId100"/>
    <hyperlink ref="B235" r:id="rId101"/>
    <hyperlink ref="B236" r:id="rId102"/>
    <hyperlink ref="B221" r:id="rId103"/>
    <hyperlink ref="B238" r:id="rId104"/>
    <hyperlink ref="B231" r:id="rId105"/>
    <hyperlink ref="B142" r:id="rId106"/>
    <hyperlink ref="B143" r:id="rId107"/>
    <hyperlink ref="B144" r:id="rId108"/>
    <hyperlink ref="B137" r:id="rId109"/>
    <hyperlink ref="B141" r:id="rId110"/>
    <hyperlink ref="B151" r:id="rId111"/>
    <hyperlink ref="B147" r:id="rId112"/>
    <hyperlink ref="B148" r:id="rId113"/>
    <hyperlink ref="B149" r:id="rId114"/>
    <hyperlink ref="B150" r:id="rId115"/>
    <hyperlink ref="B138" r:id="rId116"/>
    <hyperlink ref="B247" r:id="rId117"/>
    <hyperlink ref="B249" r:id="rId118"/>
    <hyperlink ref="B253" r:id="rId119"/>
    <hyperlink ref="B254" r:id="rId120"/>
    <hyperlink ref="B255" r:id="rId121"/>
    <hyperlink ref="B243" r:id="rId122"/>
    <hyperlink ref="B251" r:id="rId123"/>
    <hyperlink ref="B252" r:id="rId124"/>
    <hyperlink ref="B244" r:id="rId125"/>
    <hyperlink ref="B246" r:id="rId126"/>
    <hyperlink ref="B248" r:id="rId127"/>
    <hyperlink ref="B250" r:id="rId128"/>
    <hyperlink ref="B245" r:id="rId129"/>
    <hyperlink ref="B257" r:id="rId130"/>
    <hyperlink ref="B265" r:id="rId131"/>
    <hyperlink ref="B259" r:id="rId132"/>
    <hyperlink ref="B261" r:id="rId133"/>
    <hyperlink ref="B263" r:id="rId134"/>
    <hyperlink ref="B267" r:id="rId135"/>
    <hyperlink ref="B258" r:id="rId136"/>
    <hyperlink ref="B268" r:id="rId137"/>
    <hyperlink ref="B264" r:id="rId138"/>
    <hyperlink ref="B260" r:id="rId139"/>
    <hyperlink ref="B262" r:id="rId140"/>
    <hyperlink ref="B266" r:id="rId141"/>
    <hyperlink ref="B279" r:id="rId142"/>
    <hyperlink ref="B283" r:id="rId143"/>
    <hyperlink ref="B287" r:id="rId144"/>
    <hyperlink ref="B288" r:id="rId145"/>
    <hyperlink ref="B289" r:id="rId146"/>
    <hyperlink ref="B271" r:id="rId147"/>
    <hyperlink ref="B285" r:id="rId148"/>
    <hyperlink ref="B286" r:id="rId149"/>
    <hyperlink ref="B273" r:id="rId150"/>
    <hyperlink ref="B277" r:id="rId151"/>
    <hyperlink ref="B281" r:id="rId152"/>
    <hyperlink ref="B284" r:id="rId153"/>
    <hyperlink ref="B275" r:id="rId154"/>
    <hyperlink ref="B272" r:id="rId155"/>
    <hyperlink ref="B270" r:id="rId156"/>
    <hyperlink ref="B278" r:id="rId157"/>
    <hyperlink ref="B274" r:id="rId158"/>
    <hyperlink ref="B276" r:id="rId159"/>
    <hyperlink ref="B280" r:id="rId160"/>
    <hyperlink ref="B282" r:id="rId161"/>
    <hyperlink ref="B293" r:id="rId162"/>
    <hyperlink ref="B299" r:id="rId163"/>
    <hyperlink ref="B300" r:id="rId164"/>
    <hyperlink ref="B297" r:id="rId165"/>
    <hyperlink ref="B295" r:id="rId166"/>
    <hyperlink ref="B296" r:id="rId167"/>
    <hyperlink ref="B298" r:id="rId168"/>
    <hyperlink ref="B294" r:id="rId169"/>
    <hyperlink ref="B292" r:id="rId170"/>
    <hyperlink ref="C226" r:id="rId171"/>
    <hyperlink ref="C175" r:id="rId172"/>
    <hyperlink ref="C173" r:id="rId173"/>
    <hyperlink ref="C172" r:id="rId174"/>
    <hyperlink ref="C169" r:id="rId175"/>
    <hyperlink ref="C170" r:id="rId176"/>
    <hyperlink ref="C113" r:id="rId177"/>
    <hyperlink ref="C94" r:id="rId178"/>
    <hyperlink ref="C257" r:id="rId179"/>
  </hyperlinks>
  <pageMargins left="0.7" right="0.7" top="0.75" bottom="0.75" header="0.3" footer="0.3"/>
  <pageSetup scale="52" orientation="landscape" horizontalDpi="4294967295" verticalDpi="4294967295" r:id="rId180"/>
  <drawing r:id="rId181"/>
  <tableParts count="24"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  <tablePart r:id="rId198"/>
    <tablePart r:id="rId199"/>
    <tablePart r:id="rId200"/>
    <tablePart r:id="rId201"/>
    <tablePart r:id="rId202"/>
    <tablePart r:id="rId203"/>
    <tablePart r:id="rId204"/>
    <tablePart r:id="rId2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Mesocycle 1 Basic Hypertrophy</vt:lpstr>
      <vt:lpstr>Mesocycle 2 Metabolite Focus</vt:lpstr>
      <vt:lpstr>Mesocycle 3 Resensitization</vt:lpstr>
      <vt:lpstr>'Mesocycle 1 Basic Hypertrophy'!Print_Area</vt:lpstr>
      <vt:lpstr>'Mesocycle 2 Metabolite Focus'!Print_Area</vt:lpstr>
      <vt:lpstr>'Mesocycle 3 Resensitization'!Print_Area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2016-12-05T20:37:48Z</dcterms:modified>
</cp:coreProperties>
</file>