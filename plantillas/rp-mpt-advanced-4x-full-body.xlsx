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35"/>
  </bookViews>
  <sheets>
    <sheet name="Mesocycle 1 Basic Hypertrophy" sheetId="1" r:id="rId1"/>
    <sheet name="Mesocycle 2 Metabolite Focus" sheetId="2" r:id="rId2"/>
    <sheet name="Mesocycle 3 Resensitization" sheetId="3" r:id="rId3"/>
  </sheets>
  <definedNames>
    <definedName name="_xlnm.Print_Area" localSheetId="0">'Mesocycle 1 Basic Hypertrophy'!$H$8:$AI$45</definedName>
    <definedName name="_xlnm.Print_Area" localSheetId="1">'Mesocycle 2 Metabolite Focus'!$H$8:$AI$48</definedName>
    <definedName name="_xlnm.Print_Area" localSheetId="2">'Mesocycle 3 Resensitization'!$H$8:$AC$42</definedName>
  </definedNames>
  <calcPr calcId="162913"/>
</workbook>
</file>

<file path=xl/calcChain.xml><?xml version="1.0" encoding="utf-8"?>
<calcChain xmlns="http://schemas.openxmlformats.org/spreadsheetml/2006/main">
  <c r="J45" i="2" l="1"/>
  <c r="J46" i="2"/>
  <c r="J35" i="2"/>
  <c r="J13" i="2"/>
  <c r="J18" i="2"/>
  <c r="J27" i="2"/>
  <c r="J38" i="2"/>
  <c r="J48" i="2"/>
  <c r="J47" i="2"/>
  <c r="J44" i="2"/>
  <c r="J43" i="2"/>
  <c r="J42" i="2"/>
  <c r="J37" i="2"/>
  <c r="J36" i="2"/>
  <c r="J34" i="2"/>
  <c r="J33" i="2"/>
  <c r="J32" i="2"/>
  <c r="J31" i="2"/>
  <c r="J26" i="2"/>
  <c r="J25" i="2"/>
  <c r="J24" i="2"/>
  <c r="J23" i="2"/>
  <c r="J22" i="2"/>
  <c r="J17" i="2"/>
  <c r="J16" i="2"/>
  <c r="J15" i="2"/>
  <c r="J14" i="2"/>
  <c r="J12" i="2"/>
  <c r="J11" i="2"/>
  <c r="J42" i="3" l="1"/>
  <c r="J33" i="3"/>
  <c r="J24" i="3"/>
  <c r="J41" i="3"/>
  <c r="AB41" i="3" s="1"/>
  <c r="J40" i="3"/>
  <c r="J39" i="3"/>
  <c r="J38" i="3"/>
  <c r="J37" i="3"/>
  <c r="AB37" i="3" s="1"/>
  <c r="J32" i="3"/>
  <c r="AB32" i="3" s="1"/>
  <c r="J31" i="3"/>
  <c r="J30" i="3"/>
  <c r="AB30" i="3" s="1"/>
  <c r="J29" i="3"/>
  <c r="J28" i="3"/>
  <c r="J23" i="3"/>
  <c r="J22" i="3"/>
  <c r="AB22" i="3" s="1"/>
  <c r="J21" i="3"/>
  <c r="J20" i="3"/>
  <c r="J15" i="3"/>
  <c r="J14" i="3"/>
  <c r="J13" i="3"/>
  <c r="J12" i="3"/>
  <c r="V12" i="3" s="1"/>
  <c r="J16" i="3"/>
  <c r="J11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Z42" i="3"/>
  <c r="T42" i="3"/>
  <c r="O42" i="3"/>
  <c r="U42" i="3" s="1"/>
  <c r="N42" i="3"/>
  <c r="H42" i="3"/>
  <c r="E42" i="3" a="1"/>
  <c r="E42" i="3" s="1"/>
  <c r="F42" i="3" s="1"/>
  <c r="D42" i="3" a="1"/>
  <c r="D42" i="3" s="1"/>
  <c r="Z41" i="3"/>
  <c r="T41" i="3"/>
  <c r="O41" i="3"/>
  <c r="U41" i="3" s="1"/>
  <c r="N41" i="3"/>
  <c r="H41" i="3"/>
  <c r="E41" i="3" a="1"/>
  <c r="E41" i="3" s="1"/>
  <c r="F41" i="3" s="1"/>
  <c r="D41" i="3" a="1"/>
  <c r="D41" i="3" s="1"/>
  <c r="Z40" i="3"/>
  <c r="T40" i="3"/>
  <c r="O40" i="3"/>
  <c r="U40" i="3" s="1"/>
  <c r="N40" i="3"/>
  <c r="H40" i="3"/>
  <c r="E40" i="3" a="1"/>
  <c r="E40" i="3" s="1"/>
  <c r="F40" i="3" s="1"/>
  <c r="D40" i="3" a="1"/>
  <c r="D40" i="3" s="1"/>
  <c r="Z39" i="3"/>
  <c r="T39" i="3"/>
  <c r="O39" i="3"/>
  <c r="U39" i="3" s="1"/>
  <c r="N39" i="3"/>
  <c r="AB39" i="3"/>
  <c r="H39" i="3"/>
  <c r="E39" i="3" a="1"/>
  <c r="E39" i="3" s="1"/>
  <c r="F39" i="3" s="1"/>
  <c r="D39" i="3" a="1"/>
  <c r="D39" i="3" s="1"/>
  <c r="Z38" i="3"/>
  <c r="T38" i="3"/>
  <c r="O38" i="3"/>
  <c r="U38" i="3" s="1"/>
  <c r="N38" i="3"/>
  <c r="H38" i="3"/>
  <c r="E38" i="3" a="1"/>
  <c r="E38" i="3" s="1"/>
  <c r="F38" i="3" s="1"/>
  <c r="D38" i="3" a="1"/>
  <c r="D38" i="3" s="1"/>
  <c r="Z37" i="3"/>
  <c r="T37" i="3"/>
  <c r="O37" i="3"/>
  <c r="U37" i="3" s="1"/>
  <c r="N37" i="3"/>
  <c r="H37" i="3"/>
  <c r="E37" i="3" a="1"/>
  <c r="E37" i="3" s="1"/>
  <c r="F37" i="3" s="1"/>
  <c r="D37" i="3" a="1"/>
  <c r="D37" i="3" s="1"/>
  <c r="Z33" i="3"/>
  <c r="T33" i="3"/>
  <c r="O33" i="3"/>
  <c r="U33" i="3" s="1"/>
  <c r="N33" i="3"/>
  <c r="H33" i="3"/>
  <c r="E33" i="3" a="1"/>
  <c r="E33" i="3" s="1"/>
  <c r="F33" i="3" s="1"/>
  <c r="D33" i="3" a="1"/>
  <c r="D33" i="3" s="1"/>
  <c r="Z32" i="3"/>
  <c r="T32" i="3"/>
  <c r="O32" i="3"/>
  <c r="U32" i="3" s="1"/>
  <c r="N32" i="3"/>
  <c r="H32" i="3"/>
  <c r="E32" i="3" a="1"/>
  <c r="E32" i="3" s="1"/>
  <c r="F32" i="3" s="1"/>
  <c r="D32" i="3" a="1"/>
  <c r="D32" i="3" s="1"/>
  <c r="Z31" i="3"/>
  <c r="T31" i="3"/>
  <c r="O31" i="3"/>
  <c r="U31" i="3" s="1"/>
  <c r="N31" i="3"/>
  <c r="H31" i="3"/>
  <c r="E31" i="3" a="1"/>
  <c r="E31" i="3" s="1"/>
  <c r="F31" i="3" s="1"/>
  <c r="D31" i="3" a="1"/>
  <c r="D31" i="3" s="1"/>
  <c r="Z30" i="3"/>
  <c r="T30" i="3"/>
  <c r="O30" i="3"/>
  <c r="U30" i="3" s="1"/>
  <c r="N30" i="3"/>
  <c r="H30" i="3"/>
  <c r="E30" i="3" a="1"/>
  <c r="E30" i="3" s="1"/>
  <c r="F30" i="3" s="1"/>
  <c r="D30" i="3" a="1"/>
  <c r="D30" i="3" s="1"/>
  <c r="Z29" i="3"/>
  <c r="T29" i="3"/>
  <c r="O29" i="3"/>
  <c r="U29" i="3" s="1"/>
  <c r="N29" i="3"/>
  <c r="H29" i="3"/>
  <c r="E29" i="3" a="1"/>
  <c r="E29" i="3" s="1"/>
  <c r="F29" i="3" s="1"/>
  <c r="D29" i="3" a="1"/>
  <c r="D29" i="3" s="1"/>
  <c r="Z28" i="3"/>
  <c r="T28" i="3"/>
  <c r="O28" i="3"/>
  <c r="U28" i="3" s="1"/>
  <c r="N28" i="3"/>
  <c r="H28" i="3"/>
  <c r="E28" i="3" a="1"/>
  <c r="E28" i="3" s="1"/>
  <c r="F28" i="3" s="1"/>
  <c r="D28" i="3" a="1"/>
  <c r="D28" i="3" s="1"/>
  <c r="Z24" i="3"/>
  <c r="T24" i="3"/>
  <c r="O24" i="3"/>
  <c r="U24" i="3" s="1"/>
  <c r="N24" i="3"/>
  <c r="AB24" i="3"/>
  <c r="H24" i="3"/>
  <c r="E24" i="3" a="1"/>
  <c r="E24" i="3" s="1"/>
  <c r="F24" i="3" s="1"/>
  <c r="D24" i="3" a="1"/>
  <c r="D24" i="3" s="1"/>
  <c r="Z23" i="3"/>
  <c r="T23" i="3"/>
  <c r="O23" i="3"/>
  <c r="U23" i="3" s="1"/>
  <c r="N23" i="3"/>
  <c r="H23" i="3"/>
  <c r="E23" i="3" a="1"/>
  <c r="E23" i="3" s="1"/>
  <c r="F23" i="3" s="1"/>
  <c r="D23" i="3" a="1"/>
  <c r="D23" i="3" s="1"/>
  <c r="Z22" i="3"/>
  <c r="T22" i="3"/>
  <c r="O22" i="3"/>
  <c r="U22" i="3" s="1"/>
  <c r="N22" i="3"/>
  <c r="H22" i="3"/>
  <c r="E22" i="3" a="1"/>
  <c r="E22" i="3" s="1"/>
  <c r="F22" i="3" s="1"/>
  <c r="D22" i="3" a="1"/>
  <c r="D22" i="3" s="1"/>
  <c r="Z21" i="3"/>
  <c r="T21" i="3"/>
  <c r="O21" i="3"/>
  <c r="U21" i="3" s="1"/>
  <c r="N21" i="3"/>
  <c r="H21" i="3"/>
  <c r="E21" i="3" a="1"/>
  <c r="E21" i="3" s="1"/>
  <c r="F21" i="3" s="1"/>
  <c r="D21" i="3" a="1"/>
  <c r="D21" i="3" s="1"/>
  <c r="Z20" i="3"/>
  <c r="T20" i="3"/>
  <c r="O20" i="3"/>
  <c r="U20" i="3" s="1"/>
  <c r="N20" i="3"/>
  <c r="H20" i="3"/>
  <c r="E20" i="3" a="1"/>
  <c r="E20" i="3" s="1"/>
  <c r="F20" i="3" s="1"/>
  <c r="D20" i="3" a="1"/>
  <c r="D20" i="3" s="1"/>
  <c r="Z16" i="3"/>
  <c r="T16" i="3"/>
  <c r="O16" i="3"/>
  <c r="U16" i="3" s="1"/>
  <c r="N16" i="3"/>
  <c r="AB16" i="3"/>
  <c r="H16" i="3"/>
  <c r="E16" i="3" a="1"/>
  <c r="E16" i="3" s="1"/>
  <c r="F16" i="3" s="1"/>
  <c r="D16" i="3" a="1"/>
  <c r="D16" i="3" s="1"/>
  <c r="Z15" i="3"/>
  <c r="T15" i="3"/>
  <c r="O15" i="3"/>
  <c r="U15" i="3" s="1"/>
  <c r="N15" i="3"/>
  <c r="H15" i="3"/>
  <c r="E15" i="3" a="1"/>
  <c r="E15" i="3" s="1"/>
  <c r="F15" i="3" s="1"/>
  <c r="D15" i="3" a="1"/>
  <c r="D15" i="3" s="1"/>
  <c r="Z14" i="3"/>
  <c r="T14" i="3"/>
  <c r="O14" i="3"/>
  <c r="U14" i="3" s="1"/>
  <c r="N14" i="3"/>
  <c r="H14" i="3"/>
  <c r="E14" i="3" a="1"/>
  <c r="E14" i="3" s="1"/>
  <c r="F14" i="3" s="1"/>
  <c r="D14" i="3" a="1"/>
  <c r="D14" i="3" s="1"/>
  <c r="Z13" i="3"/>
  <c r="T13" i="3"/>
  <c r="O13" i="3"/>
  <c r="U13" i="3" s="1"/>
  <c r="N13" i="3"/>
  <c r="H13" i="3"/>
  <c r="E13" i="3" a="1"/>
  <c r="E13" i="3" s="1"/>
  <c r="F13" i="3" s="1"/>
  <c r="D13" i="3" a="1"/>
  <c r="D13" i="3" s="1"/>
  <c r="Z12" i="3"/>
  <c r="T12" i="3"/>
  <c r="O12" i="3"/>
  <c r="U12" i="3" s="1"/>
  <c r="N12" i="3"/>
  <c r="H12" i="3"/>
  <c r="E12" i="3" a="1"/>
  <c r="E12" i="3" s="1"/>
  <c r="F12" i="3" s="1"/>
  <c r="D12" i="3" a="1"/>
  <c r="D12" i="3" s="1"/>
  <c r="Z11" i="3"/>
  <c r="T11" i="3"/>
  <c r="O11" i="3"/>
  <c r="U11" i="3" s="1"/>
  <c r="N11" i="3"/>
  <c r="H11" i="3"/>
  <c r="E11" i="3" a="1"/>
  <c r="E11" i="3" s="1"/>
  <c r="F11" i="3" s="1"/>
  <c r="D11" i="3" a="1"/>
  <c r="D11" i="3" s="1"/>
  <c r="P23" i="3" l="1"/>
  <c r="AB23" i="3"/>
  <c r="V15" i="3"/>
  <c r="V32" i="3"/>
  <c r="V37" i="3"/>
  <c r="P21" i="3"/>
  <c r="AB21" i="3"/>
  <c r="V22" i="3"/>
  <c r="V24" i="3"/>
  <c r="V39" i="3"/>
  <c r="P42" i="3"/>
  <c r="AB42" i="3"/>
  <c r="P13" i="3"/>
  <c r="P15" i="3"/>
  <c r="P31" i="3"/>
  <c r="AB31" i="3"/>
  <c r="P33" i="3"/>
  <c r="AB33" i="3"/>
  <c r="AB15" i="3"/>
  <c r="P20" i="3"/>
  <c r="P29" i="3"/>
  <c r="AB29" i="3"/>
  <c r="P40" i="3"/>
  <c r="AB40" i="3"/>
  <c r="V20" i="3"/>
  <c r="V30" i="3"/>
  <c r="V41" i="3"/>
  <c r="AB20" i="3"/>
  <c r="P28" i="3"/>
  <c r="AB28" i="3"/>
  <c r="P38" i="3"/>
  <c r="AB38" i="3"/>
  <c r="AB11" i="3"/>
  <c r="P11" i="3"/>
  <c r="AB14" i="3"/>
  <c r="P14" i="3"/>
  <c r="V14" i="3"/>
  <c r="AB12" i="3"/>
  <c r="P12" i="3"/>
  <c r="V13" i="3"/>
  <c r="AB13" i="3"/>
  <c r="V11" i="3"/>
  <c r="V21" i="3"/>
  <c r="V23" i="3"/>
  <c r="V28" i="3"/>
  <c r="V29" i="3"/>
  <c r="V31" i="3"/>
  <c r="V33" i="3"/>
  <c r="V38" i="3"/>
  <c r="V40" i="3"/>
  <c r="V42" i="3"/>
  <c r="V16" i="3"/>
  <c r="P16" i="3"/>
  <c r="P22" i="3"/>
  <c r="P24" i="3"/>
  <c r="P30" i="3"/>
  <c r="P32" i="3"/>
  <c r="P37" i="3"/>
  <c r="P39" i="3"/>
  <c r="P41" i="3"/>
  <c r="O46" i="2"/>
  <c r="O45" i="2"/>
  <c r="U46" i="2" s="1"/>
  <c r="O35" i="2"/>
  <c r="O34" i="2"/>
  <c r="U35" i="2" s="1"/>
  <c r="O13" i="2"/>
  <c r="O12" i="2"/>
  <c r="U13" i="2" s="1"/>
  <c r="Z46" i="2" l="1"/>
  <c r="V46" i="2"/>
  <c r="T46" i="2"/>
  <c r="P46" i="2"/>
  <c r="N46" i="2"/>
  <c r="AB46" i="2"/>
  <c r="H46" i="2"/>
  <c r="E46" i="2" a="1"/>
  <c r="E46" i="2" s="1"/>
  <c r="F46" i="2" s="1"/>
  <c r="D46" i="2" a="1"/>
  <c r="D46" i="2" s="1"/>
  <c r="AB35" i="2"/>
  <c r="Z35" i="2"/>
  <c r="V35" i="2"/>
  <c r="T35" i="2"/>
  <c r="P35" i="2"/>
  <c r="N35" i="2"/>
  <c r="H35" i="2"/>
  <c r="E35" i="2" a="1"/>
  <c r="E35" i="2" s="1"/>
  <c r="F35" i="2" s="1"/>
  <c r="D35" i="2" a="1"/>
  <c r="D35" i="2" s="1"/>
  <c r="AB13" i="2"/>
  <c r="Z13" i="2"/>
  <c r="V13" i="2"/>
  <c r="T13" i="2"/>
  <c r="P13" i="2"/>
  <c r="N13" i="2"/>
  <c r="H13" i="2"/>
  <c r="E13" i="2" a="1"/>
  <c r="E13" i="2" s="1"/>
  <c r="F13" i="2" s="1"/>
  <c r="D13" i="2" a="1"/>
  <c r="D13" i="2" s="1"/>
  <c r="E311" i="2" l="1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AF48" i="2"/>
  <c r="Z48" i="2"/>
  <c r="T48" i="2"/>
  <c r="O48" i="2"/>
  <c r="U48" i="2" s="1"/>
  <c r="AA48" i="2" s="1"/>
  <c r="N48" i="2"/>
  <c r="AB48" i="2"/>
  <c r="H48" i="2"/>
  <c r="E48" i="2" a="1"/>
  <c r="E48" i="2" s="1"/>
  <c r="F48" i="2" s="1"/>
  <c r="D48" i="2" a="1"/>
  <c r="D48" i="2" s="1"/>
  <c r="AF47" i="2"/>
  <c r="Z47" i="2"/>
  <c r="T47" i="2"/>
  <c r="O47" i="2"/>
  <c r="U47" i="2" s="1"/>
  <c r="AA47" i="2" s="1"/>
  <c r="N47" i="2"/>
  <c r="AH47" i="2"/>
  <c r="H47" i="2"/>
  <c r="E47" i="2" a="1"/>
  <c r="E47" i="2" s="1"/>
  <c r="F47" i="2" s="1"/>
  <c r="D47" i="2" a="1"/>
  <c r="D47" i="2" s="1"/>
  <c r="AF45" i="2"/>
  <c r="Z45" i="2"/>
  <c r="T45" i="2"/>
  <c r="U45" i="2"/>
  <c r="N45" i="2"/>
  <c r="AB45" i="2"/>
  <c r="H45" i="2"/>
  <c r="E45" i="2" a="1"/>
  <c r="E45" i="2" s="1"/>
  <c r="F45" i="2" s="1"/>
  <c r="D45" i="2" a="1"/>
  <c r="D45" i="2" s="1"/>
  <c r="AF44" i="2"/>
  <c r="Z44" i="2"/>
  <c r="T44" i="2"/>
  <c r="O44" i="2"/>
  <c r="U44" i="2" s="1"/>
  <c r="AA44" i="2" s="1"/>
  <c r="N44" i="2"/>
  <c r="AH44" i="2"/>
  <c r="H44" i="2"/>
  <c r="E44" i="2" a="1"/>
  <c r="E44" i="2" s="1"/>
  <c r="F44" i="2" s="1"/>
  <c r="D44" i="2" a="1"/>
  <c r="D44" i="2" s="1"/>
  <c r="AF43" i="2"/>
  <c r="Z43" i="2"/>
  <c r="T43" i="2"/>
  <c r="P43" i="2"/>
  <c r="O43" i="2"/>
  <c r="U43" i="2" s="1"/>
  <c r="AA43" i="2" s="1"/>
  <c r="N43" i="2"/>
  <c r="AB43" i="2"/>
  <c r="H43" i="2"/>
  <c r="E43" i="2" a="1"/>
  <c r="E43" i="2" s="1"/>
  <c r="F43" i="2" s="1"/>
  <c r="D43" i="2" a="1"/>
  <c r="D43" i="2" s="1"/>
  <c r="AF42" i="2"/>
  <c r="Z42" i="2"/>
  <c r="U42" i="2"/>
  <c r="AA42" i="2" s="1"/>
  <c r="T42" i="2"/>
  <c r="O42" i="2"/>
  <c r="N42" i="2"/>
  <c r="AH42" i="2"/>
  <c r="H42" i="2"/>
  <c r="E42" i="2" a="1"/>
  <c r="E42" i="2" s="1"/>
  <c r="F42" i="2" s="1"/>
  <c r="D42" i="2" a="1"/>
  <c r="D42" i="2" s="1"/>
  <c r="AH38" i="2"/>
  <c r="AF38" i="2"/>
  <c r="Z38" i="2"/>
  <c r="T38" i="2"/>
  <c r="P38" i="2"/>
  <c r="O38" i="2"/>
  <c r="U38" i="2" s="1"/>
  <c r="AA38" i="2" s="1"/>
  <c r="N38" i="2"/>
  <c r="AB38" i="2"/>
  <c r="H38" i="2"/>
  <c r="E38" i="2" a="1"/>
  <c r="E38" i="2" s="1"/>
  <c r="F38" i="2" s="1"/>
  <c r="D38" i="2" a="1"/>
  <c r="D38" i="2" s="1"/>
  <c r="AF37" i="2"/>
  <c r="Z37" i="2"/>
  <c r="T37" i="2"/>
  <c r="O37" i="2"/>
  <c r="U37" i="2" s="1"/>
  <c r="AA37" i="2" s="1"/>
  <c r="N37" i="2"/>
  <c r="AH37" i="2"/>
  <c r="H37" i="2"/>
  <c r="E37" i="2" a="1"/>
  <c r="E37" i="2" s="1"/>
  <c r="F37" i="2" s="1"/>
  <c r="D37" i="2" a="1"/>
  <c r="D37" i="2" s="1"/>
  <c r="AF36" i="2"/>
  <c r="Z36" i="2"/>
  <c r="T36" i="2"/>
  <c r="O36" i="2"/>
  <c r="U36" i="2" s="1"/>
  <c r="AA36" i="2" s="1"/>
  <c r="N36" i="2"/>
  <c r="AB36" i="2"/>
  <c r="H36" i="2"/>
  <c r="E36" i="2" a="1"/>
  <c r="E36" i="2" s="1"/>
  <c r="F36" i="2" s="1"/>
  <c r="D36" i="2" a="1"/>
  <c r="D36" i="2" s="1"/>
  <c r="AF34" i="2"/>
  <c r="Z34" i="2"/>
  <c r="U34" i="2"/>
  <c r="T34" i="2"/>
  <c r="N34" i="2"/>
  <c r="AH34" i="2"/>
  <c r="H34" i="2"/>
  <c r="E34" i="2" a="1"/>
  <c r="E34" i="2" s="1"/>
  <c r="F34" i="2" s="1"/>
  <c r="D34" i="2" a="1"/>
  <c r="D34" i="2" s="1"/>
  <c r="AF33" i="2"/>
  <c r="Z33" i="2"/>
  <c r="T33" i="2"/>
  <c r="O33" i="2"/>
  <c r="U33" i="2" s="1"/>
  <c r="AA33" i="2" s="1"/>
  <c r="N33" i="2"/>
  <c r="AB33" i="2"/>
  <c r="H33" i="2"/>
  <c r="E33" i="2" a="1"/>
  <c r="E33" i="2" s="1"/>
  <c r="F33" i="2" s="1"/>
  <c r="D33" i="2" a="1"/>
  <c r="D33" i="2" s="1"/>
  <c r="AF32" i="2"/>
  <c r="Z32" i="2"/>
  <c r="T32" i="2"/>
  <c r="O32" i="2"/>
  <c r="U32" i="2" s="1"/>
  <c r="AA32" i="2" s="1"/>
  <c r="N32" i="2"/>
  <c r="AH32" i="2"/>
  <c r="H32" i="2"/>
  <c r="E32" i="2" a="1"/>
  <c r="E32" i="2" s="1"/>
  <c r="F32" i="2" s="1"/>
  <c r="D32" i="2" a="1"/>
  <c r="D32" i="2" s="1"/>
  <c r="AF31" i="2"/>
  <c r="Z31" i="2"/>
  <c r="T31" i="2"/>
  <c r="O31" i="2"/>
  <c r="U31" i="2" s="1"/>
  <c r="AA31" i="2" s="1"/>
  <c r="N31" i="2"/>
  <c r="AB31" i="2"/>
  <c r="H31" i="2"/>
  <c r="E31" i="2" a="1"/>
  <c r="E31" i="2" s="1"/>
  <c r="F31" i="2" s="1"/>
  <c r="D31" i="2" a="1"/>
  <c r="D31" i="2" s="1"/>
  <c r="AF27" i="2"/>
  <c r="Z27" i="2"/>
  <c r="T27" i="2"/>
  <c r="O27" i="2"/>
  <c r="U27" i="2" s="1"/>
  <c r="AA27" i="2" s="1"/>
  <c r="N27" i="2"/>
  <c r="H27" i="2"/>
  <c r="E27" i="2" a="1"/>
  <c r="E27" i="2" s="1"/>
  <c r="F27" i="2" s="1"/>
  <c r="D27" i="2" a="1"/>
  <c r="D27" i="2" s="1"/>
  <c r="AF26" i="2"/>
  <c r="Z26" i="2"/>
  <c r="T26" i="2"/>
  <c r="O26" i="2"/>
  <c r="U26" i="2" s="1"/>
  <c r="AA26" i="2" s="1"/>
  <c r="N26" i="2"/>
  <c r="AB26" i="2"/>
  <c r="H26" i="2"/>
  <c r="E26" i="2" a="1"/>
  <c r="E26" i="2" s="1"/>
  <c r="F26" i="2" s="1"/>
  <c r="D26" i="2" a="1"/>
  <c r="D26" i="2" s="1"/>
  <c r="AF25" i="2"/>
  <c r="Z25" i="2"/>
  <c r="T25" i="2"/>
  <c r="O25" i="2"/>
  <c r="U25" i="2" s="1"/>
  <c r="AA25" i="2" s="1"/>
  <c r="N25" i="2"/>
  <c r="AB25" i="2"/>
  <c r="H25" i="2"/>
  <c r="E25" i="2" a="1"/>
  <c r="E25" i="2" s="1"/>
  <c r="F25" i="2" s="1"/>
  <c r="D25" i="2" a="1"/>
  <c r="D25" i="2" s="1"/>
  <c r="AF24" i="2"/>
  <c r="Z24" i="2"/>
  <c r="T24" i="2"/>
  <c r="O24" i="2"/>
  <c r="U24" i="2" s="1"/>
  <c r="AA24" i="2" s="1"/>
  <c r="N24" i="2"/>
  <c r="AB24" i="2"/>
  <c r="H24" i="2"/>
  <c r="E24" i="2" a="1"/>
  <c r="E24" i="2" s="1"/>
  <c r="F24" i="2" s="1"/>
  <c r="D24" i="2" a="1"/>
  <c r="D24" i="2" s="1"/>
  <c r="AF23" i="2"/>
  <c r="Z23" i="2"/>
  <c r="T23" i="2"/>
  <c r="O23" i="2"/>
  <c r="U23" i="2" s="1"/>
  <c r="AA23" i="2" s="1"/>
  <c r="N23" i="2"/>
  <c r="V23" i="2"/>
  <c r="H23" i="2"/>
  <c r="E23" i="2" a="1"/>
  <c r="E23" i="2" s="1"/>
  <c r="F23" i="2" s="1"/>
  <c r="D23" i="2" a="1"/>
  <c r="D23" i="2" s="1"/>
  <c r="AF22" i="2"/>
  <c r="Z22" i="2"/>
  <c r="T22" i="2"/>
  <c r="O22" i="2"/>
  <c r="U22" i="2" s="1"/>
  <c r="AA22" i="2" s="1"/>
  <c r="N22" i="2"/>
  <c r="AB22" i="2"/>
  <c r="H22" i="2"/>
  <c r="E22" i="2" a="1"/>
  <c r="E22" i="2" s="1"/>
  <c r="F22" i="2" s="1"/>
  <c r="D22" i="2" a="1"/>
  <c r="D22" i="2" s="1"/>
  <c r="AF18" i="2"/>
  <c r="Z18" i="2"/>
  <c r="T18" i="2"/>
  <c r="O18" i="2"/>
  <c r="U18" i="2" s="1"/>
  <c r="AA18" i="2" s="1"/>
  <c r="N18" i="2"/>
  <c r="H18" i="2"/>
  <c r="E18" i="2" a="1"/>
  <c r="E18" i="2" s="1"/>
  <c r="F18" i="2" s="1"/>
  <c r="D18" i="2" a="1"/>
  <c r="D18" i="2" s="1"/>
  <c r="AF17" i="2"/>
  <c r="Z17" i="2"/>
  <c r="T17" i="2"/>
  <c r="O17" i="2"/>
  <c r="U17" i="2" s="1"/>
  <c r="AA17" i="2" s="1"/>
  <c r="N17" i="2"/>
  <c r="AB17" i="2"/>
  <c r="H17" i="2"/>
  <c r="E17" i="2" a="1"/>
  <c r="E17" i="2" s="1"/>
  <c r="F17" i="2" s="1"/>
  <c r="D17" i="2" a="1"/>
  <c r="D17" i="2" s="1"/>
  <c r="AF16" i="2"/>
  <c r="Z16" i="2"/>
  <c r="T16" i="2"/>
  <c r="O16" i="2"/>
  <c r="U16" i="2" s="1"/>
  <c r="AA16" i="2" s="1"/>
  <c r="N16" i="2"/>
  <c r="V16" i="2"/>
  <c r="H16" i="2"/>
  <c r="E16" i="2" a="1"/>
  <c r="E16" i="2" s="1"/>
  <c r="F16" i="2" s="1"/>
  <c r="D16" i="2" a="1"/>
  <c r="D16" i="2" s="1"/>
  <c r="AF15" i="2"/>
  <c r="Z15" i="2"/>
  <c r="T15" i="2"/>
  <c r="O15" i="2"/>
  <c r="U15" i="2" s="1"/>
  <c r="AA15" i="2" s="1"/>
  <c r="N15" i="2"/>
  <c r="AB15" i="2"/>
  <c r="H15" i="2"/>
  <c r="E15" i="2" a="1"/>
  <c r="E15" i="2" s="1"/>
  <c r="F15" i="2" s="1"/>
  <c r="D15" i="2" a="1"/>
  <c r="D15" i="2" s="1"/>
  <c r="AF14" i="2"/>
  <c r="Z14" i="2"/>
  <c r="T14" i="2"/>
  <c r="O14" i="2"/>
  <c r="U14" i="2" s="1"/>
  <c r="AA14" i="2" s="1"/>
  <c r="N14" i="2"/>
  <c r="H14" i="2"/>
  <c r="E14" i="2" a="1"/>
  <c r="E14" i="2" s="1"/>
  <c r="F14" i="2" s="1"/>
  <c r="D14" i="2" a="1"/>
  <c r="D14" i="2" s="1"/>
  <c r="AF12" i="2"/>
  <c r="Z12" i="2"/>
  <c r="T12" i="2"/>
  <c r="U12" i="2"/>
  <c r="N12" i="2"/>
  <c r="AB12" i="2"/>
  <c r="H12" i="2"/>
  <c r="E12" i="2" a="1"/>
  <c r="E12" i="2" s="1"/>
  <c r="F12" i="2" s="1"/>
  <c r="D12" i="2" a="1"/>
  <c r="D12" i="2" s="1"/>
  <c r="AF11" i="2"/>
  <c r="Z11" i="2"/>
  <c r="T11" i="2"/>
  <c r="O11" i="2"/>
  <c r="U11" i="2" s="1"/>
  <c r="AA11" i="2" s="1"/>
  <c r="N11" i="2"/>
  <c r="V11" i="2"/>
  <c r="H11" i="2"/>
  <c r="E11" i="2" a="1"/>
  <c r="E11" i="2" s="1"/>
  <c r="F11" i="2" s="1"/>
  <c r="D11" i="2" a="1"/>
  <c r="D11" i="2" s="1"/>
  <c r="P12" i="2" l="1"/>
  <c r="P31" i="2"/>
  <c r="V44" i="2"/>
  <c r="V31" i="2"/>
  <c r="AB44" i="2"/>
  <c r="AH45" i="2"/>
  <c r="V47" i="2"/>
  <c r="AB42" i="2"/>
  <c r="AA45" i="2"/>
  <c r="AA46" i="2"/>
  <c r="AH48" i="2"/>
  <c r="P24" i="2"/>
  <c r="P45" i="2"/>
  <c r="AB47" i="2"/>
  <c r="V26" i="2"/>
  <c r="V33" i="2"/>
  <c r="AA12" i="2"/>
  <c r="AA13" i="2"/>
  <c r="AH31" i="2"/>
  <c r="AH36" i="2"/>
  <c r="P48" i="2"/>
  <c r="V37" i="2"/>
  <c r="AH43" i="2"/>
  <c r="AB32" i="2"/>
  <c r="AB34" i="2"/>
  <c r="V42" i="2"/>
  <c r="AH26" i="2"/>
  <c r="AH33" i="2"/>
  <c r="AA34" i="2"/>
  <c r="AA35" i="2"/>
  <c r="P17" i="2"/>
  <c r="P26" i="2"/>
  <c r="P33" i="2"/>
  <c r="P36" i="2"/>
  <c r="AB37" i="2"/>
  <c r="AH27" i="2"/>
  <c r="P27" i="2"/>
  <c r="V27" i="2"/>
  <c r="V15" i="2"/>
  <c r="AH18" i="2"/>
  <c r="P18" i="2"/>
  <c r="AB18" i="2"/>
  <c r="V18" i="2"/>
  <c r="AH11" i="2"/>
  <c r="P11" i="2"/>
  <c r="AB11" i="2"/>
  <c r="V12" i="2"/>
  <c r="AH12" i="2"/>
  <c r="P15" i="2"/>
  <c r="AH16" i="2"/>
  <c r="P16" i="2"/>
  <c r="AB16" i="2"/>
  <c r="V17" i="2"/>
  <c r="AH17" i="2"/>
  <c r="P22" i="2"/>
  <c r="AH23" i="2"/>
  <c r="P23" i="2"/>
  <c r="AB23" i="2"/>
  <c r="V24" i="2"/>
  <c r="AH24" i="2"/>
  <c r="AB27" i="2"/>
  <c r="AH14" i="2"/>
  <c r="P14" i="2"/>
  <c r="AB14" i="2"/>
  <c r="AH15" i="2"/>
  <c r="AH25" i="2"/>
  <c r="P25" i="2"/>
  <c r="V25" i="2"/>
  <c r="V22" i="2"/>
  <c r="AH22" i="2"/>
  <c r="V14" i="2"/>
  <c r="V36" i="2"/>
  <c r="V38" i="2"/>
  <c r="V43" i="2"/>
  <c r="V45" i="2"/>
  <c r="V48" i="2"/>
  <c r="V32" i="2"/>
  <c r="V34" i="2"/>
  <c r="P32" i="2"/>
  <c r="P34" i="2"/>
  <c r="P37" i="2"/>
  <c r="P42" i="2"/>
  <c r="P44" i="2"/>
  <c r="P47" i="2"/>
  <c r="O45" i="1"/>
  <c r="U45" i="1" s="1"/>
  <c r="AA45" i="1" s="1"/>
  <c r="O44" i="1"/>
  <c r="U44" i="1" s="1"/>
  <c r="AA44" i="1" s="1"/>
  <c r="O43" i="1"/>
  <c r="U43" i="1" s="1"/>
  <c r="AA43" i="1" s="1"/>
  <c r="O42" i="1"/>
  <c r="U42" i="1" s="1"/>
  <c r="AA42" i="1" s="1"/>
  <c r="O41" i="1"/>
  <c r="U41" i="1" s="1"/>
  <c r="AA41" i="1" s="1"/>
  <c r="O40" i="1"/>
  <c r="U40" i="1" s="1"/>
  <c r="AA40" i="1" s="1"/>
  <c r="O35" i="1"/>
  <c r="U35" i="1" s="1"/>
  <c r="AA35" i="1" s="1"/>
  <c r="O34" i="1"/>
  <c r="U34" i="1" s="1"/>
  <c r="AA34" i="1" s="1"/>
  <c r="O33" i="1"/>
  <c r="U33" i="1" s="1"/>
  <c r="AA33" i="1" s="1"/>
  <c r="O32" i="1"/>
  <c r="U32" i="1" s="1"/>
  <c r="AA32" i="1" s="1"/>
  <c r="O31" i="1"/>
  <c r="U31" i="1" s="1"/>
  <c r="AA31" i="1" s="1"/>
  <c r="O30" i="1"/>
  <c r="U30" i="1" s="1"/>
  <c r="AA30" i="1" s="1"/>
  <c r="O26" i="1"/>
  <c r="U26" i="1" s="1"/>
  <c r="AA26" i="1" s="1"/>
  <c r="O25" i="1"/>
  <c r="U25" i="1" s="1"/>
  <c r="AA25" i="1" s="1"/>
  <c r="O24" i="1"/>
  <c r="U24" i="1" s="1"/>
  <c r="AA24" i="1" s="1"/>
  <c r="O23" i="1"/>
  <c r="U23" i="1" s="1"/>
  <c r="AA23" i="1" s="1"/>
  <c r="O22" i="1"/>
  <c r="U22" i="1" s="1"/>
  <c r="AA22" i="1" s="1"/>
  <c r="O21" i="1"/>
  <c r="U21" i="1" s="1"/>
  <c r="AA21" i="1" s="1"/>
  <c r="O17" i="1"/>
  <c r="U17" i="1" s="1"/>
  <c r="AA17" i="1" s="1"/>
  <c r="O16" i="1"/>
  <c r="U16" i="1" s="1"/>
  <c r="AA16" i="1" s="1"/>
  <c r="O15" i="1"/>
  <c r="U15" i="1" s="1"/>
  <c r="AA15" i="1" s="1"/>
  <c r="O14" i="1"/>
  <c r="U14" i="1" s="1"/>
  <c r="AA14" i="1" s="1"/>
  <c r="O13" i="1"/>
  <c r="U13" i="1" s="1"/>
  <c r="AA13" i="1" s="1"/>
  <c r="O12" i="1"/>
  <c r="U12" i="1" s="1"/>
  <c r="AA12" i="1" s="1"/>
  <c r="O11" i="1"/>
  <c r="U11" i="1" s="1"/>
  <c r="AA11" i="1" s="1"/>
  <c r="AF45" i="1" l="1"/>
  <c r="Z45" i="1"/>
  <c r="T45" i="1"/>
  <c r="N45" i="1"/>
  <c r="J45" i="1"/>
  <c r="AB45" i="1" s="1"/>
  <c r="H45" i="1"/>
  <c r="AF44" i="1"/>
  <c r="Z44" i="1"/>
  <c r="T44" i="1"/>
  <c r="N44" i="1"/>
  <c r="J44" i="1"/>
  <c r="V44" i="1" s="1"/>
  <c r="H44" i="1"/>
  <c r="AF43" i="1"/>
  <c r="Z43" i="1"/>
  <c r="T43" i="1"/>
  <c r="N43" i="1"/>
  <c r="J43" i="1"/>
  <c r="AH43" i="1" s="1"/>
  <c r="H43" i="1"/>
  <c r="AF42" i="1"/>
  <c r="Z42" i="1"/>
  <c r="T42" i="1"/>
  <c r="N42" i="1"/>
  <c r="J42" i="1"/>
  <c r="AB42" i="1" s="1"/>
  <c r="H42" i="1"/>
  <c r="AF41" i="1"/>
  <c r="Z41" i="1"/>
  <c r="T41" i="1"/>
  <c r="N41" i="1"/>
  <c r="J41" i="1"/>
  <c r="AB41" i="1" s="1"/>
  <c r="H41" i="1"/>
  <c r="AF40" i="1"/>
  <c r="Z40" i="1"/>
  <c r="T40" i="1"/>
  <c r="N40" i="1"/>
  <c r="J40" i="1"/>
  <c r="V40" i="1" s="1"/>
  <c r="H40" i="1"/>
  <c r="AF36" i="1"/>
  <c r="Z36" i="1"/>
  <c r="T36" i="1"/>
  <c r="O36" i="1"/>
  <c r="U36" i="1" s="1"/>
  <c r="AA36" i="1" s="1"/>
  <c r="N36" i="1"/>
  <c r="J36" i="1"/>
  <c r="AH36" i="1" s="1"/>
  <c r="H36" i="1"/>
  <c r="AF35" i="1"/>
  <c r="Z35" i="1"/>
  <c r="T35" i="1"/>
  <c r="N35" i="1"/>
  <c r="J35" i="1"/>
  <c r="AB35" i="1" s="1"/>
  <c r="H35" i="1"/>
  <c r="AF34" i="1"/>
  <c r="Z34" i="1"/>
  <c r="T34" i="1"/>
  <c r="N34" i="1"/>
  <c r="J34" i="1"/>
  <c r="V34" i="1" s="1"/>
  <c r="H34" i="1"/>
  <c r="AF33" i="1"/>
  <c r="Z33" i="1"/>
  <c r="T33" i="1"/>
  <c r="N33" i="1"/>
  <c r="J33" i="1"/>
  <c r="AH33" i="1" s="1"/>
  <c r="H33" i="1"/>
  <c r="AF32" i="1"/>
  <c r="Z32" i="1"/>
  <c r="T32" i="1"/>
  <c r="N32" i="1"/>
  <c r="J32" i="1"/>
  <c r="AB32" i="1" s="1"/>
  <c r="H32" i="1"/>
  <c r="AF31" i="1"/>
  <c r="Z31" i="1"/>
  <c r="T31" i="1"/>
  <c r="N31" i="1"/>
  <c r="J31" i="1"/>
  <c r="AH31" i="1" s="1"/>
  <c r="H31" i="1"/>
  <c r="AF30" i="1"/>
  <c r="Z30" i="1"/>
  <c r="T30" i="1"/>
  <c r="N30" i="1"/>
  <c r="J30" i="1"/>
  <c r="AB30" i="1" s="1"/>
  <c r="H30" i="1"/>
  <c r="AF26" i="1"/>
  <c r="Z26" i="1"/>
  <c r="T26" i="1"/>
  <c r="N26" i="1"/>
  <c r="J26" i="1"/>
  <c r="AH26" i="1" s="1"/>
  <c r="H26" i="1"/>
  <c r="AF25" i="1"/>
  <c r="Z25" i="1"/>
  <c r="T25" i="1"/>
  <c r="N25" i="1"/>
  <c r="J25" i="1"/>
  <c r="AB25" i="1" s="1"/>
  <c r="H25" i="1"/>
  <c r="AF24" i="1"/>
  <c r="Z24" i="1"/>
  <c r="T24" i="1"/>
  <c r="N24" i="1"/>
  <c r="J24" i="1"/>
  <c r="V24" i="1" s="1"/>
  <c r="H24" i="1"/>
  <c r="AF23" i="1"/>
  <c r="Z23" i="1"/>
  <c r="T23" i="1"/>
  <c r="N23" i="1"/>
  <c r="J23" i="1"/>
  <c r="AH23" i="1" s="1"/>
  <c r="H23" i="1"/>
  <c r="AF22" i="1"/>
  <c r="Z22" i="1"/>
  <c r="T22" i="1"/>
  <c r="N22" i="1"/>
  <c r="J22" i="1"/>
  <c r="AH22" i="1" s="1"/>
  <c r="H22" i="1"/>
  <c r="AF21" i="1"/>
  <c r="Z21" i="1"/>
  <c r="T21" i="1"/>
  <c r="N21" i="1"/>
  <c r="J21" i="1"/>
  <c r="P21" i="1" s="1"/>
  <c r="H21" i="1"/>
  <c r="AF17" i="1"/>
  <c r="Z17" i="1"/>
  <c r="T17" i="1"/>
  <c r="N17" i="1"/>
  <c r="J17" i="1"/>
  <c r="AB17" i="1" s="1"/>
  <c r="H17" i="1"/>
  <c r="AF16" i="1"/>
  <c r="Z16" i="1"/>
  <c r="T16" i="1"/>
  <c r="N16" i="1"/>
  <c r="J16" i="1"/>
  <c r="AB16" i="1" s="1"/>
  <c r="H16" i="1"/>
  <c r="AF15" i="1"/>
  <c r="Z15" i="1"/>
  <c r="T15" i="1"/>
  <c r="N15" i="1"/>
  <c r="J15" i="1"/>
  <c r="AH15" i="1" s="1"/>
  <c r="H15" i="1"/>
  <c r="AF14" i="1"/>
  <c r="Z14" i="1"/>
  <c r="T14" i="1"/>
  <c r="N14" i="1"/>
  <c r="J14" i="1"/>
  <c r="AH14" i="1" s="1"/>
  <c r="H14" i="1"/>
  <c r="AF13" i="1"/>
  <c r="Z13" i="1"/>
  <c r="T13" i="1"/>
  <c r="N13" i="1"/>
  <c r="J13" i="1"/>
  <c r="V13" i="1" s="1"/>
  <c r="H13" i="1"/>
  <c r="AF12" i="1"/>
  <c r="Z12" i="1"/>
  <c r="T12" i="1"/>
  <c r="N12" i="1"/>
  <c r="J12" i="1"/>
  <c r="AH12" i="1" s="1"/>
  <c r="H12" i="1"/>
  <c r="AF11" i="1"/>
  <c r="Z11" i="1"/>
  <c r="T11" i="1"/>
  <c r="N11" i="1"/>
  <c r="J11" i="1"/>
  <c r="AH11" i="1" s="1"/>
  <c r="H11" i="1"/>
  <c r="V36" i="1" l="1"/>
  <c r="AH32" i="1"/>
  <c r="P17" i="1"/>
  <c r="P14" i="1"/>
  <c r="AB14" i="1"/>
  <c r="P22" i="1"/>
  <c r="AB22" i="1"/>
  <c r="P41" i="1"/>
  <c r="AH42" i="1"/>
  <c r="V45" i="1"/>
  <c r="V42" i="1"/>
  <c r="V12" i="1"/>
  <c r="V14" i="1"/>
  <c r="V22" i="1"/>
  <c r="V32" i="1"/>
  <c r="AB40" i="1"/>
  <c r="P11" i="1"/>
  <c r="AB11" i="1"/>
  <c r="V15" i="1"/>
  <c r="AH17" i="1"/>
  <c r="V25" i="1"/>
  <c r="AH25" i="1"/>
  <c r="AB26" i="1"/>
  <c r="P32" i="1"/>
  <c r="V35" i="1"/>
  <c r="AH35" i="1"/>
  <c r="AH41" i="1"/>
  <c r="V31" i="1"/>
  <c r="AB36" i="1"/>
  <c r="P42" i="1"/>
  <c r="P45" i="1"/>
  <c r="AH30" i="1"/>
  <c r="V11" i="1"/>
  <c r="AB15" i="1"/>
  <c r="V21" i="1"/>
  <c r="P25" i="1"/>
  <c r="V26" i="1"/>
  <c r="P30" i="1"/>
  <c r="P35" i="1"/>
  <c r="AH45" i="1"/>
  <c r="V23" i="1"/>
  <c r="AB24" i="1"/>
  <c r="V33" i="1"/>
  <c r="AB34" i="1"/>
  <c r="V43" i="1"/>
  <c r="AB44" i="1"/>
  <c r="P16" i="1"/>
  <c r="AH16" i="1"/>
  <c r="V17" i="1"/>
  <c r="AB21" i="1"/>
  <c r="V30" i="1"/>
  <c r="AB31" i="1"/>
  <c r="P40" i="1"/>
  <c r="AH40" i="1"/>
  <c r="V41" i="1"/>
  <c r="AH13" i="1"/>
  <c r="AH24" i="1"/>
  <c r="P34" i="1"/>
  <c r="AH34" i="1"/>
  <c r="P44" i="1"/>
  <c r="AH44" i="1"/>
  <c r="AB13" i="1"/>
  <c r="P31" i="1"/>
  <c r="P13" i="1"/>
  <c r="P24" i="1"/>
  <c r="AB12" i="1"/>
  <c r="AH21" i="1"/>
  <c r="AB23" i="1"/>
  <c r="AB33" i="1"/>
  <c r="AB43" i="1"/>
  <c r="P15" i="1"/>
  <c r="V16" i="1"/>
  <c r="P26" i="1"/>
  <c r="P36" i="1"/>
  <c r="P12" i="1"/>
  <c r="P23" i="1"/>
  <c r="P33" i="1"/>
  <c r="P43" i="1"/>
  <c r="E45" i="1" a="1"/>
  <c r="E45" i="1" s="1"/>
  <c r="F45" i="1" s="1"/>
  <c r="D45" i="1" a="1"/>
  <c r="D45" i="1" s="1"/>
  <c r="E44" i="1" a="1"/>
  <c r="E44" i="1" s="1"/>
  <c r="F44" i="1" s="1"/>
  <c r="D44" i="1" a="1"/>
  <c r="D44" i="1" s="1"/>
  <c r="E43" i="1" a="1"/>
  <c r="E43" i="1" s="1"/>
  <c r="F43" i="1" s="1"/>
  <c r="D43" i="1" a="1"/>
  <c r="D43" i="1" s="1"/>
  <c r="E42" i="1" a="1"/>
  <c r="E42" i="1" s="1"/>
  <c r="F42" i="1" s="1"/>
  <c r="D42" i="1" a="1"/>
  <c r="D42" i="1" s="1"/>
  <c r="E41" i="1" a="1"/>
  <c r="E41" i="1" s="1"/>
  <c r="F41" i="1" s="1"/>
  <c r="D41" i="1" a="1"/>
  <c r="D41" i="1" s="1"/>
  <c r="E40" i="1" a="1"/>
  <c r="E40" i="1" s="1"/>
  <c r="F40" i="1" s="1"/>
  <c r="D40" i="1" a="1"/>
  <c r="D40" i="1" s="1"/>
  <c r="E36" i="1" a="1"/>
  <c r="E36" i="1" s="1"/>
  <c r="F36" i="1" s="1"/>
  <c r="D36" i="1" a="1"/>
  <c r="D36" i="1" s="1"/>
  <c r="E35" i="1" a="1"/>
  <c r="E35" i="1" s="1"/>
  <c r="F35" i="1" s="1"/>
  <c r="D35" i="1" a="1"/>
  <c r="D35" i="1" s="1"/>
  <c r="E34" i="1" a="1"/>
  <c r="E34" i="1" s="1"/>
  <c r="F34" i="1" s="1"/>
  <c r="D34" i="1" a="1"/>
  <c r="D34" i="1" s="1"/>
  <c r="E33" i="1" a="1"/>
  <c r="E33" i="1" s="1"/>
  <c r="F33" i="1" s="1"/>
  <c r="D33" i="1" a="1"/>
  <c r="D33" i="1" s="1"/>
  <c r="E32" i="1" a="1"/>
  <c r="E32" i="1" s="1"/>
  <c r="F32" i="1" s="1"/>
  <c r="D32" i="1" a="1"/>
  <c r="D32" i="1" s="1"/>
  <c r="E31" i="1" a="1"/>
  <c r="E31" i="1" s="1"/>
  <c r="F31" i="1" s="1"/>
  <c r="D31" i="1" a="1"/>
  <c r="D31" i="1" s="1"/>
  <c r="E30" i="1" a="1"/>
  <c r="E30" i="1" s="1"/>
  <c r="F30" i="1" s="1"/>
  <c r="D30" i="1" a="1"/>
  <c r="D30" i="1" s="1"/>
  <c r="E26" i="1" a="1"/>
  <c r="E26" i="1" s="1"/>
  <c r="F26" i="1" s="1"/>
  <c r="D26" i="1" a="1"/>
  <c r="D26" i="1" s="1"/>
  <c r="E25" i="1" a="1"/>
  <c r="E25" i="1" s="1"/>
  <c r="F25" i="1" s="1"/>
  <c r="D25" i="1" a="1"/>
  <c r="D25" i="1" s="1"/>
  <c r="E24" i="1" a="1"/>
  <c r="E24" i="1" s="1"/>
  <c r="F24" i="1" s="1"/>
  <c r="D24" i="1" a="1"/>
  <c r="D24" i="1" s="1"/>
  <c r="E23" i="1" a="1"/>
  <c r="E23" i="1" s="1"/>
  <c r="F23" i="1" s="1"/>
  <c r="D23" i="1" a="1"/>
  <c r="D23" i="1" s="1"/>
  <c r="E22" i="1" a="1"/>
  <c r="E22" i="1" s="1"/>
  <c r="F22" i="1" s="1"/>
  <c r="D22" i="1" a="1"/>
  <c r="D22" i="1" s="1"/>
  <c r="E21" i="1" a="1"/>
  <c r="E21" i="1" s="1"/>
  <c r="F21" i="1" s="1"/>
  <c r="D21" i="1" a="1"/>
  <c r="D21" i="1" s="1"/>
  <c r="E17" i="1" a="1"/>
  <c r="E17" i="1" s="1"/>
  <c r="F17" i="1" s="1"/>
  <c r="D17" i="1" a="1"/>
  <c r="D17" i="1" s="1"/>
  <c r="E16" i="1" a="1"/>
  <c r="E16" i="1" s="1"/>
  <c r="F16" i="1" s="1"/>
  <c r="D16" i="1" a="1"/>
  <c r="D16" i="1" s="1"/>
  <c r="E15" i="1" a="1"/>
  <c r="E15" i="1" s="1"/>
  <c r="F15" i="1" s="1"/>
  <c r="D15" i="1" a="1"/>
  <c r="D15" i="1" s="1"/>
  <c r="E14" i="1" a="1"/>
  <c r="E14" i="1" s="1"/>
  <c r="F14" i="1" s="1"/>
  <c r="D14" i="1" a="1"/>
  <c r="D14" i="1" s="1"/>
  <c r="E13" i="1" a="1"/>
  <c r="E13" i="1" s="1"/>
  <c r="F13" i="1" s="1"/>
  <c r="D13" i="1" a="1"/>
  <c r="D13" i="1" s="1"/>
  <c r="E12" i="1" a="1"/>
  <c r="E12" i="1" s="1"/>
  <c r="F12" i="1" s="1"/>
  <c r="D12" i="1" a="1"/>
  <c r="D12" i="1" s="1"/>
  <c r="E11" i="1" l="1" a="1"/>
  <c r="E11" i="1" s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D11" i="1" l="1" a="1"/>
  <c r="D11" i="1" s="1"/>
  <c r="F11" i="1" s="1"/>
</calcChain>
</file>

<file path=xl/sharedStrings.xml><?xml version="1.0" encoding="utf-8"?>
<sst xmlns="http://schemas.openxmlformats.org/spreadsheetml/2006/main" count="3968" uniqueCount="349">
  <si>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</si>
  <si>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</si>
  <si>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</si>
  <si>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</si>
  <si>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</si>
  <si>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</si>
  <si>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</si>
  <si>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</si>
  <si>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</si>
  <si>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</si>
  <si>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</si>
  <si>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</si>
  <si>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</si>
  <si>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</si>
  <si>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</si>
  <si>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</si>
  <si>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</si>
  <si>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</si>
  <si>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</si>
  <si>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</si>
  <si>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</si>
  <si>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</si>
  <si>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</si>
  <si>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</si>
  <si>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</si>
  <si>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</si>
  <si>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</si>
  <si>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</si>
  <si>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</si>
  <si>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</si>
  <si>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</si>
  <si>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</si>
  <si>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</si>
  <si>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</si>
  <si>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</si>
  <si>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</si>
  <si>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</si>
  <si>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</si>
  <si>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</si>
  <si>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</si>
  <si>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</si>
  <si>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</si>
  <si>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</si>
  <si>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</si>
  <si>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</si>
  <si>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</si>
  <si>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</si>
  <si>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</si>
  <si>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</si>
  <si>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</si>
  <si>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</si>
  <si>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</si>
  <si>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</si>
  <si>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</si>
  <si>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</si>
  <si>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</si>
  <si>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</si>
  <si>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</si>
  <si>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</si>
  <si>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</si>
  <si>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</si>
  <si>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</si>
  <si>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</si>
  <si>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</si>
  <si>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</si>
  <si>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</si>
  <si>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</si>
  <si>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</si>
  <si>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</si>
  <si>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</si>
  <si>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</si>
  <si>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</si>
  <si>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</si>
  <si>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</si>
  <si>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</si>
  <si>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</si>
  <si>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</si>
  <si>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</si>
  <si>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</si>
  <si>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</si>
  <si>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</si>
  <si>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</si>
  <si>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</si>
  <si>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</si>
  <si>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</si>
  <si>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</si>
  <si>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</si>
  <si>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</si>
  <si>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</si>
  <si>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</si>
  <si>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</si>
  <si>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</si>
  <si>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</si>
  <si>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</si>
  <si>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</si>
  <si>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</si>
  <si>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</si>
  <si>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</si>
  <si>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</si>
  <si>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</si>
  <si>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</si>
  <si>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</si>
  <si>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</si>
  <si>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</si>
  <si>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</si>
  <si>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</si>
  <si>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</si>
  <si>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</si>
  <si>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</si>
  <si>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</si>
  <si>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</si>
  <si>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</si>
  <si>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</si>
  <si>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</si>
  <si>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</si>
  <si>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</si>
  <si>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</si>
  <si>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</si>
  <si>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</si>
  <si>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</si>
  <si>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</si>
  <si>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</si>
  <si>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</si>
  <si>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</si>
  <si>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</si>
  <si>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</si>
  <si>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</si>
  <si>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</si>
  <si>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</si>
  <si>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</si>
  <si>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</si>
  <si>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</si>
  <si>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</si>
  <si>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</si>
  <si>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</si>
  <si>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</si>
  <si>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</si>
  <si>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</si>
  <si>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</si>
  <si>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</si>
  <si>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</si>
  <si>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</si>
  <si>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</si>
  <si>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</si>
  <si>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</si>
  <si>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</si>
  <si>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</si>
  <si>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</si>
  <si>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</si>
  <si>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</si>
  <si>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</si>
  <si>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</si>
  <si>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</si>
  <si>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</si>
  <si>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</si>
  <si>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</si>
  <si>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</si>
  <si>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</si>
  <si>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</si>
  <si>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</si>
  <si>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</si>
  <si>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</si>
  <si>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</si>
  <si>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</si>
  <si>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</si>
  <si>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</si>
  <si>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</si>
  <si>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</si>
  <si>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</si>
  <si>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</si>
  <si>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</si>
  <si>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</si>
  <si>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</si>
  <si>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</si>
  <si>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</si>
  <si>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</si>
  <si>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</si>
  <si>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</si>
  <si>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Horizontal Back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</si>
  <si>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</si>
  <si>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</si>
  <si>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</si>
  <si>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</si>
  <si>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</si>
  <si>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</si>
  <si>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</si>
  <si>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</si>
  <si>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</si>
  <si>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</si>
  <si>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</si>
  <si>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</si>
  <si>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</si>
  <si>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</si>
  <si>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</si>
  <si>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</si>
  <si>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</si>
  <si>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</si>
  <si>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</si>
  <si>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</si>
  <si>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</si>
  <si>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</si>
  <si>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</si>
  <si>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</si>
  <si>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</si>
  <si>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</si>
  <si>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</si>
  <si>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</si>
  <si>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</si>
  <si>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</si>
  <si>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</si>
  <si>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</si>
  <si>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</si>
  <si>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</si>
  <si>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</si>
  <si>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</si>
  <si>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</si>
  <si>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</si>
  <si>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</si>
  <si>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</si>
  <si>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</si>
  <si>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</si>
  <si>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</si>
  <si>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</si>
  <si>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</si>
  <si>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</si>
  <si>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</si>
  <si>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</si>
  <si>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</si>
  <si>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</si>
  <si>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</si>
  <si>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</si>
  <si>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</si>
  <si>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</si>
  <si>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</si>
  <si>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</si>
  <si>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</si>
  <si>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</si>
  <si>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</si>
  <si>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</si>
  <si>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</si>
  <si>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</si>
  <si>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</si>
  <si>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</si>
  <si>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</si>
  <si>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</si>
  <si>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</si>
  <si>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</si>
  <si>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</si>
  <si>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</si>
  <si>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</si>
  <si>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</si>
  <si>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</si>
  <si>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</si>
  <si>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</si>
  <si>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</si>
  <si>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</si>
  <si>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</si>
  <si>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</si>
  <si>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</si>
  <si>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</si>
  <si>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</si>
  <si>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</si>
  <si>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</si>
  <si>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</si>
  <si>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</si>
  <si>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</si>
  <si>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</si>
  <si>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</si>
  <si>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</si>
  <si>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</si>
  <si>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</si>
  <si>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</si>
  <si>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</si>
  <si>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</si>
  <si>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</si>
  <si>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</si>
  <si>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</si>
  <si>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</si>
  <si>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</si>
  <si>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</si>
  <si>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</si>
  <si>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</si>
  <si>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</si>
  <si>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</si>
  <si>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</si>
  <si>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</si>
  <si>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</si>
  <si>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</si>
  <si>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</si>
  <si>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</si>
  <si>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</si>
  <si>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</si>
  <si>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</si>
  <si>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</si>
  <si>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</si>
  <si>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</si>
  <si>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</si>
  <si>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</si>
  <si>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</si>
  <si>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</si>
  <si>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</si>
  <si>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</si>
  <si>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</si>
  <si>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</si>
  <si>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</si>
  <si>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</si>
  <si>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</si>
  <si>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</si>
  <si>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</si>
  <si>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</si>
  <si>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</si>
  <si>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</si>
  <si>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</si>
  <si>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</si>
  <si>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</si>
  <si>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</si>
  <si>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</si>
  <si>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</si>
  <si>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</si>
  <si>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</si>
  <si>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</si>
  <si>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</si>
  <si>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</si>
  <si>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</si>
  <si>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</si>
  <si>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</si>
  <si>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</si>
  <si>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</si>
  <si>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</si>
  <si>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</si>
  <si>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</si>
  <si>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</si>
  <si>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</si>
  <si>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</si>
  <si>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</si>
  <si>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</si>
  <si>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</si>
  <si>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Day 4:</t>
  </si>
  <si>
    <t>Upper Body</t>
  </si>
  <si>
    <t>No Rest between days 1 and 2</t>
  </si>
  <si>
    <t>Lower Body</t>
  </si>
  <si>
    <t>One day rest between days 2 and 3</t>
  </si>
  <si>
    <t>One day rest between days 3 and 4</t>
  </si>
  <si>
    <t>One day rest between day 4 and the next week's day 1</t>
  </si>
  <si>
    <t>Super set this exercise</t>
  </si>
  <si>
    <t>with this one</t>
  </si>
  <si>
    <t>Week 4: Deload</t>
  </si>
  <si>
    <t>Instructional Video</t>
  </si>
  <si>
    <t>10RM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</si>
</sst>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9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7" borderId="8" xfId="0" applyFill="1" applyBorder="1"/>
    <xf numFmtId="0" fontId="0" fillId="7" borderId="10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1" fillId="0" borderId="0" xfId="0" applyFont="1" applyFill="1" applyBorder="1"/>
    <xf numFmtId="0" fontId="2" fillId="0" borderId="0" xfId="1" applyFill="1" applyBorder="1" applyAlignment="1" applyProtection="1"/>
    <xf numFmtId="0" fontId="2" fillId="0" borderId="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9" borderId="23" xfId="1" applyFill="1" applyBorder="1" applyAlignment="1" applyProtection="1">
      <alignment horizontal="center"/>
    </xf>
    <xf numFmtId="0" fontId="2" fillId="9" borderId="22" xfId="1" applyFill="1" applyBorder="1" applyAlignment="1" applyProtection="1">
      <alignment horizontal="center"/>
    </xf>
    <xf numFmtId="0" fontId="2" fillId="9" borderId="25" xfId="1" applyFill="1" applyBorder="1" applyAlignment="1" applyProtection="1">
      <alignment horizontal="center"/>
    </xf>
    <xf numFmtId="0" fontId="0" fillId="0" borderId="3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9" borderId="42" xfId="1" applyFill="1" applyBorder="1" applyAlignment="1" applyProtection="1">
      <alignment horizontal="center"/>
    </xf>
    <xf numFmtId="0" fontId="2" fillId="9" borderId="43" xfId="1" applyFill="1" applyBorder="1" applyAlignment="1" applyProtection="1">
      <alignment horizontal="center"/>
    </xf>
    <xf numFmtId="0" fontId="2" fillId="9" borderId="44" xfId="1" applyFill="1" applyBorder="1" applyAlignment="1" applyProtection="1">
      <alignment horizont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0" fillId="9" borderId="50" xfId="0" applyFill="1" applyBorder="1" applyAlignment="1">
      <alignment horizontal="center" vertical="center"/>
    </xf>
    <xf numFmtId="0" fontId="2" fillId="11" borderId="51" xfId="1" applyFill="1" applyBorder="1" applyAlignment="1" applyProtection="1">
      <alignment horizontal="center" vertical="center"/>
    </xf>
    <xf numFmtId="0" fontId="2" fillId="11" borderId="49" xfId="1" applyFill="1" applyBorder="1" applyAlignment="1" applyProtection="1">
      <alignment horizontal="center" vertical="center"/>
    </xf>
    <xf numFmtId="0" fontId="2" fillId="11" borderId="50" xfId="1" applyFill="1" applyBorder="1" applyAlignment="1" applyProtection="1">
      <alignment horizontal="center" vertical="center"/>
    </xf>
    <xf numFmtId="0" fontId="0" fillId="10" borderId="51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9" borderId="26" xfId="1" applyFill="1" applyBorder="1" applyAlignment="1" applyProtection="1">
      <alignment horizontal="center"/>
    </xf>
    <xf numFmtId="0" fontId="2" fillId="9" borderId="27" xfId="1" applyFill="1" applyBorder="1" applyAlignment="1" applyProtection="1">
      <alignment horizontal="center"/>
    </xf>
    <xf numFmtId="0" fontId="2" fillId="9" borderId="33" xfId="1" applyFill="1" applyBorder="1" applyAlignment="1" applyProtection="1">
      <alignment horizontal="center"/>
    </xf>
    <xf numFmtId="0" fontId="2" fillId="9" borderId="39" xfId="1" applyFill="1" applyBorder="1" applyAlignment="1" applyProtection="1">
      <alignment horizontal="center"/>
    </xf>
    <xf numFmtId="0" fontId="0" fillId="9" borderId="52" xfId="0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0" fillId="9" borderId="54" xfId="0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2" fillId="11" borderId="55" xfId="1" applyFill="1" applyBorder="1" applyAlignment="1" applyProtection="1">
      <alignment horizontal="center" vertical="center"/>
    </xf>
    <xf numFmtId="0" fontId="2" fillId="11" borderId="56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55" xfId="0" applyFill="1" applyBorder="1" applyAlignment="1">
      <alignment horizontal="center" vertical="center"/>
    </xf>
    <xf numFmtId="0" fontId="0" fillId="10" borderId="56" xfId="0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/>
    </xf>
    <xf numFmtId="0" fontId="1" fillId="0" borderId="58" xfId="0" applyFont="1" applyBorder="1" applyAlignment="1">
      <alignment horizontal="center"/>
    </xf>
    <xf numFmtId="0" fontId="0" fillId="9" borderId="58" xfId="0" applyFill="1" applyBorder="1" applyAlignment="1">
      <alignment horizontal="center" vertical="center"/>
    </xf>
    <xf numFmtId="0" fontId="2" fillId="11" borderId="58" xfId="1" applyFill="1" applyBorder="1" applyAlignment="1" applyProtection="1">
      <alignment horizontal="center" vertical="center"/>
    </xf>
    <xf numFmtId="0" fontId="0" fillId="10" borderId="58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7" borderId="31" xfId="0" applyFill="1" applyBorder="1" applyAlignment="1">
      <alignment horizontal="center"/>
    </xf>
    <xf numFmtId="0" fontId="0" fillId="0" borderId="29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7" borderId="37" xfId="0" applyFill="1" applyBorder="1" applyAlignment="1">
      <alignment horizontal="center"/>
    </xf>
    <xf numFmtId="0" fontId="0" fillId="0" borderId="35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1" xfId="0" applyFill="1" applyBorder="1" applyAlignment="1">
      <alignment horizontal="center" vertical="center"/>
    </xf>
    <xf numFmtId="0" fontId="0" fillId="6" borderId="8" xfId="0" applyFill="1" applyBorder="1"/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02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153447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/>
      </xdr:nvSpPr>
      <xdr:spPr>
        <a:xfrm>
          <a:off x="10079355" y="720090"/>
          <a:ext cx="1121501" cy="7010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/>
      </xdr:nvSpPr>
      <xdr:spPr>
        <a:xfrm>
          <a:off x="30874335" y="245745"/>
          <a:ext cx="862421" cy="1156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13314045" y="90297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2457450</xdr:colOff>
      <xdr:row>8</xdr:row>
      <xdr:rowOff>50800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200525" cy="1765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130873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>
        <a:xfrm>
          <a:off x="29245560" y="257175"/>
          <a:ext cx="147011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>
        <a:xfrm>
          <a:off x="130873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130873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>
        <a:xfrm>
          <a:off x="130873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2463800</xdr:colOff>
      <xdr:row>8</xdr:row>
      <xdr:rowOff>25400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3063875" cy="1739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130873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25</xdr:col>
      <xdr:colOff>1772285</xdr:colOff>
      <xdr:row>1</xdr:row>
      <xdr:rowOff>3175</xdr:rowOff>
    </xdr:from>
    <xdr:to>
      <xdr:col>28</xdr:col>
      <xdr:colOff>343626</xdr:colOff>
      <xdr:row>6</xdr:row>
      <xdr:rowOff>146050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/>
      </xdr:nvSpPr>
      <xdr:spPr>
        <a:xfrm>
          <a:off x="26575385" y="244475"/>
          <a:ext cx="1562191" cy="118427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/>
      </xdr:nvSpPr>
      <xdr:spPr>
        <a:xfrm>
          <a:off x="130873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/>
      </xdr:nvSpPr>
      <xdr:spPr>
        <a:xfrm>
          <a:off x="130873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/>
      </xdr:nvSpPr>
      <xdr:spPr>
        <a:xfrm>
          <a:off x="130873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1" name="Abs" displayName="Abs" ref="B73:C80" totalsRowShown="0" headerRowDxfId="401" dataDxfId="400">
  <autoFilter ref="B73:C80"/>
  <tableColumns count="2">
    <tableColumn id="1" name="Exercise" dataDxfId="399" dataCellStyle="Hyperlink"/>
    <tableColumn id="2" name="Link" dataDxfId="3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r_or_Side_Delts" displayName="Rear_or_Side_Delts" ref="B275:C284" totalsRowShown="0" headerRowDxfId="397" dataDxfId="395" headerRowBorderDxfId="396" tableBorderDxfId="394">
  <autoFilter ref="B275:C284"/>
  <tableColumns count="2">
    <tableColumn id="1" name="Exercise" dataDxfId="393" dataCellStyle="Hyperlink"/>
    <tableColumn id="2" name="Link" dataDxfId="3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Name" displayName="Table_Name" ref="B286:E308" totalsRowShown="0">
  <autoFilter ref="B286:E308"/>
  <tableColumns count="4">
    <tableColumn id="1" name="Category"/>
    <tableColumn id="2" name="Table name" dataDxfId="391"/>
    <tableColumn id="3" name="Name List" dataDxfId="390"/>
    <tableColumn id="4" name="Link List" dataDxfId="389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st_Isolation_or_Triceps" displayName="Chest_Isolation_or_Triceps" ref="B253:C273" totalsRowShown="0" headerRowDxfId="388" dataDxfId="386" headerRowBorderDxfId="387" tableBorderDxfId="385">
  <autoFilter ref="B253:C273"/>
  <tableColumns count="2">
    <tableColumn id="1" name="Exercise" dataDxfId="384" dataCellStyle="Hyperlink"/>
    <tableColumn id="2" name="Link" dataDxfId="3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line_Push_or_front_Delts" displayName="Incline_Push_or_front_Delts" ref="B240:C252" totalsRowShown="0" headerRowDxfId="382" dataDxfId="380" headerRowBorderDxfId="381" tableBorderDxfId="379">
  <autoFilter ref="B240:C252"/>
  <tableColumns count="2">
    <tableColumn id="1" name="Exercise" dataDxfId="378" dataCellStyle="Hyperlink"/>
    <tableColumn id="2" name="Link" dataDxfId="37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iceps" displayName="Triceps" ref="B226:C239" totalsRowShown="0" headerRowDxfId="376" dataDxfId="374" headerRowBorderDxfId="375" tableBorderDxfId="373">
  <autoFilter ref="B226:C239"/>
  <tableColumns count="2">
    <tableColumn id="1" name="Exercise" dataDxfId="372" dataCellStyle="Hyperlink"/>
    <tableColumn id="2" name="Link" dataDxfId="3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ont_Delts" displayName="Front_Delts" ref="B217:C223" totalsRowShown="0" headerRowDxfId="370" dataDxfId="368" headerRowBorderDxfId="369" tableBorderDxfId="367">
  <autoFilter ref="B217:C223"/>
  <tableColumns count="2">
    <tableColumn id="1" name="Exercise" dataDxfId="366" dataCellStyle="Hyperlink"/>
    <tableColumn id="2" name="Link" dataDxfId="3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cline_Push" displayName="Incline_Push" ref="B209:C215" totalsRowShown="0" headerRowDxfId="364" dataDxfId="362" headerRowBorderDxfId="363" tableBorderDxfId="361">
  <autoFilter ref="B209:C215"/>
  <tableColumns count="2">
    <tableColumn id="1" name="Exercise" dataDxfId="360" dataCellStyle="Hyperlink"/>
    <tableColumn id="2" name="Link" dataDxfId="3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orizontal_Push" displayName="Horizontal_Push" ref="B200:C207" totalsRowShown="0" headerRowDxfId="358" dataDxfId="356" headerRowBorderDxfId="357" tableBorderDxfId="355">
  <autoFilter ref="B200:C207"/>
  <tableColumns count="2">
    <tableColumn id="1" name="Exercise" dataDxfId="354" dataCellStyle="Hyperlink"/>
    <tableColumn id="2" name="Link" dataDxfId="3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est_Isolation" displayName="Chest_Isolation" ref="B191:C198" totalsRowShown="0" headerRowDxfId="352" dataDxfId="350" headerRowBorderDxfId="351" tableBorderDxfId="349">
  <autoFilter ref="B191:C198"/>
  <tableColumns count="2">
    <tableColumn id="1" name="Exercise" dataDxfId="348" dataCellStyle="Hyperlink"/>
    <tableColumn id="2" name="Link" dataDxfId="34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Hamstrings_Isolation" displayName="Hamstrings_Isolation" ref="B186:C189" totalsRowShown="0" headerRowDxfId="346" dataDxfId="344" headerRowBorderDxfId="345" tableBorderDxfId="343">
  <autoFilter ref="B186:C189"/>
  <tableColumns count="2">
    <tableColumn id="1" name="Exercise" dataDxfId="342" dataCellStyle="Hyperlink"/>
    <tableColumn id="2" name="Link" dataDxfId="3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Hamstrings_Hip_Hinge" displayName="Hamstrings_Hip_Hinge" ref="B180:C184" totalsRowShown="0" headerRowDxfId="340" dataDxfId="338" headerRowBorderDxfId="339" tableBorderDxfId="337">
  <autoFilter ref="B180:C184"/>
  <tableColumns count="2">
    <tableColumn id="1" name="Exercise" dataDxfId="336" dataCellStyle="Hyperlink"/>
    <tableColumn id="2" name="Link" dataDxfId="3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utes" displayName="Glutes" ref="B170:C178" totalsRowShown="0" headerRowDxfId="334" dataDxfId="332" headerRowBorderDxfId="333" tableBorderDxfId="331">
  <autoFilter ref="B170:C178"/>
  <tableColumns count="2">
    <tableColumn id="1" name="Exercise" dataDxfId="330" dataCellStyle="Hyperlink"/>
    <tableColumn id="2" name="Link" dataDxfId="32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ds" displayName="Quads" ref="B161:C168" totalsRowShown="0" headerRowDxfId="328" dataDxfId="326" headerRowBorderDxfId="327" tableBorderDxfId="325">
  <autoFilter ref="B161:C168"/>
  <tableColumns count="2">
    <tableColumn id="1" name="Exercise" dataDxfId="324" dataCellStyle="Hyperlink"/>
    <tableColumn id="2" name="Link" dataDxfId="32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ertical_Back" displayName="Vertical_Back" ref="B147:C159" totalsRowShown="0" headerRowDxfId="322" dataDxfId="320" headerRowBorderDxfId="321" tableBorderDxfId="319" dataCellStyle="Hyperlink">
  <autoFilter ref="B147:C159"/>
  <tableColumns count="2">
    <tableColumn id="1" name="Exercise" dataDxfId="318" dataCellStyle="Hyperlink"/>
    <tableColumn id="2" name="Link" dataDxfId="317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rizontal_Back" displayName="Horizontal_Back" ref="B137:C145" totalsRowShown="0" headerRowDxfId="316" dataDxfId="314" headerRowBorderDxfId="315" tableBorderDxfId="313">
  <autoFilter ref="B137:C145"/>
  <tableColumns count="2">
    <tableColumn id="1" name="Exercise" dataDxfId="312" dataCellStyle="Hyperlink"/>
    <tableColumn id="2" name="Link" dataDxfId="3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ertical_Triceps" displayName="Vertical_Triceps" ref="B130:C135" totalsRowShown="0" headerRowDxfId="310" dataDxfId="308" headerRowBorderDxfId="309" tableBorderDxfId="307">
  <autoFilter ref="B130:C135"/>
  <tableColumns count="2">
    <tableColumn id="1" name="Exercise" dataDxfId="306" dataCellStyle="Hyperlink"/>
    <tableColumn id="2" name="Link" dataDxfId="30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rizontal_Triceps" displayName="Horizontal_Triceps" ref="B120:C128" totalsRowShown="0" headerRowDxfId="304" dataDxfId="302" headerRowBorderDxfId="303" tableBorderDxfId="301">
  <autoFilter ref="B120:C128"/>
  <tableColumns count="2">
    <tableColumn id="1" name="Exercise" dataDxfId="300" dataCellStyle="Hyperlink"/>
    <tableColumn id="2" name="Link" dataDxfId="29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raps" displayName="Traps" ref="B114:C118" totalsRowShown="0" headerRowDxfId="298" dataDxfId="296" headerRowBorderDxfId="297" tableBorderDxfId="295">
  <autoFilter ref="B114:C118"/>
  <tableColumns count="2">
    <tableColumn id="1" name="Exercise" dataDxfId="294" dataCellStyle="Hyperlink"/>
    <tableColumn id="2" name="Link" dataDxfId="29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ide_Delts" displayName="Side_Delts" ref="B107:C112" totalsRowShown="0" headerRowDxfId="292" dataDxfId="290" headerRowBorderDxfId="291" tableBorderDxfId="289">
  <autoFilter ref="B107:C112"/>
  <tableColumns count="2">
    <tableColumn id="1" name="Exercise" dataDxfId="288" dataCellStyle="Hyperlink"/>
    <tableColumn id="2" name="Link" dataDxfId="28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ear_Delts" displayName="Rear_Delts" ref="B101:C105" totalsRowShown="0" headerRowDxfId="286" dataDxfId="284" headerRowBorderDxfId="285" tableBorderDxfId="283">
  <autoFilter ref="B101:C105"/>
  <tableColumns count="2">
    <tableColumn id="1" name="Exercise" dataDxfId="282" dataCellStyle="Hyperlink"/>
    <tableColumn id="2" name="Link" dataDxfId="28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ceps" displayName="Biceps" ref="B88:C99" totalsRowShown="0" headerRowDxfId="280" dataDxfId="278" headerRowBorderDxfId="279" tableBorderDxfId="277">
  <autoFilter ref="B88:C99"/>
  <tableColumns count="2">
    <tableColumn id="1" name="Exercise" dataDxfId="276" dataCellStyle="Hyperlink"/>
    <tableColumn id="2" name="Link" dataDxfId="27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Calves" displayName="Calves" ref="B82:C86" totalsRowShown="0" headerRowDxfId="274" dataDxfId="272" headerRowBorderDxfId="273" tableBorderDxfId="271">
  <autoFilter ref="B82:C86"/>
  <tableColumns count="2">
    <tableColumn id="1" name="Exercise" dataDxfId="270" dataCellStyle="Hyperlink"/>
    <tableColumn id="2" name="Link" dataDxfId="26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inks" displayName="Links" ref="B310:D480" totalsRowShown="0">
  <autoFilter ref="B310:D480"/>
  <sortState ref="B331:D540">
    <sortCondition ref="C94:C304"/>
  </sortState>
  <tableColumns count="3">
    <tableColumn id="1" name="Exercise" dataDxfId="268"/>
    <tableColumn id="2" name="Link"/>
    <tableColumn id="3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Abs_26" displayName="Abs_26" ref="B76:C83" totalsRowShown="0" headerRowDxfId="267" dataDxfId="266">
  <autoFilter ref="B76:C83"/>
  <tableColumns count="2">
    <tableColumn id="1" name="Exercise" dataDxfId="265" dataCellStyle="Hyperlink"/>
    <tableColumn id="2" name="Link" dataDxfId="26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Rear_or_Side_Delts27" displayName="Rear_or_Side_Delts27" ref="B278:C287" totalsRowShown="0" headerRowDxfId="263" dataDxfId="261" headerRowBorderDxfId="262" tableBorderDxfId="260">
  <autoFilter ref="B278:C287"/>
  <tableColumns count="2">
    <tableColumn id="1" name="Exercise" dataDxfId="259" dataCellStyle="Hyperlink"/>
    <tableColumn id="2" name="Link" dataDxfId="25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Name28" displayName="Table_Name28" ref="B289:E311" totalsRowShown="0">
  <autoFilter ref="B289:E311"/>
  <tableColumns count="4">
    <tableColumn id="1" name="Category"/>
    <tableColumn id="2" name="Table name" dataDxfId="257"/>
    <tableColumn id="3" name="Name List" dataDxfId="256"/>
    <tableColumn id="4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est_Isolation_or_Triceps29" displayName="Chest_Isolation_or_Triceps29" ref="B256:C276" totalsRowShown="0" headerRowDxfId="254" dataDxfId="252" headerRowBorderDxfId="253" tableBorderDxfId="251">
  <autoFilter ref="B256:C276"/>
  <tableColumns count="2">
    <tableColumn id="1" name="Exercise" dataDxfId="250" dataCellStyle="Hyperlink"/>
    <tableColumn id="2" name="Link" dataDxfId="2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Incline_Push_or_front_Delts30" displayName="Incline_Push_or_front_Delts30" ref="B243:C255" totalsRowShown="0" headerRowDxfId="248" dataDxfId="246" headerRowBorderDxfId="247" tableBorderDxfId="245">
  <autoFilter ref="B243:C255"/>
  <tableColumns count="2">
    <tableColumn id="1" name="Exercise" dataDxfId="244" dataCellStyle="Hyperlink"/>
    <tableColumn id="2" name="Link" dataDxfId="2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riceps31" displayName="Triceps31" ref="B229:C242" totalsRowShown="0" headerRowDxfId="242" dataDxfId="240" headerRowBorderDxfId="241" tableBorderDxfId="239">
  <autoFilter ref="B229:C242"/>
  <tableColumns count="2">
    <tableColumn id="1" name="Exercise" dataDxfId="238" dataCellStyle="Hyperlink"/>
    <tableColumn id="2" name="Link" dataDxfId="2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ront_Delts32" displayName="Front_Delts32" ref="B220:C226" totalsRowShown="0" headerRowDxfId="236" dataDxfId="234" headerRowBorderDxfId="235" tableBorderDxfId="233">
  <autoFilter ref="B220:C226"/>
  <tableColumns count="2">
    <tableColumn id="1" name="Exercise" dataDxfId="232" dataCellStyle="Hyperlink"/>
    <tableColumn id="2" name="Link" dataDxfId="23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Incline_Push33" displayName="Incline_Push33" ref="B212:C218" totalsRowShown="0" headerRowDxfId="230" dataDxfId="228" headerRowBorderDxfId="229" tableBorderDxfId="227">
  <autoFilter ref="B212:C218"/>
  <tableColumns count="2">
    <tableColumn id="1" name="Exercise" dataDxfId="226" dataCellStyle="Hyperlink"/>
    <tableColumn id="2" name="Link" dataDxfId="22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Horizontal_Push34" displayName="Horizontal_Push34" ref="B203:C210" totalsRowShown="0" headerRowDxfId="224" dataDxfId="222" headerRowBorderDxfId="223" tableBorderDxfId="221">
  <autoFilter ref="B203:C210"/>
  <tableColumns count="2">
    <tableColumn id="1" name="Exercise" dataDxfId="220" dataCellStyle="Hyperlink"/>
    <tableColumn id="2" name="Link" dataDxfId="21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hest_Isolation35" displayName="Chest_Isolation35" ref="B194:C201" totalsRowShown="0" headerRowDxfId="218" dataDxfId="216" headerRowBorderDxfId="217" tableBorderDxfId="215">
  <autoFilter ref="B194:C201"/>
  <tableColumns count="2">
    <tableColumn id="1" name="Exercise" dataDxfId="214" dataCellStyle="Hyperlink"/>
    <tableColumn id="2" name="Link" dataDxfId="2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Hamstrings_Isolation36" displayName="Hamstrings_Isolation36" ref="B189:C192" totalsRowShown="0" headerRowDxfId="212" dataDxfId="210" headerRowBorderDxfId="211" tableBorderDxfId="209">
  <autoFilter ref="B189:C192"/>
  <tableColumns count="2">
    <tableColumn id="1" name="Exercise" dataDxfId="208" dataCellStyle="Hyperlink"/>
    <tableColumn id="2" name="Link" dataDxfId="20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Hamstrings_Hip_Hinge37" displayName="Hamstrings_Hip_Hinge37" ref="B183:C187" totalsRowShown="0" headerRowDxfId="206" dataDxfId="204" headerRowBorderDxfId="205" tableBorderDxfId="203">
  <autoFilter ref="B183:C187"/>
  <tableColumns count="2">
    <tableColumn id="1" name="Exercise" dataDxfId="202" dataCellStyle="Hyperlink"/>
    <tableColumn id="2" name="Link" dataDxfId="20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Glutes38" displayName="Glutes38" ref="B173:C181" totalsRowShown="0" headerRowDxfId="200" dataDxfId="198" headerRowBorderDxfId="199" tableBorderDxfId="197">
  <autoFilter ref="B173:C181"/>
  <tableColumns count="2">
    <tableColumn id="1" name="Exercise" dataDxfId="196" dataCellStyle="Hyperlink"/>
    <tableColumn id="2" name="Link" dataDxfId="19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ds39" displayName="Quads39" ref="B164:C171" totalsRowShown="0" headerRowDxfId="194" dataDxfId="192" headerRowBorderDxfId="193" tableBorderDxfId="191">
  <autoFilter ref="B164:C171"/>
  <tableColumns count="2">
    <tableColumn id="1" name="Exercise" dataDxfId="190" dataCellStyle="Hyperlink"/>
    <tableColumn id="2" name="Link" dataDxfId="1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Vertical_Back40" displayName="Vertical_Back40" ref="B150:C162" totalsRowShown="0" headerRowDxfId="188" dataDxfId="186" headerRowBorderDxfId="187" tableBorderDxfId="185" dataCellStyle="Hyperlink">
  <autoFilter ref="B150:C162"/>
  <tableColumns count="2">
    <tableColumn id="1" name="Exercise" dataDxfId="184" dataCellStyle="Hyperlink"/>
    <tableColumn id="2" name="Link" dataDxfId="183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Horizontal_Back41" displayName="Horizontal_Back41" ref="B140:C148" totalsRowShown="0" headerRowDxfId="182" dataDxfId="180" headerRowBorderDxfId="181" tableBorderDxfId="179">
  <autoFilter ref="B140:C148"/>
  <tableColumns count="2">
    <tableColumn id="1" name="Exercise" dataDxfId="178" dataCellStyle="Hyperlink"/>
    <tableColumn id="2" name="Link" dataDxfId="1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Vertical_Triceps42" displayName="Vertical_Triceps42" ref="B133:C138" totalsRowShown="0" headerRowDxfId="176" dataDxfId="174" headerRowBorderDxfId="175" tableBorderDxfId="173">
  <autoFilter ref="B133:C138"/>
  <tableColumns count="2">
    <tableColumn id="1" name="Exercise" dataDxfId="172" dataCellStyle="Hyperlink"/>
    <tableColumn id="2" name="Link" dataDxfId="1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Horizontal_Triceps43" displayName="Horizontal_Triceps43" ref="B123:C131" totalsRowShown="0" headerRowDxfId="170" dataDxfId="168" headerRowBorderDxfId="169" tableBorderDxfId="167">
  <autoFilter ref="B123:C131"/>
  <tableColumns count="2">
    <tableColumn id="1" name="Exercise" dataDxfId="166" dataCellStyle="Hyperlink"/>
    <tableColumn id="2" name="Link" dataDxfId="16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raps44" displayName="Traps44" ref="B117:C121" totalsRowShown="0" headerRowDxfId="164" dataDxfId="162" headerRowBorderDxfId="163" tableBorderDxfId="161">
  <autoFilter ref="B117:C121"/>
  <tableColumns count="2">
    <tableColumn id="1" name="Exercise" dataDxfId="160" dataCellStyle="Hyperlink"/>
    <tableColumn id="2" name="Link" dataDxfId="15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ide_Delts45" displayName="Side_Delts45" ref="B110:C115" totalsRowShown="0" headerRowDxfId="158" dataDxfId="156" headerRowBorderDxfId="157" tableBorderDxfId="155">
  <autoFilter ref="B110:C115"/>
  <tableColumns count="2">
    <tableColumn id="1" name="Exercise" dataDxfId="154" dataCellStyle="Hyperlink"/>
    <tableColumn id="2" name="Link" dataDxfId="1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Rear_Delts46" displayName="Rear_Delts46" ref="B104:C108" totalsRowShown="0" headerRowDxfId="152" dataDxfId="150" headerRowBorderDxfId="151" tableBorderDxfId="149">
  <autoFilter ref="B104:C108"/>
  <tableColumns count="2">
    <tableColumn id="1" name="Exercise" dataDxfId="148" dataCellStyle="Hyperlink"/>
    <tableColumn id="2" name="Link" dataDxfId="14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Biceps47" displayName="Biceps47" ref="B91:C102" totalsRowShown="0" headerRowDxfId="146" dataDxfId="144" headerRowBorderDxfId="145" tableBorderDxfId="143">
  <autoFilter ref="B91:C102"/>
  <tableColumns count="2">
    <tableColumn id="1" name="Exercise" dataDxfId="142" dataCellStyle="Hyperlink"/>
    <tableColumn id="2" name="Link" dataDxfId="14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Calves48" displayName="Calves48" ref="B85:C89" totalsRowShown="0" headerRowDxfId="140" dataDxfId="138" headerRowBorderDxfId="139" tableBorderDxfId="137">
  <autoFilter ref="B85:C89"/>
  <tableColumns count="2">
    <tableColumn id="1" name="Exercise" dataDxfId="136" dataCellStyle="Hyperlink"/>
    <tableColumn id="2" name="Link" dataDxfId="13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Links49" displayName="Links49" ref="B313:D483" totalsRowShown="0">
  <autoFilter ref="B313:D483"/>
  <sortState ref="B314:D523">
    <sortCondition ref="C94:C304"/>
  </sortState>
  <tableColumns count="3">
    <tableColumn id="1" name="Exercise" dataDxfId="134"/>
    <tableColumn id="2" name="Link"/>
    <tableColumn id="3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Abs_50" displayName="Abs_50" ref="B70:C77" totalsRowShown="0" headerRowDxfId="133" dataDxfId="132">
  <autoFilter ref="B70:C77"/>
  <tableColumns count="2">
    <tableColumn id="1" name="Exercise" dataDxfId="131" dataCellStyle="Hyperlink"/>
    <tableColumn id="2" name="Link" dataDxfId="13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Rear_or_Side_Delts51" displayName="Rear_or_Side_Delts51" ref="B272:C281" totalsRowShown="0" headerRowDxfId="129" dataDxfId="127" headerRowBorderDxfId="128" tableBorderDxfId="126">
  <autoFilter ref="B272:C281"/>
  <tableColumns count="2">
    <tableColumn id="1" name="Exercise" dataDxfId="125" dataCellStyle="Hyperlink"/>
    <tableColumn id="2" name="Link" dataDxfId="12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Name52" displayName="Table_Name52" ref="B283:E305" totalsRowShown="0">
  <autoFilter ref="B283:E305"/>
  <tableColumns count="4">
    <tableColumn id="1" name="Category"/>
    <tableColumn id="2" name="Table name" dataDxfId="123"/>
    <tableColumn id="3" name="Name List" dataDxfId="122"/>
    <tableColumn id="4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Chest_Isolation_or_Triceps53" displayName="Chest_Isolation_or_Triceps53" ref="B250:C270" totalsRowShown="0" headerRowDxfId="120" dataDxfId="118" headerRowBorderDxfId="119" tableBorderDxfId="117">
  <autoFilter ref="B250:C270"/>
  <tableColumns count="2">
    <tableColumn id="1" name="Exercise" dataDxfId="116" dataCellStyle="Hyperlink"/>
    <tableColumn id="2" name="Link" dataDxfId="11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Incline_Push_or_front_Delts54" displayName="Incline_Push_or_front_Delts54" ref="B237:C249" totalsRowShown="0" headerRowDxfId="114" dataDxfId="112" headerRowBorderDxfId="113" tableBorderDxfId="111">
  <autoFilter ref="B237:C249"/>
  <tableColumns count="2">
    <tableColumn id="1" name="Exercise" dataDxfId="110" dataCellStyle="Hyperlink"/>
    <tableColumn id="2" name="Link" dataDxfId="10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riceps55" displayName="Triceps55" ref="B223:C236" totalsRowShown="0" headerRowDxfId="108" dataDxfId="106" headerRowBorderDxfId="107" tableBorderDxfId="105">
  <autoFilter ref="B223:C236"/>
  <tableColumns count="2">
    <tableColumn id="1" name="Exercise" dataDxfId="104" dataCellStyle="Hyperlink"/>
    <tableColumn id="2" name="Link" dataDxfId="10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ront_Delts56" displayName="Front_Delts56" ref="B214:C220" totalsRowShown="0" headerRowDxfId="102" dataDxfId="100" headerRowBorderDxfId="101" tableBorderDxfId="99">
  <autoFilter ref="B214:C220"/>
  <tableColumns count="2">
    <tableColumn id="1" name="Exercise" dataDxfId="98" dataCellStyle="Hyperlink"/>
    <tableColumn id="2" name="Link" dataDxfId="9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Incline_Push57" displayName="Incline_Push57" ref="B206:C212" totalsRowShown="0" headerRowDxfId="96" dataDxfId="94" headerRowBorderDxfId="95" tableBorderDxfId="93">
  <autoFilter ref="B206:C212"/>
  <tableColumns count="2">
    <tableColumn id="1" name="Exercise" dataDxfId="92" dataCellStyle="Hyperlink"/>
    <tableColumn id="2" name="Link" dataDxfId="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Horizontal_Push58" displayName="Horizontal_Push58" ref="B197:C204" totalsRowShown="0" headerRowDxfId="90" dataDxfId="88" headerRowBorderDxfId="89" tableBorderDxfId="87">
  <autoFilter ref="B197:C204"/>
  <tableColumns count="2">
    <tableColumn id="1" name="Exercise" dataDxfId="86" dataCellStyle="Hyperlink"/>
    <tableColumn id="2" name="Link" dataDxfId="8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Chest_Isolation59" displayName="Chest_Isolation59" ref="B188:C195" totalsRowShown="0" headerRowDxfId="84" dataDxfId="82" headerRowBorderDxfId="83" tableBorderDxfId="81">
  <autoFilter ref="B188:C195"/>
  <tableColumns count="2">
    <tableColumn id="1" name="Exercise" dataDxfId="80" dataCellStyle="Hyperlink"/>
    <tableColumn id="2" name="Link" dataDxfId="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Hamstrings_Isolation60" displayName="Hamstrings_Isolation60" ref="B183:C186" totalsRowShown="0" headerRowDxfId="78" dataDxfId="76" headerRowBorderDxfId="77" tableBorderDxfId="75">
  <autoFilter ref="B183:C186"/>
  <tableColumns count="2">
    <tableColumn id="1" name="Exercise" dataDxfId="74" dataCellStyle="Hyperlink"/>
    <tableColumn id="2" name="Link" dataDxfId="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Hamstrings_Hip_Hinge61" displayName="Hamstrings_Hip_Hinge61" ref="B177:C181" totalsRowShown="0" headerRowDxfId="72" dataDxfId="70" headerRowBorderDxfId="71" tableBorderDxfId="69">
  <autoFilter ref="B177:C181"/>
  <tableColumns count="2">
    <tableColumn id="1" name="Exercise" dataDxfId="68" dataCellStyle="Hyperlink"/>
    <tableColumn id="2" name="Link" dataDxfId="6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Glutes62" displayName="Glutes62" ref="B167:C175" totalsRowShown="0" headerRowDxfId="66" dataDxfId="64" headerRowBorderDxfId="65" tableBorderDxfId="63">
  <autoFilter ref="B167:C175"/>
  <tableColumns count="2">
    <tableColumn id="1" name="Exercise" dataDxfId="62" dataCellStyle="Hyperlink"/>
    <tableColumn id="2" name="Link" dataDxfId="6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Quads63" displayName="Quads63" ref="B158:C165" totalsRowShown="0" headerRowDxfId="60" dataDxfId="58" headerRowBorderDxfId="59" tableBorderDxfId="57">
  <autoFilter ref="B158:C165"/>
  <tableColumns count="2">
    <tableColumn id="1" name="Exercise" dataDxfId="56" dataCellStyle="Hyperlink"/>
    <tableColumn id="2" name="Link" dataDxfId="5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Vertical_Back64" displayName="Vertical_Back64" ref="B144:C156" totalsRowShown="0" headerRowDxfId="54" dataDxfId="52" headerRowBorderDxfId="53" tableBorderDxfId="51" dataCellStyle="Hyperlink">
  <autoFilter ref="B144:C156"/>
  <tableColumns count="2">
    <tableColumn id="1" name="Exercise" dataDxfId="50" dataCellStyle="Hyperlink"/>
    <tableColumn id="2" name="Link" dataDxfId="49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Horizontal_Back65" displayName="Horizontal_Back65" ref="B134:C142" totalsRowShown="0" headerRowDxfId="48" dataDxfId="46" headerRowBorderDxfId="47" tableBorderDxfId="45">
  <autoFilter ref="B134:C142"/>
  <tableColumns count="2">
    <tableColumn id="1" name="Exercise" dataDxfId="44" dataCellStyle="Hyperlink"/>
    <tableColumn id="2" name="Link" dataDxfId="4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Vertical_Triceps66" displayName="Vertical_Triceps66" ref="B127:C132" totalsRowShown="0" headerRowDxfId="42" dataDxfId="40" headerRowBorderDxfId="41" tableBorderDxfId="39">
  <autoFilter ref="B127:C132"/>
  <tableColumns count="2">
    <tableColumn id="1" name="Exercise" dataDxfId="38" dataCellStyle="Hyperlink"/>
    <tableColumn id="2" name="Link" dataDxfId="3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Horizontal_Triceps67" displayName="Horizontal_Triceps67" ref="B117:C125" totalsRowShown="0" headerRowDxfId="36" dataDxfId="34" headerRowBorderDxfId="35" tableBorderDxfId="33">
  <autoFilter ref="B117:C125"/>
  <tableColumns count="2">
    <tableColumn id="1" name="Exercise" dataDxfId="32" dataCellStyle="Hyperlink"/>
    <tableColumn id="2" name="Link" dataDxfId="3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raps68" displayName="Traps68" ref="B111:C115" totalsRowShown="0" headerRowDxfId="30" dataDxfId="28" headerRowBorderDxfId="29" tableBorderDxfId="27">
  <autoFilter ref="B111:C115"/>
  <tableColumns count="2">
    <tableColumn id="1" name="Exercise" dataDxfId="26" dataCellStyle="Hyperlink"/>
    <tableColumn id="2" name="Link" dataDxfId="2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Side_Delts69" displayName="Side_Delts69" ref="B104:C109" totalsRowShown="0" headerRowDxfId="24" dataDxfId="22" headerRowBorderDxfId="23" tableBorderDxfId="21">
  <autoFilter ref="B104:C109"/>
  <tableColumns count="2">
    <tableColumn id="1" name="Exercise" dataDxfId="20" dataCellStyle="Hyperlink"/>
    <tableColumn id="2" name="Link" dataDxfId="1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Rear_Delts70" displayName="Rear_Delts70" ref="B98:C102" totalsRowShown="0" headerRowDxfId="18" dataDxfId="16" headerRowBorderDxfId="17" tableBorderDxfId="15">
  <autoFilter ref="B98:C102"/>
  <tableColumns count="2">
    <tableColumn id="1" name="Exercise" dataDxfId="14" dataCellStyle="Hyperlink"/>
    <tableColumn id="2" name="Link" dataDxfId="1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Biceps71" displayName="Biceps71" ref="B85:C96" totalsRowShown="0" headerRowDxfId="12" dataDxfId="10" headerRowBorderDxfId="11" tableBorderDxfId="9">
  <autoFilter ref="B85:C96"/>
  <tableColumns count="2">
    <tableColumn id="1" name="Exercise" dataDxfId="8" dataCellStyle="Hyperlink"/>
    <tableColumn id="2" name="Link" dataDxfId="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Calves72" displayName="Calves72" ref="B79:C83" totalsRowShown="0" headerRowDxfId="6" dataDxfId="4" headerRowBorderDxfId="5" tableBorderDxfId="3">
  <autoFilter ref="B79:C83"/>
  <tableColumns count="2">
    <tableColumn id="1" name="Exercise" dataDxfId="2" dataCellStyle="Hyperlink"/>
    <tableColumn id="2" name="Link" dataDxfId="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Links73" displayName="Links73" ref="B307:D477" totalsRowShown="0">
  <autoFilter ref="B307:D477"/>
  <sortState ref="B314:D523">
    <sortCondition ref="C94:C304"/>
  </sortState>
  <tableColumns count="3">
    <tableColumn id="1" name="Exercise" dataDxfId="0"/>
    <tableColumn id="2" name="Link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1.xml"/><Relationship Id="rId186" Type="http://schemas.openxmlformats.org/officeDocument/2006/relationships/table" Target="../tables/table5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11.xm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1.xm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17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12.xml"/><Relationship Id="rId202" Type="http://schemas.openxmlformats.org/officeDocument/2006/relationships/table" Target="../tables/table21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2.xml"/><Relationship Id="rId186" Type="http://schemas.openxmlformats.org/officeDocument/2006/relationships/table" Target="../tables/table29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35.xm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25.xm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41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36.xml"/><Relationship Id="rId202" Type="http://schemas.openxmlformats.org/officeDocument/2006/relationships/table" Target="../tables/table45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31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6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3.xml"/><Relationship Id="rId186" Type="http://schemas.openxmlformats.org/officeDocument/2006/relationships/table" Target="../tables/table53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59.xm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49.xm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65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60.xml"/><Relationship Id="rId202" Type="http://schemas.openxmlformats.org/officeDocument/2006/relationships/table" Target="../tables/table69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55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50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0"/>
  <sheetViews>
    <sheetView showGridLines="0" tabSelected="1" workbookViewId="0">
      <selection activeCell="I43" sqref="I43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10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0.7109375" bestFit="1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0.7109375" bestFit="1" customWidth="1"/>
    <col min="21" max="21" width="9.2851562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0.7109375" bestFit="1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0.7109375" bestFit="1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2:35" ht="19.5" thickBot="1" x14ac:dyDescent="0.35">
      <c r="C1" s="32" t="s">
        <v>87</v>
      </c>
      <c r="D1" s="42"/>
      <c r="E1" s="25"/>
      <c r="F1" s="30" t="s">
        <v>97</v>
      </c>
      <c r="G1" s="31" t="s">
        <v>100</v>
      </c>
      <c r="H1" s="33" t="s">
        <v>89</v>
      </c>
      <c r="I1" s="7" t="s">
        <v>92</v>
      </c>
      <c r="J1" s="9"/>
      <c r="K1" s="9"/>
      <c r="L1" s="9"/>
      <c r="M1" s="9"/>
      <c r="N1" s="9"/>
      <c r="O1" s="9"/>
      <c r="P1" s="9"/>
      <c r="Q1" s="9"/>
      <c r="R1" s="9"/>
      <c r="S1" s="9"/>
      <c r="T1" s="13"/>
      <c r="U1" s="20" t="s">
        <v>93</v>
      </c>
      <c r="V1" s="19"/>
      <c r="W1" s="21"/>
      <c r="X1" s="21"/>
      <c r="Y1" s="21"/>
      <c r="Z1" s="21"/>
      <c r="AA1" s="15"/>
      <c r="AB1" s="15"/>
      <c r="AC1" s="15"/>
      <c r="AD1" s="15"/>
      <c r="AE1" s="15"/>
      <c r="AF1" s="15"/>
      <c r="AG1" s="11"/>
      <c r="AH1" s="1"/>
    </row>
    <row r="2" spans="2:35" ht="19.5" thickBot="1" x14ac:dyDescent="0.35">
      <c r="F2" s="26" t="s">
        <v>95</v>
      </c>
      <c r="G2" s="28" t="s">
        <v>98</v>
      </c>
      <c r="H2" s="34" t="s">
        <v>90</v>
      </c>
      <c r="I2" s="16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3" t="s">
        <v>94</v>
      </c>
      <c r="V2" s="24"/>
      <c r="W2" s="22"/>
      <c r="X2" s="22"/>
      <c r="Y2" s="22"/>
      <c r="Z2" s="6"/>
      <c r="AA2" s="4"/>
      <c r="AB2" s="4"/>
      <c r="AC2" s="4"/>
    </row>
    <row r="3" spans="2:35" ht="19.5" thickBot="1" x14ac:dyDescent="0.3">
      <c r="C3" t="s">
        <v>0</v>
      </c>
      <c r="F3" s="27" t="s">
        <v>96</v>
      </c>
      <c r="G3" s="29" t="s">
        <v>99</v>
      </c>
      <c r="H3" s="35" t="s">
        <v>91</v>
      </c>
      <c r="I3" s="16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2:35" ht="15.75" thickBot="1" x14ac:dyDescent="0.3">
      <c r="G4" t="s">
        <v>0</v>
      </c>
      <c r="I4" s="17" t="s">
        <v>82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0"/>
      <c r="U4" s="4"/>
      <c r="V4" s="4"/>
      <c r="W4" s="4"/>
      <c r="X4" s="4"/>
      <c r="Y4" s="4"/>
      <c r="Z4" s="4"/>
      <c r="AA4" s="4"/>
      <c r="AB4" s="4"/>
      <c r="AC4" s="4"/>
    </row>
    <row r="7" spans="2:35" ht="15.75" thickBot="1" x14ac:dyDescent="0.3"/>
    <row r="8" spans="2:35" ht="19.5" thickBot="1" x14ac:dyDescent="0.3">
      <c r="G8" s="5" t="s">
        <v>101</v>
      </c>
      <c r="H8" s="154" t="s">
        <v>1</v>
      </c>
      <c r="I8" s="155"/>
      <c r="J8" s="155"/>
      <c r="K8" s="155"/>
      <c r="L8" s="155"/>
      <c r="M8" s="156"/>
      <c r="N8" s="157" t="s">
        <v>2</v>
      </c>
      <c r="O8" s="158"/>
      <c r="P8" s="158"/>
      <c r="Q8" s="158"/>
      <c r="R8" s="158"/>
      <c r="S8" s="159"/>
      <c r="T8" s="160" t="s">
        <v>3</v>
      </c>
      <c r="U8" s="161"/>
      <c r="V8" s="161"/>
      <c r="W8" s="161"/>
      <c r="X8" s="161"/>
      <c r="Y8" s="162"/>
      <c r="Z8" s="163" t="s">
        <v>4</v>
      </c>
      <c r="AA8" s="164"/>
      <c r="AB8" s="164"/>
      <c r="AC8" s="164"/>
      <c r="AD8" s="164"/>
      <c r="AE8" s="165"/>
      <c r="AF8" s="166" t="s">
        <v>5</v>
      </c>
      <c r="AG8" s="167"/>
      <c r="AH8" s="167"/>
      <c r="AI8" s="168"/>
    </row>
    <row r="9" spans="2:35" ht="15.75" thickBot="1" x14ac:dyDescent="0.3">
      <c r="B9" s="38"/>
      <c r="C9" s="38" t="s">
        <v>16</v>
      </c>
      <c r="D9" s="38"/>
      <c r="E9" s="38"/>
      <c r="F9" s="38"/>
      <c r="G9" s="69" t="s">
        <v>102</v>
      </c>
      <c r="H9" s="91" t="s">
        <v>88</v>
      </c>
      <c r="I9" s="92" t="s">
        <v>6</v>
      </c>
      <c r="J9" s="93" t="s">
        <v>7</v>
      </c>
      <c r="K9" s="94" t="s">
        <v>8</v>
      </c>
      <c r="L9" s="94" t="s">
        <v>9</v>
      </c>
      <c r="M9" s="95" t="s">
        <v>10</v>
      </c>
      <c r="N9" s="96" t="s">
        <v>88</v>
      </c>
      <c r="O9" s="96" t="s">
        <v>6</v>
      </c>
      <c r="P9" s="93" t="s">
        <v>7</v>
      </c>
      <c r="Q9" s="94" t="s">
        <v>8</v>
      </c>
      <c r="R9" s="94" t="s">
        <v>9</v>
      </c>
      <c r="S9" s="95" t="s">
        <v>10</v>
      </c>
      <c r="T9" s="96" t="s">
        <v>88</v>
      </c>
      <c r="U9" s="96" t="s">
        <v>6</v>
      </c>
      <c r="V9" s="93" t="s">
        <v>7</v>
      </c>
      <c r="W9" s="94" t="s">
        <v>8</v>
      </c>
      <c r="X9" s="94" t="s">
        <v>9</v>
      </c>
      <c r="Y9" s="95" t="s">
        <v>10</v>
      </c>
      <c r="Z9" s="96" t="s">
        <v>88</v>
      </c>
      <c r="AA9" s="96" t="s">
        <v>6</v>
      </c>
      <c r="AB9" s="93" t="s">
        <v>7</v>
      </c>
      <c r="AC9" s="94" t="s">
        <v>8</v>
      </c>
      <c r="AD9" s="94" t="s">
        <v>9</v>
      </c>
      <c r="AE9" s="95" t="s">
        <v>10</v>
      </c>
      <c r="AF9" s="96" t="s">
        <v>88</v>
      </c>
      <c r="AG9" s="96" t="s">
        <v>6</v>
      </c>
      <c r="AH9" s="93" t="s">
        <v>7</v>
      </c>
      <c r="AI9" s="97" t="s">
        <v>8</v>
      </c>
    </row>
    <row r="10" spans="2:35" ht="15.75" thickBot="1" x14ac:dyDescent="0.3">
      <c r="B10" s="77" t="s">
        <v>338</v>
      </c>
      <c r="C10" s="81" t="s">
        <v>85</v>
      </c>
      <c r="D10" s="63"/>
      <c r="E10" s="63"/>
      <c r="F10" s="81" t="s">
        <v>347</v>
      </c>
      <c r="G10" s="81" t="s">
        <v>348</v>
      </c>
      <c r="H10" s="94" t="s">
        <v>85</v>
      </c>
      <c r="I10" s="70"/>
      <c r="J10" s="70"/>
      <c r="K10" s="70"/>
      <c r="L10" s="70"/>
      <c r="M10" s="67"/>
      <c r="N10" s="91" t="s">
        <v>85</v>
      </c>
      <c r="O10" s="70"/>
      <c r="P10" s="70"/>
      <c r="Q10" s="70"/>
      <c r="R10" s="70"/>
      <c r="S10" s="67"/>
      <c r="T10" s="91" t="s">
        <v>85</v>
      </c>
      <c r="U10" s="70"/>
      <c r="V10" s="70"/>
      <c r="W10" s="70"/>
      <c r="X10" s="70"/>
      <c r="Y10" s="67"/>
      <c r="Z10" s="91" t="s">
        <v>85</v>
      </c>
      <c r="AA10" s="70"/>
      <c r="AB10" s="70"/>
      <c r="AC10" s="70"/>
      <c r="AD10" s="70"/>
      <c r="AE10" s="70"/>
      <c r="AF10" s="91" t="s">
        <v>85</v>
      </c>
      <c r="AG10" s="70"/>
      <c r="AH10" s="70"/>
      <c r="AI10" s="67"/>
    </row>
    <row r="11" spans="2:35" ht="15.75" thickBot="1" x14ac:dyDescent="0.3">
      <c r="B11" s="78" t="s">
        <v>143</v>
      </c>
      <c r="C11" s="82"/>
      <c r="D11" s="74" t="str">
        <f t="array" ref="D11">INDEX(Table_Name[Name List],MATCH(B11,Table_Name[Category],0))</f>
        <v>Incline_Push[Exercise]</v>
      </c>
      <c r="E11" s="71" t="e">
        <f t="array" ref="E11">INDEX(Links[Link],MATCH(C11,Links[Exercise],0))</f>
        <v>#N/A</v>
      </c>
      <c r="F11" s="85" t="e">
        <f t="shared" ref="F11:F17" si="0">HYPERLINK(E11,"Video")</f>
        <v>#N/A</v>
      </c>
      <c r="G11" s="88"/>
      <c r="H11" s="98">
        <f t="shared" ref="H11:H17" si="1">C11</f>
        <v>0</v>
      </c>
      <c r="I11" s="99">
        <v>3</v>
      </c>
      <c r="J11" s="99">
        <f t="shared" ref="J11:J17" si="2">MROUND(((G11)*0.85),5)</f>
        <v>0</v>
      </c>
      <c r="K11" s="99" t="s">
        <v>11</v>
      </c>
      <c r="L11" s="99"/>
      <c r="M11" s="69"/>
      <c r="N11" s="100">
        <f t="shared" ref="N11:N17" si="3">C11</f>
        <v>0</v>
      </c>
      <c r="O11" s="99">
        <f>I11+(M35)</f>
        <v>3</v>
      </c>
      <c r="P11" s="99">
        <f t="shared" ref="P11:P17" si="4">MROUND((J11*1.05),5)</f>
        <v>0</v>
      </c>
      <c r="Q11" s="99" t="s">
        <v>11</v>
      </c>
      <c r="R11" s="99"/>
      <c r="S11" s="101"/>
      <c r="T11" s="59">
        <f t="shared" ref="T11:T17" si="5">C11</f>
        <v>0</v>
      </c>
      <c r="U11" s="99">
        <f>O11+(S35)</f>
        <v>3</v>
      </c>
      <c r="V11" s="99">
        <f t="shared" ref="V11:V17" si="6">MROUND((J11*1.075),5)</f>
        <v>0</v>
      </c>
      <c r="W11" s="99" t="s">
        <v>12</v>
      </c>
      <c r="X11" s="99"/>
      <c r="Y11" s="101"/>
      <c r="Z11" s="100">
        <f t="shared" ref="Z11:Z17" si="7">C11</f>
        <v>0</v>
      </c>
      <c r="AA11" s="99">
        <f>U11+(Y35)</f>
        <v>3</v>
      </c>
      <c r="AB11" s="99">
        <f t="shared" ref="AB11:AB17" si="8">MROUND((J11*1.1),5)</f>
        <v>0</v>
      </c>
      <c r="AC11" s="99" t="s">
        <v>13</v>
      </c>
      <c r="AD11" s="99"/>
      <c r="AE11" s="101"/>
      <c r="AF11" s="100">
        <f t="shared" ref="AF11:AF17" si="9">C11</f>
        <v>0</v>
      </c>
      <c r="AG11" s="99">
        <v>2</v>
      </c>
      <c r="AH11" s="102">
        <f>J11</f>
        <v>0</v>
      </c>
      <c r="AI11" s="69" t="s">
        <v>14</v>
      </c>
    </row>
    <row r="12" spans="2:35" ht="15.75" thickBot="1" x14ac:dyDescent="0.3">
      <c r="B12" s="79" t="s">
        <v>175</v>
      </c>
      <c r="C12" s="83"/>
      <c r="D12" s="75" t="str">
        <f t="array" ref="D12">INDEX(Table_Name[Name List],MATCH(B12,Table_Name[Category],0))</f>
        <v>Chest_Isolation_or_Triceps[Exercise]</v>
      </c>
      <c r="E12" s="72" t="e">
        <f t="array" ref="E12">INDEX(Links[Link],MATCH(C12,Links[Exercise],0))</f>
        <v>#N/A</v>
      </c>
      <c r="F12" s="86" t="e">
        <f t="shared" si="0"/>
        <v>#N/A</v>
      </c>
      <c r="G12" s="89"/>
      <c r="H12" s="98">
        <f t="shared" si="1"/>
        <v>0</v>
      </c>
      <c r="I12" s="99">
        <v>3</v>
      </c>
      <c r="J12" s="99">
        <f t="shared" si="2"/>
        <v>0</v>
      </c>
      <c r="K12" s="99" t="s">
        <v>11</v>
      </c>
      <c r="L12" s="99"/>
      <c r="M12" s="69"/>
      <c r="N12" s="100">
        <f t="shared" si="3"/>
        <v>0</v>
      </c>
      <c r="O12" s="99">
        <f>I12+(M34)</f>
        <v>3</v>
      </c>
      <c r="P12" s="99">
        <f t="shared" si="4"/>
        <v>0</v>
      </c>
      <c r="Q12" s="99" t="s">
        <v>11</v>
      </c>
      <c r="R12" s="99"/>
      <c r="S12" s="101"/>
      <c r="T12" s="59">
        <f t="shared" si="5"/>
        <v>0</v>
      </c>
      <c r="U12" s="99">
        <f>O12+(S34)</f>
        <v>3</v>
      </c>
      <c r="V12" s="99">
        <f t="shared" si="6"/>
        <v>0</v>
      </c>
      <c r="W12" s="99" t="s">
        <v>12</v>
      </c>
      <c r="X12" s="99"/>
      <c r="Y12" s="101"/>
      <c r="Z12" s="100">
        <f t="shared" si="7"/>
        <v>0</v>
      </c>
      <c r="AA12" s="99">
        <f>U12+(Y34)</f>
        <v>3</v>
      </c>
      <c r="AB12" s="99">
        <f t="shared" si="8"/>
        <v>0</v>
      </c>
      <c r="AC12" s="99" t="s">
        <v>13</v>
      </c>
      <c r="AD12" s="99"/>
      <c r="AE12" s="101"/>
      <c r="AF12" s="100">
        <f t="shared" si="9"/>
        <v>0</v>
      </c>
      <c r="AG12" s="99">
        <v>2</v>
      </c>
      <c r="AH12" s="102">
        <f t="shared" ref="AH12:AH17" si="10">J12</f>
        <v>0</v>
      </c>
      <c r="AI12" s="69" t="s">
        <v>14</v>
      </c>
    </row>
    <row r="13" spans="2:35" ht="15.75" thickBot="1" x14ac:dyDescent="0.3">
      <c r="B13" s="79" t="s">
        <v>22</v>
      </c>
      <c r="C13" s="83"/>
      <c r="D13" s="75" t="str">
        <f t="array" ref="D13">INDEX(Table_Name[Name List],MATCH(B13,Table_Name[Category],0))</f>
        <v>Horizontal_Push[Exercise]</v>
      </c>
      <c r="E13" s="72" t="e">
        <f t="array" ref="E13">INDEX(Links[Link],MATCH(C13,Links[Exercise],0))</f>
        <v>#N/A</v>
      </c>
      <c r="F13" s="86" t="e">
        <f t="shared" si="0"/>
        <v>#N/A</v>
      </c>
      <c r="G13" s="89"/>
      <c r="H13" s="98">
        <f t="shared" si="1"/>
        <v>0</v>
      </c>
      <c r="I13" s="99">
        <v>3</v>
      </c>
      <c r="J13" s="99">
        <f t="shared" si="2"/>
        <v>0</v>
      </c>
      <c r="K13" s="99" t="s">
        <v>11</v>
      </c>
      <c r="L13" s="99"/>
      <c r="M13" s="69"/>
      <c r="N13" s="100">
        <f t="shared" si="3"/>
        <v>0</v>
      </c>
      <c r="O13" s="99">
        <f>I13+(M34)</f>
        <v>3</v>
      </c>
      <c r="P13" s="99">
        <f t="shared" si="4"/>
        <v>0</v>
      </c>
      <c r="Q13" s="99" t="s">
        <v>11</v>
      </c>
      <c r="R13" s="99"/>
      <c r="S13" s="101"/>
      <c r="T13" s="59">
        <f t="shared" si="5"/>
        <v>0</v>
      </c>
      <c r="U13" s="99">
        <f>O13+(S34)</f>
        <v>3</v>
      </c>
      <c r="V13" s="99">
        <f t="shared" si="6"/>
        <v>0</v>
      </c>
      <c r="W13" s="99" t="s">
        <v>12</v>
      </c>
      <c r="X13" s="99"/>
      <c r="Y13" s="101"/>
      <c r="Z13" s="100">
        <f t="shared" si="7"/>
        <v>0</v>
      </c>
      <c r="AA13" s="99">
        <f>U13+(Y34)</f>
        <v>3</v>
      </c>
      <c r="AB13" s="99">
        <f t="shared" si="8"/>
        <v>0</v>
      </c>
      <c r="AC13" s="99" t="s">
        <v>13</v>
      </c>
      <c r="AD13" s="99"/>
      <c r="AE13" s="101"/>
      <c r="AF13" s="100">
        <f t="shared" si="9"/>
        <v>0</v>
      </c>
      <c r="AG13" s="99">
        <v>2</v>
      </c>
      <c r="AH13" s="102">
        <f t="shared" si="10"/>
        <v>0</v>
      </c>
      <c r="AI13" s="69" t="s">
        <v>14</v>
      </c>
    </row>
    <row r="14" spans="2:35" ht="15.75" thickBot="1" x14ac:dyDescent="0.3">
      <c r="B14" s="79" t="s">
        <v>178</v>
      </c>
      <c r="C14" s="83"/>
      <c r="D14" s="75" t="str">
        <f t="array" ref="D14">INDEX(Table_Name[Name List],MATCH(B14,Table_Name[Category],0))</f>
        <v>Horizontal_Back[Exercise]</v>
      </c>
      <c r="E14" s="72" t="e">
        <f t="array" ref="E14">INDEX(Links[Link],MATCH(C14,Links[Exercise],0))</f>
        <v>#N/A</v>
      </c>
      <c r="F14" s="86" t="e">
        <f t="shared" si="0"/>
        <v>#N/A</v>
      </c>
      <c r="G14" s="89"/>
      <c r="H14" s="98">
        <f t="shared" si="1"/>
        <v>0</v>
      </c>
      <c r="I14" s="99">
        <v>2</v>
      </c>
      <c r="J14" s="99">
        <f t="shared" si="2"/>
        <v>0</v>
      </c>
      <c r="K14" s="99" t="s">
        <v>11</v>
      </c>
      <c r="L14" s="99"/>
      <c r="M14" s="69"/>
      <c r="N14" s="100">
        <f t="shared" si="3"/>
        <v>0</v>
      </c>
      <c r="O14" s="99">
        <f>I14+(M32)</f>
        <v>2</v>
      </c>
      <c r="P14" s="99">
        <f t="shared" si="4"/>
        <v>0</v>
      </c>
      <c r="Q14" s="99" t="s">
        <v>11</v>
      </c>
      <c r="R14" s="99"/>
      <c r="S14" s="101"/>
      <c r="T14" s="59">
        <f t="shared" si="5"/>
        <v>0</v>
      </c>
      <c r="U14" s="99">
        <f>O14+(S32)</f>
        <v>2</v>
      </c>
      <c r="V14" s="99">
        <f t="shared" si="6"/>
        <v>0</v>
      </c>
      <c r="W14" s="99" t="s">
        <v>12</v>
      </c>
      <c r="X14" s="99"/>
      <c r="Y14" s="101"/>
      <c r="Z14" s="100">
        <f t="shared" si="7"/>
        <v>0</v>
      </c>
      <c r="AA14" s="99">
        <f>U14+(Y32)</f>
        <v>2</v>
      </c>
      <c r="AB14" s="99">
        <f t="shared" si="8"/>
        <v>0</v>
      </c>
      <c r="AC14" s="99" t="s">
        <v>13</v>
      </c>
      <c r="AD14" s="99"/>
      <c r="AE14" s="101"/>
      <c r="AF14" s="100">
        <f t="shared" si="9"/>
        <v>0</v>
      </c>
      <c r="AG14" s="99">
        <v>2</v>
      </c>
      <c r="AH14" s="102">
        <f t="shared" si="10"/>
        <v>0</v>
      </c>
      <c r="AI14" s="69" t="s">
        <v>14</v>
      </c>
    </row>
    <row r="15" spans="2:35" ht="15.75" thickBot="1" x14ac:dyDescent="0.3">
      <c r="B15" s="79" t="s">
        <v>130</v>
      </c>
      <c r="C15" s="83"/>
      <c r="D15" s="75" t="str">
        <f t="array" ref="D15">INDEX(Table_Name[Name List],MATCH(B15,Table_Name[Category],0))</f>
        <v>Vertical_Back[Exercise]</v>
      </c>
      <c r="E15" s="72" t="e">
        <f t="array" ref="E15">INDEX(Links[Link],MATCH(C15,Links[Exercise],0))</f>
        <v>#N/A</v>
      </c>
      <c r="F15" s="86" t="e">
        <f t="shared" si="0"/>
        <v>#N/A</v>
      </c>
      <c r="G15" s="89"/>
      <c r="H15" s="98">
        <f t="shared" si="1"/>
        <v>0</v>
      </c>
      <c r="I15" s="99">
        <v>2</v>
      </c>
      <c r="J15" s="99">
        <f t="shared" si="2"/>
        <v>0</v>
      </c>
      <c r="K15" s="99" t="s">
        <v>11</v>
      </c>
      <c r="L15" s="99"/>
      <c r="M15" s="69"/>
      <c r="N15" s="100">
        <f t="shared" si="3"/>
        <v>0</v>
      </c>
      <c r="O15" s="99">
        <f>I15+(M30)</f>
        <v>2</v>
      </c>
      <c r="P15" s="99">
        <f t="shared" si="4"/>
        <v>0</v>
      </c>
      <c r="Q15" s="99" t="s">
        <v>11</v>
      </c>
      <c r="R15" s="99"/>
      <c r="S15" s="101"/>
      <c r="T15" s="59">
        <f t="shared" si="5"/>
        <v>0</v>
      </c>
      <c r="U15" s="99">
        <f>O15+(S30)</f>
        <v>2</v>
      </c>
      <c r="V15" s="99">
        <f t="shared" si="6"/>
        <v>0</v>
      </c>
      <c r="W15" s="99" t="s">
        <v>12</v>
      </c>
      <c r="X15" s="99"/>
      <c r="Y15" s="101"/>
      <c r="Z15" s="100">
        <f t="shared" si="7"/>
        <v>0</v>
      </c>
      <c r="AA15" s="99">
        <f>U15+(Y30)</f>
        <v>2</v>
      </c>
      <c r="AB15" s="99">
        <f t="shared" si="8"/>
        <v>0</v>
      </c>
      <c r="AC15" s="99" t="s">
        <v>13</v>
      </c>
      <c r="AD15" s="99"/>
      <c r="AE15" s="101"/>
      <c r="AF15" s="100">
        <f t="shared" si="9"/>
        <v>0</v>
      </c>
      <c r="AG15" s="99">
        <v>2</v>
      </c>
      <c r="AH15" s="102">
        <f t="shared" si="10"/>
        <v>0</v>
      </c>
      <c r="AI15" s="69" t="s">
        <v>14</v>
      </c>
    </row>
    <row r="16" spans="2:35" ht="15.75" thickBot="1" x14ac:dyDescent="0.3">
      <c r="B16" s="79" t="s">
        <v>105</v>
      </c>
      <c r="C16" s="83"/>
      <c r="D16" s="75" t="str">
        <f t="array" ref="D16">INDEX(Table_Name[Name List],MATCH(B16,Table_Name[Category],0))</f>
        <v>Side_Delts[Exercise]</v>
      </c>
      <c r="E16" s="72" t="e">
        <f t="array" ref="E16">INDEX(Links[Link],MATCH(C16,Links[Exercise],0))</f>
        <v>#N/A</v>
      </c>
      <c r="F16" s="86" t="e">
        <f t="shared" si="0"/>
        <v>#N/A</v>
      </c>
      <c r="G16" s="89"/>
      <c r="H16" s="98">
        <f t="shared" si="1"/>
        <v>0</v>
      </c>
      <c r="I16" s="99">
        <v>2</v>
      </c>
      <c r="J16" s="99">
        <f t="shared" si="2"/>
        <v>0</v>
      </c>
      <c r="K16" s="99" t="s">
        <v>11</v>
      </c>
      <c r="L16" s="99" t="s">
        <v>0</v>
      </c>
      <c r="M16" s="69"/>
      <c r="N16" s="100">
        <f t="shared" si="3"/>
        <v>0</v>
      </c>
      <c r="O16" s="99">
        <f>I16+(M33)</f>
        <v>2</v>
      </c>
      <c r="P16" s="99">
        <f t="shared" si="4"/>
        <v>0</v>
      </c>
      <c r="Q16" s="99" t="s">
        <v>11</v>
      </c>
      <c r="R16" s="99"/>
      <c r="S16" s="101"/>
      <c r="T16" s="59">
        <f t="shared" si="5"/>
        <v>0</v>
      </c>
      <c r="U16" s="99">
        <f>O16+(S33)</f>
        <v>2</v>
      </c>
      <c r="V16" s="99">
        <f t="shared" si="6"/>
        <v>0</v>
      </c>
      <c r="W16" s="99" t="s">
        <v>12</v>
      </c>
      <c r="X16" s="99"/>
      <c r="Y16" s="101"/>
      <c r="Z16" s="100">
        <f t="shared" si="7"/>
        <v>0</v>
      </c>
      <c r="AA16" s="99">
        <f>U16+(Y33)</f>
        <v>2</v>
      </c>
      <c r="AB16" s="99">
        <f t="shared" si="8"/>
        <v>0</v>
      </c>
      <c r="AC16" s="99" t="s">
        <v>13</v>
      </c>
      <c r="AD16" s="99"/>
      <c r="AE16" s="101"/>
      <c r="AF16" s="100">
        <f t="shared" si="9"/>
        <v>0</v>
      </c>
      <c r="AG16" s="99">
        <v>2</v>
      </c>
      <c r="AH16" s="102">
        <f t="shared" si="10"/>
        <v>0</v>
      </c>
      <c r="AI16" s="69" t="s">
        <v>14</v>
      </c>
    </row>
    <row r="17" spans="2:35" ht="15.75" thickBot="1" x14ac:dyDescent="0.3">
      <c r="B17" s="80" t="s">
        <v>77</v>
      </c>
      <c r="C17" s="84"/>
      <c r="D17" s="76" t="str">
        <f t="array" ref="D17">INDEX(Table_Name[Name List],MATCH(B17,Table_Name[Category],0))</f>
        <v>Abs[Exercise]</v>
      </c>
      <c r="E17" s="73" t="e">
        <f t="array" ref="E17">INDEX(Links[Link],MATCH(C17,Links[Exercise],0))</f>
        <v>#N/A</v>
      </c>
      <c r="F17" s="87" t="e">
        <f t="shared" si="0"/>
        <v>#N/A</v>
      </c>
      <c r="G17" s="90"/>
      <c r="H17" s="103">
        <f t="shared" si="1"/>
        <v>0</v>
      </c>
      <c r="I17" s="104">
        <v>2</v>
      </c>
      <c r="J17" s="104">
        <f t="shared" si="2"/>
        <v>0</v>
      </c>
      <c r="K17" s="104" t="s">
        <v>11</v>
      </c>
      <c r="L17" s="104"/>
      <c r="M17" s="62"/>
      <c r="N17" s="105">
        <f t="shared" si="3"/>
        <v>0</v>
      </c>
      <c r="O17" s="104">
        <f>I17+(M36)</f>
        <v>2</v>
      </c>
      <c r="P17" s="104">
        <f t="shared" si="4"/>
        <v>0</v>
      </c>
      <c r="Q17" s="104" t="s">
        <v>11</v>
      </c>
      <c r="R17" s="104"/>
      <c r="S17" s="101"/>
      <c r="T17" s="106">
        <f t="shared" si="5"/>
        <v>0</v>
      </c>
      <c r="U17" s="104">
        <f>O17+(S36)</f>
        <v>2</v>
      </c>
      <c r="V17" s="104">
        <f t="shared" si="6"/>
        <v>0</v>
      </c>
      <c r="W17" s="104" t="s">
        <v>12</v>
      </c>
      <c r="X17" s="104"/>
      <c r="Y17" s="101"/>
      <c r="Z17" s="105">
        <f t="shared" si="7"/>
        <v>0</v>
      </c>
      <c r="AA17" s="104">
        <f>U17+(Y36)</f>
        <v>2</v>
      </c>
      <c r="AB17" s="104">
        <f t="shared" si="8"/>
        <v>0</v>
      </c>
      <c r="AC17" s="104" t="s">
        <v>13</v>
      </c>
      <c r="AD17" s="104"/>
      <c r="AE17" s="101"/>
      <c r="AF17" s="105">
        <f t="shared" si="9"/>
        <v>0</v>
      </c>
      <c r="AG17" s="104">
        <v>2</v>
      </c>
      <c r="AH17" s="107">
        <f t="shared" si="10"/>
        <v>0</v>
      </c>
      <c r="AI17" s="62" t="s">
        <v>14</v>
      </c>
    </row>
    <row r="18" spans="2:35" ht="19.5" thickBot="1" x14ac:dyDescent="0.3">
      <c r="B18" s="68" t="s">
        <v>339</v>
      </c>
      <c r="C18" s="38"/>
      <c r="D18" s="38"/>
      <c r="E18" s="38"/>
      <c r="F18" s="38"/>
      <c r="G18" s="69"/>
      <c r="H18" s="154" t="s">
        <v>1</v>
      </c>
      <c r="I18" s="155"/>
      <c r="J18" s="155"/>
      <c r="K18" s="155"/>
      <c r="L18" s="155"/>
      <c r="M18" s="156"/>
      <c r="N18" s="157" t="s">
        <v>2</v>
      </c>
      <c r="O18" s="158"/>
      <c r="P18" s="158"/>
      <c r="Q18" s="158"/>
      <c r="R18" s="158"/>
      <c r="S18" s="159"/>
      <c r="T18" s="160" t="s">
        <v>3</v>
      </c>
      <c r="U18" s="161"/>
      <c r="V18" s="161"/>
      <c r="W18" s="161"/>
      <c r="X18" s="161"/>
      <c r="Y18" s="162"/>
      <c r="Z18" s="163" t="s">
        <v>4</v>
      </c>
      <c r="AA18" s="164"/>
      <c r="AB18" s="164"/>
      <c r="AC18" s="164"/>
      <c r="AD18" s="164"/>
      <c r="AE18" s="165"/>
      <c r="AF18" s="166" t="s">
        <v>5</v>
      </c>
      <c r="AG18" s="167"/>
      <c r="AH18" s="167"/>
      <c r="AI18" s="168"/>
    </row>
    <row r="19" spans="2:35" ht="15.75" thickBot="1" x14ac:dyDescent="0.3">
      <c r="B19" s="38"/>
      <c r="C19" s="38"/>
      <c r="D19" s="38"/>
      <c r="E19" s="38"/>
      <c r="F19" s="38"/>
      <c r="G19" s="38"/>
      <c r="H19" s="91" t="s">
        <v>88</v>
      </c>
      <c r="I19" s="92" t="s">
        <v>6</v>
      </c>
      <c r="J19" s="93" t="s">
        <v>7</v>
      </c>
      <c r="K19" s="94" t="s">
        <v>8</v>
      </c>
      <c r="L19" s="94" t="s">
        <v>9</v>
      </c>
      <c r="M19" s="95" t="s">
        <v>10</v>
      </c>
      <c r="N19" s="96" t="s">
        <v>88</v>
      </c>
      <c r="O19" s="96" t="s">
        <v>6</v>
      </c>
      <c r="P19" s="93" t="s">
        <v>7</v>
      </c>
      <c r="Q19" s="94" t="s">
        <v>8</v>
      </c>
      <c r="R19" s="94" t="s">
        <v>9</v>
      </c>
      <c r="S19" s="95" t="s">
        <v>10</v>
      </c>
      <c r="T19" s="96" t="s">
        <v>88</v>
      </c>
      <c r="U19" s="96" t="s">
        <v>6</v>
      </c>
      <c r="V19" s="93" t="s">
        <v>7</v>
      </c>
      <c r="W19" s="94" t="s">
        <v>8</v>
      </c>
      <c r="X19" s="94" t="s">
        <v>9</v>
      </c>
      <c r="Y19" s="95" t="s">
        <v>10</v>
      </c>
      <c r="Z19" s="96" t="s">
        <v>88</v>
      </c>
      <c r="AA19" s="96" t="s">
        <v>6</v>
      </c>
      <c r="AB19" s="93" t="s">
        <v>7</v>
      </c>
      <c r="AC19" s="108" t="s">
        <v>15</v>
      </c>
      <c r="AD19" s="94" t="s">
        <v>9</v>
      </c>
      <c r="AE19" s="95" t="s">
        <v>10</v>
      </c>
      <c r="AF19" s="96" t="s">
        <v>88</v>
      </c>
      <c r="AG19" s="96" t="s">
        <v>6</v>
      </c>
      <c r="AH19" s="93" t="s">
        <v>7</v>
      </c>
      <c r="AI19" s="97" t="s">
        <v>8</v>
      </c>
    </row>
    <row r="20" spans="2:35" ht="15.75" thickBot="1" x14ac:dyDescent="0.3">
      <c r="B20" s="77" t="s">
        <v>340</v>
      </c>
      <c r="C20" s="81" t="s">
        <v>86</v>
      </c>
      <c r="D20" s="63"/>
      <c r="E20" s="60"/>
      <c r="F20" s="81" t="s">
        <v>347</v>
      </c>
      <c r="G20" s="81" t="s">
        <v>348</v>
      </c>
      <c r="H20" s="94" t="s">
        <v>86</v>
      </c>
      <c r="I20" s="70"/>
      <c r="J20" s="70"/>
      <c r="K20" s="70"/>
      <c r="L20" s="70"/>
      <c r="M20" s="67"/>
      <c r="N20" s="91" t="s">
        <v>86</v>
      </c>
      <c r="O20" s="70"/>
      <c r="P20" s="70"/>
      <c r="Q20" s="70"/>
      <c r="R20" s="70"/>
      <c r="S20" s="67"/>
      <c r="T20" s="91" t="s">
        <v>86</v>
      </c>
      <c r="U20" s="70"/>
      <c r="V20" s="70"/>
      <c r="W20" s="70"/>
      <c r="X20" s="70"/>
      <c r="Y20" s="70"/>
      <c r="Z20" s="91" t="s">
        <v>86</v>
      </c>
      <c r="AA20" s="70"/>
      <c r="AB20" s="70"/>
      <c r="AC20" s="70"/>
      <c r="AD20" s="70"/>
      <c r="AE20" s="70"/>
      <c r="AF20" s="91" t="s">
        <v>86</v>
      </c>
      <c r="AG20" s="70"/>
      <c r="AH20" s="70"/>
      <c r="AI20" s="67"/>
    </row>
    <row r="21" spans="2:35" ht="15.75" thickBot="1" x14ac:dyDescent="0.3">
      <c r="B21" s="78" t="s">
        <v>20</v>
      </c>
      <c r="C21" s="82"/>
      <c r="D21" s="74" t="str">
        <f t="array" ref="D21">INDEX(Table_Name[Name List],MATCH(B21,Table_Name[Category],0))</f>
        <v>Quads[Exercise]</v>
      </c>
      <c r="E21" s="71" t="e">
        <f t="array" ref="E21">INDEX(Links[Link],MATCH(C21,Links[Exercise],0))</f>
        <v>#N/A</v>
      </c>
      <c r="F21" s="85" t="e">
        <f t="shared" ref="F21:F26" si="11">HYPERLINK(E21,"Video")</f>
        <v>#N/A</v>
      </c>
      <c r="G21" s="88"/>
      <c r="H21" s="98">
        <f t="shared" ref="H21:H26" si="12">C21</f>
        <v>0</v>
      </c>
      <c r="I21" s="99">
        <v>3</v>
      </c>
      <c r="J21" s="99">
        <f t="shared" ref="J21:J26" si="13">MROUND(((G21)*0.85),5)</f>
        <v>0</v>
      </c>
      <c r="K21" s="99" t="s">
        <v>11</v>
      </c>
      <c r="L21" s="99"/>
      <c r="M21" s="69"/>
      <c r="N21" s="98">
        <f t="shared" ref="N21:N26" si="14">C21</f>
        <v>0</v>
      </c>
      <c r="O21" s="99">
        <f>I21+(M42)</f>
        <v>3</v>
      </c>
      <c r="P21" s="99">
        <f t="shared" ref="P21:P26" si="15">MROUND((J21*1.05),5)</f>
        <v>0</v>
      </c>
      <c r="Q21" s="99" t="s">
        <v>11</v>
      </c>
      <c r="R21" s="99"/>
      <c r="S21" s="101"/>
      <c r="T21" s="59">
        <f t="shared" ref="T21:T26" si="16">C21</f>
        <v>0</v>
      </c>
      <c r="U21" s="99">
        <f>O21+(S42)</f>
        <v>3</v>
      </c>
      <c r="V21" s="99">
        <f t="shared" ref="V21:V26" si="17">MROUND((J21*1.075),5)</f>
        <v>0</v>
      </c>
      <c r="W21" s="99" t="s">
        <v>12</v>
      </c>
      <c r="X21" s="99"/>
      <c r="Y21" s="101"/>
      <c r="Z21" s="100">
        <f t="shared" ref="Z21:Z26" si="18">C21</f>
        <v>0</v>
      </c>
      <c r="AA21" s="99">
        <f>U21+(Y42)</f>
        <v>3</v>
      </c>
      <c r="AB21" s="99">
        <f t="shared" ref="AB21:AB26" si="19">MROUND((J21*1.1),5)</f>
        <v>0</v>
      </c>
      <c r="AC21" s="99" t="s">
        <v>13</v>
      </c>
      <c r="AD21" s="99"/>
      <c r="AE21" s="101"/>
      <c r="AF21" s="100">
        <f t="shared" ref="AF21:AF26" si="20">C21</f>
        <v>0</v>
      </c>
      <c r="AG21" s="99">
        <v>2</v>
      </c>
      <c r="AH21" s="102">
        <f t="shared" ref="AH21:AH26" si="21">J21</f>
        <v>0</v>
      </c>
      <c r="AI21" s="69" t="s">
        <v>14</v>
      </c>
    </row>
    <row r="22" spans="2:35" ht="15.75" thickBot="1" x14ac:dyDescent="0.3">
      <c r="B22" s="79" t="s">
        <v>20</v>
      </c>
      <c r="C22" s="83"/>
      <c r="D22" s="75" t="str">
        <f t="array" ref="D22">INDEX(Table_Name[Name List],MATCH(B22,Table_Name[Category],0))</f>
        <v>Quads[Exercise]</v>
      </c>
      <c r="E22" s="72" t="e">
        <f t="array" ref="E22">INDEX(Links[Link],MATCH(C22,Links[Exercise],0))</f>
        <v>#N/A</v>
      </c>
      <c r="F22" s="86" t="e">
        <f t="shared" si="11"/>
        <v>#N/A</v>
      </c>
      <c r="G22" s="89"/>
      <c r="H22" s="98">
        <f t="shared" si="12"/>
        <v>0</v>
      </c>
      <c r="I22" s="99">
        <v>3</v>
      </c>
      <c r="J22" s="99">
        <f t="shared" si="13"/>
        <v>0</v>
      </c>
      <c r="K22" s="99" t="s">
        <v>11</v>
      </c>
      <c r="L22" s="99"/>
      <c r="M22" s="69"/>
      <c r="N22" s="98">
        <f t="shared" si="14"/>
        <v>0</v>
      </c>
      <c r="O22" s="99">
        <f>I22+(M42)</f>
        <v>3</v>
      </c>
      <c r="P22" s="99">
        <f t="shared" si="15"/>
        <v>0</v>
      </c>
      <c r="Q22" s="99" t="s">
        <v>11</v>
      </c>
      <c r="R22" s="99"/>
      <c r="S22" s="101"/>
      <c r="T22" s="59">
        <f t="shared" si="16"/>
        <v>0</v>
      </c>
      <c r="U22" s="99">
        <f>O22+(S42)</f>
        <v>3</v>
      </c>
      <c r="V22" s="99">
        <f t="shared" si="17"/>
        <v>0</v>
      </c>
      <c r="W22" s="99" t="s">
        <v>12</v>
      </c>
      <c r="X22" s="99"/>
      <c r="Y22" s="101"/>
      <c r="Z22" s="100">
        <f t="shared" si="18"/>
        <v>0</v>
      </c>
      <c r="AA22" s="99">
        <f>U22+(Y42)</f>
        <v>3</v>
      </c>
      <c r="AB22" s="99">
        <f t="shared" si="19"/>
        <v>0</v>
      </c>
      <c r="AC22" s="99" t="s">
        <v>13</v>
      </c>
      <c r="AD22" s="99"/>
      <c r="AE22" s="101"/>
      <c r="AF22" s="100">
        <f t="shared" si="20"/>
        <v>0</v>
      </c>
      <c r="AG22" s="99">
        <v>2</v>
      </c>
      <c r="AH22" s="102">
        <f t="shared" si="21"/>
        <v>0</v>
      </c>
      <c r="AI22" s="69" t="s">
        <v>14</v>
      </c>
    </row>
    <row r="23" spans="2:35" ht="15.75" thickBot="1" x14ac:dyDescent="0.3">
      <c r="B23" s="79" t="s">
        <v>106</v>
      </c>
      <c r="C23" s="83"/>
      <c r="D23" s="75" t="str">
        <f t="array" ref="D23">INDEX(Table_Name[Name List],MATCH(B23,Table_Name[Category],0))</f>
        <v>Hamstrings_Isolation[Exercise]</v>
      </c>
      <c r="E23" s="72" t="e">
        <f t="array" ref="E23">INDEX(Links[Link],MATCH(C23,Links[Exercise],0))</f>
        <v>#N/A</v>
      </c>
      <c r="F23" s="86" t="e">
        <f t="shared" si="11"/>
        <v>#N/A</v>
      </c>
      <c r="G23" s="89"/>
      <c r="H23" s="98">
        <f t="shared" si="12"/>
        <v>0</v>
      </c>
      <c r="I23" s="99">
        <v>3</v>
      </c>
      <c r="J23" s="99">
        <f t="shared" si="13"/>
        <v>0</v>
      </c>
      <c r="K23" s="99" t="s">
        <v>11</v>
      </c>
      <c r="L23" s="99"/>
      <c r="M23" s="69"/>
      <c r="N23" s="98">
        <f t="shared" si="14"/>
        <v>0</v>
      </c>
      <c r="O23" s="99">
        <f>I23+(M41)</f>
        <v>3</v>
      </c>
      <c r="P23" s="99">
        <f t="shared" si="15"/>
        <v>0</v>
      </c>
      <c r="Q23" s="99" t="s">
        <v>11</v>
      </c>
      <c r="R23" s="99"/>
      <c r="S23" s="101"/>
      <c r="T23" s="59">
        <f t="shared" si="16"/>
        <v>0</v>
      </c>
      <c r="U23" s="99">
        <f>O23+(S41)</f>
        <v>3</v>
      </c>
      <c r="V23" s="99">
        <f t="shared" si="17"/>
        <v>0</v>
      </c>
      <c r="W23" s="99" t="s">
        <v>12</v>
      </c>
      <c r="X23" s="99"/>
      <c r="Y23" s="101"/>
      <c r="Z23" s="100">
        <f t="shared" si="18"/>
        <v>0</v>
      </c>
      <c r="AA23" s="99">
        <f>U23+(Y41)</f>
        <v>3</v>
      </c>
      <c r="AB23" s="99">
        <f t="shared" si="19"/>
        <v>0</v>
      </c>
      <c r="AC23" s="99" t="s">
        <v>13</v>
      </c>
      <c r="AD23" s="99"/>
      <c r="AE23" s="101"/>
      <c r="AF23" s="100">
        <f t="shared" si="20"/>
        <v>0</v>
      </c>
      <c r="AG23" s="99">
        <v>2</v>
      </c>
      <c r="AH23" s="102">
        <f t="shared" si="21"/>
        <v>0</v>
      </c>
      <c r="AI23" s="69" t="s">
        <v>14</v>
      </c>
    </row>
    <row r="24" spans="2:35" ht="15.75" thickBot="1" x14ac:dyDescent="0.3">
      <c r="B24" s="79" t="s">
        <v>19</v>
      </c>
      <c r="C24" s="83"/>
      <c r="D24" s="75" t="str">
        <f t="array" ref="D24">INDEX(Table_Name[Name List],MATCH(B24,Table_Name[Category],0))</f>
        <v>Calves[Exercise]</v>
      </c>
      <c r="E24" s="72" t="e">
        <f t="array" ref="E24">INDEX(Links[Link],MATCH(C24,Links[Exercise],0))</f>
        <v>#N/A</v>
      </c>
      <c r="F24" s="86" t="e">
        <f t="shared" si="11"/>
        <v>#N/A</v>
      </c>
      <c r="G24" s="89"/>
      <c r="H24" s="98">
        <f t="shared" si="12"/>
        <v>0</v>
      </c>
      <c r="I24" s="99">
        <v>6</v>
      </c>
      <c r="J24" s="99">
        <f t="shared" si="13"/>
        <v>0</v>
      </c>
      <c r="K24" s="99" t="s">
        <v>11</v>
      </c>
      <c r="L24" s="99"/>
      <c r="M24" s="69"/>
      <c r="N24" s="98">
        <f t="shared" si="14"/>
        <v>0</v>
      </c>
      <c r="O24" s="99">
        <f>I24+(M45)</f>
        <v>6</v>
      </c>
      <c r="P24" s="99">
        <f t="shared" si="15"/>
        <v>0</v>
      </c>
      <c r="Q24" s="99" t="s">
        <v>11</v>
      </c>
      <c r="R24" s="99"/>
      <c r="S24" s="101"/>
      <c r="T24" s="59">
        <f t="shared" si="16"/>
        <v>0</v>
      </c>
      <c r="U24" s="99">
        <f>O24+(S45)</f>
        <v>6</v>
      </c>
      <c r="V24" s="99">
        <f t="shared" si="17"/>
        <v>0</v>
      </c>
      <c r="W24" s="99" t="s">
        <v>12</v>
      </c>
      <c r="X24" s="99"/>
      <c r="Y24" s="101"/>
      <c r="Z24" s="100">
        <f t="shared" si="18"/>
        <v>0</v>
      </c>
      <c r="AA24" s="99">
        <f>U24+(Y45)</f>
        <v>6</v>
      </c>
      <c r="AB24" s="99">
        <f t="shared" si="19"/>
        <v>0</v>
      </c>
      <c r="AC24" s="99" t="s">
        <v>13</v>
      </c>
      <c r="AD24" s="99"/>
      <c r="AE24" s="101"/>
      <c r="AF24" s="100">
        <f t="shared" si="20"/>
        <v>0</v>
      </c>
      <c r="AG24" s="99">
        <v>2</v>
      </c>
      <c r="AH24" s="102">
        <f t="shared" si="21"/>
        <v>0</v>
      </c>
      <c r="AI24" s="69" t="s">
        <v>14</v>
      </c>
    </row>
    <row r="25" spans="2:35" ht="15.75" thickBot="1" x14ac:dyDescent="0.3">
      <c r="B25" s="79" t="s">
        <v>17</v>
      </c>
      <c r="C25" s="83"/>
      <c r="D25" s="75" t="str">
        <f t="array" ref="D25">INDEX(Table_Name[Name List],MATCH(B25,Table_Name[Category],0))</f>
        <v>Triceps[Exercise]</v>
      </c>
      <c r="E25" s="72" t="e">
        <f t="array" ref="E25">INDEX(Links[Link],MATCH(C25,Links[Exercise],0))</f>
        <v>#N/A</v>
      </c>
      <c r="F25" s="86" t="e">
        <f t="shared" si="11"/>
        <v>#N/A</v>
      </c>
      <c r="G25" s="89"/>
      <c r="H25" s="98">
        <f t="shared" si="12"/>
        <v>0</v>
      </c>
      <c r="I25" s="99">
        <v>2</v>
      </c>
      <c r="J25" s="99">
        <f t="shared" si="13"/>
        <v>0</v>
      </c>
      <c r="K25" s="99" t="s">
        <v>11</v>
      </c>
      <c r="L25" s="99"/>
      <c r="M25" s="69"/>
      <c r="N25" s="98">
        <f t="shared" si="14"/>
        <v>0</v>
      </c>
      <c r="O25" s="99">
        <f>I25+(S13)</f>
        <v>2</v>
      </c>
      <c r="P25" s="99">
        <f t="shared" si="15"/>
        <v>0</v>
      </c>
      <c r="Q25" s="99" t="s">
        <v>11</v>
      </c>
      <c r="R25" s="99"/>
      <c r="S25" s="101"/>
      <c r="T25" s="59">
        <f t="shared" si="16"/>
        <v>0</v>
      </c>
      <c r="U25" s="99">
        <f>O25+(Y13)</f>
        <v>2</v>
      </c>
      <c r="V25" s="99">
        <f t="shared" si="17"/>
        <v>0</v>
      </c>
      <c r="W25" s="99" t="s">
        <v>12</v>
      </c>
      <c r="X25" s="99"/>
      <c r="Y25" s="101"/>
      <c r="Z25" s="100">
        <f t="shared" si="18"/>
        <v>0</v>
      </c>
      <c r="AA25" s="99">
        <f>U25+(AE13)</f>
        <v>2</v>
      </c>
      <c r="AB25" s="99">
        <f t="shared" si="19"/>
        <v>0</v>
      </c>
      <c r="AC25" s="99" t="s">
        <v>13</v>
      </c>
      <c r="AD25" s="99"/>
      <c r="AE25" s="101"/>
      <c r="AF25" s="100">
        <f t="shared" si="20"/>
        <v>0</v>
      </c>
      <c r="AG25" s="99">
        <v>2</v>
      </c>
      <c r="AH25" s="102">
        <f t="shared" si="21"/>
        <v>0</v>
      </c>
      <c r="AI25" s="69" t="s">
        <v>14</v>
      </c>
    </row>
    <row r="26" spans="2:35" ht="15.75" thickBot="1" x14ac:dyDescent="0.3">
      <c r="B26" s="80" t="s">
        <v>104</v>
      </c>
      <c r="C26" s="84"/>
      <c r="D26" s="76" t="str">
        <f t="array" ref="D26">INDEX(Table_Name[Name List],MATCH(B26,Table_Name[Category],0))</f>
        <v>Front_Delts[Exercise]</v>
      </c>
      <c r="E26" s="73" t="e">
        <f t="array" ref="E26">INDEX(Links[Link],MATCH(C26,Links[Exercise],0))</f>
        <v>#N/A</v>
      </c>
      <c r="F26" s="87" t="e">
        <f t="shared" si="11"/>
        <v>#N/A</v>
      </c>
      <c r="G26" s="90"/>
      <c r="H26" s="98">
        <f t="shared" si="12"/>
        <v>0</v>
      </c>
      <c r="I26" s="99">
        <v>2</v>
      </c>
      <c r="J26" s="99">
        <f t="shared" si="13"/>
        <v>0</v>
      </c>
      <c r="K26" s="99" t="s">
        <v>11</v>
      </c>
      <c r="L26" s="99"/>
      <c r="M26" s="69"/>
      <c r="N26" s="98">
        <f t="shared" si="14"/>
        <v>0</v>
      </c>
      <c r="O26" s="99">
        <f>I26+(S11)</f>
        <v>2</v>
      </c>
      <c r="P26" s="99">
        <f t="shared" si="15"/>
        <v>0</v>
      </c>
      <c r="Q26" s="99" t="s">
        <v>11</v>
      </c>
      <c r="R26" s="99"/>
      <c r="S26" s="101"/>
      <c r="T26" s="59">
        <f t="shared" si="16"/>
        <v>0</v>
      </c>
      <c r="U26" s="99">
        <f>O26+(Y11)</f>
        <v>2</v>
      </c>
      <c r="V26" s="99">
        <f t="shared" si="17"/>
        <v>0</v>
      </c>
      <c r="W26" s="99" t="s">
        <v>12</v>
      </c>
      <c r="X26" s="99"/>
      <c r="Y26" s="101"/>
      <c r="Z26" s="100">
        <f t="shared" si="18"/>
        <v>0</v>
      </c>
      <c r="AA26" s="99">
        <f>U26+(AE11)</f>
        <v>2</v>
      </c>
      <c r="AB26" s="99">
        <f t="shared" si="19"/>
        <v>0</v>
      </c>
      <c r="AC26" s="99" t="s">
        <v>13</v>
      </c>
      <c r="AD26" s="99"/>
      <c r="AE26" s="101"/>
      <c r="AF26" s="100">
        <f t="shared" si="20"/>
        <v>0</v>
      </c>
      <c r="AG26" s="99">
        <v>2</v>
      </c>
      <c r="AH26" s="102">
        <f t="shared" si="21"/>
        <v>0</v>
      </c>
      <c r="AI26" s="69" t="s">
        <v>14</v>
      </c>
    </row>
    <row r="27" spans="2:35" ht="19.5" thickBot="1" x14ac:dyDescent="0.3">
      <c r="B27" s="68" t="s">
        <v>341</v>
      </c>
      <c r="C27" s="38"/>
      <c r="D27" s="38"/>
      <c r="E27" s="38"/>
      <c r="F27" s="38"/>
      <c r="G27" s="69"/>
      <c r="H27" s="154" t="s">
        <v>1</v>
      </c>
      <c r="I27" s="155"/>
      <c r="J27" s="155"/>
      <c r="K27" s="155"/>
      <c r="L27" s="155"/>
      <c r="M27" s="156"/>
      <c r="N27" s="157" t="s">
        <v>2</v>
      </c>
      <c r="O27" s="158"/>
      <c r="P27" s="158"/>
      <c r="Q27" s="158"/>
      <c r="R27" s="158"/>
      <c r="S27" s="159"/>
      <c r="T27" s="160" t="s">
        <v>3</v>
      </c>
      <c r="U27" s="161"/>
      <c r="V27" s="161"/>
      <c r="W27" s="161"/>
      <c r="X27" s="161"/>
      <c r="Y27" s="162"/>
      <c r="Z27" s="163" t="s">
        <v>4</v>
      </c>
      <c r="AA27" s="164"/>
      <c r="AB27" s="164"/>
      <c r="AC27" s="164"/>
      <c r="AD27" s="164"/>
      <c r="AE27" s="165"/>
      <c r="AF27" s="166" t="s">
        <v>5</v>
      </c>
      <c r="AG27" s="167"/>
      <c r="AH27" s="167"/>
      <c r="AI27" s="168"/>
    </row>
    <row r="28" spans="2:35" ht="15.75" thickBot="1" x14ac:dyDescent="0.3">
      <c r="B28" s="38"/>
      <c r="C28" s="38"/>
      <c r="D28" s="38"/>
      <c r="E28" s="38"/>
      <c r="F28" s="38"/>
      <c r="G28" s="38"/>
      <c r="H28" s="91" t="s">
        <v>88</v>
      </c>
      <c r="I28" s="92" t="s">
        <v>6</v>
      </c>
      <c r="J28" s="93" t="s">
        <v>7</v>
      </c>
      <c r="K28" s="94" t="s">
        <v>8</v>
      </c>
      <c r="L28" s="94" t="s">
        <v>9</v>
      </c>
      <c r="M28" s="95" t="s">
        <v>10</v>
      </c>
      <c r="N28" s="96" t="s">
        <v>88</v>
      </c>
      <c r="O28" s="96" t="s">
        <v>6</v>
      </c>
      <c r="P28" s="93" t="s">
        <v>7</v>
      </c>
      <c r="Q28" s="94" t="s">
        <v>8</v>
      </c>
      <c r="R28" s="94" t="s">
        <v>9</v>
      </c>
      <c r="S28" s="95" t="s">
        <v>10</v>
      </c>
      <c r="T28" s="96" t="s">
        <v>88</v>
      </c>
      <c r="U28" s="96" t="s">
        <v>6</v>
      </c>
      <c r="V28" s="93" t="s">
        <v>7</v>
      </c>
      <c r="W28" s="94" t="s">
        <v>8</v>
      </c>
      <c r="X28" s="94" t="s">
        <v>9</v>
      </c>
      <c r="Y28" s="95" t="s">
        <v>10</v>
      </c>
      <c r="Z28" s="96" t="s">
        <v>88</v>
      </c>
      <c r="AA28" s="96" t="s">
        <v>6</v>
      </c>
      <c r="AB28" s="93" t="s">
        <v>7</v>
      </c>
      <c r="AC28" s="108" t="s">
        <v>15</v>
      </c>
      <c r="AD28" s="94" t="s">
        <v>9</v>
      </c>
      <c r="AE28" s="95" t="s">
        <v>10</v>
      </c>
      <c r="AF28" s="96" t="s">
        <v>88</v>
      </c>
      <c r="AG28" s="96" t="s">
        <v>6</v>
      </c>
      <c r="AH28" s="93" t="s">
        <v>7</v>
      </c>
      <c r="AI28" s="97" t="s">
        <v>8</v>
      </c>
    </row>
    <row r="29" spans="2:35" ht="15.75" thickBot="1" x14ac:dyDescent="0.3">
      <c r="B29" s="77" t="s">
        <v>338</v>
      </c>
      <c r="C29" s="81" t="s">
        <v>103</v>
      </c>
      <c r="D29" s="63"/>
      <c r="E29" s="60"/>
      <c r="F29" s="81" t="s">
        <v>347</v>
      </c>
      <c r="G29" s="81" t="s">
        <v>348</v>
      </c>
      <c r="H29" s="94" t="s">
        <v>103</v>
      </c>
      <c r="I29" s="70"/>
      <c r="J29" s="70"/>
      <c r="K29" s="70"/>
      <c r="L29" s="70"/>
      <c r="M29" s="67"/>
      <c r="N29" s="91" t="s">
        <v>103</v>
      </c>
      <c r="O29" s="70"/>
      <c r="P29" s="70"/>
      <c r="Q29" s="70"/>
      <c r="R29" s="70"/>
      <c r="S29" s="67"/>
      <c r="T29" s="91" t="s">
        <v>103</v>
      </c>
      <c r="U29" s="70"/>
      <c r="V29" s="70"/>
      <c r="W29" s="70"/>
      <c r="X29" s="70"/>
      <c r="Y29" s="70"/>
      <c r="Z29" s="91" t="s">
        <v>103</v>
      </c>
      <c r="AA29" s="70"/>
      <c r="AB29" s="70"/>
      <c r="AC29" s="70"/>
      <c r="AD29" s="70"/>
      <c r="AE29" s="70"/>
      <c r="AF29" s="91" t="s">
        <v>103</v>
      </c>
      <c r="AG29" s="70"/>
      <c r="AH29" s="70"/>
      <c r="AI29" s="67"/>
    </row>
    <row r="30" spans="2:35" ht="15.75" thickBot="1" x14ac:dyDescent="0.3">
      <c r="B30" s="78" t="s">
        <v>130</v>
      </c>
      <c r="C30" s="82"/>
      <c r="D30" s="74" t="str">
        <f t="array" ref="D30">INDEX(Table_Name[Name List],MATCH(B30,Table_Name[Category],0))</f>
        <v>Vertical_Back[Exercise]</v>
      </c>
      <c r="E30" s="71" t="e">
        <f t="array" ref="E30">INDEX(Links[Link],MATCH(C30,Links[Exercise],0))</f>
        <v>#N/A</v>
      </c>
      <c r="F30" s="85" t="e">
        <f t="shared" ref="F30:F36" si="22">HYPERLINK(E30,"Video")</f>
        <v>#N/A</v>
      </c>
      <c r="G30" s="88"/>
      <c r="H30" s="98">
        <f t="shared" ref="H30:H36" si="23">C30</f>
        <v>0</v>
      </c>
      <c r="I30" s="99">
        <v>3</v>
      </c>
      <c r="J30" s="99">
        <f t="shared" ref="J30:J36" si="24">MROUND(((G30)*0.85),5)</f>
        <v>0</v>
      </c>
      <c r="K30" s="99" t="s">
        <v>11</v>
      </c>
      <c r="L30" s="99"/>
      <c r="M30" s="101"/>
      <c r="N30" s="98">
        <f t="shared" ref="N30:N36" si="25">C30</f>
        <v>0</v>
      </c>
      <c r="O30" s="99">
        <f>I30+(S15)</f>
        <v>3</v>
      </c>
      <c r="P30" s="99">
        <f t="shared" ref="P30:P36" si="26">MROUND((J30*1.05),5)</f>
        <v>0</v>
      </c>
      <c r="Q30" s="99" t="s">
        <v>11</v>
      </c>
      <c r="R30" s="99"/>
      <c r="S30" s="101"/>
      <c r="T30" s="59">
        <f t="shared" ref="T30:T36" si="27">C30</f>
        <v>0</v>
      </c>
      <c r="U30" s="99">
        <f>O30+(Y15)</f>
        <v>3</v>
      </c>
      <c r="V30" s="99">
        <f t="shared" ref="V30:V36" si="28">MROUND((J30*1.075),5)</f>
        <v>0</v>
      </c>
      <c r="W30" s="99" t="s">
        <v>12</v>
      </c>
      <c r="X30" s="99"/>
      <c r="Y30" s="101"/>
      <c r="Z30" s="100">
        <f t="shared" ref="Z30:Z36" si="29">C30</f>
        <v>0</v>
      </c>
      <c r="AA30" s="99">
        <f>U30+(AE15)</f>
        <v>3</v>
      </c>
      <c r="AB30" s="99">
        <f t="shared" ref="AB30:AB36" si="30">MROUND((J30*1.1),5)</f>
        <v>0</v>
      </c>
      <c r="AC30" s="99" t="s">
        <v>13</v>
      </c>
      <c r="AD30" s="99"/>
      <c r="AE30" s="99"/>
      <c r="AF30" s="100">
        <f t="shared" ref="AF30:AF36" si="31">C30</f>
        <v>0</v>
      </c>
      <c r="AG30" s="99">
        <v>2</v>
      </c>
      <c r="AH30" s="102">
        <f t="shared" ref="AH30:AH36" si="32">MROUND((J30*0.5),5)</f>
        <v>0</v>
      </c>
      <c r="AI30" s="69" t="s">
        <v>14</v>
      </c>
    </row>
    <row r="31" spans="2:35" ht="15.75" thickBot="1" x14ac:dyDescent="0.3">
      <c r="B31" s="79" t="s">
        <v>130</v>
      </c>
      <c r="C31" s="83"/>
      <c r="D31" s="75" t="str">
        <f t="array" ref="D31">INDEX(Table_Name[Name List],MATCH(B31,Table_Name[Category],0))</f>
        <v>Vertical_Back[Exercise]</v>
      </c>
      <c r="E31" s="72" t="e">
        <f t="array" ref="E31">INDEX(Links[Link],MATCH(C31,Links[Exercise],0))</f>
        <v>#N/A</v>
      </c>
      <c r="F31" s="86" t="e">
        <f t="shared" si="22"/>
        <v>#N/A</v>
      </c>
      <c r="G31" s="89"/>
      <c r="H31" s="98">
        <f t="shared" si="23"/>
        <v>0</v>
      </c>
      <c r="I31" s="99">
        <v>3</v>
      </c>
      <c r="J31" s="99">
        <f t="shared" si="24"/>
        <v>0</v>
      </c>
      <c r="K31" s="99" t="s">
        <v>11</v>
      </c>
      <c r="L31" s="99"/>
      <c r="M31" s="101"/>
      <c r="N31" s="98">
        <f t="shared" si="25"/>
        <v>0</v>
      </c>
      <c r="O31" s="99">
        <f>I31+(S15)</f>
        <v>3</v>
      </c>
      <c r="P31" s="99">
        <f t="shared" si="26"/>
        <v>0</v>
      </c>
      <c r="Q31" s="99" t="s">
        <v>11</v>
      </c>
      <c r="R31" s="99"/>
      <c r="S31" s="101"/>
      <c r="T31" s="59">
        <f t="shared" si="27"/>
        <v>0</v>
      </c>
      <c r="U31" s="99">
        <f>O31+(Y15)</f>
        <v>3</v>
      </c>
      <c r="V31" s="99">
        <f t="shared" si="28"/>
        <v>0</v>
      </c>
      <c r="W31" s="99" t="s">
        <v>12</v>
      </c>
      <c r="X31" s="99"/>
      <c r="Y31" s="101"/>
      <c r="Z31" s="100">
        <f t="shared" si="29"/>
        <v>0</v>
      </c>
      <c r="AA31" s="99">
        <f>U31+(AE15)</f>
        <v>3</v>
      </c>
      <c r="AB31" s="99">
        <f t="shared" si="30"/>
        <v>0</v>
      </c>
      <c r="AC31" s="99" t="s">
        <v>13</v>
      </c>
      <c r="AD31" s="99"/>
      <c r="AE31" s="99"/>
      <c r="AF31" s="100">
        <f t="shared" si="31"/>
        <v>0</v>
      </c>
      <c r="AG31" s="99">
        <v>2</v>
      </c>
      <c r="AH31" s="102">
        <f t="shared" si="32"/>
        <v>0</v>
      </c>
      <c r="AI31" s="69" t="s">
        <v>14</v>
      </c>
    </row>
    <row r="32" spans="2:35" ht="15.75" thickBot="1" x14ac:dyDescent="0.3">
      <c r="B32" s="79" t="s">
        <v>178</v>
      </c>
      <c r="C32" s="83"/>
      <c r="D32" s="75" t="str">
        <f t="array" ref="D32">INDEX(Table_Name[Name List],MATCH(B32,Table_Name[Category],0))</f>
        <v>Horizontal_Back[Exercise]</v>
      </c>
      <c r="E32" s="72" t="e">
        <f t="array" ref="E32">INDEX(Links[Link],MATCH(C32,Links[Exercise],0))</f>
        <v>#N/A</v>
      </c>
      <c r="F32" s="86" t="e">
        <f t="shared" si="22"/>
        <v>#N/A</v>
      </c>
      <c r="G32" s="89"/>
      <c r="H32" s="98">
        <f t="shared" si="23"/>
        <v>0</v>
      </c>
      <c r="I32" s="99">
        <v>3</v>
      </c>
      <c r="J32" s="99">
        <f t="shared" si="24"/>
        <v>0</v>
      </c>
      <c r="K32" s="99" t="s">
        <v>11</v>
      </c>
      <c r="L32" s="99"/>
      <c r="M32" s="101"/>
      <c r="N32" s="98">
        <f t="shared" si="25"/>
        <v>0</v>
      </c>
      <c r="O32" s="99">
        <f>I32+(S14)</f>
        <v>3</v>
      </c>
      <c r="P32" s="99">
        <f t="shared" si="26"/>
        <v>0</v>
      </c>
      <c r="Q32" s="99" t="s">
        <v>11</v>
      </c>
      <c r="R32" s="99"/>
      <c r="S32" s="101"/>
      <c r="T32" s="59">
        <f t="shared" si="27"/>
        <v>0</v>
      </c>
      <c r="U32" s="99">
        <f>O32+(Y14)</f>
        <v>3</v>
      </c>
      <c r="V32" s="99">
        <f t="shared" si="28"/>
        <v>0</v>
      </c>
      <c r="W32" s="99" t="s">
        <v>12</v>
      </c>
      <c r="X32" s="99"/>
      <c r="Y32" s="101"/>
      <c r="Z32" s="100">
        <f t="shared" si="29"/>
        <v>0</v>
      </c>
      <c r="AA32" s="99">
        <f>U32+(AE14)</f>
        <v>3</v>
      </c>
      <c r="AB32" s="99">
        <f t="shared" si="30"/>
        <v>0</v>
      </c>
      <c r="AC32" s="99" t="s">
        <v>13</v>
      </c>
      <c r="AD32" s="99"/>
      <c r="AE32" s="99"/>
      <c r="AF32" s="100">
        <f t="shared" si="31"/>
        <v>0</v>
      </c>
      <c r="AG32" s="99">
        <v>2</v>
      </c>
      <c r="AH32" s="102">
        <f t="shared" si="32"/>
        <v>0</v>
      </c>
      <c r="AI32" s="69" t="s">
        <v>14</v>
      </c>
    </row>
    <row r="33" spans="2:35" ht="15.75" thickBot="1" x14ac:dyDescent="0.3">
      <c r="B33" s="79" t="s">
        <v>177</v>
      </c>
      <c r="C33" s="83"/>
      <c r="D33" s="75" t="str">
        <f t="array" ref="D33">INDEX(Table_Name[Name List],MATCH(B33,Table_Name[Category],0))</f>
        <v>Rear_or_Side_Delts[Exercise]</v>
      </c>
      <c r="E33" s="72" t="e">
        <f t="array" ref="E33">INDEX(Links[Link],MATCH(C33,Links[Exercise],0))</f>
        <v>#N/A</v>
      </c>
      <c r="F33" s="86" t="e">
        <f t="shared" si="22"/>
        <v>#N/A</v>
      </c>
      <c r="G33" s="89"/>
      <c r="H33" s="98">
        <f t="shared" si="23"/>
        <v>0</v>
      </c>
      <c r="I33" s="99">
        <v>3</v>
      </c>
      <c r="J33" s="99">
        <f t="shared" si="24"/>
        <v>0</v>
      </c>
      <c r="K33" s="99" t="s">
        <v>11</v>
      </c>
      <c r="L33" s="99"/>
      <c r="M33" s="101"/>
      <c r="N33" s="98">
        <f t="shared" si="25"/>
        <v>0</v>
      </c>
      <c r="O33" s="99">
        <f>I33+(S16)</f>
        <v>3</v>
      </c>
      <c r="P33" s="99">
        <f t="shared" si="26"/>
        <v>0</v>
      </c>
      <c r="Q33" s="99" t="s">
        <v>11</v>
      </c>
      <c r="R33" s="99"/>
      <c r="S33" s="101"/>
      <c r="T33" s="59">
        <f t="shared" si="27"/>
        <v>0</v>
      </c>
      <c r="U33" s="99">
        <f>O33+(Y16)</f>
        <v>3</v>
      </c>
      <c r="V33" s="99">
        <f t="shared" si="28"/>
        <v>0</v>
      </c>
      <c r="W33" s="99" t="s">
        <v>12</v>
      </c>
      <c r="X33" s="99"/>
      <c r="Y33" s="101"/>
      <c r="Z33" s="100">
        <f t="shared" si="29"/>
        <v>0</v>
      </c>
      <c r="AA33" s="99">
        <f>U33+(AE16)</f>
        <v>3</v>
      </c>
      <c r="AB33" s="99">
        <f t="shared" si="30"/>
        <v>0</v>
      </c>
      <c r="AC33" s="99" t="s">
        <v>13</v>
      </c>
      <c r="AD33" s="99"/>
      <c r="AE33" s="99"/>
      <c r="AF33" s="100">
        <f t="shared" si="31"/>
        <v>0</v>
      </c>
      <c r="AG33" s="99">
        <v>2</v>
      </c>
      <c r="AH33" s="102">
        <f t="shared" si="32"/>
        <v>0</v>
      </c>
      <c r="AI33" s="69" t="s">
        <v>14</v>
      </c>
    </row>
    <row r="34" spans="2:35" ht="15.75" thickBot="1" x14ac:dyDescent="0.3">
      <c r="B34" s="79" t="s">
        <v>22</v>
      </c>
      <c r="C34" s="83"/>
      <c r="D34" s="75" t="str">
        <f t="array" ref="D34">INDEX(Table_Name[Name List],MATCH(B34,Table_Name[Category],0))</f>
        <v>Horizontal_Push[Exercise]</v>
      </c>
      <c r="E34" s="72" t="e">
        <f t="array" ref="E34">INDEX(Links[Link],MATCH(C34,Links[Exercise],0))</f>
        <v>#N/A</v>
      </c>
      <c r="F34" s="86" t="e">
        <f t="shared" si="22"/>
        <v>#N/A</v>
      </c>
      <c r="G34" s="89"/>
      <c r="H34" s="98">
        <f t="shared" si="23"/>
        <v>0</v>
      </c>
      <c r="I34" s="99">
        <v>2</v>
      </c>
      <c r="J34" s="99">
        <f t="shared" si="24"/>
        <v>0</v>
      </c>
      <c r="K34" s="99" t="s">
        <v>11</v>
      </c>
      <c r="L34" s="99"/>
      <c r="M34" s="101"/>
      <c r="N34" s="98">
        <f t="shared" si="25"/>
        <v>0</v>
      </c>
      <c r="O34" s="99">
        <f>I34+(S13)</f>
        <v>2</v>
      </c>
      <c r="P34" s="99">
        <f t="shared" si="26"/>
        <v>0</v>
      </c>
      <c r="Q34" s="99" t="s">
        <v>11</v>
      </c>
      <c r="R34" s="99"/>
      <c r="S34" s="101"/>
      <c r="T34" s="59">
        <f t="shared" si="27"/>
        <v>0</v>
      </c>
      <c r="U34" s="99">
        <f>O34+(Y13)</f>
        <v>2</v>
      </c>
      <c r="V34" s="99">
        <f t="shared" si="28"/>
        <v>0</v>
      </c>
      <c r="W34" s="99" t="s">
        <v>12</v>
      </c>
      <c r="X34" s="99"/>
      <c r="Y34" s="101"/>
      <c r="Z34" s="100">
        <f t="shared" si="29"/>
        <v>0</v>
      </c>
      <c r="AA34" s="99">
        <f>U34+(AE13)</f>
        <v>2</v>
      </c>
      <c r="AB34" s="99">
        <f t="shared" si="30"/>
        <v>0</v>
      </c>
      <c r="AC34" s="99" t="s">
        <v>13</v>
      </c>
      <c r="AD34" s="99"/>
      <c r="AE34" s="99"/>
      <c r="AF34" s="100">
        <f t="shared" si="31"/>
        <v>0</v>
      </c>
      <c r="AG34" s="99">
        <v>2</v>
      </c>
      <c r="AH34" s="102">
        <f t="shared" si="32"/>
        <v>0</v>
      </c>
      <c r="AI34" s="69" t="s">
        <v>14</v>
      </c>
    </row>
    <row r="35" spans="2:35" ht="15.75" thickBot="1" x14ac:dyDescent="0.3">
      <c r="B35" s="79" t="s">
        <v>143</v>
      </c>
      <c r="C35" s="83"/>
      <c r="D35" s="75" t="str">
        <f t="array" ref="D35">INDEX(Table_Name[Name List],MATCH(B35,Table_Name[Category],0))</f>
        <v>Incline_Push[Exercise]</v>
      </c>
      <c r="E35" s="72" t="e">
        <f t="array" ref="E35">INDEX(Links[Link],MATCH(C35,Links[Exercise],0))</f>
        <v>#N/A</v>
      </c>
      <c r="F35" s="86" t="e">
        <f t="shared" si="22"/>
        <v>#N/A</v>
      </c>
      <c r="G35" s="89"/>
      <c r="H35" s="98">
        <f t="shared" si="23"/>
        <v>0</v>
      </c>
      <c r="I35" s="99">
        <v>2</v>
      </c>
      <c r="J35" s="99">
        <f t="shared" si="24"/>
        <v>0</v>
      </c>
      <c r="K35" s="99" t="s">
        <v>11</v>
      </c>
      <c r="L35" s="99"/>
      <c r="M35" s="101"/>
      <c r="N35" s="98">
        <f t="shared" si="25"/>
        <v>0</v>
      </c>
      <c r="O35" s="99">
        <f>I35+(S11)</f>
        <v>2</v>
      </c>
      <c r="P35" s="99">
        <f t="shared" si="26"/>
        <v>0</v>
      </c>
      <c r="Q35" s="99" t="s">
        <v>11</v>
      </c>
      <c r="R35" s="99"/>
      <c r="S35" s="101"/>
      <c r="T35" s="59">
        <f t="shared" si="27"/>
        <v>0</v>
      </c>
      <c r="U35" s="99">
        <f>O35+(Y11)</f>
        <v>2</v>
      </c>
      <c r="V35" s="99">
        <f t="shared" si="28"/>
        <v>0</v>
      </c>
      <c r="W35" s="99" t="s">
        <v>12</v>
      </c>
      <c r="X35" s="99"/>
      <c r="Y35" s="101"/>
      <c r="Z35" s="100">
        <f t="shared" si="29"/>
        <v>0</v>
      </c>
      <c r="AA35" s="99">
        <f>U35+(AE11)</f>
        <v>2</v>
      </c>
      <c r="AB35" s="99">
        <f t="shared" si="30"/>
        <v>0</v>
      </c>
      <c r="AC35" s="99" t="s">
        <v>13</v>
      </c>
      <c r="AD35" s="99"/>
      <c r="AE35" s="99"/>
      <c r="AF35" s="100">
        <f t="shared" si="31"/>
        <v>0</v>
      </c>
      <c r="AG35" s="99">
        <v>2</v>
      </c>
      <c r="AH35" s="102">
        <f t="shared" si="32"/>
        <v>0</v>
      </c>
      <c r="AI35" s="69" t="s">
        <v>14</v>
      </c>
    </row>
    <row r="36" spans="2:35" ht="15.75" thickBot="1" x14ac:dyDescent="0.3">
      <c r="B36" s="80" t="s">
        <v>77</v>
      </c>
      <c r="C36" s="84"/>
      <c r="D36" s="76" t="str">
        <f t="array" ref="D36">INDEX(Table_Name[Name List],MATCH(B36,Table_Name[Category],0))</f>
        <v>Abs[Exercise]</v>
      </c>
      <c r="E36" s="73" t="e">
        <f t="array" ref="E36">INDEX(Links[Link],MATCH(C36,Links[Exercise],0))</f>
        <v>#N/A</v>
      </c>
      <c r="F36" s="87" t="e">
        <f t="shared" si="22"/>
        <v>#N/A</v>
      </c>
      <c r="G36" s="90"/>
      <c r="H36" s="103">
        <f t="shared" si="23"/>
        <v>0</v>
      </c>
      <c r="I36" s="104">
        <v>2</v>
      </c>
      <c r="J36" s="104">
        <f t="shared" si="24"/>
        <v>0</v>
      </c>
      <c r="K36" s="104" t="s">
        <v>11</v>
      </c>
      <c r="L36" s="104"/>
      <c r="M36" s="101"/>
      <c r="N36" s="105">
        <f t="shared" si="25"/>
        <v>0</v>
      </c>
      <c r="O36" s="104">
        <f>I36+(S17)</f>
        <v>2</v>
      </c>
      <c r="P36" s="104">
        <f t="shared" si="26"/>
        <v>0</v>
      </c>
      <c r="Q36" s="104" t="s">
        <v>11</v>
      </c>
      <c r="R36" s="104"/>
      <c r="S36" s="101"/>
      <c r="T36" s="106">
        <f t="shared" si="27"/>
        <v>0</v>
      </c>
      <c r="U36" s="104">
        <f>O36+(Y17)</f>
        <v>2</v>
      </c>
      <c r="V36" s="104">
        <f t="shared" si="28"/>
        <v>0</v>
      </c>
      <c r="W36" s="104" t="s">
        <v>12</v>
      </c>
      <c r="X36" s="104"/>
      <c r="Y36" s="101"/>
      <c r="Z36" s="105">
        <f t="shared" si="29"/>
        <v>0</v>
      </c>
      <c r="AA36" s="104">
        <f>U36+(AE17)</f>
        <v>2</v>
      </c>
      <c r="AB36" s="104">
        <f t="shared" si="30"/>
        <v>0</v>
      </c>
      <c r="AC36" s="104" t="s">
        <v>13</v>
      </c>
      <c r="AD36" s="104"/>
      <c r="AE36" s="104"/>
      <c r="AF36" s="105">
        <f t="shared" si="31"/>
        <v>0</v>
      </c>
      <c r="AG36" s="104">
        <v>2</v>
      </c>
      <c r="AH36" s="107">
        <f t="shared" si="32"/>
        <v>0</v>
      </c>
      <c r="AI36" s="62" t="s">
        <v>14</v>
      </c>
    </row>
    <row r="37" spans="2:35" ht="19.5" thickBot="1" x14ac:dyDescent="0.3">
      <c r="B37" s="68" t="s">
        <v>342</v>
      </c>
      <c r="C37" s="38"/>
      <c r="D37" s="38"/>
      <c r="E37" s="38"/>
      <c r="F37" s="38"/>
      <c r="G37" s="69"/>
      <c r="H37" s="154" t="s">
        <v>1</v>
      </c>
      <c r="I37" s="155"/>
      <c r="J37" s="155"/>
      <c r="K37" s="155"/>
      <c r="L37" s="155"/>
      <c r="M37" s="156"/>
      <c r="N37" s="157" t="s">
        <v>2</v>
      </c>
      <c r="O37" s="158"/>
      <c r="P37" s="158"/>
      <c r="Q37" s="158"/>
      <c r="R37" s="158"/>
      <c r="S37" s="159"/>
      <c r="T37" s="160" t="s">
        <v>3</v>
      </c>
      <c r="U37" s="161"/>
      <c r="V37" s="161"/>
      <c r="W37" s="161"/>
      <c r="X37" s="161"/>
      <c r="Y37" s="162"/>
      <c r="Z37" s="163" t="s">
        <v>4</v>
      </c>
      <c r="AA37" s="164"/>
      <c r="AB37" s="164"/>
      <c r="AC37" s="164"/>
      <c r="AD37" s="164"/>
      <c r="AE37" s="165"/>
      <c r="AF37" s="166" t="s">
        <v>5</v>
      </c>
      <c r="AG37" s="167"/>
      <c r="AH37" s="167"/>
      <c r="AI37" s="168"/>
    </row>
    <row r="38" spans="2:35" ht="15.75" thickBot="1" x14ac:dyDescent="0.3">
      <c r="B38" s="38"/>
      <c r="C38" s="38"/>
      <c r="D38" s="38"/>
      <c r="E38" s="38"/>
      <c r="F38" s="38"/>
      <c r="G38" s="38"/>
      <c r="H38" s="91" t="s">
        <v>88</v>
      </c>
      <c r="I38" s="92" t="s">
        <v>6</v>
      </c>
      <c r="J38" s="93" t="s">
        <v>7</v>
      </c>
      <c r="K38" s="94" t="s">
        <v>8</v>
      </c>
      <c r="L38" s="94" t="s">
        <v>9</v>
      </c>
      <c r="M38" s="95" t="s">
        <v>10</v>
      </c>
      <c r="N38" s="96" t="s">
        <v>88</v>
      </c>
      <c r="O38" s="96" t="s">
        <v>6</v>
      </c>
      <c r="P38" s="93" t="s">
        <v>7</v>
      </c>
      <c r="Q38" s="94" t="s">
        <v>8</v>
      </c>
      <c r="R38" s="94" t="s">
        <v>9</v>
      </c>
      <c r="S38" s="95" t="s">
        <v>10</v>
      </c>
      <c r="T38" s="96" t="s">
        <v>88</v>
      </c>
      <c r="U38" s="96" t="s">
        <v>6</v>
      </c>
      <c r="V38" s="93" t="s">
        <v>7</v>
      </c>
      <c r="W38" s="94" t="s">
        <v>8</v>
      </c>
      <c r="X38" s="94" t="s">
        <v>9</v>
      </c>
      <c r="Y38" s="95" t="s">
        <v>10</v>
      </c>
      <c r="Z38" s="96" t="s">
        <v>88</v>
      </c>
      <c r="AA38" s="96" t="s">
        <v>6</v>
      </c>
      <c r="AB38" s="93" t="s">
        <v>7</v>
      </c>
      <c r="AC38" s="108" t="s">
        <v>15</v>
      </c>
      <c r="AD38" s="94" t="s">
        <v>9</v>
      </c>
      <c r="AE38" s="95" t="s">
        <v>10</v>
      </c>
      <c r="AF38" s="96" t="s">
        <v>88</v>
      </c>
      <c r="AG38" s="96" t="s">
        <v>6</v>
      </c>
      <c r="AH38" s="93" t="s">
        <v>7</v>
      </c>
      <c r="AI38" s="97" t="s">
        <v>8</v>
      </c>
    </row>
    <row r="39" spans="2:35" ht="15.75" thickBot="1" x14ac:dyDescent="0.3">
      <c r="B39" s="77" t="s">
        <v>340</v>
      </c>
      <c r="C39" s="81" t="s">
        <v>337</v>
      </c>
      <c r="D39" s="63"/>
      <c r="E39" s="60"/>
      <c r="F39" s="81" t="s">
        <v>347</v>
      </c>
      <c r="G39" s="81" t="s">
        <v>348</v>
      </c>
      <c r="H39" s="94" t="s">
        <v>337</v>
      </c>
      <c r="I39" s="70"/>
      <c r="J39" s="70"/>
      <c r="K39" s="70"/>
      <c r="L39" s="70"/>
      <c r="M39" s="67"/>
      <c r="N39" s="91" t="s">
        <v>337</v>
      </c>
      <c r="O39" s="70"/>
      <c r="P39" s="70"/>
      <c r="Q39" s="70"/>
      <c r="R39" s="70"/>
      <c r="S39" s="67"/>
      <c r="T39" s="91" t="s">
        <v>337</v>
      </c>
      <c r="U39" s="70"/>
      <c r="V39" s="70"/>
      <c r="W39" s="70"/>
      <c r="X39" s="70"/>
      <c r="Y39" s="70"/>
      <c r="Z39" s="91" t="s">
        <v>337</v>
      </c>
      <c r="AA39" s="70"/>
      <c r="AB39" s="70"/>
      <c r="AC39" s="70"/>
      <c r="AD39" s="70"/>
      <c r="AE39" s="70"/>
      <c r="AF39" s="91" t="s">
        <v>337</v>
      </c>
      <c r="AG39" s="70"/>
      <c r="AH39" s="70"/>
      <c r="AI39" s="67"/>
    </row>
    <row r="40" spans="2:35" ht="15.75" thickBot="1" x14ac:dyDescent="0.3">
      <c r="B40" s="78" t="s">
        <v>108</v>
      </c>
      <c r="C40" s="82"/>
      <c r="D40" s="74" t="str">
        <f t="array" ref="D40">INDEX(Table_Name[Name List],MATCH(B40,Table_Name[Category],0))</f>
        <v>Glutes[Exercise]</v>
      </c>
      <c r="E40" s="71" t="e">
        <f t="array" ref="E40">INDEX(Links[Link],MATCH(C40,Links[Exercise],0))</f>
        <v>#N/A</v>
      </c>
      <c r="F40" s="85" t="e">
        <f t="shared" ref="F40:F45" si="33">HYPERLINK(E40,"Video")</f>
        <v>#N/A</v>
      </c>
      <c r="G40" s="88"/>
      <c r="H40" s="98">
        <f t="shared" ref="H40:H45" si="34">C40</f>
        <v>0</v>
      </c>
      <c r="I40" s="99">
        <v>3</v>
      </c>
      <c r="J40" s="99">
        <f t="shared" ref="J40:J45" si="35">MROUND(((G40)*0.85),5)</f>
        <v>0</v>
      </c>
      <c r="K40" s="99" t="s">
        <v>11</v>
      </c>
      <c r="L40" s="99"/>
      <c r="M40" s="101"/>
      <c r="N40" s="98">
        <f t="shared" ref="N40:N45" si="36">C40</f>
        <v>0</v>
      </c>
      <c r="O40" s="99">
        <f>I40+(S21)</f>
        <v>3</v>
      </c>
      <c r="P40" s="99">
        <f t="shared" ref="P40:P45" si="37">MROUND((J40*1.05),5)</f>
        <v>0</v>
      </c>
      <c r="Q40" s="99" t="s">
        <v>11</v>
      </c>
      <c r="R40" s="99"/>
      <c r="S40" s="101"/>
      <c r="T40" s="59">
        <f t="shared" ref="T40:T45" si="38">C40</f>
        <v>0</v>
      </c>
      <c r="U40" s="99">
        <f>O40+(Y21)</f>
        <v>3</v>
      </c>
      <c r="V40" s="99">
        <f t="shared" ref="V40:V45" si="39">MROUND((J40*1.075),5)</f>
        <v>0</v>
      </c>
      <c r="W40" s="99" t="s">
        <v>12</v>
      </c>
      <c r="X40" s="99"/>
      <c r="Y40" s="101"/>
      <c r="Z40" s="100">
        <f t="shared" ref="Z40:Z45" si="40">C40</f>
        <v>0</v>
      </c>
      <c r="AA40" s="99">
        <f>U40+(AE21)</f>
        <v>3</v>
      </c>
      <c r="AB40" s="99">
        <f t="shared" ref="AB40:AB45" si="41">MROUND((J40*1.1),5)</f>
        <v>0</v>
      </c>
      <c r="AC40" s="99" t="s">
        <v>13</v>
      </c>
      <c r="AD40" s="99"/>
      <c r="AE40" s="99"/>
      <c r="AF40" s="100">
        <f t="shared" ref="AF40:AF45" si="42">C40</f>
        <v>0</v>
      </c>
      <c r="AG40" s="99">
        <v>2</v>
      </c>
      <c r="AH40" s="102">
        <f t="shared" ref="AH40:AH45" si="43">MROUND((J40*0.5),5)</f>
        <v>0</v>
      </c>
      <c r="AI40" s="69" t="s">
        <v>14</v>
      </c>
    </row>
    <row r="41" spans="2:35" ht="15.75" thickBot="1" x14ac:dyDescent="0.3">
      <c r="B41" s="79" t="s">
        <v>107</v>
      </c>
      <c r="C41" s="83"/>
      <c r="D41" s="75" t="str">
        <f t="array" ref="D41">INDEX(Table_Name[Name List],MATCH(B41,Table_Name[Category],0))</f>
        <v>Hamstrings_Hip_Hinge[Exercise]</v>
      </c>
      <c r="E41" s="72" t="e">
        <f t="array" ref="E41">INDEX(Links[Link],MATCH(C41,Links[Exercise],0))</f>
        <v>#N/A</v>
      </c>
      <c r="F41" s="86" t="e">
        <f t="shared" si="33"/>
        <v>#N/A</v>
      </c>
      <c r="G41" s="89"/>
      <c r="H41" s="98">
        <f t="shared" si="34"/>
        <v>0</v>
      </c>
      <c r="I41" s="99">
        <v>3</v>
      </c>
      <c r="J41" s="99">
        <f t="shared" si="35"/>
        <v>0</v>
      </c>
      <c r="K41" s="99" t="s">
        <v>11</v>
      </c>
      <c r="L41" s="99"/>
      <c r="M41" s="101"/>
      <c r="N41" s="98">
        <f t="shared" si="36"/>
        <v>0</v>
      </c>
      <c r="O41" s="99">
        <f>I41+(S23)</f>
        <v>3</v>
      </c>
      <c r="P41" s="99">
        <f t="shared" si="37"/>
        <v>0</v>
      </c>
      <c r="Q41" s="99" t="s">
        <v>11</v>
      </c>
      <c r="R41" s="99"/>
      <c r="S41" s="101"/>
      <c r="T41" s="59">
        <f t="shared" si="38"/>
        <v>0</v>
      </c>
      <c r="U41" s="99">
        <f>O41+(Y23)</f>
        <v>3</v>
      </c>
      <c r="V41" s="99">
        <f t="shared" si="39"/>
        <v>0</v>
      </c>
      <c r="W41" s="99" t="s">
        <v>12</v>
      </c>
      <c r="X41" s="99"/>
      <c r="Y41" s="101"/>
      <c r="Z41" s="100">
        <f t="shared" si="40"/>
        <v>0</v>
      </c>
      <c r="AA41" s="99">
        <f>U41+(AE23)</f>
        <v>3</v>
      </c>
      <c r="AB41" s="99">
        <f t="shared" si="41"/>
        <v>0</v>
      </c>
      <c r="AC41" s="99" t="s">
        <v>13</v>
      </c>
      <c r="AD41" s="99"/>
      <c r="AE41" s="99"/>
      <c r="AF41" s="100">
        <f t="shared" si="42"/>
        <v>0</v>
      </c>
      <c r="AG41" s="99">
        <v>2</v>
      </c>
      <c r="AH41" s="102">
        <f t="shared" si="43"/>
        <v>0</v>
      </c>
      <c r="AI41" s="69" t="s">
        <v>14</v>
      </c>
    </row>
    <row r="42" spans="2:35" ht="15.75" thickBot="1" x14ac:dyDescent="0.3">
      <c r="B42" s="79" t="s">
        <v>20</v>
      </c>
      <c r="C42" s="83"/>
      <c r="D42" s="75" t="str">
        <f t="array" ref="D42">INDEX(Table_Name[Name List],MATCH(B42,Table_Name[Category],0))</f>
        <v>Quads[Exercise]</v>
      </c>
      <c r="E42" s="72" t="e">
        <f t="array" ref="E42">INDEX(Links[Link],MATCH(C42,Links[Exercise],0))</f>
        <v>#N/A</v>
      </c>
      <c r="F42" s="86" t="e">
        <f t="shared" si="33"/>
        <v>#N/A</v>
      </c>
      <c r="G42" s="89"/>
      <c r="H42" s="98">
        <f t="shared" si="34"/>
        <v>0</v>
      </c>
      <c r="I42" s="99">
        <v>3</v>
      </c>
      <c r="J42" s="99">
        <f t="shared" si="35"/>
        <v>0</v>
      </c>
      <c r="K42" s="99" t="s">
        <v>11</v>
      </c>
      <c r="L42" s="99"/>
      <c r="M42" s="101"/>
      <c r="N42" s="98">
        <f t="shared" si="36"/>
        <v>0</v>
      </c>
      <c r="O42" s="99">
        <f>I42+(S21)</f>
        <v>3</v>
      </c>
      <c r="P42" s="99">
        <f t="shared" si="37"/>
        <v>0</v>
      </c>
      <c r="Q42" s="99" t="s">
        <v>11</v>
      </c>
      <c r="R42" s="99"/>
      <c r="S42" s="101"/>
      <c r="T42" s="59">
        <f t="shared" si="38"/>
        <v>0</v>
      </c>
      <c r="U42" s="99">
        <f>O42+(Y21)</f>
        <v>3</v>
      </c>
      <c r="V42" s="99">
        <f t="shared" si="39"/>
        <v>0</v>
      </c>
      <c r="W42" s="99" t="s">
        <v>12</v>
      </c>
      <c r="X42" s="99"/>
      <c r="Y42" s="101"/>
      <c r="Z42" s="100">
        <f t="shared" si="40"/>
        <v>0</v>
      </c>
      <c r="AA42" s="99">
        <f>U42+(AE21)</f>
        <v>3</v>
      </c>
      <c r="AB42" s="99">
        <f t="shared" si="41"/>
        <v>0</v>
      </c>
      <c r="AC42" s="99" t="s">
        <v>13</v>
      </c>
      <c r="AD42" s="99"/>
      <c r="AE42" s="99"/>
      <c r="AF42" s="100">
        <f t="shared" si="42"/>
        <v>0</v>
      </c>
      <c r="AG42" s="99">
        <v>2</v>
      </c>
      <c r="AH42" s="102">
        <f t="shared" si="43"/>
        <v>0</v>
      </c>
      <c r="AI42" s="69" t="s">
        <v>14</v>
      </c>
    </row>
    <row r="43" spans="2:35" ht="15.75" thickBot="1" x14ac:dyDescent="0.3">
      <c r="B43" s="79" t="s">
        <v>18</v>
      </c>
      <c r="C43" s="83"/>
      <c r="D43" s="75" t="str">
        <f t="array" ref="D43">INDEX(Table_Name[Name List],MATCH(B43,Table_Name[Category],0))</f>
        <v>Biceps[Exercise]</v>
      </c>
      <c r="E43" s="72" t="e">
        <f t="array" ref="E43">INDEX(Links[Link],MATCH(C43,Links[Exercise],0))</f>
        <v>#N/A</v>
      </c>
      <c r="F43" s="86" t="e">
        <f t="shared" si="33"/>
        <v>#N/A</v>
      </c>
      <c r="G43" s="89"/>
      <c r="H43" s="98">
        <f t="shared" si="34"/>
        <v>0</v>
      </c>
      <c r="I43" s="99">
        <v>2</v>
      </c>
      <c r="J43" s="99">
        <f t="shared" si="35"/>
        <v>0</v>
      </c>
      <c r="K43" s="99" t="s">
        <v>11</v>
      </c>
      <c r="L43" s="99"/>
      <c r="M43" s="101"/>
      <c r="N43" s="98">
        <f t="shared" si="36"/>
        <v>0</v>
      </c>
      <c r="O43" s="99">
        <f>I43+(S15)</f>
        <v>2</v>
      </c>
      <c r="P43" s="99">
        <f t="shared" si="37"/>
        <v>0</v>
      </c>
      <c r="Q43" s="99" t="s">
        <v>11</v>
      </c>
      <c r="R43" s="99"/>
      <c r="S43" s="101"/>
      <c r="T43" s="59">
        <f t="shared" si="38"/>
        <v>0</v>
      </c>
      <c r="U43" s="99">
        <f>O43+(Y15)</f>
        <v>2</v>
      </c>
      <c r="V43" s="99">
        <f t="shared" si="39"/>
        <v>0</v>
      </c>
      <c r="W43" s="99" t="s">
        <v>12</v>
      </c>
      <c r="X43" s="99"/>
      <c r="Y43" s="101"/>
      <c r="Z43" s="100">
        <f t="shared" si="40"/>
        <v>0</v>
      </c>
      <c r="AA43" s="99">
        <f>U43+(AE15)</f>
        <v>2</v>
      </c>
      <c r="AB43" s="99">
        <f t="shared" si="41"/>
        <v>0</v>
      </c>
      <c r="AC43" s="99" t="s">
        <v>13</v>
      </c>
      <c r="AD43" s="99"/>
      <c r="AE43" s="99"/>
      <c r="AF43" s="100">
        <f t="shared" si="42"/>
        <v>0</v>
      </c>
      <c r="AG43" s="99">
        <v>2</v>
      </c>
      <c r="AH43" s="102">
        <f t="shared" si="43"/>
        <v>0</v>
      </c>
      <c r="AI43" s="69" t="s">
        <v>14</v>
      </c>
    </row>
    <row r="44" spans="2:35" ht="15.75" thickBot="1" x14ac:dyDescent="0.3">
      <c r="B44" s="79" t="s">
        <v>120</v>
      </c>
      <c r="C44" s="83"/>
      <c r="D44" s="75" t="str">
        <f t="array" ref="D44">INDEX(Table_Name[Name List],MATCH(B44,Table_Name[Category],0))</f>
        <v>Traps[Exercise]</v>
      </c>
      <c r="E44" s="72" t="e">
        <f t="array" ref="E44">INDEX(Links[Link],MATCH(C44,Links[Exercise],0))</f>
        <v>#N/A</v>
      </c>
      <c r="F44" s="86" t="e">
        <f t="shared" si="33"/>
        <v>#N/A</v>
      </c>
      <c r="G44" s="89"/>
      <c r="H44" s="98">
        <f t="shared" si="34"/>
        <v>0</v>
      </c>
      <c r="I44" s="99">
        <v>2</v>
      </c>
      <c r="J44" s="99">
        <f t="shared" si="35"/>
        <v>0</v>
      </c>
      <c r="K44" s="99" t="s">
        <v>11</v>
      </c>
      <c r="L44" s="99"/>
      <c r="M44" s="101"/>
      <c r="N44" s="98">
        <f t="shared" si="36"/>
        <v>0</v>
      </c>
      <c r="O44" s="99">
        <f>I44+(S16)</f>
        <v>2</v>
      </c>
      <c r="P44" s="99">
        <f t="shared" si="37"/>
        <v>0</v>
      </c>
      <c r="Q44" s="99" t="s">
        <v>11</v>
      </c>
      <c r="R44" s="99"/>
      <c r="S44" s="101"/>
      <c r="T44" s="59">
        <f t="shared" si="38"/>
        <v>0</v>
      </c>
      <c r="U44" s="99">
        <f>O44+(Y16)</f>
        <v>2</v>
      </c>
      <c r="V44" s="99">
        <f t="shared" si="39"/>
        <v>0</v>
      </c>
      <c r="W44" s="99" t="s">
        <v>12</v>
      </c>
      <c r="X44" s="99"/>
      <c r="Y44" s="101"/>
      <c r="Z44" s="100">
        <f t="shared" si="40"/>
        <v>0</v>
      </c>
      <c r="AA44" s="99">
        <f>U44+(AE16)</f>
        <v>2</v>
      </c>
      <c r="AB44" s="99">
        <f t="shared" si="41"/>
        <v>0</v>
      </c>
      <c r="AC44" s="99" t="s">
        <v>13</v>
      </c>
      <c r="AD44" s="99"/>
      <c r="AE44" s="99"/>
      <c r="AF44" s="100">
        <f t="shared" si="42"/>
        <v>0</v>
      </c>
      <c r="AG44" s="99">
        <v>2</v>
      </c>
      <c r="AH44" s="102">
        <f t="shared" si="43"/>
        <v>0</v>
      </c>
      <c r="AI44" s="69" t="s">
        <v>14</v>
      </c>
    </row>
    <row r="45" spans="2:35" ht="15.75" thickBot="1" x14ac:dyDescent="0.3">
      <c r="B45" s="80" t="s">
        <v>19</v>
      </c>
      <c r="C45" s="84"/>
      <c r="D45" s="76" t="str">
        <f t="array" ref="D45">INDEX(Table_Name[Name List],MATCH(B45,Table_Name[Category],0))</f>
        <v>Calves[Exercise]</v>
      </c>
      <c r="E45" s="73" t="e">
        <f t="array" ref="E45">INDEX(Links[Link],MATCH(C45,Links[Exercise],0))</f>
        <v>#N/A</v>
      </c>
      <c r="F45" s="87" t="e">
        <f t="shared" si="33"/>
        <v>#N/A</v>
      </c>
      <c r="G45" s="90"/>
      <c r="H45" s="103">
        <f t="shared" si="34"/>
        <v>0</v>
      </c>
      <c r="I45" s="104">
        <v>6</v>
      </c>
      <c r="J45" s="104">
        <f t="shared" si="35"/>
        <v>0</v>
      </c>
      <c r="K45" s="104" t="s">
        <v>11</v>
      </c>
      <c r="L45" s="104"/>
      <c r="M45" s="101"/>
      <c r="N45" s="105">
        <f t="shared" si="36"/>
        <v>0</v>
      </c>
      <c r="O45" s="104">
        <f>I45+(S24)</f>
        <v>6</v>
      </c>
      <c r="P45" s="104">
        <f t="shared" si="37"/>
        <v>0</v>
      </c>
      <c r="Q45" s="104" t="s">
        <v>11</v>
      </c>
      <c r="R45" s="104"/>
      <c r="S45" s="101"/>
      <c r="T45" s="106">
        <f t="shared" si="38"/>
        <v>0</v>
      </c>
      <c r="U45" s="104">
        <f>O45+(Y24)</f>
        <v>6</v>
      </c>
      <c r="V45" s="104">
        <f t="shared" si="39"/>
        <v>0</v>
      </c>
      <c r="W45" s="104" t="s">
        <v>12</v>
      </c>
      <c r="X45" s="104"/>
      <c r="Y45" s="101"/>
      <c r="Z45" s="105">
        <f t="shared" si="40"/>
        <v>0</v>
      </c>
      <c r="AA45" s="104">
        <f>U45+(AE24)</f>
        <v>6</v>
      </c>
      <c r="AB45" s="104">
        <f t="shared" si="41"/>
        <v>0</v>
      </c>
      <c r="AC45" s="104" t="s">
        <v>13</v>
      </c>
      <c r="AD45" s="104"/>
      <c r="AE45" s="104"/>
      <c r="AF45" s="105">
        <f t="shared" si="42"/>
        <v>0</v>
      </c>
      <c r="AG45" s="104">
        <v>2</v>
      </c>
      <c r="AH45" s="107">
        <f t="shared" si="43"/>
        <v>0</v>
      </c>
      <c r="AI45" s="62" t="s">
        <v>14</v>
      </c>
    </row>
    <row r="46" spans="2:35" s="44" customFormat="1" x14ac:dyDescent="0.25">
      <c r="B46" s="56"/>
      <c r="C46" s="36"/>
      <c r="D46" s="36"/>
      <c r="E46" s="57"/>
      <c r="F46" s="58"/>
      <c r="G46" s="59"/>
      <c r="H46" s="36"/>
      <c r="I46" s="4"/>
      <c r="J46" s="4"/>
      <c r="K46" s="4"/>
      <c r="L46" s="4"/>
      <c r="M46" s="4"/>
      <c r="N46" s="36"/>
      <c r="O46" s="4"/>
      <c r="P46" s="4"/>
      <c r="Q46" s="4"/>
      <c r="R46" s="4"/>
      <c r="S46" s="4"/>
      <c r="T46" s="36"/>
      <c r="U46" s="4"/>
      <c r="V46" s="4"/>
      <c r="W46" s="4"/>
      <c r="X46" s="4"/>
      <c r="Y46" s="4"/>
      <c r="Z46" s="36"/>
      <c r="AA46" s="4"/>
      <c r="AB46" s="4"/>
      <c r="AC46" s="4"/>
      <c r="AD46" s="4"/>
      <c r="AE46" s="4"/>
      <c r="AF46" s="36"/>
      <c r="AG46" s="4"/>
      <c r="AH46" s="4"/>
      <c r="AI46" s="4"/>
    </row>
    <row r="47" spans="2:35" s="44" customFormat="1" x14ac:dyDescent="0.25">
      <c r="B47" s="18" t="s">
        <v>343</v>
      </c>
      <c r="C47" s="36"/>
      <c r="D47" s="36"/>
      <c r="E47" s="57"/>
      <c r="F47" s="58"/>
      <c r="G47" s="59"/>
      <c r="H47" s="36"/>
      <c r="I47" s="4"/>
      <c r="J47" s="4"/>
      <c r="K47" s="4"/>
      <c r="L47" s="4"/>
      <c r="M47" s="4"/>
      <c r="N47" s="36"/>
      <c r="O47" s="4"/>
      <c r="P47" s="4"/>
      <c r="Q47" s="4"/>
      <c r="R47" s="4"/>
      <c r="S47" s="4"/>
      <c r="T47" s="36"/>
      <c r="U47" s="4"/>
      <c r="V47" s="4"/>
      <c r="W47" s="4"/>
      <c r="X47" s="4"/>
      <c r="Y47" s="4"/>
      <c r="Z47" s="36"/>
      <c r="AA47" s="4"/>
      <c r="AB47" s="4"/>
      <c r="AC47" s="4"/>
      <c r="AD47" s="4"/>
      <c r="AE47" s="4"/>
      <c r="AF47" s="36"/>
      <c r="AG47" s="4"/>
      <c r="AH47" s="4"/>
      <c r="AI47" s="4"/>
    </row>
    <row r="48" spans="2:35" s="44" customFormat="1" x14ac:dyDescent="0.25">
      <c r="B48" s="56"/>
      <c r="C48" s="36"/>
      <c r="D48" s="36"/>
      <c r="E48" s="57"/>
      <c r="F48" s="58"/>
      <c r="G48" s="59"/>
      <c r="H48" s="36"/>
      <c r="I48" s="4"/>
      <c r="J48" s="4"/>
      <c r="K48" s="4"/>
      <c r="L48" s="4"/>
      <c r="M48" s="4"/>
      <c r="N48" s="36"/>
      <c r="O48" s="4"/>
      <c r="P48" s="4"/>
      <c r="Q48" s="4"/>
      <c r="R48" s="4"/>
      <c r="S48" s="4"/>
      <c r="T48" s="36"/>
      <c r="U48" s="4"/>
      <c r="V48" s="4"/>
      <c r="W48" s="4"/>
      <c r="X48" s="4"/>
      <c r="Y48" s="4"/>
      <c r="Z48" s="36"/>
      <c r="AA48" s="4"/>
      <c r="AB48" s="4"/>
      <c r="AC48" s="4"/>
      <c r="AD48" s="4"/>
      <c r="AE48" s="4"/>
      <c r="AF48" s="36"/>
      <c r="AG48" s="4"/>
      <c r="AH48" s="4"/>
      <c r="AI48" s="4"/>
    </row>
    <row r="49" spans="2:35" s="44" customFormat="1" x14ac:dyDescent="0.25">
      <c r="B49" s="56"/>
      <c r="C49" s="36"/>
      <c r="D49" s="36"/>
      <c r="E49" s="57"/>
      <c r="F49" s="58"/>
      <c r="G49" s="59"/>
      <c r="H49" s="36"/>
      <c r="I49" s="4"/>
      <c r="J49" s="4"/>
      <c r="K49" s="4"/>
      <c r="L49" s="4"/>
      <c r="M49" s="4"/>
      <c r="N49" s="36"/>
      <c r="O49" s="4"/>
      <c r="P49" s="4"/>
      <c r="Q49" s="4"/>
      <c r="R49" s="4"/>
      <c r="S49" s="4"/>
      <c r="T49" s="36"/>
      <c r="U49" s="4"/>
      <c r="V49" s="4"/>
      <c r="W49" s="4"/>
      <c r="X49" s="4"/>
      <c r="Y49" s="4"/>
      <c r="Z49" s="36"/>
      <c r="AA49" s="4"/>
      <c r="AB49" s="4"/>
      <c r="AC49" s="4"/>
      <c r="AD49" s="4"/>
      <c r="AE49" s="4"/>
      <c r="AF49" s="36"/>
      <c r="AG49" s="4"/>
      <c r="AH49" s="4"/>
      <c r="AI49" s="4"/>
    </row>
    <row r="50" spans="2:35" s="44" customFormat="1" x14ac:dyDescent="0.25">
      <c r="B50" s="56"/>
      <c r="C50" s="36"/>
      <c r="D50" s="36"/>
      <c r="E50" s="57"/>
      <c r="F50" s="58"/>
      <c r="G50" s="59"/>
      <c r="H50" s="36"/>
      <c r="I50" s="4"/>
      <c r="J50" s="4"/>
      <c r="K50" s="4"/>
      <c r="L50" s="4"/>
      <c r="M50" s="4"/>
      <c r="N50" s="36"/>
      <c r="O50" s="4"/>
      <c r="P50" s="4"/>
      <c r="Q50" s="4"/>
      <c r="R50" s="4"/>
      <c r="S50" s="4"/>
      <c r="T50" s="36"/>
      <c r="U50" s="4"/>
      <c r="V50" s="4"/>
      <c r="W50" s="4"/>
      <c r="X50" s="4"/>
      <c r="Y50" s="4"/>
      <c r="Z50" s="36"/>
      <c r="AA50" s="4"/>
      <c r="AB50" s="4"/>
      <c r="AC50" s="4"/>
      <c r="AD50" s="4"/>
      <c r="AE50" s="4"/>
      <c r="AF50" s="36"/>
      <c r="AG50" s="4"/>
      <c r="AH50" s="4"/>
      <c r="AI50" s="4"/>
    </row>
    <row r="51" spans="2:35" s="44" customFormat="1" x14ac:dyDescent="0.25">
      <c r="B51" s="56"/>
      <c r="C51" s="36"/>
      <c r="D51" s="36"/>
      <c r="E51" s="57"/>
      <c r="F51" s="58"/>
      <c r="G51" s="59"/>
      <c r="H51" s="36"/>
      <c r="I51" s="4"/>
      <c r="J51" s="4"/>
      <c r="K51" s="4"/>
      <c r="L51" s="4"/>
      <c r="M51" s="4"/>
      <c r="N51" s="36"/>
      <c r="O51" s="4"/>
      <c r="P51" s="4"/>
      <c r="Q51" s="4"/>
      <c r="R51" s="4"/>
      <c r="S51" s="4"/>
      <c r="T51" s="36"/>
      <c r="U51" s="4"/>
      <c r="V51" s="4"/>
      <c r="W51" s="4"/>
      <c r="X51" s="4"/>
      <c r="Y51" s="4"/>
      <c r="Z51" s="36"/>
      <c r="AA51" s="4"/>
      <c r="AB51" s="4"/>
      <c r="AC51" s="4"/>
      <c r="AD51" s="4"/>
      <c r="AE51" s="4"/>
      <c r="AF51" s="36"/>
      <c r="AG51" s="4"/>
      <c r="AH51" s="4"/>
      <c r="AI51" s="4"/>
    </row>
    <row r="52" spans="2:35" s="44" customFormat="1" x14ac:dyDescent="0.25">
      <c r="B52" s="56"/>
      <c r="C52" s="36"/>
      <c r="D52" s="36"/>
      <c r="E52" s="57"/>
      <c r="F52" s="58"/>
      <c r="G52" s="59"/>
      <c r="H52" s="36"/>
      <c r="I52" s="4"/>
      <c r="J52" s="4"/>
      <c r="K52" s="4"/>
      <c r="L52" s="4"/>
      <c r="M52" s="4"/>
      <c r="N52" s="36"/>
      <c r="O52" s="4"/>
      <c r="P52" s="4"/>
      <c r="Q52" s="4"/>
      <c r="R52" s="4"/>
      <c r="S52" s="4"/>
      <c r="T52" s="36"/>
      <c r="U52" s="4"/>
      <c r="V52" s="4"/>
      <c r="W52" s="4"/>
      <c r="X52" s="4"/>
      <c r="Y52" s="4"/>
      <c r="Z52" s="36"/>
      <c r="AA52" s="4"/>
      <c r="AB52" s="4"/>
      <c r="AC52" s="4"/>
      <c r="AD52" s="4"/>
      <c r="AE52" s="4"/>
      <c r="AF52" s="36"/>
      <c r="AG52" s="4"/>
      <c r="AH52" s="4"/>
      <c r="AI52" s="4"/>
    </row>
    <row r="53" spans="2:35" s="44" customFormat="1" x14ac:dyDescent="0.25">
      <c r="B53" s="56"/>
      <c r="C53" s="36"/>
      <c r="D53" s="36"/>
      <c r="E53" s="57"/>
      <c r="F53" s="58"/>
      <c r="G53" s="59"/>
      <c r="H53" s="36"/>
      <c r="I53" s="4"/>
      <c r="J53" s="4"/>
      <c r="K53" s="4"/>
      <c r="L53" s="4"/>
      <c r="M53" s="4"/>
      <c r="N53" s="36"/>
      <c r="O53" s="4"/>
      <c r="P53" s="4"/>
      <c r="Q53" s="4"/>
      <c r="R53" s="4"/>
      <c r="S53" s="4"/>
      <c r="T53" s="36"/>
      <c r="U53" s="4"/>
      <c r="V53" s="4"/>
      <c r="W53" s="4"/>
      <c r="X53" s="4"/>
      <c r="Y53" s="4"/>
      <c r="Z53" s="36"/>
      <c r="AA53" s="4"/>
      <c r="AB53" s="4"/>
      <c r="AC53" s="4"/>
      <c r="AD53" s="4"/>
      <c r="AE53" s="4"/>
      <c r="AF53" s="36"/>
      <c r="AG53" s="4"/>
      <c r="AH53" s="4"/>
      <c r="AI53" s="4"/>
    </row>
    <row r="54" spans="2:35" s="44" customFormat="1" x14ac:dyDescent="0.25">
      <c r="B54" s="56"/>
      <c r="C54" s="36"/>
      <c r="D54" s="36"/>
      <c r="E54" s="57"/>
      <c r="F54" s="58"/>
      <c r="G54" s="59"/>
      <c r="H54" s="36"/>
      <c r="I54" s="4"/>
      <c r="J54" s="4"/>
      <c r="K54" s="4"/>
      <c r="L54" s="4"/>
      <c r="M54" s="4"/>
      <c r="N54" s="36"/>
      <c r="O54" s="4"/>
      <c r="P54" s="4"/>
      <c r="Q54" s="4"/>
      <c r="R54" s="4"/>
      <c r="S54" s="4"/>
      <c r="T54" s="36"/>
      <c r="U54" s="4"/>
      <c r="V54" s="4"/>
      <c r="W54" s="4"/>
      <c r="X54" s="4"/>
      <c r="Y54" s="4"/>
      <c r="Z54" s="36"/>
      <c r="AA54" s="4"/>
      <c r="AB54" s="4"/>
      <c r="AC54" s="4"/>
      <c r="AD54" s="4"/>
      <c r="AE54" s="4"/>
      <c r="AF54" s="36"/>
      <c r="AG54" s="4"/>
      <c r="AH54" s="4"/>
      <c r="AI54" s="4"/>
    </row>
    <row r="55" spans="2:35" s="44" customFormat="1" x14ac:dyDescent="0.25">
      <c r="B55" s="56"/>
      <c r="C55" s="36"/>
      <c r="D55" s="36"/>
      <c r="E55" s="57"/>
      <c r="F55" s="58"/>
      <c r="G55" s="59"/>
      <c r="H55" s="36"/>
      <c r="I55" s="4"/>
      <c r="J55" s="4"/>
      <c r="K55" s="4"/>
      <c r="L55" s="4"/>
      <c r="M55" s="4"/>
      <c r="N55" s="36"/>
      <c r="O55" s="4"/>
      <c r="P55" s="4"/>
      <c r="Q55" s="4"/>
      <c r="R55" s="4"/>
      <c r="S55" s="4"/>
      <c r="T55" s="36"/>
      <c r="U55" s="4"/>
      <c r="V55" s="4"/>
      <c r="W55" s="4"/>
      <c r="X55" s="4"/>
      <c r="Y55" s="4"/>
      <c r="Z55" s="36"/>
      <c r="AA55" s="4"/>
      <c r="AB55" s="4"/>
      <c r="AC55" s="4"/>
      <c r="AD55" s="4"/>
      <c r="AE55" s="4"/>
      <c r="AF55" s="36"/>
      <c r="AG55" s="4"/>
      <c r="AH55" s="4"/>
      <c r="AI55" s="4"/>
    </row>
    <row r="56" spans="2:35" s="44" customFormat="1" x14ac:dyDescent="0.25">
      <c r="B56" s="56"/>
      <c r="C56" s="36"/>
      <c r="D56" s="36"/>
      <c r="E56" s="57"/>
      <c r="F56" s="58"/>
      <c r="G56" s="59"/>
      <c r="H56" s="36"/>
      <c r="I56" s="4"/>
      <c r="J56" s="4"/>
      <c r="K56" s="4"/>
      <c r="L56" s="4"/>
      <c r="M56" s="4"/>
      <c r="N56" s="36"/>
      <c r="O56" s="4"/>
      <c r="P56" s="4"/>
      <c r="Q56" s="4"/>
      <c r="R56" s="4"/>
      <c r="S56" s="4"/>
      <c r="T56" s="36"/>
      <c r="U56" s="4"/>
      <c r="V56" s="4"/>
      <c r="W56" s="4"/>
      <c r="X56" s="4"/>
      <c r="Y56" s="4"/>
      <c r="Z56" s="36"/>
      <c r="AA56" s="4"/>
      <c r="AB56" s="4"/>
      <c r="AC56" s="4"/>
      <c r="AD56" s="4"/>
      <c r="AE56" s="4"/>
      <c r="AF56" s="36"/>
      <c r="AG56" s="4"/>
      <c r="AH56" s="4"/>
      <c r="AI56" s="4"/>
    </row>
    <row r="57" spans="2:35" s="44" customFormat="1" x14ac:dyDescent="0.25">
      <c r="B57" s="56"/>
      <c r="C57" s="36"/>
      <c r="D57" s="36"/>
      <c r="E57" s="57"/>
      <c r="F57" s="58"/>
      <c r="G57" s="59"/>
      <c r="H57" s="36"/>
      <c r="I57" s="4"/>
      <c r="J57" s="4"/>
      <c r="K57" s="4"/>
      <c r="L57" s="4"/>
      <c r="M57" s="4"/>
      <c r="N57" s="36"/>
      <c r="O57" s="4"/>
      <c r="P57" s="4"/>
      <c r="Q57" s="4"/>
      <c r="R57" s="4"/>
      <c r="S57" s="4"/>
      <c r="T57" s="36"/>
      <c r="U57" s="4"/>
      <c r="V57" s="4"/>
      <c r="W57" s="4"/>
      <c r="X57" s="4"/>
      <c r="Y57" s="4"/>
      <c r="Z57" s="36"/>
      <c r="AA57" s="4"/>
      <c r="AB57" s="4"/>
      <c r="AC57" s="4"/>
      <c r="AD57" s="4"/>
      <c r="AE57" s="4"/>
      <c r="AF57" s="36"/>
      <c r="AG57" s="4"/>
      <c r="AH57" s="4"/>
      <c r="AI57" s="4"/>
    </row>
    <row r="58" spans="2:35" s="44" customFormat="1" x14ac:dyDescent="0.25">
      <c r="B58" s="56"/>
      <c r="C58" s="36"/>
      <c r="D58" s="36"/>
      <c r="E58" s="57"/>
      <c r="F58" s="58"/>
      <c r="G58" s="59"/>
      <c r="H58" s="36"/>
      <c r="I58" s="4"/>
      <c r="J58" s="4"/>
      <c r="K58" s="4"/>
      <c r="L58" s="4"/>
      <c r="M58" s="4"/>
      <c r="N58" s="36"/>
      <c r="O58" s="4"/>
      <c r="P58" s="4"/>
      <c r="Q58" s="4"/>
      <c r="R58" s="4"/>
      <c r="S58" s="4"/>
      <c r="T58" s="36"/>
      <c r="U58" s="4"/>
      <c r="V58" s="4"/>
      <c r="W58" s="4"/>
      <c r="X58" s="4"/>
      <c r="Y58" s="4"/>
      <c r="Z58" s="36"/>
      <c r="AA58" s="4"/>
      <c r="AB58" s="4"/>
      <c r="AC58" s="4"/>
      <c r="AD58" s="4"/>
      <c r="AE58" s="4"/>
      <c r="AF58" s="36"/>
      <c r="AG58" s="4"/>
      <c r="AH58" s="4"/>
      <c r="AI58" s="4"/>
    </row>
    <row r="59" spans="2:35" s="44" customFormat="1" x14ac:dyDescent="0.25">
      <c r="B59" s="56"/>
      <c r="C59" s="36"/>
      <c r="D59" s="36"/>
      <c r="E59" s="57"/>
      <c r="F59" s="58"/>
      <c r="G59" s="59"/>
      <c r="H59" s="36"/>
      <c r="I59" s="4"/>
      <c r="J59" s="4"/>
      <c r="K59" s="4"/>
      <c r="L59" s="4"/>
      <c r="M59" s="4"/>
      <c r="N59" s="36"/>
      <c r="O59" s="4"/>
      <c r="P59" s="4"/>
      <c r="Q59" s="4"/>
      <c r="R59" s="4"/>
      <c r="S59" s="4"/>
      <c r="T59" s="36"/>
      <c r="U59" s="4"/>
      <c r="V59" s="4"/>
      <c r="W59" s="4"/>
      <c r="X59" s="4"/>
      <c r="Y59" s="4"/>
      <c r="Z59" s="36"/>
      <c r="AA59" s="4"/>
      <c r="AB59" s="4"/>
      <c r="AC59" s="4"/>
      <c r="AD59" s="4"/>
      <c r="AE59" s="4"/>
      <c r="AF59" s="36"/>
      <c r="AG59" s="4"/>
      <c r="AH59" s="4"/>
      <c r="AI59" s="4"/>
    </row>
    <row r="60" spans="2:35" s="44" customFormat="1" x14ac:dyDescent="0.25">
      <c r="B60" s="56"/>
      <c r="C60" s="36"/>
      <c r="D60" s="36"/>
      <c r="E60" s="57"/>
      <c r="F60" s="58"/>
      <c r="G60" s="59"/>
      <c r="H60" s="36"/>
      <c r="I60" s="4"/>
      <c r="J60" s="4"/>
      <c r="K60" s="4"/>
      <c r="L60" s="4"/>
      <c r="M60" s="4"/>
      <c r="N60" s="36"/>
      <c r="O60" s="4"/>
      <c r="P60" s="4"/>
      <c r="Q60" s="4"/>
      <c r="R60" s="4"/>
      <c r="S60" s="4"/>
      <c r="T60" s="36"/>
      <c r="U60" s="4"/>
      <c r="V60" s="4"/>
      <c r="W60" s="4"/>
      <c r="X60" s="4"/>
      <c r="Y60" s="4"/>
      <c r="Z60" s="36"/>
      <c r="AA60" s="4"/>
      <c r="AB60" s="4"/>
      <c r="AC60" s="4"/>
      <c r="AD60" s="4"/>
      <c r="AE60" s="4"/>
      <c r="AF60" s="36"/>
      <c r="AG60" s="4"/>
      <c r="AH60" s="4"/>
      <c r="AI60" s="4"/>
    </row>
    <row r="61" spans="2:35" s="44" customFormat="1" x14ac:dyDescent="0.25">
      <c r="B61" s="56"/>
      <c r="C61" s="36"/>
      <c r="D61" s="36"/>
      <c r="E61" s="57"/>
      <c r="F61" s="58"/>
      <c r="G61" s="59"/>
      <c r="H61" s="36"/>
      <c r="I61" s="4"/>
      <c r="J61" s="4"/>
      <c r="K61" s="4"/>
      <c r="L61" s="4"/>
      <c r="M61" s="4"/>
      <c r="N61" s="36"/>
      <c r="O61" s="4"/>
      <c r="P61" s="4"/>
      <c r="Q61" s="4"/>
      <c r="R61" s="4"/>
      <c r="S61" s="4"/>
      <c r="T61" s="36"/>
      <c r="U61" s="4"/>
      <c r="V61" s="4"/>
      <c r="W61" s="4"/>
      <c r="X61" s="4"/>
      <c r="Y61" s="4"/>
      <c r="Z61" s="36"/>
      <c r="AA61" s="4"/>
      <c r="AB61" s="4"/>
      <c r="AC61" s="4"/>
      <c r="AD61" s="4"/>
      <c r="AE61" s="4"/>
      <c r="AF61" s="36"/>
      <c r="AG61" s="4"/>
      <c r="AH61" s="4"/>
      <c r="AI61" s="4"/>
    </row>
    <row r="62" spans="2:35" s="44" customFormat="1" x14ac:dyDescent="0.25">
      <c r="B62" s="56"/>
      <c r="C62" s="36"/>
      <c r="D62" s="36"/>
      <c r="E62" s="57"/>
      <c r="F62" s="58"/>
      <c r="G62" s="59"/>
      <c r="H62" s="36"/>
      <c r="I62" s="4"/>
      <c r="J62" s="4"/>
      <c r="K62" s="4"/>
      <c r="L62" s="4"/>
      <c r="M62" s="4"/>
      <c r="N62" s="36"/>
      <c r="O62" s="4"/>
      <c r="P62" s="4"/>
      <c r="Q62" s="4"/>
      <c r="R62" s="4"/>
      <c r="S62" s="4"/>
      <c r="T62" s="36"/>
      <c r="U62" s="4"/>
      <c r="V62" s="4"/>
      <c r="W62" s="4"/>
      <c r="X62" s="4"/>
      <c r="Y62" s="4"/>
      <c r="Z62" s="36"/>
      <c r="AA62" s="4"/>
      <c r="AB62" s="4"/>
      <c r="AC62" s="4"/>
      <c r="AD62" s="4"/>
      <c r="AE62" s="4"/>
      <c r="AF62" s="36"/>
      <c r="AG62" s="4"/>
      <c r="AH62" s="4"/>
      <c r="AI62" s="4"/>
    </row>
    <row r="63" spans="2:35" s="44" customFormat="1" x14ac:dyDescent="0.25">
      <c r="B63" s="56"/>
      <c r="C63" s="36"/>
      <c r="D63" s="36"/>
      <c r="E63" s="57"/>
      <c r="F63" s="58"/>
      <c r="G63" s="59"/>
      <c r="H63" s="36"/>
      <c r="I63" s="4"/>
      <c r="J63" s="4"/>
      <c r="K63" s="4"/>
      <c r="L63" s="4"/>
      <c r="M63" s="4"/>
      <c r="N63" s="36"/>
      <c r="O63" s="4"/>
      <c r="P63" s="4"/>
      <c r="Q63" s="4"/>
      <c r="R63" s="4"/>
      <c r="S63" s="4"/>
      <c r="T63" s="36"/>
      <c r="U63" s="4"/>
      <c r="V63" s="4"/>
      <c r="W63" s="4"/>
      <c r="X63" s="4"/>
      <c r="Y63" s="4"/>
      <c r="Z63" s="36"/>
      <c r="AA63" s="4"/>
      <c r="AB63" s="4"/>
      <c r="AC63" s="4"/>
      <c r="AD63" s="4"/>
      <c r="AE63" s="4"/>
      <c r="AF63" s="36"/>
      <c r="AG63" s="4"/>
      <c r="AH63" s="4"/>
      <c r="AI63" s="4"/>
    </row>
    <row r="64" spans="2:35" x14ac:dyDescent="0.25">
      <c r="E64" s="44"/>
    </row>
    <row r="65" spans="1:9" hidden="1" x14ac:dyDescent="0.25">
      <c r="C65" t="s">
        <v>21</v>
      </c>
      <c r="E65" s="44"/>
    </row>
    <row r="66" spans="1:9" hidden="1" x14ac:dyDescent="0.25">
      <c r="C66">
        <v>1</v>
      </c>
      <c r="E66" s="44"/>
    </row>
    <row r="67" spans="1:9" hidden="1" x14ac:dyDescent="0.25">
      <c r="C67">
        <v>0</v>
      </c>
      <c r="E67" s="44"/>
    </row>
    <row r="68" spans="1:9" hidden="1" x14ac:dyDescent="0.25">
      <c r="C68">
        <v>-1</v>
      </c>
      <c r="E68" s="44"/>
    </row>
    <row r="69" spans="1:9" hidden="1" x14ac:dyDescent="0.25">
      <c r="E69" s="44"/>
    </row>
    <row r="70" spans="1:9" hidden="1" x14ac:dyDescent="0.25">
      <c r="E70" s="44"/>
    </row>
    <row r="71" spans="1:9" hidden="1" x14ac:dyDescent="0.25">
      <c r="E71" s="44"/>
    </row>
    <row r="72" spans="1:9" hidden="1" x14ac:dyDescent="0.25">
      <c r="E72" s="44"/>
      <c r="F72" s="8"/>
      <c r="G72" s="8"/>
      <c r="H72" s="8"/>
    </row>
    <row r="73" spans="1:9" hidden="1" x14ac:dyDescent="0.25">
      <c r="A73" s="37" t="s">
        <v>77</v>
      </c>
      <c r="B73" s="48" t="s">
        <v>88</v>
      </c>
      <c r="C73" s="52" t="s">
        <v>295</v>
      </c>
      <c r="D73" s="8"/>
      <c r="E73" s="44"/>
      <c r="H73" s="12"/>
    </row>
    <row r="74" spans="1:9" hidden="1" x14ac:dyDescent="0.25">
      <c r="A74" s="12"/>
      <c r="B74" s="53" t="s">
        <v>109</v>
      </c>
      <c r="C74" s="48" t="s">
        <v>179</v>
      </c>
      <c r="D74" s="38"/>
      <c r="E74" s="44"/>
      <c r="H74" s="12"/>
    </row>
    <row r="75" spans="1:9" hidden="1" x14ac:dyDescent="0.25">
      <c r="A75" s="12"/>
      <c r="B75" s="53" t="s">
        <v>79</v>
      </c>
      <c r="C75" s="48" t="s">
        <v>180</v>
      </c>
      <c r="D75" s="38"/>
      <c r="E75" s="44"/>
      <c r="H75" s="12"/>
    </row>
    <row r="76" spans="1:9" hidden="1" x14ac:dyDescent="0.25">
      <c r="A76" s="12"/>
      <c r="B76" s="53" t="s">
        <v>80</v>
      </c>
      <c r="C76" s="48" t="s">
        <v>181</v>
      </c>
      <c r="D76" s="38"/>
      <c r="E76" s="44"/>
      <c r="H76" s="12"/>
    </row>
    <row r="77" spans="1:9" hidden="1" x14ac:dyDescent="0.25">
      <c r="A77" s="12"/>
      <c r="B77" s="53" t="s">
        <v>78</v>
      </c>
      <c r="C77" s="48" t="s">
        <v>182</v>
      </c>
      <c r="D77" s="38"/>
      <c r="E77" s="44"/>
      <c r="H77" s="12"/>
    </row>
    <row r="78" spans="1:9" hidden="1" x14ac:dyDescent="0.25">
      <c r="A78" s="12"/>
      <c r="B78" s="53" t="s">
        <v>110</v>
      </c>
      <c r="C78" s="53" t="s">
        <v>183</v>
      </c>
      <c r="D78" s="40"/>
      <c r="E78" s="44"/>
      <c r="H78" s="12"/>
    </row>
    <row r="79" spans="1:9" hidden="1" x14ac:dyDescent="0.25">
      <c r="A79" s="12"/>
      <c r="B79" s="53" t="s">
        <v>81</v>
      </c>
      <c r="C79" s="48" t="s">
        <v>184</v>
      </c>
      <c r="D79" s="38"/>
      <c r="E79" s="44"/>
      <c r="H79" s="12"/>
    </row>
    <row r="80" spans="1:9" hidden="1" x14ac:dyDescent="0.25">
      <c r="A80" s="12"/>
      <c r="B80" s="53" t="s">
        <v>146</v>
      </c>
      <c r="C80" s="48" t="s">
        <v>185</v>
      </c>
      <c r="D80" s="38"/>
      <c r="E80" s="44"/>
      <c r="H80" s="38"/>
      <c r="I80" s="38"/>
    </row>
    <row r="81" spans="1:9" hidden="1" x14ac:dyDescent="0.25">
      <c r="A81" s="38"/>
      <c r="B81" s="48"/>
      <c r="C81" s="52"/>
      <c r="D81" s="8"/>
      <c r="E81" s="44"/>
    </row>
    <row r="82" spans="1:9" hidden="1" x14ac:dyDescent="0.25">
      <c r="A82" s="37" t="s">
        <v>19</v>
      </c>
      <c r="B82" s="49" t="s">
        <v>88</v>
      </c>
      <c r="C82" s="54" t="s">
        <v>295</v>
      </c>
      <c r="D82" s="43"/>
      <c r="E82" s="44"/>
      <c r="H82" s="37"/>
      <c r="I82" s="38"/>
    </row>
    <row r="83" spans="1:9" hidden="1" x14ac:dyDescent="0.25">
      <c r="A83" s="12"/>
      <c r="B83" s="53" t="s">
        <v>111</v>
      </c>
      <c r="C83" s="48" t="s">
        <v>186</v>
      </c>
      <c r="D83" s="38"/>
      <c r="E83" s="44"/>
      <c r="H83" s="12"/>
    </row>
    <row r="84" spans="1:9" hidden="1" x14ac:dyDescent="0.25">
      <c r="A84" s="12"/>
      <c r="B84" s="53" t="s">
        <v>75</v>
      </c>
      <c r="C84" s="48" t="s">
        <v>187</v>
      </c>
      <c r="D84" s="38"/>
      <c r="E84" s="44"/>
      <c r="H84" s="12"/>
    </row>
    <row r="85" spans="1:9" hidden="1" x14ac:dyDescent="0.25">
      <c r="A85" s="12"/>
      <c r="B85" s="53" t="s">
        <v>74</v>
      </c>
      <c r="C85" s="48" t="s">
        <v>188</v>
      </c>
      <c r="D85" s="38"/>
      <c r="E85" s="44"/>
      <c r="H85" s="12"/>
    </row>
    <row r="86" spans="1:9" hidden="1" x14ac:dyDescent="0.25">
      <c r="A86" s="12"/>
      <c r="B86" s="53" t="s">
        <v>76</v>
      </c>
      <c r="C86" s="48" t="s">
        <v>189</v>
      </c>
      <c r="D86" s="38"/>
      <c r="E86" s="44"/>
      <c r="H86" s="12"/>
    </row>
    <row r="87" spans="1:9" hidden="1" x14ac:dyDescent="0.25">
      <c r="A87" s="38"/>
      <c r="B87" s="48"/>
      <c r="C87" s="52"/>
      <c r="D87" s="8"/>
      <c r="E87" s="44"/>
      <c r="H87" s="38"/>
      <c r="I87" s="38"/>
    </row>
    <row r="88" spans="1:9" hidden="1" x14ac:dyDescent="0.25">
      <c r="A88" s="37" t="s">
        <v>18</v>
      </c>
      <c r="B88" s="49" t="s">
        <v>88</v>
      </c>
      <c r="C88" s="54" t="s">
        <v>295</v>
      </c>
      <c r="D88" s="43"/>
      <c r="E88" s="44"/>
      <c r="H88" s="37"/>
      <c r="I88" s="38"/>
    </row>
    <row r="89" spans="1:9" hidden="1" x14ac:dyDescent="0.25">
      <c r="A89" s="12"/>
      <c r="B89" s="53" t="s">
        <v>61</v>
      </c>
      <c r="C89" s="48" t="s">
        <v>190</v>
      </c>
      <c r="D89" s="38"/>
      <c r="E89" s="44"/>
      <c r="H89" s="12"/>
    </row>
    <row r="90" spans="1:9" hidden="1" x14ac:dyDescent="0.25">
      <c r="A90" s="12"/>
      <c r="B90" s="53" t="s">
        <v>62</v>
      </c>
      <c r="C90" s="48" t="s">
        <v>191</v>
      </c>
      <c r="D90" s="38"/>
      <c r="E90" s="44"/>
      <c r="H90" s="12"/>
    </row>
    <row r="91" spans="1:9" hidden="1" x14ac:dyDescent="0.25">
      <c r="A91" s="12"/>
      <c r="B91" s="53" t="s">
        <v>112</v>
      </c>
      <c r="C91" s="48" t="s">
        <v>192</v>
      </c>
      <c r="D91" s="38"/>
      <c r="E91" s="44"/>
      <c r="H91" s="12"/>
    </row>
    <row r="92" spans="1:9" hidden="1" x14ac:dyDescent="0.25">
      <c r="A92" s="12"/>
      <c r="B92" s="53" t="s">
        <v>63</v>
      </c>
      <c r="C92" s="48" t="s">
        <v>193</v>
      </c>
      <c r="D92" s="38"/>
      <c r="E92" s="44"/>
      <c r="H92" s="12"/>
    </row>
    <row r="93" spans="1:9" hidden="1" x14ac:dyDescent="0.25">
      <c r="A93" s="12"/>
      <c r="B93" s="53" t="s">
        <v>113</v>
      </c>
      <c r="C93" s="48" t="s">
        <v>194</v>
      </c>
      <c r="D93" s="38"/>
      <c r="E93" s="44"/>
      <c r="H93" s="12"/>
    </row>
    <row r="94" spans="1:9" hidden="1" x14ac:dyDescent="0.25">
      <c r="A94" s="12"/>
      <c r="B94" s="53" t="s">
        <v>114</v>
      </c>
      <c r="C94" s="48" t="s">
        <v>195</v>
      </c>
      <c r="D94" s="38"/>
      <c r="E94" s="44"/>
      <c r="H94" s="12"/>
    </row>
    <row r="95" spans="1:9" hidden="1" x14ac:dyDescent="0.25">
      <c r="A95" s="12"/>
      <c r="B95" s="53" t="s">
        <v>147</v>
      </c>
      <c r="C95" s="48" t="s">
        <v>196</v>
      </c>
      <c r="D95" s="38"/>
      <c r="E95" s="44"/>
      <c r="H95" s="12"/>
    </row>
    <row r="96" spans="1:9" hidden="1" x14ac:dyDescent="0.25">
      <c r="A96" s="12"/>
      <c r="B96" s="53" t="s">
        <v>148</v>
      </c>
      <c r="C96" s="48" t="s">
        <v>197</v>
      </c>
      <c r="D96" s="38"/>
      <c r="E96" s="44"/>
      <c r="H96" s="12"/>
    </row>
    <row r="97" spans="1:9" hidden="1" x14ac:dyDescent="0.25">
      <c r="A97" s="12"/>
      <c r="B97" s="53" t="s">
        <v>115</v>
      </c>
      <c r="C97" s="53" t="s">
        <v>198</v>
      </c>
      <c r="D97" s="40"/>
      <c r="E97" s="44"/>
      <c r="H97" s="12"/>
    </row>
    <row r="98" spans="1:9" hidden="1" x14ac:dyDescent="0.25">
      <c r="A98" s="12"/>
      <c r="B98" s="53" t="s">
        <v>116</v>
      </c>
      <c r="C98" s="48" t="s">
        <v>199</v>
      </c>
      <c r="D98" s="38"/>
      <c r="E98" s="44"/>
      <c r="H98" s="12"/>
    </row>
    <row r="99" spans="1:9" hidden="1" x14ac:dyDescent="0.25">
      <c r="A99" s="12"/>
      <c r="B99" s="53" t="s">
        <v>149</v>
      </c>
      <c r="C99" s="48" t="s">
        <v>200</v>
      </c>
      <c r="D99" s="38"/>
      <c r="E99" s="44"/>
      <c r="H99" s="12"/>
    </row>
    <row r="100" spans="1:9" hidden="1" x14ac:dyDescent="0.25">
      <c r="A100" s="38"/>
      <c r="B100" s="48"/>
      <c r="C100" s="50"/>
      <c r="E100" s="44"/>
      <c r="H100" s="38"/>
      <c r="I100" s="38"/>
    </row>
    <row r="101" spans="1:9" hidden="1" x14ac:dyDescent="0.25">
      <c r="A101" s="37" t="s">
        <v>117</v>
      </c>
      <c r="B101" s="49" t="s">
        <v>88</v>
      </c>
      <c r="C101" s="54" t="s">
        <v>295</v>
      </c>
      <c r="D101" s="43"/>
      <c r="E101" s="44"/>
      <c r="H101" s="37"/>
      <c r="I101" s="38"/>
    </row>
    <row r="102" spans="1:9" hidden="1" x14ac:dyDescent="0.25">
      <c r="A102" s="12"/>
      <c r="B102" s="53" t="s">
        <v>51</v>
      </c>
      <c r="C102" s="48" t="s">
        <v>201</v>
      </c>
      <c r="D102" s="38"/>
      <c r="E102" s="44"/>
      <c r="H102" s="12"/>
    </row>
    <row r="103" spans="1:9" hidden="1" x14ac:dyDescent="0.25">
      <c r="A103" s="12"/>
      <c r="B103" s="53" t="s">
        <v>118</v>
      </c>
      <c r="C103" s="48" t="s">
        <v>202</v>
      </c>
      <c r="D103" s="38"/>
      <c r="E103" s="44"/>
      <c r="H103" s="12"/>
    </row>
    <row r="104" spans="1:9" hidden="1" x14ac:dyDescent="0.25">
      <c r="A104" s="12"/>
      <c r="B104" s="53" t="s">
        <v>150</v>
      </c>
      <c r="C104" s="48" t="s">
        <v>203</v>
      </c>
      <c r="D104" s="38"/>
      <c r="E104" s="44"/>
      <c r="H104" s="12"/>
    </row>
    <row r="105" spans="1:9" hidden="1" x14ac:dyDescent="0.25">
      <c r="A105" s="12"/>
      <c r="B105" s="53" t="s">
        <v>50</v>
      </c>
      <c r="C105" s="48" t="s">
        <v>204</v>
      </c>
      <c r="D105" s="38"/>
      <c r="E105" s="44"/>
      <c r="H105" s="12"/>
    </row>
    <row r="106" spans="1:9" hidden="1" x14ac:dyDescent="0.25">
      <c r="A106" s="38"/>
      <c r="B106" s="48"/>
      <c r="C106" s="48"/>
      <c r="D106" s="38"/>
      <c r="E106" s="44"/>
      <c r="H106" s="38"/>
    </row>
    <row r="107" spans="1:9" hidden="1" x14ac:dyDescent="0.25">
      <c r="A107" s="39" t="s">
        <v>105</v>
      </c>
      <c r="B107" s="49" t="s">
        <v>88</v>
      </c>
      <c r="C107" s="54" t="s">
        <v>295</v>
      </c>
      <c r="D107" s="43"/>
      <c r="E107" s="44"/>
      <c r="H107" s="39"/>
    </row>
    <row r="108" spans="1:9" hidden="1" x14ac:dyDescent="0.25">
      <c r="A108" s="12"/>
      <c r="B108" s="53" t="s">
        <v>46</v>
      </c>
      <c r="C108" s="48" t="s">
        <v>205</v>
      </c>
      <c r="D108" s="38"/>
      <c r="E108" s="44"/>
      <c r="H108" s="12"/>
    </row>
    <row r="109" spans="1:9" hidden="1" x14ac:dyDescent="0.25">
      <c r="A109" s="12"/>
      <c r="B109" s="53" t="s">
        <v>47</v>
      </c>
      <c r="C109" s="48" t="s">
        <v>206</v>
      </c>
      <c r="D109" s="38"/>
      <c r="E109" s="44"/>
      <c r="H109" s="12"/>
    </row>
    <row r="110" spans="1:9" hidden="1" x14ac:dyDescent="0.25">
      <c r="A110" s="12"/>
      <c r="B110" s="53" t="s">
        <v>49</v>
      </c>
      <c r="C110" s="48" t="s">
        <v>207</v>
      </c>
      <c r="D110" s="38"/>
      <c r="E110" s="44"/>
      <c r="H110" s="12"/>
    </row>
    <row r="111" spans="1:9" hidden="1" x14ac:dyDescent="0.25">
      <c r="A111" s="12"/>
      <c r="B111" s="53" t="s">
        <v>48</v>
      </c>
      <c r="C111" s="48" t="s">
        <v>208</v>
      </c>
      <c r="D111" s="38"/>
      <c r="E111" s="44"/>
      <c r="H111" s="12"/>
    </row>
    <row r="112" spans="1:9" hidden="1" x14ac:dyDescent="0.25">
      <c r="A112" s="12"/>
      <c r="B112" s="53" t="s">
        <v>119</v>
      </c>
      <c r="C112" s="48" t="s">
        <v>209</v>
      </c>
      <c r="D112" s="38"/>
      <c r="E112" s="44"/>
      <c r="H112" s="12"/>
    </row>
    <row r="113" spans="1:8" hidden="1" x14ac:dyDescent="0.25">
      <c r="A113" s="38"/>
      <c r="B113" s="48"/>
      <c r="C113" s="48"/>
      <c r="D113" s="38"/>
      <c r="E113" s="44"/>
      <c r="H113" s="38"/>
    </row>
    <row r="114" spans="1:8" hidden="1" x14ac:dyDescent="0.25">
      <c r="A114" s="39" t="s">
        <v>120</v>
      </c>
      <c r="B114" s="49" t="s">
        <v>88</v>
      </c>
      <c r="C114" s="54" t="s">
        <v>295</v>
      </c>
      <c r="D114" s="43"/>
      <c r="E114" s="44"/>
      <c r="H114" s="39"/>
    </row>
    <row r="115" spans="1:8" hidden="1" x14ac:dyDescent="0.25">
      <c r="A115" s="12"/>
      <c r="B115" s="53" t="s">
        <v>151</v>
      </c>
      <c r="C115" s="48" t="s">
        <v>210</v>
      </c>
      <c r="D115" s="38"/>
      <c r="E115" s="44"/>
      <c r="H115" s="12"/>
    </row>
    <row r="116" spans="1:8" hidden="1" x14ac:dyDescent="0.25">
      <c r="A116" s="12"/>
      <c r="B116" s="53" t="s">
        <v>121</v>
      </c>
      <c r="C116" s="48" t="s">
        <v>211</v>
      </c>
      <c r="D116" s="38"/>
      <c r="E116" s="44"/>
      <c r="H116" s="12"/>
    </row>
    <row r="117" spans="1:8" hidden="1" x14ac:dyDescent="0.25">
      <c r="A117" s="12"/>
      <c r="B117" s="53" t="s">
        <v>122</v>
      </c>
      <c r="C117" s="48" t="s">
        <v>212</v>
      </c>
      <c r="D117" s="38"/>
      <c r="E117" s="44"/>
      <c r="H117" s="12"/>
    </row>
    <row r="118" spans="1:8" hidden="1" x14ac:dyDescent="0.25">
      <c r="A118" s="12"/>
      <c r="B118" s="53" t="s">
        <v>123</v>
      </c>
      <c r="C118" s="48" t="s">
        <v>213</v>
      </c>
      <c r="D118" s="38"/>
      <c r="E118" s="44"/>
      <c r="H118" s="12"/>
    </row>
    <row r="119" spans="1:8" hidden="1" x14ac:dyDescent="0.25">
      <c r="A119" s="12"/>
      <c r="B119" s="53"/>
      <c r="C119" s="48"/>
      <c r="D119" s="38"/>
      <c r="E119" s="44"/>
      <c r="H119" s="12"/>
    </row>
    <row r="120" spans="1:8" hidden="1" x14ac:dyDescent="0.25">
      <c r="A120" s="39" t="s">
        <v>52</v>
      </c>
      <c r="B120" s="49" t="s">
        <v>88</v>
      </c>
      <c r="C120" s="54" t="s">
        <v>295</v>
      </c>
      <c r="D120" s="43"/>
      <c r="E120" s="44"/>
      <c r="H120" s="39"/>
    </row>
    <row r="121" spans="1:8" hidden="1" x14ac:dyDescent="0.25">
      <c r="A121" s="12"/>
      <c r="B121" s="53" t="s">
        <v>152</v>
      </c>
      <c r="C121" s="48" t="s">
        <v>214</v>
      </c>
      <c r="D121" s="38"/>
      <c r="E121" s="44"/>
      <c r="H121" s="12"/>
    </row>
    <row r="122" spans="1:8" hidden="1" x14ac:dyDescent="0.25">
      <c r="A122" s="12"/>
      <c r="B122" s="53" t="s">
        <v>124</v>
      </c>
      <c r="C122" s="48" t="s">
        <v>215</v>
      </c>
      <c r="D122" s="38"/>
      <c r="E122" s="44"/>
      <c r="H122" s="12"/>
    </row>
    <row r="123" spans="1:8" hidden="1" x14ac:dyDescent="0.25">
      <c r="A123" s="12"/>
      <c r="B123" s="53" t="s">
        <v>56</v>
      </c>
      <c r="C123" s="48" t="s">
        <v>216</v>
      </c>
      <c r="D123" s="38"/>
      <c r="E123" s="44"/>
      <c r="H123" s="12"/>
    </row>
    <row r="124" spans="1:8" hidden="1" x14ac:dyDescent="0.25">
      <c r="A124" s="12"/>
      <c r="B124" s="53" t="s">
        <v>55</v>
      </c>
      <c r="C124" s="48" t="s">
        <v>217</v>
      </c>
      <c r="D124" s="38"/>
      <c r="E124" s="44"/>
      <c r="H124" s="12"/>
    </row>
    <row r="125" spans="1:8" hidden="1" x14ac:dyDescent="0.25">
      <c r="A125" s="12"/>
      <c r="B125" s="53" t="s">
        <v>153</v>
      </c>
      <c r="C125" s="48" t="s">
        <v>218</v>
      </c>
      <c r="D125" s="38"/>
      <c r="E125" s="44"/>
      <c r="H125" s="12"/>
    </row>
    <row r="126" spans="1:8" hidden="1" x14ac:dyDescent="0.25">
      <c r="A126" s="12"/>
      <c r="B126" s="53" t="s">
        <v>53</v>
      </c>
      <c r="C126" s="48" t="s">
        <v>219</v>
      </c>
      <c r="D126" s="38"/>
      <c r="E126" s="44"/>
      <c r="H126" s="12"/>
    </row>
    <row r="127" spans="1:8" hidden="1" x14ac:dyDescent="0.25">
      <c r="A127" s="12"/>
      <c r="B127" s="53" t="s">
        <v>125</v>
      </c>
      <c r="C127" s="48" t="s">
        <v>220</v>
      </c>
      <c r="D127" s="38"/>
      <c r="E127" s="44"/>
      <c r="H127" s="12"/>
    </row>
    <row r="128" spans="1:8" hidden="1" x14ac:dyDescent="0.25">
      <c r="A128" s="12"/>
      <c r="B128" s="53" t="s">
        <v>54</v>
      </c>
      <c r="C128" s="48" t="s">
        <v>221</v>
      </c>
      <c r="D128" s="38"/>
      <c r="E128" s="44"/>
      <c r="H128" s="12"/>
    </row>
    <row r="129" spans="1:8" hidden="1" x14ac:dyDescent="0.25">
      <c r="A129" s="38"/>
      <c r="B129" s="48"/>
      <c r="C129" s="48"/>
      <c r="D129" s="38"/>
      <c r="E129" s="44"/>
      <c r="H129" s="38"/>
    </row>
    <row r="130" spans="1:8" hidden="1" x14ac:dyDescent="0.25">
      <c r="A130" s="39" t="s">
        <v>57</v>
      </c>
      <c r="B130" s="49" t="s">
        <v>88</v>
      </c>
      <c r="C130" s="54" t="s">
        <v>295</v>
      </c>
      <c r="D130" s="43"/>
      <c r="E130" s="44"/>
      <c r="H130" s="39"/>
    </row>
    <row r="131" spans="1:8" hidden="1" x14ac:dyDescent="0.25">
      <c r="A131" s="12"/>
      <c r="B131" s="53" t="s">
        <v>59</v>
      </c>
      <c r="C131" s="48" t="s">
        <v>222</v>
      </c>
      <c r="D131" s="38"/>
      <c r="E131" s="44"/>
      <c r="H131" s="12"/>
    </row>
    <row r="132" spans="1:8" hidden="1" x14ac:dyDescent="0.25">
      <c r="A132" s="12"/>
      <c r="B132" s="53" t="s">
        <v>58</v>
      </c>
      <c r="C132" s="48" t="s">
        <v>223</v>
      </c>
      <c r="D132" s="38"/>
      <c r="E132" s="44"/>
      <c r="H132" s="12"/>
    </row>
    <row r="133" spans="1:8" hidden="1" x14ac:dyDescent="0.25">
      <c r="A133" s="12"/>
      <c r="B133" s="53" t="s">
        <v>154</v>
      </c>
      <c r="C133" s="48" t="s">
        <v>224</v>
      </c>
      <c r="D133" s="38"/>
      <c r="E133" s="44"/>
      <c r="H133" s="12"/>
    </row>
    <row r="134" spans="1:8" hidden="1" x14ac:dyDescent="0.25">
      <c r="A134" s="12"/>
      <c r="B134" s="53" t="s">
        <v>155</v>
      </c>
      <c r="C134" s="48" t="s">
        <v>225</v>
      </c>
      <c r="D134" s="38"/>
      <c r="E134" s="44"/>
      <c r="H134" s="12"/>
    </row>
    <row r="135" spans="1:8" hidden="1" x14ac:dyDescent="0.25">
      <c r="A135" s="12"/>
      <c r="B135" s="53" t="s">
        <v>60</v>
      </c>
      <c r="C135" s="48" t="s">
        <v>226</v>
      </c>
      <c r="D135" s="38"/>
      <c r="E135" s="44"/>
      <c r="H135" s="12"/>
    </row>
    <row r="136" spans="1:8" hidden="1" x14ac:dyDescent="0.25">
      <c r="A136" s="38"/>
      <c r="B136" s="48"/>
      <c r="C136" s="48"/>
      <c r="D136" s="38"/>
      <c r="E136" s="44"/>
      <c r="H136" s="38"/>
    </row>
    <row r="137" spans="1:8" hidden="1" x14ac:dyDescent="0.25">
      <c r="A137" s="37" t="s">
        <v>126</v>
      </c>
      <c r="B137" s="49" t="s">
        <v>88</v>
      </c>
      <c r="C137" s="54" t="s">
        <v>295</v>
      </c>
      <c r="D137" s="43"/>
      <c r="E137" s="44"/>
      <c r="H137" s="37"/>
    </row>
    <row r="138" spans="1:8" hidden="1" x14ac:dyDescent="0.25">
      <c r="A138" s="12"/>
      <c r="B138" s="53" t="s">
        <v>156</v>
      </c>
      <c r="C138" s="48" t="s">
        <v>227</v>
      </c>
      <c r="D138" s="38"/>
      <c r="E138" s="44"/>
      <c r="H138" s="12"/>
    </row>
    <row r="139" spans="1:8" hidden="1" x14ac:dyDescent="0.25">
      <c r="A139" s="12"/>
      <c r="B139" s="53" t="s">
        <v>157</v>
      </c>
      <c r="C139" s="48" t="s">
        <v>228</v>
      </c>
      <c r="D139" s="38"/>
      <c r="E139" s="44"/>
      <c r="H139" s="12"/>
    </row>
    <row r="140" spans="1:8" hidden="1" x14ac:dyDescent="0.25">
      <c r="A140" s="12"/>
      <c r="B140" s="53" t="s">
        <v>158</v>
      </c>
      <c r="C140" s="48" t="s">
        <v>229</v>
      </c>
      <c r="D140" s="38"/>
      <c r="E140" s="44"/>
      <c r="H140" s="12"/>
    </row>
    <row r="141" spans="1:8" hidden="1" x14ac:dyDescent="0.25">
      <c r="A141" s="12"/>
      <c r="B141" s="53" t="s">
        <v>42</v>
      </c>
      <c r="C141" s="48" t="s">
        <v>230</v>
      </c>
      <c r="D141" s="38"/>
      <c r="E141" s="44"/>
      <c r="H141" s="12"/>
    </row>
    <row r="142" spans="1:8" hidden="1" x14ac:dyDescent="0.25">
      <c r="A142" s="12"/>
      <c r="B142" s="53" t="s">
        <v>127</v>
      </c>
      <c r="C142" s="48" t="s">
        <v>231</v>
      </c>
      <c r="D142" s="38"/>
      <c r="E142" s="44"/>
      <c r="H142" s="12"/>
    </row>
    <row r="143" spans="1:8" hidden="1" x14ac:dyDescent="0.25">
      <c r="A143" s="12"/>
      <c r="B143" s="53" t="s">
        <v>128</v>
      </c>
      <c r="C143" s="48" t="s">
        <v>232</v>
      </c>
      <c r="D143" s="38"/>
      <c r="E143" s="44"/>
      <c r="H143" s="12"/>
    </row>
    <row r="144" spans="1:8" hidden="1" x14ac:dyDescent="0.25">
      <c r="A144" s="12"/>
      <c r="B144" s="53" t="s">
        <v>41</v>
      </c>
      <c r="C144" s="48" t="s">
        <v>233</v>
      </c>
      <c r="D144" s="38"/>
      <c r="E144" s="44"/>
      <c r="H144" s="12"/>
    </row>
    <row r="145" spans="1:8" hidden="1" x14ac:dyDescent="0.25">
      <c r="A145" s="12"/>
      <c r="B145" s="53" t="s">
        <v>129</v>
      </c>
      <c r="C145" s="48" t="s">
        <v>234</v>
      </c>
      <c r="D145" s="38"/>
      <c r="E145" s="44"/>
      <c r="H145" s="12"/>
    </row>
    <row r="146" spans="1:8" hidden="1" x14ac:dyDescent="0.25">
      <c r="A146" s="38"/>
      <c r="B146" s="48"/>
      <c r="C146" s="48"/>
      <c r="D146" s="38"/>
      <c r="E146" s="44"/>
      <c r="H146" s="38"/>
    </row>
    <row r="147" spans="1:8" hidden="1" x14ac:dyDescent="0.25">
      <c r="A147" s="39" t="s">
        <v>130</v>
      </c>
      <c r="B147" s="49" t="s">
        <v>88</v>
      </c>
      <c r="C147" s="54" t="s">
        <v>295</v>
      </c>
      <c r="D147" s="43"/>
      <c r="E147" s="44"/>
      <c r="H147" s="39"/>
    </row>
    <row r="148" spans="1:8" hidden="1" x14ac:dyDescent="0.25">
      <c r="A148" s="12"/>
      <c r="B148" s="53" t="s">
        <v>131</v>
      </c>
      <c r="C148" s="48" t="s">
        <v>235</v>
      </c>
      <c r="D148" s="38"/>
      <c r="E148" s="44"/>
      <c r="H148" s="12"/>
    </row>
    <row r="149" spans="1:8" hidden="1" x14ac:dyDescent="0.25">
      <c r="A149" s="12"/>
      <c r="B149" s="53" t="s">
        <v>159</v>
      </c>
      <c r="C149" s="48" t="s">
        <v>236</v>
      </c>
      <c r="D149" s="38"/>
      <c r="E149" s="44"/>
      <c r="H149" s="12"/>
    </row>
    <row r="150" spans="1:8" hidden="1" x14ac:dyDescent="0.25">
      <c r="A150" s="12"/>
      <c r="B150" s="53" t="s">
        <v>160</v>
      </c>
      <c r="C150" s="48" t="s">
        <v>237</v>
      </c>
      <c r="D150" s="38"/>
      <c r="E150" s="44"/>
      <c r="H150" s="12"/>
    </row>
    <row r="151" spans="1:8" hidden="1" x14ac:dyDescent="0.25">
      <c r="A151" s="12"/>
      <c r="B151" s="53" t="s">
        <v>161</v>
      </c>
      <c r="C151" s="48" t="s">
        <v>238</v>
      </c>
      <c r="D151" s="38"/>
      <c r="E151" s="44"/>
      <c r="H151" s="12"/>
    </row>
    <row r="152" spans="1:8" hidden="1" x14ac:dyDescent="0.25">
      <c r="A152" s="12"/>
      <c r="B152" s="53" t="s">
        <v>162</v>
      </c>
      <c r="C152" s="48" t="s">
        <v>239</v>
      </c>
      <c r="D152" s="38"/>
      <c r="E152" s="44"/>
      <c r="H152" s="12"/>
    </row>
    <row r="153" spans="1:8" hidden="1" x14ac:dyDescent="0.25">
      <c r="A153" s="12"/>
      <c r="B153" s="53" t="s">
        <v>163</v>
      </c>
      <c r="C153" s="53" t="s">
        <v>240</v>
      </c>
      <c r="D153" s="40"/>
      <c r="E153" s="44"/>
      <c r="H153" s="12"/>
    </row>
    <row r="154" spans="1:8" hidden="1" x14ac:dyDescent="0.25">
      <c r="A154" s="12"/>
      <c r="B154" s="53" t="s">
        <v>164</v>
      </c>
      <c r="C154" s="53" t="s">
        <v>241</v>
      </c>
      <c r="D154" s="40"/>
      <c r="E154" s="44"/>
      <c r="H154" s="12"/>
    </row>
    <row r="155" spans="1:8" hidden="1" x14ac:dyDescent="0.25">
      <c r="A155" s="12"/>
      <c r="B155" s="53" t="s">
        <v>43</v>
      </c>
      <c r="C155" s="48" t="s">
        <v>242</v>
      </c>
      <c r="D155" s="38"/>
      <c r="E155" s="44"/>
      <c r="H155" s="12"/>
    </row>
    <row r="156" spans="1:8" hidden="1" x14ac:dyDescent="0.25">
      <c r="A156" s="12"/>
      <c r="B156" s="53" t="s">
        <v>165</v>
      </c>
      <c r="C156" s="53" t="s">
        <v>243</v>
      </c>
      <c r="D156" s="40"/>
      <c r="E156" s="44"/>
      <c r="H156" s="12"/>
    </row>
    <row r="157" spans="1:8" hidden="1" x14ac:dyDescent="0.25">
      <c r="A157" s="12"/>
      <c r="B157" s="53" t="s">
        <v>166</v>
      </c>
      <c r="C157" s="53" t="s">
        <v>244</v>
      </c>
      <c r="D157" s="40"/>
      <c r="E157" s="44"/>
      <c r="H157" s="12"/>
    </row>
    <row r="158" spans="1:8" hidden="1" x14ac:dyDescent="0.25">
      <c r="A158" s="12"/>
      <c r="B158" s="53" t="s">
        <v>44</v>
      </c>
      <c r="C158" s="48" t="s">
        <v>245</v>
      </c>
      <c r="D158" s="38"/>
      <c r="E158" s="44"/>
      <c r="H158" s="12"/>
    </row>
    <row r="159" spans="1:8" hidden="1" x14ac:dyDescent="0.25">
      <c r="A159" s="12"/>
      <c r="B159" s="53" t="s">
        <v>45</v>
      </c>
      <c r="C159" s="53" t="s">
        <v>246</v>
      </c>
      <c r="D159" s="40"/>
      <c r="E159" s="44"/>
      <c r="H159" s="12"/>
    </row>
    <row r="160" spans="1:8" hidden="1" x14ac:dyDescent="0.25">
      <c r="A160" s="38"/>
      <c r="B160" s="48"/>
      <c r="C160" s="48"/>
      <c r="D160" s="38"/>
      <c r="E160" s="44"/>
      <c r="H160" s="38"/>
    </row>
    <row r="161" spans="1:8" hidden="1" x14ac:dyDescent="0.25">
      <c r="A161" s="37" t="s">
        <v>20</v>
      </c>
      <c r="B161" s="49" t="s">
        <v>88</v>
      </c>
      <c r="C161" s="54" t="s">
        <v>295</v>
      </c>
      <c r="D161" s="43"/>
      <c r="E161" s="44"/>
      <c r="H161" s="37"/>
    </row>
    <row r="162" spans="1:8" hidden="1" x14ac:dyDescent="0.25">
      <c r="A162" s="12"/>
      <c r="B162" s="53" t="s">
        <v>64</v>
      </c>
      <c r="C162" s="48" t="s">
        <v>247</v>
      </c>
      <c r="D162" s="38"/>
      <c r="E162" s="44"/>
      <c r="H162" s="12"/>
    </row>
    <row r="163" spans="1:8" hidden="1" x14ac:dyDescent="0.25">
      <c r="A163" s="12"/>
      <c r="B163" s="53" t="s">
        <v>167</v>
      </c>
      <c r="C163" s="48" t="s">
        <v>248</v>
      </c>
      <c r="D163" s="38"/>
      <c r="E163" s="44"/>
      <c r="H163" s="12"/>
    </row>
    <row r="164" spans="1:8" hidden="1" x14ac:dyDescent="0.25">
      <c r="A164" s="12"/>
      <c r="B164" s="53" t="s">
        <v>168</v>
      </c>
      <c r="C164" s="48" t="s">
        <v>249</v>
      </c>
      <c r="D164" s="38"/>
      <c r="E164" s="44"/>
      <c r="H164" s="12"/>
    </row>
    <row r="165" spans="1:8" hidden="1" x14ac:dyDescent="0.25">
      <c r="A165" s="12"/>
      <c r="B165" s="53" t="s">
        <v>65</v>
      </c>
      <c r="C165" s="48" t="s">
        <v>250</v>
      </c>
      <c r="D165" s="38"/>
      <c r="E165" s="44"/>
      <c r="H165" s="12"/>
    </row>
    <row r="166" spans="1:8" hidden="1" x14ac:dyDescent="0.25">
      <c r="A166" s="12"/>
      <c r="B166" s="53" t="s">
        <v>132</v>
      </c>
      <c r="C166" s="48" t="s">
        <v>251</v>
      </c>
      <c r="D166" s="38"/>
      <c r="E166" s="44"/>
      <c r="H166" s="12"/>
    </row>
    <row r="167" spans="1:8" hidden="1" x14ac:dyDescent="0.25">
      <c r="A167" s="12"/>
      <c r="B167" s="53" t="s">
        <v>68</v>
      </c>
      <c r="C167" s="48" t="s">
        <v>252</v>
      </c>
      <c r="D167" s="38"/>
      <c r="E167" s="44"/>
      <c r="H167" s="12"/>
    </row>
    <row r="168" spans="1:8" hidden="1" x14ac:dyDescent="0.25">
      <c r="A168" s="12"/>
      <c r="B168" s="53" t="s">
        <v>169</v>
      </c>
      <c r="C168" s="48" t="s">
        <v>253</v>
      </c>
      <c r="D168" s="38"/>
      <c r="E168" s="44"/>
      <c r="H168" s="12"/>
    </row>
    <row r="169" spans="1:8" hidden="1" x14ac:dyDescent="0.25">
      <c r="A169" s="12"/>
      <c r="B169" s="53"/>
      <c r="C169" s="48"/>
      <c r="D169" s="38"/>
      <c r="E169" s="44"/>
      <c r="H169" s="12"/>
    </row>
    <row r="170" spans="1:8" hidden="1" x14ac:dyDescent="0.25">
      <c r="A170" s="39" t="s">
        <v>108</v>
      </c>
      <c r="B170" s="49" t="s">
        <v>88</v>
      </c>
      <c r="C170" s="54" t="s">
        <v>295</v>
      </c>
      <c r="D170" s="43"/>
      <c r="E170" s="44"/>
      <c r="H170" s="39"/>
    </row>
    <row r="171" spans="1:8" hidden="1" x14ac:dyDescent="0.25">
      <c r="A171" s="12"/>
      <c r="B171" s="53" t="s">
        <v>66</v>
      </c>
      <c r="C171" s="48" t="s">
        <v>254</v>
      </c>
      <c r="D171" s="38"/>
      <c r="E171" s="44"/>
      <c r="H171" s="12"/>
    </row>
    <row r="172" spans="1:8" hidden="1" x14ac:dyDescent="0.25">
      <c r="A172" s="12"/>
      <c r="B172" s="53" t="s">
        <v>67</v>
      </c>
      <c r="C172" s="48" t="s">
        <v>255</v>
      </c>
      <c r="D172" s="38"/>
      <c r="E172" s="44"/>
      <c r="H172" s="12"/>
    </row>
    <row r="173" spans="1:8" hidden="1" x14ac:dyDescent="0.25">
      <c r="A173" s="12"/>
      <c r="B173" s="53" t="s">
        <v>133</v>
      </c>
      <c r="C173" s="48" t="s">
        <v>256</v>
      </c>
      <c r="D173" s="38"/>
      <c r="E173" s="44"/>
      <c r="H173" s="12"/>
    </row>
    <row r="174" spans="1:8" hidden="1" x14ac:dyDescent="0.25">
      <c r="A174" s="12"/>
      <c r="B174" s="53" t="s">
        <v>170</v>
      </c>
      <c r="C174" s="48" t="s">
        <v>257</v>
      </c>
      <c r="D174" s="38"/>
      <c r="E174" s="44"/>
      <c r="H174" s="12"/>
    </row>
    <row r="175" spans="1:8" hidden="1" x14ac:dyDescent="0.25">
      <c r="A175" s="12"/>
      <c r="B175" s="53" t="s">
        <v>70</v>
      </c>
      <c r="C175" s="48" t="s">
        <v>258</v>
      </c>
      <c r="D175" s="38"/>
      <c r="E175" s="44"/>
      <c r="H175" s="12"/>
    </row>
    <row r="176" spans="1:8" hidden="1" x14ac:dyDescent="0.25">
      <c r="A176" s="12"/>
      <c r="B176" s="53" t="s">
        <v>69</v>
      </c>
      <c r="C176" s="48" t="s">
        <v>259</v>
      </c>
      <c r="D176" s="38"/>
      <c r="E176" s="44"/>
      <c r="H176" s="12"/>
    </row>
    <row r="177" spans="1:8" hidden="1" x14ac:dyDescent="0.25">
      <c r="A177" s="12"/>
      <c r="B177" s="53" t="s">
        <v>134</v>
      </c>
      <c r="C177" s="48" t="s">
        <v>260</v>
      </c>
      <c r="D177" s="38"/>
      <c r="E177" s="44"/>
      <c r="H177" s="12"/>
    </row>
    <row r="178" spans="1:8" hidden="1" x14ac:dyDescent="0.25">
      <c r="A178" s="12"/>
      <c r="B178" s="53" t="s">
        <v>171</v>
      </c>
      <c r="C178" s="48" t="s">
        <v>261</v>
      </c>
      <c r="D178" s="38"/>
      <c r="E178" s="44"/>
      <c r="H178" s="12"/>
    </row>
    <row r="179" spans="1:8" hidden="1" x14ac:dyDescent="0.25">
      <c r="A179" s="38"/>
      <c r="B179" s="48"/>
      <c r="C179" s="48"/>
      <c r="D179" s="38"/>
      <c r="E179" s="44"/>
      <c r="H179" s="38"/>
    </row>
    <row r="180" spans="1:8" hidden="1" x14ac:dyDescent="0.25">
      <c r="A180" s="39" t="s">
        <v>107</v>
      </c>
      <c r="B180" s="49" t="s">
        <v>88</v>
      </c>
      <c r="C180" s="54" t="s">
        <v>295</v>
      </c>
      <c r="D180" s="43"/>
      <c r="E180" s="44"/>
      <c r="H180" s="39"/>
    </row>
    <row r="181" spans="1:8" hidden="1" x14ac:dyDescent="0.25">
      <c r="A181" s="12"/>
      <c r="B181" s="53" t="s">
        <v>135</v>
      </c>
      <c r="C181" s="48" t="s">
        <v>262</v>
      </c>
      <c r="D181" s="38"/>
      <c r="E181" s="44"/>
      <c r="H181" s="12"/>
    </row>
    <row r="182" spans="1:8" hidden="1" x14ac:dyDescent="0.25">
      <c r="A182" s="12"/>
      <c r="B182" s="53" t="s">
        <v>71</v>
      </c>
      <c r="C182" s="48" t="s">
        <v>263</v>
      </c>
      <c r="D182" s="38"/>
      <c r="E182" s="44"/>
      <c r="H182" s="12"/>
    </row>
    <row r="183" spans="1:8" hidden="1" x14ac:dyDescent="0.25">
      <c r="A183" s="12"/>
      <c r="B183" s="53" t="s">
        <v>72</v>
      </c>
      <c r="C183" s="48" t="s">
        <v>264</v>
      </c>
      <c r="D183" s="38"/>
      <c r="E183" s="44"/>
      <c r="H183" s="12"/>
    </row>
    <row r="184" spans="1:8" hidden="1" x14ac:dyDescent="0.25">
      <c r="A184" s="12"/>
      <c r="B184" s="53" t="s">
        <v>136</v>
      </c>
      <c r="C184" s="48" t="s">
        <v>265</v>
      </c>
      <c r="D184" s="38"/>
      <c r="E184" s="44"/>
      <c r="H184" s="12"/>
    </row>
    <row r="185" spans="1:8" hidden="1" x14ac:dyDescent="0.25">
      <c r="A185" s="12"/>
      <c r="B185" s="48"/>
      <c r="C185" s="48"/>
      <c r="D185" s="38"/>
      <c r="E185" s="44"/>
      <c r="H185" s="12"/>
    </row>
    <row r="186" spans="1:8" hidden="1" x14ac:dyDescent="0.25">
      <c r="A186" s="39" t="s">
        <v>106</v>
      </c>
      <c r="B186" s="49" t="s">
        <v>88</v>
      </c>
      <c r="C186" s="54" t="s">
        <v>295</v>
      </c>
      <c r="D186" s="43"/>
      <c r="E186" s="44"/>
      <c r="H186" s="39"/>
    </row>
    <row r="187" spans="1:8" hidden="1" x14ac:dyDescent="0.25">
      <c r="A187" s="12"/>
      <c r="B187" s="53" t="s">
        <v>172</v>
      </c>
      <c r="C187" s="48" t="s">
        <v>266</v>
      </c>
      <c r="D187" s="38"/>
      <c r="E187" s="44"/>
      <c r="H187" s="12"/>
    </row>
    <row r="188" spans="1:8" hidden="1" x14ac:dyDescent="0.25">
      <c r="A188" s="12"/>
      <c r="B188" s="53" t="s">
        <v>73</v>
      </c>
      <c r="C188" s="48" t="s">
        <v>267</v>
      </c>
      <c r="D188" s="38"/>
      <c r="E188" s="44"/>
      <c r="H188" s="12"/>
    </row>
    <row r="189" spans="1:8" hidden="1" x14ac:dyDescent="0.25">
      <c r="A189" s="12"/>
      <c r="B189" s="53" t="s">
        <v>137</v>
      </c>
      <c r="C189" s="48" t="s">
        <v>268</v>
      </c>
      <c r="D189" s="38"/>
      <c r="E189" s="44"/>
      <c r="H189" s="12"/>
    </row>
    <row r="190" spans="1:8" hidden="1" x14ac:dyDescent="0.25">
      <c r="A190" s="38"/>
      <c r="B190" s="48"/>
      <c r="C190" s="48"/>
      <c r="D190" s="38"/>
      <c r="E190" s="44"/>
      <c r="H190" s="38"/>
    </row>
    <row r="191" spans="1:8" hidden="1" x14ac:dyDescent="0.25">
      <c r="A191" s="39" t="s">
        <v>37</v>
      </c>
      <c r="B191" s="49" t="s">
        <v>88</v>
      </c>
      <c r="C191" s="54" t="s">
        <v>295</v>
      </c>
      <c r="D191" s="43"/>
      <c r="E191" s="44"/>
      <c r="H191" s="39"/>
    </row>
    <row r="192" spans="1:8" hidden="1" x14ac:dyDescent="0.25">
      <c r="A192" s="12"/>
      <c r="B192" s="53" t="s">
        <v>138</v>
      </c>
      <c r="C192" s="48" t="s">
        <v>269</v>
      </c>
      <c r="D192" s="38"/>
      <c r="E192" s="44"/>
      <c r="H192" s="12"/>
    </row>
    <row r="193" spans="1:8" hidden="1" x14ac:dyDescent="0.25">
      <c r="A193" s="12"/>
      <c r="B193" s="53" t="s">
        <v>38</v>
      </c>
      <c r="C193" s="48" t="s">
        <v>270</v>
      </c>
      <c r="D193" s="38"/>
      <c r="E193" s="44"/>
      <c r="H193" s="12"/>
    </row>
    <row r="194" spans="1:8" hidden="1" x14ac:dyDescent="0.25">
      <c r="A194" s="12"/>
      <c r="B194" s="53" t="s">
        <v>39</v>
      </c>
      <c r="C194" s="48" t="s">
        <v>271</v>
      </c>
      <c r="D194" s="38"/>
      <c r="E194" s="44"/>
      <c r="H194" s="12"/>
    </row>
    <row r="195" spans="1:8" hidden="1" x14ac:dyDescent="0.25">
      <c r="A195" s="12"/>
      <c r="B195" s="53" t="s">
        <v>139</v>
      </c>
      <c r="C195" s="48" t="s">
        <v>272</v>
      </c>
      <c r="D195" s="38"/>
      <c r="E195" s="44"/>
      <c r="H195" s="12"/>
    </row>
    <row r="196" spans="1:8" hidden="1" x14ac:dyDescent="0.25">
      <c r="A196" s="12"/>
      <c r="B196" s="53" t="s">
        <v>40</v>
      </c>
      <c r="C196" s="48" t="s">
        <v>273</v>
      </c>
      <c r="D196" s="38"/>
      <c r="E196" s="44"/>
      <c r="H196" s="12"/>
    </row>
    <row r="197" spans="1:8" hidden="1" x14ac:dyDescent="0.25">
      <c r="A197" s="12"/>
      <c r="B197" s="53" t="s">
        <v>140</v>
      </c>
      <c r="C197" s="48" t="s">
        <v>274</v>
      </c>
      <c r="D197" s="38"/>
      <c r="E197" s="44"/>
      <c r="H197" s="12"/>
    </row>
    <row r="198" spans="1:8" hidden="1" x14ac:dyDescent="0.25">
      <c r="A198" s="12"/>
      <c r="B198" s="53" t="s">
        <v>141</v>
      </c>
      <c r="C198" s="48" t="s">
        <v>275</v>
      </c>
      <c r="D198" s="38"/>
      <c r="E198" s="44"/>
      <c r="H198" s="12"/>
    </row>
    <row r="199" spans="1:8" hidden="1" x14ac:dyDescent="0.25">
      <c r="A199" s="38"/>
      <c r="B199" s="48"/>
      <c r="C199" s="48"/>
      <c r="D199" s="38"/>
      <c r="E199" s="44"/>
      <c r="H199" s="38"/>
    </row>
    <row r="200" spans="1:8" hidden="1" x14ac:dyDescent="0.25">
      <c r="A200" s="39" t="s">
        <v>22</v>
      </c>
      <c r="B200" s="49" t="s">
        <v>88</v>
      </c>
      <c r="C200" s="54" t="s">
        <v>295</v>
      </c>
      <c r="D200" s="43"/>
      <c r="E200" s="44"/>
      <c r="H200" s="39"/>
    </row>
    <row r="201" spans="1:8" hidden="1" x14ac:dyDescent="0.25">
      <c r="A201" s="12"/>
      <c r="B201" s="53" t="s">
        <v>23</v>
      </c>
      <c r="C201" s="48" t="s">
        <v>276</v>
      </c>
      <c r="D201" s="38"/>
      <c r="E201" s="44"/>
      <c r="H201" s="12"/>
    </row>
    <row r="202" spans="1:8" hidden="1" x14ac:dyDescent="0.25">
      <c r="A202" s="12"/>
      <c r="B202" s="53" t="s">
        <v>25</v>
      </c>
      <c r="C202" s="48" t="s">
        <v>277</v>
      </c>
      <c r="D202" s="38"/>
      <c r="E202" s="44"/>
      <c r="H202" s="12"/>
    </row>
    <row r="203" spans="1:8" hidden="1" x14ac:dyDescent="0.25">
      <c r="A203" s="12"/>
      <c r="B203" s="53" t="s">
        <v>142</v>
      </c>
      <c r="C203" s="48" t="s">
        <v>278</v>
      </c>
      <c r="D203" s="38"/>
      <c r="E203" s="44"/>
      <c r="H203" s="12"/>
    </row>
    <row r="204" spans="1:8" hidden="1" x14ac:dyDescent="0.25">
      <c r="A204" s="12"/>
      <c r="B204" s="53" t="s">
        <v>24</v>
      </c>
      <c r="C204" s="48" t="s">
        <v>279</v>
      </c>
      <c r="D204" s="38"/>
      <c r="E204" s="44"/>
      <c r="H204" s="12"/>
    </row>
    <row r="205" spans="1:8" hidden="1" x14ac:dyDescent="0.25">
      <c r="A205" s="12"/>
      <c r="B205" s="55" t="s">
        <v>173</v>
      </c>
      <c r="C205" s="51" t="s">
        <v>280</v>
      </c>
      <c r="D205" s="12"/>
      <c r="E205" s="44"/>
      <c r="H205" s="12"/>
    </row>
    <row r="206" spans="1:8" hidden="1" x14ac:dyDescent="0.25">
      <c r="A206" s="12"/>
      <c r="B206" s="53" t="s">
        <v>26</v>
      </c>
      <c r="C206" s="48" t="s">
        <v>281</v>
      </c>
      <c r="D206" s="38"/>
      <c r="E206" s="44"/>
      <c r="H206" s="12"/>
    </row>
    <row r="207" spans="1:8" hidden="1" x14ac:dyDescent="0.25">
      <c r="A207" s="12"/>
      <c r="B207" s="53" t="s">
        <v>27</v>
      </c>
      <c r="C207" s="48" t="s">
        <v>282</v>
      </c>
      <c r="D207" s="38"/>
      <c r="E207" s="44"/>
      <c r="H207" s="12"/>
    </row>
    <row r="208" spans="1:8" hidden="1" x14ac:dyDescent="0.25">
      <c r="A208" s="38"/>
      <c r="B208" s="48"/>
      <c r="C208" s="48"/>
      <c r="D208" s="38"/>
      <c r="E208" s="44"/>
      <c r="H208" s="38"/>
    </row>
    <row r="209" spans="1:8" hidden="1" x14ac:dyDescent="0.25">
      <c r="A209" s="39" t="s">
        <v>143</v>
      </c>
      <c r="B209" s="49" t="s">
        <v>88</v>
      </c>
      <c r="C209" s="54" t="s">
        <v>295</v>
      </c>
      <c r="D209" s="43"/>
      <c r="E209" s="44"/>
      <c r="H209" s="39"/>
    </row>
    <row r="210" spans="1:8" hidden="1" x14ac:dyDescent="0.25">
      <c r="A210" s="12"/>
      <c r="B210" s="53" t="s">
        <v>29</v>
      </c>
      <c r="C210" s="53" t="s">
        <v>283</v>
      </c>
      <c r="D210" s="40"/>
      <c r="E210" s="44"/>
      <c r="H210" s="12"/>
    </row>
    <row r="211" spans="1:8" hidden="1" x14ac:dyDescent="0.25">
      <c r="A211" s="12"/>
      <c r="B211" s="53" t="s">
        <v>31</v>
      </c>
      <c r="C211" s="48" t="s">
        <v>284</v>
      </c>
      <c r="D211" s="38"/>
      <c r="E211" s="44"/>
      <c r="H211" s="12"/>
    </row>
    <row r="212" spans="1:8" hidden="1" x14ac:dyDescent="0.25">
      <c r="A212" s="12"/>
      <c r="B212" s="53" t="s">
        <v>28</v>
      </c>
      <c r="C212" s="48" t="s">
        <v>285</v>
      </c>
      <c r="D212" s="38"/>
      <c r="E212" s="44"/>
      <c r="H212" s="12"/>
    </row>
    <row r="213" spans="1:8" hidden="1" x14ac:dyDescent="0.25">
      <c r="A213" s="12"/>
      <c r="B213" s="53" t="s">
        <v>36</v>
      </c>
      <c r="C213" s="48" t="s">
        <v>286</v>
      </c>
      <c r="D213" s="38"/>
      <c r="E213" s="44"/>
      <c r="H213" s="12"/>
    </row>
    <row r="214" spans="1:8" hidden="1" x14ac:dyDescent="0.25">
      <c r="A214" s="12"/>
      <c r="B214" s="53" t="s">
        <v>30</v>
      </c>
      <c r="C214" s="48" t="s">
        <v>287</v>
      </c>
      <c r="D214" s="38"/>
      <c r="E214" s="44"/>
      <c r="H214" s="12"/>
    </row>
    <row r="215" spans="1:8" hidden="1" x14ac:dyDescent="0.25">
      <c r="A215" s="12"/>
      <c r="B215" s="55" t="s">
        <v>144</v>
      </c>
      <c r="C215" s="51" t="s">
        <v>288</v>
      </c>
      <c r="D215" s="12"/>
      <c r="E215" s="44"/>
      <c r="H215" s="12"/>
    </row>
    <row r="216" spans="1:8" hidden="1" x14ac:dyDescent="0.25">
      <c r="A216" s="12"/>
      <c r="B216" s="53"/>
      <c r="C216" s="48"/>
      <c r="D216" s="38"/>
      <c r="E216" s="44"/>
      <c r="H216" s="12"/>
    </row>
    <row r="217" spans="1:8" hidden="1" x14ac:dyDescent="0.25">
      <c r="A217" s="39" t="s">
        <v>104</v>
      </c>
      <c r="B217" s="49" t="s">
        <v>88</v>
      </c>
      <c r="C217" s="54" t="s">
        <v>295</v>
      </c>
      <c r="D217" s="43"/>
      <c r="E217" s="44"/>
      <c r="H217" s="39"/>
    </row>
    <row r="218" spans="1:8" hidden="1" x14ac:dyDescent="0.25">
      <c r="A218" s="12"/>
      <c r="B218" s="53" t="s">
        <v>32</v>
      </c>
      <c r="C218" s="48" t="s">
        <v>289</v>
      </c>
      <c r="D218" s="38"/>
      <c r="E218" s="44"/>
      <c r="H218" s="12"/>
    </row>
    <row r="219" spans="1:8" hidden="1" x14ac:dyDescent="0.25">
      <c r="A219" s="12"/>
      <c r="B219" s="53" t="s">
        <v>34</v>
      </c>
      <c r="C219" s="48" t="s">
        <v>290</v>
      </c>
      <c r="D219" s="38"/>
      <c r="E219" s="44"/>
      <c r="H219" s="12"/>
    </row>
    <row r="220" spans="1:8" hidden="1" x14ac:dyDescent="0.25">
      <c r="A220" s="12"/>
      <c r="B220" s="53" t="s">
        <v>35</v>
      </c>
      <c r="C220" s="48" t="s">
        <v>291</v>
      </c>
      <c r="D220" s="38"/>
      <c r="E220" s="44"/>
      <c r="H220" s="12"/>
    </row>
    <row r="221" spans="1:8" hidden="1" x14ac:dyDescent="0.25">
      <c r="A221" s="12"/>
      <c r="B221" s="53" t="s">
        <v>174</v>
      </c>
      <c r="C221" s="48" t="s">
        <v>292</v>
      </c>
      <c r="D221" s="38"/>
      <c r="E221" s="44"/>
      <c r="H221" s="12"/>
    </row>
    <row r="222" spans="1:8" hidden="1" x14ac:dyDescent="0.25">
      <c r="A222" s="12"/>
      <c r="B222" s="55" t="s">
        <v>145</v>
      </c>
      <c r="C222" s="51" t="s">
        <v>293</v>
      </c>
      <c r="D222" s="12"/>
      <c r="E222" s="44"/>
      <c r="H222" s="12"/>
    </row>
    <row r="223" spans="1:8" hidden="1" x14ac:dyDescent="0.25">
      <c r="A223" s="12"/>
      <c r="B223" s="53" t="s">
        <v>33</v>
      </c>
      <c r="C223" s="48" t="s">
        <v>294</v>
      </c>
      <c r="D223" s="38"/>
      <c r="E223" s="44"/>
      <c r="H223" s="12"/>
    </row>
    <row r="224" spans="1:8" hidden="1" x14ac:dyDescent="0.25">
      <c r="B224" s="50"/>
      <c r="C224" s="50"/>
      <c r="E224" s="44"/>
    </row>
    <row r="225" spans="1:11" hidden="1" x14ac:dyDescent="0.25">
      <c r="B225" s="50"/>
      <c r="C225" s="50"/>
      <c r="E225" s="44"/>
    </row>
    <row r="226" spans="1:11" hidden="1" x14ac:dyDescent="0.25">
      <c r="A226" s="39" t="s">
        <v>17</v>
      </c>
      <c r="B226" s="49" t="s">
        <v>88</v>
      </c>
      <c r="C226" s="54" t="s">
        <v>295</v>
      </c>
      <c r="D226" s="43"/>
      <c r="E226" s="44"/>
    </row>
    <row r="227" spans="1:11" hidden="1" x14ac:dyDescent="0.25">
      <c r="B227" s="53" t="s">
        <v>152</v>
      </c>
      <c r="C227" s="48" t="s">
        <v>214</v>
      </c>
      <c r="D227" s="38"/>
      <c r="E227" s="44"/>
      <c r="I227" s="40"/>
    </row>
    <row r="228" spans="1:11" hidden="1" x14ac:dyDescent="0.25">
      <c r="B228" s="53" t="s">
        <v>59</v>
      </c>
      <c r="C228" s="48" t="s">
        <v>222</v>
      </c>
      <c r="D228" s="38"/>
      <c r="E228" s="44"/>
      <c r="I228" s="40"/>
    </row>
    <row r="229" spans="1:11" hidden="1" x14ac:dyDescent="0.25">
      <c r="B229" s="53" t="s">
        <v>124</v>
      </c>
      <c r="C229" s="48" t="s">
        <v>215</v>
      </c>
      <c r="D229" s="38"/>
      <c r="E229" s="44"/>
      <c r="I229" s="40"/>
    </row>
    <row r="230" spans="1:11" hidden="1" x14ac:dyDescent="0.25">
      <c r="B230" s="53" t="s">
        <v>58</v>
      </c>
      <c r="C230" s="48" t="s">
        <v>223</v>
      </c>
      <c r="D230" s="38"/>
      <c r="E230" s="44"/>
      <c r="I230" s="40"/>
    </row>
    <row r="231" spans="1:11" hidden="1" x14ac:dyDescent="0.25">
      <c r="B231" s="53" t="s">
        <v>56</v>
      </c>
      <c r="C231" s="48" t="s">
        <v>216</v>
      </c>
      <c r="D231" s="38"/>
      <c r="E231" s="44"/>
      <c r="I231" s="40"/>
    </row>
    <row r="232" spans="1:11" hidden="1" x14ac:dyDescent="0.25">
      <c r="B232" s="53" t="s">
        <v>154</v>
      </c>
      <c r="C232" s="48" t="s">
        <v>224</v>
      </c>
      <c r="D232" s="38"/>
      <c r="E232" s="44"/>
      <c r="I232" s="40"/>
    </row>
    <row r="233" spans="1:11" hidden="1" x14ac:dyDescent="0.25">
      <c r="B233" s="53" t="s">
        <v>55</v>
      </c>
      <c r="C233" s="48" t="s">
        <v>217</v>
      </c>
      <c r="D233" s="38"/>
      <c r="E233" s="44"/>
      <c r="I233" s="40"/>
    </row>
    <row r="234" spans="1:11" hidden="1" x14ac:dyDescent="0.25">
      <c r="B234" s="53" t="s">
        <v>155</v>
      </c>
      <c r="C234" s="48" t="s">
        <v>225</v>
      </c>
      <c r="D234" s="38"/>
      <c r="E234" s="44"/>
      <c r="I234" s="40"/>
    </row>
    <row r="235" spans="1:11" hidden="1" x14ac:dyDescent="0.25">
      <c r="B235" s="53" t="s">
        <v>153</v>
      </c>
      <c r="C235" s="48" t="s">
        <v>218</v>
      </c>
      <c r="D235" s="38"/>
      <c r="E235" s="44"/>
      <c r="I235" s="38"/>
      <c r="K235" s="38"/>
    </row>
    <row r="236" spans="1:11" hidden="1" x14ac:dyDescent="0.25">
      <c r="B236" s="53" t="s">
        <v>60</v>
      </c>
      <c r="C236" s="48" t="s">
        <v>226</v>
      </c>
      <c r="D236" s="38"/>
      <c r="E236" s="44"/>
      <c r="I236" s="38"/>
      <c r="K236" s="38"/>
    </row>
    <row r="237" spans="1:11" hidden="1" x14ac:dyDescent="0.25">
      <c r="B237" s="53" t="s">
        <v>53</v>
      </c>
      <c r="C237" s="48" t="s">
        <v>219</v>
      </c>
      <c r="D237" s="38"/>
      <c r="E237" s="44"/>
      <c r="I237" s="40"/>
    </row>
    <row r="238" spans="1:11" hidden="1" x14ac:dyDescent="0.25">
      <c r="B238" s="53" t="s">
        <v>125</v>
      </c>
      <c r="C238" s="48" t="s">
        <v>220</v>
      </c>
      <c r="D238" s="38"/>
      <c r="E238" s="44"/>
      <c r="I238" s="40"/>
    </row>
    <row r="239" spans="1:11" hidden="1" x14ac:dyDescent="0.25">
      <c r="B239" s="53" t="s">
        <v>54</v>
      </c>
      <c r="C239" s="48" t="s">
        <v>221</v>
      </c>
      <c r="D239" s="38"/>
      <c r="E239" s="44"/>
      <c r="I239" s="40"/>
    </row>
    <row r="240" spans="1:11" hidden="1" x14ac:dyDescent="0.25">
      <c r="B240" s="49" t="s">
        <v>88</v>
      </c>
      <c r="C240" s="54" t="s">
        <v>295</v>
      </c>
      <c r="D240" s="43"/>
      <c r="E240" s="44"/>
      <c r="I240" s="40"/>
    </row>
    <row r="241" spans="1:11" hidden="1" x14ac:dyDescent="0.25">
      <c r="A241" s="39" t="s">
        <v>176</v>
      </c>
      <c r="B241" s="53" t="s">
        <v>29</v>
      </c>
      <c r="C241" s="53" t="s">
        <v>283</v>
      </c>
      <c r="D241" s="40"/>
      <c r="E241" s="44"/>
      <c r="I241" s="40"/>
    </row>
    <row r="242" spans="1:11" hidden="1" x14ac:dyDescent="0.25">
      <c r="B242" s="53" t="s">
        <v>32</v>
      </c>
      <c r="C242" s="48" t="s">
        <v>289</v>
      </c>
      <c r="D242" s="38"/>
      <c r="E242" s="44"/>
      <c r="I242" s="40"/>
    </row>
    <row r="243" spans="1:11" hidden="1" x14ac:dyDescent="0.25">
      <c r="B243" s="53" t="s">
        <v>31</v>
      </c>
      <c r="C243" s="48" t="s">
        <v>284</v>
      </c>
      <c r="D243" s="38"/>
      <c r="E243" s="44"/>
      <c r="I243" s="40"/>
    </row>
    <row r="244" spans="1:11" hidden="1" x14ac:dyDescent="0.25">
      <c r="B244" s="53" t="s">
        <v>34</v>
      </c>
      <c r="C244" s="48" t="s">
        <v>290</v>
      </c>
      <c r="D244" s="38"/>
      <c r="E244" s="45"/>
      <c r="I244" s="40"/>
    </row>
    <row r="245" spans="1:11" hidden="1" x14ac:dyDescent="0.25">
      <c r="B245" s="53" t="s">
        <v>28</v>
      </c>
      <c r="C245" s="48" t="s">
        <v>285</v>
      </c>
      <c r="D245" s="38"/>
      <c r="E245" s="46"/>
      <c r="I245" s="40"/>
    </row>
    <row r="246" spans="1:11" hidden="1" x14ac:dyDescent="0.25">
      <c r="B246" s="53" t="s">
        <v>35</v>
      </c>
      <c r="C246" s="48" t="s">
        <v>291</v>
      </c>
      <c r="D246" s="38"/>
      <c r="E246" s="45"/>
      <c r="I246" s="41"/>
    </row>
    <row r="247" spans="1:11" hidden="1" x14ac:dyDescent="0.25">
      <c r="B247" s="53" t="s">
        <v>36</v>
      </c>
      <c r="C247" s="48" t="s">
        <v>286</v>
      </c>
      <c r="D247" s="38"/>
      <c r="E247" s="46"/>
      <c r="I247" s="40"/>
      <c r="K247" s="38"/>
    </row>
    <row r="248" spans="1:11" hidden="1" x14ac:dyDescent="0.25">
      <c r="B248" s="53" t="s">
        <v>174</v>
      </c>
      <c r="C248" s="48" t="s">
        <v>292</v>
      </c>
      <c r="D248" s="38"/>
      <c r="E248" s="44"/>
      <c r="I248" s="38"/>
      <c r="K248" s="38"/>
    </row>
    <row r="249" spans="1:11" hidden="1" x14ac:dyDescent="0.25">
      <c r="B249" s="53" t="s">
        <v>30</v>
      </c>
      <c r="C249" s="48" t="s">
        <v>287</v>
      </c>
      <c r="D249" s="38"/>
      <c r="E249" s="46"/>
      <c r="I249" s="40"/>
    </row>
    <row r="250" spans="1:11" hidden="1" x14ac:dyDescent="0.25">
      <c r="B250" s="55" t="s">
        <v>145</v>
      </c>
      <c r="C250" s="51" t="s">
        <v>293</v>
      </c>
      <c r="D250" s="12"/>
      <c r="E250" s="47"/>
      <c r="I250" s="40"/>
    </row>
    <row r="251" spans="1:11" hidden="1" x14ac:dyDescent="0.25">
      <c r="B251" s="55" t="s">
        <v>144</v>
      </c>
      <c r="C251" s="51" t="s">
        <v>288</v>
      </c>
      <c r="D251" s="12"/>
      <c r="E251" s="46"/>
      <c r="I251" s="40"/>
    </row>
    <row r="252" spans="1:11" hidden="1" x14ac:dyDescent="0.25">
      <c r="B252" s="53" t="s">
        <v>33</v>
      </c>
      <c r="C252" s="48" t="s">
        <v>294</v>
      </c>
      <c r="D252" s="38"/>
      <c r="E252" s="47"/>
      <c r="I252" s="40"/>
    </row>
    <row r="253" spans="1:11" hidden="1" x14ac:dyDescent="0.25">
      <c r="B253" s="49" t="s">
        <v>88</v>
      </c>
      <c r="C253" s="54" t="s">
        <v>295</v>
      </c>
      <c r="D253" s="43"/>
      <c r="E253" s="46"/>
      <c r="I253" s="41"/>
    </row>
    <row r="254" spans="1:11" hidden="1" x14ac:dyDescent="0.25">
      <c r="A254" s="39" t="s">
        <v>175</v>
      </c>
      <c r="B254" s="53" t="s">
        <v>138</v>
      </c>
      <c r="C254" s="48" t="s">
        <v>269</v>
      </c>
      <c r="D254" s="38"/>
      <c r="E254" s="47"/>
      <c r="I254" s="40"/>
    </row>
    <row r="255" spans="1:11" hidden="1" x14ac:dyDescent="0.25">
      <c r="B255" s="53" t="s">
        <v>152</v>
      </c>
      <c r="C255" s="48" t="s">
        <v>214</v>
      </c>
      <c r="D255" s="38"/>
      <c r="E255" s="46"/>
      <c r="I255" s="40"/>
    </row>
    <row r="256" spans="1:11" hidden="1" x14ac:dyDescent="0.25">
      <c r="B256" s="53" t="s">
        <v>38</v>
      </c>
      <c r="C256" s="48" t="s">
        <v>270</v>
      </c>
      <c r="D256" s="38"/>
      <c r="E256" s="47"/>
      <c r="I256" s="40"/>
    </row>
    <row r="257" spans="2:9" hidden="1" x14ac:dyDescent="0.25">
      <c r="B257" s="53" t="s">
        <v>59</v>
      </c>
      <c r="C257" s="48" t="s">
        <v>222</v>
      </c>
      <c r="D257" s="38"/>
      <c r="E257" s="46"/>
      <c r="I257" s="40"/>
    </row>
    <row r="258" spans="2:9" hidden="1" x14ac:dyDescent="0.25">
      <c r="B258" s="53" t="s">
        <v>39</v>
      </c>
      <c r="C258" s="48" t="s">
        <v>271</v>
      </c>
      <c r="D258" s="38"/>
      <c r="E258" s="47"/>
      <c r="I258" s="40"/>
    </row>
    <row r="259" spans="2:9" hidden="1" x14ac:dyDescent="0.25">
      <c r="B259" s="53" t="s">
        <v>124</v>
      </c>
      <c r="C259" s="48" t="s">
        <v>215</v>
      </c>
      <c r="D259" s="38"/>
      <c r="E259" s="46"/>
      <c r="I259" s="40"/>
    </row>
    <row r="260" spans="2:9" hidden="1" x14ac:dyDescent="0.25">
      <c r="B260" s="53" t="s">
        <v>139</v>
      </c>
      <c r="C260" s="48" t="s">
        <v>272</v>
      </c>
      <c r="D260" s="38"/>
      <c r="E260" s="47"/>
      <c r="I260" s="40"/>
    </row>
    <row r="261" spans="2:9" hidden="1" x14ac:dyDescent="0.25">
      <c r="B261" s="53" t="s">
        <v>58</v>
      </c>
      <c r="C261" s="48" t="s">
        <v>223</v>
      </c>
      <c r="D261" s="38"/>
      <c r="E261" s="46"/>
    </row>
    <row r="262" spans="2:9" hidden="1" x14ac:dyDescent="0.25">
      <c r="B262" s="53" t="s">
        <v>40</v>
      </c>
      <c r="C262" s="48" t="s">
        <v>273</v>
      </c>
      <c r="D262" s="38"/>
      <c r="E262" s="47"/>
    </row>
    <row r="263" spans="2:9" hidden="1" x14ac:dyDescent="0.25">
      <c r="B263" s="53" t="s">
        <v>56</v>
      </c>
      <c r="C263" s="48" t="s">
        <v>216</v>
      </c>
      <c r="D263" s="38"/>
      <c r="E263" s="46"/>
      <c r="I263" s="40"/>
    </row>
    <row r="264" spans="2:9" hidden="1" x14ac:dyDescent="0.25">
      <c r="B264" s="53" t="s">
        <v>140</v>
      </c>
      <c r="C264" s="48" t="s">
        <v>274</v>
      </c>
      <c r="D264" s="38"/>
      <c r="E264" s="47"/>
      <c r="I264" s="40"/>
    </row>
    <row r="265" spans="2:9" hidden="1" x14ac:dyDescent="0.25">
      <c r="B265" s="53" t="s">
        <v>154</v>
      </c>
      <c r="C265" s="48" t="s">
        <v>224</v>
      </c>
      <c r="D265" s="38"/>
      <c r="E265" s="46"/>
      <c r="I265" s="40"/>
    </row>
    <row r="266" spans="2:9" hidden="1" x14ac:dyDescent="0.25">
      <c r="B266" s="53" t="s">
        <v>141</v>
      </c>
      <c r="C266" s="48" t="s">
        <v>275</v>
      </c>
      <c r="D266" s="38"/>
      <c r="E266" s="47"/>
      <c r="I266" s="40"/>
    </row>
    <row r="267" spans="2:9" hidden="1" x14ac:dyDescent="0.25">
      <c r="B267" s="53" t="s">
        <v>55</v>
      </c>
      <c r="C267" s="48" t="s">
        <v>217</v>
      </c>
      <c r="D267" s="38"/>
      <c r="E267" s="46"/>
      <c r="I267" s="40"/>
    </row>
    <row r="268" spans="2:9" hidden="1" x14ac:dyDescent="0.25">
      <c r="B268" s="53" t="s">
        <v>155</v>
      </c>
      <c r="C268" s="48" t="s">
        <v>225</v>
      </c>
      <c r="D268" s="38"/>
      <c r="E268" s="47"/>
      <c r="I268" s="40"/>
    </row>
    <row r="269" spans="2:9" hidden="1" x14ac:dyDescent="0.25">
      <c r="B269" s="53" t="s">
        <v>153</v>
      </c>
      <c r="C269" s="48" t="s">
        <v>218</v>
      </c>
      <c r="D269" s="38"/>
      <c r="E269" s="46"/>
      <c r="I269" s="40"/>
    </row>
    <row r="270" spans="2:9" hidden="1" x14ac:dyDescent="0.25">
      <c r="B270" s="53" t="s">
        <v>60</v>
      </c>
      <c r="C270" s="48" t="s">
        <v>226</v>
      </c>
      <c r="D270" s="38"/>
      <c r="E270" s="47"/>
      <c r="I270" s="40"/>
    </row>
    <row r="271" spans="2:9" hidden="1" x14ac:dyDescent="0.25">
      <c r="B271" s="53" t="s">
        <v>53</v>
      </c>
      <c r="C271" s="48" t="s">
        <v>219</v>
      </c>
      <c r="D271" s="38"/>
      <c r="E271" s="46"/>
      <c r="I271" s="40"/>
    </row>
    <row r="272" spans="2:9" hidden="1" x14ac:dyDescent="0.25">
      <c r="B272" s="53" t="s">
        <v>125</v>
      </c>
      <c r="C272" s="48" t="s">
        <v>220</v>
      </c>
      <c r="D272" s="38"/>
      <c r="E272" s="47"/>
      <c r="I272" s="40"/>
    </row>
    <row r="273" spans="1:11" hidden="1" x14ac:dyDescent="0.25">
      <c r="B273" s="53" t="s">
        <v>54</v>
      </c>
      <c r="C273" s="48" t="s">
        <v>221</v>
      </c>
      <c r="D273" s="38"/>
      <c r="E273" s="46"/>
      <c r="I273" s="40"/>
    </row>
    <row r="274" spans="1:11" hidden="1" x14ac:dyDescent="0.25">
      <c r="B274" s="53"/>
      <c r="C274" s="48"/>
      <c r="D274" s="38"/>
      <c r="E274" s="46"/>
      <c r="I274" s="40"/>
    </row>
    <row r="275" spans="1:11" hidden="1" x14ac:dyDescent="0.25">
      <c r="B275" s="49" t="s">
        <v>88</v>
      </c>
      <c r="C275" s="54" t="s">
        <v>295</v>
      </c>
      <c r="D275" s="43"/>
      <c r="E275" s="47"/>
      <c r="I275" s="40"/>
    </row>
    <row r="276" spans="1:11" hidden="1" x14ac:dyDescent="0.25">
      <c r="A276" s="39" t="s">
        <v>177</v>
      </c>
      <c r="B276" s="53" t="s">
        <v>51</v>
      </c>
      <c r="C276" s="48" t="s">
        <v>201</v>
      </c>
      <c r="D276" s="38"/>
      <c r="E276" s="46"/>
      <c r="I276" s="38"/>
    </row>
    <row r="277" spans="1:11" hidden="1" x14ac:dyDescent="0.25">
      <c r="B277" s="53" t="s">
        <v>46</v>
      </c>
      <c r="C277" s="48" t="s">
        <v>205</v>
      </c>
      <c r="D277" s="38"/>
      <c r="E277" s="47"/>
      <c r="I277" s="40"/>
    </row>
    <row r="278" spans="1:11" hidden="1" x14ac:dyDescent="0.25">
      <c r="B278" s="53" t="s">
        <v>118</v>
      </c>
      <c r="C278" s="48" t="s">
        <v>202</v>
      </c>
      <c r="D278" s="38"/>
      <c r="E278" s="46"/>
      <c r="I278" s="40"/>
    </row>
    <row r="279" spans="1:11" hidden="1" x14ac:dyDescent="0.25">
      <c r="B279" s="53" t="s">
        <v>47</v>
      </c>
      <c r="C279" s="48" t="s">
        <v>206</v>
      </c>
      <c r="D279" s="38"/>
      <c r="E279" s="44"/>
      <c r="I279" s="40"/>
    </row>
    <row r="280" spans="1:11" hidden="1" x14ac:dyDescent="0.25">
      <c r="B280" s="53" t="s">
        <v>150</v>
      </c>
      <c r="C280" s="48" t="s">
        <v>203</v>
      </c>
      <c r="D280" s="38"/>
      <c r="E280" s="44"/>
      <c r="I280" s="40"/>
    </row>
    <row r="281" spans="1:11" hidden="1" x14ac:dyDescent="0.25">
      <c r="B281" s="53" t="s">
        <v>49</v>
      </c>
      <c r="C281" s="48" t="s">
        <v>207</v>
      </c>
      <c r="D281" s="38"/>
      <c r="E281" s="46"/>
      <c r="I281" s="38"/>
      <c r="K281" s="38"/>
    </row>
    <row r="282" spans="1:11" hidden="1" x14ac:dyDescent="0.25">
      <c r="B282" s="53" t="s">
        <v>50</v>
      </c>
      <c r="C282" s="48" t="s">
        <v>204</v>
      </c>
      <c r="D282" s="38"/>
      <c r="E282" s="46"/>
      <c r="I282" s="40"/>
      <c r="K282" s="38"/>
    </row>
    <row r="283" spans="1:11" hidden="1" x14ac:dyDescent="0.25">
      <c r="B283" s="53" t="s">
        <v>48</v>
      </c>
      <c r="C283" s="48" t="s">
        <v>208</v>
      </c>
      <c r="D283" s="38"/>
      <c r="E283" s="46"/>
      <c r="I283" s="40"/>
    </row>
    <row r="284" spans="1:11" hidden="1" x14ac:dyDescent="0.25">
      <c r="B284" s="53" t="s">
        <v>119</v>
      </c>
      <c r="C284" s="48" t="s">
        <v>209</v>
      </c>
      <c r="D284" s="38"/>
      <c r="E284" s="46"/>
      <c r="I284" s="40"/>
    </row>
    <row r="285" spans="1:11" hidden="1" x14ac:dyDescent="0.25"/>
    <row r="286" spans="1:11" hidden="1" x14ac:dyDescent="0.25">
      <c r="B286" t="s">
        <v>296</v>
      </c>
      <c r="C286" t="s">
        <v>297</v>
      </c>
      <c r="D286" t="s">
        <v>334</v>
      </c>
      <c r="E286" t="s">
        <v>336</v>
      </c>
    </row>
    <row r="287" spans="1:11" hidden="1" x14ac:dyDescent="0.25">
      <c r="B287" t="s">
        <v>77</v>
      </c>
      <c r="C287" s="38" t="s">
        <v>77</v>
      </c>
      <c r="D287" s="38" t="s">
        <v>313</v>
      </c>
      <c r="E287" s="38" t="str">
        <f>CONCATENATE(Table_Name[[#This Row],[Table name]],"[Link]")</f>
        <v>Abs[Link]</v>
      </c>
    </row>
    <row r="288" spans="1:11" hidden="1" x14ac:dyDescent="0.25">
      <c r="B288" t="s">
        <v>19</v>
      </c>
      <c r="C288" s="38" t="s">
        <v>19</v>
      </c>
      <c r="D288" s="38" t="s">
        <v>314</v>
      </c>
      <c r="E288" s="38" t="str">
        <f>CONCATENATE(Table_Name[[#This Row],[Table name]],"[Link]")</f>
        <v>Calves[Link]</v>
      </c>
    </row>
    <row r="289" spans="2:5" hidden="1" x14ac:dyDescent="0.25">
      <c r="B289" t="s">
        <v>18</v>
      </c>
      <c r="C289" s="38" t="s">
        <v>18</v>
      </c>
      <c r="D289" s="38" t="s">
        <v>315</v>
      </c>
      <c r="E289" s="38" t="str">
        <f>CONCATENATE(Table_Name[[#This Row],[Table name]],"[Link]")</f>
        <v>Biceps[Link]</v>
      </c>
    </row>
    <row r="290" spans="2:5" hidden="1" x14ac:dyDescent="0.25">
      <c r="B290" t="s">
        <v>117</v>
      </c>
      <c r="C290" s="38" t="s">
        <v>298</v>
      </c>
      <c r="D290" s="38" t="s">
        <v>316</v>
      </c>
      <c r="E290" s="38" t="str">
        <f>CONCATENATE(Table_Name[[#This Row],[Table name]],"[Link]")</f>
        <v>Rear_Delts[Link]</v>
      </c>
    </row>
    <row r="291" spans="2:5" hidden="1" x14ac:dyDescent="0.25">
      <c r="B291" t="s">
        <v>105</v>
      </c>
      <c r="C291" s="38" t="s">
        <v>299</v>
      </c>
      <c r="D291" s="38" t="s">
        <v>317</v>
      </c>
      <c r="E291" s="38" t="str">
        <f>CONCATENATE(Table_Name[[#This Row],[Table name]],"[Link]")</f>
        <v>Side_Delts[Link]</v>
      </c>
    </row>
    <row r="292" spans="2:5" hidden="1" x14ac:dyDescent="0.25">
      <c r="B292" t="s">
        <v>120</v>
      </c>
      <c r="C292" s="38" t="s">
        <v>120</v>
      </c>
      <c r="D292" s="38" t="s">
        <v>318</v>
      </c>
      <c r="E292" s="38" t="str">
        <f>CONCATENATE(Table_Name[[#This Row],[Table name]],"[Link]")</f>
        <v>Traps[Link]</v>
      </c>
    </row>
    <row r="293" spans="2:5" hidden="1" x14ac:dyDescent="0.25">
      <c r="B293" t="s">
        <v>52</v>
      </c>
      <c r="C293" s="38" t="s">
        <v>300</v>
      </c>
      <c r="D293" s="38" t="s">
        <v>319</v>
      </c>
      <c r="E293" s="38" t="str">
        <f>CONCATENATE(Table_Name[[#This Row],[Table name]],"[Link]")</f>
        <v>Horizontal_Triceps[Link]</v>
      </c>
    </row>
    <row r="294" spans="2:5" hidden="1" x14ac:dyDescent="0.25">
      <c r="B294" t="s">
        <v>57</v>
      </c>
      <c r="C294" s="38" t="s">
        <v>301</v>
      </c>
      <c r="D294" s="38" t="s">
        <v>320</v>
      </c>
      <c r="E294" s="38" t="str">
        <f>CONCATENATE(Table_Name[[#This Row],[Table name]],"[Link]")</f>
        <v>Vertical_Triceps[Link]</v>
      </c>
    </row>
    <row r="295" spans="2:5" hidden="1" x14ac:dyDescent="0.25">
      <c r="B295" t="s">
        <v>178</v>
      </c>
      <c r="C295" s="38" t="s">
        <v>302</v>
      </c>
      <c r="D295" s="38" t="s">
        <v>335</v>
      </c>
      <c r="E295" s="38" t="str">
        <f>CONCATENATE(Table_Name[[#This Row],[Table name]],"[Link]")</f>
        <v>Horizonal_Back[Link]</v>
      </c>
    </row>
    <row r="296" spans="2:5" hidden="1" x14ac:dyDescent="0.25">
      <c r="B296" t="s">
        <v>130</v>
      </c>
      <c r="C296" s="38" t="s">
        <v>303</v>
      </c>
      <c r="D296" s="38" t="s">
        <v>321</v>
      </c>
      <c r="E296" s="38" t="str">
        <f>CONCATENATE(Table_Name[[#This Row],[Table name]],"[Link]")</f>
        <v>Vertical_Back[Link]</v>
      </c>
    </row>
    <row r="297" spans="2:5" hidden="1" x14ac:dyDescent="0.25">
      <c r="B297" t="s">
        <v>20</v>
      </c>
      <c r="C297" s="38" t="s">
        <v>20</v>
      </c>
      <c r="D297" s="38" t="s">
        <v>322</v>
      </c>
      <c r="E297" s="38" t="str">
        <f>CONCATENATE(Table_Name[[#This Row],[Table name]],"[Link]")</f>
        <v>Quads[Link]</v>
      </c>
    </row>
    <row r="298" spans="2:5" hidden="1" x14ac:dyDescent="0.25">
      <c r="B298" t="s">
        <v>108</v>
      </c>
      <c r="C298" s="38" t="s">
        <v>108</v>
      </c>
      <c r="D298" s="38" t="s">
        <v>323</v>
      </c>
      <c r="E298" s="38" t="str">
        <f>CONCATENATE(Table_Name[[#This Row],[Table name]],"[Link]")</f>
        <v>Glutes[Link]</v>
      </c>
    </row>
    <row r="299" spans="2:5" hidden="1" x14ac:dyDescent="0.25">
      <c r="B299" t="s">
        <v>107</v>
      </c>
      <c r="C299" s="38" t="s">
        <v>304</v>
      </c>
      <c r="D299" s="38" t="s">
        <v>324</v>
      </c>
      <c r="E299" s="38" t="str">
        <f>CONCATENATE(Table_Name[[#This Row],[Table name]],"[Link]")</f>
        <v>Hamstrings_Hip_Hinge[Link]</v>
      </c>
    </row>
    <row r="300" spans="2:5" hidden="1" x14ac:dyDescent="0.25">
      <c r="B300" t="s">
        <v>106</v>
      </c>
      <c r="C300" s="38" t="s">
        <v>305</v>
      </c>
      <c r="D300" s="38" t="s">
        <v>325</v>
      </c>
      <c r="E300" s="38" t="str">
        <f>CONCATENATE(Table_Name[[#This Row],[Table name]],"[Link]")</f>
        <v>Hamstrings_Isolation[Link]</v>
      </c>
    </row>
    <row r="301" spans="2:5" hidden="1" x14ac:dyDescent="0.25">
      <c r="B301" t="s">
        <v>37</v>
      </c>
      <c r="C301" s="38" t="s">
        <v>306</v>
      </c>
      <c r="D301" s="38" t="s">
        <v>326</v>
      </c>
      <c r="E301" s="38" t="str">
        <f>CONCATENATE(Table_Name[[#This Row],[Table name]],"[Link]")</f>
        <v>Chest_Isolation[Link]</v>
      </c>
    </row>
    <row r="302" spans="2:5" hidden="1" x14ac:dyDescent="0.25">
      <c r="B302" t="s">
        <v>22</v>
      </c>
      <c r="C302" s="38" t="s">
        <v>307</v>
      </c>
      <c r="D302" s="38" t="s">
        <v>327</v>
      </c>
      <c r="E302" s="38" t="str">
        <f>CONCATENATE(Table_Name[[#This Row],[Table name]],"[Link]")</f>
        <v>Horizontal_Push[Link]</v>
      </c>
    </row>
    <row r="303" spans="2:5" hidden="1" x14ac:dyDescent="0.25">
      <c r="B303" t="s">
        <v>143</v>
      </c>
      <c r="C303" s="38" t="s">
        <v>308</v>
      </c>
      <c r="D303" s="38" t="s">
        <v>328</v>
      </c>
      <c r="E303" s="38" t="str">
        <f>CONCATENATE(Table_Name[[#This Row],[Table name]],"[Link]")</f>
        <v>Incline_Push[Link]</v>
      </c>
    </row>
    <row r="304" spans="2:5" hidden="1" x14ac:dyDescent="0.25">
      <c r="B304" t="s">
        <v>104</v>
      </c>
      <c r="C304" s="38" t="s">
        <v>309</v>
      </c>
      <c r="D304" s="38" t="s">
        <v>329</v>
      </c>
      <c r="E304" s="38" t="str">
        <f>CONCATENATE(Table_Name[[#This Row],[Table name]],"[Link]")</f>
        <v>Front_Delts[Link]</v>
      </c>
    </row>
    <row r="305" spans="2:5" hidden="1" x14ac:dyDescent="0.25">
      <c r="B305" t="s">
        <v>17</v>
      </c>
      <c r="C305" s="38" t="s">
        <v>17</v>
      </c>
      <c r="D305" s="38" t="s">
        <v>330</v>
      </c>
      <c r="E305" s="38" t="str">
        <f>CONCATENATE(Table_Name[[#This Row],[Table name]],"[Link]")</f>
        <v>Triceps[Link]</v>
      </c>
    </row>
    <row r="306" spans="2:5" hidden="1" x14ac:dyDescent="0.25">
      <c r="B306" t="s">
        <v>176</v>
      </c>
      <c r="C306" s="38" t="s">
        <v>310</v>
      </c>
      <c r="D306" s="38" t="s">
        <v>331</v>
      </c>
      <c r="E306" s="38" t="str">
        <f>CONCATENATE(Table_Name[[#This Row],[Table name]],"[Link]")</f>
        <v>Incline_Push_or_Front_Delts[Link]</v>
      </c>
    </row>
    <row r="307" spans="2:5" hidden="1" x14ac:dyDescent="0.25">
      <c r="B307" t="s">
        <v>175</v>
      </c>
      <c r="C307" s="38" t="s">
        <v>311</v>
      </c>
      <c r="D307" s="38" t="s">
        <v>332</v>
      </c>
      <c r="E307" s="38" t="str">
        <f>CONCATENATE(Table_Name[[#This Row],[Table name]],"[Link]")</f>
        <v>Chest_Isolation_or_Triceps[Link]</v>
      </c>
    </row>
    <row r="308" spans="2:5" hidden="1" x14ac:dyDescent="0.25">
      <c r="B308" t="s">
        <v>177</v>
      </c>
      <c r="C308" s="38" t="s">
        <v>312</v>
      </c>
      <c r="D308" s="38" t="s">
        <v>333</v>
      </c>
      <c r="E308" s="38" t="str">
        <f>CONCATENATE(Table_Name[[#This Row],[Table name]],"[Link]")</f>
        <v>Rear_or_Side_Delts[Link]</v>
      </c>
    </row>
    <row r="309" spans="2:5" hidden="1" x14ac:dyDescent="0.25"/>
    <row r="310" spans="2:5" hidden="1" x14ac:dyDescent="0.25">
      <c r="B310" s="8" t="s">
        <v>88</v>
      </c>
      <c r="C310" t="s">
        <v>295</v>
      </c>
      <c r="D310" s="8" t="s">
        <v>296</v>
      </c>
    </row>
    <row r="311" spans="2:5" hidden="1" x14ac:dyDescent="0.25">
      <c r="B311" s="38" t="s">
        <v>109</v>
      </c>
      <c r="C311" t="s">
        <v>179</v>
      </c>
      <c r="D311" t="s">
        <v>77</v>
      </c>
    </row>
    <row r="312" spans="2:5" hidden="1" x14ac:dyDescent="0.25">
      <c r="B312" s="38" t="s">
        <v>79</v>
      </c>
      <c r="C312" t="s">
        <v>180</v>
      </c>
      <c r="D312" t="s">
        <v>77</v>
      </c>
    </row>
    <row r="313" spans="2:5" hidden="1" x14ac:dyDescent="0.25">
      <c r="B313" s="38" t="s">
        <v>80</v>
      </c>
      <c r="C313" t="s">
        <v>181</v>
      </c>
      <c r="D313" t="s">
        <v>77</v>
      </c>
    </row>
    <row r="314" spans="2:5" hidden="1" x14ac:dyDescent="0.25">
      <c r="B314" s="38" t="s">
        <v>78</v>
      </c>
      <c r="C314" t="s">
        <v>182</v>
      </c>
      <c r="D314" t="s">
        <v>77</v>
      </c>
    </row>
    <row r="315" spans="2:5" hidden="1" x14ac:dyDescent="0.25">
      <c r="B315" s="40" t="s">
        <v>110</v>
      </c>
      <c r="C315" t="s">
        <v>183</v>
      </c>
      <c r="D315" t="s">
        <v>77</v>
      </c>
    </row>
    <row r="316" spans="2:5" hidden="1" x14ac:dyDescent="0.25">
      <c r="B316" s="38" t="s">
        <v>81</v>
      </c>
      <c r="C316" t="s">
        <v>184</v>
      </c>
      <c r="D316" t="s">
        <v>77</v>
      </c>
    </row>
    <row r="317" spans="2:5" hidden="1" x14ac:dyDescent="0.25">
      <c r="B317" s="38" t="s">
        <v>146</v>
      </c>
      <c r="C317" t="s">
        <v>185</v>
      </c>
      <c r="D317" t="s">
        <v>77</v>
      </c>
    </row>
    <row r="318" spans="2:5" hidden="1" x14ac:dyDescent="0.25">
      <c r="B318" s="38" t="s">
        <v>61</v>
      </c>
      <c r="C318" t="s">
        <v>190</v>
      </c>
      <c r="D318" t="s">
        <v>18</v>
      </c>
    </row>
    <row r="319" spans="2:5" hidden="1" x14ac:dyDescent="0.25">
      <c r="B319" s="38" t="s">
        <v>62</v>
      </c>
      <c r="C319" t="s">
        <v>191</v>
      </c>
      <c r="D319" t="s">
        <v>18</v>
      </c>
    </row>
    <row r="320" spans="2:5" hidden="1" x14ac:dyDescent="0.25">
      <c r="B320" s="38" t="s">
        <v>112</v>
      </c>
      <c r="C320" t="s">
        <v>192</v>
      </c>
      <c r="D320" t="s">
        <v>18</v>
      </c>
    </row>
    <row r="321" spans="2:4" hidden="1" x14ac:dyDescent="0.25">
      <c r="B321" s="38" t="s">
        <v>63</v>
      </c>
      <c r="C321" t="s">
        <v>193</v>
      </c>
      <c r="D321" t="s">
        <v>18</v>
      </c>
    </row>
    <row r="322" spans="2:4" hidden="1" x14ac:dyDescent="0.25">
      <c r="B322" s="38" t="s">
        <v>113</v>
      </c>
      <c r="C322" t="s">
        <v>194</v>
      </c>
      <c r="D322" t="s">
        <v>18</v>
      </c>
    </row>
    <row r="323" spans="2:4" hidden="1" x14ac:dyDescent="0.25">
      <c r="B323" s="38" t="s">
        <v>114</v>
      </c>
      <c r="C323" t="s">
        <v>195</v>
      </c>
      <c r="D323" t="s">
        <v>18</v>
      </c>
    </row>
    <row r="324" spans="2:4" hidden="1" x14ac:dyDescent="0.25">
      <c r="B324" s="38" t="s">
        <v>147</v>
      </c>
      <c r="C324" t="s">
        <v>196</v>
      </c>
      <c r="D324" t="s">
        <v>18</v>
      </c>
    </row>
    <row r="325" spans="2:4" hidden="1" x14ac:dyDescent="0.25">
      <c r="B325" s="38" t="s">
        <v>148</v>
      </c>
      <c r="C325" t="s">
        <v>197</v>
      </c>
      <c r="D325" t="s">
        <v>18</v>
      </c>
    </row>
    <row r="326" spans="2:4" hidden="1" x14ac:dyDescent="0.25">
      <c r="B326" s="40" t="s">
        <v>115</v>
      </c>
      <c r="C326" t="s">
        <v>198</v>
      </c>
      <c r="D326" t="s">
        <v>18</v>
      </c>
    </row>
    <row r="327" spans="2:4" hidden="1" x14ac:dyDescent="0.25">
      <c r="B327" s="38" t="s">
        <v>116</v>
      </c>
      <c r="C327" t="s">
        <v>199</v>
      </c>
      <c r="D327" t="s">
        <v>18</v>
      </c>
    </row>
    <row r="328" spans="2:4" hidden="1" x14ac:dyDescent="0.25">
      <c r="B328" s="38" t="s">
        <v>149</v>
      </c>
      <c r="C328" t="s">
        <v>200</v>
      </c>
      <c r="D328" t="s">
        <v>18</v>
      </c>
    </row>
    <row r="329" spans="2:4" hidden="1" x14ac:dyDescent="0.25">
      <c r="B329" s="38" t="s">
        <v>111</v>
      </c>
      <c r="C329" t="s">
        <v>186</v>
      </c>
      <c r="D329" t="s">
        <v>19</v>
      </c>
    </row>
    <row r="330" spans="2:4" hidden="1" x14ac:dyDescent="0.25">
      <c r="B330" s="38" t="s">
        <v>75</v>
      </c>
      <c r="C330" t="s">
        <v>187</v>
      </c>
      <c r="D330" t="s">
        <v>19</v>
      </c>
    </row>
    <row r="331" spans="2:4" hidden="1" x14ac:dyDescent="0.25">
      <c r="B331" s="38" t="s">
        <v>74</v>
      </c>
      <c r="C331" t="s">
        <v>188</v>
      </c>
      <c r="D331" t="s">
        <v>19</v>
      </c>
    </row>
    <row r="332" spans="2:4" hidden="1" x14ac:dyDescent="0.25">
      <c r="B332" s="38" t="s">
        <v>76</v>
      </c>
      <c r="C332" t="s">
        <v>189</v>
      </c>
      <c r="D332" t="s">
        <v>19</v>
      </c>
    </row>
    <row r="333" spans="2:4" hidden="1" x14ac:dyDescent="0.25">
      <c r="B333" s="38" t="s">
        <v>138</v>
      </c>
      <c r="C333" t="s">
        <v>269</v>
      </c>
      <c r="D333" t="s">
        <v>37</v>
      </c>
    </row>
    <row r="334" spans="2:4" hidden="1" x14ac:dyDescent="0.25">
      <c r="B334" s="38" t="s">
        <v>38</v>
      </c>
      <c r="C334" t="s">
        <v>270</v>
      </c>
      <c r="D334" t="s">
        <v>37</v>
      </c>
    </row>
    <row r="335" spans="2:4" hidden="1" x14ac:dyDescent="0.25">
      <c r="B335" s="38" t="s">
        <v>39</v>
      </c>
      <c r="C335" t="s">
        <v>271</v>
      </c>
      <c r="D335" t="s">
        <v>37</v>
      </c>
    </row>
    <row r="336" spans="2:4" hidden="1" x14ac:dyDescent="0.25">
      <c r="B336" s="38" t="s">
        <v>139</v>
      </c>
      <c r="C336" t="s">
        <v>272</v>
      </c>
      <c r="D336" t="s">
        <v>37</v>
      </c>
    </row>
    <row r="337" spans="2:4" hidden="1" x14ac:dyDescent="0.25">
      <c r="B337" s="38" t="s">
        <v>40</v>
      </c>
      <c r="C337" t="s">
        <v>273</v>
      </c>
      <c r="D337" t="s">
        <v>37</v>
      </c>
    </row>
    <row r="338" spans="2:4" hidden="1" x14ac:dyDescent="0.25">
      <c r="B338" s="38" t="s">
        <v>140</v>
      </c>
      <c r="C338" t="s">
        <v>274</v>
      </c>
      <c r="D338" t="s">
        <v>37</v>
      </c>
    </row>
    <row r="339" spans="2:4" hidden="1" x14ac:dyDescent="0.25">
      <c r="B339" s="38" t="s">
        <v>141</v>
      </c>
      <c r="C339" t="s">
        <v>275</v>
      </c>
      <c r="D339" t="s">
        <v>37</v>
      </c>
    </row>
    <row r="340" spans="2:4" hidden="1" x14ac:dyDescent="0.25">
      <c r="B340" s="38" t="s">
        <v>138</v>
      </c>
      <c r="C340" t="s">
        <v>269</v>
      </c>
      <c r="D340" t="s">
        <v>175</v>
      </c>
    </row>
    <row r="341" spans="2:4" hidden="1" x14ac:dyDescent="0.25">
      <c r="B341" s="38" t="s">
        <v>152</v>
      </c>
      <c r="C341" t="s">
        <v>214</v>
      </c>
      <c r="D341" t="s">
        <v>175</v>
      </c>
    </row>
    <row r="342" spans="2:4" hidden="1" x14ac:dyDescent="0.25">
      <c r="B342" s="38" t="s">
        <v>38</v>
      </c>
      <c r="C342" t="s">
        <v>270</v>
      </c>
      <c r="D342" t="s">
        <v>175</v>
      </c>
    </row>
    <row r="343" spans="2:4" hidden="1" x14ac:dyDescent="0.25">
      <c r="B343" s="38" t="s">
        <v>59</v>
      </c>
      <c r="C343" t="s">
        <v>222</v>
      </c>
      <c r="D343" t="s">
        <v>175</v>
      </c>
    </row>
    <row r="344" spans="2:4" hidden="1" x14ac:dyDescent="0.25">
      <c r="B344" s="38" t="s">
        <v>39</v>
      </c>
      <c r="C344" t="s">
        <v>271</v>
      </c>
      <c r="D344" t="s">
        <v>175</v>
      </c>
    </row>
    <row r="345" spans="2:4" hidden="1" x14ac:dyDescent="0.25">
      <c r="B345" s="38" t="s">
        <v>124</v>
      </c>
      <c r="C345" t="s">
        <v>215</v>
      </c>
      <c r="D345" t="s">
        <v>175</v>
      </c>
    </row>
    <row r="346" spans="2:4" hidden="1" x14ac:dyDescent="0.25">
      <c r="B346" s="38" t="s">
        <v>139</v>
      </c>
      <c r="C346" t="s">
        <v>272</v>
      </c>
      <c r="D346" t="s">
        <v>175</v>
      </c>
    </row>
    <row r="347" spans="2:4" hidden="1" x14ac:dyDescent="0.25">
      <c r="B347" s="38" t="s">
        <v>58</v>
      </c>
      <c r="C347" t="s">
        <v>223</v>
      </c>
      <c r="D347" t="s">
        <v>175</v>
      </c>
    </row>
    <row r="348" spans="2:4" hidden="1" x14ac:dyDescent="0.25">
      <c r="B348" s="38" t="s">
        <v>40</v>
      </c>
      <c r="C348" t="s">
        <v>273</v>
      </c>
      <c r="D348" t="s">
        <v>175</v>
      </c>
    </row>
    <row r="349" spans="2:4" hidden="1" x14ac:dyDescent="0.25">
      <c r="B349" s="38" t="s">
        <v>56</v>
      </c>
      <c r="C349" t="s">
        <v>216</v>
      </c>
      <c r="D349" t="s">
        <v>175</v>
      </c>
    </row>
    <row r="350" spans="2:4" hidden="1" x14ac:dyDescent="0.25">
      <c r="B350" s="38" t="s">
        <v>140</v>
      </c>
      <c r="C350" t="s">
        <v>274</v>
      </c>
      <c r="D350" t="s">
        <v>175</v>
      </c>
    </row>
    <row r="351" spans="2:4" hidden="1" x14ac:dyDescent="0.25">
      <c r="B351" s="38" t="s">
        <v>154</v>
      </c>
      <c r="C351" t="s">
        <v>224</v>
      </c>
      <c r="D351" t="s">
        <v>175</v>
      </c>
    </row>
    <row r="352" spans="2:4" hidden="1" x14ac:dyDescent="0.25">
      <c r="B352" s="38" t="s">
        <v>141</v>
      </c>
      <c r="C352" t="s">
        <v>275</v>
      </c>
      <c r="D352" t="s">
        <v>175</v>
      </c>
    </row>
    <row r="353" spans="2:4" hidden="1" x14ac:dyDescent="0.25">
      <c r="B353" s="38" t="s">
        <v>55</v>
      </c>
      <c r="C353" t="s">
        <v>217</v>
      </c>
      <c r="D353" t="s">
        <v>175</v>
      </c>
    </row>
    <row r="354" spans="2:4" hidden="1" x14ac:dyDescent="0.25">
      <c r="B354" s="38" t="s">
        <v>155</v>
      </c>
      <c r="C354" t="s">
        <v>225</v>
      </c>
      <c r="D354" t="s">
        <v>175</v>
      </c>
    </row>
    <row r="355" spans="2:4" hidden="1" x14ac:dyDescent="0.25">
      <c r="B355" s="38" t="s">
        <v>153</v>
      </c>
      <c r="C355" t="s">
        <v>218</v>
      </c>
      <c r="D355" t="s">
        <v>175</v>
      </c>
    </row>
    <row r="356" spans="2:4" hidden="1" x14ac:dyDescent="0.25">
      <c r="B356" s="38" t="s">
        <v>60</v>
      </c>
      <c r="C356" t="s">
        <v>226</v>
      </c>
      <c r="D356" t="s">
        <v>175</v>
      </c>
    </row>
    <row r="357" spans="2:4" hidden="1" x14ac:dyDescent="0.25">
      <c r="B357" s="38" t="s">
        <v>53</v>
      </c>
      <c r="C357" t="s">
        <v>219</v>
      </c>
      <c r="D357" t="s">
        <v>175</v>
      </c>
    </row>
    <row r="358" spans="2:4" hidden="1" x14ac:dyDescent="0.25">
      <c r="B358" s="38" t="s">
        <v>125</v>
      </c>
      <c r="C358" t="s">
        <v>220</v>
      </c>
      <c r="D358" t="s">
        <v>175</v>
      </c>
    </row>
    <row r="359" spans="2:4" hidden="1" x14ac:dyDescent="0.25">
      <c r="B359" s="38" t="s">
        <v>54</v>
      </c>
      <c r="C359" t="s">
        <v>221</v>
      </c>
      <c r="D359" t="s">
        <v>175</v>
      </c>
    </row>
    <row r="360" spans="2:4" hidden="1" x14ac:dyDescent="0.25">
      <c r="B360" s="38" t="s">
        <v>32</v>
      </c>
      <c r="C360" t="s">
        <v>289</v>
      </c>
      <c r="D360" t="s">
        <v>104</v>
      </c>
    </row>
    <row r="361" spans="2:4" hidden="1" x14ac:dyDescent="0.25">
      <c r="B361" s="38" t="s">
        <v>34</v>
      </c>
      <c r="C361" t="s">
        <v>290</v>
      </c>
      <c r="D361" t="s">
        <v>104</v>
      </c>
    </row>
    <row r="362" spans="2:4" hidden="1" x14ac:dyDescent="0.25">
      <c r="B362" s="38" t="s">
        <v>35</v>
      </c>
      <c r="C362" t="s">
        <v>291</v>
      </c>
      <c r="D362" t="s">
        <v>104</v>
      </c>
    </row>
    <row r="363" spans="2:4" hidden="1" x14ac:dyDescent="0.25">
      <c r="B363" s="38" t="s">
        <v>174</v>
      </c>
      <c r="C363" t="s">
        <v>292</v>
      </c>
      <c r="D363" t="s">
        <v>104</v>
      </c>
    </row>
    <row r="364" spans="2:4" hidden="1" x14ac:dyDescent="0.25">
      <c r="B364" s="12" t="s">
        <v>145</v>
      </c>
      <c r="C364" t="s">
        <v>293</v>
      </c>
      <c r="D364" t="s">
        <v>104</v>
      </c>
    </row>
    <row r="365" spans="2:4" hidden="1" x14ac:dyDescent="0.25">
      <c r="B365" s="38" t="s">
        <v>33</v>
      </c>
      <c r="C365" t="s">
        <v>294</v>
      </c>
      <c r="D365" t="s">
        <v>104</v>
      </c>
    </row>
    <row r="366" spans="2:4" hidden="1" x14ac:dyDescent="0.25">
      <c r="B366" s="38" t="s">
        <v>66</v>
      </c>
      <c r="C366" t="s">
        <v>254</v>
      </c>
      <c r="D366" t="s">
        <v>108</v>
      </c>
    </row>
    <row r="367" spans="2:4" hidden="1" x14ac:dyDescent="0.25">
      <c r="B367" s="38" t="s">
        <v>67</v>
      </c>
      <c r="C367" t="s">
        <v>255</v>
      </c>
      <c r="D367" t="s">
        <v>108</v>
      </c>
    </row>
    <row r="368" spans="2:4" hidden="1" x14ac:dyDescent="0.25">
      <c r="B368" s="38" t="s">
        <v>133</v>
      </c>
      <c r="C368" t="s">
        <v>256</v>
      </c>
      <c r="D368" t="s">
        <v>108</v>
      </c>
    </row>
    <row r="369" spans="2:4" hidden="1" x14ac:dyDescent="0.25">
      <c r="B369" s="38" t="s">
        <v>170</v>
      </c>
      <c r="C369" t="s">
        <v>257</v>
      </c>
      <c r="D369" t="s">
        <v>108</v>
      </c>
    </row>
    <row r="370" spans="2:4" hidden="1" x14ac:dyDescent="0.25">
      <c r="B370" s="38" t="s">
        <v>70</v>
      </c>
      <c r="C370" t="s">
        <v>258</v>
      </c>
      <c r="D370" t="s">
        <v>108</v>
      </c>
    </row>
    <row r="371" spans="2:4" hidden="1" x14ac:dyDescent="0.25">
      <c r="B371" s="38" t="s">
        <v>69</v>
      </c>
      <c r="C371" t="s">
        <v>259</v>
      </c>
      <c r="D371" t="s">
        <v>108</v>
      </c>
    </row>
    <row r="372" spans="2:4" hidden="1" x14ac:dyDescent="0.25">
      <c r="B372" s="38" t="s">
        <v>134</v>
      </c>
      <c r="C372" t="s">
        <v>260</v>
      </c>
      <c r="D372" t="s">
        <v>108</v>
      </c>
    </row>
    <row r="373" spans="2:4" hidden="1" x14ac:dyDescent="0.25">
      <c r="B373" s="38" t="s">
        <v>171</v>
      </c>
      <c r="C373" t="s">
        <v>261</v>
      </c>
      <c r="D373" t="s">
        <v>108</v>
      </c>
    </row>
    <row r="374" spans="2:4" hidden="1" x14ac:dyDescent="0.25">
      <c r="B374" s="38" t="s">
        <v>135</v>
      </c>
      <c r="C374" t="s">
        <v>262</v>
      </c>
      <c r="D374" t="s">
        <v>107</v>
      </c>
    </row>
    <row r="375" spans="2:4" hidden="1" x14ac:dyDescent="0.25">
      <c r="B375" s="38" t="s">
        <v>71</v>
      </c>
      <c r="C375" t="s">
        <v>263</v>
      </c>
      <c r="D375" t="s">
        <v>107</v>
      </c>
    </row>
    <row r="376" spans="2:4" hidden="1" x14ac:dyDescent="0.25">
      <c r="B376" s="38" t="s">
        <v>72</v>
      </c>
      <c r="C376" t="s">
        <v>264</v>
      </c>
      <c r="D376" t="s">
        <v>107</v>
      </c>
    </row>
    <row r="377" spans="2:4" hidden="1" x14ac:dyDescent="0.25">
      <c r="B377" s="38" t="s">
        <v>136</v>
      </c>
      <c r="C377" t="s">
        <v>265</v>
      </c>
      <c r="D377" t="s">
        <v>107</v>
      </c>
    </row>
    <row r="378" spans="2:4" hidden="1" x14ac:dyDescent="0.25">
      <c r="B378" s="38" t="s">
        <v>172</v>
      </c>
      <c r="C378" t="s">
        <v>266</v>
      </c>
      <c r="D378" t="s">
        <v>106</v>
      </c>
    </row>
    <row r="379" spans="2:4" hidden="1" x14ac:dyDescent="0.25">
      <c r="B379" s="38" t="s">
        <v>73</v>
      </c>
      <c r="C379" t="s">
        <v>267</v>
      </c>
      <c r="D379" t="s">
        <v>106</v>
      </c>
    </row>
    <row r="380" spans="2:4" hidden="1" x14ac:dyDescent="0.25">
      <c r="B380" s="38" t="s">
        <v>137</v>
      </c>
      <c r="C380" t="s">
        <v>268</v>
      </c>
      <c r="D380" t="s">
        <v>106</v>
      </c>
    </row>
    <row r="381" spans="2:4" hidden="1" x14ac:dyDescent="0.25">
      <c r="B381" s="38" t="s">
        <v>156</v>
      </c>
      <c r="C381" t="s">
        <v>227</v>
      </c>
      <c r="D381" t="s">
        <v>126</v>
      </c>
    </row>
    <row r="382" spans="2:4" hidden="1" x14ac:dyDescent="0.25">
      <c r="B382" s="38" t="s">
        <v>157</v>
      </c>
      <c r="C382" t="s">
        <v>228</v>
      </c>
      <c r="D382" t="s">
        <v>126</v>
      </c>
    </row>
    <row r="383" spans="2:4" hidden="1" x14ac:dyDescent="0.25">
      <c r="B383" s="38" t="s">
        <v>158</v>
      </c>
      <c r="C383" t="s">
        <v>229</v>
      </c>
      <c r="D383" t="s">
        <v>126</v>
      </c>
    </row>
    <row r="384" spans="2:4" hidden="1" x14ac:dyDescent="0.25">
      <c r="B384" s="38" t="s">
        <v>42</v>
      </c>
      <c r="C384" t="s">
        <v>230</v>
      </c>
      <c r="D384" t="s">
        <v>126</v>
      </c>
    </row>
    <row r="385" spans="2:4" hidden="1" x14ac:dyDescent="0.25">
      <c r="B385" s="38" t="s">
        <v>127</v>
      </c>
      <c r="C385" t="s">
        <v>231</v>
      </c>
      <c r="D385" t="s">
        <v>126</v>
      </c>
    </row>
    <row r="386" spans="2:4" hidden="1" x14ac:dyDescent="0.25">
      <c r="B386" s="38" t="s">
        <v>128</v>
      </c>
      <c r="C386" t="s">
        <v>232</v>
      </c>
      <c r="D386" t="s">
        <v>126</v>
      </c>
    </row>
    <row r="387" spans="2:4" hidden="1" x14ac:dyDescent="0.25">
      <c r="B387" s="38" t="s">
        <v>41</v>
      </c>
      <c r="C387" t="s">
        <v>233</v>
      </c>
      <c r="D387" t="s">
        <v>126</v>
      </c>
    </row>
    <row r="388" spans="2:4" hidden="1" x14ac:dyDescent="0.25">
      <c r="B388" s="38" t="s">
        <v>129</v>
      </c>
      <c r="C388" t="s">
        <v>234</v>
      </c>
      <c r="D388" t="s">
        <v>126</v>
      </c>
    </row>
    <row r="389" spans="2:4" hidden="1" x14ac:dyDescent="0.25">
      <c r="B389" s="38" t="s">
        <v>23</v>
      </c>
      <c r="C389" t="s">
        <v>276</v>
      </c>
      <c r="D389" t="s">
        <v>22</v>
      </c>
    </row>
    <row r="390" spans="2:4" hidden="1" x14ac:dyDescent="0.25">
      <c r="B390" s="38" t="s">
        <v>25</v>
      </c>
      <c r="C390" t="s">
        <v>277</v>
      </c>
      <c r="D390" t="s">
        <v>22</v>
      </c>
    </row>
    <row r="391" spans="2:4" hidden="1" x14ac:dyDescent="0.25">
      <c r="B391" s="38" t="s">
        <v>142</v>
      </c>
      <c r="C391" t="s">
        <v>278</v>
      </c>
      <c r="D391" t="s">
        <v>22</v>
      </c>
    </row>
    <row r="392" spans="2:4" hidden="1" x14ac:dyDescent="0.25">
      <c r="B392" s="38" t="s">
        <v>24</v>
      </c>
      <c r="C392" t="s">
        <v>279</v>
      </c>
      <c r="D392" t="s">
        <v>22</v>
      </c>
    </row>
    <row r="393" spans="2:4" hidden="1" x14ac:dyDescent="0.25">
      <c r="B393" s="12" t="s">
        <v>173</v>
      </c>
      <c r="C393" t="s">
        <v>280</v>
      </c>
      <c r="D393" t="s">
        <v>22</v>
      </c>
    </row>
    <row r="394" spans="2:4" hidden="1" x14ac:dyDescent="0.25">
      <c r="B394" s="38" t="s">
        <v>26</v>
      </c>
      <c r="C394" t="s">
        <v>281</v>
      </c>
      <c r="D394" t="s">
        <v>22</v>
      </c>
    </row>
    <row r="395" spans="2:4" hidden="1" x14ac:dyDescent="0.25">
      <c r="B395" s="38" t="s">
        <v>27</v>
      </c>
      <c r="C395" t="s">
        <v>282</v>
      </c>
      <c r="D395" t="s">
        <v>22</v>
      </c>
    </row>
    <row r="396" spans="2:4" hidden="1" x14ac:dyDescent="0.25">
      <c r="B396" s="38" t="s">
        <v>152</v>
      </c>
      <c r="C396" t="s">
        <v>214</v>
      </c>
      <c r="D396" t="s">
        <v>52</v>
      </c>
    </row>
    <row r="397" spans="2:4" hidden="1" x14ac:dyDescent="0.25">
      <c r="B397" s="38" t="s">
        <v>124</v>
      </c>
      <c r="C397" t="s">
        <v>215</v>
      </c>
      <c r="D397" t="s">
        <v>52</v>
      </c>
    </row>
    <row r="398" spans="2:4" hidden="1" x14ac:dyDescent="0.25">
      <c r="B398" s="38" t="s">
        <v>56</v>
      </c>
      <c r="C398" t="s">
        <v>216</v>
      </c>
      <c r="D398" t="s">
        <v>52</v>
      </c>
    </row>
    <row r="399" spans="2:4" hidden="1" x14ac:dyDescent="0.25">
      <c r="B399" s="38" t="s">
        <v>55</v>
      </c>
      <c r="C399" t="s">
        <v>217</v>
      </c>
      <c r="D399" t="s">
        <v>52</v>
      </c>
    </row>
    <row r="400" spans="2:4" hidden="1" x14ac:dyDescent="0.25">
      <c r="B400" s="38" t="s">
        <v>153</v>
      </c>
      <c r="C400" t="s">
        <v>218</v>
      </c>
      <c r="D400" t="s">
        <v>52</v>
      </c>
    </row>
    <row r="401" spans="2:4" hidden="1" x14ac:dyDescent="0.25">
      <c r="B401" s="38" t="s">
        <v>53</v>
      </c>
      <c r="C401" t="s">
        <v>219</v>
      </c>
      <c r="D401" t="s">
        <v>52</v>
      </c>
    </row>
    <row r="402" spans="2:4" hidden="1" x14ac:dyDescent="0.25">
      <c r="B402" s="38" t="s">
        <v>125</v>
      </c>
      <c r="C402" t="s">
        <v>220</v>
      </c>
      <c r="D402" t="s">
        <v>52</v>
      </c>
    </row>
    <row r="403" spans="2:4" hidden="1" x14ac:dyDescent="0.25">
      <c r="B403" s="38" t="s">
        <v>54</v>
      </c>
      <c r="C403" t="s">
        <v>221</v>
      </c>
      <c r="D403" t="s">
        <v>52</v>
      </c>
    </row>
    <row r="404" spans="2:4" hidden="1" x14ac:dyDescent="0.25">
      <c r="B404" s="40" t="s">
        <v>29</v>
      </c>
      <c r="C404" t="s">
        <v>283</v>
      </c>
      <c r="D404" t="s">
        <v>143</v>
      </c>
    </row>
    <row r="405" spans="2:4" hidden="1" x14ac:dyDescent="0.25">
      <c r="B405" s="38" t="s">
        <v>31</v>
      </c>
      <c r="C405" t="s">
        <v>284</v>
      </c>
      <c r="D405" t="s">
        <v>143</v>
      </c>
    </row>
    <row r="406" spans="2:4" hidden="1" x14ac:dyDescent="0.25">
      <c r="B406" s="38" t="s">
        <v>28</v>
      </c>
      <c r="C406" t="s">
        <v>285</v>
      </c>
      <c r="D406" t="s">
        <v>143</v>
      </c>
    </row>
    <row r="407" spans="2:4" hidden="1" x14ac:dyDescent="0.25">
      <c r="B407" s="38" t="s">
        <v>36</v>
      </c>
      <c r="C407" t="s">
        <v>286</v>
      </c>
      <c r="D407" t="s">
        <v>143</v>
      </c>
    </row>
    <row r="408" spans="2:4" hidden="1" x14ac:dyDescent="0.25">
      <c r="B408" s="38" t="s">
        <v>30</v>
      </c>
      <c r="C408" t="s">
        <v>287</v>
      </c>
      <c r="D408" t="s">
        <v>143</v>
      </c>
    </row>
    <row r="409" spans="2:4" hidden="1" x14ac:dyDescent="0.25">
      <c r="B409" s="12" t="s">
        <v>144</v>
      </c>
      <c r="C409" t="s">
        <v>288</v>
      </c>
      <c r="D409" t="s">
        <v>143</v>
      </c>
    </row>
    <row r="410" spans="2:4" hidden="1" x14ac:dyDescent="0.25">
      <c r="B410" s="40" t="s">
        <v>29</v>
      </c>
      <c r="C410" t="s">
        <v>283</v>
      </c>
      <c r="D410" t="s">
        <v>176</v>
      </c>
    </row>
    <row r="411" spans="2:4" hidden="1" x14ac:dyDescent="0.25">
      <c r="B411" s="38" t="s">
        <v>32</v>
      </c>
      <c r="C411" t="s">
        <v>289</v>
      </c>
      <c r="D411" t="s">
        <v>176</v>
      </c>
    </row>
    <row r="412" spans="2:4" hidden="1" x14ac:dyDescent="0.25">
      <c r="B412" s="38" t="s">
        <v>31</v>
      </c>
      <c r="C412" t="s">
        <v>284</v>
      </c>
      <c r="D412" t="s">
        <v>176</v>
      </c>
    </row>
    <row r="413" spans="2:4" hidden="1" x14ac:dyDescent="0.25">
      <c r="B413" s="38" t="s">
        <v>34</v>
      </c>
      <c r="C413" t="s">
        <v>290</v>
      </c>
      <c r="D413" t="s">
        <v>176</v>
      </c>
    </row>
    <row r="414" spans="2:4" hidden="1" x14ac:dyDescent="0.25">
      <c r="B414" s="38" t="s">
        <v>28</v>
      </c>
      <c r="C414" t="s">
        <v>285</v>
      </c>
      <c r="D414" t="s">
        <v>176</v>
      </c>
    </row>
    <row r="415" spans="2:4" hidden="1" x14ac:dyDescent="0.25">
      <c r="B415" s="38" t="s">
        <v>35</v>
      </c>
      <c r="C415" t="s">
        <v>291</v>
      </c>
      <c r="D415" t="s">
        <v>176</v>
      </c>
    </row>
    <row r="416" spans="2:4" hidden="1" x14ac:dyDescent="0.25">
      <c r="B416" s="38" t="s">
        <v>36</v>
      </c>
      <c r="C416" t="s">
        <v>286</v>
      </c>
      <c r="D416" t="s">
        <v>176</v>
      </c>
    </row>
    <row r="417" spans="2:4" hidden="1" x14ac:dyDescent="0.25">
      <c r="B417" s="38" t="s">
        <v>174</v>
      </c>
      <c r="C417" t="s">
        <v>292</v>
      </c>
      <c r="D417" t="s">
        <v>176</v>
      </c>
    </row>
    <row r="418" spans="2:4" hidden="1" x14ac:dyDescent="0.25">
      <c r="B418" s="38" t="s">
        <v>30</v>
      </c>
      <c r="C418" t="s">
        <v>287</v>
      </c>
      <c r="D418" t="s">
        <v>176</v>
      </c>
    </row>
    <row r="419" spans="2:4" hidden="1" x14ac:dyDescent="0.25">
      <c r="B419" s="12" t="s">
        <v>145</v>
      </c>
      <c r="C419" t="s">
        <v>293</v>
      </c>
      <c r="D419" t="s">
        <v>176</v>
      </c>
    </row>
    <row r="420" spans="2:4" hidden="1" x14ac:dyDescent="0.25">
      <c r="B420" s="12" t="s">
        <v>144</v>
      </c>
      <c r="C420" t="s">
        <v>288</v>
      </c>
      <c r="D420" t="s">
        <v>176</v>
      </c>
    </row>
    <row r="421" spans="2:4" hidden="1" x14ac:dyDescent="0.25">
      <c r="B421" s="38" t="s">
        <v>33</v>
      </c>
      <c r="C421" t="s">
        <v>294</v>
      </c>
      <c r="D421" t="s">
        <v>176</v>
      </c>
    </row>
    <row r="422" spans="2:4" hidden="1" x14ac:dyDescent="0.25">
      <c r="B422" s="38" t="s">
        <v>64</v>
      </c>
      <c r="C422" t="s">
        <v>247</v>
      </c>
      <c r="D422" t="s">
        <v>20</v>
      </c>
    </row>
    <row r="423" spans="2:4" hidden="1" x14ac:dyDescent="0.25">
      <c r="B423" s="38" t="s">
        <v>167</v>
      </c>
      <c r="C423" t="s">
        <v>248</v>
      </c>
      <c r="D423" t="s">
        <v>20</v>
      </c>
    </row>
    <row r="424" spans="2:4" hidden="1" x14ac:dyDescent="0.25">
      <c r="B424" s="38" t="s">
        <v>168</v>
      </c>
      <c r="C424" t="s">
        <v>249</v>
      </c>
      <c r="D424" t="s">
        <v>20</v>
      </c>
    </row>
    <row r="425" spans="2:4" hidden="1" x14ac:dyDescent="0.25">
      <c r="B425" s="38" t="s">
        <v>65</v>
      </c>
      <c r="C425" t="s">
        <v>250</v>
      </c>
      <c r="D425" t="s">
        <v>20</v>
      </c>
    </row>
    <row r="426" spans="2:4" hidden="1" x14ac:dyDescent="0.25">
      <c r="B426" s="38" t="s">
        <v>132</v>
      </c>
      <c r="C426" t="s">
        <v>251</v>
      </c>
      <c r="D426" t="s">
        <v>20</v>
      </c>
    </row>
    <row r="427" spans="2:4" hidden="1" x14ac:dyDescent="0.25">
      <c r="B427" s="38" t="s">
        <v>68</v>
      </c>
      <c r="C427" t="s">
        <v>252</v>
      </c>
      <c r="D427" t="s">
        <v>20</v>
      </c>
    </row>
    <row r="428" spans="2:4" hidden="1" x14ac:dyDescent="0.25">
      <c r="B428" s="38" t="s">
        <v>169</v>
      </c>
      <c r="C428" t="s">
        <v>253</v>
      </c>
      <c r="D428" t="s">
        <v>20</v>
      </c>
    </row>
    <row r="429" spans="2:4" hidden="1" x14ac:dyDescent="0.25">
      <c r="B429" s="38" t="s">
        <v>51</v>
      </c>
      <c r="C429" t="s">
        <v>201</v>
      </c>
      <c r="D429" t="s">
        <v>117</v>
      </c>
    </row>
    <row r="430" spans="2:4" hidden="1" x14ac:dyDescent="0.25">
      <c r="B430" s="38" t="s">
        <v>118</v>
      </c>
      <c r="C430" t="s">
        <v>202</v>
      </c>
      <c r="D430" t="s">
        <v>117</v>
      </c>
    </row>
    <row r="431" spans="2:4" hidden="1" x14ac:dyDescent="0.25">
      <c r="B431" s="38" t="s">
        <v>150</v>
      </c>
      <c r="C431" t="s">
        <v>203</v>
      </c>
      <c r="D431" t="s">
        <v>117</v>
      </c>
    </row>
    <row r="432" spans="2:4" hidden="1" x14ac:dyDescent="0.25">
      <c r="B432" s="38" t="s">
        <v>50</v>
      </c>
      <c r="C432" t="s">
        <v>204</v>
      </c>
      <c r="D432" t="s">
        <v>117</v>
      </c>
    </row>
    <row r="433" spans="2:4" hidden="1" x14ac:dyDescent="0.25">
      <c r="B433" s="38" t="s">
        <v>51</v>
      </c>
      <c r="C433" t="s">
        <v>201</v>
      </c>
      <c r="D433" t="s">
        <v>177</v>
      </c>
    </row>
    <row r="434" spans="2:4" hidden="1" x14ac:dyDescent="0.25">
      <c r="B434" s="38" t="s">
        <v>46</v>
      </c>
      <c r="C434" t="s">
        <v>205</v>
      </c>
      <c r="D434" t="s">
        <v>177</v>
      </c>
    </row>
    <row r="435" spans="2:4" hidden="1" x14ac:dyDescent="0.25">
      <c r="B435" s="38" t="s">
        <v>118</v>
      </c>
      <c r="C435" t="s">
        <v>202</v>
      </c>
      <c r="D435" t="s">
        <v>177</v>
      </c>
    </row>
    <row r="436" spans="2:4" hidden="1" x14ac:dyDescent="0.25">
      <c r="B436" s="38" t="s">
        <v>47</v>
      </c>
      <c r="C436" t="s">
        <v>206</v>
      </c>
      <c r="D436" t="s">
        <v>177</v>
      </c>
    </row>
    <row r="437" spans="2:4" hidden="1" x14ac:dyDescent="0.25">
      <c r="B437" s="38" t="s">
        <v>150</v>
      </c>
      <c r="C437" t="s">
        <v>203</v>
      </c>
      <c r="D437" t="s">
        <v>177</v>
      </c>
    </row>
    <row r="438" spans="2:4" hidden="1" x14ac:dyDescent="0.25">
      <c r="B438" s="38" t="s">
        <v>49</v>
      </c>
      <c r="C438" t="s">
        <v>207</v>
      </c>
      <c r="D438" t="s">
        <v>177</v>
      </c>
    </row>
    <row r="439" spans="2:4" hidden="1" x14ac:dyDescent="0.25">
      <c r="B439" s="38" t="s">
        <v>50</v>
      </c>
      <c r="C439" t="s">
        <v>204</v>
      </c>
      <c r="D439" t="s">
        <v>177</v>
      </c>
    </row>
    <row r="440" spans="2:4" hidden="1" x14ac:dyDescent="0.25">
      <c r="B440" s="38" t="s">
        <v>48</v>
      </c>
      <c r="C440" t="s">
        <v>208</v>
      </c>
      <c r="D440" t="s">
        <v>177</v>
      </c>
    </row>
    <row r="441" spans="2:4" hidden="1" x14ac:dyDescent="0.25">
      <c r="B441" s="38" t="s">
        <v>119</v>
      </c>
      <c r="C441" t="s">
        <v>209</v>
      </c>
      <c r="D441" t="s">
        <v>177</v>
      </c>
    </row>
    <row r="442" spans="2:4" hidden="1" x14ac:dyDescent="0.25">
      <c r="B442" s="38" t="s">
        <v>46</v>
      </c>
      <c r="C442" t="s">
        <v>205</v>
      </c>
      <c r="D442" s="39" t="s">
        <v>105</v>
      </c>
    </row>
    <row r="443" spans="2:4" hidden="1" x14ac:dyDescent="0.25">
      <c r="B443" s="38" t="s">
        <v>47</v>
      </c>
      <c r="C443" t="s">
        <v>206</v>
      </c>
      <c r="D443" s="39" t="s">
        <v>105</v>
      </c>
    </row>
    <row r="444" spans="2:4" hidden="1" x14ac:dyDescent="0.25">
      <c r="B444" s="38" t="s">
        <v>49</v>
      </c>
      <c r="C444" t="s">
        <v>207</v>
      </c>
      <c r="D444" s="39" t="s">
        <v>105</v>
      </c>
    </row>
    <row r="445" spans="2:4" hidden="1" x14ac:dyDescent="0.25">
      <c r="B445" s="38" t="s">
        <v>48</v>
      </c>
      <c r="C445" t="s">
        <v>208</v>
      </c>
      <c r="D445" s="39" t="s">
        <v>105</v>
      </c>
    </row>
    <row r="446" spans="2:4" hidden="1" x14ac:dyDescent="0.25">
      <c r="B446" s="38" t="s">
        <v>119</v>
      </c>
      <c r="C446" t="s">
        <v>209</v>
      </c>
      <c r="D446" s="39" t="s">
        <v>105</v>
      </c>
    </row>
    <row r="447" spans="2:4" hidden="1" x14ac:dyDescent="0.25">
      <c r="B447" s="38" t="s">
        <v>151</v>
      </c>
      <c r="C447" t="s">
        <v>210</v>
      </c>
      <c r="D447" t="s">
        <v>120</v>
      </c>
    </row>
    <row r="448" spans="2:4" hidden="1" x14ac:dyDescent="0.25">
      <c r="B448" s="38" t="s">
        <v>121</v>
      </c>
      <c r="C448" t="s">
        <v>211</v>
      </c>
      <c r="D448" t="s">
        <v>120</v>
      </c>
    </row>
    <row r="449" spans="2:4" hidden="1" x14ac:dyDescent="0.25">
      <c r="B449" s="38" t="s">
        <v>122</v>
      </c>
      <c r="C449" t="s">
        <v>212</v>
      </c>
      <c r="D449" t="s">
        <v>120</v>
      </c>
    </row>
    <row r="450" spans="2:4" hidden="1" x14ac:dyDescent="0.25">
      <c r="B450" s="38" t="s">
        <v>123</v>
      </c>
      <c r="C450" t="s">
        <v>213</v>
      </c>
      <c r="D450" t="s">
        <v>120</v>
      </c>
    </row>
    <row r="451" spans="2:4" hidden="1" x14ac:dyDescent="0.25">
      <c r="B451" s="38" t="s">
        <v>152</v>
      </c>
      <c r="C451" t="s">
        <v>214</v>
      </c>
      <c r="D451" t="s">
        <v>17</v>
      </c>
    </row>
    <row r="452" spans="2:4" hidden="1" x14ac:dyDescent="0.25">
      <c r="B452" s="38" t="s">
        <v>59</v>
      </c>
      <c r="C452" t="s">
        <v>222</v>
      </c>
      <c r="D452" t="s">
        <v>17</v>
      </c>
    </row>
    <row r="453" spans="2:4" hidden="1" x14ac:dyDescent="0.25">
      <c r="B453" s="38" t="s">
        <v>124</v>
      </c>
      <c r="C453" t="s">
        <v>215</v>
      </c>
      <c r="D453" t="s">
        <v>17</v>
      </c>
    </row>
    <row r="454" spans="2:4" hidden="1" x14ac:dyDescent="0.25">
      <c r="B454" s="38" t="s">
        <v>58</v>
      </c>
      <c r="C454" t="s">
        <v>223</v>
      </c>
      <c r="D454" t="s">
        <v>17</v>
      </c>
    </row>
    <row r="455" spans="2:4" hidden="1" x14ac:dyDescent="0.25">
      <c r="B455" s="38" t="s">
        <v>56</v>
      </c>
      <c r="C455" t="s">
        <v>216</v>
      </c>
      <c r="D455" t="s">
        <v>17</v>
      </c>
    </row>
    <row r="456" spans="2:4" hidden="1" x14ac:dyDescent="0.25">
      <c r="B456" s="38" t="s">
        <v>154</v>
      </c>
      <c r="C456" t="s">
        <v>224</v>
      </c>
      <c r="D456" t="s">
        <v>17</v>
      </c>
    </row>
    <row r="457" spans="2:4" hidden="1" x14ac:dyDescent="0.25">
      <c r="B457" s="38" t="s">
        <v>55</v>
      </c>
      <c r="C457" t="s">
        <v>217</v>
      </c>
      <c r="D457" t="s">
        <v>17</v>
      </c>
    </row>
    <row r="458" spans="2:4" hidden="1" x14ac:dyDescent="0.25">
      <c r="B458" s="38" t="s">
        <v>155</v>
      </c>
      <c r="C458" t="s">
        <v>225</v>
      </c>
      <c r="D458" t="s">
        <v>17</v>
      </c>
    </row>
    <row r="459" spans="2:4" hidden="1" x14ac:dyDescent="0.25">
      <c r="B459" s="38" t="s">
        <v>153</v>
      </c>
      <c r="C459" t="s">
        <v>218</v>
      </c>
      <c r="D459" t="s">
        <v>17</v>
      </c>
    </row>
    <row r="460" spans="2:4" hidden="1" x14ac:dyDescent="0.25">
      <c r="B460" s="38" t="s">
        <v>60</v>
      </c>
      <c r="C460" t="s">
        <v>226</v>
      </c>
      <c r="D460" t="s">
        <v>17</v>
      </c>
    </row>
    <row r="461" spans="2:4" hidden="1" x14ac:dyDescent="0.25">
      <c r="B461" s="38" t="s">
        <v>53</v>
      </c>
      <c r="C461" t="s">
        <v>219</v>
      </c>
      <c r="D461" t="s">
        <v>17</v>
      </c>
    </row>
    <row r="462" spans="2:4" hidden="1" x14ac:dyDescent="0.25">
      <c r="B462" s="38" t="s">
        <v>125</v>
      </c>
      <c r="C462" t="s">
        <v>220</v>
      </c>
      <c r="D462" t="s">
        <v>17</v>
      </c>
    </row>
    <row r="463" spans="2:4" hidden="1" x14ac:dyDescent="0.25">
      <c r="B463" s="38" t="s">
        <v>54</v>
      </c>
      <c r="C463" t="s">
        <v>221</v>
      </c>
      <c r="D463" t="s">
        <v>17</v>
      </c>
    </row>
    <row r="464" spans="2:4" hidden="1" x14ac:dyDescent="0.25">
      <c r="B464" s="38" t="s">
        <v>131</v>
      </c>
      <c r="C464" t="s">
        <v>235</v>
      </c>
      <c r="D464" t="s">
        <v>130</v>
      </c>
    </row>
    <row r="465" spans="2:4" hidden="1" x14ac:dyDescent="0.25">
      <c r="B465" s="38" t="s">
        <v>159</v>
      </c>
      <c r="C465" t="s">
        <v>236</v>
      </c>
      <c r="D465" t="s">
        <v>130</v>
      </c>
    </row>
    <row r="466" spans="2:4" hidden="1" x14ac:dyDescent="0.25">
      <c r="B466" s="38" t="s">
        <v>160</v>
      </c>
      <c r="C466" t="s">
        <v>237</v>
      </c>
      <c r="D466" t="s">
        <v>130</v>
      </c>
    </row>
    <row r="467" spans="2:4" hidden="1" x14ac:dyDescent="0.25">
      <c r="B467" s="38" t="s">
        <v>161</v>
      </c>
      <c r="C467" t="s">
        <v>238</v>
      </c>
      <c r="D467" t="s">
        <v>130</v>
      </c>
    </row>
    <row r="468" spans="2:4" hidden="1" x14ac:dyDescent="0.25">
      <c r="B468" s="38" t="s">
        <v>162</v>
      </c>
      <c r="C468" t="s">
        <v>239</v>
      </c>
      <c r="D468" t="s">
        <v>130</v>
      </c>
    </row>
    <row r="469" spans="2:4" hidden="1" x14ac:dyDescent="0.25">
      <c r="B469" s="40" t="s">
        <v>163</v>
      </c>
      <c r="C469" t="s">
        <v>240</v>
      </c>
      <c r="D469" t="s">
        <v>130</v>
      </c>
    </row>
    <row r="470" spans="2:4" hidden="1" x14ac:dyDescent="0.25">
      <c r="B470" s="40" t="s">
        <v>164</v>
      </c>
      <c r="C470" t="s">
        <v>241</v>
      </c>
      <c r="D470" t="s">
        <v>130</v>
      </c>
    </row>
    <row r="471" spans="2:4" hidden="1" x14ac:dyDescent="0.25">
      <c r="B471" s="38" t="s">
        <v>43</v>
      </c>
      <c r="C471" t="s">
        <v>242</v>
      </c>
      <c r="D471" t="s">
        <v>130</v>
      </c>
    </row>
    <row r="472" spans="2:4" hidden="1" x14ac:dyDescent="0.25">
      <c r="B472" s="40" t="s">
        <v>165</v>
      </c>
      <c r="C472" t="s">
        <v>243</v>
      </c>
      <c r="D472" t="s">
        <v>130</v>
      </c>
    </row>
    <row r="473" spans="2:4" hidden="1" x14ac:dyDescent="0.25">
      <c r="B473" s="40" t="s">
        <v>166</v>
      </c>
      <c r="C473" t="s">
        <v>244</v>
      </c>
      <c r="D473" t="s">
        <v>130</v>
      </c>
    </row>
    <row r="474" spans="2:4" hidden="1" x14ac:dyDescent="0.25">
      <c r="B474" s="38" t="s">
        <v>44</v>
      </c>
      <c r="C474" t="s">
        <v>245</v>
      </c>
      <c r="D474" t="s">
        <v>130</v>
      </c>
    </row>
    <row r="475" spans="2:4" hidden="1" x14ac:dyDescent="0.25">
      <c r="B475" s="40" t="s">
        <v>45</v>
      </c>
      <c r="C475" t="s">
        <v>246</v>
      </c>
      <c r="D475" t="s">
        <v>130</v>
      </c>
    </row>
    <row r="476" spans="2:4" hidden="1" x14ac:dyDescent="0.25">
      <c r="B476" s="38" t="s">
        <v>59</v>
      </c>
      <c r="C476" t="s">
        <v>222</v>
      </c>
      <c r="D476" t="s">
        <v>57</v>
      </c>
    </row>
    <row r="477" spans="2:4" hidden="1" x14ac:dyDescent="0.25">
      <c r="B477" s="38" t="s">
        <v>58</v>
      </c>
      <c r="C477" t="s">
        <v>223</v>
      </c>
      <c r="D477" t="s">
        <v>57</v>
      </c>
    </row>
    <row r="478" spans="2:4" hidden="1" x14ac:dyDescent="0.25">
      <c r="B478" s="38" t="s">
        <v>154</v>
      </c>
      <c r="C478" t="s">
        <v>224</v>
      </c>
      <c r="D478" t="s">
        <v>57</v>
      </c>
    </row>
    <row r="479" spans="2:4" hidden="1" x14ac:dyDescent="0.25">
      <c r="B479" s="38" t="s">
        <v>155</v>
      </c>
      <c r="C479" t="s">
        <v>225</v>
      </c>
      <c r="D479" t="s">
        <v>57</v>
      </c>
    </row>
    <row r="480" spans="2:4" hidden="1" x14ac:dyDescent="0.25">
      <c r="B480" s="38" t="s">
        <v>60</v>
      </c>
      <c r="C480" t="s">
        <v>226</v>
      </c>
      <c r="D480" t="s">
        <v>57</v>
      </c>
    </row>
  </sheetData>
  <mergeCells count="20">
    <mergeCell ref="AF18:AI18"/>
    <mergeCell ref="AF27:AI27"/>
    <mergeCell ref="AF37:AI37"/>
    <mergeCell ref="T18:Y18"/>
    <mergeCell ref="T27:Y27"/>
    <mergeCell ref="Z18:AE18"/>
    <mergeCell ref="Z27:AE27"/>
    <mergeCell ref="T37:Y37"/>
    <mergeCell ref="Z37:AE37"/>
    <mergeCell ref="H18:M18"/>
    <mergeCell ref="H27:M27"/>
    <mergeCell ref="H37:M37"/>
    <mergeCell ref="N18:S18"/>
    <mergeCell ref="N27:S27"/>
    <mergeCell ref="N37:S37"/>
    <mergeCell ref="H8:M8"/>
    <mergeCell ref="N8:S8"/>
    <mergeCell ref="T8:Y8"/>
    <mergeCell ref="Z8:AE8"/>
    <mergeCell ref="AF8:AI8"/>
  </mergeCells>
  <dataValidations count="2">
    <dataValidation type="list" allowBlank="1" showInputMessage="1" showErrorMessage="1" sqref="C11:C17 C30:C36 C21:C26 C40:C45">
      <formula1>INDIRECT(D11)</formula1>
    </dataValidation>
    <dataValidation type="list" allowBlank="1" showInputMessage="1" showErrorMessage="1" sqref="S21:T26 AE11:AE17 M30:M36 Y30:Y36 S30:T36 Y11:Y17 M40:M45 Y21:Y26 S11:T17 S40:T45 Y40:Y45 AE21:AE26">
      <formula1>$C$66:$C$68</formula1>
    </dataValidation>
  </dataValidations>
  <hyperlinks>
    <hyperlink ref="B210" r:id="rId1"/>
    <hyperlink ref="B159" r:id="rId2"/>
    <hyperlink ref="B157" r:id="rId3"/>
    <hyperlink ref="B156" r:id="rId4"/>
    <hyperlink ref="B153" r:id="rId5"/>
    <hyperlink ref="B154" r:id="rId6"/>
    <hyperlink ref="B97" r:id="rId7"/>
    <hyperlink ref="B78" r:id="rId8"/>
    <hyperlink ref="B77" r:id="rId9"/>
    <hyperlink ref="B75" r:id="rId10"/>
    <hyperlink ref="B76" r:id="rId11"/>
    <hyperlink ref="B79" r:id="rId12"/>
    <hyperlink ref="B80" r:id="rId13"/>
    <hyperlink ref="B74" r:id="rId14"/>
    <hyperlink ref="B85" r:id="rId15"/>
    <hyperlink ref="B83" r:id="rId16"/>
    <hyperlink ref="B84" r:id="rId17"/>
    <hyperlink ref="B86" r:id="rId18"/>
    <hyperlink ref="B89" r:id="rId19"/>
    <hyperlink ref="B90" r:id="rId20"/>
    <hyperlink ref="B92" r:id="rId21"/>
    <hyperlink ref="B91" r:id="rId22"/>
    <hyperlink ref="B93" r:id="rId23"/>
    <hyperlink ref="B94" r:id="rId24"/>
    <hyperlink ref="B95" r:id="rId25"/>
    <hyperlink ref="B96" r:id="rId26"/>
    <hyperlink ref="B99" r:id="rId27"/>
    <hyperlink ref="B98" r:id="rId28"/>
    <hyperlink ref="B108" r:id="rId29"/>
    <hyperlink ref="B111" r:id="rId30"/>
    <hyperlink ref="B112" r:id="rId31"/>
    <hyperlink ref="B110" r:id="rId32"/>
    <hyperlink ref="B109" r:id="rId33"/>
    <hyperlink ref="B104" r:id="rId34"/>
    <hyperlink ref="B105" r:id="rId35"/>
    <hyperlink ref="B103" r:id="rId36"/>
    <hyperlink ref="B102" r:id="rId37"/>
    <hyperlink ref="B139" r:id="rId38"/>
    <hyperlink ref="B138" r:id="rId39"/>
    <hyperlink ref="B141" r:id="rId40"/>
    <hyperlink ref="B144" r:id="rId41"/>
    <hyperlink ref="B151" r:id="rId42"/>
    <hyperlink ref="B148" r:id="rId43"/>
    <hyperlink ref="B149" r:id="rId44"/>
    <hyperlink ref="B150" r:id="rId45"/>
    <hyperlink ref="B158" r:id="rId46"/>
    <hyperlink ref="B152" r:id="rId47"/>
    <hyperlink ref="B155" r:id="rId48"/>
    <hyperlink ref="B142" r:id="rId49"/>
    <hyperlink ref="B140" r:id="rId50"/>
    <hyperlink ref="B116" r:id="rId51"/>
    <hyperlink ref="B115" r:id="rId52"/>
    <hyperlink ref="B117" r:id="rId53"/>
    <hyperlink ref="B143" r:id="rId54"/>
    <hyperlink ref="B118" r:id="rId55"/>
    <hyperlink ref="B145" r:id="rId56"/>
    <hyperlink ref="B162" r:id="rId57"/>
    <hyperlink ref="B167" r:id="rId58"/>
    <hyperlink ref="B168" r:id="rId59"/>
    <hyperlink ref="B164" r:id="rId60"/>
    <hyperlink ref="B173" r:id="rId61"/>
    <hyperlink ref="B163" r:id="rId62"/>
    <hyperlink ref="B174" r:id="rId63"/>
    <hyperlink ref="B181" r:id="rId64"/>
    <hyperlink ref="B177" r:id="rId65"/>
    <hyperlink ref="B175" r:id="rId66"/>
    <hyperlink ref="B176" r:id="rId67"/>
    <hyperlink ref="B165" r:id="rId68"/>
    <hyperlink ref="B166" r:id="rId69"/>
    <hyperlink ref="B171" r:id="rId70"/>
    <hyperlink ref="B172" r:id="rId71"/>
    <hyperlink ref="B182" r:id="rId72"/>
    <hyperlink ref="B183" r:id="rId73"/>
    <hyperlink ref="B184" r:id="rId74"/>
    <hyperlink ref="B178" r:id="rId75"/>
    <hyperlink ref="B188" r:id="rId76"/>
    <hyperlink ref="B187" r:id="rId77"/>
    <hyperlink ref="B189" r:id="rId78"/>
    <hyperlink ref="B201" r:id="rId79"/>
    <hyperlink ref="B204" r:id="rId80"/>
    <hyperlink ref="B202" r:id="rId81"/>
    <hyperlink ref="B214" r:id="rId82"/>
    <hyperlink ref="B211" r:id="rId83"/>
    <hyperlink ref="B218" r:id="rId84"/>
    <hyperlink ref="B223" r:id="rId85"/>
    <hyperlink ref="B206" r:id="rId86"/>
    <hyperlink ref="B207" r:id="rId87"/>
    <hyperlink ref="B212" r:id="rId88"/>
    <hyperlink ref="B213" r:id="rId89"/>
    <hyperlink ref="B221" r:id="rId90"/>
    <hyperlink ref="B203" r:id="rId91"/>
    <hyperlink ref="B193" r:id="rId92"/>
    <hyperlink ref="B192" r:id="rId93"/>
    <hyperlink ref="B196" r:id="rId94"/>
    <hyperlink ref="B194" r:id="rId95"/>
    <hyperlink ref="B195" r:id="rId96"/>
    <hyperlink ref="B197" r:id="rId97"/>
    <hyperlink ref="B198" r:id="rId98"/>
    <hyperlink ref="B123" r:id="rId99"/>
    <hyperlink ref="B124" r:id="rId100"/>
    <hyperlink ref="B219" r:id="rId101"/>
    <hyperlink ref="B220" r:id="rId102"/>
    <hyperlink ref="B205" r:id="rId103"/>
    <hyperlink ref="B222" r:id="rId104"/>
    <hyperlink ref="B215" r:id="rId105"/>
    <hyperlink ref="B126" r:id="rId106"/>
    <hyperlink ref="B127" r:id="rId107"/>
    <hyperlink ref="B128" r:id="rId108"/>
    <hyperlink ref="B121" r:id="rId109"/>
    <hyperlink ref="B125" r:id="rId110"/>
    <hyperlink ref="B135" r:id="rId111"/>
    <hyperlink ref="B131" r:id="rId112"/>
    <hyperlink ref="B132" r:id="rId113"/>
    <hyperlink ref="B133" r:id="rId114"/>
    <hyperlink ref="B134" r:id="rId115"/>
    <hyperlink ref="B122" r:id="rId116"/>
    <hyperlink ref="B231" r:id="rId117"/>
    <hyperlink ref="B233" r:id="rId118"/>
    <hyperlink ref="B237" r:id="rId119"/>
    <hyperlink ref="B238" r:id="rId120"/>
    <hyperlink ref="B239" r:id="rId121"/>
    <hyperlink ref="B227" r:id="rId122"/>
    <hyperlink ref="B235" r:id="rId123"/>
    <hyperlink ref="B236" r:id="rId124"/>
    <hyperlink ref="B228" r:id="rId125"/>
    <hyperlink ref="B230" r:id="rId126"/>
    <hyperlink ref="B232" r:id="rId127"/>
    <hyperlink ref="B234" r:id="rId128"/>
    <hyperlink ref="B229" r:id="rId129"/>
    <hyperlink ref="B241" r:id="rId130"/>
    <hyperlink ref="B249" r:id="rId131"/>
    <hyperlink ref="B243" r:id="rId132"/>
    <hyperlink ref="B245" r:id="rId133"/>
    <hyperlink ref="B247" r:id="rId134"/>
    <hyperlink ref="B251" r:id="rId135"/>
    <hyperlink ref="B242" r:id="rId136"/>
    <hyperlink ref="B252" r:id="rId137"/>
    <hyperlink ref="B248" r:id="rId138"/>
    <hyperlink ref="B244" r:id="rId139"/>
    <hyperlink ref="B246" r:id="rId140"/>
    <hyperlink ref="B250" r:id="rId141"/>
    <hyperlink ref="B263" r:id="rId142"/>
    <hyperlink ref="B267" r:id="rId143"/>
    <hyperlink ref="B271" r:id="rId144"/>
    <hyperlink ref="B272" r:id="rId145"/>
    <hyperlink ref="B273" r:id="rId146"/>
    <hyperlink ref="B255" r:id="rId147"/>
    <hyperlink ref="B269" r:id="rId148"/>
    <hyperlink ref="B270" r:id="rId149"/>
    <hyperlink ref="B257" r:id="rId150"/>
    <hyperlink ref="B261" r:id="rId151"/>
    <hyperlink ref="B265" r:id="rId152"/>
    <hyperlink ref="B268" r:id="rId153"/>
    <hyperlink ref="B259" r:id="rId154"/>
    <hyperlink ref="B256" r:id="rId155"/>
    <hyperlink ref="B254" r:id="rId156"/>
    <hyperlink ref="B262" r:id="rId157"/>
    <hyperlink ref="B258" r:id="rId158"/>
    <hyperlink ref="B260" r:id="rId159"/>
    <hyperlink ref="B264" r:id="rId160"/>
    <hyperlink ref="B266" r:id="rId161"/>
    <hyperlink ref="B277" r:id="rId162"/>
    <hyperlink ref="B283" r:id="rId163"/>
    <hyperlink ref="B284" r:id="rId164"/>
    <hyperlink ref="B281" r:id="rId165"/>
    <hyperlink ref="B279" r:id="rId166"/>
    <hyperlink ref="B280" r:id="rId167"/>
    <hyperlink ref="B282" r:id="rId168"/>
    <hyperlink ref="B278" r:id="rId169"/>
    <hyperlink ref="B276" r:id="rId170"/>
    <hyperlink ref="C210" r:id="rId171"/>
    <hyperlink ref="C159" r:id="rId172"/>
    <hyperlink ref="C157" r:id="rId173"/>
    <hyperlink ref="C156" r:id="rId174"/>
    <hyperlink ref="C153" r:id="rId175"/>
    <hyperlink ref="C154" r:id="rId176"/>
    <hyperlink ref="C97" r:id="rId177"/>
    <hyperlink ref="C78" r:id="rId178"/>
    <hyperlink ref="C241" r:id="rId179"/>
  </hyperlinks>
  <pageMargins left="0.7" right="0.7" top="0.75" bottom="0.75" header="0.3" footer="0.3"/>
  <pageSetup scale="34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3"/>
  <sheetViews>
    <sheetView showGridLines="0" workbookViewId="0">
      <selection activeCell="B28" sqref="B28"/>
    </sheetView>
  </sheetViews>
  <sheetFormatPr defaultRowHeight="15" x14ac:dyDescent="0.25"/>
  <cols>
    <col min="1" max="1" width="24.5703125" bestFit="1" customWidth="1"/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10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0.7109375" bestFit="1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0.7109375" bestFit="1" customWidth="1"/>
    <col min="21" max="21" width="9.2851562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0.7109375" bestFit="1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0.7109375" bestFit="1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1:35" ht="19.5" thickBot="1" x14ac:dyDescent="0.35">
      <c r="C1" s="32" t="s">
        <v>87</v>
      </c>
      <c r="D1" s="42"/>
      <c r="E1" s="25"/>
      <c r="F1" s="30" t="s">
        <v>97</v>
      </c>
      <c r="G1" s="31" t="s">
        <v>100</v>
      </c>
      <c r="H1" s="33" t="s">
        <v>89</v>
      </c>
      <c r="I1" s="7" t="s">
        <v>92</v>
      </c>
      <c r="J1" s="9"/>
      <c r="K1" s="9"/>
      <c r="L1" s="9"/>
      <c r="M1" s="9"/>
      <c r="N1" s="9"/>
      <c r="O1" s="9"/>
      <c r="P1" s="9"/>
      <c r="Q1" s="9"/>
      <c r="R1" s="9"/>
      <c r="S1" s="9"/>
      <c r="T1" s="13"/>
      <c r="U1" s="20" t="s">
        <v>93</v>
      </c>
      <c r="V1" s="19"/>
      <c r="W1" s="21"/>
      <c r="X1" s="21"/>
      <c r="Y1" s="21"/>
      <c r="Z1" s="21"/>
      <c r="AA1" s="15"/>
      <c r="AB1" s="15"/>
      <c r="AC1" s="15"/>
      <c r="AD1" s="15"/>
      <c r="AE1" s="15"/>
      <c r="AF1" s="15"/>
      <c r="AG1" s="11"/>
      <c r="AH1" s="1"/>
    </row>
    <row r="2" spans="1:35" ht="19.5" thickBot="1" x14ac:dyDescent="0.35">
      <c r="F2" s="26" t="s">
        <v>95</v>
      </c>
      <c r="G2" s="28" t="s">
        <v>98</v>
      </c>
      <c r="H2" s="34" t="s">
        <v>90</v>
      </c>
      <c r="I2" s="16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3" t="s">
        <v>94</v>
      </c>
      <c r="V2" s="24"/>
      <c r="W2" s="22"/>
      <c r="X2" s="22"/>
      <c r="Y2" s="22"/>
      <c r="Z2" s="6"/>
      <c r="AA2" s="4"/>
      <c r="AB2" s="4"/>
      <c r="AC2" s="4"/>
    </row>
    <row r="3" spans="1:35" ht="19.5" thickBot="1" x14ac:dyDescent="0.3">
      <c r="C3" t="s">
        <v>0</v>
      </c>
      <c r="F3" s="27" t="s">
        <v>96</v>
      </c>
      <c r="G3" s="29" t="s">
        <v>99</v>
      </c>
      <c r="H3" s="35" t="s">
        <v>91</v>
      </c>
      <c r="I3" s="16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5.75" thickBot="1" x14ac:dyDescent="0.3">
      <c r="G4" t="s">
        <v>0</v>
      </c>
      <c r="I4" s="17" t="s">
        <v>82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0"/>
      <c r="U4" s="4"/>
      <c r="V4" s="4"/>
      <c r="W4" s="4"/>
      <c r="X4" s="4"/>
      <c r="Y4" s="4"/>
      <c r="Z4" s="4"/>
      <c r="AA4" s="4"/>
      <c r="AB4" s="4"/>
      <c r="AC4" s="4"/>
    </row>
    <row r="7" spans="1:35" ht="15.75" thickBot="1" x14ac:dyDescent="0.3"/>
    <row r="8" spans="1:35" ht="19.5" thickBot="1" x14ac:dyDescent="0.3">
      <c r="G8" s="5" t="s">
        <v>101</v>
      </c>
      <c r="H8" s="154" t="s">
        <v>1</v>
      </c>
      <c r="I8" s="155"/>
      <c r="J8" s="155"/>
      <c r="K8" s="155"/>
      <c r="L8" s="155"/>
      <c r="M8" s="156"/>
      <c r="N8" s="157" t="s">
        <v>2</v>
      </c>
      <c r="O8" s="158"/>
      <c r="P8" s="158"/>
      <c r="Q8" s="158"/>
      <c r="R8" s="158"/>
      <c r="S8" s="159"/>
      <c r="T8" s="160" t="s">
        <v>3</v>
      </c>
      <c r="U8" s="161"/>
      <c r="V8" s="161"/>
      <c r="W8" s="161"/>
      <c r="X8" s="161"/>
      <c r="Y8" s="162"/>
      <c r="Z8" s="163" t="s">
        <v>4</v>
      </c>
      <c r="AA8" s="164"/>
      <c r="AB8" s="164"/>
      <c r="AC8" s="164"/>
      <c r="AD8" s="164"/>
      <c r="AE8" s="165"/>
      <c r="AF8" s="166" t="s">
        <v>5</v>
      </c>
      <c r="AG8" s="167"/>
      <c r="AH8" s="167"/>
      <c r="AI8" s="168"/>
    </row>
    <row r="9" spans="1:35" ht="15.75" thickBot="1" x14ac:dyDescent="0.3">
      <c r="B9" s="38"/>
      <c r="C9" s="38" t="s">
        <v>16</v>
      </c>
      <c r="D9" s="38"/>
      <c r="E9" s="38"/>
      <c r="F9" s="38"/>
      <c r="G9" s="69" t="s">
        <v>102</v>
      </c>
      <c r="H9" s="91" t="s">
        <v>88</v>
      </c>
      <c r="I9" s="92" t="s">
        <v>6</v>
      </c>
      <c r="J9" s="93" t="s">
        <v>7</v>
      </c>
      <c r="K9" s="94" t="s">
        <v>8</v>
      </c>
      <c r="L9" s="94" t="s">
        <v>9</v>
      </c>
      <c r="M9" s="95" t="s">
        <v>10</v>
      </c>
      <c r="N9" s="96" t="s">
        <v>88</v>
      </c>
      <c r="O9" s="96" t="s">
        <v>6</v>
      </c>
      <c r="P9" s="93" t="s">
        <v>7</v>
      </c>
      <c r="Q9" s="94" t="s">
        <v>8</v>
      </c>
      <c r="R9" s="94" t="s">
        <v>9</v>
      </c>
      <c r="S9" s="95" t="s">
        <v>10</v>
      </c>
      <c r="T9" s="96" t="s">
        <v>88</v>
      </c>
      <c r="U9" s="96" t="s">
        <v>6</v>
      </c>
      <c r="V9" s="93" t="s">
        <v>7</v>
      </c>
      <c r="W9" s="94" t="s">
        <v>8</v>
      </c>
      <c r="X9" s="94" t="s">
        <v>9</v>
      </c>
      <c r="Y9" s="95" t="s">
        <v>10</v>
      </c>
      <c r="Z9" s="96" t="s">
        <v>88</v>
      </c>
      <c r="AA9" s="96" t="s">
        <v>6</v>
      </c>
      <c r="AB9" s="93" t="s">
        <v>7</v>
      </c>
      <c r="AC9" s="94" t="s">
        <v>8</v>
      </c>
      <c r="AD9" s="94" t="s">
        <v>9</v>
      </c>
      <c r="AE9" s="95" t="s">
        <v>10</v>
      </c>
      <c r="AF9" s="96" t="s">
        <v>88</v>
      </c>
      <c r="AG9" s="96" t="s">
        <v>6</v>
      </c>
      <c r="AH9" s="93" t="s">
        <v>7</v>
      </c>
      <c r="AI9" s="97" t="s">
        <v>8</v>
      </c>
    </row>
    <row r="10" spans="1:35" ht="15.75" thickBot="1" x14ac:dyDescent="0.3">
      <c r="B10" s="77" t="s">
        <v>338</v>
      </c>
      <c r="C10" s="81" t="s">
        <v>85</v>
      </c>
      <c r="D10" s="63"/>
      <c r="E10" s="63"/>
      <c r="F10" s="81" t="s">
        <v>347</v>
      </c>
      <c r="G10" s="81" t="s">
        <v>348</v>
      </c>
      <c r="H10" s="94" t="s">
        <v>85</v>
      </c>
      <c r="I10" s="70"/>
      <c r="J10" s="70"/>
      <c r="K10" s="70"/>
      <c r="L10" s="70"/>
      <c r="M10" s="67"/>
      <c r="N10" s="91" t="s">
        <v>85</v>
      </c>
      <c r="O10" s="70"/>
      <c r="P10" s="70"/>
      <c r="Q10" s="70"/>
      <c r="R10" s="70"/>
      <c r="S10" s="67"/>
      <c r="T10" s="91" t="s">
        <v>85</v>
      </c>
      <c r="U10" s="70"/>
      <c r="V10" s="70"/>
      <c r="W10" s="70"/>
      <c r="X10" s="70"/>
      <c r="Y10" s="67"/>
      <c r="Z10" s="91" t="s">
        <v>85</v>
      </c>
      <c r="AA10" s="70"/>
      <c r="AB10" s="70"/>
      <c r="AC10" s="70"/>
      <c r="AD10" s="70"/>
      <c r="AE10" s="70"/>
      <c r="AF10" s="91" t="s">
        <v>85</v>
      </c>
      <c r="AG10" s="70"/>
      <c r="AH10" s="70"/>
      <c r="AI10" s="67"/>
    </row>
    <row r="11" spans="1:35" ht="15.75" thickBot="1" x14ac:dyDescent="0.3">
      <c r="B11" s="116" t="s">
        <v>143</v>
      </c>
      <c r="C11" s="120"/>
      <c r="D11" s="113" t="str">
        <f t="array" ref="D11">INDEX(Table_Name28[Name List],MATCH(B11,Table_Name28[Category],0))</f>
        <v>Incline_Push[Exercise]</v>
      </c>
      <c r="E11" s="109" t="e">
        <f t="array" ref="E11">INDEX(Links49[Link],MATCH(C11,Links49[Exercise],0))</f>
        <v>#N/A</v>
      </c>
      <c r="F11" s="123" t="e">
        <f t="shared" ref="F11:F18" si="0">HYPERLINK(E11,"Video")</f>
        <v>#N/A</v>
      </c>
      <c r="G11" s="126"/>
      <c r="H11" s="98">
        <f t="shared" ref="H11:H18" si="1">C11</f>
        <v>0</v>
      </c>
      <c r="I11" s="99">
        <v>4</v>
      </c>
      <c r="J11" s="99">
        <f>MROUND(((G11)*0.75),5)</f>
        <v>0</v>
      </c>
      <c r="K11" s="99" t="s">
        <v>11</v>
      </c>
      <c r="L11" s="99"/>
      <c r="M11" s="69"/>
      <c r="N11" s="100">
        <f t="shared" ref="N11:N18" si="2">C11</f>
        <v>0</v>
      </c>
      <c r="O11" s="99">
        <f>I11+(M37)</f>
        <v>4</v>
      </c>
      <c r="P11" s="99">
        <f t="shared" ref="P11:P18" si="3">MROUND((J11*1.05),5)</f>
        <v>0</v>
      </c>
      <c r="Q11" s="99" t="s">
        <v>11</v>
      </c>
      <c r="R11" s="99"/>
      <c r="S11" s="134"/>
      <c r="T11" s="59">
        <f t="shared" ref="T11:T18" si="4">C11</f>
        <v>0</v>
      </c>
      <c r="U11" s="99">
        <f>O11+(S37)</f>
        <v>4</v>
      </c>
      <c r="V11" s="99">
        <f t="shared" ref="V11:V18" si="5">MROUND((J11*1.075),5)</f>
        <v>0</v>
      </c>
      <c r="W11" s="99" t="s">
        <v>12</v>
      </c>
      <c r="X11" s="99"/>
      <c r="Y11" s="134"/>
      <c r="Z11" s="100">
        <f t="shared" ref="Z11:Z18" si="6">C11</f>
        <v>0</v>
      </c>
      <c r="AA11" s="99">
        <f>U11+(Y37)</f>
        <v>4</v>
      </c>
      <c r="AB11" s="99">
        <f t="shared" ref="AB11:AB18" si="7">MROUND((J11*1.1),5)</f>
        <v>0</v>
      </c>
      <c r="AC11" s="99" t="s">
        <v>13</v>
      </c>
      <c r="AD11" s="99"/>
      <c r="AE11" s="134"/>
      <c r="AF11" s="100">
        <f t="shared" ref="AF11:AF18" si="8">C11</f>
        <v>0</v>
      </c>
      <c r="AG11" s="99">
        <v>2</v>
      </c>
      <c r="AH11" s="102">
        <f>J11</f>
        <v>0</v>
      </c>
      <c r="AI11" s="69" t="s">
        <v>14</v>
      </c>
    </row>
    <row r="12" spans="1:35" ht="15.75" thickBot="1" x14ac:dyDescent="0.3">
      <c r="A12" s="61" t="s">
        <v>344</v>
      </c>
      <c r="B12" s="117" t="s">
        <v>175</v>
      </c>
      <c r="C12" s="121"/>
      <c r="D12" s="114" t="str">
        <f t="array" ref="D12">INDEX(Table_Name28[Name List],MATCH(B12,Table_Name28[Category],0))</f>
        <v>Chest_Isolation_or_Triceps[Exercise]</v>
      </c>
      <c r="E12" s="110" t="e">
        <f t="array" ref="E12">INDEX(Links49[Link],MATCH(C12,Links49[Exercise],0))</f>
        <v>#N/A</v>
      </c>
      <c r="F12" s="124" t="e">
        <f t="shared" si="0"/>
        <v>#N/A</v>
      </c>
      <c r="G12" s="127"/>
      <c r="H12" s="135">
        <f t="shared" si="1"/>
        <v>0</v>
      </c>
      <c r="I12" s="136">
        <v>4</v>
      </c>
      <c r="J12" s="136">
        <f>MROUND(((G12)*0.75),5)</f>
        <v>0</v>
      </c>
      <c r="K12" s="136" t="s">
        <v>11</v>
      </c>
      <c r="L12" s="136"/>
      <c r="M12" s="137"/>
      <c r="N12" s="138">
        <f t="shared" si="2"/>
        <v>0</v>
      </c>
      <c r="O12" s="136">
        <f>I12+(M36)</f>
        <v>4</v>
      </c>
      <c r="P12" s="136">
        <f t="shared" si="3"/>
        <v>0</v>
      </c>
      <c r="Q12" s="136" t="s">
        <v>11</v>
      </c>
      <c r="R12" s="136"/>
      <c r="S12" s="139"/>
      <c r="T12" s="140">
        <f t="shared" si="4"/>
        <v>0</v>
      </c>
      <c r="U12" s="136">
        <f>O12+(S36)</f>
        <v>4</v>
      </c>
      <c r="V12" s="136">
        <f t="shared" si="5"/>
        <v>0</v>
      </c>
      <c r="W12" s="136" t="s">
        <v>12</v>
      </c>
      <c r="X12" s="136"/>
      <c r="Y12" s="139"/>
      <c r="Z12" s="138">
        <f t="shared" si="6"/>
        <v>0</v>
      </c>
      <c r="AA12" s="136">
        <f>U12+(Y36)</f>
        <v>4</v>
      </c>
      <c r="AB12" s="136">
        <f t="shared" si="7"/>
        <v>0</v>
      </c>
      <c r="AC12" s="136" t="s">
        <v>13</v>
      </c>
      <c r="AD12" s="136"/>
      <c r="AE12" s="141"/>
      <c r="AF12" s="98">
        <f t="shared" si="8"/>
        <v>0</v>
      </c>
      <c r="AG12" s="99">
        <v>2</v>
      </c>
      <c r="AH12" s="102">
        <f t="shared" ref="AH12:AH18" si="9">J12</f>
        <v>0</v>
      </c>
      <c r="AI12" s="69" t="s">
        <v>14</v>
      </c>
    </row>
    <row r="13" spans="1:35" ht="15.75" thickBot="1" x14ac:dyDescent="0.3">
      <c r="A13" s="61" t="s">
        <v>345</v>
      </c>
      <c r="B13" s="118" t="s">
        <v>22</v>
      </c>
      <c r="C13" s="122"/>
      <c r="D13" s="115" t="str">
        <f t="array" ref="D13">INDEX(Table_Name28[Name List],MATCH(B13,Table_Name28[Category],0))</f>
        <v>Horizontal_Push[Exercise]</v>
      </c>
      <c r="E13" s="111" t="e">
        <f t="array" ref="E13">INDEX(Links49[Link],MATCH(C13,Links49[Exercise],0))</f>
        <v>#N/A</v>
      </c>
      <c r="F13" s="125" t="e">
        <f t="shared" ref="F13" si="10">HYPERLINK(E13,"Video")</f>
        <v>#N/A</v>
      </c>
      <c r="G13" s="128"/>
      <c r="H13" s="142">
        <f t="shared" ref="H13" si="11">C13</f>
        <v>0</v>
      </c>
      <c r="I13" s="143">
        <v>4</v>
      </c>
      <c r="J13" s="143">
        <f>MROUND(((G13)*0.6),5)</f>
        <v>0</v>
      </c>
      <c r="K13" s="143" t="s">
        <v>11</v>
      </c>
      <c r="L13" s="143"/>
      <c r="M13" s="144"/>
      <c r="N13" s="145">
        <f t="shared" ref="N13" si="12">C13</f>
        <v>0</v>
      </c>
      <c r="O13" s="143">
        <f>I12+(M36)</f>
        <v>4</v>
      </c>
      <c r="P13" s="143">
        <f t="shared" ref="P13" si="13">MROUND((J13*1.05),5)</f>
        <v>0</v>
      </c>
      <c r="Q13" s="143" t="s">
        <v>11</v>
      </c>
      <c r="R13" s="143"/>
      <c r="S13" s="146"/>
      <c r="T13" s="147">
        <f t="shared" ref="T13" si="14">C13</f>
        <v>0</v>
      </c>
      <c r="U13" s="143">
        <f>O12+(S36)</f>
        <v>4</v>
      </c>
      <c r="V13" s="143">
        <f t="shared" ref="V13" si="15">MROUND((J13*1.075),5)</f>
        <v>0</v>
      </c>
      <c r="W13" s="143" t="s">
        <v>12</v>
      </c>
      <c r="X13" s="143"/>
      <c r="Y13" s="146"/>
      <c r="Z13" s="145">
        <f t="shared" ref="Z13" si="16">C13</f>
        <v>0</v>
      </c>
      <c r="AA13" s="143">
        <f>U12+(Y36)</f>
        <v>4</v>
      </c>
      <c r="AB13" s="143">
        <f t="shared" ref="AB13" si="17">MROUND((J13*1.1),5)</f>
        <v>0</v>
      </c>
      <c r="AC13" s="143" t="s">
        <v>13</v>
      </c>
      <c r="AD13" s="143"/>
      <c r="AE13" s="148"/>
      <c r="AF13" s="98"/>
      <c r="AG13" s="99"/>
      <c r="AH13" s="102"/>
      <c r="AI13" s="69"/>
    </row>
    <row r="14" spans="1:35" ht="15.75" thickBot="1" x14ac:dyDescent="0.3">
      <c r="B14" s="119" t="s">
        <v>22</v>
      </c>
      <c r="C14" s="82"/>
      <c r="D14" s="74" t="str">
        <f t="array" ref="D14">INDEX(Table_Name28[Name List],MATCH(B14,Table_Name28[Category],0))</f>
        <v>Horizontal_Push[Exercise]</v>
      </c>
      <c r="E14" s="64" t="e">
        <f t="array" ref="E14">INDEX(Links49[Link],MATCH(C14,Links49[Exercise],0))</f>
        <v>#N/A</v>
      </c>
      <c r="F14" s="85" t="e">
        <f t="shared" si="0"/>
        <v>#N/A</v>
      </c>
      <c r="G14" s="88"/>
      <c r="H14" s="98">
        <f t="shared" si="1"/>
        <v>0</v>
      </c>
      <c r="I14" s="99">
        <v>4</v>
      </c>
      <c r="J14" s="99">
        <f>MROUND(((G14)*0.75),5)</f>
        <v>0</v>
      </c>
      <c r="K14" s="99" t="s">
        <v>11</v>
      </c>
      <c r="L14" s="99"/>
      <c r="M14" s="69"/>
      <c r="N14" s="100">
        <f t="shared" si="2"/>
        <v>0</v>
      </c>
      <c r="O14" s="99">
        <f>I14+(M36)</f>
        <v>4</v>
      </c>
      <c r="P14" s="99">
        <f t="shared" si="3"/>
        <v>0</v>
      </c>
      <c r="Q14" s="99" t="s">
        <v>11</v>
      </c>
      <c r="R14" s="99"/>
      <c r="S14" s="149"/>
      <c r="T14" s="59">
        <f t="shared" si="4"/>
        <v>0</v>
      </c>
      <c r="U14" s="99">
        <f>O14+(S36)</f>
        <v>4</v>
      </c>
      <c r="V14" s="99">
        <f t="shared" si="5"/>
        <v>0</v>
      </c>
      <c r="W14" s="99" t="s">
        <v>12</v>
      </c>
      <c r="X14" s="99"/>
      <c r="Y14" s="149"/>
      <c r="Z14" s="100">
        <f t="shared" si="6"/>
        <v>0</v>
      </c>
      <c r="AA14" s="99">
        <f>U14+(Y36)</f>
        <v>4</v>
      </c>
      <c r="AB14" s="99">
        <f t="shared" si="7"/>
        <v>0</v>
      </c>
      <c r="AC14" s="99" t="s">
        <v>13</v>
      </c>
      <c r="AD14" s="99"/>
      <c r="AE14" s="149"/>
      <c r="AF14" s="100">
        <f t="shared" si="8"/>
        <v>0</v>
      </c>
      <c r="AG14" s="99">
        <v>2</v>
      </c>
      <c r="AH14" s="102">
        <f t="shared" si="9"/>
        <v>0</v>
      </c>
      <c r="AI14" s="69" t="s">
        <v>14</v>
      </c>
    </row>
    <row r="15" spans="1:35" ht="15.75" thickBot="1" x14ac:dyDescent="0.3">
      <c r="B15" s="79" t="s">
        <v>178</v>
      </c>
      <c r="C15" s="83"/>
      <c r="D15" s="75" t="str">
        <f t="array" ref="D15">INDEX(Table_Name28[Name List],MATCH(B15,Table_Name28[Category],0))</f>
        <v>Horizontal_Back[Exercise]</v>
      </c>
      <c r="E15" s="65" t="e">
        <f t="array" ref="E15">INDEX(Links49[Link],MATCH(C15,Links49[Exercise],0))</f>
        <v>#N/A</v>
      </c>
      <c r="F15" s="86" t="e">
        <f t="shared" si="0"/>
        <v>#N/A</v>
      </c>
      <c r="G15" s="89"/>
      <c r="H15" s="98">
        <f t="shared" si="1"/>
        <v>0</v>
      </c>
      <c r="I15" s="99">
        <v>2</v>
      </c>
      <c r="J15" s="99">
        <f>MROUND(((G15)*0.75),5)</f>
        <v>0</v>
      </c>
      <c r="K15" s="99" t="s">
        <v>11</v>
      </c>
      <c r="L15" s="99"/>
      <c r="M15" s="69"/>
      <c r="N15" s="100">
        <f t="shared" si="2"/>
        <v>0</v>
      </c>
      <c r="O15" s="99">
        <f>I15+(M33)</f>
        <v>2</v>
      </c>
      <c r="P15" s="99">
        <f t="shared" si="3"/>
        <v>0</v>
      </c>
      <c r="Q15" s="99" t="s">
        <v>11</v>
      </c>
      <c r="R15" s="99"/>
      <c r="S15" s="101"/>
      <c r="T15" s="59">
        <f t="shared" si="4"/>
        <v>0</v>
      </c>
      <c r="U15" s="99">
        <f>O15+(S33)</f>
        <v>2</v>
      </c>
      <c r="V15" s="99">
        <f t="shared" si="5"/>
        <v>0</v>
      </c>
      <c r="W15" s="99" t="s">
        <v>12</v>
      </c>
      <c r="X15" s="99"/>
      <c r="Y15" s="101"/>
      <c r="Z15" s="100">
        <f t="shared" si="6"/>
        <v>0</v>
      </c>
      <c r="AA15" s="99">
        <f>U15+(Y33)</f>
        <v>2</v>
      </c>
      <c r="AB15" s="99">
        <f t="shared" si="7"/>
        <v>0</v>
      </c>
      <c r="AC15" s="99" t="s">
        <v>13</v>
      </c>
      <c r="AD15" s="99"/>
      <c r="AE15" s="101"/>
      <c r="AF15" s="100">
        <f t="shared" si="8"/>
        <v>0</v>
      </c>
      <c r="AG15" s="99">
        <v>2</v>
      </c>
      <c r="AH15" s="102">
        <f t="shared" si="9"/>
        <v>0</v>
      </c>
      <c r="AI15" s="69" t="s">
        <v>14</v>
      </c>
    </row>
    <row r="16" spans="1:35" ht="15.75" thickBot="1" x14ac:dyDescent="0.3">
      <c r="B16" s="79" t="s">
        <v>130</v>
      </c>
      <c r="C16" s="83"/>
      <c r="D16" s="75" t="str">
        <f t="array" ref="D16">INDEX(Table_Name28[Name List],MATCH(B16,Table_Name28[Category],0))</f>
        <v>Vertical_Back[Exercise]</v>
      </c>
      <c r="E16" s="65" t="e">
        <f t="array" ref="E16">INDEX(Links49[Link],MATCH(C16,Links49[Exercise],0))</f>
        <v>#N/A</v>
      </c>
      <c r="F16" s="86" t="e">
        <f t="shared" si="0"/>
        <v>#N/A</v>
      </c>
      <c r="G16" s="89"/>
      <c r="H16" s="98">
        <f t="shared" si="1"/>
        <v>0</v>
      </c>
      <c r="I16" s="99">
        <v>2</v>
      </c>
      <c r="J16" s="99">
        <f>MROUND(((G16)*0.75),5)</f>
        <v>0</v>
      </c>
      <c r="K16" s="99" t="s">
        <v>11</v>
      </c>
      <c r="L16" s="99"/>
      <c r="M16" s="69"/>
      <c r="N16" s="100">
        <f t="shared" si="2"/>
        <v>0</v>
      </c>
      <c r="O16" s="99">
        <f>I16+(M31)</f>
        <v>2</v>
      </c>
      <c r="P16" s="99">
        <f t="shared" si="3"/>
        <v>0</v>
      </c>
      <c r="Q16" s="99" t="s">
        <v>11</v>
      </c>
      <c r="R16" s="99"/>
      <c r="S16" s="101"/>
      <c r="T16" s="59">
        <f t="shared" si="4"/>
        <v>0</v>
      </c>
      <c r="U16" s="99">
        <f>O16+(S31)</f>
        <v>2</v>
      </c>
      <c r="V16" s="99">
        <f t="shared" si="5"/>
        <v>0</v>
      </c>
      <c r="W16" s="99" t="s">
        <v>12</v>
      </c>
      <c r="X16" s="99"/>
      <c r="Y16" s="101"/>
      <c r="Z16" s="100">
        <f t="shared" si="6"/>
        <v>0</v>
      </c>
      <c r="AA16" s="99">
        <f>U16+(Y31)</f>
        <v>2</v>
      </c>
      <c r="AB16" s="99">
        <f t="shared" si="7"/>
        <v>0</v>
      </c>
      <c r="AC16" s="99" t="s">
        <v>13</v>
      </c>
      <c r="AD16" s="99"/>
      <c r="AE16" s="101"/>
      <c r="AF16" s="100">
        <f t="shared" si="8"/>
        <v>0</v>
      </c>
      <c r="AG16" s="99">
        <v>2</v>
      </c>
      <c r="AH16" s="102">
        <f t="shared" si="9"/>
        <v>0</v>
      </c>
      <c r="AI16" s="69" t="s">
        <v>14</v>
      </c>
    </row>
    <row r="17" spans="2:35" ht="15.75" thickBot="1" x14ac:dyDescent="0.3">
      <c r="B17" s="79" t="s">
        <v>105</v>
      </c>
      <c r="C17" s="83"/>
      <c r="D17" s="75" t="str">
        <f t="array" ref="D17">INDEX(Table_Name28[Name List],MATCH(B17,Table_Name28[Category],0))</f>
        <v>Side_Delts[Exercise]</v>
      </c>
      <c r="E17" s="65" t="e">
        <f t="array" ref="E17">INDEX(Links49[Link],MATCH(C17,Links49[Exercise],0))</f>
        <v>#N/A</v>
      </c>
      <c r="F17" s="86" t="e">
        <f t="shared" si="0"/>
        <v>#N/A</v>
      </c>
      <c r="G17" s="89"/>
      <c r="H17" s="98">
        <f t="shared" si="1"/>
        <v>0</v>
      </c>
      <c r="I17" s="99">
        <v>2</v>
      </c>
      <c r="J17" s="99">
        <f>MROUND(((G17)*0.75),5)</f>
        <v>0</v>
      </c>
      <c r="K17" s="99" t="s">
        <v>11</v>
      </c>
      <c r="L17" s="99" t="s">
        <v>0</v>
      </c>
      <c r="M17" s="69"/>
      <c r="N17" s="100">
        <f t="shared" si="2"/>
        <v>0</v>
      </c>
      <c r="O17" s="99">
        <f>I17+(M34)</f>
        <v>2</v>
      </c>
      <c r="P17" s="99">
        <f t="shared" si="3"/>
        <v>0</v>
      </c>
      <c r="Q17" s="99" t="s">
        <v>11</v>
      </c>
      <c r="R17" s="99"/>
      <c r="S17" s="101"/>
      <c r="T17" s="59">
        <f t="shared" si="4"/>
        <v>0</v>
      </c>
      <c r="U17" s="99">
        <f>O17+(S34)</f>
        <v>2</v>
      </c>
      <c r="V17" s="99">
        <f t="shared" si="5"/>
        <v>0</v>
      </c>
      <c r="W17" s="99" t="s">
        <v>12</v>
      </c>
      <c r="X17" s="99"/>
      <c r="Y17" s="101"/>
      <c r="Z17" s="100">
        <f t="shared" si="6"/>
        <v>0</v>
      </c>
      <c r="AA17" s="99">
        <f>U17+(Y34)</f>
        <v>2</v>
      </c>
      <c r="AB17" s="99">
        <f t="shared" si="7"/>
        <v>0</v>
      </c>
      <c r="AC17" s="99" t="s">
        <v>13</v>
      </c>
      <c r="AD17" s="99"/>
      <c r="AE17" s="101"/>
      <c r="AF17" s="100">
        <f t="shared" si="8"/>
        <v>0</v>
      </c>
      <c r="AG17" s="99">
        <v>2</v>
      </c>
      <c r="AH17" s="102">
        <f t="shared" si="9"/>
        <v>0</v>
      </c>
      <c r="AI17" s="69" t="s">
        <v>14</v>
      </c>
    </row>
    <row r="18" spans="2:35" ht="15.75" thickBot="1" x14ac:dyDescent="0.3">
      <c r="B18" s="80" t="s">
        <v>77</v>
      </c>
      <c r="C18" s="84"/>
      <c r="D18" s="76" t="str">
        <f t="array" ref="D18">INDEX(Table_Name28[Name List],MATCH(B18,Table_Name28[Category],0))</f>
        <v>Abs[Exercise]</v>
      </c>
      <c r="E18" s="66" t="e">
        <f t="array" ref="E18">INDEX(Links49[Link],MATCH(C18,Links49[Exercise],0))</f>
        <v>#N/A</v>
      </c>
      <c r="F18" s="87" t="e">
        <f t="shared" si="0"/>
        <v>#N/A</v>
      </c>
      <c r="G18" s="90"/>
      <c r="H18" s="103">
        <f t="shared" si="1"/>
        <v>0</v>
      </c>
      <c r="I18" s="104">
        <v>2</v>
      </c>
      <c r="J18" s="104">
        <f>MROUND(((G18)*0.75),5)</f>
        <v>0</v>
      </c>
      <c r="K18" s="104" t="s">
        <v>11</v>
      </c>
      <c r="L18" s="104"/>
      <c r="M18" s="62"/>
      <c r="N18" s="105">
        <f t="shared" si="2"/>
        <v>0</v>
      </c>
      <c r="O18" s="104">
        <f>I18+(M38)</f>
        <v>2</v>
      </c>
      <c r="P18" s="104">
        <f t="shared" si="3"/>
        <v>0</v>
      </c>
      <c r="Q18" s="104" t="s">
        <v>11</v>
      </c>
      <c r="R18" s="104"/>
      <c r="S18" s="101"/>
      <c r="T18" s="106">
        <f t="shared" si="4"/>
        <v>0</v>
      </c>
      <c r="U18" s="104">
        <f>O18+(S38)</f>
        <v>2</v>
      </c>
      <c r="V18" s="104">
        <f t="shared" si="5"/>
        <v>0</v>
      </c>
      <c r="W18" s="104" t="s">
        <v>12</v>
      </c>
      <c r="X18" s="104"/>
      <c r="Y18" s="101"/>
      <c r="Z18" s="105">
        <f t="shared" si="6"/>
        <v>0</v>
      </c>
      <c r="AA18" s="104">
        <f>U18+(Y38)</f>
        <v>2</v>
      </c>
      <c r="AB18" s="104">
        <f t="shared" si="7"/>
        <v>0</v>
      </c>
      <c r="AC18" s="104" t="s">
        <v>13</v>
      </c>
      <c r="AD18" s="104"/>
      <c r="AE18" s="101"/>
      <c r="AF18" s="105">
        <f t="shared" si="8"/>
        <v>0</v>
      </c>
      <c r="AG18" s="104">
        <v>2</v>
      </c>
      <c r="AH18" s="107">
        <f t="shared" si="9"/>
        <v>0</v>
      </c>
      <c r="AI18" s="62" t="s">
        <v>14</v>
      </c>
    </row>
    <row r="19" spans="2:35" ht="19.5" thickBot="1" x14ac:dyDescent="0.3">
      <c r="B19" s="68" t="s">
        <v>339</v>
      </c>
      <c r="C19" s="38"/>
      <c r="D19" s="38"/>
      <c r="E19" s="38"/>
      <c r="F19" s="38"/>
      <c r="G19" s="69"/>
      <c r="H19" s="154" t="s">
        <v>1</v>
      </c>
      <c r="I19" s="155"/>
      <c r="J19" s="155"/>
      <c r="K19" s="155"/>
      <c r="L19" s="155"/>
      <c r="M19" s="156"/>
      <c r="N19" s="157" t="s">
        <v>2</v>
      </c>
      <c r="O19" s="158"/>
      <c r="P19" s="158"/>
      <c r="Q19" s="158"/>
      <c r="R19" s="158"/>
      <c r="S19" s="159"/>
      <c r="T19" s="160" t="s">
        <v>3</v>
      </c>
      <c r="U19" s="161"/>
      <c r="V19" s="161"/>
      <c r="W19" s="161"/>
      <c r="X19" s="161"/>
      <c r="Y19" s="162"/>
      <c r="Z19" s="163" t="s">
        <v>4</v>
      </c>
      <c r="AA19" s="164"/>
      <c r="AB19" s="164"/>
      <c r="AC19" s="164"/>
      <c r="AD19" s="164"/>
      <c r="AE19" s="165"/>
      <c r="AF19" s="166" t="s">
        <v>5</v>
      </c>
      <c r="AG19" s="167"/>
      <c r="AH19" s="167"/>
      <c r="AI19" s="168"/>
    </row>
    <row r="20" spans="2:35" ht="15.75" thickBot="1" x14ac:dyDescent="0.3">
      <c r="B20" s="38"/>
      <c r="C20" s="38"/>
      <c r="D20" s="38"/>
      <c r="E20" s="38"/>
      <c r="F20" s="38"/>
      <c r="G20" s="38"/>
      <c r="H20" s="91" t="s">
        <v>88</v>
      </c>
      <c r="I20" s="92" t="s">
        <v>6</v>
      </c>
      <c r="J20" s="93" t="s">
        <v>7</v>
      </c>
      <c r="K20" s="94" t="s">
        <v>8</v>
      </c>
      <c r="L20" s="94" t="s">
        <v>9</v>
      </c>
      <c r="M20" s="95" t="s">
        <v>10</v>
      </c>
      <c r="N20" s="96" t="s">
        <v>88</v>
      </c>
      <c r="O20" s="96" t="s">
        <v>6</v>
      </c>
      <c r="P20" s="93" t="s">
        <v>7</v>
      </c>
      <c r="Q20" s="94" t="s">
        <v>8</v>
      </c>
      <c r="R20" s="94" t="s">
        <v>9</v>
      </c>
      <c r="S20" s="95" t="s">
        <v>10</v>
      </c>
      <c r="T20" s="96" t="s">
        <v>88</v>
      </c>
      <c r="U20" s="96" t="s">
        <v>6</v>
      </c>
      <c r="V20" s="93" t="s">
        <v>7</v>
      </c>
      <c r="W20" s="94" t="s">
        <v>8</v>
      </c>
      <c r="X20" s="94" t="s">
        <v>9</v>
      </c>
      <c r="Y20" s="95" t="s">
        <v>10</v>
      </c>
      <c r="Z20" s="96" t="s">
        <v>88</v>
      </c>
      <c r="AA20" s="96" t="s">
        <v>6</v>
      </c>
      <c r="AB20" s="93" t="s">
        <v>7</v>
      </c>
      <c r="AC20" s="108" t="s">
        <v>15</v>
      </c>
      <c r="AD20" s="94" t="s">
        <v>9</v>
      </c>
      <c r="AE20" s="95" t="s">
        <v>10</v>
      </c>
      <c r="AF20" s="96" t="s">
        <v>88</v>
      </c>
      <c r="AG20" s="96" t="s">
        <v>6</v>
      </c>
      <c r="AH20" s="93" t="s">
        <v>7</v>
      </c>
      <c r="AI20" s="97" t="s">
        <v>8</v>
      </c>
    </row>
    <row r="21" spans="2:35" ht="15.75" thickBot="1" x14ac:dyDescent="0.3">
      <c r="B21" s="77" t="s">
        <v>340</v>
      </c>
      <c r="C21" s="81" t="s">
        <v>86</v>
      </c>
      <c r="D21" s="63"/>
      <c r="E21" s="60"/>
      <c r="F21" s="81" t="s">
        <v>347</v>
      </c>
      <c r="G21" s="81" t="s">
        <v>348</v>
      </c>
      <c r="H21" s="94" t="s">
        <v>86</v>
      </c>
      <c r="I21" s="70"/>
      <c r="J21" s="70"/>
      <c r="K21" s="70"/>
      <c r="L21" s="70"/>
      <c r="M21" s="67"/>
      <c r="N21" s="91" t="s">
        <v>86</v>
      </c>
      <c r="O21" s="70"/>
      <c r="P21" s="70"/>
      <c r="Q21" s="70"/>
      <c r="R21" s="70"/>
      <c r="S21" s="67"/>
      <c r="T21" s="91" t="s">
        <v>86</v>
      </c>
      <c r="U21" s="70"/>
      <c r="V21" s="70"/>
      <c r="W21" s="70"/>
      <c r="X21" s="70"/>
      <c r="Y21" s="70"/>
      <c r="Z21" s="91" t="s">
        <v>86</v>
      </c>
      <c r="AA21" s="70"/>
      <c r="AB21" s="70"/>
      <c r="AC21" s="70"/>
      <c r="AD21" s="70"/>
      <c r="AE21" s="70"/>
      <c r="AF21" s="91" t="s">
        <v>86</v>
      </c>
      <c r="AG21" s="70"/>
      <c r="AH21" s="70"/>
      <c r="AI21" s="67"/>
    </row>
    <row r="22" spans="2:35" ht="15.75" thickBot="1" x14ac:dyDescent="0.3">
      <c r="B22" s="78" t="s">
        <v>20</v>
      </c>
      <c r="C22" s="82"/>
      <c r="D22" s="74" t="str">
        <f t="array" ref="D22">INDEX(Table_Name28[Name List],MATCH(B22,Table_Name28[Category],0))</f>
        <v>Quads[Exercise]</v>
      </c>
      <c r="E22" s="71" t="e">
        <f t="array" ref="E22">INDEX(Links49[Link],MATCH(C22,Links49[Exercise],0))</f>
        <v>#N/A</v>
      </c>
      <c r="F22" s="85" t="e">
        <f t="shared" ref="F22:F27" si="18">HYPERLINK(E22,"Video")</f>
        <v>#N/A</v>
      </c>
      <c r="G22" s="88"/>
      <c r="H22" s="98">
        <f t="shared" ref="H22:H27" si="19">C22</f>
        <v>0</v>
      </c>
      <c r="I22" s="99">
        <v>4</v>
      </c>
      <c r="J22" s="99">
        <f t="shared" ref="J22:J27" si="20">MROUND(((G22)*0.75),5)</f>
        <v>0</v>
      </c>
      <c r="K22" s="99" t="s">
        <v>11</v>
      </c>
      <c r="L22" s="99"/>
      <c r="M22" s="69"/>
      <c r="N22" s="98">
        <f t="shared" ref="N22:N27" si="21">C22</f>
        <v>0</v>
      </c>
      <c r="O22" s="99">
        <f>I22+(M44)</f>
        <v>4</v>
      </c>
      <c r="P22" s="99">
        <f t="shared" ref="P22:P27" si="22">MROUND((J22*1.05),5)</f>
        <v>0</v>
      </c>
      <c r="Q22" s="99" t="s">
        <v>11</v>
      </c>
      <c r="R22" s="99"/>
      <c r="S22" s="101"/>
      <c r="T22" s="59">
        <f t="shared" ref="T22:T27" si="23">C22</f>
        <v>0</v>
      </c>
      <c r="U22" s="99">
        <f>O22+(S44)</f>
        <v>4</v>
      </c>
      <c r="V22" s="99">
        <f t="shared" ref="V22:V27" si="24">MROUND((J22*1.075),5)</f>
        <v>0</v>
      </c>
      <c r="W22" s="99" t="s">
        <v>12</v>
      </c>
      <c r="X22" s="99"/>
      <c r="Y22" s="101"/>
      <c r="Z22" s="100">
        <f t="shared" ref="Z22:Z27" si="25">C22</f>
        <v>0</v>
      </c>
      <c r="AA22" s="99">
        <f>U22+(Y44)</f>
        <v>4</v>
      </c>
      <c r="AB22" s="99">
        <f t="shared" ref="AB22:AB27" si="26">MROUND((J22*1.1),5)</f>
        <v>0</v>
      </c>
      <c r="AC22" s="99" t="s">
        <v>13</v>
      </c>
      <c r="AD22" s="99"/>
      <c r="AE22" s="101"/>
      <c r="AF22" s="100">
        <f t="shared" ref="AF22:AF27" si="27">C22</f>
        <v>0</v>
      </c>
      <c r="AG22" s="99">
        <v>2</v>
      </c>
      <c r="AH22" s="102">
        <f t="shared" ref="AH22:AH27" si="28">J22</f>
        <v>0</v>
      </c>
      <c r="AI22" s="69" t="s">
        <v>14</v>
      </c>
    </row>
    <row r="23" spans="2:35" ht="15.75" thickBot="1" x14ac:dyDescent="0.3">
      <c r="B23" s="79" t="s">
        <v>20</v>
      </c>
      <c r="C23" s="83"/>
      <c r="D23" s="75" t="str">
        <f t="array" ref="D23">INDEX(Table_Name28[Name List],MATCH(B23,Table_Name28[Category],0))</f>
        <v>Quads[Exercise]</v>
      </c>
      <c r="E23" s="72" t="e">
        <f t="array" ref="E23">INDEX(Links49[Link],MATCH(C23,Links49[Exercise],0))</f>
        <v>#N/A</v>
      </c>
      <c r="F23" s="86" t="e">
        <f t="shared" si="18"/>
        <v>#N/A</v>
      </c>
      <c r="G23" s="89"/>
      <c r="H23" s="98">
        <f t="shared" si="19"/>
        <v>0</v>
      </c>
      <c r="I23" s="99">
        <v>4</v>
      </c>
      <c r="J23" s="99">
        <f t="shared" si="20"/>
        <v>0</v>
      </c>
      <c r="K23" s="99" t="s">
        <v>11</v>
      </c>
      <c r="L23" s="99"/>
      <c r="M23" s="69"/>
      <c r="N23" s="98">
        <f t="shared" si="21"/>
        <v>0</v>
      </c>
      <c r="O23" s="99">
        <f>I23+(M44)</f>
        <v>4</v>
      </c>
      <c r="P23" s="99">
        <f t="shared" si="22"/>
        <v>0</v>
      </c>
      <c r="Q23" s="99" t="s">
        <v>11</v>
      </c>
      <c r="R23" s="99"/>
      <c r="S23" s="101"/>
      <c r="T23" s="59">
        <f t="shared" si="23"/>
        <v>0</v>
      </c>
      <c r="U23" s="99">
        <f>O23+(S44)</f>
        <v>4</v>
      </c>
      <c r="V23" s="99">
        <f t="shared" si="24"/>
        <v>0</v>
      </c>
      <c r="W23" s="99" t="s">
        <v>12</v>
      </c>
      <c r="X23" s="99"/>
      <c r="Y23" s="101"/>
      <c r="Z23" s="100">
        <f t="shared" si="25"/>
        <v>0</v>
      </c>
      <c r="AA23" s="99">
        <f>U23+(Y44)</f>
        <v>4</v>
      </c>
      <c r="AB23" s="99">
        <f t="shared" si="26"/>
        <v>0</v>
      </c>
      <c r="AC23" s="99" t="s">
        <v>13</v>
      </c>
      <c r="AD23" s="99"/>
      <c r="AE23" s="101"/>
      <c r="AF23" s="100">
        <f t="shared" si="27"/>
        <v>0</v>
      </c>
      <c r="AG23" s="99">
        <v>2</v>
      </c>
      <c r="AH23" s="102">
        <f t="shared" si="28"/>
        <v>0</v>
      </c>
      <c r="AI23" s="69" t="s">
        <v>14</v>
      </c>
    </row>
    <row r="24" spans="2:35" ht="15.75" thickBot="1" x14ac:dyDescent="0.3">
      <c r="B24" s="79" t="s">
        <v>106</v>
      </c>
      <c r="C24" s="83"/>
      <c r="D24" s="75" t="str">
        <f t="array" ref="D24">INDEX(Table_Name28[Name List],MATCH(B24,Table_Name28[Category],0))</f>
        <v>Hamstrings_Isolation[Exercise]</v>
      </c>
      <c r="E24" s="72" t="e">
        <f t="array" ref="E24">INDEX(Links49[Link],MATCH(C24,Links49[Exercise],0))</f>
        <v>#N/A</v>
      </c>
      <c r="F24" s="86" t="e">
        <f t="shared" si="18"/>
        <v>#N/A</v>
      </c>
      <c r="G24" s="89"/>
      <c r="H24" s="98">
        <f t="shared" si="19"/>
        <v>0</v>
      </c>
      <c r="I24" s="99">
        <v>4</v>
      </c>
      <c r="J24" s="99">
        <f t="shared" si="20"/>
        <v>0</v>
      </c>
      <c r="K24" s="99" t="s">
        <v>11</v>
      </c>
      <c r="L24" s="99"/>
      <c r="M24" s="69"/>
      <c r="N24" s="98">
        <f t="shared" si="21"/>
        <v>0</v>
      </c>
      <c r="O24" s="99">
        <f>I24+(M43)</f>
        <v>4</v>
      </c>
      <c r="P24" s="99">
        <f t="shared" si="22"/>
        <v>0</v>
      </c>
      <c r="Q24" s="99" t="s">
        <v>11</v>
      </c>
      <c r="R24" s="99"/>
      <c r="S24" s="101"/>
      <c r="T24" s="59">
        <f t="shared" si="23"/>
        <v>0</v>
      </c>
      <c r="U24" s="99">
        <f>O24+(S43)</f>
        <v>4</v>
      </c>
      <c r="V24" s="99">
        <f t="shared" si="24"/>
        <v>0</v>
      </c>
      <c r="W24" s="99" t="s">
        <v>12</v>
      </c>
      <c r="X24" s="99"/>
      <c r="Y24" s="101"/>
      <c r="Z24" s="100">
        <f t="shared" si="25"/>
        <v>0</v>
      </c>
      <c r="AA24" s="99">
        <f>U24+(Y43)</f>
        <v>4</v>
      </c>
      <c r="AB24" s="99">
        <f t="shared" si="26"/>
        <v>0</v>
      </c>
      <c r="AC24" s="99" t="s">
        <v>13</v>
      </c>
      <c r="AD24" s="99"/>
      <c r="AE24" s="101"/>
      <c r="AF24" s="100">
        <f t="shared" si="27"/>
        <v>0</v>
      </c>
      <c r="AG24" s="99">
        <v>2</v>
      </c>
      <c r="AH24" s="102">
        <f t="shared" si="28"/>
        <v>0</v>
      </c>
      <c r="AI24" s="69" t="s">
        <v>14</v>
      </c>
    </row>
    <row r="25" spans="2:35" ht="15.75" thickBot="1" x14ac:dyDescent="0.3">
      <c r="B25" s="79" t="s">
        <v>19</v>
      </c>
      <c r="C25" s="83"/>
      <c r="D25" s="75" t="str">
        <f t="array" ref="D25">INDEX(Table_Name28[Name List],MATCH(B25,Table_Name28[Category],0))</f>
        <v>Calves[Exercise]</v>
      </c>
      <c r="E25" s="72" t="e">
        <f t="array" ref="E25">INDEX(Links49[Link],MATCH(C25,Links49[Exercise],0))</f>
        <v>#N/A</v>
      </c>
      <c r="F25" s="86" t="e">
        <f t="shared" si="18"/>
        <v>#N/A</v>
      </c>
      <c r="G25" s="89"/>
      <c r="H25" s="98">
        <f t="shared" si="19"/>
        <v>0</v>
      </c>
      <c r="I25" s="99">
        <v>6</v>
      </c>
      <c r="J25" s="99">
        <f t="shared" si="20"/>
        <v>0</v>
      </c>
      <c r="K25" s="99" t="s">
        <v>11</v>
      </c>
      <c r="L25" s="99"/>
      <c r="M25" s="69"/>
      <c r="N25" s="98">
        <f t="shared" si="21"/>
        <v>0</v>
      </c>
      <c r="O25" s="99">
        <f>I25+(M48)</f>
        <v>6</v>
      </c>
      <c r="P25" s="99">
        <f t="shared" si="22"/>
        <v>0</v>
      </c>
      <c r="Q25" s="99" t="s">
        <v>11</v>
      </c>
      <c r="R25" s="99"/>
      <c r="S25" s="101"/>
      <c r="T25" s="59">
        <f t="shared" si="23"/>
        <v>0</v>
      </c>
      <c r="U25" s="99">
        <f>O25+(S48)</f>
        <v>6</v>
      </c>
      <c r="V25" s="99">
        <f t="shared" si="24"/>
        <v>0</v>
      </c>
      <c r="W25" s="99" t="s">
        <v>12</v>
      </c>
      <c r="X25" s="99"/>
      <c r="Y25" s="101"/>
      <c r="Z25" s="100">
        <f t="shared" si="25"/>
        <v>0</v>
      </c>
      <c r="AA25" s="99">
        <f>U25+(Y48)</f>
        <v>6</v>
      </c>
      <c r="AB25" s="99">
        <f t="shared" si="26"/>
        <v>0</v>
      </c>
      <c r="AC25" s="99" t="s">
        <v>13</v>
      </c>
      <c r="AD25" s="99"/>
      <c r="AE25" s="101"/>
      <c r="AF25" s="100">
        <f t="shared" si="27"/>
        <v>0</v>
      </c>
      <c r="AG25" s="99">
        <v>2</v>
      </c>
      <c r="AH25" s="102">
        <f t="shared" si="28"/>
        <v>0</v>
      </c>
      <c r="AI25" s="69" t="s">
        <v>14</v>
      </c>
    </row>
    <row r="26" spans="2:35" ht="15.75" thickBot="1" x14ac:dyDescent="0.3">
      <c r="B26" s="79" t="s">
        <v>17</v>
      </c>
      <c r="C26" s="83"/>
      <c r="D26" s="75" t="str">
        <f t="array" ref="D26">INDEX(Table_Name28[Name List],MATCH(B26,Table_Name28[Category],0))</f>
        <v>Triceps[Exercise]</v>
      </c>
      <c r="E26" s="72" t="e">
        <f t="array" ref="E26">INDEX(Links49[Link],MATCH(C26,Links49[Exercise],0))</f>
        <v>#N/A</v>
      </c>
      <c r="F26" s="86" t="e">
        <f t="shared" si="18"/>
        <v>#N/A</v>
      </c>
      <c r="G26" s="89"/>
      <c r="H26" s="98">
        <f t="shared" si="19"/>
        <v>0</v>
      </c>
      <c r="I26" s="99">
        <v>2</v>
      </c>
      <c r="J26" s="99">
        <f t="shared" si="20"/>
        <v>0</v>
      </c>
      <c r="K26" s="99" t="s">
        <v>11</v>
      </c>
      <c r="L26" s="99"/>
      <c r="M26" s="69"/>
      <c r="N26" s="98">
        <f t="shared" si="21"/>
        <v>0</v>
      </c>
      <c r="O26" s="99">
        <f>I26+(S14)</f>
        <v>2</v>
      </c>
      <c r="P26" s="99">
        <f t="shared" si="22"/>
        <v>0</v>
      </c>
      <c r="Q26" s="99" t="s">
        <v>11</v>
      </c>
      <c r="R26" s="99"/>
      <c r="S26" s="101"/>
      <c r="T26" s="59">
        <f t="shared" si="23"/>
        <v>0</v>
      </c>
      <c r="U26" s="99">
        <f>O26+(Y14)</f>
        <v>2</v>
      </c>
      <c r="V26" s="99">
        <f t="shared" si="24"/>
        <v>0</v>
      </c>
      <c r="W26" s="99" t="s">
        <v>12</v>
      </c>
      <c r="X26" s="99"/>
      <c r="Y26" s="101"/>
      <c r="Z26" s="100">
        <f t="shared" si="25"/>
        <v>0</v>
      </c>
      <c r="AA26" s="99">
        <f>U26+(AE14)</f>
        <v>2</v>
      </c>
      <c r="AB26" s="99">
        <f t="shared" si="26"/>
        <v>0</v>
      </c>
      <c r="AC26" s="99" t="s">
        <v>13</v>
      </c>
      <c r="AD26" s="99"/>
      <c r="AE26" s="101"/>
      <c r="AF26" s="100">
        <f t="shared" si="27"/>
        <v>0</v>
      </c>
      <c r="AG26" s="99">
        <v>2</v>
      </c>
      <c r="AH26" s="102">
        <f t="shared" si="28"/>
        <v>0</v>
      </c>
      <c r="AI26" s="69" t="s">
        <v>14</v>
      </c>
    </row>
    <row r="27" spans="2:35" ht="15.75" thickBot="1" x14ac:dyDescent="0.3">
      <c r="B27" s="80" t="s">
        <v>104</v>
      </c>
      <c r="C27" s="84"/>
      <c r="D27" s="76" t="str">
        <f t="array" ref="D27">INDEX(Table_Name28[Name List],MATCH(B27,Table_Name28[Category],0))</f>
        <v>Front_Delts[Exercise]</v>
      </c>
      <c r="E27" s="73" t="e">
        <f t="array" ref="E27">INDEX(Links49[Link],MATCH(C27,Links49[Exercise],0))</f>
        <v>#N/A</v>
      </c>
      <c r="F27" s="87" t="e">
        <f t="shared" si="18"/>
        <v>#N/A</v>
      </c>
      <c r="G27" s="90"/>
      <c r="H27" s="98">
        <f t="shared" si="19"/>
        <v>0</v>
      </c>
      <c r="I27" s="99">
        <v>2</v>
      </c>
      <c r="J27" s="104">
        <f t="shared" si="20"/>
        <v>0</v>
      </c>
      <c r="K27" s="99" t="s">
        <v>11</v>
      </c>
      <c r="L27" s="99"/>
      <c r="M27" s="69"/>
      <c r="N27" s="98">
        <f t="shared" si="21"/>
        <v>0</v>
      </c>
      <c r="O27" s="99">
        <f>I27+(S11)</f>
        <v>2</v>
      </c>
      <c r="P27" s="99">
        <f t="shared" si="22"/>
        <v>0</v>
      </c>
      <c r="Q27" s="99" t="s">
        <v>11</v>
      </c>
      <c r="R27" s="99"/>
      <c r="S27" s="101"/>
      <c r="T27" s="59">
        <f t="shared" si="23"/>
        <v>0</v>
      </c>
      <c r="U27" s="99">
        <f>O27+(Y11)</f>
        <v>2</v>
      </c>
      <c r="V27" s="99">
        <f t="shared" si="24"/>
        <v>0</v>
      </c>
      <c r="W27" s="99" t="s">
        <v>12</v>
      </c>
      <c r="X27" s="99"/>
      <c r="Y27" s="101"/>
      <c r="Z27" s="100">
        <f t="shared" si="25"/>
        <v>0</v>
      </c>
      <c r="AA27" s="99">
        <f>U27+(AE11)</f>
        <v>2</v>
      </c>
      <c r="AB27" s="99">
        <f t="shared" si="26"/>
        <v>0</v>
      </c>
      <c r="AC27" s="99" t="s">
        <v>13</v>
      </c>
      <c r="AD27" s="99"/>
      <c r="AE27" s="101"/>
      <c r="AF27" s="100">
        <f t="shared" si="27"/>
        <v>0</v>
      </c>
      <c r="AG27" s="99">
        <v>2</v>
      </c>
      <c r="AH27" s="102">
        <f t="shared" si="28"/>
        <v>0</v>
      </c>
      <c r="AI27" s="69" t="s">
        <v>14</v>
      </c>
    </row>
    <row r="28" spans="2:35" ht="19.5" thickBot="1" x14ac:dyDescent="0.3">
      <c r="B28" s="68" t="s">
        <v>341</v>
      </c>
      <c r="C28" s="38"/>
      <c r="D28" s="38"/>
      <c r="E28" s="38"/>
      <c r="F28" s="38"/>
      <c r="G28" s="69"/>
      <c r="H28" s="154" t="s">
        <v>1</v>
      </c>
      <c r="I28" s="155"/>
      <c r="J28" s="155"/>
      <c r="K28" s="155"/>
      <c r="L28" s="155"/>
      <c r="M28" s="156"/>
      <c r="N28" s="157" t="s">
        <v>2</v>
      </c>
      <c r="O28" s="158"/>
      <c r="P28" s="158"/>
      <c r="Q28" s="158"/>
      <c r="R28" s="158"/>
      <c r="S28" s="159"/>
      <c r="T28" s="160" t="s">
        <v>3</v>
      </c>
      <c r="U28" s="161"/>
      <c r="V28" s="161"/>
      <c r="W28" s="161"/>
      <c r="X28" s="161"/>
      <c r="Y28" s="162"/>
      <c r="Z28" s="163" t="s">
        <v>4</v>
      </c>
      <c r="AA28" s="164"/>
      <c r="AB28" s="164"/>
      <c r="AC28" s="164"/>
      <c r="AD28" s="164"/>
      <c r="AE28" s="165"/>
      <c r="AF28" s="166" t="s">
        <v>5</v>
      </c>
      <c r="AG28" s="167"/>
      <c r="AH28" s="167"/>
      <c r="AI28" s="168"/>
    </row>
    <row r="29" spans="2:35" ht="15.75" thickBot="1" x14ac:dyDescent="0.3">
      <c r="B29" s="38"/>
      <c r="C29" s="38"/>
      <c r="D29" s="38"/>
      <c r="E29" s="38"/>
      <c r="F29" s="38"/>
      <c r="G29" s="38"/>
      <c r="H29" s="91" t="s">
        <v>88</v>
      </c>
      <c r="I29" s="92" t="s">
        <v>6</v>
      </c>
      <c r="J29" s="93" t="s">
        <v>7</v>
      </c>
      <c r="K29" s="94" t="s">
        <v>8</v>
      </c>
      <c r="L29" s="94" t="s">
        <v>9</v>
      </c>
      <c r="M29" s="95" t="s">
        <v>10</v>
      </c>
      <c r="N29" s="96" t="s">
        <v>88</v>
      </c>
      <c r="O29" s="96" t="s">
        <v>6</v>
      </c>
      <c r="P29" s="93" t="s">
        <v>7</v>
      </c>
      <c r="Q29" s="94" t="s">
        <v>8</v>
      </c>
      <c r="R29" s="94" t="s">
        <v>9</v>
      </c>
      <c r="S29" s="95" t="s">
        <v>10</v>
      </c>
      <c r="T29" s="96" t="s">
        <v>88</v>
      </c>
      <c r="U29" s="96" t="s">
        <v>6</v>
      </c>
      <c r="V29" s="93" t="s">
        <v>7</v>
      </c>
      <c r="W29" s="94" t="s">
        <v>8</v>
      </c>
      <c r="X29" s="94" t="s">
        <v>9</v>
      </c>
      <c r="Y29" s="95" t="s">
        <v>10</v>
      </c>
      <c r="Z29" s="96" t="s">
        <v>88</v>
      </c>
      <c r="AA29" s="96" t="s">
        <v>6</v>
      </c>
      <c r="AB29" s="93" t="s">
        <v>7</v>
      </c>
      <c r="AC29" s="108" t="s">
        <v>15</v>
      </c>
      <c r="AD29" s="94" t="s">
        <v>9</v>
      </c>
      <c r="AE29" s="95" t="s">
        <v>10</v>
      </c>
      <c r="AF29" s="96" t="s">
        <v>88</v>
      </c>
      <c r="AG29" s="96" t="s">
        <v>6</v>
      </c>
      <c r="AH29" s="93" t="s">
        <v>7</v>
      </c>
      <c r="AI29" s="97" t="s">
        <v>8</v>
      </c>
    </row>
    <row r="30" spans="2:35" ht="15.75" thickBot="1" x14ac:dyDescent="0.3">
      <c r="B30" s="77" t="s">
        <v>338</v>
      </c>
      <c r="C30" s="81" t="s">
        <v>103</v>
      </c>
      <c r="D30" s="63"/>
      <c r="E30" s="60"/>
      <c r="F30" s="81" t="s">
        <v>347</v>
      </c>
      <c r="G30" s="81" t="s">
        <v>348</v>
      </c>
      <c r="H30" s="94" t="s">
        <v>103</v>
      </c>
      <c r="I30" s="70"/>
      <c r="J30" s="70"/>
      <c r="K30" s="70"/>
      <c r="L30" s="70"/>
      <c r="M30" s="67"/>
      <c r="N30" s="91" t="s">
        <v>103</v>
      </c>
      <c r="O30" s="70"/>
      <c r="P30" s="70"/>
      <c r="Q30" s="70"/>
      <c r="R30" s="70"/>
      <c r="S30" s="67"/>
      <c r="T30" s="91" t="s">
        <v>103</v>
      </c>
      <c r="U30" s="70"/>
      <c r="V30" s="70"/>
      <c r="W30" s="70"/>
      <c r="X30" s="70"/>
      <c r="Y30" s="70"/>
      <c r="Z30" s="91" t="s">
        <v>103</v>
      </c>
      <c r="AA30" s="70"/>
      <c r="AB30" s="70"/>
      <c r="AC30" s="70"/>
      <c r="AD30" s="70"/>
      <c r="AE30" s="70"/>
      <c r="AF30" s="91" t="s">
        <v>103</v>
      </c>
      <c r="AG30" s="70"/>
      <c r="AH30" s="70"/>
      <c r="AI30" s="67"/>
    </row>
    <row r="31" spans="2:35" ht="15.75" thickBot="1" x14ac:dyDescent="0.3">
      <c r="B31" s="78" t="s">
        <v>130</v>
      </c>
      <c r="C31" s="82"/>
      <c r="D31" s="74" t="str">
        <f t="array" ref="D31">INDEX(Table_Name28[Name List],MATCH(B31,Table_Name28[Category],0))</f>
        <v>Vertical_Back[Exercise]</v>
      </c>
      <c r="E31" s="64" t="e">
        <f t="array" ref="E31">INDEX(Links49[Link],MATCH(C31,Links49[Exercise],0))</f>
        <v>#N/A</v>
      </c>
      <c r="F31" s="85" t="e">
        <f t="shared" ref="F31:F38" si="29">HYPERLINK(E31,"Video")</f>
        <v>#N/A</v>
      </c>
      <c r="G31" s="88"/>
      <c r="H31" s="98">
        <f t="shared" ref="H31:H38" si="30">C31</f>
        <v>0</v>
      </c>
      <c r="I31" s="99">
        <v>4</v>
      </c>
      <c r="J31" s="99">
        <f>MROUND(((G31)*0.75),5)</f>
        <v>0</v>
      </c>
      <c r="K31" s="99" t="s">
        <v>11</v>
      </c>
      <c r="L31" s="99"/>
      <c r="M31" s="101"/>
      <c r="N31" s="98">
        <f t="shared" ref="N31:N38" si="31">C31</f>
        <v>0</v>
      </c>
      <c r="O31" s="99">
        <f>I31+(S16)</f>
        <v>4</v>
      </c>
      <c r="P31" s="99">
        <f t="shared" ref="P31:P38" si="32">MROUND((J31*1.05),5)</f>
        <v>0</v>
      </c>
      <c r="Q31" s="99" t="s">
        <v>11</v>
      </c>
      <c r="R31" s="99"/>
      <c r="S31" s="101"/>
      <c r="T31" s="59">
        <f t="shared" ref="T31:T38" si="33">C31</f>
        <v>0</v>
      </c>
      <c r="U31" s="99">
        <f>O31+(Y16)</f>
        <v>4</v>
      </c>
      <c r="V31" s="99">
        <f t="shared" ref="V31:V38" si="34">MROUND((J31*1.075),5)</f>
        <v>0</v>
      </c>
      <c r="W31" s="99" t="s">
        <v>12</v>
      </c>
      <c r="X31" s="99"/>
      <c r="Y31" s="101"/>
      <c r="Z31" s="100">
        <f t="shared" ref="Z31:Z38" si="35">C31</f>
        <v>0</v>
      </c>
      <c r="AA31" s="99">
        <f>U31+(AE16)</f>
        <v>4</v>
      </c>
      <c r="AB31" s="99">
        <f t="shared" ref="AB31:AB38" si="36">MROUND((J31*1.1),5)</f>
        <v>0</v>
      </c>
      <c r="AC31" s="99" t="s">
        <v>13</v>
      </c>
      <c r="AD31" s="99"/>
      <c r="AE31" s="99"/>
      <c r="AF31" s="100">
        <f t="shared" ref="AF31:AF38" si="37">C31</f>
        <v>0</v>
      </c>
      <c r="AG31" s="99">
        <v>2</v>
      </c>
      <c r="AH31" s="102">
        <f t="shared" ref="AH31:AH38" si="38">MROUND((J31*0.5),5)</f>
        <v>0</v>
      </c>
      <c r="AI31" s="69" t="s">
        <v>14</v>
      </c>
    </row>
    <row r="32" spans="2:35" ht="15.75" thickBot="1" x14ac:dyDescent="0.3">
      <c r="B32" s="79" t="s">
        <v>130</v>
      </c>
      <c r="C32" s="83"/>
      <c r="D32" s="75" t="str">
        <f t="array" ref="D32">INDEX(Table_Name28[Name List],MATCH(B32,Table_Name28[Category],0))</f>
        <v>Vertical_Back[Exercise]</v>
      </c>
      <c r="E32" s="65" t="e">
        <f t="array" ref="E32">INDEX(Links49[Link],MATCH(C32,Links49[Exercise],0))</f>
        <v>#N/A</v>
      </c>
      <c r="F32" s="86" t="e">
        <f t="shared" si="29"/>
        <v>#N/A</v>
      </c>
      <c r="G32" s="89"/>
      <c r="H32" s="98">
        <f t="shared" si="30"/>
        <v>0</v>
      </c>
      <c r="I32" s="99">
        <v>4</v>
      </c>
      <c r="J32" s="99">
        <f>MROUND(((G32)*0.75),5)</f>
        <v>0</v>
      </c>
      <c r="K32" s="99" t="s">
        <v>11</v>
      </c>
      <c r="L32" s="99"/>
      <c r="M32" s="101"/>
      <c r="N32" s="98">
        <f t="shared" si="31"/>
        <v>0</v>
      </c>
      <c r="O32" s="99">
        <f>I32+(S16)</f>
        <v>4</v>
      </c>
      <c r="P32" s="99">
        <f t="shared" si="32"/>
        <v>0</v>
      </c>
      <c r="Q32" s="99" t="s">
        <v>11</v>
      </c>
      <c r="R32" s="99"/>
      <c r="S32" s="101"/>
      <c r="T32" s="59">
        <f t="shared" si="33"/>
        <v>0</v>
      </c>
      <c r="U32" s="99">
        <f>O32+(Y16)</f>
        <v>4</v>
      </c>
      <c r="V32" s="99">
        <f t="shared" si="34"/>
        <v>0</v>
      </c>
      <c r="W32" s="99" t="s">
        <v>12</v>
      </c>
      <c r="X32" s="99"/>
      <c r="Y32" s="101"/>
      <c r="Z32" s="100">
        <f t="shared" si="35"/>
        <v>0</v>
      </c>
      <c r="AA32" s="99">
        <f>U32+(AE16)</f>
        <v>4</v>
      </c>
      <c r="AB32" s="99">
        <f t="shared" si="36"/>
        <v>0</v>
      </c>
      <c r="AC32" s="99" t="s">
        <v>13</v>
      </c>
      <c r="AD32" s="99"/>
      <c r="AE32" s="99"/>
      <c r="AF32" s="100">
        <f t="shared" si="37"/>
        <v>0</v>
      </c>
      <c r="AG32" s="99">
        <v>2</v>
      </c>
      <c r="AH32" s="102">
        <f t="shared" si="38"/>
        <v>0</v>
      </c>
      <c r="AI32" s="69" t="s">
        <v>14</v>
      </c>
    </row>
    <row r="33" spans="1:35" ht="15.75" thickBot="1" x14ac:dyDescent="0.3">
      <c r="B33" s="130" t="s">
        <v>178</v>
      </c>
      <c r="C33" s="131"/>
      <c r="D33" s="129" t="str">
        <f t="array" ref="D33">INDEX(Table_Name28[Name List],MATCH(B33,Table_Name28[Category],0))</f>
        <v>Horizontal_Back[Exercise]</v>
      </c>
      <c r="E33" s="112" t="e">
        <f t="array" ref="E33">INDEX(Links49[Link],MATCH(C33,Links49[Exercise],0))</f>
        <v>#N/A</v>
      </c>
      <c r="F33" s="132" t="e">
        <f t="shared" si="29"/>
        <v>#N/A</v>
      </c>
      <c r="G33" s="133"/>
      <c r="H33" s="98">
        <f t="shared" si="30"/>
        <v>0</v>
      </c>
      <c r="I33" s="99">
        <v>4</v>
      </c>
      <c r="J33" s="99">
        <f>MROUND(((G33)*0.75),5)</f>
        <v>0</v>
      </c>
      <c r="K33" s="99" t="s">
        <v>11</v>
      </c>
      <c r="L33" s="99"/>
      <c r="M33" s="134"/>
      <c r="N33" s="98">
        <f t="shared" si="31"/>
        <v>0</v>
      </c>
      <c r="O33" s="99">
        <f>I33+(S15)</f>
        <v>4</v>
      </c>
      <c r="P33" s="99">
        <f t="shared" si="32"/>
        <v>0</v>
      </c>
      <c r="Q33" s="99" t="s">
        <v>11</v>
      </c>
      <c r="R33" s="99"/>
      <c r="S33" s="134"/>
      <c r="T33" s="59">
        <f t="shared" si="33"/>
        <v>0</v>
      </c>
      <c r="U33" s="99">
        <f>O33+(Y15)</f>
        <v>4</v>
      </c>
      <c r="V33" s="99">
        <f t="shared" si="34"/>
        <v>0</v>
      </c>
      <c r="W33" s="99" t="s">
        <v>12</v>
      </c>
      <c r="X33" s="99"/>
      <c r="Y33" s="134"/>
      <c r="Z33" s="100">
        <f t="shared" si="35"/>
        <v>0</v>
      </c>
      <c r="AA33" s="99">
        <f>U33+(AE15)</f>
        <v>4</v>
      </c>
      <c r="AB33" s="99">
        <f t="shared" si="36"/>
        <v>0</v>
      </c>
      <c r="AC33" s="99" t="s">
        <v>13</v>
      </c>
      <c r="AD33" s="99"/>
      <c r="AE33" s="99"/>
      <c r="AF33" s="100">
        <f t="shared" si="37"/>
        <v>0</v>
      </c>
      <c r="AG33" s="99">
        <v>2</v>
      </c>
      <c r="AH33" s="102">
        <f t="shared" si="38"/>
        <v>0</v>
      </c>
      <c r="AI33" s="69" t="s">
        <v>14</v>
      </c>
    </row>
    <row r="34" spans="1:35" ht="15.75" thickBot="1" x14ac:dyDescent="0.3">
      <c r="A34" s="61" t="s">
        <v>344</v>
      </c>
      <c r="B34" s="117" t="s">
        <v>177</v>
      </c>
      <c r="C34" s="121"/>
      <c r="D34" s="114" t="str">
        <f t="array" ref="D34">INDEX(Table_Name28[Name List],MATCH(B34,Table_Name28[Category],0))</f>
        <v>Rear_or_Side_Delts[Exercise]</v>
      </c>
      <c r="E34" s="110" t="e">
        <f t="array" ref="E34">INDEX(Links49[Link],MATCH(C34,Links49[Exercise],0))</f>
        <v>#N/A</v>
      </c>
      <c r="F34" s="124" t="e">
        <f t="shared" si="29"/>
        <v>#N/A</v>
      </c>
      <c r="G34" s="127"/>
      <c r="H34" s="135">
        <f t="shared" si="30"/>
        <v>0</v>
      </c>
      <c r="I34" s="136">
        <v>4</v>
      </c>
      <c r="J34" s="136">
        <f>MROUND(((G34)*0.75),5)</f>
        <v>0</v>
      </c>
      <c r="K34" s="136" t="s">
        <v>11</v>
      </c>
      <c r="L34" s="136"/>
      <c r="M34" s="139"/>
      <c r="N34" s="135">
        <f t="shared" si="31"/>
        <v>0</v>
      </c>
      <c r="O34" s="136">
        <f>I34+(S17)</f>
        <v>4</v>
      </c>
      <c r="P34" s="136">
        <f t="shared" si="32"/>
        <v>0</v>
      </c>
      <c r="Q34" s="136" t="s">
        <v>11</v>
      </c>
      <c r="R34" s="136"/>
      <c r="S34" s="139"/>
      <c r="T34" s="140">
        <f t="shared" si="33"/>
        <v>0</v>
      </c>
      <c r="U34" s="136">
        <f>O34+(Y17)</f>
        <v>4</v>
      </c>
      <c r="V34" s="136">
        <f t="shared" si="34"/>
        <v>0</v>
      </c>
      <c r="W34" s="136" t="s">
        <v>12</v>
      </c>
      <c r="X34" s="136"/>
      <c r="Y34" s="139"/>
      <c r="Z34" s="138">
        <f t="shared" si="35"/>
        <v>0</v>
      </c>
      <c r="AA34" s="136">
        <f>U34+(AE17)</f>
        <v>4</v>
      </c>
      <c r="AB34" s="136">
        <f t="shared" si="36"/>
        <v>0</v>
      </c>
      <c r="AC34" s="136" t="s">
        <v>13</v>
      </c>
      <c r="AD34" s="136"/>
      <c r="AE34" s="150"/>
      <c r="AF34" s="98">
        <f t="shared" si="37"/>
        <v>0</v>
      </c>
      <c r="AG34" s="99">
        <v>2</v>
      </c>
      <c r="AH34" s="102">
        <f t="shared" si="38"/>
        <v>0</v>
      </c>
      <c r="AI34" s="69" t="s">
        <v>14</v>
      </c>
    </row>
    <row r="35" spans="1:35" ht="15.75" thickBot="1" x14ac:dyDescent="0.3">
      <c r="A35" s="61" t="s">
        <v>345</v>
      </c>
      <c r="B35" s="118" t="s">
        <v>177</v>
      </c>
      <c r="C35" s="122"/>
      <c r="D35" s="115" t="str">
        <f t="array" ref="D35">INDEX(Table_Name28[Name List],MATCH(B35,Table_Name28[Category],0))</f>
        <v>Rear_or_Side_Delts[Exercise]</v>
      </c>
      <c r="E35" s="111" t="e">
        <f t="array" ref="E35">INDEX(Links49[Link],MATCH(C35,Links49[Exercise],0))</f>
        <v>#N/A</v>
      </c>
      <c r="F35" s="125" t="e">
        <f t="shared" ref="F35" si="39">HYPERLINK(E35,"Video")</f>
        <v>#N/A</v>
      </c>
      <c r="G35" s="128"/>
      <c r="H35" s="142">
        <f t="shared" ref="H35" si="40">C35</f>
        <v>0</v>
      </c>
      <c r="I35" s="143">
        <v>4</v>
      </c>
      <c r="J35" s="143">
        <f>MROUND(((G35)*0.6),5)</f>
        <v>0</v>
      </c>
      <c r="K35" s="143" t="s">
        <v>11</v>
      </c>
      <c r="L35" s="143"/>
      <c r="M35" s="146"/>
      <c r="N35" s="142">
        <f t="shared" ref="N35" si="41">C35</f>
        <v>0</v>
      </c>
      <c r="O35" s="143">
        <f>I34+(S17)</f>
        <v>4</v>
      </c>
      <c r="P35" s="143">
        <f t="shared" ref="P35" si="42">MROUND((J35*1.05),5)</f>
        <v>0</v>
      </c>
      <c r="Q35" s="143" t="s">
        <v>11</v>
      </c>
      <c r="R35" s="143"/>
      <c r="S35" s="146"/>
      <c r="T35" s="147">
        <f t="shared" ref="T35" si="43">C35</f>
        <v>0</v>
      </c>
      <c r="U35" s="143">
        <f>O34+(Y17)</f>
        <v>4</v>
      </c>
      <c r="V35" s="143">
        <f t="shared" ref="V35" si="44">MROUND((J35*1.075),5)</f>
        <v>0</v>
      </c>
      <c r="W35" s="143" t="s">
        <v>12</v>
      </c>
      <c r="X35" s="143"/>
      <c r="Y35" s="146"/>
      <c r="Z35" s="145">
        <f t="shared" ref="Z35" si="45">C35</f>
        <v>0</v>
      </c>
      <c r="AA35" s="143">
        <f>U34+(AE17)</f>
        <v>4</v>
      </c>
      <c r="AB35" s="143">
        <f t="shared" ref="AB35" si="46">MROUND((J35*1.1),5)</f>
        <v>0</v>
      </c>
      <c r="AC35" s="143" t="s">
        <v>13</v>
      </c>
      <c r="AD35" s="143"/>
      <c r="AE35" s="151"/>
      <c r="AF35" s="98"/>
      <c r="AG35" s="99"/>
      <c r="AH35" s="102"/>
      <c r="AI35" s="69"/>
    </row>
    <row r="36" spans="1:35" ht="15.75" thickBot="1" x14ac:dyDescent="0.3">
      <c r="B36" s="119" t="s">
        <v>22</v>
      </c>
      <c r="C36" s="82"/>
      <c r="D36" s="74" t="str">
        <f t="array" ref="D36">INDEX(Table_Name28[Name List],MATCH(B36,Table_Name28[Category],0))</f>
        <v>Horizontal_Push[Exercise]</v>
      </c>
      <c r="E36" s="64" t="e">
        <f t="array" ref="E36">INDEX(Links49[Link],MATCH(C36,Links49[Exercise],0))</f>
        <v>#N/A</v>
      </c>
      <c r="F36" s="85" t="e">
        <f t="shared" si="29"/>
        <v>#N/A</v>
      </c>
      <c r="G36" s="88"/>
      <c r="H36" s="98">
        <f t="shared" si="30"/>
        <v>0</v>
      </c>
      <c r="I36" s="99">
        <v>2</v>
      </c>
      <c r="J36" s="99">
        <f>MROUND(((G36)*0.75),5)</f>
        <v>0</v>
      </c>
      <c r="K36" s="99" t="s">
        <v>11</v>
      </c>
      <c r="L36" s="99"/>
      <c r="M36" s="149"/>
      <c r="N36" s="98">
        <f t="shared" si="31"/>
        <v>0</v>
      </c>
      <c r="O36" s="99">
        <f>I36+(S14)</f>
        <v>2</v>
      </c>
      <c r="P36" s="99">
        <f t="shared" si="32"/>
        <v>0</v>
      </c>
      <c r="Q36" s="99" t="s">
        <v>11</v>
      </c>
      <c r="R36" s="99"/>
      <c r="S36" s="149"/>
      <c r="T36" s="59">
        <f t="shared" si="33"/>
        <v>0</v>
      </c>
      <c r="U36" s="99">
        <f>O36+(Y14)</f>
        <v>2</v>
      </c>
      <c r="V36" s="99">
        <f t="shared" si="34"/>
        <v>0</v>
      </c>
      <c r="W36" s="99" t="s">
        <v>12</v>
      </c>
      <c r="X36" s="99"/>
      <c r="Y36" s="149"/>
      <c r="Z36" s="100">
        <f t="shared" si="35"/>
        <v>0</v>
      </c>
      <c r="AA36" s="99">
        <f>U36+(AE14)</f>
        <v>2</v>
      </c>
      <c r="AB36" s="99">
        <f t="shared" si="36"/>
        <v>0</v>
      </c>
      <c r="AC36" s="99" t="s">
        <v>13</v>
      </c>
      <c r="AD36" s="99"/>
      <c r="AE36" s="99"/>
      <c r="AF36" s="100">
        <f t="shared" si="37"/>
        <v>0</v>
      </c>
      <c r="AG36" s="99">
        <v>2</v>
      </c>
      <c r="AH36" s="102">
        <f t="shared" si="38"/>
        <v>0</v>
      </c>
      <c r="AI36" s="69" t="s">
        <v>14</v>
      </c>
    </row>
    <row r="37" spans="1:35" ht="15.75" thickBot="1" x14ac:dyDescent="0.3">
      <c r="B37" s="79" t="s">
        <v>143</v>
      </c>
      <c r="C37" s="83"/>
      <c r="D37" s="75" t="str">
        <f t="array" ref="D37">INDEX(Table_Name28[Name List],MATCH(B37,Table_Name28[Category],0))</f>
        <v>Incline_Push[Exercise]</v>
      </c>
      <c r="E37" s="65" t="e">
        <f t="array" ref="E37">INDEX(Links49[Link],MATCH(C37,Links49[Exercise],0))</f>
        <v>#N/A</v>
      </c>
      <c r="F37" s="86" t="e">
        <f t="shared" si="29"/>
        <v>#N/A</v>
      </c>
      <c r="G37" s="89"/>
      <c r="H37" s="98">
        <f t="shared" si="30"/>
        <v>0</v>
      </c>
      <c r="I37" s="99">
        <v>2</v>
      </c>
      <c r="J37" s="99">
        <f>MROUND(((G37)*0.75),5)</f>
        <v>0</v>
      </c>
      <c r="K37" s="99" t="s">
        <v>11</v>
      </c>
      <c r="L37" s="99"/>
      <c r="M37" s="101"/>
      <c r="N37" s="98">
        <f t="shared" si="31"/>
        <v>0</v>
      </c>
      <c r="O37" s="99">
        <f>I37+(S11)</f>
        <v>2</v>
      </c>
      <c r="P37" s="99">
        <f t="shared" si="32"/>
        <v>0</v>
      </c>
      <c r="Q37" s="99" t="s">
        <v>11</v>
      </c>
      <c r="R37" s="99"/>
      <c r="S37" s="101"/>
      <c r="T37" s="59">
        <f t="shared" si="33"/>
        <v>0</v>
      </c>
      <c r="U37" s="99">
        <f>O37+(Y11)</f>
        <v>2</v>
      </c>
      <c r="V37" s="99">
        <f t="shared" si="34"/>
        <v>0</v>
      </c>
      <c r="W37" s="99" t="s">
        <v>12</v>
      </c>
      <c r="X37" s="99"/>
      <c r="Y37" s="101"/>
      <c r="Z37" s="100">
        <f t="shared" si="35"/>
        <v>0</v>
      </c>
      <c r="AA37" s="99">
        <f>U37+(AE11)</f>
        <v>2</v>
      </c>
      <c r="AB37" s="99">
        <f t="shared" si="36"/>
        <v>0</v>
      </c>
      <c r="AC37" s="99" t="s">
        <v>13</v>
      </c>
      <c r="AD37" s="99"/>
      <c r="AE37" s="99"/>
      <c r="AF37" s="100">
        <f t="shared" si="37"/>
        <v>0</v>
      </c>
      <c r="AG37" s="99">
        <v>2</v>
      </c>
      <c r="AH37" s="102">
        <f t="shared" si="38"/>
        <v>0</v>
      </c>
      <c r="AI37" s="69" t="s">
        <v>14</v>
      </c>
    </row>
    <row r="38" spans="1:35" ht="15.75" thickBot="1" x14ac:dyDescent="0.3">
      <c r="B38" s="80" t="s">
        <v>77</v>
      </c>
      <c r="C38" s="84"/>
      <c r="D38" s="76" t="str">
        <f t="array" ref="D38">INDEX(Table_Name28[Name List],MATCH(B38,Table_Name28[Category],0))</f>
        <v>Abs[Exercise]</v>
      </c>
      <c r="E38" s="66" t="e">
        <f t="array" ref="E38">INDEX(Links49[Link],MATCH(C38,Links49[Exercise],0))</f>
        <v>#N/A</v>
      </c>
      <c r="F38" s="87" t="e">
        <f t="shared" si="29"/>
        <v>#N/A</v>
      </c>
      <c r="G38" s="90"/>
      <c r="H38" s="103">
        <f t="shared" si="30"/>
        <v>0</v>
      </c>
      <c r="I38" s="104">
        <v>2</v>
      </c>
      <c r="J38" s="104">
        <f>MROUND(((G38)*0.75),5)</f>
        <v>0</v>
      </c>
      <c r="K38" s="104" t="s">
        <v>11</v>
      </c>
      <c r="L38" s="104"/>
      <c r="M38" s="101"/>
      <c r="N38" s="105">
        <f t="shared" si="31"/>
        <v>0</v>
      </c>
      <c r="O38" s="104">
        <f>I38+(S18)</f>
        <v>2</v>
      </c>
      <c r="P38" s="104">
        <f t="shared" si="32"/>
        <v>0</v>
      </c>
      <c r="Q38" s="104" t="s">
        <v>11</v>
      </c>
      <c r="R38" s="104"/>
      <c r="S38" s="101"/>
      <c r="T38" s="106">
        <f t="shared" si="33"/>
        <v>0</v>
      </c>
      <c r="U38" s="104">
        <f>O38+(Y18)</f>
        <v>2</v>
      </c>
      <c r="V38" s="104">
        <f t="shared" si="34"/>
        <v>0</v>
      </c>
      <c r="W38" s="104" t="s">
        <v>12</v>
      </c>
      <c r="X38" s="104"/>
      <c r="Y38" s="101"/>
      <c r="Z38" s="105">
        <f t="shared" si="35"/>
        <v>0</v>
      </c>
      <c r="AA38" s="104">
        <f>U38+(AE18)</f>
        <v>2</v>
      </c>
      <c r="AB38" s="104">
        <f t="shared" si="36"/>
        <v>0</v>
      </c>
      <c r="AC38" s="104" t="s">
        <v>13</v>
      </c>
      <c r="AD38" s="104"/>
      <c r="AE38" s="104"/>
      <c r="AF38" s="105">
        <f t="shared" si="37"/>
        <v>0</v>
      </c>
      <c r="AG38" s="104">
        <v>2</v>
      </c>
      <c r="AH38" s="107">
        <f t="shared" si="38"/>
        <v>0</v>
      </c>
      <c r="AI38" s="62" t="s">
        <v>14</v>
      </c>
    </row>
    <row r="39" spans="1:35" ht="19.5" thickBot="1" x14ac:dyDescent="0.3">
      <c r="B39" s="68" t="s">
        <v>342</v>
      </c>
      <c r="C39" s="38"/>
      <c r="D39" s="38"/>
      <c r="E39" s="38"/>
      <c r="F39" s="38"/>
      <c r="G39" s="69"/>
      <c r="H39" s="154" t="s">
        <v>1</v>
      </c>
      <c r="I39" s="155"/>
      <c r="J39" s="155"/>
      <c r="K39" s="155"/>
      <c r="L39" s="155"/>
      <c r="M39" s="156"/>
      <c r="N39" s="157" t="s">
        <v>2</v>
      </c>
      <c r="O39" s="158"/>
      <c r="P39" s="158"/>
      <c r="Q39" s="158"/>
      <c r="R39" s="158"/>
      <c r="S39" s="159"/>
      <c r="T39" s="160" t="s">
        <v>3</v>
      </c>
      <c r="U39" s="161"/>
      <c r="V39" s="161"/>
      <c r="W39" s="161"/>
      <c r="X39" s="161"/>
      <c r="Y39" s="162"/>
      <c r="Z39" s="163" t="s">
        <v>4</v>
      </c>
      <c r="AA39" s="164"/>
      <c r="AB39" s="164"/>
      <c r="AC39" s="164"/>
      <c r="AD39" s="164"/>
      <c r="AE39" s="165"/>
      <c r="AF39" s="166" t="s">
        <v>5</v>
      </c>
      <c r="AG39" s="167"/>
      <c r="AH39" s="167"/>
      <c r="AI39" s="168"/>
    </row>
    <row r="40" spans="1:35" ht="15.75" thickBot="1" x14ac:dyDescent="0.3">
      <c r="B40" s="38"/>
      <c r="C40" s="38"/>
      <c r="D40" s="38"/>
      <c r="E40" s="38"/>
      <c r="F40" s="38"/>
      <c r="G40" s="38"/>
      <c r="H40" s="91" t="s">
        <v>88</v>
      </c>
      <c r="I40" s="92" t="s">
        <v>6</v>
      </c>
      <c r="J40" s="93" t="s">
        <v>7</v>
      </c>
      <c r="K40" s="94" t="s">
        <v>8</v>
      </c>
      <c r="L40" s="94" t="s">
        <v>9</v>
      </c>
      <c r="M40" s="95" t="s">
        <v>10</v>
      </c>
      <c r="N40" s="96" t="s">
        <v>88</v>
      </c>
      <c r="O40" s="96" t="s">
        <v>6</v>
      </c>
      <c r="P40" s="93" t="s">
        <v>7</v>
      </c>
      <c r="Q40" s="94" t="s">
        <v>8</v>
      </c>
      <c r="R40" s="94" t="s">
        <v>9</v>
      </c>
      <c r="S40" s="95" t="s">
        <v>10</v>
      </c>
      <c r="T40" s="96" t="s">
        <v>88</v>
      </c>
      <c r="U40" s="96" t="s">
        <v>6</v>
      </c>
      <c r="V40" s="93" t="s">
        <v>7</v>
      </c>
      <c r="W40" s="94" t="s">
        <v>8</v>
      </c>
      <c r="X40" s="94" t="s">
        <v>9</v>
      </c>
      <c r="Y40" s="95" t="s">
        <v>10</v>
      </c>
      <c r="Z40" s="96" t="s">
        <v>88</v>
      </c>
      <c r="AA40" s="96" t="s">
        <v>6</v>
      </c>
      <c r="AB40" s="93" t="s">
        <v>7</v>
      </c>
      <c r="AC40" s="108" t="s">
        <v>15</v>
      </c>
      <c r="AD40" s="94" t="s">
        <v>9</v>
      </c>
      <c r="AE40" s="95" t="s">
        <v>10</v>
      </c>
      <c r="AF40" s="96" t="s">
        <v>88</v>
      </c>
      <c r="AG40" s="96" t="s">
        <v>6</v>
      </c>
      <c r="AH40" s="93" t="s">
        <v>7</v>
      </c>
      <c r="AI40" s="97" t="s">
        <v>8</v>
      </c>
    </row>
    <row r="41" spans="1:35" ht="15.75" thickBot="1" x14ac:dyDescent="0.3">
      <c r="B41" s="77" t="s">
        <v>340</v>
      </c>
      <c r="C41" s="81" t="s">
        <v>337</v>
      </c>
      <c r="D41" s="63"/>
      <c r="E41" s="60"/>
      <c r="F41" s="81" t="s">
        <v>347</v>
      </c>
      <c r="G41" s="81" t="s">
        <v>348</v>
      </c>
      <c r="H41" s="94" t="s">
        <v>337</v>
      </c>
      <c r="I41" s="70"/>
      <c r="J41" s="70"/>
      <c r="K41" s="70"/>
      <c r="L41" s="70"/>
      <c r="M41" s="67"/>
      <c r="N41" s="91" t="s">
        <v>337</v>
      </c>
      <c r="O41" s="70"/>
      <c r="P41" s="70"/>
      <c r="Q41" s="70"/>
      <c r="R41" s="70"/>
      <c r="S41" s="67"/>
      <c r="T41" s="91" t="s">
        <v>337</v>
      </c>
      <c r="U41" s="70"/>
      <c r="V41" s="70"/>
      <c r="W41" s="70"/>
      <c r="X41" s="70"/>
      <c r="Y41" s="70"/>
      <c r="Z41" s="91" t="s">
        <v>337</v>
      </c>
      <c r="AA41" s="70"/>
      <c r="AB41" s="70"/>
      <c r="AC41" s="70"/>
      <c r="AD41" s="70"/>
      <c r="AE41" s="70"/>
      <c r="AF41" s="91" t="s">
        <v>337</v>
      </c>
      <c r="AG41" s="70"/>
      <c r="AH41" s="70"/>
      <c r="AI41" s="67"/>
    </row>
    <row r="42" spans="1:35" ht="15.75" thickBot="1" x14ac:dyDescent="0.3">
      <c r="B42" s="78" t="s">
        <v>108</v>
      </c>
      <c r="C42" s="82"/>
      <c r="D42" s="74" t="str">
        <f t="array" ref="D42">INDEX(Table_Name28[Name List],MATCH(B42,Table_Name28[Category],0))</f>
        <v>Glutes[Exercise]</v>
      </c>
      <c r="E42" s="64" t="e">
        <f t="array" ref="E42">INDEX(Links49[Link],MATCH(C42,Links49[Exercise],0))</f>
        <v>#N/A</v>
      </c>
      <c r="F42" s="85" t="e">
        <f t="shared" ref="F42:F48" si="47">HYPERLINK(E42,"Video")</f>
        <v>#N/A</v>
      </c>
      <c r="G42" s="88"/>
      <c r="H42" s="98">
        <f t="shared" ref="H42:H48" si="48">C42</f>
        <v>0</v>
      </c>
      <c r="I42" s="99">
        <v>4</v>
      </c>
      <c r="J42" s="99">
        <f>MROUND(((G42)*0.75),5)</f>
        <v>0</v>
      </c>
      <c r="K42" s="99" t="s">
        <v>11</v>
      </c>
      <c r="L42" s="99"/>
      <c r="M42" s="101"/>
      <c r="N42" s="98">
        <f t="shared" ref="N42:N48" si="49">C42</f>
        <v>0</v>
      </c>
      <c r="O42" s="99">
        <f>I42+(S22)</f>
        <v>4</v>
      </c>
      <c r="P42" s="99">
        <f t="shared" ref="P42:P48" si="50">MROUND((J42*1.05),5)</f>
        <v>0</v>
      </c>
      <c r="Q42" s="99" t="s">
        <v>11</v>
      </c>
      <c r="R42" s="99"/>
      <c r="S42" s="101"/>
      <c r="T42" s="59">
        <f t="shared" ref="T42:T48" si="51">C42</f>
        <v>0</v>
      </c>
      <c r="U42" s="99">
        <f>O42+(Y22)</f>
        <v>4</v>
      </c>
      <c r="V42" s="99">
        <f t="shared" ref="V42:V48" si="52">MROUND((J42*1.075),5)</f>
        <v>0</v>
      </c>
      <c r="W42" s="99" t="s">
        <v>12</v>
      </c>
      <c r="X42" s="99"/>
      <c r="Y42" s="101"/>
      <c r="Z42" s="100">
        <f t="shared" ref="Z42:Z48" si="53">C42</f>
        <v>0</v>
      </c>
      <c r="AA42" s="99">
        <f>U42+(AE22)</f>
        <v>4</v>
      </c>
      <c r="AB42" s="99">
        <f t="shared" ref="AB42:AB48" si="54">MROUND((J42*1.1),5)</f>
        <v>0</v>
      </c>
      <c r="AC42" s="99" t="s">
        <v>13</v>
      </c>
      <c r="AD42" s="99"/>
      <c r="AE42" s="99"/>
      <c r="AF42" s="100">
        <f t="shared" ref="AF42:AF48" si="55">C42</f>
        <v>0</v>
      </c>
      <c r="AG42" s="99">
        <v>2</v>
      </c>
      <c r="AH42" s="102">
        <f t="shared" ref="AH42:AH48" si="56">MROUND((J42*0.5),5)</f>
        <v>0</v>
      </c>
      <c r="AI42" s="69" t="s">
        <v>14</v>
      </c>
    </row>
    <row r="43" spans="1:35" ht="15.75" thickBot="1" x14ac:dyDescent="0.3">
      <c r="B43" s="79" t="s">
        <v>107</v>
      </c>
      <c r="C43" s="83"/>
      <c r="D43" s="75" t="str">
        <f t="array" ref="D43">INDEX(Table_Name28[Name List],MATCH(B43,Table_Name28[Category],0))</f>
        <v>Hamstrings_Hip_Hinge[Exercise]</v>
      </c>
      <c r="E43" s="65" t="e">
        <f t="array" ref="E43">INDEX(Links49[Link],MATCH(C43,Links49[Exercise],0))</f>
        <v>#N/A</v>
      </c>
      <c r="F43" s="86" t="e">
        <f t="shared" si="47"/>
        <v>#N/A</v>
      </c>
      <c r="G43" s="89"/>
      <c r="H43" s="98">
        <f t="shared" si="48"/>
        <v>0</v>
      </c>
      <c r="I43" s="99">
        <v>4</v>
      </c>
      <c r="J43" s="99">
        <f>MROUND(((G43)*0.75),5)</f>
        <v>0</v>
      </c>
      <c r="K43" s="99" t="s">
        <v>11</v>
      </c>
      <c r="L43" s="99"/>
      <c r="M43" s="101"/>
      <c r="N43" s="98">
        <f t="shared" si="49"/>
        <v>0</v>
      </c>
      <c r="O43" s="99">
        <f>I43+(S24)</f>
        <v>4</v>
      </c>
      <c r="P43" s="99">
        <f t="shared" si="50"/>
        <v>0</v>
      </c>
      <c r="Q43" s="99" t="s">
        <v>11</v>
      </c>
      <c r="R43" s="99"/>
      <c r="S43" s="101"/>
      <c r="T43" s="59">
        <f t="shared" si="51"/>
        <v>0</v>
      </c>
      <c r="U43" s="99">
        <f>O43+(Y24)</f>
        <v>4</v>
      </c>
      <c r="V43" s="99">
        <f t="shared" si="52"/>
        <v>0</v>
      </c>
      <c r="W43" s="99" t="s">
        <v>12</v>
      </c>
      <c r="X43" s="99"/>
      <c r="Y43" s="101"/>
      <c r="Z43" s="100">
        <f t="shared" si="53"/>
        <v>0</v>
      </c>
      <c r="AA43" s="99">
        <f>U43+(AE24)</f>
        <v>4</v>
      </c>
      <c r="AB43" s="99">
        <f t="shared" si="54"/>
        <v>0</v>
      </c>
      <c r="AC43" s="99" t="s">
        <v>13</v>
      </c>
      <c r="AD43" s="99"/>
      <c r="AE43" s="99"/>
      <c r="AF43" s="100">
        <f t="shared" si="55"/>
        <v>0</v>
      </c>
      <c r="AG43" s="99">
        <v>2</v>
      </c>
      <c r="AH43" s="102">
        <f t="shared" si="56"/>
        <v>0</v>
      </c>
      <c r="AI43" s="69" t="s">
        <v>14</v>
      </c>
    </row>
    <row r="44" spans="1:35" ht="15.75" thickBot="1" x14ac:dyDescent="0.3">
      <c r="B44" s="130" t="s">
        <v>20</v>
      </c>
      <c r="C44" s="131"/>
      <c r="D44" s="129" t="str">
        <f t="array" ref="D44">INDEX(Table_Name28[Name List],MATCH(B44,Table_Name28[Category],0))</f>
        <v>Quads[Exercise]</v>
      </c>
      <c r="E44" s="112" t="e">
        <f t="array" ref="E44">INDEX(Links49[Link],MATCH(C44,Links49[Exercise],0))</f>
        <v>#N/A</v>
      </c>
      <c r="F44" s="132" t="e">
        <f t="shared" si="47"/>
        <v>#N/A</v>
      </c>
      <c r="G44" s="133"/>
      <c r="H44" s="98">
        <f t="shared" si="48"/>
        <v>0</v>
      </c>
      <c r="I44" s="99">
        <v>4</v>
      </c>
      <c r="J44" s="143">
        <f>MROUND(((G44)*0.75),5)</f>
        <v>0</v>
      </c>
      <c r="K44" s="99" t="s">
        <v>11</v>
      </c>
      <c r="L44" s="99"/>
      <c r="M44" s="134"/>
      <c r="N44" s="98">
        <f t="shared" si="49"/>
        <v>0</v>
      </c>
      <c r="O44" s="99">
        <f>I44+(S22)</f>
        <v>4</v>
      </c>
      <c r="P44" s="99">
        <f t="shared" si="50"/>
        <v>0</v>
      </c>
      <c r="Q44" s="99" t="s">
        <v>11</v>
      </c>
      <c r="R44" s="99"/>
      <c r="S44" s="134"/>
      <c r="T44" s="59">
        <f t="shared" si="51"/>
        <v>0</v>
      </c>
      <c r="U44" s="99">
        <f>O44+(Y22)</f>
        <v>4</v>
      </c>
      <c r="V44" s="99">
        <f t="shared" si="52"/>
        <v>0</v>
      </c>
      <c r="W44" s="99" t="s">
        <v>12</v>
      </c>
      <c r="X44" s="99"/>
      <c r="Y44" s="134"/>
      <c r="Z44" s="100">
        <f t="shared" si="53"/>
        <v>0</v>
      </c>
      <c r="AA44" s="99">
        <f>U44+(AE22)</f>
        <v>4</v>
      </c>
      <c r="AB44" s="99">
        <f t="shared" si="54"/>
        <v>0</v>
      </c>
      <c r="AC44" s="99" t="s">
        <v>13</v>
      </c>
      <c r="AD44" s="99"/>
      <c r="AE44" s="99"/>
      <c r="AF44" s="100">
        <f t="shared" si="55"/>
        <v>0</v>
      </c>
      <c r="AG44" s="99">
        <v>2</v>
      </c>
      <c r="AH44" s="102">
        <f t="shared" si="56"/>
        <v>0</v>
      </c>
      <c r="AI44" s="69" t="s">
        <v>14</v>
      </c>
    </row>
    <row r="45" spans="1:35" ht="15.75" thickBot="1" x14ac:dyDescent="0.3">
      <c r="A45" s="61" t="s">
        <v>344</v>
      </c>
      <c r="B45" s="117" t="s">
        <v>18</v>
      </c>
      <c r="C45" s="121"/>
      <c r="D45" s="114" t="str">
        <f t="array" ref="D45">INDEX(Table_Name28[Name List],MATCH(B45,Table_Name28[Category],0))</f>
        <v>Biceps[Exercise]</v>
      </c>
      <c r="E45" s="110" t="e">
        <f t="array" ref="E45">INDEX(Links49[Link],MATCH(C45,Links49[Exercise],0))</f>
        <v>#N/A</v>
      </c>
      <c r="F45" s="124" t="e">
        <f t="shared" si="47"/>
        <v>#N/A</v>
      </c>
      <c r="G45" s="127"/>
      <c r="H45" s="135">
        <f t="shared" si="48"/>
        <v>0</v>
      </c>
      <c r="I45" s="136">
        <v>2</v>
      </c>
      <c r="J45" s="99">
        <f>MROUND(((G45)*0.75),5)</f>
        <v>0</v>
      </c>
      <c r="K45" s="136" t="s">
        <v>11</v>
      </c>
      <c r="L45" s="136"/>
      <c r="M45" s="139"/>
      <c r="N45" s="135">
        <f t="shared" si="49"/>
        <v>0</v>
      </c>
      <c r="O45" s="136">
        <f>I45+(S16)</f>
        <v>2</v>
      </c>
      <c r="P45" s="136">
        <f t="shared" si="50"/>
        <v>0</v>
      </c>
      <c r="Q45" s="136" t="s">
        <v>11</v>
      </c>
      <c r="R45" s="136"/>
      <c r="S45" s="139"/>
      <c r="T45" s="140">
        <f t="shared" si="51"/>
        <v>0</v>
      </c>
      <c r="U45" s="136">
        <f>O45+(Y16)</f>
        <v>2</v>
      </c>
      <c r="V45" s="136">
        <f t="shared" si="52"/>
        <v>0</v>
      </c>
      <c r="W45" s="136" t="s">
        <v>12</v>
      </c>
      <c r="X45" s="136"/>
      <c r="Y45" s="139"/>
      <c r="Z45" s="138">
        <f t="shared" si="53"/>
        <v>0</v>
      </c>
      <c r="AA45" s="136">
        <f>U45+(AE16)</f>
        <v>2</v>
      </c>
      <c r="AB45" s="136">
        <f t="shared" si="54"/>
        <v>0</v>
      </c>
      <c r="AC45" s="136" t="s">
        <v>13</v>
      </c>
      <c r="AD45" s="136"/>
      <c r="AE45" s="150"/>
      <c r="AF45" s="98">
        <f t="shared" si="55"/>
        <v>0</v>
      </c>
      <c r="AG45" s="99">
        <v>2</v>
      </c>
      <c r="AH45" s="102">
        <f t="shared" si="56"/>
        <v>0</v>
      </c>
      <c r="AI45" s="69" t="s">
        <v>14</v>
      </c>
    </row>
    <row r="46" spans="1:35" ht="15.75" thickBot="1" x14ac:dyDescent="0.3">
      <c r="A46" s="61" t="s">
        <v>345</v>
      </c>
      <c r="B46" s="118" t="s">
        <v>18</v>
      </c>
      <c r="C46" s="122"/>
      <c r="D46" s="115" t="str">
        <f t="array" ref="D46">INDEX(Table_Name28[Name List],MATCH(B46,Table_Name28[Category],0))</f>
        <v>Biceps[Exercise]</v>
      </c>
      <c r="E46" s="111" t="e">
        <f t="array" ref="E46">INDEX(Links49[Link],MATCH(C46,Links49[Exercise],0))</f>
        <v>#N/A</v>
      </c>
      <c r="F46" s="125" t="e">
        <f t="shared" ref="F46" si="57">HYPERLINK(E46,"Video")</f>
        <v>#N/A</v>
      </c>
      <c r="G46" s="128"/>
      <c r="H46" s="142">
        <f t="shared" ref="H46" si="58">C46</f>
        <v>0</v>
      </c>
      <c r="I46" s="143">
        <v>2</v>
      </c>
      <c r="J46" s="143">
        <f>MROUND(((G46)*0.6),5)</f>
        <v>0</v>
      </c>
      <c r="K46" s="143" t="s">
        <v>11</v>
      </c>
      <c r="L46" s="143"/>
      <c r="M46" s="146"/>
      <c r="N46" s="142">
        <f t="shared" ref="N46" si="59">C46</f>
        <v>0</v>
      </c>
      <c r="O46" s="143">
        <f>I45+(S16)</f>
        <v>2</v>
      </c>
      <c r="P46" s="143">
        <f t="shared" ref="P46" si="60">MROUND((J46*1.05),5)</f>
        <v>0</v>
      </c>
      <c r="Q46" s="143" t="s">
        <v>11</v>
      </c>
      <c r="R46" s="143"/>
      <c r="S46" s="146"/>
      <c r="T46" s="147">
        <f t="shared" ref="T46" si="61">C46</f>
        <v>0</v>
      </c>
      <c r="U46" s="143">
        <f>O45+(Y16)</f>
        <v>2</v>
      </c>
      <c r="V46" s="143">
        <f t="shared" ref="V46" si="62">MROUND((J46*1.075),5)</f>
        <v>0</v>
      </c>
      <c r="W46" s="143" t="s">
        <v>12</v>
      </c>
      <c r="X46" s="143"/>
      <c r="Y46" s="146"/>
      <c r="Z46" s="145">
        <f t="shared" ref="Z46" si="63">C46</f>
        <v>0</v>
      </c>
      <c r="AA46" s="143">
        <f>U45+(AE16)</f>
        <v>2</v>
      </c>
      <c r="AB46" s="143">
        <f t="shared" ref="AB46" si="64">MROUND((J46*1.1),5)</f>
        <v>0</v>
      </c>
      <c r="AC46" s="143" t="s">
        <v>13</v>
      </c>
      <c r="AD46" s="143"/>
      <c r="AE46" s="151"/>
      <c r="AF46" s="98"/>
      <c r="AG46" s="99"/>
      <c r="AH46" s="102"/>
      <c r="AI46" s="69"/>
    </row>
    <row r="47" spans="1:35" ht="15.75" thickBot="1" x14ac:dyDescent="0.3">
      <c r="B47" s="119" t="s">
        <v>120</v>
      </c>
      <c r="C47" s="82"/>
      <c r="D47" s="74" t="str">
        <f t="array" ref="D47">INDEX(Table_Name28[Name List],MATCH(B47,Table_Name28[Category],0))</f>
        <v>Traps[Exercise]</v>
      </c>
      <c r="E47" s="64" t="e">
        <f t="array" ref="E47">INDEX(Links49[Link],MATCH(C47,Links49[Exercise],0))</f>
        <v>#N/A</v>
      </c>
      <c r="F47" s="85" t="e">
        <f t="shared" si="47"/>
        <v>#N/A</v>
      </c>
      <c r="G47" s="88"/>
      <c r="H47" s="98">
        <f t="shared" si="48"/>
        <v>0</v>
      </c>
      <c r="I47" s="99">
        <v>2</v>
      </c>
      <c r="J47" s="99">
        <f>MROUND(((G47)*0.75),5)</f>
        <v>0</v>
      </c>
      <c r="K47" s="99" t="s">
        <v>11</v>
      </c>
      <c r="L47" s="99"/>
      <c r="M47" s="149"/>
      <c r="N47" s="98">
        <f t="shared" si="49"/>
        <v>0</v>
      </c>
      <c r="O47" s="99">
        <f>I47+(S17)</f>
        <v>2</v>
      </c>
      <c r="P47" s="99">
        <f t="shared" si="50"/>
        <v>0</v>
      </c>
      <c r="Q47" s="99" t="s">
        <v>11</v>
      </c>
      <c r="R47" s="99"/>
      <c r="S47" s="149"/>
      <c r="T47" s="59">
        <f t="shared" si="51"/>
        <v>0</v>
      </c>
      <c r="U47" s="99">
        <f>O47+(Y17)</f>
        <v>2</v>
      </c>
      <c r="V47" s="99">
        <f t="shared" si="52"/>
        <v>0</v>
      </c>
      <c r="W47" s="99" t="s">
        <v>12</v>
      </c>
      <c r="X47" s="99"/>
      <c r="Y47" s="149"/>
      <c r="Z47" s="100">
        <f t="shared" si="53"/>
        <v>0</v>
      </c>
      <c r="AA47" s="99">
        <f>U47+(AE17)</f>
        <v>2</v>
      </c>
      <c r="AB47" s="99">
        <f t="shared" si="54"/>
        <v>0</v>
      </c>
      <c r="AC47" s="99" t="s">
        <v>13</v>
      </c>
      <c r="AD47" s="99"/>
      <c r="AE47" s="99"/>
      <c r="AF47" s="100">
        <f t="shared" si="55"/>
        <v>0</v>
      </c>
      <c r="AG47" s="99">
        <v>2</v>
      </c>
      <c r="AH47" s="102">
        <f t="shared" si="56"/>
        <v>0</v>
      </c>
      <c r="AI47" s="69" t="s">
        <v>14</v>
      </c>
    </row>
    <row r="48" spans="1:35" ht="15.75" thickBot="1" x14ac:dyDescent="0.3">
      <c r="B48" s="80" t="s">
        <v>19</v>
      </c>
      <c r="C48" s="84"/>
      <c r="D48" s="76" t="str">
        <f t="array" ref="D48">INDEX(Table_Name28[Name List],MATCH(B48,Table_Name28[Category],0))</f>
        <v>Calves[Exercise]</v>
      </c>
      <c r="E48" s="66" t="e">
        <f t="array" ref="E48">INDEX(Links49[Link],MATCH(C48,Links49[Exercise],0))</f>
        <v>#N/A</v>
      </c>
      <c r="F48" s="87" t="e">
        <f t="shared" si="47"/>
        <v>#N/A</v>
      </c>
      <c r="G48" s="90"/>
      <c r="H48" s="103">
        <f t="shared" si="48"/>
        <v>0</v>
      </c>
      <c r="I48" s="104">
        <v>6</v>
      </c>
      <c r="J48" s="104">
        <f>MROUND(((G48)*0.75),5)</f>
        <v>0</v>
      </c>
      <c r="K48" s="104" t="s">
        <v>11</v>
      </c>
      <c r="L48" s="104"/>
      <c r="M48" s="101"/>
      <c r="N48" s="105">
        <f t="shared" si="49"/>
        <v>0</v>
      </c>
      <c r="O48" s="104">
        <f>I48+(S25)</f>
        <v>6</v>
      </c>
      <c r="P48" s="104">
        <f t="shared" si="50"/>
        <v>0</v>
      </c>
      <c r="Q48" s="104" t="s">
        <v>11</v>
      </c>
      <c r="R48" s="104"/>
      <c r="S48" s="101"/>
      <c r="T48" s="106">
        <f t="shared" si="51"/>
        <v>0</v>
      </c>
      <c r="U48" s="104">
        <f>O48+(Y25)</f>
        <v>6</v>
      </c>
      <c r="V48" s="104">
        <f t="shared" si="52"/>
        <v>0</v>
      </c>
      <c r="W48" s="104" t="s">
        <v>12</v>
      </c>
      <c r="X48" s="104"/>
      <c r="Y48" s="101"/>
      <c r="Z48" s="105">
        <f t="shared" si="53"/>
        <v>0</v>
      </c>
      <c r="AA48" s="104">
        <f>U48+(AE25)</f>
        <v>6</v>
      </c>
      <c r="AB48" s="104">
        <f t="shared" si="54"/>
        <v>0</v>
      </c>
      <c r="AC48" s="104" t="s">
        <v>13</v>
      </c>
      <c r="AD48" s="104"/>
      <c r="AE48" s="104"/>
      <c r="AF48" s="105">
        <f t="shared" si="55"/>
        <v>0</v>
      </c>
      <c r="AG48" s="104">
        <v>2</v>
      </c>
      <c r="AH48" s="107">
        <f t="shared" si="56"/>
        <v>0</v>
      </c>
      <c r="AI48" s="62" t="s">
        <v>14</v>
      </c>
    </row>
    <row r="49" spans="2:35" s="44" customFormat="1" x14ac:dyDescent="0.25">
      <c r="B49" s="56"/>
      <c r="C49" s="36"/>
      <c r="D49" s="36"/>
      <c r="E49" s="57"/>
      <c r="F49" s="58"/>
      <c r="G49" s="59"/>
      <c r="H49" s="36"/>
      <c r="I49" s="4"/>
      <c r="J49" s="4"/>
      <c r="K49" s="4"/>
      <c r="L49" s="4"/>
      <c r="M49" s="4"/>
      <c r="N49" s="36"/>
      <c r="O49" s="4"/>
      <c r="P49" s="4"/>
      <c r="Q49" s="4"/>
      <c r="R49" s="4"/>
      <c r="S49" s="4"/>
      <c r="T49" s="36"/>
      <c r="U49" s="4"/>
      <c r="V49" s="4"/>
      <c r="W49" s="4"/>
      <c r="X49" s="4"/>
      <c r="Y49" s="4"/>
      <c r="Z49" s="36"/>
      <c r="AA49" s="4"/>
      <c r="AB49" s="4"/>
      <c r="AC49" s="4"/>
      <c r="AD49" s="4"/>
      <c r="AE49" s="4"/>
      <c r="AF49" s="36"/>
      <c r="AG49" s="4"/>
      <c r="AH49" s="4"/>
      <c r="AI49" s="4"/>
    </row>
    <row r="50" spans="2:35" s="44" customFormat="1" x14ac:dyDescent="0.25">
      <c r="B50" s="18" t="s">
        <v>343</v>
      </c>
      <c r="C50" s="36"/>
      <c r="D50" s="36"/>
      <c r="E50" s="57"/>
      <c r="F50" s="58"/>
      <c r="G50" s="59"/>
      <c r="H50" s="36"/>
      <c r="I50" s="4"/>
      <c r="J50" s="4"/>
      <c r="K50" s="4"/>
      <c r="L50" s="4"/>
      <c r="M50" s="4"/>
      <c r="N50" s="36"/>
      <c r="O50" s="4"/>
      <c r="P50" s="4"/>
      <c r="Q50" s="4"/>
      <c r="R50" s="4"/>
      <c r="S50" s="4"/>
      <c r="T50" s="36"/>
      <c r="U50" s="4"/>
      <c r="V50" s="4"/>
      <c r="W50" s="4"/>
      <c r="X50" s="4"/>
      <c r="Y50" s="4"/>
      <c r="Z50" s="36"/>
      <c r="AA50" s="4"/>
      <c r="AB50" s="4"/>
      <c r="AC50" s="4"/>
      <c r="AD50" s="4"/>
      <c r="AE50" s="4"/>
      <c r="AF50" s="36"/>
      <c r="AG50" s="4"/>
      <c r="AH50" s="4"/>
      <c r="AI50" s="4"/>
    </row>
    <row r="51" spans="2:35" s="44" customFormat="1" x14ac:dyDescent="0.25">
      <c r="B51" s="56"/>
      <c r="C51" s="36"/>
      <c r="D51" s="36"/>
      <c r="E51" s="57"/>
      <c r="F51" s="58"/>
      <c r="G51" s="59"/>
      <c r="H51" s="36"/>
      <c r="I51" s="4"/>
      <c r="J51" s="4"/>
      <c r="K51" s="4"/>
      <c r="L51" s="4"/>
      <c r="M51" s="4"/>
      <c r="N51" s="36"/>
      <c r="O51" s="4"/>
      <c r="P51" s="4"/>
      <c r="Q51" s="4"/>
      <c r="R51" s="4"/>
      <c r="S51" s="4"/>
      <c r="T51" s="36"/>
      <c r="U51" s="4"/>
      <c r="V51" s="4"/>
      <c r="W51" s="4"/>
      <c r="X51" s="4"/>
      <c r="Y51" s="4"/>
      <c r="Z51" s="36"/>
      <c r="AA51" s="4"/>
      <c r="AB51" s="4"/>
      <c r="AC51" s="4"/>
      <c r="AD51" s="4"/>
      <c r="AE51" s="4"/>
      <c r="AF51" s="36"/>
      <c r="AG51" s="4"/>
      <c r="AH51" s="4"/>
      <c r="AI51" s="4"/>
    </row>
    <row r="52" spans="2:35" s="44" customFormat="1" x14ac:dyDescent="0.25">
      <c r="B52" s="56"/>
      <c r="C52" s="36"/>
      <c r="D52" s="36"/>
      <c r="E52" s="57"/>
      <c r="F52" s="58"/>
      <c r="G52" s="59"/>
      <c r="H52" s="36"/>
      <c r="I52" s="4"/>
      <c r="J52" s="4"/>
      <c r="K52" s="4"/>
      <c r="L52" s="4"/>
      <c r="M52" s="4"/>
      <c r="N52" s="36"/>
      <c r="O52" s="4"/>
      <c r="P52" s="4"/>
      <c r="Q52" s="4"/>
      <c r="R52" s="4"/>
      <c r="S52" s="4"/>
      <c r="T52" s="36"/>
      <c r="U52" s="4"/>
      <c r="V52" s="4"/>
      <c r="W52" s="4"/>
      <c r="X52" s="4"/>
      <c r="Y52" s="4"/>
      <c r="Z52" s="36"/>
      <c r="AA52" s="4"/>
      <c r="AB52" s="4"/>
      <c r="AC52" s="4"/>
      <c r="AD52" s="4"/>
      <c r="AE52" s="4"/>
      <c r="AF52" s="36"/>
      <c r="AG52" s="4"/>
      <c r="AH52" s="4"/>
      <c r="AI52" s="4"/>
    </row>
    <row r="53" spans="2:35" s="44" customFormat="1" x14ac:dyDescent="0.25">
      <c r="B53" s="56"/>
      <c r="C53" s="36"/>
      <c r="D53" s="36"/>
      <c r="E53" s="57"/>
      <c r="F53" s="58"/>
      <c r="G53" s="59"/>
      <c r="H53" s="36"/>
      <c r="I53" s="4"/>
      <c r="J53" s="4"/>
      <c r="K53" s="4"/>
      <c r="L53" s="4"/>
      <c r="M53" s="4"/>
      <c r="N53" s="36"/>
      <c r="O53" s="4"/>
      <c r="P53" s="4"/>
      <c r="Q53" s="4"/>
      <c r="R53" s="4"/>
      <c r="S53" s="4"/>
      <c r="T53" s="36"/>
      <c r="U53" s="4"/>
      <c r="V53" s="4"/>
      <c r="W53" s="4"/>
      <c r="X53" s="4"/>
      <c r="Y53" s="4"/>
      <c r="Z53" s="36"/>
      <c r="AA53" s="4"/>
      <c r="AB53" s="4"/>
      <c r="AC53" s="4"/>
      <c r="AD53" s="4"/>
      <c r="AE53" s="4"/>
      <c r="AF53" s="36"/>
      <c r="AG53" s="4"/>
      <c r="AH53" s="4"/>
      <c r="AI53" s="4"/>
    </row>
    <row r="54" spans="2:35" s="44" customFormat="1" x14ac:dyDescent="0.25">
      <c r="B54" s="56"/>
      <c r="C54" s="36"/>
      <c r="D54" s="36"/>
      <c r="E54" s="57"/>
      <c r="F54" s="58"/>
      <c r="G54" s="59"/>
      <c r="H54" s="36"/>
      <c r="I54" s="4"/>
      <c r="J54" s="4"/>
      <c r="K54" s="4"/>
      <c r="L54" s="4"/>
      <c r="M54" s="4"/>
      <c r="N54" s="36"/>
      <c r="O54" s="4"/>
      <c r="P54" s="4"/>
      <c r="Q54" s="4"/>
      <c r="R54" s="4"/>
      <c r="S54" s="4"/>
      <c r="T54" s="36"/>
      <c r="U54" s="4"/>
      <c r="V54" s="4"/>
      <c r="W54" s="4"/>
      <c r="X54" s="4"/>
      <c r="Y54" s="4"/>
      <c r="Z54" s="36"/>
      <c r="AA54" s="4"/>
      <c r="AB54" s="4"/>
      <c r="AC54" s="4"/>
      <c r="AD54" s="4"/>
      <c r="AE54" s="4"/>
      <c r="AF54" s="36"/>
      <c r="AG54" s="4"/>
      <c r="AH54" s="4"/>
      <c r="AI54" s="4"/>
    </row>
    <row r="55" spans="2:35" s="44" customFormat="1" x14ac:dyDescent="0.25">
      <c r="B55" s="56"/>
      <c r="C55" s="36"/>
      <c r="D55" s="36"/>
      <c r="E55" s="57"/>
      <c r="F55" s="58"/>
      <c r="G55" s="59"/>
      <c r="H55" s="36"/>
      <c r="I55" s="4"/>
      <c r="J55" s="4"/>
      <c r="K55" s="4"/>
      <c r="L55" s="4"/>
      <c r="M55" s="4"/>
      <c r="N55" s="36"/>
      <c r="O55" s="4"/>
      <c r="P55" s="4"/>
      <c r="Q55" s="4"/>
      <c r="R55" s="4"/>
      <c r="S55" s="4"/>
      <c r="T55" s="36"/>
      <c r="U55" s="4"/>
      <c r="V55" s="4"/>
      <c r="W55" s="4"/>
      <c r="X55" s="4"/>
      <c r="Y55" s="4"/>
      <c r="Z55" s="36"/>
      <c r="AA55" s="4"/>
      <c r="AB55" s="4"/>
      <c r="AC55" s="4"/>
      <c r="AD55" s="4"/>
      <c r="AE55" s="4"/>
      <c r="AF55" s="36"/>
      <c r="AG55" s="4"/>
      <c r="AH55" s="4"/>
      <c r="AI55" s="4"/>
    </row>
    <row r="56" spans="2:35" s="44" customFormat="1" x14ac:dyDescent="0.25">
      <c r="B56" s="56"/>
      <c r="C56" s="36"/>
      <c r="D56" s="36"/>
      <c r="E56" s="57"/>
      <c r="F56" s="58"/>
      <c r="G56" s="59"/>
      <c r="H56" s="36"/>
      <c r="I56" s="4"/>
      <c r="J56" s="4"/>
      <c r="K56" s="4"/>
      <c r="L56" s="4"/>
      <c r="M56" s="4"/>
      <c r="N56" s="36"/>
      <c r="O56" s="4"/>
      <c r="P56" s="4"/>
      <c r="Q56" s="4"/>
      <c r="R56" s="4"/>
      <c r="S56" s="4"/>
      <c r="T56" s="36"/>
      <c r="U56" s="4"/>
      <c r="V56" s="4"/>
      <c r="W56" s="4"/>
      <c r="X56" s="4"/>
      <c r="Y56" s="4"/>
      <c r="Z56" s="36"/>
      <c r="AA56" s="4"/>
      <c r="AB56" s="4"/>
      <c r="AC56" s="4"/>
      <c r="AD56" s="4"/>
      <c r="AE56" s="4"/>
      <c r="AF56" s="36"/>
      <c r="AG56" s="4"/>
      <c r="AH56" s="4"/>
      <c r="AI56" s="4"/>
    </row>
    <row r="57" spans="2:35" s="44" customFormat="1" x14ac:dyDescent="0.25">
      <c r="B57" s="56"/>
      <c r="C57" s="36"/>
      <c r="D57" s="36"/>
      <c r="E57" s="57"/>
      <c r="F57" s="58"/>
      <c r="G57" s="59"/>
      <c r="H57" s="36"/>
      <c r="I57" s="4"/>
      <c r="J57" s="4"/>
      <c r="K57" s="4"/>
      <c r="L57" s="4"/>
      <c r="M57" s="4"/>
      <c r="N57" s="36"/>
      <c r="O57" s="4"/>
      <c r="P57" s="4"/>
      <c r="Q57" s="4"/>
      <c r="R57" s="4"/>
      <c r="S57" s="4"/>
      <c r="T57" s="36"/>
      <c r="U57" s="4"/>
      <c r="V57" s="4"/>
      <c r="W57" s="4"/>
      <c r="X57" s="4"/>
      <c r="Y57" s="4"/>
      <c r="Z57" s="36"/>
      <c r="AA57" s="4"/>
      <c r="AB57" s="4"/>
      <c r="AC57" s="4"/>
      <c r="AD57" s="4"/>
      <c r="AE57" s="4"/>
      <c r="AF57" s="36"/>
      <c r="AG57" s="4"/>
      <c r="AH57" s="4"/>
      <c r="AI57" s="4"/>
    </row>
    <row r="58" spans="2:35" s="44" customFormat="1" x14ac:dyDescent="0.25">
      <c r="B58" s="56"/>
      <c r="C58" s="36"/>
      <c r="D58" s="36"/>
      <c r="E58" s="57"/>
      <c r="F58" s="58"/>
      <c r="G58" s="59"/>
      <c r="H58" s="36"/>
      <c r="I58" s="4"/>
      <c r="J58" s="4"/>
      <c r="K58" s="4"/>
      <c r="L58" s="4"/>
      <c r="M58" s="4"/>
      <c r="N58" s="36"/>
      <c r="O58" s="4"/>
      <c r="P58" s="4"/>
      <c r="Q58" s="4"/>
      <c r="R58" s="4"/>
      <c r="S58" s="4"/>
      <c r="T58" s="36"/>
      <c r="U58" s="4"/>
      <c r="V58" s="4"/>
      <c r="W58" s="4"/>
      <c r="X58" s="4"/>
      <c r="Y58" s="4"/>
      <c r="Z58" s="36"/>
      <c r="AA58" s="4"/>
      <c r="AB58" s="4"/>
      <c r="AC58" s="4"/>
      <c r="AD58" s="4"/>
      <c r="AE58" s="4"/>
      <c r="AF58" s="36"/>
      <c r="AG58" s="4"/>
      <c r="AH58" s="4"/>
      <c r="AI58" s="4"/>
    </row>
    <row r="59" spans="2:35" s="44" customFormat="1" x14ac:dyDescent="0.25">
      <c r="B59" s="56"/>
      <c r="C59" s="36"/>
      <c r="D59" s="36"/>
      <c r="E59" s="57"/>
      <c r="F59" s="58"/>
      <c r="G59" s="59"/>
      <c r="H59" s="36"/>
      <c r="I59" s="4"/>
      <c r="J59" s="4"/>
      <c r="K59" s="4"/>
      <c r="L59" s="4"/>
      <c r="M59" s="4"/>
      <c r="N59" s="36"/>
      <c r="O59" s="4"/>
      <c r="P59" s="4"/>
      <c r="Q59" s="4"/>
      <c r="R59" s="4"/>
      <c r="S59" s="4"/>
      <c r="T59" s="36"/>
      <c r="U59" s="4"/>
      <c r="V59" s="4"/>
      <c r="W59" s="4"/>
      <c r="X59" s="4"/>
      <c r="Y59" s="4"/>
      <c r="Z59" s="36"/>
      <c r="AA59" s="4"/>
      <c r="AB59" s="4"/>
      <c r="AC59" s="4"/>
      <c r="AD59" s="4"/>
      <c r="AE59" s="4"/>
      <c r="AF59" s="36"/>
      <c r="AG59" s="4"/>
      <c r="AH59" s="4"/>
      <c r="AI59" s="4"/>
    </row>
    <row r="60" spans="2:35" s="44" customFormat="1" x14ac:dyDescent="0.25">
      <c r="B60" s="56"/>
      <c r="C60" s="36"/>
      <c r="D60" s="36"/>
      <c r="E60" s="57"/>
      <c r="F60" s="58"/>
      <c r="G60" s="59"/>
      <c r="H60" s="36"/>
      <c r="I60" s="4"/>
      <c r="J60" s="4"/>
      <c r="K60" s="4"/>
      <c r="L60" s="4"/>
      <c r="M60" s="4"/>
      <c r="N60" s="36"/>
      <c r="O60" s="4"/>
      <c r="P60" s="4"/>
      <c r="Q60" s="4"/>
      <c r="R60" s="4"/>
      <c r="S60" s="4"/>
      <c r="T60" s="36"/>
      <c r="U60" s="4"/>
      <c r="V60" s="4"/>
      <c r="W60" s="4"/>
      <c r="X60" s="4"/>
      <c r="Y60" s="4"/>
      <c r="Z60" s="36"/>
      <c r="AA60" s="4"/>
      <c r="AB60" s="4"/>
      <c r="AC60" s="4"/>
      <c r="AD60" s="4"/>
      <c r="AE60" s="4"/>
      <c r="AF60" s="36"/>
      <c r="AG60" s="4"/>
      <c r="AH60" s="4"/>
      <c r="AI60" s="4"/>
    </row>
    <row r="61" spans="2:35" s="44" customFormat="1" x14ac:dyDescent="0.25">
      <c r="B61" s="56"/>
      <c r="C61" s="36"/>
      <c r="D61" s="36"/>
      <c r="E61" s="57"/>
      <c r="F61" s="58"/>
      <c r="G61" s="59"/>
      <c r="H61" s="36"/>
      <c r="I61" s="4"/>
      <c r="J61" s="4"/>
      <c r="K61" s="4"/>
      <c r="L61" s="4"/>
      <c r="M61" s="4"/>
      <c r="N61" s="36"/>
      <c r="O61" s="4"/>
      <c r="P61" s="4"/>
      <c r="Q61" s="4"/>
      <c r="R61" s="4"/>
      <c r="S61" s="4"/>
      <c r="T61" s="36"/>
      <c r="U61" s="4"/>
      <c r="V61" s="4"/>
      <c r="W61" s="4"/>
      <c r="X61" s="4"/>
      <c r="Y61" s="4"/>
      <c r="Z61" s="36"/>
      <c r="AA61" s="4"/>
      <c r="AB61" s="4"/>
      <c r="AC61" s="4"/>
      <c r="AD61" s="4"/>
      <c r="AE61" s="4"/>
      <c r="AF61" s="36"/>
      <c r="AG61" s="4"/>
      <c r="AH61" s="4"/>
      <c r="AI61" s="4"/>
    </row>
    <row r="62" spans="2:35" s="44" customFormat="1" x14ac:dyDescent="0.25">
      <c r="B62" s="56"/>
      <c r="C62" s="36"/>
      <c r="D62" s="36"/>
      <c r="E62" s="57"/>
      <c r="F62" s="58"/>
      <c r="G62" s="59"/>
      <c r="H62" s="36"/>
      <c r="I62" s="4"/>
      <c r="J62" s="4"/>
      <c r="K62" s="4"/>
      <c r="L62" s="4"/>
      <c r="M62" s="4"/>
      <c r="N62" s="36"/>
      <c r="O62" s="4"/>
      <c r="P62" s="4"/>
      <c r="Q62" s="4"/>
      <c r="R62" s="4"/>
      <c r="S62" s="4"/>
      <c r="T62" s="36"/>
      <c r="U62" s="4"/>
      <c r="V62" s="4"/>
      <c r="W62" s="4"/>
      <c r="X62" s="4"/>
      <c r="Y62" s="4"/>
      <c r="Z62" s="36"/>
      <c r="AA62" s="4"/>
      <c r="AB62" s="4"/>
      <c r="AC62" s="4"/>
      <c r="AD62" s="4"/>
      <c r="AE62" s="4"/>
      <c r="AF62" s="36"/>
      <c r="AG62" s="4"/>
      <c r="AH62" s="4"/>
      <c r="AI62" s="4"/>
    </row>
    <row r="63" spans="2:35" s="44" customFormat="1" x14ac:dyDescent="0.25">
      <c r="B63" s="56"/>
      <c r="C63" s="36"/>
      <c r="D63" s="36"/>
      <c r="E63" s="57"/>
      <c r="F63" s="58"/>
      <c r="G63" s="59"/>
      <c r="H63" s="36"/>
      <c r="I63" s="4"/>
      <c r="J63" s="4"/>
      <c r="K63" s="4"/>
      <c r="L63" s="4"/>
      <c r="M63" s="4"/>
      <c r="N63" s="36"/>
      <c r="O63" s="4"/>
      <c r="P63" s="4"/>
      <c r="Q63" s="4"/>
      <c r="R63" s="4"/>
      <c r="S63" s="4"/>
      <c r="T63" s="36"/>
      <c r="U63" s="4"/>
      <c r="V63" s="4"/>
      <c r="W63" s="4"/>
      <c r="X63" s="4"/>
      <c r="Y63" s="4"/>
      <c r="Z63" s="36"/>
      <c r="AA63" s="4"/>
      <c r="AB63" s="4"/>
      <c r="AC63" s="4"/>
      <c r="AD63" s="4"/>
      <c r="AE63" s="4"/>
      <c r="AF63" s="36"/>
      <c r="AG63" s="4"/>
      <c r="AH63" s="4"/>
      <c r="AI63" s="4"/>
    </row>
    <row r="64" spans="2:35" s="44" customFormat="1" x14ac:dyDescent="0.25">
      <c r="B64" s="56"/>
      <c r="C64" s="36"/>
      <c r="D64" s="36"/>
      <c r="E64" s="57"/>
      <c r="F64" s="58"/>
      <c r="G64" s="59"/>
      <c r="H64" s="36"/>
      <c r="I64" s="4"/>
      <c r="J64" s="4"/>
      <c r="K64" s="4"/>
      <c r="L64" s="4"/>
      <c r="M64" s="4"/>
      <c r="N64" s="36"/>
      <c r="O64" s="4"/>
      <c r="P64" s="4"/>
      <c r="Q64" s="4"/>
      <c r="R64" s="4"/>
      <c r="S64" s="4"/>
      <c r="T64" s="36"/>
      <c r="U64" s="4"/>
      <c r="V64" s="4"/>
      <c r="W64" s="4"/>
      <c r="X64" s="4"/>
      <c r="Y64" s="4"/>
      <c r="Z64" s="36"/>
      <c r="AA64" s="4"/>
      <c r="AB64" s="4"/>
      <c r="AC64" s="4"/>
      <c r="AD64" s="4"/>
      <c r="AE64" s="4"/>
      <c r="AF64" s="36"/>
      <c r="AG64" s="4"/>
      <c r="AH64" s="4"/>
      <c r="AI64" s="4"/>
    </row>
    <row r="65" spans="1:35" s="44" customFormat="1" x14ac:dyDescent="0.25">
      <c r="B65" s="56"/>
      <c r="C65" s="36"/>
      <c r="D65" s="36"/>
      <c r="E65" s="57"/>
      <c r="F65" s="58"/>
      <c r="G65" s="59"/>
      <c r="H65" s="36"/>
      <c r="I65" s="4"/>
      <c r="J65" s="4"/>
      <c r="K65" s="4"/>
      <c r="L65" s="4"/>
      <c r="M65" s="4"/>
      <c r="N65" s="36"/>
      <c r="O65" s="4"/>
      <c r="P65" s="4"/>
      <c r="Q65" s="4"/>
      <c r="R65" s="4"/>
      <c r="S65" s="4"/>
      <c r="T65" s="36"/>
      <c r="U65" s="4"/>
      <c r="V65" s="4"/>
      <c r="W65" s="4"/>
      <c r="X65" s="4"/>
      <c r="Y65" s="4"/>
      <c r="Z65" s="36"/>
      <c r="AA65" s="4"/>
      <c r="AB65" s="4"/>
      <c r="AC65" s="4"/>
      <c r="AD65" s="4"/>
      <c r="AE65" s="4"/>
      <c r="AF65" s="36"/>
      <c r="AG65" s="4"/>
      <c r="AH65" s="4"/>
      <c r="AI65" s="4"/>
    </row>
    <row r="66" spans="1:35" s="44" customFormat="1" x14ac:dyDescent="0.25">
      <c r="B66" s="56"/>
      <c r="C66" s="36"/>
      <c r="D66" s="36"/>
      <c r="E66" s="57"/>
      <c r="F66" s="58"/>
      <c r="G66" s="59"/>
      <c r="H66" s="36"/>
      <c r="I66" s="4"/>
      <c r="J66" s="4"/>
      <c r="K66" s="4"/>
      <c r="L66" s="4"/>
      <c r="M66" s="4"/>
      <c r="N66" s="36"/>
      <c r="O66" s="4"/>
      <c r="P66" s="4"/>
      <c r="Q66" s="4"/>
      <c r="R66" s="4"/>
      <c r="S66" s="4"/>
      <c r="T66" s="36"/>
      <c r="U66" s="4"/>
      <c r="V66" s="4"/>
      <c r="W66" s="4"/>
      <c r="X66" s="4"/>
      <c r="Y66" s="4"/>
      <c r="Z66" s="36"/>
      <c r="AA66" s="4"/>
      <c r="AB66" s="4"/>
      <c r="AC66" s="4"/>
      <c r="AD66" s="4"/>
      <c r="AE66" s="4"/>
      <c r="AF66" s="36"/>
      <c r="AG66" s="4"/>
      <c r="AH66" s="4"/>
      <c r="AI66" s="4"/>
    </row>
    <row r="67" spans="1:35" x14ac:dyDescent="0.25">
      <c r="E67" s="44"/>
    </row>
    <row r="68" spans="1:35" hidden="1" x14ac:dyDescent="0.25">
      <c r="C68" t="s">
        <v>21</v>
      </c>
      <c r="E68" s="44"/>
    </row>
    <row r="69" spans="1:35" hidden="1" x14ac:dyDescent="0.25">
      <c r="C69">
        <v>1</v>
      </c>
      <c r="E69" s="44"/>
    </row>
    <row r="70" spans="1:35" hidden="1" x14ac:dyDescent="0.25">
      <c r="C70">
        <v>0</v>
      </c>
      <c r="E70" s="44"/>
    </row>
    <row r="71" spans="1:35" hidden="1" x14ac:dyDescent="0.25">
      <c r="C71">
        <v>-1</v>
      </c>
      <c r="E71" s="44"/>
    </row>
    <row r="72" spans="1:35" hidden="1" x14ac:dyDescent="0.25">
      <c r="E72" s="44"/>
    </row>
    <row r="73" spans="1:35" hidden="1" x14ac:dyDescent="0.25">
      <c r="E73" s="44"/>
    </row>
    <row r="74" spans="1:35" hidden="1" x14ac:dyDescent="0.25">
      <c r="E74" s="44"/>
    </row>
    <row r="75" spans="1:35" hidden="1" x14ac:dyDescent="0.25">
      <c r="E75" s="44"/>
      <c r="F75" s="8"/>
      <c r="G75" s="8"/>
      <c r="H75" s="8"/>
    </row>
    <row r="76" spans="1:35" hidden="1" x14ac:dyDescent="0.25">
      <c r="A76" s="37" t="s">
        <v>77</v>
      </c>
      <c r="B76" s="48" t="s">
        <v>88</v>
      </c>
      <c r="C76" s="52" t="s">
        <v>295</v>
      </c>
      <c r="D76" s="8"/>
      <c r="E76" s="44"/>
      <c r="H76" s="12"/>
    </row>
    <row r="77" spans="1:35" hidden="1" x14ac:dyDescent="0.25">
      <c r="A77" s="12"/>
      <c r="B77" s="53" t="s">
        <v>109</v>
      </c>
      <c r="C77" s="48" t="s">
        <v>179</v>
      </c>
      <c r="D77" s="38"/>
      <c r="E77" s="44"/>
      <c r="H77" s="12"/>
    </row>
    <row r="78" spans="1:35" hidden="1" x14ac:dyDescent="0.25">
      <c r="A78" s="12"/>
      <c r="B78" s="53" t="s">
        <v>79</v>
      </c>
      <c r="C78" s="48" t="s">
        <v>180</v>
      </c>
      <c r="D78" s="38"/>
      <c r="E78" s="44"/>
      <c r="H78" s="12"/>
    </row>
    <row r="79" spans="1:35" hidden="1" x14ac:dyDescent="0.25">
      <c r="A79" s="12"/>
      <c r="B79" s="53" t="s">
        <v>80</v>
      </c>
      <c r="C79" s="48" t="s">
        <v>181</v>
      </c>
      <c r="D79" s="38"/>
      <c r="E79" s="44"/>
      <c r="H79" s="12"/>
    </row>
    <row r="80" spans="1:35" hidden="1" x14ac:dyDescent="0.25">
      <c r="A80" s="12"/>
      <c r="B80" s="53" t="s">
        <v>78</v>
      </c>
      <c r="C80" s="48" t="s">
        <v>182</v>
      </c>
      <c r="D80" s="38"/>
      <c r="E80" s="44"/>
      <c r="H80" s="12"/>
    </row>
    <row r="81" spans="1:9" hidden="1" x14ac:dyDescent="0.25">
      <c r="A81" s="12"/>
      <c r="B81" s="53" t="s">
        <v>110</v>
      </c>
      <c r="C81" s="53" t="s">
        <v>183</v>
      </c>
      <c r="D81" s="40"/>
      <c r="E81" s="44"/>
      <c r="H81" s="12"/>
    </row>
    <row r="82" spans="1:9" hidden="1" x14ac:dyDescent="0.25">
      <c r="A82" s="12"/>
      <c r="B82" s="53" t="s">
        <v>81</v>
      </c>
      <c r="C82" s="48" t="s">
        <v>184</v>
      </c>
      <c r="D82" s="38"/>
      <c r="E82" s="44"/>
      <c r="H82" s="12"/>
    </row>
    <row r="83" spans="1:9" hidden="1" x14ac:dyDescent="0.25">
      <c r="A83" s="12"/>
      <c r="B83" s="53" t="s">
        <v>146</v>
      </c>
      <c r="C83" s="48" t="s">
        <v>185</v>
      </c>
      <c r="D83" s="38"/>
      <c r="E83" s="44"/>
      <c r="H83" s="38"/>
      <c r="I83" s="38"/>
    </row>
    <row r="84" spans="1:9" hidden="1" x14ac:dyDescent="0.25">
      <c r="A84" s="38"/>
      <c r="B84" s="48"/>
      <c r="C84" s="52"/>
      <c r="D84" s="8"/>
      <c r="E84" s="44"/>
    </row>
    <row r="85" spans="1:9" hidden="1" x14ac:dyDescent="0.25">
      <c r="A85" s="37" t="s">
        <v>19</v>
      </c>
      <c r="B85" s="49" t="s">
        <v>88</v>
      </c>
      <c r="C85" s="54" t="s">
        <v>295</v>
      </c>
      <c r="D85" s="43"/>
      <c r="E85" s="44"/>
      <c r="H85" s="37"/>
      <c r="I85" s="38"/>
    </row>
    <row r="86" spans="1:9" hidden="1" x14ac:dyDescent="0.25">
      <c r="A86" s="12"/>
      <c r="B86" s="53" t="s">
        <v>111</v>
      </c>
      <c r="C86" s="48" t="s">
        <v>186</v>
      </c>
      <c r="D86" s="38"/>
      <c r="E86" s="44"/>
      <c r="H86" s="12"/>
    </row>
    <row r="87" spans="1:9" hidden="1" x14ac:dyDescent="0.25">
      <c r="A87" s="12"/>
      <c r="B87" s="53" t="s">
        <v>75</v>
      </c>
      <c r="C87" s="48" t="s">
        <v>187</v>
      </c>
      <c r="D87" s="38"/>
      <c r="E87" s="44"/>
      <c r="H87" s="12"/>
    </row>
    <row r="88" spans="1:9" hidden="1" x14ac:dyDescent="0.25">
      <c r="A88" s="12"/>
      <c r="B88" s="53" t="s">
        <v>74</v>
      </c>
      <c r="C88" s="48" t="s">
        <v>188</v>
      </c>
      <c r="D88" s="38"/>
      <c r="E88" s="44"/>
      <c r="H88" s="12"/>
    </row>
    <row r="89" spans="1:9" hidden="1" x14ac:dyDescent="0.25">
      <c r="A89" s="12"/>
      <c r="B89" s="53" t="s">
        <v>76</v>
      </c>
      <c r="C89" s="48" t="s">
        <v>189</v>
      </c>
      <c r="D89" s="38"/>
      <c r="E89" s="44"/>
      <c r="H89" s="12"/>
    </row>
    <row r="90" spans="1:9" hidden="1" x14ac:dyDescent="0.25">
      <c r="A90" s="38"/>
      <c r="B90" s="48"/>
      <c r="C90" s="52"/>
      <c r="D90" s="8"/>
      <c r="E90" s="44"/>
      <c r="H90" s="38"/>
      <c r="I90" s="38"/>
    </row>
    <row r="91" spans="1:9" hidden="1" x14ac:dyDescent="0.25">
      <c r="A91" s="37" t="s">
        <v>18</v>
      </c>
      <c r="B91" s="49" t="s">
        <v>88</v>
      </c>
      <c r="C91" s="54" t="s">
        <v>295</v>
      </c>
      <c r="D91" s="43"/>
      <c r="E91" s="44"/>
      <c r="H91" s="37"/>
      <c r="I91" s="38"/>
    </row>
    <row r="92" spans="1:9" hidden="1" x14ac:dyDescent="0.25">
      <c r="A92" s="12"/>
      <c r="B92" s="53" t="s">
        <v>61</v>
      </c>
      <c r="C92" s="48" t="s">
        <v>190</v>
      </c>
      <c r="D92" s="38"/>
      <c r="E92" s="44"/>
      <c r="H92" s="12"/>
    </row>
    <row r="93" spans="1:9" hidden="1" x14ac:dyDescent="0.25">
      <c r="A93" s="12"/>
      <c r="B93" s="53" t="s">
        <v>62</v>
      </c>
      <c r="C93" s="48" t="s">
        <v>191</v>
      </c>
      <c r="D93" s="38"/>
      <c r="E93" s="44"/>
      <c r="H93" s="12"/>
    </row>
    <row r="94" spans="1:9" hidden="1" x14ac:dyDescent="0.25">
      <c r="A94" s="12"/>
      <c r="B94" s="53" t="s">
        <v>112</v>
      </c>
      <c r="C94" s="48" t="s">
        <v>192</v>
      </c>
      <c r="D94" s="38"/>
      <c r="E94" s="44"/>
      <c r="H94" s="12"/>
    </row>
    <row r="95" spans="1:9" hidden="1" x14ac:dyDescent="0.25">
      <c r="A95" s="12"/>
      <c r="B95" s="53" t="s">
        <v>63</v>
      </c>
      <c r="C95" s="48" t="s">
        <v>193</v>
      </c>
      <c r="D95" s="38"/>
      <c r="E95" s="44"/>
      <c r="H95" s="12"/>
    </row>
    <row r="96" spans="1:9" hidden="1" x14ac:dyDescent="0.25">
      <c r="A96" s="12"/>
      <c r="B96" s="53" t="s">
        <v>113</v>
      </c>
      <c r="C96" s="48" t="s">
        <v>194</v>
      </c>
      <c r="D96" s="38"/>
      <c r="E96" s="44"/>
      <c r="H96" s="12"/>
    </row>
    <row r="97" spans="1:9" hidden="1" x14ac:dyDescent="0.25">
      <c r="A97" s="12"/>
      <c r="B97" s="53" t="s">
        <v>114</v>
      </c>
      <c r="C97" s="48" t="s">
        <v>195</v>
      </c>
      <c r="D97" s="38"/>
      <c r="E97" s="44"/>
      <c r="H97" s="12"/>
    </row>
    <row r="98" spans="1:9" hidden="1" x14ac:dyDescent="0.25">
      <c r="A98" s="12"/>
      <c r="B98" s="53" t="s">
        <v>147</v>
      </c>
      <c r="C98" s="48" t="s">
        <v>196</v>
      </c>
      <c r="D98" s="38"/>
      <c r="E98" s="44"/>
      <c r="H98" s="12"/>
    </row>
    <row r="99" spans="1:9" hidden="1" x14ac:dyDescent="0.25">
      <c r="A99" s="12"/>
      <c r="B99" s="53" t="s">
        <v>148</v>
      </c>
      <c r="C99" s="48" t="s">
        <v>197</v>
      </c>
      <c r="D99" s="38"/>
      <c r="E99" s="44"/>
      <c r="H99" s="12"/>
    </row>
    <row r="100" spans="1:9" hidden="1" x14ac:dyDescent="0.25">
      <c r="A100" s="12"/>
      <c r="B100" s="53" t="s">
        <v>115</v>
      </c>
      <c r="C100" s="53" t="s">
        <v>198</v>
      </c>
      <c r="D100" s="40"/>
      <c r="E100" s="44"/>
      <c r="H100" s="12"/>
    </row>
    <row r="101" spans="1:9" hidden="1" x14ac:dyDescent="0.25">
      <c r="A101" s="12"/>
      <c r="B101" s="53" t="s">
        <v>116</v>
      </c>
      <c r="C101" s="48" t="s">
        <v>199</v>
      </c>
      <c r="D101" s="38"/>
      <c r="E101" s="44"/>
      <c r="H101" s="12"/>
    </row>
    <row r="102" spans="1:9" hidden="1" x14ac:dyDescent="0.25">
      <c r="A102" s="12"/>
      <c r="B102" s="53" t="s">
        <v>149</v>
      </c>
      <c r="C102" s="48" t="s">
        <v>200</v>
      </c>
      <c r="D102" s="38"/>
      <c r="E102" s="44"/>
      <c r="H102" s="12"/>
    </row>
    <row r="103" spans="1:9" hidden="1" x14ac:dyDescent="0.25">
      <c r="A103" s="38"/>
      <c r="B103" s="48"/>
      <c r="C103" s="50"/>
      <c r="E103" s="44"/>
      <c r="H103" s="38"/>
      <c r="I103" s="38"/>
    </row>
    <row r="104" spans="1:9" hidden="1" x14ac:dyDescent="0.25">
      <c r="A104" s="37" t="s">
        <v>117</v>
      </c>
      <c r="B104" s="49" t="s">
        <v>88</v>
      </c>
      <c r="C104" s="54" t="s">
        <v>295</v>
      </c>
      <c r="D104" s="43"/>
      <c r="E104" s="44"/>
      <c r="H104" s="37"/>
      <c r="I104" s="38"/>
    </row>
    <row r="105" spans="1:9" hidden="1" x14ac:dyDescent="0.25">
      <c r="A105" s="12"/>
      <c r="B105" s="53" t="s">
        <v>51</v>
      </c>
      <c r="C105" s="48" t="s">
        <v>201</v>
      </c>
      <c r="D105" s="38"/>
      <c r="E105" s="44"/>
      <c r="H105" s="12"/>
    </row>
    <row r="106" spans="1:9" hidden="1" x14ac:dyDescent="0.25">
      <c r="A106" s="12"/>
      <c r="B106" s="53" t="s">
        <v>118</v>
      </c>
      <c r="C106" s="48" t="s">
        <v>202</v>
      </c>
      <c r="D106" s="38"/>
      <c r="E106" s="44"/>
      <c r="H106" s="12"/>
    </row>
    <row r="107" spans="1:9" hidden="1" x14ac:dyDescent="0.25">
      <c r="A107" s="12"/>
      <c r="B107" s="53" t="s">
        <v>150</v>
      </c>
      <c r="C107" s="48" t="s">
        <v>203</v>
      </c>
      <c r="D107" s="38"/>
      <c r="E107" s="44"/>
      <c r="H107" s="12"/>
    </row>
    <row r="108" spans="1:9" hidden="1" x14ac:dyDescent="0.25">
      <c r="A108" s="12"/>
      <c r="B108" s="53" t="s">
        <v>50</v>
      </c>
      <c r="C108" s="48" t="s">
        <v>204</v>
      </c>
      <c r="D108" s="38"/>
      <c r="E108" s="44"/>
      <c r="H108" s="12"/>
    </row>
    <row r="109" spans="1:9" hidden="1" x14ac:dyDescent="0.25">
      <c r="A109" s="38"/>
      <c r="B109" s="48"/>
      <c r="C109" s="48"/>
      <c r="D109" s="38"/>
      <c r="E109" s="44"/>
      <c r="H109" s="38"/>
    </row>
    <row r="110" spans="1:9" hidden="1" x14ac:dyDescent="0.25">
      <c r="A110" s="39" t="s">
        <v>105</v>
      </c>
      <c r="B110" s="49" t="s">
        <v>88</v>
      </c>
      <c r="C110" s="54" t="s">
        <v>295</v>
      </c>
      <c r="D110" s="43"/>
      <c r="E110" s="44"/>
      <c r="H110" s="39"/>
    </row>
    <row r="111" spans="1:9" hidden="1" x14ac:dyDescent="0.25">
      <c r="A111" s="12"/>
      <c r="B111" s="53" t="s">
        <v>46</v>
      </c>
      <c r="C111" s="48" t="s">
        <v>205</v>
      </c>
      <c r="D111" s="38"/>
      <c r="E111" s="44"/>
      <c r="H111" s="12"/>
    </row>
    <row r="112" spans="1:9" hidden="1" x14ac:dyDescent="0.25">
      <c r="A112" s="12"/>
      <c r="B112" s="53" t="s">
        <v>47</v>
      </c>
      <c r="C112" s="48" t="s">
        <v>206</v>
      </c>
      <c r="D112" s="38"/>
      <c r="E112" s="44"/>
      <c r="H112" s="12"/>
    </row>
    <row r="113" spans="1:8" hidden="1" x14ac:dyDescent="0.25">
      <c r="A113" s="12"/>
      <c r="B113" s="53" t="s">
        <v>49</v>
      </c>
      <c r="C113" s="48" t="s">
        <v>207</v>
      </c>
      <c r="D113" s="38"/>
      <c r="E113" s="44"/>
      <c r="H113" s="12"/>
    </row>
    <row r="114" spans="1:8" hidden="1" x14ac:dyDescent="0.25">
      <c r="A114" s="12"/>
      <c r="B114" s="53" t="s">
        <v>48</v>
      </c>
      <c r="C114" s="48" t="s">
        <v>208</v>
      </c>
      <c r="D114" s="38"/>
      <c r="E114" s="44"/>
      <c r="H114" s="12"/>
    </row>
    <row r="115" spans="1:8" hidden="1" x14ac:dyDescent="0.25">
      <c r="A115" s="12"/>
      <c r="B115" s="53" t="s">
        <v>119</v>
      </c>
      <c r="C115" s="48" t="s">
        <v>209</v>
      </c>
      <c r="D115" s="38"/>
      <c r="E115" s="44"/>
      <c r="H115" s="12"/>
    </row>
    <row r="116" spans="1:8" hidden="1" x14ac:dyDescent="0.25">
      <c r="A116" s="38"/>
      <c r="B116" s="48"/>
      <c r="C116" s="48"/>
      <c r="D116" s="38"/>
      <c r="E116" s="44"/>
      <c r="H116" s="38"/>
    </row>
    <row r="117" spans="1:8" hidden="1" x14ac:dyDescent="0.25">
      <c r="A117" s="39" t="s">
        <v>120</v>
      </c>
      <c r="B117" s="49" t="s">
        <v>88</v>
      </c>
      <c r="C117" s="54" t="s">
        <v>295</v>
      </c>
      <c r="D117" s="43"/>
      <c r="E117" s="44"/>
      <c r="H117" s="39"/>
    </row>
    <row r="118" spans="1:8" hidden="1" x14ac:dyDescent="0.25">
      <c r="A118" s="12"/>
      <c r="B118" s="53" t="s">
        <v>151</v>
      </c>
      <c r="C118" s="48" t="s">
        <v>210</v>
      </c>
      <c r="D118" s="38"/>
      <c r="E118" s="44"/>
      <c r="H118" s="12"/>
    </row>
    <row r="119" spans="1:8" hidden="1" x14ac:dyDescent="0.25">
      <c r="A119" s="12"/>
      <c r="B119" s="53" t="s">
        <v>121</v>
      </c>
      <c r="C119" s="48" t="s">
        <v>211</v>
      </c>
      <c r="D119" s="38"/>
      <c r="E119" s="44"/>
      <c r="H119" s="12"/>
    </row>
    <row r="120" spans="1:8" hidden="1" x14ac:dyDescent="0.25">
      <c r="A120" s="12"/>
      <c r="B120" s="53" t="s">
        <v>122</v>
      </c>
      <c r="C120" s="48" t="s">
        <v>212</v>
      </c>
      <c r="D120" s="38"/>
      <c r="E120" s="44"/>
      <c r="H120" s="12"/>
    </row>
    <row r="121" spans="1:8" hidden="1" x14ac:dyDescent="0.25">
      <c r="A121" s="12"/>
      <c r="B121" s="53" t="s">
        <v>123</v>
      </c>
      <c r="C121" s="48" t="s">
        <v>213</v>
      </c>
      <c r="D121" s="38"/>
      <c r="E121" s="44"/>
      <c r="H121" s="12"/>
    </row>
    <row r="122" spans="1:8" hidden="1" x14ac:dyDescent="0.25">
      <c r="A122" s="12"/>
      <c r="B122" s="53"/>
      <c r="C122" s="48"/>
      <c r="D122" s="38"/>
      <c r="E122" s="44"/>
      <c r="H122" s="12"/>
    </row>
    <row r="123" spans="1:8" hidden="1" x14ac:dyDescent="0.25">
      <c r="A123" s="39" t="s">
        <v>52</v>
      </c>
      <c r="B123" s="49" t="s">
        <v>88</v>
      </c>
      <c r="C123" s="54" t="s">
        <v>295</v>
      </c>
      <c r="D123" s="43"/>
      <c r="E123" s="44"/>
      <c r="H123" s="39"/>
    </row>
    <row r="124" spans="1:8" hidden="1" x14ac:dyDescent="0.25">
      <c r="A124" s="12"/>
      <c r="B124" s="53" t="s">
        <v>152</v>
      </c>
      <c r="C124" s="48" t="s">
        <v>214</v>
      </c>
      <c r="D124" s="38"/>
      <c r="E124" s="44"/>
      <c r="H124" s="12"/>
    </row>
    <row r="125" spans="1:8" hidden="1" x14ac:dyDescent="0.25">
      <c r="A125" s="12"/>
      <c r="B125" s="53" t="s">
        <v>124</v>
      </c>
      <c r="C125" s="48" t="s">
        <v>215</v>
      </c>
      <c r="D125" s="38"/>
      <c r="E125" s="44"/>
      <c r="H125" s="12"/>
    </row>
    <row r="126" spans="1:8" hidden="1" x14ac:dyDescent="0.25">
      <c r="A126" s="12"/>
      <c r="B126" s="53" t="s">
        <v>56</v>
      </c>
      <c r="C126" s="48" t="s">
        <v>216</v>
      </c>
      <c r="D126" s="38"/>
      <c r="E126" s="44"/>
      <c r="H126" s="12"/>
    </row>
    <row r="127" spans="1:8" hidden="1" x14ac:dyDescent="0.25">
      <c r="A127" s="12"/>
      <c r="B127" s="53" t="s">
        <v>55</v>
      </c>
      <c r="C127" s="48" t="s">
        <v>217</v>
      </c>
      <c r="D127" s="38"/>
      <c r="E127" s="44"/>
      <c r="H127" s="12"/>
    </row>
    <row r="128" spans="1:8" hidden="1" x14ac:dyDescent="0.25">
      <c r="A128" s="12"/>
      <c r="B128" s="53" t="s">
        <v>153</v>
      </c>
      <c r="C128" s="48" t="s">
        <v>218</v>
      </c>
      <c r="D128" s="38"/>
      <c r="E128" s="44"/>
      <c r="H128" s="12"/>
    </row>
    <row r="129" spans="1:8" hidden="1" x14ac:dyDescent="0.25">
      <c r="A129" s="12"/>
      <c r="B129" s="53" t="s">
        <v>53</v>
      </c>
      <c r="C129" s="48" t="s">
        <v>219</v>
      </c>
      <c r="D129" s="38"/>
      <c r="E129" s="44"/>
      <c r="H129" s="12"/>
    </row>
    <row r="130" spans="1:8" hidden="1" x14ac:dyDescent="0.25">
      <c r="A130" s="12"/>
      <c r="B130" s="53" t="s">
        <v>125</v>
      </c>
      <c r="C130" s="48" t="s">
        <v>220</v>
      </c>
      <c r="D130" s="38"/>
      <c r="E130" s="44"/>
      <c r="H130" s="12"/>
    </row>
    <row r="131" spans="1:8" hidden="1" x14ac:dyDescent="0.25">
      <c r="A131" s="12"/>
      <c r="B131" s="53" t="s">
        <v>54</v>
      </c>
      <c r="C131" s="48" t="s">
        <v>221</v>
      </c>
      <c r="D131" s="38"/>
      <c r="E131" s="44"/>
      <c r="H131" s="12"/>
    </row>
    <row r="132" spans="1:8" hidden="1" x14ac:dyDescent="0.25">
      <c r="A132" s="38"/>
      <c r="B132" s="48"/>
      <c r="C132" s="48"/>
      <c r="D132" s="38"/>
      <c r="E132" s="44"/>
      <c r="H132" s="38"/>
    </row>
    <row r="133" spans="1:8" hidden="1" x14ac:dyDescent="0.25">
      <c r="A133" s="39" t="s">
        <v>57</v>
      </c>
      <c r="B133" s="49" t="s">
        <v>88</v>
      </c>
      <c r="C133" s="54" t="s">
        <v>295</v>
      </c>
      <c r="D133" s="43"/>
      <c r="E133" s="44"/>
      <c r="H133" s="39"/>
    </row>
    <row r="134" spans="1:8" hidden="1" x14ac:dyDescent="0.25">
      <c r="A134" s="12"/>
      <c r="B134" s="53" t="s">
        <v>59</v>
      </c>
      <c r="C134" s="48" t="s">
        <v>222</v>
      </c>
      <c r="D134" s="38"/>
      <c r="E134" s="44"/>
      <c r="H134" s="12"/>
    </row>
    <row r="135" spans="1:8" hidden="1" x14ac:dyDescent="0.25">
      <c r="A135" s="12"/>
      <c r="B135" s="53" t="s">
        <v>58</v>
      </c>
      <c r="C135" s="48" t="s">
        <v>223</v>
      </c>
      <c r="D135" s="38"/>
      <c r="E135" s="44"/>
      <c r="H135" s="12"/>
    </row>
    <row r="136" spans="1:8" hidden="1" x14ac:dyDescent="0.25">
      <c r="A136" s="12"/>
      <c r="B136" s="53" t="s">
        <v>154</v>
      </c>
      <c r="C136" s="48" t="s">
        <v>224</v>
      </c>
      <c r="D136" s="38"/>
      <c r="E136" s="44"/>
      <c r="H136" s="12"/>
    </row>
    <row r="137" spans="1:8" hidden="1" x14ac:dyDescent="0.25">
      <c r="A137" s="12"/>
      <c r="B137" s="53" t="s">
        <v>155</v>
      </c>
      <c r="C137" s="48" t="s">
        <v>225</v>
      </c>
      <c r="D137" s="38"/>
      <c r="E137" s="44"/>
      <c r="H137" s="12"/>
    </row>
    <row r="138" spans="1:8" hidden="1" x14ac:dyDescent="0.25">
      <c r="A138" s="12"/>
      <c r="B138" s="53" t="s">
        <v>60</v>
      </c>
      <c r="C138" s="48" t="s">
        <v>226</v>
      </c>
      <c r="D138" s="38"/>
      <c r="E138" s="44"/>
      <c r="H138" s="12"/>
    </row>
    <row r="139" spans="1:8" hidden="1" x14ac:dyDescent="0.25">
      <c r="A139" s="38"/>
      <c r="B139" s="48"/>
      <c r="C139" s="48"/>
      <c r="D139" s="38"/>
      <c r="E139" s="44"/>
      <c r="H139" s="38"/>
    </row>
    <row r="140" spans="1:8" hidden="1" x14ac:dyDescent="0.25">
      <c r="A140" s="37" t="s">
        <v>126</v>
      </c>
      <c r="B140" s="49" t="s">
        <v>88</v>
      </c>
      <c r="C140" s="54" t="s">
        <v>295</v>
      </c>
      <c r="D140" s="43"/>
      <c r="E140" s="44"/>
      <c r="H140" s="37"/>
    </row>
    <row r="141" spans="1:8" hidden="1" x14ac:dyDescent="0.25">
      <c r="A141" s="12"/>
      <c r="B141" s="53" t="s">
        <v>156</v>
      </c>
      <c r="C141" s="48" t="s">
        <v>227</v>
      </c>
      <c r="D141" s="38"/>
      <c r="E141" s="44"/>
      <c r="H141" s="12"/>
    </row>
    <row r="142" spans="1:8" hidden="1" x14ac:dyDescent="0.25">
      <c r="A142" s="12"/>
      <c r="B142" s="53" t="s">
        <v>157</v>
      </c>
      <c r="C142" s="48" t="s">
        <v>228</v>
      </c>
      <c r="D142" s="38"/>
      <c r="E142" s="44"/>
      <c r="H142" s="12"/>
    </row>
    <row r="143" spans="1:8" hidden="1" x14ac:dyDescent="0.25">
      <c r="A143" s="12"/>
      <c r="B143" s="53" t="s">
        <v>158</v>
      </c>
      <c r="C143" s="48" t="s">
        <v>229</v>
      </c>
      <c r="D143" s="38"/>
      <c r="E143" s="44"/>
      <c r="H143" s="12"/>
    </row>
    <row r="144" spans="1:8" hidden="1" x14ac:dyDescent="0.25">
      <c r="A144" s="12"/>
      <c r="B144" s="53" t="s">
        <v>42</v>
      </c>
      <c r="C144" s="48" t="s">
        <v>230</v>
      </c>
      <c r="D144" s="38"/>
      <c r="E144" s="44"/>
      <c r="H144" s="12"/>
    </row>
    <row r="145" spans="1:8" hidden="1" x14ac:dyDescent="0.25">
      <c r="A145" s="12"/>
      <c r="B145" s="53" t="s">
        <v>127</v>
      </c>
      <c r="C145" s="48" t="s">
        <v>231</v>
      </c>
      <c r="D145" s="38"/>
      <c r="E145" s="44"/>
      <c r="H145" s="12"/>
    </row>
    <row r="146" spans="1:8" hidden="1" x14ac:dyDescent="0.25">
      <c r="A146" s="12"/>
      <c r="B146" s="53" t="s">
        <v>128</v>
      </c>
      <c r="C146" s="48" t="s">
        <v>232</v>
      </c>
      <c r="D146" s="38"/>
      <c r="E146" s="44"/>
      <c r="H146" s="12"/>
    </row>
    <row r="147" spans="1:8" hidden="1" x14ac:dyDescent="0.25">
      <c r="A147" s="12"/>
      <c r="B147" s="53" t="s">
        <v>41</v>
      </c>
      <c r="C147" s="48" t="s">
        <v>233</v>
      </c>
      <c r="D147" s="38"/>
      <c r="E147" s="44"/>
      <c r="H147" s="12"/>
    </row>
    <row r="148" spans="1:8" hidden="1" x14ac:dyDescent="0.25">
      <c r="A148" s="12"/>
      <c r="B148" s="53" t="s">
        <v>129</v>
      </c>
      <c r="C148" s="48" t="s">
        <v>234</v>
      </c>
      <c r="D148" s="38"/>
      <c r="E148" s="44"/>
      <c r="H148" s="12"/>
    </row>
    <row r="149" spans="1:8" hidden="1" x14ac:dyDescent="0.25">
      <c r="A149" s="38"/>
      <c r="B149" s="48"/>
      <c r="C149" s="48"/>
      <c r="D149" s="38"/>
      <c r="E149" s="44"/>
      <c r="H149" s="38"/>
    </row>
    <row r="150" spans="1:8" hidden="1" x14ac:dyDescent="0.25">
      <c r="A150" s="39" t="s">
        <v>130</v>
      </c>
      <c r="B150" s="49" t="s">
        <v>88</v>
      </c>
      <c r="C150" s="54" t="s">
        <v>295</v>
      </c>
      <c r="D150" s="43"/>
      <c r="E150" s="44"/>
      <c r="H150" s="39"/>
    </row>
    <row r="151" spans="1:8" hidden="1" x14ac:dyDescent="0.25">
      <c r="A151" s="12"/>
      <c r="B151" s="53" t="s">
        <v>131</v>
      </c>
      <c r="C151" s="48" t="s">
        <v>235</v>
      </c>
      <c r="D151" s="38"/>
      <c r="E151" s="44"/>
      <c r="H151" s="12"/>
    </row>
    <row r="152" spans="1:8" hidden="1" x14ac:dyDescent="0.25">
      <c r="A152" s="12"/>
      <c r="B152" s="53" t="s">
        <v>159</v>
      </c>
      <c r="C152" s="48" t="s">
        <v>236</v>
      </c>
      <c r="D152" s="38"/>
      <c r="E152" s="44"/>
      <c r="H152" s="12"/>
    </row>
    <row r="153" spans="1:8" hidden="1" x14ac:dyDescent="0.25">
      <c r="A153" s="12"/>
      <c r="B153" s="53" t="s">
        <v>160</v>
      </c>
      <c r="C153" s="48" t="s">
        <v>237</v>
      </c>
      <c r="D153" s="38"/>
      <c r="E153" s="44"/>
      <c r="H153" s="12"/>
    </row>
    <row r="154" spans="1:8" hidden="1" x14ac:dyDescent="0.25">
      <c r="A154" s="12"/>
      <c r="B154" s="53" t="s">
        <v>161</v>
      </c>
      <c r="C154" s="48" t="s">
        <v>238</v>
      </c>
      <c r="D154" s="38"/>
      <c r="E154" s="44"/>
      <c r="H154" s="12"/>
    </row>
    <row r="155" spans="1:8" hidden="1" x14ac:dyDescent="0.25">
      <c r="A155" s="12"/>
      <c r="B155" s="53" t="s">
        <v>162</v>
      </c>
      <c r="C155" s="48" t="s">
        <v>239</v>
      </c>
      <c r="D155" s="38"/>
      <c r="E155" s="44"/>
      <c r="H155" s="12"/>
    </row>
    <row r="156" spans="1:8" hidden="1" x14ac:dyDescent="0.25">
      <c r="A156" s="12"/>
      <c r="B156" s="53" t="s">
        <v>163</v>
      </c>
      <c r="C156" s="53" t="s">
        <v>240</v>
      </c>
      <c r="D156" s="40"/>
      <c r="E156" s="44"/>
      <c r="H156" s="12"/>
    </row>
    <row r="157" spans="1:8" hidden="1" x14ac:dyDescent="0.25">
      <c r="A157" s="12"/>
      <c r="B157" s="53" t="s">
        <v>164</v>
      </c>
      <c r="C157" s="53" t="s">
        <v>241</v>
      </c>
      <c r="D157" s="40"/>
      <c r="E157" s="44"/>
      <c r="H157" s="12"/>
    </row>
    <row r="158" spans="1:8" hidden="1" x14ac:dyDescent="0.25">
      <c r="A158" s="12"/>
      <c r="B158" s="53" t="s">
        <v>43</v>
      </c>
      <c r="C158" s="48" t="s">
        <v>242</v>
      </c>
      <c r="D158" s="38"/>
      <c r="E158" s="44"/>
      <c r="H158" s="12"/>
    </row>
    <row r="159" spans="1:8" hidden="1" x14ac:dyDescent="0.25">
      <c r="A159" s="12"/>
      <c r="B159" s="53" t="s">
        <v>165</v>
      </c>
      <c r="C159" s="53" t="s">
        <v>243</v>
      </c>
      <c r="D159" s="40"/>
      <c r="E159" s="44"/>
      <c r="H159" s="12"/>
    </row>
    <row r="160" spans="1:8" hidden="1" x14ac:dyDescent="0.25">
      <c r="A160" s="12"/>
      <c r="B160" s="53" t="s">
        <v>166</v>
      </c>
      <c r="C160" s="53" t="s">
        <v>244</v>
      </c>
      <c r="D160" s="40"/>
      <c r="E160" s="44"/>
      <c r="H160" s="12"/>
    </row>
    <row r="161" spans="1:8" hidden="1" x14ac:dyDescent="0.25">
      <c r="A161" s="12"/>
      <c r="B161" s="53" t="s">
        <v>44</v>
      </c>
      <c r="C161" s="48" t="s">
        <v>245</v>
      </c>
      <c r="D161" s="38"/>
      <c r="E161" s="44"/>
      <c r="H161" s="12"/>
    </row>
    <row r="162" spans="1:8" hidden="1" x14ac:dyDescent="0.25">
      <c r="A162" s="12"/>
      <c r="B162" s="53" t="s">
        <v>45</v>
      </c>
      <c r="C162" s="53" t="s">
        <v>246</v>
      </c>
      <c r="D162" s="40"/>
      <c r="E162" s="44"/>
      <c r="H162" s="12"/>
    </row>
    <row r="163" spans="1:8" hidden="1" x14ac:dyDescent="0.25">
      <c r="A163" s="38"/>
      <c r="B163" s="48"/>
      <c r="C163" s="48"/>
      <c r="D163" s="38"/>
      <c r="E163" s="44"/>
      <c r="H163" s="38"/>
    </row>
    <row r="164" spans="1:8" hidden="1" x14ac:dyDescent="0.25">
      <c r="A164" s="37" t="s">
        <v>20</v>
      </c>
      <c r="B164" s="49" t="s">
        <v>88</v>
      </c>
      <c r="C164" s="54" t="s">
        <v>295</v>
      </c>
      <c r="D164" s="43"/>
      <c r="E164" s="44"/>
      <c r="H164" s="37"/>
    </row>
    <row r="165" spans="1:8" hidden="1" x14ac:dyDescent="0.25">
      <c r="A165" s="12"/>
      <c r="B165" s="53" t="s">
        <v>64</v>
      </c>
      <c r="C165" s="48" t="s">
        <v>247</v>
      </c>
      <c r="D165" s="38"/>
      <c r="E165" s="44"/>
      <c r="H165" s="12"/>
    </row>
    <row r="166" spans="1:8" hidden="1" x14ac:dyDescent="0.25">
      <c r="A166" s="12"/>
      <c r="B166" s="53" t="s">
        <v>167</v>
      </c>
      <c r="C166" s="48" t="s">
        <v>248</v>
      </c>
      <c r="D166" s="38"/>
      <c r="E166" s="44"/>
      <c r="H166" s="12"/>
    </row>
    <row r="167" spans="1:8" hidden="1" x14ac:dyDescent="0.25">
      <c r="A167" s="12"/>
      <c r="B167" s="53" t="s">
        <v>168</v>
      </c>
      <c r="C167" s="48" t="s">
        <v>249</v>
      </c>
      <c r="D167" s="38"/>
      <c r="E167" s="44"/>
      <c r="H167" s="12"/>
    </row>
    <row r="168" spans="1:8" hidden="1" x14ac:dyDescent="0.25">
      <c r="A168" s="12"/>
      <c r="B168" s="53" t="s">
        <v>65</v>
      </c>
      <c r="C168" s="48" t="s">
        <v>250</v>
      </c>
      <c r="D168" s="38"/>
      <c r="E168" s="44"/>
      <c r="H168" s="12"/>
    </row>
    <row r="169" spans="1:8" hidden="1" x14ac:dyDescent="0.25">
      <c r="A169" s="12"/>
      <c r="B169" s="53" t="s">
        <v>132</v>
      </c>
      <c r="C169" s="48" t="s">
        <v>251</v>
      </c>
      <c r="D169" s="38"/>
      <c r="E169" s="44"/>
      <c r="H169" s="12"/>
    </row>
    <row r="170" spans="1:8" hidden="1" x14ac:dyDescent="0.25">
      <c r="A170" s="12"/>
      <c r="B170" s="53" t="s">
        <v>68</v>
      </c>
      <c r="C170" s="48" t="s">
        <v>252</v>
      </c>
      <c r="D170" s="38"/>
      <c r="E170" s="44"/>
      <c r="H170" s="12"/>
    </row>
    <row r="171" spans="1:8" hidden="1" x14ac:dyDescent="0.25">
      <c r="A171" s="12"/>
      <c r="B171" s="53" t="s">
        <v>169</v>
      </c>
      <c r="C171" s="48" t="s">
        <v>253</v>
      </c>
      <c r="D171" s="38"/>
      <c r="E171" s="44"/>
      <c r="H171" s="12"/>
    </row>
    <row r="172" spans="1:8" hidden="1" x14ac:dyDescent="0.25">
      <c r="A172" s="12"/>
      <c r="B172" s="53"/>
      <c r="C172" s="48"/>
      <c r="D172" s="38"/>
      <c r="E172" s="44"/>
      <c r="H172" s="12"/>
    </row>
    <row r="173" spans="1:8" hidden="1" x14ac:dyDescent="0.25">
      <c r="A173" s="39" t="s">
        <v>108</v>
      </c>
      <c r="B173" s="49" t="s">
        <v>88</v>
      </c>
      <c r="C173" s="54" t="s">
        <v>295</v>
      </c>
      <c r="D173" s="43"/>
      <c r="E173" s="44"/>
      <c r="H173" s="39"/>
    </row>
    <row r="174" spans="1:8" hidden="1" x14ac:dyDescent="0.25">
      <c r="A174" s="12"/>
      <c r="B174" s="53" t="s">
        <v>66</v>
      </c>
      <c r="C174" s="48" t="s">
        <v>254</v>
      </c>
      <c r="D174" s="38"/>
      <c r="E174" s="44"/>
      <c r="H174" s="12"/>
    </row>
    <row r="175" spans="1:8" hidden="1" x14ac:dyDescent="0.25">
      <c r="A175" s="12"/>
      <c r="B175" s="53" t="s">
        <v>67</v>
      </c>
      <c r="C175" s="48" t="s">
        <v>255</v>
      </c>
      <c r="D175" s="38"/>
      <c r="E175" s="44"/>
      <c r="H175" s="12"/>
    </row>
    <row r="176" spans="1:8" hidden="1" x14ac:dyDescent="0.25">
      <c r="A176" s="12"/>
      <c r="B176" s="53" t="s">
        <v>133</v>
      </c>
      <c r="C176" s="48" t="s">
        <v>256</v>
      </c>
      <c r="D176" s="38"/>
      <c r="E176" s="44"/>
      <c r="H176" s="12"/>
    </row>
    <row r="177" spans="1:8" hidden="1" x14ac:dyDescent="0.25">
      <c r="A177" s="12"/>
      <c r="B177" s="53" t="s">
        <v>170</v>
      </c>
      <c r="C177" s="48" t="s">
        <v>257</v>
      </c>
      <c r="D177" s="38"/>
      <c r="E177" s="44"/>
      <c r="H177" s="12"/>
    </row>
    <row r="178" spans="1:8" hidden="1" x14ac:dyDescent="0.25">
      <c r="A178" s="12"/>
      <c r="B178" s="53" t="s">
        <v>70</v>
      </c>
      <c r="C178" s="48" t="s">
        <v>258</v>
      </c>
      <c r="D178" s="38"/>
      <c r="E178" s="44"/>
      <c r="H178" s="12"/>
    </row>
    <row r="179" spans="1:8" hidden="1" x14ac:dyDescent="0.25">
      <c r="A179" s="12"/>
      <c r="B179" s="53" t="s">
        <v>69</v>
      </c>
      <c r="C179" s="48" t="s">
        <v>259</v>
      </c>
      <c r="D179" s="38"/>
      <c r="E179" s="44"/>
      <c r="H179" s="12"/>
    </row>
    <row r="180" spans="1:8" hidden="1" x14ac:dyDescent="0.25">
      <c r="A180" s="12"/>
      <c r="B180" s="53" t="s">
        <v>134</v>
      </c>
      <c r="C180" s="48" t="s">
        <v>260</v>
      </c>
      <c r="D180" s="38"/>
      <c r="E180" s="44"/>
      <c r="H180" s="12"/>
    </row>
    <row r="181" spans="1:8" hidden="1" x14ac:dyDescent="0.25">
      <c r="A181" s="12"/>
      <c r="B181" s="53" t="s">
        <v>171</v>
      </c>
      <c r="C181" s="48" t="s">
        <v>261</v>
      </c>
      <c r="D181" s="38"/>
      <c r="E181" s="44"/>
      <c r="H181" s="12"/>
    </row>
    <row r="182" spans="1:8" hidden="1" x14ac:dyDescent="0.25">
      <c r="A182" s="38"/>
      <c r="B182" s="48"/>
      <c r="C182" s="48"/>
      <c r="D182" s="38"/>
      <c r="E182" s="44"/>
      <c r="H182" s="38"/>
    </row>
    <row r="183" spans="1:8" hidden="1" x14ac:dyDescent="0.25">
      <c r="A183" s="39" t="s">
        <v>107</v>
      </c>
      <c r="B183" s="49" t="s">
        <v>88</v>
      </c>
      <c r="C183" s="54" t="s">
        <v>295</v>
      </c>
      <c r="D183" s="43"/>
      <c r="E183" s="44"/>
      <c r="H183" s="39"/>
    </row>
    <row r="184" spans="1:8" hidden="1" x14ac:dyDescent="0.25">
      <c r="A184" s="12"/>
      <c r="B184" s="53" t="s">
        <v>135</v>
      </c>
      <c r="C184" s="48" t="s">
        <v>262</v>
      </c>
      <c r="D184" s="38"/>
      <c r="E184" s="44"/>
      <c r="H184" s="12"/>
    </row>
    <row r="185" spans="1:8" hidden="1" x14ac:dyDescent="0.25">
      <c r="A185" s="12"/>
      <c r="B185" s="53" t="s">
        <v>71</v>
      </c>
      <c r="C185" s="48" t="s">
        <v>263</v>
      </c>
      <c r="D185" s="38"/>
      <c r="E185" s="44"/>
      <c r="H185" s="12"/>
    </row>
    <row r="186" spans="1:8" hidden="1" x14ac:dyDescent="0.25">
      <c r="A186" s="12"/>
      <c r="B186" s="53" t="s">
        <v>72</v>
      </c>
      <c r="C186" s="48" t="s">
        <v>264</v>
      </c>
      <c r="D186" s="38"/>
      <c r="E186" s="44"/>
      <c r="H186" s="12"/>
    </row>
    <row r="187" spans="1:8" hidden="1" x14ac:dyDescent="0.25">
      <c r="A187" s="12"/>
      <c r="B187" s="53" t="s">
        <v>136</v>
      </c>
      <c r="C187" s="48" t="s">
        <v>265</v>
      </c>
      <c r="D187" s="38"/>
      <c r="E187" s="44"/>
      <c r="H187" s="12"/>
    </row>
    <row r="188" spans="1:8" hidden="1" x14ac:dyDescent="0.25">
      <c r="A188" s="12"/>
      <c r="B188" s="48"/>
      <c r="C188" s="48"/>
      <c r="D188" s="38"/>
      <c r="E188" s="44"/>
      <c r="H188" s="12"/>
    </row>
    <row r="189" spans="1:8" hidden="1" x14ac:dyDescent="0.25">
      <c r="A189" s="39" t="s">
        <v>106</v>
      </c>
      <c r="B189" s="49" t="s">
        <v>88</v>
      </c>
      <c r="C189" s="54" t="s">
        <v>295</v>
      </c>
      <c r="D189" s="43"/>
      <c r="E189" s="44"/>
      <c r="H189" s="39"/>
    </row>
    <row r="190" spans="1:8" hidden="1" x14ac:dyDescent="0.25">
      <c r="A190" s="12"/>
      <c r="B190" s="53" t="s">
        <v>172</v>
      </c>
      <c r="C190" s="48" t="s">
        <v>266</v>
      </c>
      <c r="D190" s="38"/>
      <c r="E190" s="44"/>
      <c r="H190" s="12"/>
    </row>
    <row r="191" spans="1:8" hidden="1" x14ac:dyDescent="0.25">
      <c r="A191" s="12"/>
      <c r="B191" s="53" t="s">
        <v>73</v>
      </c>
      <c r="C191" s="48" t="s">
        <v>267</v>
      </c>
      <c r="D191" s="38"/>
      <c r="E191" s="44"/>
      <c r="H191" s="12"/>
    </row>
    <row r="192" spans="1:8" hidden="1" x14ac:dyDescent="0.25">
      <c r="A192" s="12"/>
      <c r="B192" s="53" t="s">
        <v>137</v>
      </c>
      <c r="C192" s="48" t="s">
        <v>268</v>
      </c>
      <c r="D192" s="38"/>
      <c r="E192" s="44"/>
      <c r="H192" s="12"/>
    </row>
    <row r="193" spans="1:8" hidden="1" x14ac:dyDescent="0.25">
      <c r="A193" s="38"/>
      <c r="B193" s="48"/>
      <c r="C193" s="48"/>
      <c r="D193" s="38"/>
      <c r="E193" s="44"/>
      <c r="H193" s="38"/>
    </row>
    <row r="194" spans="1:8" hidden="1" x14ac:dyDescent="0.25">
      <c r="A194" s="39" t="s">
        <v>37</v>
      </c>
      <c r="B194" s="49" t="s">
        <v>88</v>
      </c>
      <c r="C194" s="54" t="s">
        <v>295</v>
      </c>
      <c r="D194" s="43"/>
      <c r="E194" s="44"/>
      <c r="H194" s="39"/>
    </row>
    <row r="195" spans="1:8" hidden="1" x14ac:dyDescent="0.25">
      <c r="A195" s="12"/>
      <c r="B195" s="53" t="s">
        <v>138</v>
      </c>
      <c r="C195" s="48" t="s">
        <v>269</v>
      </c>
      <c r="D195" s="38"/>
      <c r="E195" s="44"/>
      <c r="H195" s="12"/>
    </row>
    <row r="196" spans="1:8" hidden="1" x14ac:dyDescent="0.25">
      <c r="A196" s="12"/>
      <c r="B196" s="53" t="s">
        <v>38</v>
      </c>
      <c r="C196" s="48" t="s">
        <v>270</v>
      </c>
      <c r="D196" s="38"/>
      <c r="E196" s="44"/>
      <c r="H196" s="12"/>
    </row>
    <row r="197" spans="1:8" hidden="1" x14ac:dyDescent="0.25">
      <c r="A197" s="12"/>
      <c r="B197" s="53" t="s">
        <v>39</v>
      </c>
      <c r="C197" s="48" t="s">
        <v>271</v>
      </c>
      <c r="D197" s="38"/>
      <c r="E197" s="44"/>
      <c r="H197" s="12"/>
    </row>
    <row r="198" spans="1:8" hidden="1" x14ac:dyDescent="0.25">
      <c r="A198" s="12"/>
      <c r="B198" s="53" t="s">
        <v>139</v>
      </c>
      <c r="C198" s="48" t="s">
        <v>272</v>
      </c>
      <c r="D198" s="38"/>
      <c r="E198" s="44"/>
      <c r="H198" s="12"/>
    </row>
    <row r="199" spans="1:8" hidden="1" x14ac:dyDescent="0.25">
      <c r="A199" s="12"/>
      <c r="B199" s="53" t="s">
        <v>40</v>
      </c>
      <c r="C199" s="48" t="s">
        <v>273</v>
      </c>
      <c r="D199" s="38"/>
      <c r="E199" s="44"/>
      <c r="H199" s="12"/>
    </row>
    <row r="200" spans="1:8" hidden="1" x14ac:dyDescent="0.25">
      <c r="A200" s="12"/>
      <c r="B200" s="53" t="s">
        <v>140</v>
      </c>
      <c r="C200" s="48" t="s">
        <v>274</v>
      </c>
      <c r="D200" s="38"/>
      <c r="E200" s="44"/>
      <c r="H200" s="12"/>
    </row>
    <row r="201" spans="1:8" hidden="1" x14ac:dyDescent="0.25">
      <c r="A201" s="12"/>
      <c r="B201" s="53" t="s">
        <v>141</v>
      </c>
      <c r="C201" s="48" t="s">
        <v>275</v>
      </c>
      <c r="D201" s="38"/>
      <c r="E201" s="44"/>
      <c r="H201" s="12"/>
    </row>
    <row r="202" spans="1:8" hidden="1" x14ac:dyDescent="0.25">
      <c r="A202" s="38"/>
      <c r="B202" s="48"/>
      <c r="C202" s="48"/>
      <c r="D202" s="38"/>
      <c r="E202" s="44"/>
      <c r="H202" s="38"/>
    </row>
    <row r="203" spans="1:8" hidden="1" x14ac:dyDescent="0.25">
      <c r="A203" s="39" t="s">
        <v>22</v>
      </c>
      <c r="B203" s="49" t="s">
        <v>88</v>
      </c>
      <c r="C203" s="54" t="s">
        <v>295</v>
      </c>
      <c r="D203" s="43"/>
      <c r="E203" s="44"/>
      <c r="H203" s="39"/>
    </row>
    <row r="204" spans="1:8" hidden="1" x14ac:dyDescent="0.25">
      <c r="A204" s="12"/>
      <c r="B204" s="53" t="s">
        <v>23</v>
      </c>
      <c r="C204" s="48" t="s">
        <v>276</v>
      </c>
      <c r="D204" s="38"/>
      <c r="E204" s="44"/>
      <c r="H204" s="12"/>
    </row>
    <row r="205" spans="1:8" hidden="1" x14ac:dyDescent="0.25">
      <c r="A205" s="12"/>
      <c r="B205" s="53" t="s">
        <v>25</v>
      </c>
      <c r="C205" s="48" t="s">
        <v>277</v>
      </c>
      <c r="D205" s="38"/>
      <c r="E205" s="44"/>
      <c r="H205" s="12"/>
    </row>
    <row r="206" spans="1:8" hidden="1" x14ac:dyDescent="0.25">
      <c r="A206" s="12"/>
      <c r="B206" s="53" t="s">
        <v>142</v>
      </c>
      <c r="C206" s="48" t="s">
        <v>278</v>
      </c>
      <c r="D206" s="38"/>
      <c r="E206" s="44"/>
      <c r="H206" s="12"/>
    </row>
    <row r="207" spans="1:8" hidden="1" x14ac:dyDescent="0.25">
      <c r="A207" s="12"/>
      <c r="B207" s="53" t="s">
        <v>24</v>
      </c>
      <c r="C207" s="48" t="s">
        <v>279</v>
      </c>
      <c r="D207" s="38"/>
      <c r="E207" s="44"/>
      <c r="H207" s="12"/>
    </row>
    <row r="208" spans="1:8" hidden="1" x14ac:dyDescent="0.25">
      <c r="A208" s="12"/>
      <c r="B208" s="55" t="s">
        <v>173</v>
      </c>
      <c r="C208" s="51" t="s">
        <v>280</v>
      </c>
      <c r="D208" s="12"/>
      <c r="E208" s="44"/>
      <c r="H208" s="12"/>
    </row>
    <row r="209" spans="1:8" hidden="1" x14ac:dyDescent="0.25">
      <c r="A209" s="12"/>
      <c r="B209" s="53" t="s">
        <v>26</v>
      </c>
      <c r="C209" s="48" t="s">
        <v>281</v>
      </c>
      <c r="D209" s="38"/>
      <c r="E209" s="44"/>
      <c r="H209" s="12"/>
    </row>
    <row r="210" spans="1:8" hidden="1" x14ac:dyDescent="0.25">
      <c r="A210" s="12"/>
      <c r="B210" s="53" t="s">
        <v>27</v>
      </c>
      <c r="C210" s="48" t="s">
        <v>282</v>
      </c>
      <c r="D210" s="38"/>
      <c r="E210" s="44"/>
      <c r="H210" s="12"/>
    </row>
    <row r="211" spans="1:8" hidden="1" x14ac:dyDescent="0.25">
      <c r="A211" s="38"/>
      <c r="B211" s="48"/>
      <c r="C211" s="48"/>
      <c r="D211" s="38"/>
      <c r="E211" s="44"/>
      <c r="H211" s="38"/>
    </row>
    <row r="212" spans="1:8" hidden="1" x14ac:dyDescent="0.25">
      <c r="A212" s="39" t="s">
        <v>143</v>
      </c>
      <c r="B212" s="49" t="s">
        <v>88</v>
      </c>
      <c r="C212" s="54" t="s">
        <v>295</v>
      </c>
      <c r="D212" s="43"/>
      <c r="E212" s="44"/>
      <c r="H212" s="39"/>
    </row>
    <row r="213" spans="1:8" hidden="1" x14ac:dyDescent="0.25">
      <c r="A213" s="12"/>
      <c r="B213" s="53" t="s">
        <v>29</v>
      </c>
      <c r="C213" s="53" t="s">
        <v>283</v>
      </c>
      <c r="D213" s="40"/>
      <c r="E213" s="44"/>
      <c r="H213" s="12"/>
    </row>
    <row r="214" spans="1:8" hidden="1" x14ac:dyDescent="0.25">
      <c r="A214" s="12"/>
      <c r="B214" s="53" t="s">
        <v>31</v>
      </c>
      <c r="C214" s="48" t="s">
        <v>284</v>
      </c>
      <c r="D214" s="38"/>
      <c r="E214" s="44"/>
      <c r="H214" s="12"/>
    </row>
    <row r="215" spans="1:8" hidden="1" x14ac:dyDescent="0.25">
      <c r="A215" s="12"/>
      <c r="B215" s="53" t="s">
        <v>28</v>
      </c>
      <c r="C215" s="48" t="s">
        <v>285</v>
      </c>
      <c r="D215" s="38"/>
      <c r="E215" s="44"/>
      <c r="H215" s="12"/>
    </row>
    <row r="216" spans="1:8" hidden="1" x14ac:dyDescent="0.25">
      <c r="A216" s="12"/>
      <c r="B216" s="53" t="s">
        <v>36</v>
      </c>
      <c r="C216" s="48" t="s">
        <v>286</v>
      </c>
      <c r="D216" s="38"/>
      <c r="E216" s="44"/>
      <c r="H216" s="12"/>
    </row>
    <row r="217" spans="1:8" hidden="1" x14ac:dyDescent="0.25">
      <c r="A217" s="12"/>
      <c r="B217" s="53" t="s">
        <v>30</v>
      </c>
      <c r="C217" s="48" t="s">
        <v>287</v>
      </c>
      <c r="D217" s="38"/>
      <c r="E217" s="44"/>
      <c r="H217" s="12"/>
    </row>
    <row r="218" spans="1:8" hidden="1" x14ac:dyDescent="0.25">
      <c r="A218" s="12"/>
      <c r="B218" s="55" t="s">
        <v>144</v>
      </c>
      <c r="C218" s="51" t="s">
        <v>288</v>
      </c>
      <c r="D218" s="12"/>
      <c r="E218" s="44"/>
      <c r="H218" s="12"/>
    </row>
    <row r="219" spans="1:8" hidden="1" x14ac:dyDescent="0.25">
      <c r="A219" s="12"/>
      <c r="B219" s="53"/>
      <c r="C219" s="48"/>
      <c r="D219" s="38"/>
      <c r="E219" s="44"/>
      <c r="H219" s="12"/>
    </row>
    <row r="220" spans="1:8" hidden="1" x14ac:dyDescent="0.25">
      <c r="A220" s="39" t="s">
        <v>104</v>
      </c>
      <c r="B220" s="49" t="s">
        <v>88</v>
      </c>
      <c r="C220" s="54" t="s">
        <v>295</v>
      </c>
      <c r="D220" s="43"/>
      <c r="E220" s="44"/>
      <c r="H220" s="39"/>
    </row>
    <row r="221" spans="1:8" hidden="1" x14ac:dyDescent="0.25">
      <c r="A221" s="12"/>
      <c r="B221" s="53" t="s">
        <v>32</v>
      </c>
      <c r="C221" s="48" t="s">
        <v>289</v>
      </c>
      <c r="D221" s="38"/>
      <c r="E221" s="44"/>
      <c r="H221" s="12"/>
    </row>
    <row r="222" spans="1:8" hidden="1" x14ac:dyDescent="0.25">
      <c r="A222" s="12"/>
      <c r="B222" s="53" t="s">
        <v>34</v>
      </c>
      <c r="C222" s="48" t="s">
        <v>290</v>
      </c>
      <c r="D222" s="38"/>
      <c r="E222" s="44"/>
      <c r="H222" s="12"/>
    </row>
    <row r="223" spans="1:8" hidden="1" x14ac:dyDescent="0.25">
      <c r="A223" s="12"/>
      <c r="B223" s="53" t="s">
        <v>35</v>
      </c>
      <c r="C223" s="48" t="s">
        <v>291</v>
      </c>
      <c r="D223" s="38"/>
      <c r="E223" s="44"/>
      <c r="H223" s="12"/>
    </row>
    <row r="224" spans="1:8" hidden="1" x14ac:dyDescent="0.25">
      <c r="A224" s="12"/>
      <c r="B224" s="53" t="s">
        <v>174</v>
      </c>
      <c r="C224" s="48" t="s">
        <v>292</v>
      </c>
      <c r="D224" s="38"/>
      <c r="E224" s="44"/>
      <c r="H224" s="12"/>
    </row>
    <row r="225" spans="1:11" hidden="1" x14ac:dyDescent="0.25">
      <c r="A225" s="12"/>
      <c r="B225" s="55" t="s">
        <v>145</v>
      </c>
      <c r="C225" s="51" t="s">
        <v>293</v>
      </c>
      <c r="D225" s="12"/>
      <c r="E225" s="44"/>
      <c r="H225" s="12"/>
    </row>
    <row r="226" spans="1:11" hidden="1" x14ac:dyDescent="0.25">
      <c r="A226" s="12"/>
      <c r="B226" s="53" t="s">
        <v>33</v>
      </c>
      <c r="C226" s="48" t="s">
        <v>294</v>
      </c>
      <c r="D226" s="38"/>
      <c r="E226" s="44"/>
      <c r="H226" s="12"/>
    </row>
    <row r="227" spans="1:11" hidden="1" x14ac:dyDescent="0.25">
      <c r="B227" s="50"/>
      <c r="C227" s="50"/>
      <c r="E227" s="44"/>
    </row>
    <row r="228" spans="1:11" hidden="1" x14ac:dyDescent="0.25">
      <c r="B228" s="50"/>
      <c r="C228" s="50"/>
      <c r="E228" s="44"/>
    </row>
    <row r="229" spans="1:11" hidden="1" x14ac:dyDescent="0.25">
      <c r="A229" s="39" t="s">
        <v>17</v>
      </c>
      <c r="B229" s="49" t="s">
        <v>88</v>
      </c>
      <c r="C229" s="54" t="s">
        <v>295</v>
      </c>
      <c r="D229" s="43"/>
      <c r="E229" s="44"/>
    </row>
    <row r="230" spans="1:11" hidden="1" x14ac:dyDescent="0.25">
      <c r="B230" s="53" t="s">
        <v>152</v>
      </c>
      <c r="C230" s="48" t="s">
        <v>214</v>
      </c>
      <c r="D230" s="38"/>
      <c r="E230" s="44"/>
      <c r="I230" s="40"/>
    </row>
    <row r="231" spans="1:11" hidden="1" x14ac:dyDescent="0.25">
      <c r="B231" s="53" t="s">
        <v>59</v>
      </c>
      <c r="C231" s="48" t="s">
        <v>222</v>
      </c>
      <c r="D231" s="38"/>
      <c r="E231" s="44"/>
      <c r="I231" s="40"/>
    </row>
    <row r="232" spans="1:11" hidden="1" x14ac:dyDescent="0.25">
      <c r="B232" s="53" t="s">
        <v>124</v>
      </c>
      <c r="C232" s="48" t="s">
        <v>215</v>
      </c>
      <c r="D232" s="38"/>
      <c r="E232" s="44"/>
      <c r="I232" s="40"/>
    </row>
    <row r="233" spans="1:11" hidden="1" x14ac:dyDescent="0.25">
      <c r="B233" s="53" t="s">
        <v>58</v>
      </c>
      <c r="C233" s="48" t="s">
        <v>223</v>
      </c>
      <c r="D233" s="38"/>
      <c r="E233" s="44"/>
      <c r="I233" s="40"/>
    </row>
    <row r="234" spans="1:11" hidden="1" x14ac:dyDescent="0.25">
      <c r="B234" s="53" t="s">
        <v>56</v>
      </c>
      <c r="C234" s="48" t="s">
        <v>216</v>
      </c>
      <c r="D234" s="38"/>
      <c r="E234" s="44"/>
      <c r="I234" s="40"/>
    </row>
    <row r="235" spans="1:11" hidden="1" x14ac:dyDescent="0.25">
      <c r="B235" s="53" t="s">
        <v>154</v>
      </c>
      <c r="C235" s="48" t="s">
        <v>224</v>
      </c>
      <c r="D235" s="38"/>
      <c r="E235" s="44"/>
      <c r="I235" s="40"/>
    </row>
    <row r="236" spans="1:11" hidden="1" x14ac:dyDescent="0.25">
      <c r="B236" s="53" t="s">
        <v>55</v>
      </c>
      <c r="C236" s="48" t="s">
        <v>217</v>
      </c>
      <c r="D236" s="38"/>
      <c r="E236" s="44"/>
      <c r="I236" s="40"/>
    </row>
    <row r="237" spans="1:11" hidden="1" x14ac:dyDescent="0.25">
      <c r="B237" s="53" t="s">
        <v>155</v>
      </c>
      <c r="C237" s="48" t="s">
        <v>225</v>
      </c>
      <c r="D237" s="38"/>
      <c r="E237" s="44"/>
      <c r="I237" s="40"/>
    </row>
    <row r="238" spans="1:11" hidden="1" x14ac:dyDescent="0.25">
      <c r="B238" s="53" t="s">
        <v>153</v>
      </c>
      <c r="C238" s="48" t="s">
        <v>218</v>
      </c>
      <c r="D238" s="38"/>
      <c r="E238" s="44"/>
      <c r="I238" s="38"/>
      <c r="K238" s="38"/>
    </row>
    <row r="239" spans="1:11" hidden="1" x14ac:dyDescent="0.25">
      <c r="B239" s="53" t="s">
        <v>60</v>
      </c>
      <c r="C239" s="48" t="s">
        <v>226</v>
      </c>
      <c r="D239" s="38"/>
      <c r="E239" s="44"/>
      <c r="I239" s="38"/>
      <c r="K239" s="38"/>
    </row>
    <row r="240" spans="1:11" hidden="1" x14ac:dyDescent="0.25">
      <c r="B240" s="53" t="s">
        <v>53</v>
      </c>
      <c r="C240" s="48" t="s">
        <v>219</v>
      </c>
      <c r="D240" s="38"/>
      <c r="E240" s="44"/>
      <c r="I240" s="40"/>
    </row>
    <row r="241" spans="1:11" hidden="1" x14ac:dyDescent="0.25">
      <c r="B241" s="53" t="s">
        <v>125</v>
      </c>
      <c r="C241" s="48" t="s">
        <v>220</v>
      </c>
      <c r="D241" s="38"/>
      <c r="E241" s="44"/>
      <c r="I241" s="40"/>
    </row>
    <row r="242" spans="1:11" hidden="1" x14ac:dyDescent="0.25">
      <c r="B242" s="53" t="s">
        <v>54</v>
      </c>
      <c r="C242" s="48" t="s">
        <v>221</v>
      </c>
      <c r="D242" s="38"/>
      <c r="E242" s="44"/>
      <c r="I242" s="40"/>
    </row>
    <row r="243" spans="1:11" hidden="1" x14ac:dyDescent="0.25">
      <c r="B243" s="49" t="s">
        <v>88</v>
      </c>
      <c r="C243" s="54" t="s">
        <v>295</v>
      </c>
      <c r="D243" s="43"/>
      <c r="E243" s="44"/>
      <c r="I243" s="40"/>
    </row>
    <row r="244" spans="1:11" hidden="1" x14ac:dyDescent="0.25">
      <c r="A244" s="39" t="s">
        <v>176</v>
      </c>
      <c r="B244" s="53" t="s">
        <v>29</v>
      </c>
      <c r="C244" s="53" t="s">
        <v>283</v>
      </c>
      <c r="D244" s="40"/>
      <c r="E244" s="44"/>
      <c r="I244" s="40"/>
    </row>
    <row r="245" spans="1:11" hidden="1" x14ac:dyDescent="0.25">
      <c r="B245" s="53" t="s">
        <v>32</v>
      </c>
      <c r="C245" s="48" t="s">
        <v>289</v>
      </c>
      <c r="D245" s="38"/>
      <c r="E245" s="44"/>
      <c r="I245" s="40"/>
    </row>
    <row r="246" spans="1:11" hidden="1" x14ac:dyDescent="0.25">
      <c r="B246" s="53" t="s">
        <v>31</v>
      </c>
      <c r="C246" s="48" t="s">
        <v>284</v>
      </c>
      <c r="D246" s="38"/>
      <c r="E246" s="44"/>
      <c r="I246" s="40"/>
    </row>
    <row r="247" spans="1:11" hidden="1" x14ac:dyDescent="0.25">
      <c r="B247" s="53" t="s">
        <v>34</v>
      </c>
      <c r="C247" s="48" t="s">
        <v>290</v>
      </c>
      <c r="D247" s="38"/>
      <c r="E247" s="45"/>
      <c r="I247" s="40"/>
    </row>
    <row r="248" spans="1:11" hidden="1" x14ac:dyDescent="0.25">
      <c r="B248" s="53" t="s">
        <v>28</v>
      </c>
      <c r="C248" s="48" t="s">
        <v>285</v>
      </c>
      <c r="D248" s="38"/>
      <c r="E248" s="46"/>
      <c r="I248" s="40"/>
    </row>
    <row r="249" spans="1:11" hidden="1" x14ac:dyDescent="0.25">
      <c r="B249" s="53" t="s">
        <v>35</v>
      </c>
      <c r="C249" s="48" t="s">
        <v>291</v>
      </c>
      <c r="D249" s="38"/>
      <c r="E249" s="45"/>
      <c r="I249" s="41"/>
    </row>
    <row r="250" spans="1:11" hidden="1" x14ac:dyDescent="0.25">
      <c r="B250" s="53" t="s">
        <v>36</v>
      </c>
      <c r="C250" s="48" t="s">
        <v>286</v>
      </c>
      <c r="D250" s="38"/>
      <c r="E250" s="46"/>
      <c r="I250" s="40"/>
      <c r="K250" s="38"/>
    </row>
    <row r="251" spans="1:11" hidden="1" x14ac:dyDescent="0.25">
      <c r="B251" s="53" t="s">
        <v>174</v>
      </c>
      <c r="C251" s="48" t="s">
        <v>292</v>
      </c>
      <c r="D251" s="38"/>
      <c r="E251" s="44"/>
      <c r="I251" s="38"/>
      <c r="K251" s="38"/>
    </row>
    <row r="252" spans="1:11" hidden="1" x14ac:dyDescent="0.25">
      <c r="B252" s="53" t="s">
        <v>30</v>
      </c>
      <c r="C252" s="48" t="s">
        <v>287</v>
      </c>
      <c r="D252" s="38"/>
      <c r="E252" s="46"/>
      <c r="I252" s="40"/>
    </row>
    <row r="253" spans="1:11" hidden="1" x14ac:dyDescent="0.25">
      <c r="B253" s="55" t="s">
        <v>145</v>
      </c>
      <c r="C253" s="51" t="s">
        <v>293</v>
      </c>
      <c r="D253" s="12"/>
      <c r="E253" s="47"/>
      <c r="I253" s="40"/>
    </row>
    <row r="254" spans="1:11" hidden="1" x14ac:dyDescent="0.25">
      <c r="B254" s="55" t="s">
        <v>144</v>
      </c>
      <c r="C254" s="51" t="s">
        <v>288</v>
      </c>
      <c r="D254" s="12"/>
      <c r="E254" s="46"/>
      <c r="I254" s="40"/>
    </row>
    <row r="255" spans="1:11" hidden="1" x14ac:dyDescent="0.25">
      <c r="B255" s="53" t="s">
        <v>33</v>
      </c>
      <c r="C255" s="48" t="s">
        <v>294</v>
      </c>
      <c r="D255" s="38"/>
      <c r="E255" s="47"/>
      <c r="I255" s="40"/>
    </row>
    <row r="256" spans="1:11" hidden="1" x14ac:dyDescent="0.25">
      <c r="B256" s="49" t="s">
        <v>88</v>
      </c>
      <c r="C256" s="54" t="s">
        <v>295</v>
      </c>
      <c r="D256" s="43"/>
      <c r="E256" s="46"/>
      <c r="I256" s="41"/>
    </row>
    <row r="257" spans="1:9" hidden="1" x14ac:dyDescent="0.25">
      <c r="A257" s="39" t="s">
        <v>175</v>
      </c>
      <c r="B257" s="53" t="s">
        <v>138</v>
      </c>
      <c r="C257" s="48" t="s">
        <v>269</v>
      </c>
      <c r="D257" s="38"/>
      <c r="E257" s="47"/>
      <c r="I257" s="40"/>
    </row>
    <row r="258" spans="1:9" hidden="1" x14ac:dyDescent="0.25">
      <c r="B258" s="53" t="s">
        <v>152</v>
      </c>
      <c r="C258" s="48" t="s">
        <v>214</v>
      </c>
      <c r="D258" s="38"/>
      <c r="E258" s="46"/>
      <c r="I258" s="40"/>
    </row>
    <row r="259" spans="1:9" hidden="1" x14ac:dyDescent="0.25">
      <c r="B259" s="53" t="s">
        <v>38</v>
      </c>
      <c r="C259" s="48" t="s">
        <v>270</v>
      </c>
      <c r="D259" s="38"/>
      <c r="E259" s="47"/>
      <c r="I259" s="40"/>
    </row>
    <row r="260" spans="1:9" hidden="1" x14ac:dyDescent="0.25">
      <c r="B260" s="53" t="s">
        <v>59</v>
      </c>
      <c r="C260" s="48" t="s">
        <v>222</v>
      </c>
      <c r="D260" s="38"/>
      <c r="E260" s="46"/>
      <c r="I260" s="40"/>
    </row>
    <row r="261" spans="1:9" hidden="1" x14ac:dyDescent="0.25">
      <c r="B261" s="53" t="s">
        <v>39</v>
      </c>
      <c r="C261" s="48" t="s">
        <v>271</v>
      </c>
      <c r="D261" s="38"/>
      <c r="E261" s="47"/>
      <c r="I261" s="40"/>
    </row>
    <row r="262" spans="1:9" hidden="1" x14ac:dyDescent="0.25">
      <c r="B262" s="53" t="s">
        <v>124</v>
      </c>
      <c r="C262" s="48" t="s">
        <v>215</v>
      </c>
      <c r="D262" s="38"/>
      <c r="E262" s="46"/>
      <c r="I262" s="40"/>
    </row>
    <row r="263" spans="1:9" hidden="1" x14ac:dyDescent="0.25">
      <c r="B263" s="53" t="s">
        <v>139</v>
      </c>
      <c r="C263" s="48" t="s">
        <v>272</v>
      </c>
      <c r="D263" s="38"/>
      <c r="E263" s="47"/>
      <c r="I263" s="40"/>
    </row>
    <row r="264" spans="1:9" hidden="1" x14ac:dyDescent="0.25">
      <c r="B264" s="53" t="s">
        <v>58</v>
      </c>
      <c r="C264" s="48" t="s">
        <v>223</v>
      </c>
      <c r="D264" s="38"/>
      <c r="E264" s="46"/>
    </row>
    <row r="265" spans="1:9" hidden="1" x14ac:dyDescent="0.25">
      <c r="B265" s="53" t="s">
        <v>40</v>
      </c>
      <c r="C265" s="48" t="s">
        <v>273</v>
      </c>
      <c r="D265" s="38"/>
      <c r="E265" s="47"/>
    </row>
    <row r="266" spans="1:9" hidden="1" x14ac:dyDescent="0.25">
      <c r="B266" s="53" t="s">
        <v>56</v>
      </c>
      <c r="C266" s="48" t="s">
        <v>216</v>
      </c>
      <c r="D266" s="38"/>
      <c r="E266" s="46"/>
      <c r="I266" s="40"/>
    </row>
    <row r="267" spans="1:9" hidden="1" x14ac:dyDescent="0.25">
      <c r="B267" s="53" t="s">
        <v>140</v>
      </c>
      <c r="C267" s="48" t="s">
        <v>274</v>
      </c>
      <c r="D267" s="38"/>
      <c r="E267" s="47"/>
      <c r="I267" s="40"/>
    </row>
    <row r="268" spans="1:9" hidden="1" x14ac:dyDescent="0.25">
      <c r="B268" s="53" t="s">
        <v>154</v>
      </c>
      <c r="C268" s="48" t="s">
        <v>224</v>
      </c>
      <c r="D268" s="38"/>
      <c r="E268" s="46"/>
      <c r="I268" s="40"/>
    </row>
    <row r="269" spans="1:9" hidden="1" x14ac:dyDescent="0.25">
      <c r="B269" s="53" t="s">
        <v>141</v>
      </c>
      <c r="C269" s="48" t="s">
        <v>275</v>
      </c>
      <c r="D269" s="38"/>
      <c r="E269" s="47"/>
      <c r="I269" s="40"/>
    </row>
    <row r="270" spans="1:9" hidden="1" x14ac:dyDescent="0.25">
      <c r="B270" s="53" t="s">
        <v>55</v>
      </c>
      <c r="C270" s="48" t="s">
        <v>217</v>
      </c>
      <c r="D270" s="38"/>
      <c r="E270" s="46"/>
      <c r="I270" s="40"/>
    </row>
    <row r="271" spans="1:9" hidden="1" x14ac:dyDescent="0.25">
      <c r="B271" s="53" t="s">
        <v>155</v>
      </c>
      <c r="C271" s="48" t="s">
        <v>225</v>
      </c>
      <c r="D271" s="38"/>
      <c r="E271" s="47"/>
      <c r="I271" s="40"/>
    </row>
    <row r="272" spans="1:9" hidden="1" x14ac:dyDescent="0.25">
      <c r="B272" s="53" t="s">
        <v>153</v>
      </c>
      <c r="C272" s="48" t="s">
        <v>218</v>
      </c>
      <c r="D272" s="38"/>
      <c r="E272" s="46"/>
      <c r="I272" s="40"/>
    </row>
    <row r="273" spans="1:11" hidden="1" x14ac:dyDescent="0.25">
      <c r="B273" s="53" t="s">
        <v>60</v>
      </c>
      <c r="C273" s="48" t="s">
        <v>226</v>
      </c>
      <c r="D273" s="38"/>
      <c r="E273" s="47"/>
      <c r="I273" s="40"/>
    </row>
    <row r="274" spans="1:11" hidden="1" x14ac:dyDescent="0.25">
      <c r="B274" s="53" t="s">
        <v>53</v>
      </c>
      <c r="C274" s="48" t="s">
        <v>219</v>
      </c>
      <c r="D274" s="38"/>
      <c r="E274" s="46"/>
      <c r="I274" s="40"/>
    </row>
    <row r="275" spans="1:11" hidden="1" x14ac:dyDescent="0.25">
      <c r="B275" s="53" t="s">
        <v>125</v>
      </c>
      <c r="C275" s="48" t="s">
        <v>220</v>
      </c>
      <c r="D275" s="38"/>
      <c r="E275" s="47"/>
      <c r="I275" s="40"/>
    </row>
    <row r="276" spans="1:11" hidden="1" x14ac:dyDescent="0.25">
      <c r="B276" s="53" t="s">
        <v>54</v>
      </c>
      <c r="C276" s="48" t="s">
        <v>221</v>
      </c>
      <c r="D276" s="38"/>
      <c r="E276" s="46"/>
      <c r="I276" s="40"/>
    </row>
    <row r="277" spans="1:11" hidden="1" x14ac:dyDescent="0.25">
      <c r="B277" s="53"/>
      <c r="C277" s="48"/>
      <c r="D277" s="38"/>
      <c r="E277" s="46"/>
      <c r="I277" s="40"/>
    </row>
    <row r="278" spans="1:11" hidden="1" x14ac:dyDescent="0.25">
      <c r="B278" s="49" t="s">
        <v>88</v>
      </c>
      <c r="C278" s="54" t="s">
        <v>295</v>
      </c>
      <c r="D278" s="43"/>
      <c r="E278" s="47"/>
      <c r="I278" s="40"/>
    </row>
    <row r="279" spans="1:11" hidden="1" x14ac:dyDescent="0.25">
      <c r="A279" s="39" t="s">
        <v>177</v>
      </c>
      <c r="B279" s="53" t="s">
        <v>51</v>
      </c>
      <c r="C279" s="48" t="s">
        <v>201</v>
      </c>
      <c r="D279" s="38"/>
      <c r="E279" s="46"/>
      <c r="I279" s="38"/>
    </row>
    <row r="280" spans="1:11" hidden="1" x14ac:dyDescent="0.25">
      <c r="B280" s="53" t="s">
        <v>46</v>
      </c>
      <c r="C280" s="48" t="s">
        <v>205</v>
      </c>
      <c r="D280" s="38"/>
      <c r="E280" s="47"/>
      <c r="I280" s="40"/>
    </row>
    <row r="281" spans="1:11" hidden="1" x14ac:dyDescent="0.25">
      <c r="B281" s="53" t="s">
        <v>118</v>
      </c>
      <c r="C281" s="48" t="s">
        <v>202</v>
      </c>
      <c r="D281" s="38"/>
      <c r="E281" s="46"/>
      <c r="I281" s="40"/>
    </row>
    <row r="282" spans="1:11" hidden="1" x14ac:dyDescent="0.25">
      <c r="B282" s="53" t="s">
        <v>47</v>
      </c>
      <c r="C282" s="48" t="s">
        <v>206</v>
      </c>
      <c r="D282" s="38"/>
      <c r="E282" s="44"/>
      <c r="I282" s="40"/>
    </row>
    <row r="283" spans="1:11" hidden="1" x14ac:dyDescent="0.25">
      <c r="B283" s="53" t="s">
        <v>150</v>
      </c>
      <c r="C283" s="48" t="s">
        <v>203</v>
      </c>
      <c r="D283" s="38"/>
      <c r="E283" s="44"/>
      <c r="I283" s="40"/>
    </row>
    <row r="284" spans="1:11" hidden="1" x14ac:dyDescent="0.25">
      <c r="B284" s="53" t="s">
        <v>49</v>
      </c>
      <c r="C284" s="48" t="s">
        <v>207</v>
      </c>
      <c r="D284" s="38"/>
      <c r="E284" s="46"/>
      <c r="I284" s="38"/>
      <c r="K284" s="38"/>
    </row>
    <row r="285" spans="1:11" hidden="1" x14ac:dyDescent="0.25">
      <c r="B285" s="53" t="s">
        <v>50</v>
      </c>
      <c r="C285" s="48" t="s">
        <v>204</v>
      </c>
      <c r="D285" s="38"/>
      <c r="E285" s="46"/>
      <c r="I285" s="40"/>
      <c r="K285" s="38"/>
    </row>
    <row r="286" spans="1:11" hidden="1" x14ac:dyDescent="0.25">
      <c r="B286" s="53" t="s">
        <v>48</v>
      </c>
      <c r="C286" s="48" t="s">
        <v>208</v>
      </c>
      <c r="D286" s="38"/>
      <c r="E286" s="46"/>
      <c r="I286" s="40"/>
    </row>
    <row r="287" spans="1:11" hidden="1" x14ac:dyDescent="0.25">
      <c r="B287" s="53" t="s">
        <v>119</v>
      </c>
      <c r="C287" s="48" t="s">
        <v>209</v>
      </c>
      <c r="D287" s="38"/>
      <c r="E287" s="46"/>
      <c r="I287" s="40"/>
    </row>
    <row r="288" spans="1:11" hidden="1" x14ac:dyDescent="0.25"/>
    <row r="289" spans="2:5" hidden="1" x14ac:dyDescent="0.25">
      <c r="B289" t="s">
        <v>296</v>
      </c>
      <c r="C289" t="s">
        <v>297</v>
      </c>
      <c r="D289" t="s">
        <v>334</v>
      </c>
      <c r="E289" t="s">
        <v>336</v>
      </c>
    </row>
    <row r="290" spans="2:5" hidden="1" x14ac:dyDescent="0.25">
      <c r="B290" t="s">
        <v>77</v>
      </c>
      <c r="C290" s="38" t="s">
        <v>77</v>
      </c>
      <c r="D290" s="38" t="s">
        <v>313</v>
      </c>
      <c r="E290" s="38" t="str">
        <f>CONCATENATE(Table_Name28[[#This Row],[Table name]],"[Link]")</f>
        <v>Abs[Link]</v>
      </c>
    </row>
    <row r="291" spans="2:5" hidden="1" x14ac:dyDescent="0.25">
      <c r="B291" t="s">
        <v>19</v>
      </c>
      <c r="C291" s="38" t="s">
        <v>19</v>
      </c>
      <c r="D291" s="38" t="s">
        <v>314</v>
      </c>
      <c r="E291" s="38" t="str">
        <f>CONCATENATE(Table_Name28[[#This Row],[Table name]],"[Link]")</f>
        <v>Calves[Link]</v>
      </c>
    </row>
    <row r="292" spans="2:5" hidden="1" x14ac:dyDescent="0.25">
      <c r="B292" t="s">
        <v>18</v>
      </c>
      <c r="C292" s="38" t="s">
        <v>18</v>
      </c>
      <c r="D292" s="38" t="s">
        <v>315</v>
      </c>
      <c r="E292" s="38" t="str">
        <f>CONCATENATE(Table_Name28[[#This Row],[Table name]],"[Link]")</f>
        <v>Biceps[Link]</v>
      </c>
    </row>
    <row r="293" spans="2:5" hidden="1" x14ac:dyDescent="0.25">
      <c r="B293" t="s">
        <v>117</v>
      </c>
      <c r="C293" s="38" t="s">
        <v>298</v>
      </c>
      <c r="D293" s="38" t="s">
        <v>316</v>
      </c>
      <c r="E293" s="38" t="str">
        <f>CONCATENATE(Table_Name28[[#This Row],[Table name]],"[Link]")</f>
        <v>Rear_Delts[Link]</v>
      </c>
    </row>
    <row r="294" spans="2:5" hidden="1" x14ac:dyDescent="0.25">
      <c r="B294" t="s">
        <v>105</v>
      </c>
      <c r="C294" s="38" t="s">
        <v>299</v>
      </c>
      <c r="D294" s="38" t="s">
        <v>317</v>
      </c>
      <c r="E294" s="38" t="str">
        <f>CONCATENATE(Table_Name28[[#This Row],[Table name]],"[Link]")</f>
        <v>Side_Delts[Link]</v>
      </c>
    </row>
    <row r="295" spans="2:5" hidden="1" x14ac:dyDescent="0.25">
      <c r="B295" t="s">
        <v>120</v>
      </c>
      <c r="C295" s="38" t="s">
        <v>120</v>
      </c>
      <c r="D295" s="38" t="s">
        <v>318</v>
      </c>
      <c r="E295" s="38" t="str">
        <f>CONCATENATE(Table_Name28[[#This Row],[Table name]],"[Link]")</f>
        <v>Traps[Link]</v>
      </c>
    </row>
    <row r="296" spans="2:5" hidden="1" x14ac:dyDescent="0.25">
      <c r="B296" t="s">
        <v>52</v>
      </c>
      <c r="C296" s="38" t="s">
        <v>300</v>
      </c>
      <c r="D296" s="38" t="s">
        <v>319</v>
      </c>
      <c r="E296" s="38" t="str">
        <f>CONCATENATE(Table_Name28[[#This Row],[Table name]],"[Link]")</f>
        <v>Horizontal_Triceps[Link]</v>
      </c>
    </row>
    <row r="297" spans="2:5" hidden="1" x14ac:dyDescent="0.25">
      <c r="B297" t="s">
        <v>57</v>
      </c>
      <c r="C297" s="38" t="s">
        <v>301</v>
      </c>
      <c r="D297" s="38" t="s">
        <v>320</v>
      </c>
      <c r="E297" s="38" t="str">
        <f>CONCATENATE(Table_Name28[[#This Row],[Table name]],"[Link]")</f>
        <v>Vertical_Triceps[Link]</v>
      </c>
    </row>
    <row r="298" spans="2:5" hidden="1" x14ac:dyDescent="0.25">
      <c r="B298" t="s">
        <v>178</v>
      </c>
      <c r="C298" s="38" t="s">
        <v>302</v>
      </c>
      <c r="D298" s="38" t="s">
        <v>335</v>
      </c>
      <c r="E298" s="38" t="str">
        <f>CONCATENATE(Table_Name28[[#This Row],[Table name]],"[Link]")</f>
        <v>Horizonal_Back[Link]</v>
      </c>
    </row>
    <row r="299" spans="2:5" hidden="1" x14ac:dyDescent="0.25">
      <c r="B299" t="s">
        <v>130</v>
      </c>
      <c r="C299" s="38" t="s">
        <v>303</v>
      </c>
      <c r="D299" s="38" t="s">
        <v>321</v>
      </c>
      <c r="E299" s="38" t="str">
        <f>CONCATENATE(Table_Name28[[#This Row],[Table name]],"[Link]")</f>
        <v>Vertical_Back[Link]</v>
      </c>
    </row>
    <row r="300" spans="2:5" hidden="1" x14ac:dyDescent="0.25">
      <c r="B300" t="s">
        <v>20</v>
      </c>
      <c r="C300" s="38" t="s">
        <v>20</v>
      </c>
      <c r="D300" s="38" t="s">
        <v>322</v>
      </c>
      <c r="E300" s="38" t="str">
        <f>CONCATENATE(Table_Name28[[#This Row],[Table name]],"[Link]")</f>
        <v>Quads[Link]</v>
      </c>
    </row>
    <row r="301" spans="2:5" hidden="1" x14ac:dyDescent="0.25">
      <c r="B301" t="s">
        <v>108</v>
      </c>
      <c r="C301" s="38" t="s">
        <v>108</v>
      </c>
      <c r="D301" s="38" t="s">
        <v>323</v>
      </c>
      <c r="E301" s="38" t="str">
        <f>CONCATENATE(Table_Name28[[#This Row],[Table name]],"[Link]")</f>
        <v>Glutes[Link]</v>
      </c>
    </row>
    <row r="302" spans="2:5" hidden="1" x14ac:dyDescent="0.25">
      <c r="B302" t="s">
        <v>107</v>
      </c>
      <c r="C302" s="38" t="s">
        <v>304</v>
      </c>
      <c r="D302" s="38" t="s">
        <v>324</v>
      </c>
      <c r="E302" s="38" t="str">
        <f>CONCATENATE(Table_Name28[[#This Row],[Table name]],"[Link]")</f>
        <v>Hamstrings_Hip_Hinge[Link]</v>
      </c>
    </row>
    <row r="303" spans="2:5" hidden="1" x14ac:dyDescent="0.25">
      <c r="B303" t="s">
        <v>106</v>
      </c>
      <c r="C303" s="38" t="s">
        <v>305</v>
      </c>
      <c r="D303" s="38" t="s">
        <v>325</v>
      </c>
      <c r="E303" s="38" t="str">
        <f>CONCATENATE(Table_Name28[[#This Row],[Table name]],"[Link]")</f>
        <v>Hamstrings_Isolation[Link]</v>
      </c>
    </row>
    <row r="304" spans="2:5" hidden="1" x14ac:dyDescent="0.25">
      <c r="B304" t="s">
        <v>37</v>
      </c>
      <c r="C304" s="38" t="s">
        <v>306</v>
      </c>
      <c r="D304" s="38" t="s">
        <v>326</v>
      </c>
      <c r="E304" s="38" t="str">
        <f>CONCATENATE(Table_Name28[[#This Row],[Table name]],"[Link]")</f>
        <v>Chest_Isolation[Link]</v>
      </c>
    </row>
    <row r="305" spans="2:5" hidden="1" x14ac:dyDescent="0.25">
      <c r="B305" t="s">
        <v>22</v>
      </c>
      <c r="C305" s="38" t="s">
        <v>307</v>
      </c>
      <c r="D305" s="38" t="s">
        <v>327</v>
      </c>
      <c r="E305" s="38" t="str">
        <f>CONCATENATE(Table_Name28[[#This Row],[Table name]],"[Link]")</f>
        <v>Horizontal_Push[Link]</v>
      </c>
    </row>
    <row r="306" spans="2:5" hidden="1" x14ac:dyDescent="0.25">
      <c r="B306" t="s">
        <v>143</v>
      </c>
      <c r="C306" s="38" t="s">
        <v>308</v>
      </c>
      <c r="D306" s="38" t="s">
        <v>328</v>
      </c>
      <c r="E306" s="38" t="str">
        <f>CONCATENATE(Table_Name28[[#This Row],[Table name]],"[Link]")</f>
        <v>Incline_Push[Link]</v>
      </c>
    </row>
    <row r="307" spans="2:5" hidden="1" x14ac:dyDescent="0.25">
      <c r="B307" t="s">
        <v>104</v>
      </c>
      <c r="C307" s="38" t="s">
        <v>309</v>
      </c>
      <c r="D307" s="38" t="s">
        <v>329</v>
      </c>
      <c r="E307" s="38" t="str">
        <f>CONCATENATE(Table_Name28[[#This Row],[Table name]],"[Link]")</f>
        <v>Front_Delts[Link]</v>
      </c>
    </row>
    <row r="308" spans="2:5" hidden="1" x14ac:dyDescent="0.25">
      <c r="B308" t="s">
        <v>17</v>
      </c>
      <c r="C308" s="38" t="s">
        <v>17</v>
      </c>
      <c r="D308" s="38" t="s">
        <v>330</v>
      </c>
      <c r="E308" s="38" t="str">
        <f>CONCATENATE(Table_Name28[[#This Row],[Table name]],"[Link]")</f>
        <v>Triceps[Link]</v>
      </c>
    </row>
    <row r="309" spans="2:5" hidden="1" x14ac:dyDescent="0.25">
      <c r="B309" t="s">
        <v>176</v>
      </c>
      <c r="C309" s="38" t="s">
        <v>310</v>
      </c>
      <c r="D309" s="38" t="s">
        <v>331</v>
      </c>
      <c r="E309" s="38" t="str">
        <f>CONCATENATE(Table_Name28[[#This Row],[Table name]],"[Link]")</f>
        <v>Incline_Push_or_Front_Delts[Link]</v>
      </c>
    </row>
    <row r="310" spans="2:5" hidden="1" x14ac:dyDescent="0.25">
      <c r="B310" t="s">
        <v>175</v>
      </c>
      <c r="C310" s="38" t="s">
        <v>311</v>
      </c>
      <c r="D310" s="38" t="s">
        <v>332</v>
      </c>
      <c r="E310" s="38" t="str">
        <f>CONCATENATE(Table_Name28[[#This Row],[Table name]],"[Link]")</f>
        <v>Chest_Isolation_or_Triceps[Link]</v>
      </c>
    </row>
    <row r="311" spans="2:5" hidden="1" x14ac:dyDescent="0.25">
      <c r="B311" t="s">
        <v>177</v>
      </c>
      <c r="C311" s="38" t="s">
        <v>312</v>
      </c>
      <c r="D311" s="38" t="s">
        <v>333</v>
      </c>
      <c r="E311" s="38" t="str">
        <f>CONCATENATE(Table_Name28[[#This Row],[Table name]],"[Link]")</f>
        <v>Rear_or_Side_Delts[Link]</v>
      </c>
    </row>
    <row r="312" spans="2:5" hidden="1" x14ac:dyDescent="0.25"/>
    <row r="313" spans="2:5" hidden="1" x14ac:dyDescent="0.25">
      <c r="B313" s="8" t="s">
        <v>88</v>
      </c>
      <c r="C313" t="s">
        <v>295</v>
      </c>
      <c r="D313" s="8" t="s">
        <v>296</v>
      </c>
    </row>
    <row r="314" spans="2:5" hidden="1" x14ac:dyDescent="0.25">
      <c r="B314" s="38" t="s">
        <v>109</v>
      </c>
      <c r="C314" t="s">
        <v>179</v>
      </c>
      <c r="D314" t="s">
        <v>77</v>
      </c>
    </row>
    <row r="315" spans="2:5" hidden="1" x14ac:dyDescent="0.25">
      <c r="B315" s="38" t="s">
        <v>79</v>
      </c>
      <c r="C315" t="s">
        <v>180</v>
      </c>
      <c r="D315" t="s">
        <v>77</v>
      </c>
    </row>
    <row r="316" spans="2:5" hidden="1" x14ac:dyDescent="0.25">
      <c r="B316" s="38" t="s">
        <v>80</v>
      </c>
      <c r="C316" t="s">
        <v>181</v>
      </c>
      <c r="D316" t="s">
        <v>77</v>
      </c>
    </row>
    <row r="317" spans="2:5" hidden="1" x14ac:dyDescent="0.25">
      <c r="B317" s="38" t="s">
        <v>78</v>
      </c>
      <c r="C317" t="s">
        <v>182</v>
      </c>
      <c r="D317" t="s">
        <v>77</v>
      </c>
    </row>
    <row r="318" spans="2:5" hidden="1" x14ac:dyDescent="0.25">
      <c r="B318" s="40" t="s">
        <v>110</v>
      </c>
      <c r="C318" t="s">
        <v>183</v>
      </c>
      <c r="D318" t="s">
        <v>77</v>
      </c>
    </row>
    <row r="319" spans="2:5" hidden="1" x14ac:dyDescent="0.25">
      <c r="B319" s="38" t="s">
        <v>81</v>
      </c>
      <c r="C319" t="s">
        <v>184</v>
      </c>
      <c r="D319" t="s">
        <v>77</v>
      </c>
    </row>
    <row r="320" spans="2:5" hidden="1" x14ac:dyDescent="0.25">
      <c r="B320" s="38" t="s">
        <v>146</v>
      </c>
      <c r="C320" t="s">
        <v>185</v>
      </c>
      <c r="D320" t="s">
        <v>77</v>
      </c>
    </row>
    <row r="321" spans="2:4" hidden="1" x14ac:dyDescent="0.25">
      <c r="B321" s="38" t="s">
        <v>61</v>
      </c>
      <c r="C321" t="s">
        <v>190</v>
      </c>
      <c r="D321" t="s">
        <v>18</v>
      </c>
    </row>
    <row r="322" spans="2:4" hidden="1" x14ac:dyDescent="0.25">
      <c r="B322" s="38" t="s">
        <v>62</v>
      </c>
      <c r="C322" t="s">
        <v>191</v>
      </c>
      <c r="D322" t="s">
        <v>18</v>
      </c>
    </row>
    <row r="323" spans="2:4" hidden="1" x14ac:dyDescent="0.25">
      <c r="B323" s="38" t="s">
        <v>112</v>
      </c>
      <c r="C323" t="s">
        <v>192</v>
      </c>
      <c r="D323" t="s">
        <v>18</v>
      </c>
    </row>
    <row r="324" spans="2:4" hidden="1" x14ac:dyDescent="0.25">
      <c r="B324" s="38" t="s">
        <v>63</v>
      </c>
      <c r="C324" t="s">
        <v>193</v>
      </c>
      <c r="D324" t="s">
        <v>18</v>
      </c>
    </row>
    <row r="325" spans="2:4" hidden="1" x14ac:dyDescent="0.25">
      <c r="B325" s="38" t="s">
        <v>113</v>
      </c>
      <c r="C325" t="s">
        <v>194</v>
      </c>
      <c r="D325" t="s">
        <v>18</v>
      </c>
    </row>
    <row r="326" spans="2:4" hidden="1" x14ac:dyDescent="0.25">
      <c r="B326" s="38" t="s">
        <v>114</v>
      </c>
      <c r="C326" t="s">
        <v>195</v>
      </c>
      <c r="D326" t="s">
        <v>18</v>
      </c>
    </row>
    <row r="327" spans="2:4" hidden="1" x14ac:dyDescent="0.25">
      <c r="B327" s="38" t="s">
        <v>147</v>
      </c>
      <c r="C327" t="s">
        <v>196</v>
      </c>
      <c r="D327" t="s">
        <v>18</v>
      </c>
    </row>
    <row r="328" spans="2:4" hidden="1" x14ac:dyDescent="0.25">
      <c r="B328" s="38" t="s">
        <v>148</v>
      </c>
      <c r="C328" t="s">
        <v>197</v>
      </c>
      <c r="D328" t="s">
        <v>18</v>
      </c>
    </row>
    <row r="329" spans="2:4" hidden="1" x14ac:dyDescent="0.25">
      <c r="B329" s="40" t="s">
        <v>115</v>
      </c>
      <c r="C329" t="s">
        <v>198</v>
      </c>
      <c r="D329" t="s">
        <v>18</v>
      </c>
    </row>
    <row r="330" spans="2:4" hidden="1" x14ac:dyDescent="0.25">
      <c r="B330" s="38" t="s">
        <v>116</v>
      </c>
      <c r="C330" t="s">
        <v>199</v>
      </c>
      <c r="D330" t="s">
        <v>18</v>
      </c>
    </row>
    <row r="331" spans="2:4" hidden="1" x14ac:dyDescent="0.25">
      <c r="B331" s="38" t="s">
        <v>149</v>
      </c>
      <c r="C331" t="s">
        <v>200</v>
      </c>
      <c r="D331" t="s">
        <v>18</v>
      </c>
    </row>
    <row r="332" spans="2:4" hidden="1" x14ac:dyDescent="0.25">
      <c r="B332" s="38" t="s">
        <v>111</v>
      </c>
      <c r="C332" t="s">
        <v>186</v>
      </c>
      <c r="D332" t="s">
        <v>19</v>
      </c>
    </row>
    <row r="333" spans="2:4" hidden="1" x14ac:dyDescent="0.25">
      <c r="B333" s="38" t="s">
        <v>75</v>
      </c>
      <c r="C333" t="s">
        <v>187</v>
      </c>
      <c r="D333" t="s">
        <v>19</v>
      </c>
    </row>
    <row r="334" spans="2:4" hidden="1" x14ac:dyDescent="0.25">
      <c r="B334" s="38" t="s">
        <v>74</v>
      </c>
      <c r="C334" t="s">
        <v>188</v>
      </c>
      <c r="D334" t="s">
        <v>19</v>
      </c>
    </row>
    <row r="335" spans="2:4" hidden="1" x14ac:dyDescent="0.25">
      <c r="B335" s="38" t="s">
        <v>76</v>
      </c>
      <c r="C335" t="s">
        <v>189</v>
      </c>
      <c r="D335" t="s">
        <v>19</v>
      </c>
    </row>
    <row r="336" spans="2:4" hidden="1" x14ac:dyDescent="0.25">
      <c r="B336" s="38" t="s">
        <v>138</v>
      </c>
      <c r="C336" t="s">
        <v>269</v>
      </c>
      <c r="D336" t="s">
        <v>37</v>
      </c>
    </row>
    <row r="337" spans="2:4" hidden="1" x14ac:dyDescent="0.25">
      <c r="B337" s="38" t="s">
        <v>38</v>
      </c>
      <c r="C337" t="s">
        <v>270</v>
      </c>
      <c r="D337" t="s">
        <v>37</v>
      </c>
    </row>
    <row r="338" spans="2:4" hidden="1" x14ac:dyDescent="0.25">
      <c r="B338" s="38" t="s">
        <v>39</v>
      </c>
      <c r="C338" t="s">
        <v>271</v>
      </c>
      <c r="D338" t="s">
        <v>37</v>
      </c>
    </row>
    <row r="339" spans="2:4" hidden="1" x14ac:dyDescent="0.25">
      <c r="B339" s="38" t="s">
        <v>139</v>
      </c>
      <c r="C339" t="s">
        <v>272</v>
      </c>
      <c r="D339" t="s">
        <v>37</v>
      </c>
    </row>
    <row r="340" spans="2:4" hidden="1" x14ac:dyDescent="0.25">
      <c r="B340" s="38" t="s">
        <v>40</v>
      </c>
      <c r="C340" t="s">
        <v>273</v>
      </c>
      <c r="D340" t="s">
        <v>37</v>
      </c>
    </row>
    <row r="341" spans="2:4" hidden="1" x14ac:dyDescent="0.25">
      <c r="B341" s="38" t="s">
        <v>140</v>
      </c>
      <c r="C341" t="s">
        <v>274</v>
      </c>
      <c r="D341" t="s">
        <v>37</v>
      </c>
    </row>
    <row r="342" spans="2:4" hidden="1" x14ac:dyDescent="0.25">
      <c r="B342" s="38" t="s">
        <v>141</v>
      </c>
      <c r="C342" t="s">
        <v>275</v>
      </c>
      <c r="D342" t="s">
        <v>37</v>
      </c>
    </row>
    <row r="343" spans="2:4" hidden="1" x14ac:dyDescent="0.25">
      <c r="B343" s="38" t="s">
        <v>138</v>
      </c>
      <c r="C343" t="s">
        <v>269</v>
      </c>
      <c r="D343" t="s">
        <v>175</v>
      </c>
    </row>
    <row r="344" spans="2:4" hidden="1" x14ac:dyDescent="0.25">
      <c r="B344" s="38" t="s">
        <v>152</v>
      </c>
      <c r="C344" t="s">
        <v>214</v>
      </c>
      <c r="D344" t="s">
        <v>175</v>
      </c>
    </row>
    <row r="345" spans="2:4" hidden="1" x14ac:dyDescent="0.25">
      <c r="B345" s="38" t="s">
        <v>38</v>
      </c>
      <c r="C345" t="s">
        <v>270</v>
      </c>
      <c r="D345" t="s">
        <v>175</v>
      </c>
    </row>
    <row r="346" spans="2:4" hidden="1" x14ac:dyDescent="0.25">
      <c r="B346" s="38" t="s">
        <v>59</v>
      </c>
      <c r="C346" t="s">
        <v>222</v>
      </c>
      <c r="D346" t="s">
        <v>175</v>
      </c>
    </row>
    <row r="347" spans="2:4" hidden="1" x14ac:dyDescent="0.25">
      <c r="B347" s="38" t="s">
        <v>39</v>
      </c>
      <c r="C347" t="s">
        <v>271</v>
      </c>
      <c r="D347" t="s">
        <v>175</v>
      </c>
    </row>
    <row r="348" spans="2:4" hidden="1" x14ac:dyDescent="0.25">
      <c r="B348" s="38" t="s">
        <v>124</v>
      </c>
      <c r="C348" t="s">
        <v>215</v>
      </c>
      <c r="D348" t="s">
        <v>175</v>
      </c>
    </row>
    <row r="349" spans="2:4" hidden="1" x14ac:dyDescent="0.25">
      <c r="B349" s="38" t="s">
        <v>139</v>
      </c>
      <c r="C349" t="s">
        <v>272</v>
      </c>
      <c r="D349" t="s">
        <v>175</v>
      </c>
    </row>
    <row r="350" spans="2:4" hidden="1" x14ac:dyDescent="0.25">
      <c r="B350" s="38" t="s">
        <v>58</v>
      </c>
      <c r="C350" t="s">
        <v>223</v>
      </c>
      <c r="D350" t="s">
        <v>175</v>
      </c>
    </row>
    <row r="351" spans="2:4" hidden="1" x14ac:dyDescent="0.25">
      <c r="B351" s="38" t="s">
        <v>40</v>
      </c>
      <c r="C351" t="s">
        <v>273</v>
      </c>
      <c r="D351" t="s">
        <v>175</v>
      </c>
    </row>
    <row r="352" spans="2:4" hidden="1" x14ac:dyDescent="0.25">
      <c r="B352" s="38" t="s">
        <v>56</v>
      </c>
      <c r="C352" t="s">
        <v>216</v>
      </c>
      <c r="D352" t="s">
        <v>175</v>
      </c>
    </row>
    <row r="353" spans="2:4" hidden="1" x14ac:dyDescent="0.25">
      <c r="B353" s="38" t="s">
        <v>140</v>
      </c>
      <c r="C353" t="s">
        <v>274</v>
      </c>
      <c r="D353" t="s">
        <v>175</v>
      </c>
    </row>
    <row r="354" spans="2:4" hidden="1" x14ac:dyDescent="0.25">
      <c r="B354" s="38" t="s">
        <v>154</v>
      </c>
      <c r="C354" t="s">
        <v>224</v>
      </c>
      <c r="D354" t="s">
        <v>175</v>
      </c>
    </row>
    <row r="355" spans="2:4" hidden="1" x14ac:dyDescent="0.25">
      <c r="B355" s="38" t="s">
        <v>141</v>
      </c>
      <c r="C355" t="s">
        <v>275</v>
      </c>
      <c r="D355" t="s">
        <v>175</v>
      </c>
    </row>
    <row r="356" spans="2:4" hidden="1" x14ac:dyDescent="0.25">
      <c r="B356" s="38" t="s">
        <v>55</v>
      </c>
      <c r="C356" t="s">
        <v>217</v>
      </c>
      <c r="D356" t="s">
        <v>175</v>
      </c>
    </row>
    <row r="357" spans="2:4" hidden="1" x14ac:dyDescent="0.25">
      <c r="B357" s="38" t="s">
        <v>155</v>
      </c>
      <c r="C357" t="s">
        <v>225</v>
      </c>
      <c r="D357" t="s">
        <v>175</v>
      </c>
    </row>
    <row r="358" spans="2:4" hidden="1" x14ac:dyDescent="0.25">
      <c r="B358" s="38" t="s">
        <v>153</v>
      </c>
      <c r="C358" t="s">
        <v>218</v>
      </c>
      <c r="D358" t="s">
        <v>175</v>
      </c>
    </row>
    <row r="359" spans="2:4" hidden="1" x14ac:dyDescent="0.25">
      <c r="B359" s="38" t="s">
        <v>60</v>
      </c>
      <c r="C359" t="s">
        <v>226</v>
      </c>
      <c r="D359" t="s">
        <v>175</v>
      </c>
    </row>
    <row r="360" spans="2:4" hidden="1" x14ac:dyDescent="0.25">
      <c r="B360" s="38" t="s">
        <v>53</v>
      </c>
      <c r="C360" t="s">
        <v>219</v>
      </c>
      <c r="D360" t="s">
        <v>175</v>
      </c>
    </row>
    <row r="361" spans="2:4" hidden="1" x14ac:dyDescent="0.25">
      <c r="B361" s="38" t="s">
        <v>125</v>
      </c>
      <c r="C361" t="s">
        <v>220</v>
      </c>
      <c r="D361" t="s">
        <v>175</v>
      </c>
    </row>
    <row r="362" spans="2:4" hidden="1" x14ac:dyDescent="0.25">
      <c r="B362" s="38" t="s">
        <v>54</v>
      </c>
      <c r="C362" t="s">
        <v>221</v>
      </c>
      <c r="D362" t="s">
        <v>175</v>
      </c>
    </row>
    <row r="363" spans="2:4" hidden="1" x14ac:dyDescent="0.25">
      <c r="B363" s="38" t="s">
        <v>32</v>
      </c>
      <c r="C363" t="s">
        <v>289</v>
      </c>
      <c r="D363" t="s">
        <v>104</v>
      </c>
    </row>
    <row r="364" spans="2:4" hidden="1" x14ac:dyDescent="0.25">
      <c r="B364" s="38" t="s">
        <v>34</v>
      </c>
      <c r="C364" t="s">
        <v>290</v>
      </c>
      <c r="D364" t="s">
        <v>104</v>
      </c>
    </row>
    <row r="365" spans="2:4" hidden="1" x14ac:dyDescent="0.25">
      <c r="B365" s="38" t="s">
        <v>35</v>
      </c>
      <c r="C365" t="s">
        <v>291</v>
      </c>
      <c r="D365" t="s">
        <v>104</v>
      </c>
    </row>
    <row r="366" spans="2:4" hidden="1" x14ac:dyDescent="0.25">
      <c r="B366" s="38" t="s">
        <v>174</v>
      </c>
      <c r="C366" t="s">
        <v>292</v>
      </c>
      <c r="D366" t="s">
        <v>104</v>
      </c>
    </row>
    <row r="367" spans="2:4" hidden="1" x14ac:dyDescent="0.25">
      <c r="B367" s="12" t="s">
        <v>145</v>
      </c>
      <c r="C367" t="s">
        <v>293</v>
      </c>
      <c r="D367" t="s">
        <v>104</v>
      </c>
    </row>
    <row r="368" spans="2:4" hidden="1" x14ac:dyDescent="0.25">
      <c r="B368" s="38" t="s">
        <v>33</v>
      </c>
      <c r="C368" t="s">
        <v>294</v>
      </c>
      <c r="D368" t="s">
        <v>104</v>
      </c>
    </row>
    <row r="369" spans="2:4" hidden="1" x14ac:dyDescent="0.25">
      <c r="B369" s="38" t="s">
        <v>66</v>
      </c>
      <c r="C369" t="s">
        <v>254</v>
      </c>
      <c r="D369" t="s">
        <v>108</v>
      </c>
    </row>
    <row r="370" spans="2:4" hidden="1" x14ac:dyDescent="0.25">
      <c r="B370" s="38" t="s">
        <v>67</v>
      </c>
      <c r="C370" t="s">
        <v>255</v>
      </c>
      <c r="D370" t="s">
        <v>108</v>
      </c>
    </row>
    <row r="371" spans="2:4" hidden="1" x14ac:dyDescent="0.25">
      <c r="B371" s="38" t="s">
        <v>133</v>
      </c>
      <c r="C371" t="s">
        <v>256</v>
      </c>
      <c r="D371" t="s">
        <v>108</v>
      </c>
    </row>
    <row r="372" spans="2:4" hidden="1" x14ac:dyDescent="0.25">
      <c r="B372" s="38" t="s">
        <v>170</v>
      </c>
      <c r="C372" t="s">
        <v>257</v>
      </c>
      <c r="D372" t="s">
        <v>108</v>
      </c>
    </row>
    <row r="373" spans="2:4" hidden="1" x14ac:dyDescent="0.25">
      <c r="B373" s="38" t="s">
        <v>70</v>
      </c>
      <c r="C373" t="s">
        <v>258</v>
      </c>
      <c r="D373" t="s">
        <v>108</v>
      </c>
    </row>
    <row r="374" spans="2:4" hidden="1" x14ac:dyDescent="0.25">
      <c r="B374" s="38" t="s">
        <v>69</v>
      </c>
      <c r="C374" t="s">
        <v>259</v>
      </c>
      <c r="D374" t="s">
        <v>108</v>
      </c>
    </row>
    <row r="375" spans="2:4" hidden="1" x14ac:dyDescent="0.25">
      <c r="B375" s="38" t="s">
        <v>134</v>
      </c>
      <c r="C375" t="s">
        <v>260</v>
      </c>
      <c r="D375" t="s">
        <v>108</v>
      </c>
    </row>
    <row r="376" spans="2:4" hidden="1" x14ac:dyDescent="0.25">
      <c r="B376" s="38" t="s">
        <v>171</v>
      </c>
      <c r="C376" t="s">
        <v>261</v>
      </c>
      <c r="D376" t="s">
        <v>108</v>
      </c>
    </row>
    <row r="377" spans="2:4" hidden="1" x14ac:dyDescent="0.25">
      <c r="B377" s="38" t="s">
        <v>135</v>
      </c>
      <c r="C377" t="s">
        <v>262</v>
      </c>
      <c r="D377" t="s">
        <v>107</v>
      </c>
    </row>
    <row r="378" spans="2:4" hidden="1" x14ac:dyDescent="0.25">
      <c r="B378" s="38" t="s">
        <v>71</v>
      </c>
      <c r="C378" t="s">
        <v>263</v>
      </c>
      <c r="D378" t="s">
        <v>107</v>
      </c>
    </row>
    <row r="379" spans="2:4" hidden="1" x14ac:dyDescent="0.25">
      <c r="B379" s="38" t="s">
        <v>72</v>
      </c>
      <c r="C379" t="s">
        <v>264</v>
      </c>
      <c r="D379" t="s">
        <v>107</v>
      </c>
    </row>
    <row r="380" spans="2:4" hidden="1" x14ac:dyDescent="0.25">
      <c r="B380" s="38" t="s">
        <v>136</v>
      </c>
      <c r="C380" t="s">
        <v>265</v>
      </c>
      <c r="D380" t="s">
        <v>107</v>
      </c>
    </row>
    <row r="381" spans="2:4" hidden="1" x14ac:dyDescent="0.25">
      <c r="B381" s="38" t="s">
        <v>172</v>
      </c>
      <c r="C381" t="s">
        <v>266</v>
      </c>
      <c r="D381" t="s">
        <v>106</v>
      </c>
    </row>
    <row r="382" spans="2:4" hidden="1" x14ac:dyDescent="0.25">
      <c r="B382" s="38" t="s">
        <v>73</v>
      </c>
      <c r="C382" t="s">
        <v>267</v>
      </c>
      <c r="D382" t="s">
        <v>106</v>
      </c>
    </row>
    <row r="383" spans="2:4" hidden="1" x14ac:dyDescent="0.25">
      <c r="B383" s="38" t="s">
        <v>137</v>
      </c>
      <c r="C383" t="s">
        <v>268</v>
      </c>
      <c r="D383" t="s">
        <v>106</v>
      </c>
    </row>
    <row r="384" spans="2:4" hidden="1" x14ac:dyDescent="0.25">
      <c r="B384" s="38" t="s">
        <v>156</v>
      </c>
      <c r="C384" t="s">
        <v>227</v>
      </c>
      <c r="D384" t="s">
        <v>126</v>
      </c>
    </row>
    <row r="385" spans="2:4" hidden="1" x14ac:dyDescent="0.25">
      <c r="B385" s="38" t="s">
        <v>157</v>
      </c>
      <c r="C385" t="s">
        <v>228</v>
      </c>
      <c r="D385" t="s">
        <v>126</v>
      </c>
    </row>
    <row r="386" spans="2:4" hidden="1" x14ac:dyDescent="0.25">
      <c r="B386" s="38" t="s">
        <v>158</v>
      </c>
      <c r="C386" t="s">
        <v>229</v>
      </c>
      <c r="D386" t="s">
        <v>126</v>
      </c>
    </row>
    <row r="387" spans="2:4" hidden="1" x14ac:dyDescent="0.25">
      <c r="B387" s="38" t="s">
        <v>42</v>
      </c>
      <c r="C387" t="s">
        <v>230</v>
      </c>
      <c r="D387" t="s">
        <v>126</v>
      </c>
    </row>
    <row r="388" spans="2:4" hidden="1" x14ac:dyDescent="0.25">
      <c r="B388" s="38" t="s">
        <v>127</v>
      </c>
      <c r="C388" t="s">
        <v>231</v>
      </c>
      <c r="D388" t="s">
        <v>126</v>
      </c>
    </row>
    <row r="389" spans="2:4" hidden="1" x14ac:dyDescent="0.25">
      <c r="B389" s="38" t="s">
        <v>128</v>
      </c>
      <c r="C389" t="s">
        <v>232</v>
      </c>
      <c r="D389" t="s">
        <v>126</v>
      </c>
    </row>
    <row r="390" spans="2:4" hidden="1" x14ac:dyDescent="0.25">
      <c r="B390" s="38" t="s">
        <v>41</v>
      </c>
      <c r="C390" t="s">
        <v>233</v>
      </c>
      <c r="D390" t="s">
        <v>126</v>
      </c>
    </row>
    <row r="391" spans="2:4" hidden="1" x14ac:dyDescent="0.25">
      <c r="B391" s="38" t="s">
        <v>129</v>
      </c>
      <c r="C391" t="s">
        <v>234</v>
      </c>
      <c r="D391" t="s">
        <v>126</v>
      </c>
    </row>
    <row r="392" spans="2:4" hidden="1" x14ac:dyDescent="0.25">
      <c r="B392" s="38" t="s">
        <v>23</v>
      </c>
      <c r="C392" t="s">
        <v>276</v>
      </c>
      <c r="D392" t="s">
        <v>22</v>
      </c>
    </row>
    <row r="393" spans="2:4" hidden="1" x14ac:dyDescent="0.25">
      <c r="B393" s="38" t="s">
        <v>25</v>
      </c>
      <c r="C393" t="s">
        <v>277</v>
      </c>
      <c r="D393" t="s">
        <v>22</v>
      </c>
    </row>
    <row r="394" spans="2:4" hidden="1" x14ac:dyDescent="0.25">
      <c r="B394" s="38" t="s">
        <v>142</v>
      </c>
      <c r="C394" t="s">
        <v>278</v>
      </c>
      <c r="D394" t="s">
        <v>22</v>
      </c>
    </row>
    <row r="395" spans="2:4" hidden="1" x14ac:dyDescent="0.25">
      <c r="B395" s="38" t="s">
        <v>24</v>
      </c>
      <c r="C395" t="s">
        <v>279</v>
      </c>
      <c r="D395" t="s">
        <v>22</v>
      </c>
    </row>
    <row r="396" spans="2:4" hidden="1" x14ac:dyDescent="0.25">
      <c r="B396" s="12" t="s">
        <v>173</v>
      </c>
      <c r="C396" t="s">
        <v>280</v>
      </c>
      <c r="D396" t="s">
        <v>22</v>
      </c>
    </row>
    <row r="397" spans="2:4" hidden="1" x14ac:dyDescent="0.25">
      <c r="B397" s="38" t="s">
        <v>26</v>
      </c>
      <c r="C397" t="s">
        <v>281</v>
      </c>
      <c r="D397" t="s">
        <v>22</v>
      </c>
    </row>
    <row r="398" spans="2:4" hidden="1" x14ac:dyDescent="0.25">
      <c r="B398" s="38" t="s">
        <v>27</v>
      </c>
      <c r="C398" t="s">
        <v>282</v>
      </c>
      <c r="D398" t="s">
        <v>22</v>
      </c>
    </row>
    <row r="399" spans="2:4" hidden="1" x14ac:dyDescent="0.25">
      <c r="B399" s="38" t="s">
        <v>152</v>
      </c>
      <c r="C399" t="s">
        <v>214</v>
      </c>
      <c r="D399" t="s">
        <v>52</v>
      </c>
    </row>
    <row r="400" spans="2:4" hidden="1" x14ac:dyDescent="0.25">
      <c r="B400" s="38" t="s">
        <v>124</v>
      </c>
      <c r="C400" t="s">
        <v>215</v>
      </c>
      <c r="D400" t="s">
        <v>52</v>
      </c>
    </row>
    <row r="401" spans="2:4" hidden="1" x14ac:dyDescent="0.25">
      <c r="B401" s="38" t="s">
        <v>56</v>
      </c>
      <c r="C401" t="s">
        <v>216</v>
      </c>
      <c r="D401" t="s">
        <v>52</v>
      </c>
    </row>
    <row r="402" spans="2:4" hidden="1" x14ac:dyDescent="0.25">
      <c r="B402" s="38" t="s">
        <v>55</v>
      </c>
      <c r="C402" t="s">
        <v>217</v>
      </c>
      <c r="D402" t="s">
        <v>52</v>
      </c>
    </row>
    <row r="403" spans="2:4" hidden="1" x14ac:dyDescent="0.25">
      <c r="B403" s="38" t="s">
        <v>153</v>
      </c>
      <c r="C403" t="s">
        <v>218</v>
      </c>
      <c r="D403" t="s">
        <v>52</v>
      </c>
    </row>
    <row r="404" spans="2:4" hidden="1" x14ac:dyDescent="0.25">
      <c r="B404" s="38" t="s">
        <v>53</v>
      </c>
      <c r="C404" t="s">
        <v>219</v>
      </c>
      <c r="D404" t="s">
        <v>52</v>
      </c>
    </row>
    <row r="405" spans="2:4" hidden="1" x14ac:dyDescent="0.25">
      <c r="B405" s="38" t="s">
        <v>125</v>
      </c>
      <c r="C405" t="s">
        <v>220</v>
      </c>
      <c r="D405" t="s">
        <v>52</v>
      </c>
    </row>
    <row r="406" spans="2:4" hidden="1" x14ac:dyDescent="0.25">
      <c r="B406" s="38" t="s">
        <v>54</v>
      </c>
      <c r="C406" t="s">
        <v>221</v>
      </c>
      <c r="D406" t="s">
        <v>52</v>
      </c>
    </row>
    <row r="407" spans="2:4" hidden="1" x14ac:dyDescent="0.25">
      <c r="B407" s="40" t="s">
        <v>29</v>
      </c>
      <c r="C407" t="s">
        <v>283</v>
      </c>
      <c r="D407" t="s">
        <v>143</v>
      </c>
    </row>
    <row r="408" spans="2:4" hidden="1" x14ac:dyDescent="0.25">
      <c r="B408" s="38" t="s">
        <v>31</v>
      </c>
      <c r="C408" t="s">
        <v>284</v>
      </c>
      <c r="D408" t="s">
        <v>143</v>
      </c>
    </row>
    <row r="409" spans="2:4" hidden="1" x14ac:dyDescent="0.25">
      <c r="B409" s="38" t="s">
        <v>28</v>
      </c>
      <c r="C409" t="s">
        <v>285</v>
      </c>
      <c r="D409" t="s">
        <v>143</v>
      </c>
    </row>
    <row r="410" spans="2:4" hidden="1" x14ac:dyDescent="0.25">
      <c r="B410" s="38" t="s">
        <v>36</v>
      </c>
      <c r="C410" t="s">
        <v>286</v>
      </c>
      <c r="D410" t="s">
        <v>143</v>
      </c>
    </row>
    <row r="411" spans="2:4" hidden="1" x14ac:dyDescent="0.25">
      <c r="B411" s="38" t="s">
        <v>30</v>
      </c>
      <c r="C411" t="s">
        <v>287</v>
      </c>
      <c r="D411" t="s">
        <v>143</v>
      </c>
    </row>
    <row r="412" spans="2:4" hidden="1" x14ac:dyDescent="0.25">
      <c r="B412" s="12" t="s">
        <v>144</v>
      </c>
      <c r="C412" t="s">
        <v>288</v>
      </c>
      <c r="D412" t="s">
        <v>143</v>
      </c>
    </row>
    <row r="413" spans="2:4" hidden="1" x14ac:dyDescent="0.25">
      <c r="B413" s="40" t="s">
        <v>29</v>
      </c>
      <c r="C413" t="s">
        <v>283</v>
      </c>
      <c r="D413" t="s">
        <v>176</v>
      </c>
    </row>
    <row r="414" spans="2:4" hidden="1" x14ac:dyDescent="0.25">
      <c r="B414" s="38" t="s">
        <v>32</v>
      </c>
      <c r="C414" t="s">
        <v>289</v>
      </c>
      <c r="D414" t="s">
        <v>176</v>
      </c>
    </row>
    <row r="415" spans="2:4" hidden="1" x14ac:dyDescent="0.25">
      <c r="B415" s="38" t="s">
        <v>31</v>
      </c>
      <c r="C415" t="s">
        <v>284</v>
      </c>
      <c r="D415" t="s">
        <v>176</v>
      </c>
    </row>
    <row r="416" spans="2:4" hidden="1" x14ac:dyDescent="0.25">
      <c r="B416" s="38" t="s">
        <v>34</v>
      </c>
      <c r="C416" t="s">
        <v>290</v>
      </c>
      <c r="D416" t="s">
        <v>176</v>
      </c>
    </row>
    <row r="417" spans="2:4" hidden="1" x14ac:dyDescent="0.25">
      <c r="B417" s="38" t="s">
        <v>28</v>
      </c>
      <c r="C417" t="s">
        <v>285</v>
      </c>
      <c r="D417" t="s">
        <v>176</v>
      </c>
    </row>
    <row r="418" spans="2:4" hidden="1" x14ac:dyDescent="0.25">
      <c r="B418" s="38" t="s">
        <v>35</v>
      </c>
      <c r="C418" t="s">
        <v>291</v>
      </c>
      <c r="D418" t="s">
        <v>176</v>
      </c>
    </row>
    <row r="419" spans="2:4" hidden="1" x14ac:dyDescent="0.25">
      <c r="B419" s="38" t="s">
        <v>36</v>
      </c>
      <c r="C419" t="s">
        <v>286</v>
      </c>
      <c r="D419" t="s">
        <v>176</v>
      </c>
    </row>
    <row r="420" spans="2:4" hidden="1" x14ac:dyDescent="0.25">
      <c r="B420" s="38" t="s">
        <v>174</v>
      </c>
      <c r="C420" t="s">
        <v>292</v>
      </c>
      <c r="D420" t="s">
        <v>176</v>
      </c>
    </row>
    <row r="421" spans="2:4" hidden="1" x14ac:dyDescent="0.25">
      <c r="B421" s="38" t="s">
        <v>30</v>
      </c>
      <c r="C421" t="s">
        <v>287</v>
      </c>
      <c r="D421" t="s">
        <v>176</v>
      </c>
    </row>
    <row r="422" spans="2:4" hidden="1" x14ac:dyDescent="0.25">
      <c r="B422" s="12" t="s">
        <v>145</v>
      </c>
      <c r="C422" t="s">
        <v>293</v>
      </c>
      <c r="D422" t="s">
        <v>176</v>
      </c>
    </row>
    <row r="423" spans="2:4" hidden="1" x14ac:dyDescent="0.25">
      <c r="B423" s="12" t="s">
        <v>144</v>
      </c>
      <c r="C423" t="s">
        <v>288</v>
      </c>
      <c r="D423" t="s">
        <v>176</v>
      </c>
    </row>
    <row r="424" spans="2:4" hidden="1" x14ac:dyDescent="0.25">
      <c r="B424" s="38" t="s">
        <v>33</v>
      </c>
      <c r="C424" t="s">
        <v>294</v>
      </c>
      <c r="D424" t="s">
        <v>176</v>
      </c>
    </row>
    <row r="425" spans="2:4" hidden="1" x14ac:dyDescent="0.25">
      <c r="B425" s="38" t="s">
        <v>64</v>
      </c>
      <c r="C425" t="s">
        <v>247</v>
      </c>
      <c r="D425" t="s">
        <v>20</v>
      </c>
    </row>
    <row r="426" spans="2:4" hidden="1" x14ac:dyDescent="0.25">
      <c r="B426" s="38" t="s">
        <v>167</v>
      </c>
      <c r="C426" t="s">
        <v>248</v>
      </c>
      <c r="D426" t="s">
        <v>20</v>
      </c>
    </row>
    <row r="427" spans="2:4" hidden="1" x14ac:dyDescent="0.25">
      <c r="B427" s="38" t="s">
        <v>168</v>
      </c>
      <c r="C427" t="s">
        <v>249</v>
      </c>
      <c r="D427" t="s">
        <v>20</v>
      </c>
    </row>
    <row r="428" spans="2:4" hidden="1" x14ac:dyDescent="0.25">
      <c r="B428" s="38" t="s">
        <v>65</v>
      </c>
      <c r="C428" t="s">
        <v>250</v>
      </c>
      <c r="D428" t="s">
        <v>20</v>
      </c>
    </row>
    <row r="429" spans="2:4" hidden="1" x14ac:dyDescent="0.25">
      <c r="B429" s="38" t="s">
        <v>132</v>
      </c>
      <c r="C429" t="s">
        <v>251</v>
      </c>
      <c r="D429" t="s">
        <v>20</v>
      </c>
    </row>
    <row r="430" spans="2:4" hidden="1" x14ac:dyDescent="0.25">
      <c r="B430" s="38" t="s">
        <v>68</v>
      </c>
      <c r="C430" t="s">
        <v>252</v>
      </c>
      <c r="D430" t="s">
        <v>20</v>
      </c>
    </row>
    <row r="431" spans="2:4" hidden="1" x14ac:dyDescent="0.25">
      <c r="B431" s="38" t="s">
        <v>169</v>
      </c>
      <c r="C431" t="s">
        <v>253</v>
      </c>
      <c r="D431" t="s">
        <v>20</v>
      </c>
    </row>
    <row r="432" spans="2:4" hidden="1" x14ac:dyDescent="0.25">
      <c r="B432" s="38" t="s">
        <v>51</v>
      </c>
      <c r="C432" t="s">
        <v>201</v>
      </c>
      <c r="D432" t="s">
        <v>117</v>
      </c>
    </row>
    <row r="433" spans="2:4" hidden="1" x14ac:dyDescent="0.25">
      <c r="B433" s="38" t="s">
        <v>118</v>
      </c>
      <c r="C433" t="s">
        <v>202</v>
      </c>
      <c r="D433" t="s">
        <v>117</v>
      </c>
    </row>
    <row r="434" spans="2:4" hidden="1" x14ac:dyDescent="0.25">
      <c r="B434" s="38" t="s">
        <v>150</v>
      </c>
      <c r="C434" t="s">
        <v>203</v>
      </c>
      <c r="D434" t="s">
        <v>117</v>
      </c>
    </row>
    <row r="435" spans="2:4" hidden="1" x14ac:dyDescent="0.25">
      <c r="B435" s="38" t="s">
        <v>50</v>
      </c>
      <c r="C435" t="s">
        <v>204</v>
      </c>
      <c r="D435" t="s">
        <v>117</v>
      </c>
    </row>
    <row r="436" spans="2:4" hidden="1" x14ac:dyDescent="0.25">
      <c r="B436" s="38" t="s">
        <v>51</v>
      </c>
      <c r="C436" t="s">
        <v>201</v>
      </c>
      <c r="D436" t="s">
        <v>177</v>
      </c>
    </row>
    <row r="437" spans="2:4" hidden="1" x14ac:dyDescent="0.25">
      <c r="B437" s="38" t="s">
        <v>46</v>
      </c>
      <c r="C437" t="s">
        <v>205</v>
      </c>
      <c r="D437" t="s">
        <v>177</v>
      </c>
    </row>
    <row r="438" spans="2:4" hidden="1" x14ac:dyDescent="0.25">
      <c r="B438" s="38" t="s">
        <v>118</v>
      </c>
      <c r="C438" t="s">
        <v>202</v>
      </c>
      <c r="D438" t="s">
        <v>177</v>
      </c>
    </row>
    <row r="439" spans="2:4" hidden="1" x14ac:dyDescent="0.25">
      <c r="B439" s="38" t="s">
        <v>47</v>
      </c>
      <c r="C439" t="s">
        <v>206</v>
      </c>
      <c r="D439" t="s">
        <v>177</v>
      </c>
    </row>
    <row r="440" spans="2:4" hidden="1" x14ac:dyDescent="0.25">
      <c r="B440" s="38" t="s">
        <v>150</v>
      </c>
      <c r="C440" t="s">
        <v>203</v>
      </c>
      <c r="D440" t="s">
        <v>177</v>
      </c>
    </row>
    <row r="441" spans="2:4" hidden="1" x14ac:dyDescent="0.25">
      <c r="B441" s="38" t="s">
        <v>49</v>
      </c>
      <c r="C441" t="s">
        <v>207</v>
      </c>
      <c r="D441" t="s">
        <v>177</v>
      </c>
    </row>
    <row r="442" spans="2:4" hidden="1" x14ac:dyDescent="0.25">
      <c r="B442" s="38" t="s">
        <v>50</v>
      </c>
      <c r="C442" t="s">
        <v>204</v>
      </c>
      <c r="D442" t="s">
        <v>177</v>
      </c>
    </row>
    <row r="443" spans="2:4" hidden="1" x14ac:dyDescent="0.25">
      <c r="B443" s="38" t="s">
        <v>48</v>
      </c>
      <c r="C443" t="s">
        <v>208</v>
      </c>
      <c r="D443" t="s">
        <v>177</v>
      </c>
    </row>
    <row r="444" spans="2:4" hidden="1" x14ac:dyDescent="0.25">
      <c r="B444" s="38" t="s">
        <v>119</v>
      </c>
      <c r="C444" t="s">
        <v>209</v>
      </c>
      <c r="D444" t="s">
        <v>177</v>
      </c>
    </row>
    <row r="445" spans="2:4" hidden="1" x14ac:dyDescent="0.25">
      <c r="B445" s="38" t="s">
        <v>46</v>
      </c>
      <c r="C445" t="s">
        <v>205</v>
      </c>
      <c r="D445" s="39" t="s">
        <v>105</v>
      </c>
    </row>
    <row r="446" spans="2:4" hidden="1" x14ac:dyDescent="0.25">
      <c r="B446" s="38" t="s">
        <v>47</v>
      </c>
      <c r="C446" t="s">
        <v>206</v>
      </c>
      <c r="D446" s="39" t="s">
        <v>105</v>
      </c>
    </row>
    <row r="447" spans="2:4" hidden="1" x14ac:dyDescent="0.25">
      <c r="B447" s="38" t="s">
        <v>49</v>
      </c>
      <c r="C447" t="s">
        <v>207</v>
      </c>
      <c r="D447" s="39" t="s">
        <v>105</v>
      </c>
    </row>
    <row r="448" spans="2:4" hidden="1" x14ac:dyDescent="0.25">
      <c r="B448" s="38" t="s">
        <v>48</v>
      </c>
      <c r="C448" t="s">
        <v>208</v>
      </c>
      <c r="D448" s="39" t="s">
        <v>105</v>
      </c>
    </row>
    <row r="449" spans="2:4" hidden="1" x14ac:dyDescent="0.25">
      <c r="B449" s="38" t="s">
        <v>119</v>
      </c>
      <c r="C449" t="s">
        <v>209</v>
      </c>
      <c r="D449" s="39" t="s">
        <v>105</v>
      </c>
    </row>
    <row r="450" spans="2:4" hidden="1" x14ac:dyDescent="0.25">
      <c r="B450" s="38" t="s">
        <v>151</v>
      </c>
      <c r="C450" t="s">
        <v>210</v>
      </c>
      <c r="D450" t="s">
        <v>120</v>
      </c>
    </row>
    <row r="451" spans="2:4" hidden="1" x14ac:dyDescent="0.25">
      <c r="B451" s="38" t="s">
        <v>121</v>
      </c>
      <c r="C451" t="s">
        <v>211</v>
      </c>
      <c r="D451" t="s">
        <v>120</v>
      </c>
    </row>
    <row r="452" spans="2:4" hidden="1" x14ac:dyDescent="0.25">
      <c r="B452" s="38" t="s">
        <v>122</v>
      </c>
      <c r="C452" t="s">
        <v>212</v>
      </c>
      <c r="D452" t="s">
        <v>120</v>
      </c>
    </row>
    <row r="453" spans="2:4" hidden="1" x14ac:dyDescent="0.25">
      <c r="B453" s="38" t="s">
        <v>123</v>
      </c>
      <c r="C453" t="s">
        <v>213</v>
      </c>
      <c r="D453" t="s">
        <v>120</v>
      </c>
    </row>
    <row r="454" spans="2:4" hidden="1" x14ac:dyDescent="0.25">
      <c r="B454" s="38" t="s">
        <v>152</v>
      </c>
      <c r="C454" t="s">
        <v>214</v>
      </c>
      <c r="D454" t="s">
        <v>17</v>
      </c>
    </row>
    <row r="455" spans="2:4" hidden="1" x14ac:dyDescent="0.25">
      <c r="B455" s="38" t="s">
        <v>59</v>
      </c>
      <c r="C455" t="s">
        <v>222</v>
      </c>
      <c r="D455" t="s">
        <v>17</v>
      </c>
    </row>
    <row r="456" spans="2:4" hidden="1" x14ac:dyDescent="0.25">
      <c r="B456" s="38" t="s">
        <v>124</v>
      </c>
      <c r="C456" t="s">
        <v>215</v>
      </c>
      <c r="D456" t="s">
        <v>17</v>
      </c>
    </row>
    <row r="457" spans="2:4" hidden="1" x14ac:dyDescent="0.25">
      <c r="B457" s="38" t="s">
        <v>58</v>
      </c>
      <c r="C457" t="s">
        <v>223</v>
      </c>
      <c r="D457" t="s">
        <v>17</v>
      </c>
    </row>
    <row r="458" spans="2:4" hidden="1" x14ac:dyDescent="0.25">
      <c r="B458" s="38" t="s">
        <v>56</v>
      </c>
      <c r="C458" t="s">
        <v>216</v>
      </c>
      <c r="D458" t="s">
        <v>17</v>
      </c>
    </row>
    <row r="459" spans="2:4" hidden="1" x14ac:dyDescent="0.25">
      <c r="B459" s="38" t="s">
        <v>154</v>
      </c>
      <c r="C459" t="s">
        <v>224</v>
      </c>
      <c r="D459" t="s">
        <v>17</v>
      </c>
    </row>
    <row r="460" spans="2:4" hidden="1" x14ac:dyDescent="0.25">
      <c r="B460" s="38" t="s">
        <v>55</v>
      </c>
      <c r="C460" t="s">
        <v>217</v>
      </c>
      <c r="D460" t="s">
        <v>17</v>
      </c>
    </row>
    <row r="461" spans="2:4" hidden="1" x14ac:dyDescent="0.25">
      <c r="B461" s="38" t="s">
        <v>155</v>
      </c>
      <c r="C461" t="s">
        <v>225</v>
      </c>
      <c r="D461" t="s">
        <v>17</v>
      </c>
    </row>
    <row r="462" spans="2:4" hidden="1" x14ac:dyDescent="0.25">
      <c r="B462" s="38" t="s">
        <v>153</v>
      </c>
      <c r="C462" t="s">
        <v>218</v>
      </c>
      <c r="D462" t="s">
        <v>17</v>
      </c>
    </row>
    <row r="463" spans="2:4" hidden="1" x14ac:dyDescent="0.25">
      <c r="B463" s="38" t="s">
        <v>60</v>
      </c>
      <c r="C463" t="s">
        <v>226</v>
      </c>
      <c r="D463" t="s">
        <v>17</v>
      </c>
    </row>
    <row r="464" spans="2:4" hidden="1" x14ac:dyDescent="0.25">
      <c r="B464" s="38" t="s">
        <v>53</v>
      </c>
      <c r="C464" t="s">
        <v>219</v>
      </c>
      <c r="D464" t="s">
        <v>17</v>
      </c>
    </row>
    <row r="465" spans="2:4" hidden="1" x14ac:dyDescent="0.25">
      <c r="B465" s="38" t="s">
        <v>125</v>
      </c>
      <c r="C465" t="s">
        <v>220</v>
      </c>
      <c r="D465" t="s">
        <v>17</v>
      </c>
    </row>
    <row r="466" spans="2:4" hidden="1" x14ac:dyDescent="0.25">
      <c r="B466" s="38" t="s">
        <v>54</v>
      </c>
      <c r="C466" t="s">
        <v>221</v>
      </c>
      <c r="D466" t="s">
        <v>17</v>
      </c>
    </row>
    <row r="467" spans="2:4" hidden="1" x14ac:dyDescent="0.25">
      <c r="B467" s="38" t="s">
        <v>131</v>
      </c>
      <c r="C467" t="s">
        <v>235</v>
      </c>
      <c r="D467" t="s">
        <v>130</v>
      </c>
    </row>
    <row r="468" spans="2:4" hidden="1" x14ac:dyDescent="0.25">
      <c r="B468" s="38" t="s">
        <v>159</v>
      </c>
      <c r="C468" t="s">
        <v>236</v>
      </c>
      <c r="D468" t="s">
        <v>130</v>
      </c>
    </row>
    <row r="469" spans="2:4" hidden="1" x14ac:dyDescent="0.25">
      <c r="B469" s="38" t="s">
        <v>160</v>
      </c>
      <c r="C469" t="s">
        <v>237</v>
      </c>
      <c r="D469" t="s">
        <v>130</v>
      </c>
    </row>
    <row r="470" spans="2:4" hidden="1" x14ac:dyDescent="0.25">
      <c r="B470" s="38" t="s">
        <v>161</v>
      </c>
      <c r="C470" t="s">
        <v>238</v>
      </c>
      <c r="D470" t="s">
        <v>130</v>
      </c>
    </row>
    <row r="471" spans="2:4" hidden="1" x14ac:dyDescent="0.25">
      <c r="B471" s="38" t="s">
        <v>162</v>
      </c>
      <c r="C471" t="s">
        <v>239</v>
      </c>
      <c r="D471" t="s">
        <v>130</v>
      </c>
    </row>
    <row r="472" spans="2:4" hidden="1" x14ac:dyDescent="0.25">
      <c r="B472" s="40" t="s">
        <v>163</v>
      </c>
      <c r="C472" t="s">
        <v>240</v>
      </c>
      <c r="D472" t="s">
        <v>130</v>
      </c>
    </row>
    <row r="473" spans="2:4" hidden="1" x14ac:dyDescent="0.25">
      <c r="B473" s="40" t="s">
        <v>164</v>
      </c>
      <c r="C473" t="s">
        <v>241</v>
      </c>
      <c r="D473" t="s">
        <v>130</v>
      </c>
    </row>
    <row r="474" spans="2:4" hidden="1" x14ac:dyDescent="0.25">
      <c r="B474" s="38" t="s">
        <v>43</v>
      </c>
      <c r="C474" t="s">
        <v>242</v>
      </c>
      <c r="D474" t="s">
        <v>130</v>
      </c>
    </row>
    <row r="475" spans="2:4" hidden="1" x14ac:dyDescent="0.25">
      <c r="B475" s="40" t="s">
        <v>165</v>
      </c>
      <c r="C475" t="s">
        <v>243</v>
      </c>
      <c r="D475" t="s">
        <v>130</v>
      </c>
    </row>
    <row r="476" spans="2:4" hidden="1" x14ac:dyDescent="0.25">
      <c r="B476" s="40" t="s">
        <v>166</v>
      </c>
      <c r="C476" t="s">
        <v>244</v>
      </c>
      <c r="D476" t="s">
        <v>130</v>
      </c>
    </row>
    <row r="477" spans="2:4" hidden="1" x14ac:dyDescent="0.25">
      <c r="B477" s="38" t="s">
        <v>44</v>
      </c>
      <c r="C477" t="s">
        <v>245</v>
      </c>
      <c r="D477" t="s">
        <v>130</v>
      </c>
    </row>
    <row r="478" spans="2:4" hidden="1" x14ac:dyDescent="0.25">
      <c r="B478" s="40" t="s">
        <v>45</v>
      </c>
      <c r="C478" t="s">
        <v>246</v>
      </c>
      <c r="D478" t="s">
        <v>130</v>
      </c>
    </row>
    <row r="479" spans="2:4" hidden="1" x14ac:dyDescent="0.25">
      <c r="B479" s="38" t="s">
        <v>59</v>
      </c>
      <c r="C479" t="s">
        <v>222</v>
      </c>
      <c r="D479" t="s">
        <v>57</v>
      </c>
    </row>
    <row r="480" spans="2:4" hidden="1" x14ac:dyDescent="0.25">
      <c r="B480" s="38" t="s">
        <v>58</v>
      </c>
      <c r="C480" t="s">
        <v>223</v>
      </c>
      <c r="D480" t="s">
        <v>57</v>
      </c>
    </row>
    <row r="481" spans="2:4" hidden="1" x14ac:dyDescent="0.25">
      <c r="B481" s="38" t="s">
        <v>154</v>
      </c>
      <c r="C481" t="s">
        <v>224</v>
      </c>
      <c r="D481" t="s">
        <v>57</v>
      </c>
    </row>
    <row r="482" spans="2:4" hidden="1" x14ac:dyDescent="0.25">
      <c r="B482" s="38" t="s">
        <v>155</v>
      </c>
      <c r="C482" t="s">
        <v>225</v>
      </c>
      <c r="D482" t="s">
        <v>57</v>
      </c>
    </row>
    <row r="483" spans="2:4" hidden="1" x14ac:dyDescent="0.25">
      <c r="B483" s="38" t="s">
        <v>60</v>
      </c>
      <c r="C483" t="s">
        <v>226</v>
      </c>
      <c r="D483" t="s">
        <v>57</v>
      </c>
    </row>
  </sheetData>
  <mergeCells count="20">
    <mergeCell ref="AF19:AI19"/>
    <mergeCell ref="AF28:AI28"/>
    <mergeCell ref="AF39:AI39"/>
    <mergeCell ref="T19:Y19"/>
    <mergeCell ref="T28:Y28"/>
    <mergeCell ref="T39:Y39"/>
    <mergeCell ref="Z19:AE19"/>
    <mergeCell ref="Z28:AE28"/>
    <mergeCell ref="Z39:AE39"/>
    <mergeCell ref="H19:M19"/>
    <mergeCell ref="H28:M28"/>
    <mergeCell ref="H39:M39"/>
    <mergeCell ref="N19:S19"/>
    <mergeCell ref="N28:S28"/>
    <mergeCell ref="N39:S39"/>
    <mergeCell ref="H8:M8"/>
    <mergeCell ref="N8:S8"/>
    <mergeCell ref="T8:Y8"/>
    <mergeCell ref="Z8:AE8"/>
    <mergeCell ref="AF8:AI8"/>
  </mergeCells>
  <dataValidations count="2">
    <dataValidation type="list" allowBlank="1" showInputMessage="1" showErrorMessage="1" sqref="S22:T27 M42:M48 S42:T48 Y42:Y48 Y11:Y18 S11:T18 AE11:AE18 AE22:AE27 Y22:Y27 M31:M38 Y31:Y38 S31:T38">
      <formula1>$C$69:$C$71</formula1>
    </dataValidation>
    <dataValidation type="list" allowBlank="1" showInputMessage="1" showErrorMessage="1" sqref="C31:C38 C11:C18 C22:C27 C42:C48">
      <formula1>INDIRECT(D11)</formula1>
    </dataValidation>
  </dataValidations>
  <hyperlinks>
    <hyperlink ref="B213" r:id="rId1"/>
    <hyperlink ref="B162" r:id="rId2"/>
    <hyperlink ref="B160" r:id="rId3"/>
    <hyperlink ref="B159" r:id="rId4"/>
    <hyperlink ref="B156" r:id="rId5"/>
    <hyperlink ref="B157" r:id="rId6"/>
    <hyperlink ref="B100" r:id="rId7"/>
    <hyperlink ref="B81" r:id="rId8"/>
    <hyperlink ref="B80" r:id="rId9"/>
    <hyperlink ref="B78" r:id="rId10"/>
    <hyperlink ref="B79" r:id="rId11"/>
    <hyperlink ref="B82" r:id="rId12"/>
    <hyperlink ref="B83" r:id="rId13"/>
    <hyperlink ref="B77" r:id="rId14"/>
    <hyperlink ref="B88" r:id="rId15"/>
    <hyperlink ref="B86" r:id="rId16"/>
    <hyperlink ref="B87" r:id="rId17"/>
    <hyperlink ref="B89" r:id="rId18"/>
    <hyperlink ref="B92" r:id="rId19"/>
    <hyperlink ref="B93" r:id="rId20"/>
    <hyperlink ref="B95" r:id="rId21"/>
    <hyperlink ref="B94" r:id="rId22"/>
    <hyperlink ref="B96" r:id="rId23"/>
    <hyperlink ref="B97" r:id="rId24"/>
    <hyperlink ref="B98" r:id="rId25"/>
    <hyperlink ref="B99" r:id="rId26"/>
    <hyperlink ref="B102" r:id="rId27"/>
    <hyperlink ref="B101" r:id="rId28"/>
    <hyperlink ref="B111" r:id="rId29"/>
    <hyperlink ref="B114" r:id="rId30"/>
    <hyperlink ref="B115" r:id="rId31"/>
    <hyperlink ref="B113" r:id="rId32"/>
    <hyperlink ref="B112" r:id="rId33"/>
    <hyperlink ref="B107" r:id="rId34"/>
    <hyperlink ref="B108" r:id="rId35"/>
    <hyperlink ref="B106" r:id="rId36"/>
    <hyperlink ref="B105" r:id="rId37"/>
    <hyperlink ref="B142" r:id="rId38"/>
    <hyperlink ref="B141" r:id="rId39"/>
    <hyperlink ref="B144" r:id="rId40"/>
    <hyperlink ref="B147" r:id="rId41"/>
    <hyperlink ref="B154" r:id="rId42"/>
    <hyperlink ref="B151" r:id="rId43"/>
    <hyperlink ref="B152" r:id="rId44"/>
    <hyperlink ref="B153" r:id="rId45"/>
    <hyperlink ref="B161" r:id="rId46"/>
    <hyperlink ref="B155" r:id="rId47"/>
    <hyperlink ref="B158" r:id="rId48"/>
    <hyperlink ref="B145" r:id="rId49"/>
    <hyperlink ref="B143" r:id="rId50"/>
    <hyperlink ref="B119" r:id="rId51"/>
    <hyperlink ref="B118" r:id="rId52"/>
    <hyperlink ref="B120" r:id="rId53"/>
    <hyperlink ref="B146" r:id="rId54"/>
    <hyperlink ref="B121" r:id="rId55"/>
    <hyperlink ref="B148" r:id="rId56"/>
    <hyperlink ref="B165" r:id="rId57"/>
    <hyperlink ref="B170" r:id="rId58"/>
    <hyperlink ref="B171" r:id="rId59"/>
    <hyperlink ref="B167" r:id="rId60"/>
    <hyperlink ref="B176" r:id="rId61"/>
    <hyperlink ref="B166" r:id="rId62"/>
    <hyperlink ref="B177" r:id="rId63"/>
    <hyperlink ref="B184" r:id="rId64"/>
    <hyperlink ref="B180" r:id="rId65"/>
    <hyperlink ref="B178" r:id="rId66"/>
    <hyperlink ref="B179" r:id="rId67"/>
    <hyperlink ref="B168" r:id="rId68"/>
    <hyperlink ref="B169" r:id="rId69"/>
    <hyperlink ref="B174" r:id="rId70"/>
    <hyperlink ref="B175" r:id="rId71"/>
    <hyperlink ref="B185" r:id="rId72"/>
    <hyperlink ref="B186" r:id="rId73"/>
    <hyperlink ref="B187" r:id="rId74"/>
    <hyperlink ref="B181" r:id="rId75"/>
    <hyperlink ref="B191" r:id="rId76"/>
    <hyperlink ref="B190" r:id="rId77"/>
    <hyperlink ref="B192" r:id="rId78"/>
    <hyperlink ref="B204" r:id="rId79"/>
    <hyperlink ref="B207" r:id="rId80"/>
    <hyperlink ref="B205" r:id="rId81"/>
    <hyperlink ref="B217" r:id="rId82"/>
    <hyperlink ref="B214" r:id="rId83"/>
    <hyperlink ref="B221" r:id="rId84"/>
    <hyperlink ref="B226" r:id="rId85"/>
    <hyperlink ref="B209" r:id="rId86"/>
    <hyperlink ref="B210" r:id="rId87"/>
    <hyperlink ref="B215" r:id="rId88"/>
    <hyperlink ref="B216" r:id="rId89"/>
    <hyperlink ref="B224" r:id="rId90"/>
    <hyperlink ref="B206" r:id="rId91"/>
    <hyperlink ref="B196" r:id="rId92"/>
    <hyperlink ref="B195" r:id="rId93"/>
    <hyperlink ref="B199" r:id="rId94"/>
    <hyperlink ref="B197" r:id="rId95"/>
    <hyperlink ref="B198" r:id="rId96"/>
    <hyperlink ref="B200" r:id="rId97"/>
    <hyperlink ref="B201" r:id="rId98"/>
    <hyperlink ref="B126" r:id="rId99"/>
    <hyperlink ref="B127" r:id="rId100"/>
    <hyperlink ref="B222" r:id="rId101"/>
    <hyperlink ref="B223" r:id="rId102"/>
    <hyperlink ref="B208" r:id="rId103"/>
    <hyperlink ref="B225" r:id="rId104"/>
    <hyperlink ref="B218" r:id="rId105"/>
    <hyperlink ref="B129" r:id="rId106"/>
    <hyperlink ref="B130" r:id="rId107"/>
    <hyperlink ref="B131" r:id="rId108"/>
    <hyperlink ref="B124" r:id="rId109"/>
    <hyperlink ref="B128" r:id="rId110"/>
    <hyperlink ref="B138" r:id="rId111"/>
    <hyperlink ref="B134" r:id="rId112"/>
    <hyperlink ref="B135" r:id="rId113"/>
    <hyperlink ref="B136" r:id="rId114"/>
    <hyperlink ref="B137" r:id="rId115"/>
    <hyperlink ref="B125" r:id="rId116"/>
    <hyperlink ref="B234" r:id="rId117"/>
    <hyperlink ref="B236" r:id="rId118"/>
    <hyperlink ref="B240" r:id="rId119"/>
    <hyperlink ref="B241" r:id="rId120"/>
    <hyperlink ref="B242" r:id="rId121"/>
    <hyperlink ref="B230" r:id="rId122"/>
    <hyperlink ref="B238" r:id="rId123"/>
    <hyperlink ref="B239" r:id="rId124"/>
    <hyperlink ref="B231" r:id="rId125"/>
    <hyperlink ref="B233" r:id="rId126"/>
    <hyperlink ref="B235" r:id="rId127"/>
    <hyperlink ref="B237" r:id="rId128"/>
    <hyperlink ref="B232" r:id="rId129"/>
    <hyperlink ref="B244" r:id="rId130"/>
    <hyperlink ref="B252" r:id="rId131"/>
    <hyperlink ref="B246" r:id="rId132"/>
    <hyperlink ref="B248" r:id="rId133"/>
    <hyperlink ref="B250" r:id="rId134"/>
    <hyperlink ref="B254" r:id="rId135"/>
    <hyperlink ref="B245" r:id="rId136"/>
    <hyperlink ref="B255" r:id="rId137"/>
    <hyperlink ref="B251" r:id="rId138"/>
    <hyperlink ref="B247" r:id="rId139"/>
    <hyperlink ref="B249" r:id="rId140"/>
    <hyperlink ref="B253" r:id="rId141"/>
    <hyperlink ref="B266" r:id="rId142"/>
    <hyperlink ref="B270" r:id="rId143"/>
    <hyperlink ref="B274" r:id="rId144"/>
    <hyperlink ref="B275" r:id="rId145"/>
    <hyperlink ref="B276" r:id="rId146"/>
    <hyperlink ref="B258" r:id="rId147"/>
    <hyperlink ref="B272" r:id="rId148"/>
    <hyperlink ref="B273" r:id="rId149"/>
    <hyperlink ref="B260" r:id="rId150"/>
    <hyperlink ref="B264" r:id="rId151"/>
    <hyperlink ref="B268" r:id="rId152"/>
    <hyperlink ref="B271" r:id="rId153"/>
    <hyperlink ref="B262" r:id="rId154"/>
    <hyperlink ref="B259" r:id="rId155"/>
    <hyperlink ref="B257" r:id="rId156"/>
    <hyperlink ref="B265" r:id="rId157"/>
    <hyperlink ref="B261" r:id="rId158"/>
    <hyperlink ref="B263" r:id="rId159"/>
    <hyperlink ref="B267" r:id="rId160"/>
    <hyperlink ref="B269" r:id="rId161"/>
    <hyperlink ref="B280" r:id="rId162"/>
    <hyperlink ref="B286" r:id="rId163"/>
    <hyperlink ref="B287" r:id="rId164"/>
    <hyperlink ref="B284" r:id="rId165"/>
    <hyperlink ref="B282" r:id="rId166"/>
    <hyperlink ref="B283" r:id="rId167"/>
    <hyperlink ref="B285" r:id="rId168"/>
    <hyperlink ref="B281" r:id="rId169"/>
    <hyperlink ref="B279" r:id="rId170"/>
    <hyperlink ref="C213" r:id="rId171"/>
    <hyperlink ref="C162" r:id="rId172"/>
    <hyperlink ref="C160" r:id="rId173"/>
    <hyperlink ref="C159" r:id="rId174"/>
    <hyperlink ref="C156" r:id="rId175"/>
    <hyperlink ref="C157" r:id="rId176"/>
    <hyperlink ref="C100" r:id="rId177"/>
    <hyperlink ref="C81" r:id="rId178"/>
    <hyperlink ref="C244" r:id="rId179"/>
  </hyperlinks>
  <pageMargins left="0.7" right="0.7" top="0.75" bottom="0.75" header="0.3" footer="0.3"/>
  <pageSetup scale="34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77"/>
  <sheetViews>
    <sheetView showGridLines="0" workbookViewId="0">
      <selection activeCell="A18" sqref="A18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10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0.7109375" bestFit="1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0.7109375" bestFit="1" customWidth="1"/>
    <col min="21" max="21" width="9.28515625" customWidth="1"/>
    <col min="22" max="22" width="7.5703125" bestFit="1" customWidth="1"/>
    <col min="23" max="23" width="9" bestFit="1" customWidth="1"/>
    <col min="24" max="24" width="10.7109375" customWidth="1"/>
    <col min="25" max="25" width="7.5703125" bestFit="1" customWidth="1"/>
    <col min="26" max="26" width="30.7109375" bestFit="1" customWidth="1"/>
    <col min="27" max="27" width="4.7109375" bestFit="1" customWidth="1"/>
    <col min="28" max="28" width="7.5703125" bestFit="1" customWidth="1"/>
    <col min="29" max="30" width="17.7109375" bestFit="1" customWidth="1"/>
    <col min="31" max="31" width="15.140625" bestFit="1" customWidth="1"/>
    <col min="32" max="32" width="17.7109375" bestFit="1" customWidth="1"/>
  </cols>
  <sheetData>
    <row r="1" spans="2:29" ht="19.5" thickBot="1" x14ac:dyDescent="0.35">
      <c r="C1" s="32" t="s">
        <v>87</v>
      </c>
      <c r="D1" s="42"/>
      <c r="E1" s="25"/>
      <c r="F1" s="30" t="s">
        <v>97</v>
      </c>
      <c r="G1" s="31" t="s">
        <v>100</v>
      </c>
      <c r="H1" s="33" t="s">
        <v>89</v>
      </c>
      <c r="I1" s="7" t="s">
        <v>92</v>
      </c>
      <c r="J1" s="9"/>
      <c r="K1" s="9"/>
      <c r="L1" s="9"/>
      <c r="M1" s="9"/>
      <c r="N1" s="9"/>
      <c r="O1" s="9"/>
      <c r="P1" s="9"/>
      <c r="Q1" s="9"/>
      <c r="R1" s="9"/>
      <c r="S1" s="9"/>
      <c r="T1" s="13"/>
      <c r="U1" s="20" t="s">
        <v>93</v>
      </c>
      <c r="V1" s="19"/>
      <c r="W1" s="21"/>
      <c r="X1" s="21"/>
      <c r="Y1" s="21"/>
      <c r="Z1" s="21"/>
      <c r="AA1" s="11"/>
      <c r="AB1" s="153"/>
    </row>
    <row r="2" spans="2:29" ht="19.5" thickBot="1" x14ac:dyDescent="0.35">
      <c r="F2" s="26" t="s">
        <v>95</v>
      </c>
      <c r="G2" s="28" t="s">
        <v>98</v>
      </c>
      <c r="H2" s="34" t="s">
        <v>90</v>
      </c>
      <c r="I2" s="16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3" t="s">
        <v>94</v>
      </c>
      <c r="V2" s="24"/>
      <c r="W2" s="22"/>
      <c r="X2" s="22"/>
      <c r="Y2" s="22"/>
      <c r="Z2" s="22"/>
    </row>
    <row r="3" spans="2:29" ht="19.5" thickBot="1" x14ac:dyDescent="0.3">
      <c r="C3" t="s">
        <v>0</v>
      </c>
      <c r="F3" s="27" t="s">
        <v>96</v>
      </c>
      <c r="G3" s="29" t="s">
        <v>99</v>
      </c>
      <c r="H3" s="35" t="s">
        <v>91</v>
      </c>
      <c r="I3" s="16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</row>
    <row r="4" spans="2:29" ht="15.75" thickBot="1" x14ac:dyDescent="0.3">
      <c r="G4" t="s">
        <v>0</v>
      </c>
      <c r="I4" s="17" t="s">
        <v>82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0"/>
      <c r="U4" s="4"/>
      <c r="V4" s="4"/>
      <c r="W4" s="4"/>
      <c r="X4" s="4"/>
      <c r="Y4" s="4"/>
    </row>
    <row r="7" spans="2:29" ht="15.75" thickBot="1" x14ac:dyDescent="0.3"/>
    <row r="8" spans="2:29" ht="19.5" thickBot="1" x14ac:dyDescent="0.3">
      <c r="G8" s="5" t="s">
        <v>101</v>
      </c>
      <c r="H8" s="154" t="s">
        <v>1</v>
      </c>
      <c r="I8" s="155"/>
      <c r="J8" s="155"/>
      <c r="K8" s="155"/>
      <c r="L8" s="155"/>
      <c r="M8" s="156"/>
      <c r="N8" s="157" t="s">
        <v>2</v>
      </c>
      <c r="O8" s="158"/>
      <c r="P8" s="158"/>
      <c r="Q8" s="158"/>
      <c r="R8" s="158"/>
      <c r="S8" s="159"/>
      <c r="T8" s="160" t="s">
        <v>3</v>
      </c>
      <c r="U8" s="161"/>
      <c r="V8" s="161"/>
      <c r="W8" s="161"/>
      <c r="X8" s="161"/>
      <c r="Y8" s="162"/>
      <c r="Z8" s="166" t="s">
        <v>346</v>
      </c>
      <c r="AA8" s="167"/>
      <c r="AB8" s="167"/>
      <c r="AC8" s="168"/>
    </row>
    <row r="9" spans="2:29" ht="15.75" thickBot="1" x14ac:dyDescent="0.3">
      <c r="B9" s="38"/>
      <c r="C9" s="38" t="s">
        <v>16</v>
      </c>
      <c r="D9" s="38"/>
      <c r="E9" s="38"/>
      <c r="F9" s="38"/>
      <c r="G9" s="69" t="s">
        <v>102</v>
      </c>
      <c r="H9" s="91" t="s">
        <v>88</v>
      </c>
      <c r="I9" s="92" t="s">
        <v>6</v>
      </c>
      <c r="J9" s="93" t="s">
        <v>7</v>
      </c>
      <c r="K9" s="94" t="s">
        <v>8</v>
      </c>
      <c r="L9" s="94" t="s">
        <v>9</v>
      </c>
      <c r="M9" s="95" t="s">
        <v>10</v>
      </c>
      <c r="N9" s="96" t="s">
        <v>88</v>
      </c>
      <c r="O9" s="96" t="s">
        <v>6</v>
      </c>
      <c r="P9" s="93" t="s">
        <v>7</v>
      </c>
      <c r="Q9" s="94" t="s">
        <v>8</v>
      </c>
      <c r="R9" s="94" t="s">
        <v>9</v>
      </c>
      <c r="S9" s="95" t="s">
        <v>10</v>
      </c>
      <c r="T9" s="96" t="s">
        <v>88</v>
      </c>
      <c r="U9" s="96" t="s">
        <v>6</v>
      </c>
      <c r="V9" s="93" t="s">
        <v>7</v>
      </c>
      <c r="W9" s="94" t="s">
        <v>8</v>
      </c>
      <c r="X9" s="94" t="s">
        <v>9</v>
      </c>
      <c r="Y9" s="95" t="s">
        <v>10</v>
      </c>
      <c r="Z9" s="96" t="s">
        <v>88</v>
      </c>
      <c r="AA9" s="96" t="s">
        <v>6</v>
      </c>
      <c r="AB9" s="93" t="s">
        <v>7</v>
      </c>
      <c r="AC9" s="97" t="s">
        <v>8</v>
      </c>
    </row>
    <row r="10" spans="2:29" ht="15.75" thickBot="1" x14ac:dyDescent="0.3">
      <c r="B10" s="77" t="s">
        <v>338</v>
      </c>
      <c r="C10" s="81" t="s">
        <v>85</v>
      </c>
      <c r="D10" s="63"/>
      <c r="E10" s="63"/>
      <c r="F10" s="81" t="s">
        <v>347</v>
      </c>
      <c r="G10" s="81" t="s">
        <v>348</v>
      </c>
      <c r="H10" s="94" t="s">
        <v>85</v>
      </c>
      <c r="I10" s="70"/>
      <c r="J10" s="70"/>
      <c r="K10" s="70"/>
      <c r="L10" s="70"/>
      <c r="M10" s="67"/>
      <c r="N10" s="91" t="s">
        <v>85</v>
      </c>
      <c r="O10" s="70"/>
      <c r="P10" s="70"/>
      <c r="Q10" s="70"/>
      <c r="R10" s="70"/>
      <c r="S10" s="67"/>
      <c r="T10" s="91" t="s">
        <v>85</v>
      </c>
      <c r="U10" s="70"/>
      <c r="V10" s="70"/>
      <c r="W10" s="70"/>
      <c r="X10" s="70"/>
      <c r="Y10" s="67"/>
      <c r="Z10" s="91" t="s">
        <v>85</v>
      </c>
      <c r="AA10" s="70"/>
      <c r="AB10" s="70"/>
      <c r="AC10" s="67"/>
    </row>
    <row r="11" spans="2:29" ht="15.75" thickBot="1" x14ac:dyDescent="0.3">
      <c r="B11" s="78" t="s">
        <v>143</v>
      </c>
      <c r="C11" s="82"/>
      <c r="D11" s="74" t="str">
        <f t="array" ref="D11">INDEX(Table_Name52[Name List],MATCH(B11,Table_Name52[Category],0))</f>
        <v>Incline_Push[Exercise]</v>
      </c>
      <c r="E11" s="71" t="e">
        <f t="array" ref="E11">INDEX(Links73[Link],MATCH(C11,Links73[Exercise],0))</f>
        <v>#N/A</v>
      </c>
      <c r="F11" s="85" t="e">
        <f t="shared" ref="F11:F16" si="0">HYPERLINK(E11,"Video")</f>
        <v>#N/A</v>
      </c>
      <c r="G11" s="88"/>
      <c r="H11" s="98">
        <f t="shared" ref="H11:H16" si="1">C11</f>
        <v>0</v>
      </c>
      <c r="I11" s="99">
        <v>3</v>
      </c>
      <c r="J11" s="99">
        <f t="shared" ref="J11:J16" si="2">MROUND(((G11)),5)</f>
        <v>0</v>
      </c>
      <c r="K11" s="99" t="s">
        <v>11</v>
      </c>
      <c r="L11" s="99"/>
      <c r="M11" s="69"/>
      <c r="N11" s="100">
        <f t="shared" ref="N11:N16" si="3">C11</f>
        <v>0</v>
      </c>
      <c r="O11" s="99">
        <f>I11+(M32)</f>
        <v>3</v>
      </c>
      <c r="P11" s="99">
        <f t="shared" ref="P11:P16" si="4">MROUND((J11*1.05),5)</f>
        <v>0</v>
      </c>
      <c r="Q11" s="99" t="s">
        <v>11</v>
      </c>
      <c r="R11" s="99"/>
      <c r="S11" s="101"/>
      <c r="T11" s="59">
        <f t="shared" ref="T11:T16" si="5">C11</f>
        <v>0</v>
      </c>
      <c r="U11" s="99">
        <f>O11+(S32)</f>
        <v>3</v>
      </c>
      <c r="V11" s="99">
        <f t="shared" ref="V11:V16" si="6">MROUND((J11*1.075),5)</f>
        <v>0</v>
      </c>
      <c r="W11" s="99" t="s">
        <v>12</v>
      </c>
      <c r="X11" s="99"/>
      <c r="Y11" s="101"/>
      <c r="Z11" s="100">
        <f t="shared" ref="Z11:Z16" si="7">C11</f>
        <v>0</v>
      </c>
      <c r="AA11" s="99">
        <v>2</v>
      </c>
      <c r="AB11" s="102">
        <f t="shared" ref="AB11:AB16" si="8">J11</f>
        <v>0</v>
      </c>
      <c r="AC11" s="69" t="s">
        <v>14</v>
      </c>
    </row>
    <row r="12" spans="2:29" ht="15.75" thickBot="1" x14ac:dyDescent="0.3">
      <c r="B12" s="79" t="s">
        <v>22</v>
      </c>
      <c r="C12" s="83"/>
      <c r="D12" s="75" t="str">
        <f t="array" ref="D12">INDEX(Table_Name52[Name List],MATCH(B12,Table_Name52[Category],0))</f>
        <v>Horizontal_Push[Exercise]</v>
      </c>
      <c r="E12" s="72" t="e">
        <f t="array" ref="E12">INDEX(Links73[Link],MATCH(C12,Links73[Exercise],0))</f>
        <v>#N/A</v>
      </c>
      <c r="F12" s="86" t="e">
        <f t="shared" si="0"/>
        <v>#N/A</v>
      </c>
      <c r="G12" s="89"/>
      <c r="H12" s="98">
        <f t="shared" si="1"/>
        <v>0</v>
      </c>
      <c r="I12" s="99">
        <v>3</v>
      </c>
      <c r="J12" s="99">
        <f t="shared" si="2"/>
        <v>0</v>
      </c>
      <c r="K12" s="99" t="s">
        <v>11</v>
      </c>
      <c r="L12" s="99"/>
      <c r="M12" s="69"/>
      <c r="N12" s="100">
        <f t="shared" si="3"/>
        <v>0</v>
      </c>
      <c r="O12" s="99">
        <f>I12+(M31)</f>
        <v>3</v>
      </c>
      <c r="P12" s="99">
        <f t="shared" si="4"/>
        <v>0</v>
      </c>
      <c r="Q12" s="99" t="s">
        <v>11</v>
      </c>
      <c r="R12" s="99"/>
      <c r="S12" s="101"/>
      <c r="T12" s="59">
        <f t="shared" si="5"/>
        <v>0</v>
      </c>
      <c r="U12" s="99">
        <f>O12+(S31)</f>
        <v>3</v>
      </c>
      <c r="V12" s="99">
        <f t="shared" si="6"/>
        <v>0</v>
      </c>
      <c r="W12" s="99" t="s">
        <v>12</v>
      </c>
      <c r="X12" s="99"/>
      <c r="Y12" s="101"/>
      <c r="Z12" s="100">
        <f t="shared" si="7"/>
        <v>0</v>
      </c>
      <c r="AA12" s="99">
        <v>2</v>
      </c>
      <c r="AB12" s="102">
        <f t="shared" si="8"/>
        <v>0</v>
      </c>
      <c r="AC12" s="69" t="s">
        <v>14</v>
      </c>
    </row>
    <row r="13" spans="2:29" ht="15.75" thickBot="1" x14ac:dyDescent="0.3">
      <c r="B13" s="79" t="s">
        <v>178</v>
      </c>
      <c r="C13" s="83"/>
      <c r="D13" s="75" t="str">
        <f t="array" ref="D13">INDEX(Table_Name52[Name List],MATCH(B13,Table_Name52[Category],0))</f>
        <v>Horizontal_Back[Exercise]</v>
      </c>
      <c r="E13" s="72" t="e">
        <f t="array" ref="E13">INDEX(Links73[Link],MATCH(C13,Links73[Exercise],0))</f>
        <v>#N/A</v>
      </c>
      <c r="F13" s="86" t="e">
        <f t="shared" si="0"/>
        <v>#N/A</v>
      </c>
      <c r="G13" s="89"/>
      <c r="H13" s="98">
        <f t="shared" si="1"/>
        <v>0</v>
      </c>
      <c r="I13" s="99">
        <v>1</v>
      </c>
      <c r="J13" s="99">
        <f t="shared" si="2"/>
        <v>0</v>
      </c>
      <c r="K13" s="99" t="s">
        <v>11</v>
      </c>
      <c r="L13" s="99"/>
      <c r="M13" s="69"/>
      <c r="N13" s="100">
        <f t="shared" si="3"/>
        <v>0</v>
      </c>
      <c r="O13" s="99">
        <f>I13+(M29)</f>
        <v>1</v>
      </c>
      <c r="P13" s="99">
        <f t="shared" si="4"/>
        <v>0</v>
      </c>
      <c r="Q13" s="99" t="s">
        <v>11</v>
      </c>
      <c r="R13" s="99"/>
      <c r="S13" s="101"/>
      <c r="T13" s="59">
        <f t="shared" si="5"/>
        <v>0</v>
      </c>
      <c r="U13" s="99">
        <f>O13+(S29)</f>
        <v>1</v>
      </c>
      <c r="V13" s="99">
        <f t="shared" si="6"/>
        <v>0</v>
      </c>
      <c r="W13" s="99" t="s">
        <v>12</v>
      </c>
      <c r="X13" s="99"/>
      <c r="Y13" s="101"/>
      <c r="Z13" s="100">
        <f t="shared" si="7"/>
        <v>0</v>
      </c>
      <c r="AA13" s="99">
        <v>2</v>
      </c>
      <c r="AB13" s="102">
        <f t="shared" si="8"/>
        <v>0</v>
      </c>
      <c r="AC13" s="69" t="s">
        <v>14</v>
      </c>
    </row>
    <row r="14" spans="2:29" ht="15.75" thickBot="1" x14ac:dyDescent="0.3">
      <c r="B14" s="79" t="s">
        <v>130</v>
      </c>
      <c r="C14" s="83"/>
      <c r="D14" s="75" t="str">
        <f t="array" ref="D14">INDEX(Table_Name52[Name List],MATCH(B14,Table_Name52[Category],0))</f>
        <v>Vertical_Back[Exercise]</v>
      </c>
      <c r="E14" s="72" t="e">
        <f t="array" ref="E14">INDEX(Links73[Link],MATCH(C14,Links73[Exercise],0))</f>
        <v>#N/A</v>
      </c>
      <c r="F14" s="86" t="e">
        <f t="shared" si="0"/>
        <v>#N/A</v>
      </c>
      <c r="G14" s="89"/>
      <c r="H14" s="98">
        <f t="shared" si="1"/>
        <v>0</v>
      </c>
      <c r="I14" s="99">
        <v>1</v>
      </c>
      <c r="J14" s="99">
        <f t="shared" si="2"/>
        <v>0</v>
      </c>
      <c r="K14" s="99" t="s">
        <v>11</v>
      </c>
      <c r="L14" s="99"/>
      <c r="M14" s="69"/>
      <c r="N14" s="100">
        <f t="shared" si="3"/>
        <v>0</v>
      </c>
      <c r="O14" s="99">
        <f>I14+(M28)</f>
        <v>1</v>
      </c>
      <c r="P14" s="99">
        <f t="shared" si="4"/>
        <v>0</v>
      </c>
      <c r="Q14" s="99" t="s">
        <v>11</v>
      </c>
      <c r="R14" s="99"/>
      <c r="S14" s="101"/>
      <c r="T14" s="59">
        <f t="shared" si="5"/>
        <v>0</v>
      </c>
      <c r="U14" s="99">
        <f>O14+(S28)</f>
        <v>1</v>
      </c>
      <c r="V14" s="99">
        <f t="shared" si="6"/>
        <v>0</v>
      </c>
      <c r="W14" s="99" t="s">
        <v>12</v>
      </c>
      <c r="X14" s="99"/>
      <c r="Y14" s="101"/>
      <c r="Z14" s="100">
        <f t="shared" si="7"/>
        <v>0</v>
      </c>
      <c r="AA14" s="99">
        <v>2</v>
      </c>
      <c r="AB14" s="102">
        <f t="shared" si="8"/>
        <v>0</v>
      </c>
      <c r="AC14" s="69" t="s">
        <v>14</v>
      </c>
    </row>
    <row r="15" spans="2:29" ht="15.75" thickBot="1" x14ac:dyDescent="0.3">
      <c r="B15" s="79" t="s">
        <v>105</v>
      </c>
      <c r="C15" s="83"/>
      <c r="D15" s="75" t="str">
        <f t="array" ref="D15">INDEX(Table_Name52[Name List],MATCH(B15,Table_Name52[Category],0))</f>
        <v>Side_Delts[Exercise]</v>
      </c>
      <c r="E15" s="72" t="e">
        <f t="array" ref="E15">INDEX(Links73[Link],MATCH(C15,Links73[Exercise],0))</f>
        <v>#N/A</v>
      </c>
      <c r="F15" s="86" t="e">
        <f t="shared" si="0"/>
        <v>#N/A</v>
      </c>
      <c r="G15" s="89"/>
      <c r="H15" s="98">
        <f t="shared" si="1"/>
        <v>0</v>
      </c>
      <c r="I15" s="99">
        <v>1</v>
      </c>
      <c r="J15" s="99">
        <f t="shared" si="2"/>
        <v>0</v>
      </c>
      <c r="K15" s="99" t="s">
        <v>11</v>
      </c>
      <c r="L15" s="99" t="s">
        <v>0</v>
      </c>
      <c r="M15" s="69"/>
      <c r="N15" s="100">
        <f t="shared" si="3"/>
        <v>0</v>
      </c>
      <c r="O15" s="99">
        <f>I15+(M30)</f>
        <v>1</v>
      </c>
      <c r="P15" s="99">
        <f t="shared" si="4"/>
        <v>0</v>
      </c>
      <c r="Q15" s="99" t="s">
        <v>11</v>
      </c>
      <c r="R15" s="99"/>
      <c r="S15" s="101"/>
      <c r="T15" s="59">
        <f t="shared" si="5"/>
        <v>0</v>
      </c>
      <c r="U15" s="99">
        <f>O15+(S30)</f>
        <v>1</v>
      </c>
      <c r="V15" s="99">
        <f t="shared" si="6"/>
        <v>0</v>
      </c>
      <c r="W15" s="99" t="s">
        <v>12</v>
      </c>
      <c r="X15" s="99"/>
      <c r="Y15" s="101"/>
      <c r="Z15" s="100">
        <f t="shared" si="7"/>
        <v>0</v>
      </c>
      <c r="AA15" s="99">
        <v>2</v>
      </c>
      <c r="AB15" s="102">
        <f t="shared" si="8"/>
        <v>0</v>
      </c>
      <c r="AC15" s="69" t="s">
        <v>14</v>
      </c>
    </row>
    <row r="16" spans="2:29" ht="15.75" thickBot="1" x14ac:dyDescent="0.3">
      <c r="B16" s="80" t="s">
        <v>77</v>
      </c>
      <c r="C16" s="84"/>
      <c r="D16" s="76" t="str">
        <f t="array" ref="D16">INDEX(Table_Name52[Name List],MATCH(B16,Table_Name52[Category],0))</f>
        <v>Abs[Exercise]</v>
      </c>
      <c r="E16" s="73" t="e">
        <f t="array" ref="E16">INDEX(Links73[Link],MATCH(C16,Links73[Exercise],0))</f>
        <v>#N/A</v>
      </c>
      <c r="F16" s="87" t="e">
        <f t="shared" si="0"/>
        <v>#N/A</v>
      </c>
      <c r="G16" s="90"/>
      <c r="H16" s="103">
        <f t="shared" si="1"/>
        <v>0</v>
      </c>
      <c r="I16" s="104">
        <v>1</v>
      </c>
      <c r="J16" s="104">
        <f t="shared" si="2"/>
        <v>0</v>
      </c>
      <c r="K16" s="104" t="s">
        <v>11</v>
      </c>
      <c r="L16" s="104"/>
      <c r="M16" s="62"/>
      <c r="N16" s="105">
        <f t="shared" si="3"/>
        <v>0</v>
      </c>
      <c r="O16" s="104">
        <f>I16+(M33)</f>
        <v>1</v>
      </c>
      <c r="P16" s="104">
        <f t="shared" si="4"/>
        <v>0</v>
      </c>
      <c r="Q16" s="104" t="s">
        <v>11</v>
      </c>
      <c r="R16" s="104"/>
      <c r="S16" s="101"/>
      <c r="T16" s="106">
        <f t="shared" si="5"/>
        <v>0</v>
      </c>
      <c r="U16" s="104">
        <f>O16+(S33)</f>
        <v>1</v>
      </c>
      <c r="V16" s="104">
        <f t="shared" si="6"/>
        <v>0</v>
      </c>
      <c r="W16" s="104" t="s">
        <v>12</v>
      </c>
      <c r="X16" s="104"/>
      <c r="Y16" s="101"/>
      <c r="Z16" s="105">
        <f t="shared" si="7"/>
        <v>0</v>
      </c>
      <c r="AA16" s="104">
        <v>2</v>
      </c>
      <c r="AB16" s="107">
        <f t="shared" si="8"/>
        <v>0</v>
      </c>
      <c r="AC16" s="62" t="s">
        <v>14</v>
      </c>
    </row>
    <row r="17" spans="2:29" ht="19.5" thickBot="1" x14ac:dyDescent="0.3">
      <c r="B17" s="68" t="s">
        <v>339</v>
      </c>
      <c r="C17" s="38"/>
      <c r="D17" s="38"/>
      <c r="E17" s="38"/>
      <c r="F17" s="38"/>
      <c r="G17" s="69"/>
      <c r="H17" s="154" t="s">
        <v>1</v>
      </c>
      <c r="I17" s="155"/>
      <c r="J17" s="155"/>
      <c r="K17" s="155"/>
      <c r="L17" s="155"/>
      <c r="M17" s="156"/>
      <c r="N17" s="157" t="s">
        <v>2</v>
      </c>
      <c r="O17" s="158"/>
      <c r="P17" s="158"/>
      <c r="Q17" s="158"/>
      <c r="R17" s="158"/>
      <c r="S17" s="159"/>
      <c r="T17" s="160" t="s">
        <v>3</v>
      </c>
      <c r="U17" s="161"/>
      <c r="V17" s="161"/>
      <c r="W17" s="161"/>
      <c r="X17" s="161"/>
      <c r="Y17" s="162"/>
      <c r="Z17" s="166" t="s">
        <v>346</v>
      </c>
      <c r="AA17" s="167"/>
      <c r="AB17" s="167"/>
      <c r="AC17" s="168"/>
    </row>
    <row r="18" spans="2:29" ht="15.75" thickBot="1" x14ac:dyDescent="0.3">
      <c r="B18" s="38"/>
      <c r="C18" s="38"/>
      <c r="D18" s="38"/>
      <c r="E18" s="38"/>
      <c r="F18" s="38"/>
      <c r="G18" s="38"/>
      <c r="H18" s="91" t="s">
        <v>88</v>
      </c>
      <c r="I18" s="92" t="s">
        <v>6</v>
      </c>
      <c r="J18" s="93" t="s">
        <v>7</v>
      </c>
      <c r="K18" s="94" t="s">
        <v>8</v>
      </c>
      <c r="L18" s="94" t="s">
        <v>9</v>
      </c>
      <c r="M18" s="95" t="s">
        <v>10</v>
      </c>
      <c r="N18" s="96" t="s">
        <v>88</v>
      </c>
      <c r="O18" s="96" t="s">
        <v>6</v>
      </c>
      <c r="P18" s="93" t="s">
        <v>7</v>
      </c>
      <c r="Q18" s="94" t="s">
        <v>8</v>
      </c>
      <c r="R18" s="94" t="s">
        <v>9</v>
      </c>
      <c r="S18" s="95" t="s">
        <v>10</v>
      </c>
      <c r="T18" s="96" t="s">
        <v>88</v>
      </c>
      <c r="U18" s="96" t="s">
        <v>6</v>
      </c>
      <c r="V18" s="93" t="s">
        <v>7</v>
      </c>
      <c r="W18" s="94" t="s">
        <v>8</v>
      </c>
      <c r="X18" s="94" t="s">
        <v>9</v>
      </c>
      <c r="Y18" s="95" t="s">
        <v>10</v>
      </c>
      <c r="Z18" s="96" t="s">
        <v>88</v>
      </c>
      <c r="AA18" s="96" t="s">
        <v>6</v>
      </c>
      <c r="AB18" s="93" t="s">
        <v>7</v>
      </c>
      <c r="AC18" s="97" t="s">
        <v>8</v>
      </c>
    </row>
    <row r="19" spans="2:29" ht="15.75" thickBot="1" x14ac:dyDescent="0.3">
      <c r="B19" s="77" t="s">
        <v>340</v>
      </c>
      <c r="C19" s="81" t="s">
        <v>86</v>
      </c>
      <c r="D19" s="63"/>
      <c r="E19" s="60"/>
      <c r="F19" s="81" t="s">
        <v>347</v>
      </c>
      <c r="G19" s="81" t="s">
        <v>348</v>
      </c>
      <c r="H19" s="94" t="s">
        <v>86</v>
      </c>
      <c r="I19" s="70"/>
      <c r="J19" s="70"/>
      <c r="K19" s="70"/>
      <c r="L19" s="70"/>
      <c r="M19" s="67"/>
      <c r="N19" s="91" t="s">
        <v>86</v>
      </c>
      <c r="O19" s="70"/>
      <c r="P19" s="70"/>
      <c r="Q19" s="70"/>
      <c r="R19" s="70"/>
      <c r="S19" s="67"/>
      <c r="T19" s="91" t="s">
        <v>86</v>
      </c>
      <c r="U19" s="70"/>
      <c r="V19" s="70"/>
      <c r="W19" s="70"/>
      <c r="X19" s="70"/>
      <c r="Y19" s="70"/>
      <c r="Z19" s="91" t="s">
        <v>86</v>
      </c>
      <c r="AA19" s="70"/>
      <c r="AB19" s="70"/>
      <c r="AC19" s="67"/>
    </row>
    <row r="20" spans="2:29" ht="15.75" thickBot="1" x14ac:dyDescent="0.3">
      <c r="B20" s="78" t="s">
        <v>20</v>
      </c>
      <c r="C20" s="82"/>
      <c r="D20" s="74" t="str">
        <f t="array" ref="D20">INDEX(Table_Name52[Name List],MATCH(B20,Table_Name52[Category],0))</f>
        <v>Quads[Exercise]</v>
      </c>
      <c r="E20" s="71" t="e">
        <f t="array" ref="E20">INDEX(Links73[Link],MATCH(C20,Links73[Exercise],0))</f>
        <v>#N/A</v>
      </c>
      <c r="F20" s="85" t="e">
        <f t="shared" ref="F20:F24" si="9">HYPERLINK(E20,"Video")</f>
        <v>#N/A</v>
      </c>
      <c r="G20" s="88"/>
      <c r="H20" s="98">
        <f t="shared" ref="H20:H24" si="10">C20</f>
        <v>0</v>
      </c>
      <c r="I20" s="99">
        <v>3</v>
      </c>
      <c r="J20" s="99">
        <f>MROUND(((G20)),5)</f>
        <v>0</v>
      </c>
      <c r="K20" s="99" t="s">
        <v>11</v>
      </c>
      <c r="L20" s="99"/>
      <c r="M20" s="69"/>
      <c r="N20" s="98">
        <f t="shared" ref="N20:N24" si="11">C20</f>
        <v>0</v>
      </c>
      <c r="O20" s="99">
        <f>I20+(M39)</f>
        <v>3</v>
      </c>
      <c r="P20" s="99">
        <f t="shared" ref="P20:P24" si="12">MROUND((J20*1.05),5)</f>
        <v>0</v>
      </c>
      <c r="Q20" s="99" t="s">
        <v>11</v>
      </c>
      <c r="R20" s="99"/>
      <c r="S20" s="101"/>
      <c r="T20" s="59">
        <f t="shared" ref="T20:T24" si="13">C20</f>
        <v>0</v>
      </c>
      <c r="U20" s="99">
        <f>O20+(S39)</f>
        <v>3</v>
      </c>
      <c r="V20" s="99">
        <f t="shared" ref="V20:V24" si="14">MROUND((J20*1.075),5)</f>
        <v>0</v>
      </c>
      <c r="W20" s="99" t="s">
        <v>12</v>
      </c>
      <c r="X20" s="99"/>
      <c r="Y20" s="101"/>
      <c r="Z20" s="100">
        <f>C20</f>
        <v>0</v>
      </c>
      <c r="AA20" s="99">
        <v>2</v>
      </c>
      <c r="AB20" s="102">
        <f>J20</f>
        <v>0</v>
      </c>
      <c r="AC20" s="69" t="s">
        <v>14</v>
      </c>
    </row>
    <row r="21" spans="2:29" ht="15.75" thickBot="1" x14ac:dyDescent="0.3">
      <c r="B21" s="79" t="s">
        <v>106</v>
      </c>
      <c r="C21" s="83"/>
      <c r="D21" s="75" t="str">
        <f t="array" ref="D21">INDEX(Table_Name52[Name List],MATCH(B21,Table_Name52[Category],0))</f>
        <v>Hamstrings_Isolation[Exercise]</v>
      </c>
      <c r="E21" s="72" t="e">
        <f t="array" ref="E21">INDEX(Links73[Link],MATCH(C21,Links73[Exercise],0))</f>
        <v>#N/A</v>
      </c>
      <c r="F21" s="86" t="e">
        <f t="shared" si="9"/>
        <v>#N/A</v>
      </c>
      <c r="G21" s="89"/>
      <c r="H21" s="98">
        <f t="shared" si="10"/>
        <v>0</v>
      </c>
      <c r="I21" s="99">
        <v>3</v>
      </c>
      <c r="J21" s="99">
        <f>MROUND(((G21)),5)</f>
        <v>0</v>
      </c>
      <c r="K21" s="99" t="s">
        <v>11</v>
      </c>
      <c r="L21" s="99"/>
      <c r="M21" s="69"/>
      <c r="N21" s="98">
        <f t="shared" si="11"/>
        <v>0</v>
      </c>
      <c r="O21" s="99">
        <f>I21+(M38)</f>
        <v>3</v>
      </c>
      <c r="P21" s="99">
        <f t="shared" si="12"/>
        <v>0</v>
      </c>
      <c r="Q21" s="99" t="s">
        <v>11</v>
      </c>
      <c r="R21" s="99"/>
      <c r="S21" s="101"/>
      <c r="T21" s="59">
        <f t="shared" si="13"/>
        <v>0</v>
      </c>
      <c r="U21" s="99">
        <f>O21+(S38)</f>
        <v>3</v>
      </c>
      <c r="V21" s="99">
        <f t="shared" si="14"/>
        <v>0</v>
      </c>
      <c r="W21" s="99" t="s">
        <v>12</v>
      </c>
      <c r="X21" s="99"/>
      <c r="Y21" s="101"/>
      <c r="Z21" s="100">
        <f>C21</f>
        <v>0</v>
      </c>
      <c r="AA21" s="99">
        <v>2</v>
      </c>
      <c r="AB21" s="102">
        <f>J21</f>
        <v>0</v>
      </c>
      <c r="AC21" s="69" t="s">
        <v>14</v>
      </c>
    </row>
    <row r="22" spans="2:29" ht="15.75" thickBot="1" x14ac:dyDescent="0.3">
      <c r="B22" s="79" t="s">
        <v>19</v>
      </c>
      <c r="C22" s="83"/>
      <c r="D22" s="75" t="str">
        <f t="array" ref="D22">INDEX(Table_Name52[Name List],MATCH(B22,Table_Name52[Category],0))</f>
        <v>Calves[Exercise]</v>
      </c>
      <c r="E22" s="72" t="e">
        <f t="array" ref="E22">INDEX(Links73[Link],MATCH(C22,Links73[Exercise],0))</f>
        <v>#N/A</v>
      </c>
      <c r="F22" s="86" t="e">
        <f t="shared" si="9"/>
        <v>#N/A</v>
      </c>
      <c r="G22" s="89"/>
      <c r="H22" s="98">
        <f t="shared" si="10"/>
        <v>0</v>
      </c>
      <c r="I22" s="99">
        <v>5</v>
      </c>
      <c r="J22" s="99">
        <f>MROUND(((G22)),5)</f>
        <v>0</v>
      </c>
      <c r="K22" s="99" t="s">
        <v>11</v>
      </c>
      <c r="L22" s="99"/>
      <c r="M22" s="69"/>
      <c r="N22" s="98">
        <f t="shared" si="11"/>
        <v>0</v>
      </c>
      <c r="O22" s="99">
        <f>I22+(M42)</f>
        <v>5</v>
      </c>
      <c r="P22" s="99">
        <f t="shared" si="12"/>
        <v>0</v>
      </c>
      <c r="Q22" s="99" t="s">
        <v>11</v>
      </c>
      <c r="R22" s="99"/>
      <c r="S22" s="101"/>
      <c r="T22" s="59">
        <f t="shared" si="13"/>
        <v>0</v>
      </c>
      <c r="U22" s="99">
        <f>O22+(S42)</f>
        <v>5</v>
      </c>
      <c r="V22" s="99">
        <f t="shared" si="14"/>
        <v>0</v>
      </c>
      <c r="W22" s="99" t="s">
        <v>12</v>
      </c>
      <c r="X22" s="99"/>
      <c r="Y22" s="101"/>
      <c r="Z22" s="100">
        <f>C22</f>
        <v>0</v>
      </c>
      <c r="AA22" s="99">
        <v>2</v>
      </c>
      <c r="AB22" s="102">
        <f>J22</f>
        <v>0</v>
      </c>
      <c r="AC22" s="69" t="s">
        <v>14</v>
      </c>
    </row>
    <row r="23" spans="2:29" ht="15.75" thickBot="1" x14ac:dyDescent="0.3">
      <c r="B23" s="79" t="s">
        <v>17</v>
      </c>
      <c r="C23" s="83"/>
      <c r="D23" s="75" t="str">
        <f t="array" ref="D23">INDEX(Table_Name52[Name List],MATCH(B23,Table_Name52[Category],0))</f>
        <v>Triceps[Exercise]</v>
      </c>
      <c r="E23" s="72" t="e">
        <f t="array" ref="E23">INDEX(Links73[Link],MATCH(C23,Links73[Exercise],0))</f>
        <v>#N/A</v>
      </c>
      <c r="F23" s="86" t="e">
        <f t="shared" si="9"/>
        <v>#N/A</v>
      </c>
      <c r="G23" s="89"/>
      <c r="H23" s="98">
        <f t="shared" si="10"/>
        <v>0</v>
      </c>
      <c r="I23" s="99">
        <v>1</v>
      </c>
      <c r="J23" s="99">
        <f>MROUND(((G23)),5)</f>
        <v>0</v>
      </c>
      <c r="K23" s="99" t="s">
        <v>11</v>
      </c>
      <c r="L23" s="99"/>
      <c r="M23" s="69"/>
      <c r="N23" s="98">
        <f t="shared" si="11"/>
        <v>0</v>
      </c>
      <c r="O23" s="99">
        <f>I23+(S12)</f>
        <v>1</v>
      </c>
      <c r="P23" s="99">
        <f t="shared" si="12"/>
        <v>0</v>
      </c>
      <c r="Q23" s="99" t="s">
        <v>11</v>
      </c>
      <c r="R23" s="99"/>
      <c r="S23" s="101"/>
      <c r="T23" s="59">
        <f t="shared" si="13"/>
        <v>0</v>
      </c>
      <c r="U23" s="99">
        <f>O23+(Y12)</f>
        <v>1</v>
      </c>
      <c r="V23" s="99">
        <f t="shared" si="14"/>
        <v>0</v>
      </c>
      <c r="W23" s="99" t="s">
        <v>12</v>
      </c>
      <c r="X23" s="99"/>
      <c r="Y23" s="101"/>
      <c r="Z23" s="100">
        <f>C23</f>
        <v>0</v>
      </c>
      <c r="AA23" s="99">
        <v>2</v>
      </c>
      <c r="AB23" s="102">
        <f>J23</f>
        <v>0</v>
      </c>
      <c r="AC23" s="69" t="s">
        <v>14</v>
      </c>
    </row>
    <row r="24" spans="2:29" ht="15.75" thickBot="1" x14ac:dyDescent="0.3">
      <c r="B24" s="80" t="s">
        <v>104</v>
      </c>
      <c r="C24" s="84"/>
      <c r="D24" s="76" t="str">
        <f t="array" ref="D24">INDEX(Table_Name52[Name List],MATCH(B24,Table_Name52[Category],0))</f>
        <v>Front_Delts[Exercise]</v>
      </c>
      <c r="E24" s="73" t="e">
        <f t="array" ref="E24">INDEX(Links73[Link],MATCH(C24,Links73[Exercise],0))</f>
        <v>#N/A</v>
      </c>
      <c r="F24" s="87" t="e">
        <f t="shared" si="9"/>
        <v>#N/A</v>
      </c>
      <c r="G24" s="90"/>
      <c r="H24" s="103">
        <f t="shared" si="10"/>
        <v>0</v>
      </c>
      <c r="I24" s="104">
        <v>1</v>
      </c>
      <c r="J24" s="104">
        <f>MROUND(((G24)),5)</f>
        <v>0</v>
      </c>
      <c r="K24" s="104" t="s">
        <v>11</v>
      </c>
      <c r="L24" s="104"/>
      <c r="M24" s="62"/>
      <c r="N24" s="103">
        <f t="shared" si="11"/>
        <v>0</v>
      </c>
      <c r="O24" s="104">
        <f>I24+(S11)</f>
        <v>1</v>
      </c>
      <c r="P24" s="104">
        <f t="shared" si="12"/>
        <v>0</v>
      </c>
      <c r="Q24" s="104" t="s">
        <v>11</v>
      </c>
      <c r="R24" s="104"/>
      <c r="S24" s="101"/>
      <c r="T24" s="152">
        <f t="shared" si="13"/>
        <v>0</v>
      </c>
      <c r="U24" s="104">
        <f>O24+(Y11)</f>
        <v>1</v>
      </c>
      <c r="V24" s="104">
        <f t="shared" si="14"/>
        <v>0</v>
      </c>
      <c r="W24" s="104" t="s">
        <v>12</v>
      </c>
      <c r="X24" s="104"/>
      <c r="Y24" s="101"/>
      <c r="Z24" s="105">
        <f>C24</f>
        <v>0</v>
      </c>
      <c r="AA24" s="104">
        <v>2</v>
      </c>
      <c r="AB24" s="107">
        <f>J24</f>
        <v>0</v>
      </c>
      <c r="AC24" s="62" t="s">
        <v>14</v>
      </c>
    </row>
    <row r="25" spans="2:29" ht="19.5" thickBot="1" x14ac:dyDescent="0.3">
      <c r="B25" s="68" t="s">
        <v>341</v>
      </c>
      <c r="C25" s="38"/>
      <c r="D25" s="38"/>
      <c r="E25" s="38"/>
      <c r="F25" s="38"/>
      <c r="G25" s="69"/>
      <c r="H25" s="154" t="s">
        <v>1</v>
      </c>
      <c r="I25" s="155"/>
      <c r="J25" s="155"/>
      <c r="K25" s="155"/>
      <c r="L25" s="155"/>
      <c r="M25" s="156"/>
      <c r="N25" s="157" t="s">
        <v>2</v>
      </c>
      <c r="O25" s="158"/>
      <c r="P25" s="158"/>
      <c r="Q25" s="158"/>
      <c r="R25" s="158"/>
      <c r="S25" s="159"/>
      <c r="T25" s="160" t="s">
        <v>3</v>
      </c>
      <c r="U25" s="161"/>
      <c r="V25" s="161"/>
      <c r="W25" s="161"/>
      <c r="X25" s="161"/>
      <c r="Y25" s="162"/>
      <c r="Z25" s="166" t="s">
        <v>346</v>
      </c>
      <c r="AA25" s="167"/>
      <c r="AB25" s="167"/>
      <c r="AC25" s="168"/>
    </row>
    <row r="26" spans="2:29" ht="15.75" thickBot="1" x14ac:dyDescent="0.3">
      <c r="B26" s="38"/>
      <c r="C26" s="38"/>
      <c r="D26" s="38"/>
      <c r="E26" s="38"/>
      <c r="F26" s="38"/>
      <c r="G26" s="38"/>
      <c r="H26" s="91" t="s">
        <v>88</v>
      </c>
      <c r="I26" s="92" t="s">
        <v>6</v>
      </c>
      <c r="J26" s="93" t="s">
        <v>7</v>
      </c>
      <c r="K26" s="94" t="s">
        <v>8</v>
      </c>
      <c r="L26" s="94" t="s">
        <v>9</v>
      </c>
      <c r="M26" s="95" t="s">
        <v>10</v>
      </c>
      <c r="N26" s="96" t="s">
        <v>88</v>
      </c>
      <c r="O26" s="96" t="s">
        <v>6</v>
      </c>
      <c r="P26" s="93" t="s">
        <v>7</v>
      </c>
      <c r="Q26" s="94" t="s">
        <v>8</v>
      </c>
      <c r="R26" s="94" t="s">
        <v>9</v>
      </c>
      <c r="S26" s="95" t="s">
        <v>10</v>
      </c>
      <c r="T26" s="96" t="s">
        <v>88</v>
      </c>
      <c r="U26" s="96" t="s">
        <v>6</v>
      </c>
      <c r="V26" s="93" t="s">
        <v>7</v>
      </c>
      <c r="W26" s="94" t="s">
        <v>8</v>
      </c>
      <c r="X26" s="94" t="s">
        <v>9</v>
      </c>
      <c r="Y26" s="95" t="s">
        <v>10</v>
      </c>
      <c r="Z26" s="96" t="s">
        <v>88</v>
      </c>
      <c r="AA26" s="96" t="s">
        <v>6</v>
      </c>
      <c r="AB26" s="93" t="s">
        <v>7</v>
      </c>
      <c r="AC26" s="97" t="s">
        <v>8</v>
      </c>
    </row>
    <row r="27" spans="2:29" ht="15.75" thickBot="1" x14ac:dyDescent="0.3">
      <c r="B27" s="77" t="s">
        <v>338</v>
      </c>
      <c r="C27" s="81" t="s">
        <v>103</v>
      </c>
      <c r="D27" s="63"/>
      <c r="E27" s="60"/>
      <c r="F27" s="81" t="s">
        <v>347</v>
      </c>
      <c r="G27" s="81" t="s">
        <v>348</v>
      </c>
      <c r="H27" s="94" t="s">
        <v>103</v>
      </c>
      <c r="I27" s="70"/>
      <c r="J27" s="70"/>
      <c r="K27" s="70"/>
      <c r="L27" s="70"/>
      <c r="M27" s="67"/>
      <c r="N27" s="91" t="s">
        <v>103</v>
      </c>
      <c r="O27" s="70"/>
      <c r="P27" s="70"/>
      <c r="Q27" s="70"/>
      <c r="R27" s="70"/>
      <c r="S27" s="67"/>
      <c r="T27" s="91" t="s">
        <v>103</v>
      </c>
      <c r="U27" s="70"/>
      <c r="V27" s="70"/>
      <c r="W27" s="70"/>
      <c r="X27" s="70"/>
      <c r="Y27" s="70"/>
      <c r="Z27" s="91" t="s">
        <v>103</v>
      </c>
      <c r="AA27" s="70"/>
      <c r="AB27" s="70"/>
      <c r="AC27" s="67"/>
    </row>
    <row r="28" spans="2:29" ht="15.75" thickBot="1" x14ac:dyDescent="0.3">
      <c r="B28" s="78" t="s">
        <v>130</v>
      </c>
      <c r="C28" s="82"/>
      <c r="D28" s="74" t="str">
        <f t="array" ref="D28">INDEX(Table_Name52[Name List],MATCH(B28,Table_Name52[Category],0))</f>
        <v>Vertical_Back[Exercise]</v>
      </c>
      <c r="E28" s="71" t="e">
        <f t="array" ref="E28">INDEX(Links73[Link],MATCH(C28,Links73[Exercise],0))</f>
        <v>#N/A</v>
      </c>
      <c r="F28" s="85" t="e">
        <f t="shared" ref="F28:F33" si="15">HYPERLINK(E28,"Video")</f>
        <v>#N/A</v>
      </c>
      <c r="G28" s="88"/>
      <c r="H28" s="98">
        <f t="shared" ref="H28:H33" si="16">C28</f>
        <v>0</v>
      </c>
      <c r="I28" s="99">
        <v>3</v>
      </c>
      <c r="J28" s="99">
        <f t="shared" ref="J28:J33" si="17">MROUND(((G28)),5)</f>
        <v>0</v>
      </c>
      <c r="K28" s="99" t="s">
        <v>11</v>
      </c>
      <c r="L28" s="99"/>
      <c r="M28" s="101"/>
      <c r="N28" s="98">
        <f t="shared" ref="N28:N33" si="18">C28</f>
        <v>0</v>
      </c>
      <c r="O28" s="99">
        <f>I28+(S14)</f>
        <v>3</v>
      </c>
      <c r="P28" s="99">
        <f t="shared" ref="P28:P33" si="19">MROUND((J28*1.05),5)</f>
        <v>0</v>
      </c>
      <c r="Q28" s="99" t="s">
        <v>11</v>
      </c>
      <c r="R28" s="99"/>
      <c r="S28" s="101"/>
      <c r="T28" s="59">
        <f t="shared" ref="T28:T33" si="20">C28</f>
        <v>0</v>
      </c>
      <c r="U28" s="99">
        <f>O28+(Y14)</f>
        <v>3</v>
      </c>
      <c r="V28" s="99">
        <f t="shared" ref="V28:V33" si="21">MROUND((J28*1.075),5)</f>
        <v>0</v>
      </c>
      <c r="W28" s="99" t="s">
        <v>12</v>
      </c>
      <c r="X28" s="99"/>
      <c r="Y28" s="101"/>
      <c r="Z28" s="100">
        <f t="shared" ref="Z28:Z33" si="22">C28</f>
        <v>0</v>
      </c>
      <c r="AA28" s="99">
        <v>2</v>
      </c>
      <c r="AB28" s="102">
        <f t="shared" ref="AB28:AB33" si="23">MROUND((J28*0.5),5)</f>
        <v>0</v>
      </c>
      <c r="AC28" s="69" t="s">
        <v>14</v>
      </c>
    </row>
    <row r="29" spans="2:29" ht="15.75" thickBot="1" x14ac:dyDescent="0.3">
      <c r="B29" s="79" t="s">
        <v>178</v>
      </c>
      <c r="C29" s="83"/>
      <c r="D29" s="75" t="str">
        <f t="array" ref="D29">INDEX(Table_Name52[Name List],MATCH(B29,Table_Name52[Category],0))</f>
        <v>Horizontal_Back[Exercise]</v>
      </c>
      <c r="E29" s="72" t="e">
        <f t="array" ref="E29">INDEX(Links73[Link],MATCH(C29,Links73[Exercise],0))</f>
        <v>#N/A</v>
      </c>
      <c r="F29" s="86" t="e">
        <f t="shared" si="15"/>
        <v>#N/A</v>
      </c>
      <c r="G29" s="89"/>
      <c r="H29" s="98">
        <f t="shared" si="16"/>
        <v>0</v>
      </c>
      <c r="I29" s="99">
        <v>3</v>
      </c>
      <c r="J29" s="99">
        <f t="shared" si="17"/>
        <v>0</v>
      </c>
      <c r="K29" s="99" t="s">
        <v>11</v>
      </c>
      <c r="L29" s="99"/>
      <c r="M29" s="101"/>
      <c r="N29" s="98">
        <f t="shared" si="18"/>
        <v>0</v>
      </c>
      <c r="O29" s="99">
        <f>I29+(S13)</f>
        <v>3</v>
      </c>
      <c r="P29" s="99">
        <f t="shared" si="19"/>
        <v>0</v>
      </c>
      <c r="Q29" s="99" t="s">
        <v>11</v>
      </c>
      <c r="R29" s="99"/>
      <c r="S29" s="101"/>
      <c r="T29" s="59">
        <f t="shared" si="20"/>
        <v>0</v>
      </c>
      <c r="U29" s="99">
        <f>O29+(Y13)</f>
        <v>3</v>
      </c>
      <c r="V29" s="99">
        <f t="shared" si="21"/>
        <v>0</v>
      </c>
      <c r="W29" s="99" t="s">
        <v>12</v>
      </c>
      <c r="X29" s="99"/>
      <c r="Y29" s="101"/>
      <c r="Z29" s="100">
        <f t="shared" si="22"/>
        <v>0</v>
      </c>
      <c r="AA29" s="99">
        <v>2</v>
      </c>
      <c r="AB29" s="102">
        <f t="shared" si="23"/>
        <v>0</v>
      </c>
      <c r="AC29" s="69" t="s">
        <v>14</v>
      </c>
    </row>
    <row r="30" spans="2:29" ht="15.75" thickBot="1" x14ac:dyDescent="0.3">
      <c r="B30" s="79" t="s">
        <v>177</v>
      </c>
      <c r="C30" s="83"/>
      <c r="D30" s="75" t="str">
        <f t="array" ref="D30">INDEX(Table_Name52[Name List],MATCH(B30,Table_Name52[Category],0))</f>
        <v>Rear_or_Side_Delts[Exercise]</v>
      </c>
      <c r="E30" s="72" t="e">
        <f t="array" ref="E30">INDEX(Links73[Link],MATCH(C30,Links73[Exercise],0))</f>
        <v>#N/A</v>
      </c>
      <c r="F30" s="86" t="e">
        <f t="shared" si="15"/>
        <v>#N/A</v>
      </c>
      <c r="G30" s="89"/>
      <c r="H30" s="98">
        <f t="shared" si="16"/>
        <v>0</v>
      </c>
      <c r="I30" s="99">
        <v>3</v>
      </c>
      <c r="J30" s="99">
        <f t="shared" si="17"/>
        <v>0</v>
      </c>
      <c r="K30" s="99" t="s">
        <v>11</v>
      </c>
      <c r="L30" s="99"/>
      <c r="M30" s="101"/>
      <c r="N30" s="98">
        <f t="shared" si="18"/>
        <v>0</v>
      </c>
      <c r="O30" s="99">
        <f>I30+(S15)</f>
        <v>3</v>
      </c>
      <c r="P30" s="99">
        <f t="shared" si="19"/>
        <v>0</v>
      </c>
      <c r="Q30" s="99" t="s">
        <v>11</v>
      </c>
      <c r="R30" s="99"/>
      <c r="S30" s="101"/>
      <c r="T30" s="59">
        <f t="shared" si="20"/>
        <v>0</v>
      </c>
      <c r="U30" s="99">
        <f>O30+(Y15)</f>
        <v>3</v>
      </c>
      <c r="V30" s="99">
        <f t="shared" si="21"/>
        <v>0</v>
      </c>
      <c r="W30" s="99" t="s">
        <v>12</v>
      </c>
      <c r="X30" s="99"/>
      <c r="Y30" s="101"/>
      <c r="Z30" s="100">
        <f t="shared" si="22"/>
        <v>0</v>
      </c>
      <c r="AA30" s="99">
        <v>2</v>
      </c>
      <c r="AB30" s="102">
        <f t="shared" si="23"/>
        <v>0</v>
      </c>
      <c r="AC30" s="69" t="s">
        <v>14</v>
      </c>
    </row>
    <row r="31" spans="2:29" ht="15.75" thickBot="1" x14ac:dyDescent="0.3">
      <c r="B31" s="79" t="s">
        <v>22</v>
      </c>
      <c r="C31" s="83"/>
      <c r="D31" s="75" t="str">
        <f t="array" ref="D31">INDEX(Table_Name52[Name List],MATCH(B31,Table_Name52[Category],0))</f>
        <v>Horizontal_Push[Exercise]</v>
      </c>
      <c r="E31" s="72" t="e">
        <f t="array" ref="E31">INDEX(Links73[Link],MATCH(C31,Links73[Exercise],0))</f>
        <v>#N/A</v>
      </c>
      <c r="F31" s="86" t="e">
        <f t="shared" si="15"/>
        <v>#N/A</v>
      </c>
      <c r="G31" s="89"/>
      <c r="H31" s="98">
        <f t="shared" si="16"/>
        <v>0</v>
      </c>
      <c r="I31" s="99">
        <v>1</v>
      </c>
      <c r="J31" s="99">
        <f t="shared" si="17"/>
        <v>0</v>
      </c>
      <c r="K31" s="99" t="s">
        <v>11</v>
      </c>
      <c r="L31" s="99"/>
      <c r="M31" s="101"/>
      <c r="N31" s="98">
        <f t="shared" si="18"/>
        <v>0</v>
      </c>
      <c r="O31" s="99">
        <f>I31+(S12)</f>
        <v>1</v>
      </c>
      <c r="P31" s="99">
        <f t="shared" si="19"/>
        <v>0</v>
      </c>
      <c r="Q31" s="99" t="s">
        <v>11</v>
      </c>
      <c r="R31" s="99"/>
      <c r="S31" s="101"/>
      <c r="T31" s="59">
        <f t="shared" si="20"/>
        <v>0</v>
      </c>
      <c r="U31" s="99">
        <f>O31+(Y12)</f>
        <v>1</v>
      </c>
      <c r="V31" s="99">
        <f t="shared" si="21"/>
        <v>0</v>
      </c>
      <c r="W31" s="99" t="s">
        <v>12</v>
      </c>
      <c r="X31" s="99"/>
      <c r="Y31" s="101"/>
      <c r="Z31" s="100">
        <f t="shared" si="22"/>
        <v>0</v>
      </c>
      <c r="AA31" s="99">
        <v>2</v>
      </c>
      <c r="AB31" s="102">
        <f t="shared" si="23"/>
        <v>0</v>
      </c>
      <c r="AC31" s="69" t="s">
        <v>14</v>
      </c>
    </row>
    <row r="32" spans="2:29" ht="15.75" thickBot="1" x14ac:dyDescent="0.3">
      <c r="B32" s="79" t="s">
        <v>143</v>
      </c>
      <c r="C32" s="83"/>
      <c r="D32" s="75" t="str">
        <f t="array" ref="D32">INDEX(Table_Name52[Name List],MATCH(B32,Table_Name52[Category],0))</f>
        <v>Incline_Push[Exercise]</v>
      </c>
      <c r="E32" s="72" t="e">
        <f t="array" ref="E32">INDEX(Links73[Link],MATCH(C32,Links73[Exercise],0))</f>
        <v>#N/A</v>
      </c>
      <c r="F32" s="86" t="e">
        <f t="shared" si="15"/>
        <v>#N/A</v>
      </c>
      <c r="G32" s="89"/>
      <c r="H32" s="98">
        <f t="shared" si="16"/>
        <v>0</v>
      </c>
      <c r="I32" s="99">
        <v>1</v>
      </c>
      <c r="J32" s="99">
        <f t="shared" si="17"/>
        <v>0</v>
      </c>
      <c r="K32" s="99" t="s">
        <v>11</v>
      </c>
      <c r="L32" s="99"/>
      <c r="M32" s="101"/>
      <c r="N32" s="98">
        <f t="shared" si="18"/>
        <v>0</v>
      </c>
      <c r="O32" s="99">
        <f>I32+(S11)</f>
        <v>1</v>
      </c>
      <c r="P32" s="99">
        <f t="shared" si="19"/>
        <v>0</v>
      </c>
      <c r="Q32" s="99" t="s">
        <v>11</v>
      </c>
      <c r="R32" s="99"/>
      <c r="S32" s="101"/>
      <c r="T32" s="59">
        <f t="shared" si="20"/>
        <v>0</v>
      </c>
      <c r="U32" s="99">
        <f>O32+(Y11)</f>
        <v>1</v>
      </c>
      <c r="V32" s="99">
        <f t="shared" si="21"/>
        <v>0</v>
      </c>
      <c r="W32" s="99" t="s">
        <v>12</v>
      </c>
      <c r="X32" s="99"/>
      <c r="Y32" s="101"/>
      <c r="Z32" s="100">
        <f t="shared" si="22"/>
        <v>0</v>
      </c>
      <c r="AA32" s="99">
        <v>2</v>
      </c>
      <c r="AB32" s="102">
        <f t="shared" si="23"/>
        <v>0</v>
      </c>
      <c r="AC32" s="69" t="s">
        <v>14</v>
      </c>
    </row>
    <row r="33" spans="2:29" ht="15.75" thickBot="1" x14ac:dyDescent="0.3">
      <c r="B33" s="80" t="s">
        <v>77</v>
      </c>
      <c r="C33" s="84"/>
      <c r="D33" s="76" t="str">
        <f t="array" ref="D33">INDEX(Table_Name52[Name List],MATCH(B33,Table_Name52[Category],0))</f>
        <v>Abs[Exercise]</v>
      </c>
      <c r="E33" s="73" t="e">
        <f t="array" ref="E33">INDEX(Links73[Link],MATCH(C33,Links73[Exercise],0))</f>
        <v>#N/A</v>
      </c>
      <c r="F33" s="87" t="e">
        <f t="shared" si="15"/>
        <v>#N/A</v>
      </c>
      <c r="G33" s="90"/>
      <c r="H33" s="103">
        <f t="shared" si="16"/>
        <v>0</v>
      </c>
      <c r="I33" s="104">
        <v>1</v>
      </c>
      <c r="J33" s="104">
        <f t="shared" si="17"/>
        <v>0</v>
      </c>
      <c r="K33" s="104" t="s">
        <v>11</v>
      </c>
      <c r="L33" s="104"/>
      <c r="M33" s="101"/>
      <c r="N33" s="105">
        <f t="shared" si="18"/>
        <v>0</v>
      </c>
      <c r="O33" s="104">
        <f>I33+(S16)</f>
        <v>1</v>
      </c>
      <c r="P33" s="104">
        <f t="shared" si="19"/>
        <v>0</v>
      </c>
      <c r="Q33" s="104" t="s">
        <v>11</v>
      </c>
      <c r="R33" s="104"/>
      <c r="S33" s="101"/>
      <c r="T33" s="106">
        <f t="shared" si="20"/>
        <v>0</v>
      </c>
      <c r="U33" s="104">
        <f>O33+(Y16)</f>
        <v>1</v>
      </c>
      <c r="V33" s="104">
        <f t="shared" si="21"/>
        <v>0</v>
      </c>
      <c r="W33" s="104" t="s">
        <v>12</v>
      </c>
      <c r="X33" s="104"/>
      <c r="Y33" s="101"/>
      <c r="Z33" s="105">
        <f t="shared" si="22"/>
        <v>0</v>
      </c>
      <c r="AA33" s="104">
        <v>2</v>
      </c>
      <c r="AB33" s="107">
        <f t="shared" si="23"/>
        <v>0</v>
      </c>
      <c r="AC33" s="62" t="s">
        <v>14</v>
      </c>
    </row>
    <row r="34" spans="2:29" ht="19.5" thickBot="1" x14ac:dyDescent="0.3">
      <c r="B34" s="68" t="s">
        <v>342</v>
      </c>
      <c r="C34" s="38"/>
      <c r="D34" s="38"/>
      <c r="E34" s="38"/>
      <c r="F34" s="38"/>
      <c r="G34" s="69"/>
      <c r="H34" s="154" t="s">
        <v>1</v>
      </c>
      <c r="I34" s="155"/>
      <c r="J34" s="155"/>
      <c r="K34" s="155"/>
      <c r="L34" s="155"/>
      <c r="M34" s="156"/>
      <c r="N34" s="157" t="s">
        <v>2</v>
      </c>
      <c r="O34" s="158"/>
      <c r="P34" s="158"/>
      <c r="Q34" s="158"/>
      <c r="R34" s="158"/>
      <c r="S34" s="159"/>
      <c r="T34" s="160" t="s">
        <v>3</v>
      </c>
      <c r="U34" s="161"/>
      <c r="V34" s="161"/>
      <c r="W34" s="161"/>
      <c r="X34" s="161"/>
      <c r="Y34" s="162"/>
      <c r="Z34" s="166" t="s">
        <v>346</v>
      </c>
      <c r="AA34" s="167"/>
      <c r="AB34" s="167"/>
      <c r="AC34" s="168"/>
    </row>
    <row r="35" spans="2:29" ht="15.75" thickBot="1" x14ac:dyDescent="0.3">
      <c r="B35" s="38"/>
      <c r="C35" s="38"/>
      <c r="D35" s="38"/>
      <c r="E35" s="38"/>
      <c r="F35" s="38"/>
      <c r="G35" s="38"/>
      <c r="H35" s="91" t="s">
        <v>88</v>
      </c>
      <c r="I35" s="92" t="s">
        <v>6</v>
      </c>
      <c r="J35" s="93" t="s">
        <v>7</v>
      </c>
      <c r="K35" s="94" t="s">
        <v>8</v>
      </c>
      <c r="L35" s="94" t="s">
        <v>9</v>
      </c>
      <c r="M35" s="95" t="s">
        <v>10</v>
      </c>
      <c r="N35" s="96" t="s">
        <v>88</v>
      </c>
      <c r="O35" s="96" t="s">
        <v>6</v>
      </c>
      <c r="P35" s="93" t="s">
        <v>7</v>
      </c>
      <c r="Q35" s="94" t="s">
        <v>8</v>
      </c>
      <c r="R35" s="94" t="s">
        <v>9</v>
      </c>
      <c r="S35" s="95" t="s">
        <v>10</v>
      </c>
      <c r="T35" s="96" t="s">
        <v>88</v>
      </c>
      <c r="U35" s="96" t="s">
        <v>6</v>
      </c>
      <c r="V35" s="93" t="s">
        <v>7</v>
      </c>
      <c r="W35" s="94" t="s">
        <v>8</v>
      </c>
      <c r="X35" s="94" t="s">
        <v>9</v>
      </c>
      <c r="Y35" s="95" t="s">
        <v>10</v>
      </c>
      <c r="Z35" s="96" t="s">
        <v>88</v>
      </c>
      <c r="AA35" s="96" t="s">
        <v>6</v>
      </c>
      <c r="AB35" s="93" t="s">
        <v>7</v>
      </c>
      <c r="AC35" s="97" t="s">
        <v>8</v>
      </c>
    </row>
    <row r="36" spans="2:29" ht="15.75" thickBot="1" x14ac:dyDescent="0.3">
      <c r="B36" s="77" t="s">
        <v>340</v>
      </c>
      <c r="C36" s="81" t="s">
        <v>337</v>
      </c>
      <c r="D36" s="63"/>
      <c r="E36" s="60"/>
      <c r="F36" s="81" t="s">
        <v>347</v>
      </c>
      <c r="G36" s="81" t="s">
        <v>348</v>
      </c>
      <c r="H36" s="94" t="s">
        <v>337</v>
      </c>
      <c r="I36" s="70"/>
      <c r="J36" s="70"/>
      <c r="K36" s="70"/>
      <c r="L36" s="70"/>
      <c r="M36" s="67"/>
      <c r="N36" s="91" t="s">
        <v>337</v>
      </c>
      <c r="O36" s="70"/>
      <c r="P36" s="70"/>
      <c r="Q36" s="70"/>
      <c r="R36" s="70"/>
      <c r="S36" s="67"/>
      <c r="T36" s="91" t="s">
        <v>337</v>
      </c>
      <c r="U36" s="70"/>
      <c r="V36" s="70"/>
      <c r="W36" s="70"/>
      <c r="X36" s="70"/>
      <c r="Y36" s="70"/>
      <c r="Z36" s="91" t="s">
        <v>337</v>
      </c>
      <c r="AA36" s="70"/>
      <c r="AB36" s="70"/>
      <c r="AC36" s="67"/>
    </row>
    <row r="37" spans="2:29" ht="15.75" thickBot="1" x14ac:dyDescent="0.3">
      <c r="B37" s="78" t="s">
        <v>108</v>
      </c>
      <c r="C37" s="82"/>
      <c r="D37" s="74" t="str">
        <f t="array" ref="D37">INDEX(Table_Name52[Name List],MATCH(B37,Table_Name52[Category],0))</f>
        <v>Glutes[Exercise]</v>
      </c>
      <c r="E37" s="71" t="e">
        <f t="array" ref="E37">INDEX(Links73[Link],MATCH(C37,Links73[Exercise],0))</f>
        <v>#N/A</v>
      </c>
      <c r="F37" s="85" t="e">
        <f t="shared" ref="F37:F42" si="24">HYPERLINK(E37,"Video")</f>
        <v>#N/A</v>
      </c>
      <c r="G37" s="88"/>
      <c r="H37" s="98">
        <f t="shared" ref="H37:H42" si="25">C37</f>
        <v>0</v>
      </c>
      <c r="I37" s="99">
        <v>3</v>
      </c>
      <c r="J37" s="99">
        <f t="shared" ref="J37:J42" si="26">MROUND(((G37)),5)</f>
        <v>0</v>
      </c>
      <c r="K37" s="99" t="s">
        <v>11</v>
      </c>
      <c r="L37" s="99"/>
      <c r="M37" s="101"/>
      <c r="N37" s="98">
        <f t="shared" ref="N37:N42" si="27">C37</f>
        <v>0</v>
      </c>
      <c r="O37" s="99">
        <f>I37+(S20)</f>
        <v>3</v>
      </c>
      <c r="P37" s="99">
        <f t="shared" ref="P37:P42" si="28">MROUND((J37*1.05),5)</f>
        <v>0</v>
      </c>
      <c r="Q37" s="99" t="s">
        <v>11</v>
      </c>
      <c r="R37" s="99"/>
      <c r="S37" s="101"/>
      <c r="T37" s="59">
        <f t="shared" ref="T37:T42" si="29">C37</f>
        <v>0</v>
      </c>
      <c r="U37" s="99">
        <f>O37+(Y20)</f>
        <v>3</v>
      </c>
      <c r="V37" s="99">
        <f t="shared" ref="V37:V42" si="30">MROUND((J37*1.075),5)</f>
        <v>0</v>
      </c>
      <c r="W37" s="99" t="s">
        <v>12</v>
      </c>
      <c r="X37" s="99"/>
      <c r="Y37" s="101"/>
      <c r="Z37" s="100">
        <f t="shared" ref="Z37:Z42" si="31">C37</f>
        <v>0</v>
      </c>
      <c r="AA37" s="99">
        <v>2</v>
      </c>
      <c r="AB37" s="102">
        <f t="shared" ref="AB37:AB42" si="32">MROUND((J37*0.5),5)</f>
        <v>0</v>
      </c>
      <c r="AC37" s="69" t="s">
        <v>14</v>
      </c>
    </row>
    <row r="38" spans="2:29" ht="15.75" thickBot="1" x14ac:dyDescent="0.3">
      <c r="B38" s="79" t="s">
        <v>107</v>
      </c>
      <c r="C38" s="83"/>
      <c r="D38" s="75" t="str">
        <f t="array" ref="D38">INDEX(Table_Name52[Name List],MATCH(B38,Table_Name52[Category],0))</f>
        <v>Hamstrings_Hip_Hinge[Exercise]</v>
      </c>
      <c r="E38" s="72" t="e">
        <f t="array" ref="E38">INDEX(Links73[Link],MATCH(C38,Links73[Exercise],0))</f>
        <v>#N/A</v>
      </c>
      <c r="F38" s="86" t="e">
        <f t="shared" si="24"/>
        <v>#N/A</v>
      </c>
      <c r="G38" s="89"/>
      <c r="H38" s="98">
        <f t="shared" si="25"/>
        <v>0</v>
      </c>
      <c r="I38" s="99">
        <v>3</v>
      </c>
      <c r="J38" s="99">
        <f t="shared" si="26"/>
        <v>0</v>
      </c>
      <c r="K38" s="99" t="s">
        <v>11</v>
      </c>
      <c r="L38" s="99"/>
      <c r="M38" s="101"/>
      <c r="N38" s="98">
        <f t="shared" si="27"/>
        <v>0</v>
      </c>
      <c r="O38" s="99">
        <f>I38+(S21)</f>
        <v>3</v>
      </c>
      <c r="P38" s="99">
        <f t="shared" si="28"/>
        <v>0</v>
      </c>
      <c r="Q38" s="99" t="s">
        <v>11</v>
      </c>
      <c r="R38" s="99"/>
      <c r="S38" s="101"/>
      <c r="T38" s="59">
        <f t="shared" si="29"/>
        <v>0</v>
      </c>
      <c r="U38" s="99">
        <f>O38+(Y21)</f>
        <v>3</v>
      </c>
      <c r="V38" s="99">
        <f t="shared" si="30"/>
        <v>0</v>
      </c>
      <c r="W38" s="99" t="s">
        <v>12</v>
      </c>
      <c r="X38" s="99"/>
      <c r="Y38" s="101"/>
      <c r="Z38" s="100">
        <f t="shared" si="31"/>
        <v>0</v>
      </c>
      <c r="AA38" s="99">
        <v>2</v>
      </c>
      <c r="AB38" s="102">
        <f t="shared" si="32"/>
        <v>0</v>
      </c>
      <c r="AC38" s="69" t="s">
        <v>14</v>
      </c>
    </row>
    <row r="39" spans="2:29" ht="15.75" thickBot="1" x14ac:dyDescent="0.3">
      <c r="B39" s="79" t="s">
        <v>20</v>
      </c>
      <c r="C39" s="83"/>
      <c r="D39" s="75" t="str">
        <f t="array" ref="D39">INDEX(Table_Name52[Name List],MATCH(B39,Table_Name52[Category],0))</f>
        <v>Quads[Exercise]</v>
      </c>
      <c r="E39" s="72" t="e">
        <f t="array" ref="E39">INDEX(Links73[Link],MATCH(C39,Links73[Exercise],0))</f>
        <v>#N/A</v>
      </c>
      <c r="F39" s="86" t="e">
        <f t="shared" si="24"/>
        <v>#N/A</v>
      </c>
      <c r="G39" s="89"/>
      <c r="H39" s="98">
        <f t="shared" si="25"/>
        <v>0</v>
      </c>
      <c r="I39" s="99">
        <v>3</v>
      </c>
      <c r="J39" s="99">
        <f t="shared" si="26"/>
        <v>0</v>
      </c>
      <c r="K39" s="99" t="s">
        <v>11</v>
      </c>
      <c r="L39" s="99"/>
      <c r="M39" s="101"/>
      <c r="N39" s="98">
        <f t="shared" si="27"/>
        <v>0</v>
      </c>
      <c r="O39" s="99">
        <f>I39+(S20)</f>
        <v>3</v>
      </c>
      <c r="P39" s="99">
        <f t="shared" si="28"/>
        <v>0</v>
      </c>
      <c r="Q39" s="99" t="s">
        <v>11</v>
      </c>
      <c r="R39" s="99"/>
      <c r="S39" s="101"/>
      <c r="T39" s="59">
        <f t="shared" si="29"/>
        <v>0</v>
      </c>
      <c r="U39" s="99">
        <f>O39+(Y20)</f>
        <v>3</v>
      </c>
      <c r="V39" s="99">
        <f t="shared" si="30"/>
        <v>0</v>
      </c>
      <c r="W39" s="99" t="s">
        <v>12</v>
      </c>
      <c r="X39" s="99"/>
      <c r="Y39" s="101"/>
      <c r="Z39" s="100">
        <f t="shared" si="31"/>
        <v>0</v>
      </c>
      <c r="AA39" s="99">
        <v>2</v>
      </c>
      <c r="AB39" s="102">
        <f t="shared" si="32"/>
        <v>0</v>
      </c>
      <c r="AC39" s="69" t="s">
        <v>14</v>
      </c>
    </row>
    <row r="40" spans="2:29" ht="15.75" thickBot="1" x14ac:dyDescent="0.3">
      <c r="B40" s="79" t="s">
        <v>18</v>
      </c>
      <c r="C40" s="83"/>
      <c r="D40" s="75" t="str">
        <f t="array" ref="D40">INDEX(Table_Name52[Name List],MATCH(B40,Table_Name52[Category],0))</f>
        <v>Biceps[Exercise]</v>
      </c>
      <c r="E40" s="72" t="e">
        <f t="array" ref="E40">INDEX(Links73[Link],MATCH(C40,Links73[Exercise],0))</f>
        <v>#N/A</v>
      </c>
      <c r="F40" s="86" t="e">
        <f t="shared" si="24"/>
        <v>#N/A</v>
      </c>
      <c r="G40" s="89"/>
      <c r="H40" s="98">
        <f t="shared" si="25"/>
        <v>0</v>
      </c>
      <c r="I40" s="99">
        <v>1</v>
      </c>
      <c r="J40" s="99">
        <f t="shared" si="26"/>
        <v>0</v>
      </c>
      <c r="K40" s="99" t="s">
        <v>11</v>
      </c>
      <c r="L40" s="99"/>
      <c r="M40" s="101"/>
      <c r="N40" s="98">
        <f t="shared" si="27"/>
        <v>0</v>
      </c>
      <c r="O40" s="99">
        <f>I40+(S14)</f>
        <v>1</v>
      </c>
      <c r="P40" s="99">
        <f t="shared" si="28"/>
        <v>0</v>
      </c>
      <c r="Q40" s="99" t="s">
        <v>11</v>
      </c>
      <c r="R40" s="99"/>
      <c r="S40" s="101"/>
      <c r="T40" s="59">
        <f t="shared" si="29"/>
        <v>0</v>
      </c>
      <c r="U40" s="99">
        <f>O40+(Y14)</f>
        <v>1</v>
      </c>
      <c r="V40" s="99">
        <f t="shared" si="30"/>
        <v>0</v>
      </c>
      <c r="W40" s="99" t="s">
        <v>12</v>
      </c>
      <c r="X40" s="99"/>
      <c r="Y40" s="101"/>
      <c r="Z40" s="100">
        <f t="shared" si="31"/>
        <v>0</v>
      </c>
      <c r="AA40" s="99">
        <v>2</v>
      </c>
      <c r="AB40" s="102">
        <f t="shared" si="32"/>
        <v>0</v>
      </c>
      <c r="AC40" s="69" t="s">
        <v>14</v>
      </c>
    </row>
    <row r="41" spans="2:29" ht="15.75" thickBot="1" x14ac:dyDescent="0.3">
      <c r="B41" s="79" t="s">
        <v>120</v>
      </c>
      <c r="C41" s="83"/>
      <c r="D41" s="75" t="str">
        <f t="array" ref="D41">INDEX(Table_Name52[Name List],MATCH(B41,Table_Name52[Category],0))</f>
        <v>Traps[Exercise]</v>
      </c>
      <c r="E41" s="72" t="e">
        <f t="array" ref="E41">INDEX(Links73[Link],MATCH(C41,Links73[Exercise],0))</f>
        <v>#N/A</v>
      </c>
      <c r="F41" s="86" t="e">
        <f t="shared" si="24"/>
        <v>#N/A</v>
      </c>
      <c r="G41" s="89"/>
      <c r="H41" s="98">
        <f t="shared" si="25"/>
        <v>0</v>
      </c>
      <c r="I41" s="99">
        <v>1</v>
      </c>
      <c r="J41" s="99">
        <f t="shared" si="26"/>
        <v>0</v>
      </c>
      <c r="K41" s="99" t="s">
        <v>11</v>
      </c>
      <c r="L41" s="99"/>
      <c r="M41" s="101"/>
      <c r="N41" s="98">
        <f t="shared" si="27"/>
        <v>0</v>
      </c>
      <c r="O41" s="99">
        <f>I41+(S15)</f>
        <v>1</v>
      </c>
      <c r="P41" s="99">
        <f t="shared" si="28"/>
        <v>0</v>
      </c>
      <c r="Q41" s="99" t="s">
        <v>11</v>
      </c>
      <c r="R41" s="99"/>
      <c r="S41" s="101"/>
      <c r="T41" s="59">
        <f t="shared" si="29"/>
        <v>0</v>
      </c>
      <c r="U41" s="99">
        <f>O41+(Y15)</f>
        <v>1</v>
      </c>
      <c r="V41" s="99">
        <f t="shared" si="30"/>
        <v>0</v>
      </c>
      <c r="W41" s="99" t="s">
        <v>12</v>
      </c>
      <c r="X41" s="99"/>
      <c r="Y41" s="101"/>
      <c r="Z41" s="100">
        <f t="shared" si="31"/>
        <v>0</v>
      </c>
      <c r="AA41" s="99">
        <v>2</v>
      </c>
      <c r="AB41" s="102">
        <f t="shared" si="32"/>
        <v>0</v>
      </c>
      <c r="AC41" s="69" t="s">
        <v>14</v>
      </c>
    </row>
    <row r="42" spans="2:29" ht="15.75" thickBot="1" x14ac:dyDescent="0.3">
      <c r="B42" s="80" t="s">
        <v>19</v>
      </c>
      <c r="C42" s="84"/>
      <c r="D42" s="76" t="str">
        <f t="array" ref="D42">INDEX(Table_Name52[Name List],MATCH(B42,Table_Name52[Category],0))</f>
        <v>Calves[Exercise]</v>
      </c>
      <c r="E42" s="73" t="e">
        <f t="array" ref="E42">INDEX(Links73[Link],MATCH(C42,Links73[Exercise],0))</f>
        <v>#N/A</v>
      </c>
      <c r="F42" s="87" t="e">
        <f t="shared" si="24"/>
        <v>#N/A</v>
      </c>
      <c r="G42" s="90"/>
      <c r="H42" s="103">
        <f t="shared" si="25"/>
        <v>0</v>
      </c>
      <c r="I42" s="104">
        <v>5</v>
      </c>
      <c r="J42" s="104">
        <f t="shared" si="26"/>
        <v>0</v>
      </c>
      <c r="K42" s="104" t="s">
        <v>11</v>
      </c>
      <c r="L42" s="104"/>
      <c r="M42" s="101"/>
      <c r="N42" s="105">
        <f t="shared" si="27"/>
        <v>0</v>
      </c>
      <c r="O42" s="104">
        <f>I42+(S22)</f>
        <v>5</v>
      </c>
      <c r="P42" s="104">
        <f t="shared" si="28"/>
        <v>0</v>
      </c>
      <c r="Q42" s="104" t="s">
        <v>11</v>
      </c>
      <c r="R42" s="104"/>
      <c r="S42" s="101"/>
      <c r="T42" s="106">
        <f t="shared" si="29"/>
        <v>0</v>
      </c>
      <c r="U42" s="104">
        <f>O42+(Y22)</f>
        <v>5</v>
      </c>
      <c r="V42" s="104">
        <f t="shared" si="30"/>
        <v>0</v>
      </c>
      <c r="W42" s="104" t="s">
        <v>12</v>
      </c>
      <c r="X42" s="104"/>
      <c r="Y42" s="101"/>
      <c r="Z42" s="105">
        <f t="shared" si="31"/>
        <v>0</v>
      </c>
      <c r="AA42" s="104">
        <v>2</v>
      </c>
      <c r="AB42" s="107">
        <f t="shared" si="32"/>
        <v>0</v>
      </c>
      <c r="AC42" s="62" t="s">
        <v>14</v>
      </c>
    </row>
    <row r="43" spans="2:29" s="44" customFormat="1" x14ac:dyDescent="0.25">
      <c r="B43" s="56"/>
      <c r="C43" s="36"/>
      <c r="D43" s="36"/>
      <c r="E43" s="57"/>
      <c r="F43" s="58"/>
      <c r="G43" s="59"/>
      <c r="H43" s="36"/>
      <c r="I43" s="4"/>
      <c r="J43" s="4"/>
      <c r="K43" s="4"/>
      <c r="L43" s="4"/>
      <c r="M43" s="4"/>
      <c r="N43" s="36"/>
      <c r="O43" s="4"/>
      <c r="P43" s="4"/>
      <c r="Q43" s="4"/>
      <c r="R43" s="4"/>
      <c r="S43" s="4"/>
      <c r="T43" s="36"/>
      <c r="U43" s="4"/>
      <c r="V43" s="4"/>
      <c r="W43" s="4"/>
      <c r="X43" s="4"/>
      <c r="Y43" s="4"/>
      <c r="Z43" s="36"/>
      <c r="AA43" s="4"/>
      <c r="AB43" s="4"/>
      <c r="AC43" s="4"/>
    </row>
    <row r="44" spans="2:29" s="44" customFormat="1" x14ac:dyDescent="0.25">
      <c r="B44" s="18" t="s">
        <v>343</v>
      </c>
      <c r="C44" s="36"/>
      <c r="D44" s="36"/>
      <c r="E44" s="57"/>
      <c r="F44" s="58"/>
      <c r="G44" s="59"/>
      <c r="H44" s="36"/>
      <c r="I44" s="4"/>
      <c r="J44" s="4"/>
      <c r="K44" s="4"/>
      <c r="L44" s="4"/>
      <c r="M44" s="4"/>
      <c r="N44" s="36"/>
      <c r="O44" s="4"/>
      <c r="P44" s="4"/>
      <c r="Q44" s="4"/>
      <c r="R44" s="4"/>
      <c r="S44" s="4"/>
      <c r="T44" s="36"/>
      <c r="U44" s="4"/>
      <c r="V44" s="4"/>
      <c r="W44" s="4"/>
      <c r="X44" s="4"/>
      <c r="Y44" s="4"/>
      <c r="Z44" s="36"/>
      <c r="AA44" s="4"/>
      <c r="AB44" s="4"/>
      <c r="AC44" s="4"/>
    </row>
    <row r="45" spans="2:29" s="44" customFormat="1" x14ac:dyDescent="0.25">
      <c r="B45" s="56"/>
      <c r="C45" s="36"/>
      <c r="D45" s="36"/>
      <c r="E45" s="57"/>
      <c r="F45" s="58"/>
      <c r="G45" s="59"/>
      <c r="H45" s="36"/>
      <c r="I45" s="4"/>
      <c r="J45" s="4"/>
      <c r="K45" s="4"/>
      <c r="L45" s="4"/>
      <c r="M45" s="4"/>
      <c r="N45" s="36"/>
      <c r="O45" s="4"/>
      <c r="P45" s="4"/>
      <c r="Q45" s="4"/>
      <c r="R45" s="4"/>
      <c r="S45" s="4"/>
      <c r="T45" s="36"/>
      <c r="U45" s="4"/>
      <c r="V45" s="4"/>
      <c r="W45" s="4"/>
      <c r="X45" s="4"/>
      <c r="Y45" s="4"/>
      <c r="Z45" s="36"/>
      <c r="AA45" s="4"/>
      <c r="AB45" s="4"/>
      <c r="AC45" s="4"/>
    </row>
    <row r="46" spans="2:29" s="44" customFormat="1" x14ac:dyDescent="0.25">
      <c r="B46" s="56"/>
      <c r="C46" s="36"/>
      <c r="D46" s="36"/>
      <c r="E46" s="57"/>
      <c r="F46" s="58"/>
      <c r="G46" s="59"/>
      <c r="H46" s="36"/>
      <c r="I46" s="4"/>
      <c r="J46" s="4"/>
      <c r="K46" s="4"/>
      <c r="L46" s="4"/>
      <c r="M46" s="4"/>
      <c r="N46" s="36"/>
      <c r="O46" s="4"/>
      <c r="P46" s="4"/>
      <c r="Q46" s="4"/>
      <c r="R46" s="4"/>
      <c r="S46" s="4"/>
      <c r="T46" s="36"/>
      <c r="U46" s="4"/>
      <c r="V46" s="4"/>
      <c r="W46" s="4"/>
      <c r="X46" s="4"/>
      <c r="Y46" s="4"/>
      <c r="Z46" s="36"/>
      <c r="AA46" s="4"/>
      <c r="AB46" s="4"/>
      <c r="AC46" s="4"/>
    </row>
    <row r="47" spans="2:29" s="44" customFormat="1" x14ac:dyDescent="0.25">
      <c r="B47" s="56"/>
      <c r="C47" s="36"/>
      <c r="D47" s="36"/>
      <c r="E47" s="57"/>
      <c r="F47" s="58"/>
      <c r="G47" s="59"/>
      <c r="H47" s="36"/>
      <c r="I47" s="4"/>
      <c r="J47" s="4"/>
      <c r="K47" s="4"/>
      <c r="L47" s="4"/>
      <c r="M47" s="4"/>
      <c r="N47" s="36"/>
      <c r="O47" s="4"/>
      <c r="P47" s="4"/>
      <c r="Q47" s="4"/>
      <c r="R47" s="4"/>
      <c r="S47" s="4"/>
      <c r="T47" s="36"/>
      <c r="U47" s="4"/>
      <c r="V47" s="4"/>
      <c r="W47" s="4"/>
      <c r="X47" s="4"/>
      <c r="Y47" s="4"/>
      <c r="Z47" s="36"/>
      <c r="AA47" s="4"/>
      <c r="AB47" s="4"/>
      <c r="AC47" s="4"/>
    </row>
    <row r="48" spans="2:29" s="44" customFormat="1" x14ac:dyDescent="0.25">
      <c r="B48" s="56"/>
      <c r="C48" s="36"/>
      <c r="D48" s="36"/>
      <c r="E48" s="57"/>
      <c r="F48" s="58"/>
      <c r="G48" s="59"/>
      <c r="H48" s="36"/>
      <c r="I48" s="4"/>
      <c r="J48" s="4"/>
      <c r="K48" s="4"/>
      <c r="L48" s="4"/>
      <c r="M48" s="4"/>
      <c r="N48" s="36"/>
      <c r="O48" s="4"/>
      <c r="P48" s="4"/>
      <c r="Q48" s="4"/>
      <c r="R48" s="4"/>
      <c r="S48" s="4"/>
      <c r="T48" s="36"/>
      <c r="U48" s="4"/>
      <c r="V48" s="4"/>
      <c r="W48" s="4"/>
      <c r="X48" s="4"/>
      <c r="Y48" s="4"/>
      <c r="Z48" s="36"/>
      <c r="AA48" s="4"/>
      <c r="AB48" s="4"/>
      <c r="AC48" s="4"/>
    </row>
    <row r="49" spans="2:29" s="44" customFormat="1" x14ac:dyDescent="0.25">
      <c r="B49" s="56"/>
      <c r="C49" s="36"/>
      <c r="D49" s="36"/>
      <c r="E49" s="57"/>
      <c r="F49" s="58"/>
      <c r="G49" s="59"/>
      <c r="H49" s="36"/>
      <c r="I49" s="4"/>
      <c r="J49" s="4"/>
      <c r="K49" s="4"/>
      <c r="L49" s="4"/>
      <c r="M49" s="4"/>
      <c r="N49" s="36"/>
      <c r="O49" s="4"/>
      <c r="P49" s="4"/>
      <c r="Q49" s="4"/>
      <c r="R49" s="4"/>
      <c r="S49" s="4"/>
      <c r="T49" s="36"/>
      <c r="U49" s="4"/>
      <c r="V49" s="4"/>
      <c r="W49" s="4"/>
      <c r="X49" s="4"/>
      <c r="Y49" s="4"/>
      <c r="Z49" s="36"/>
      <c r="AA49" s="4"/>
      <c r="AB49" s="4"/>
      <c r="AC49" s="4"/>
    </row>
    <row r="50" spans="2:29" s="44" customFormat="1" x14ac:dyDescent="0.25">
      <c r="B50" s="56"/>
      <c r="C50" s="36"/>
      <c r="D50" s="36"/>
      <c r="E50" s="57"/>
      <c r="F50" s="58"/>
      <c r="G50" s="59"/>
      <c r="H50" s="36"/>
      <c r="I50" s="4"/>
      <c r="J50" s="4"/>
      <c r="K50" s="4"/>
      <c r="L50" s="4"/>
      <c r="M50" s="4"/>
      <c r="N50" s="36"/>
      <c r="O50" s="4"/>
      <c r="P50" s="4"/>
      <c r="Q50" s="4"/>
      <c r="R50" s="4"/>
      <c r="S50" s="4"/>
      <c r="T50" s="36"/>
      <c r="U50" s="4"/>
      <c r="V50" s="4"/>
      <c r="W50" s="4"/>
      <c r="X50" s="4"/>
      <c r="Y50" s="4"/>
      <c r="Z50" s="36"/>
      <c r="AA50" s="4"/>
      <c r="AB50" s="4"/>
      <c r="AC50" s="4"/>
    </row>
    <row r="51" spans="2:29" s="44" customFormat="1" x14ac:dyDescent="0.25">
      <c r="B51" s="56"/>
      <c r="C51" s="36"/>
      <c r="D51" s="36"/>
      <c r="E51" s="57"/>
      <c r="F51" s="58"/>
      <c r="G51" s="59"/>
      <c r="H51" s="36"/>
      <c r="I51" s="4"/>
      <c r="J51" s="4"/>
      <c r="K51" s="4"/>
      <c r="L51" s="4"/>
      <c r="M51" s="4"/>
      <c r="N51" s="36"/>
      <c r="O51" s="4"/>
      <c r="P51" s="4"/>
      <c r="Q51" s="4"/>
      <c r="R51" s="4"/>
      <c r="S51" s="4"/>
      <c r="T51" s="36"/>
      <c r="U51" s="4"/>
      <c r="V51" s="4"/>
      <c r="W51" s="4"/>
      <c r="X51" s="4"/>
      <c r="Y51" s="4"/>
      <c r="Z51" s="36"/>
      <c r="AA51" s="4"/>
      <c r="AB51" s="4"/>
      <c r="AC51" s="4"/>
    </row>
    <row r="52" spans="2:29" s="44" customFormat="1" x14ac:dyDescent="0.25">
      <c r="B52" s="56"/>
      <c r="C52" s="36"/>
      <c r="D52" s="36"/>
      <c r="E52" s="57"/>
      <c r="F52" s="58"/>
      <c r="G52" s="59"/>
      <c r="H52" s="36"/>
      <c r="I52" s="4"/>
      <c r="J52" s="4"/>
      <c r="K52" s="4"/>
      <c r="L52" s="4"/>
      <c r="M52" s="4"/>
      <c r="N52" s="36"/>
      <c r="O52" s="4"/>
      <c r="P52" s="4"/>
      <c r="Q52" s="4"/>
      <c r="R52" s="4"/>
      <c r="S52" s="4"/>
      <c r="T52" s="36"/>
      <c r="U52" s="4"/>
      <c r="V52" s="4"/>
      <c r="W52" s="4"/>
      <c r="X52" s="4"/>
      <c r="Y52" s="4"/>
      <c r="Z52" s="36"/>
      <c r="AA52" s="4"/>
      <c r="AB52" s="4"/>
      <c r="AC52" s="4"/>
    </row>
    <row r="53" spans="2:29" s="44" customFormat="1" x14ac:dyDescent="0.25">
      <c r="B53" s="56"/>
      <c r="C53" s="36"/>
      <c r="D53" s="36"/>
      <c r="E53" s="57"/>
      <c r="F53" s="58"/>
      <c r="G53" s="59"/>
      <c r="H53" s="36"/>
      <c r="I53" s="4"/>
      <c r="J53" s="4"/>
      <c r="K53" s="4"/>
      <c r="L53" s="4"/>
      <c r="M53" s="4"/>
      <c r="N53" s="36"/>
      <c r="O53" s="4"/>
      <c r="P53" s="4"/>
      <c r="Q53" s="4"/>
      <c r="R53" s="4"/>
      <c r="S53" s="4"/>
      <c r="T53" s="36"/>
      <c r="U53" s="4"/>
      <c r="V53" s="4"/>
      <c r="W53" s="4"/>
      <c r="X53" s="4"/>
      <c r="Y53" s="4"/>
      <c r="Z53" s="36"/>
      <c r="AA53" s="4"/>
      <c r="AB53" s="4"/>
      <c r="AC53" s="4"/>
    </row>
    <row r="54" spans="2:29" s="44" customFormat="1" x14ac:dyDescent="0.25">
      <c r="B54" s="56"/>
      <c r="C54" s="36"/>
      <c r="D54" s="36"/>
      <c r="E54" s="57"/>
      <c r="F54" s="58"/>
      <c r="G54" s="59"/>
      <c r="H54" s="36"/>
      <c r="I54" s="4"/>
      <c r="J54" s="4"/>
      <c r="K54" s="4"/>
      <c r="L54" s="4"/>
      <c r="M54" s="4"/>
      <c r="N54" s="36"/>
      <c r="O54" s="4"/>
      <c r="P54" s="4"/>
      <c r="Q54" s="4"/>
      <c r="R54" s="4"/>
      <c r="S54" s="4"/>
      <c r="T54" s="36"/>
      <c r="U54" s="4"/>
      <c r="V54" s="4"/>
      <c r="W54" s="4"/>
      <c r="X54" s="4"/>
      <c r="Y54" s="4"/>
      <c r="Z54" s="36"/>
      <c r="AA54" s="4"/>
      <c r="AB54" s="4"/>
      <c r="AC54" s="4"/>
    </row>
    <row r="55" spans="2:29" s="44" customFormat="1" x14ac:dyDescent="0.25">
      <c r="B55" s="56"/>
      <c r="C55" s="36"/>
      <c r="D55" s="36"/>
      <c r="E55" s="57"/>
      <c r="F55" s="58"/>
      <c r="G55" s="59"/>
      <c r="H55" s="36"/>
      <c r="I55" s="4"/>
      <c r="J55" s="4"/>
      <c r="K55" s="4"/>
      <c r="L55" s="4"/>
      <c r="M55" s="4"/>
      <c r="N55" s="36"/>
      <c r="O55" s="4"/>
      <c r="P55" s="4"/>
      <c r="Q55" s="4"/>
      <c r="R55" s="4"/>
      <c r="S55" s="4"/>
      <c r="T55" s="36"/>
      <c r="U55" s="4"/>
      <c r="V55" s="4"/>
      <c r="W55" s="4"/>
      <c r="X55" s="4"/>
      <c r="Y55" s="4"/>
      <c r="Z55" s="36"/>
      <c r="AA55" s="4"/>
      <c r="AB55" s="4"/>
      <c r="AC55" s="4"/>
    </row>
    <row r="56" spans="2:29" s="44" customFormat="1" x14ac:dyDescent="0.25">
      <c r="B56" s="56"/>
      <c r="C56" s="36"/>
      <c r="D56" s="36"/>
      <c r="E56" s="57"/>
      <c r="F56" s="58"/>
      <c r="G56" s="59"/>
      <c r="H56" s="36"/>
      <c r="I56" s="4"/>
      <c r="J56" s="4"/>
      <c r="K56" s="4"/>
      <c r="L56" s="4"/>
      <c r="M56" s="4"/>
      <c r="N56" s="36"/>
      <c r="O56" s="4"/>
      <c r="P56" s="4"/>
      <c r="Q56" s="4"/>
      <c r="R56" s="4"/>
      <c r="S56" s="4"/>
      <c r="T56" s="36"/>
      <c r="U56" s="4"/>
      <c r="V56" s="4"/>
      <c r="W56" s="4"/>
      <c r="X56" s="4"/>
      <c r="Y56" s="4"/>
      <c r="Z56" s="36"/>
      <c r="AA56" s="4"/>
      <c r="AB56" s="4"/>
      <c r="AC56" s="4"/>
    </row>
    <row r="57" spans="2:29" s="44" customFormat="1" x14ac:dyDescent="0.25">
      <c r="B57" s="56"/>
      <c r="C57" s="36"/>
      <c r="D57" s="36"/>
      <c r="E57" s="57"/>
      <c r="F57" s="58"/>
      <c r="G57" s="59"/>
      <c r="H57" s="36"/>
      <c r="I57" s="4"/>
      <c r="J57" s="4"/>
      <c r="K57" s="4"/>
      <c r="L57" s="4"/>
      <c r="M57" s="4"/>
      <c r="N57" s="36"/>
      <c r="O57" s="4"/>
      <c r="P57" s="4"/>
      <c r="Q57" s="4"/>
      <c r="R57" s="4"/>
      <c r="S57" s="4"/>
      <c r="T57" s="36"/>
      <c r="U57" s="4"/>
      <c r="V57" s="4"/>
      <c r="W57" s="4"/>
      <c r="X57" s="4"/>
      <c r="Y57" s="4"/>
      <c r="Z57" s="36"/>
      <c r="AA57" s="4"/>
      <c r="AB57" s="4"/>
      <c r="AC57" s="4"/>
    </row>
    <row r="58" spans="2:29" s="44" customFormat="1" x14ac:dyDescent="0.25">
      <c r="B58" s="56"/>
      <c r="C58" s="36"/>
      <c r="D58" s="36"/>
      <c r="E58" s="57"/>
      <c r="F58" s="58"/>
      <c r="G58" s="59"/>
      <c r="H58" s="36"/>
      <c r="I58" s="4"/>
      <c r="J58" s="4"/>
      <c r="K58" s="4"/>
      <c r="L58" s="4"/>
      <c r="M58" s="4"/>
      <c r="N58" s="36"/>
      <c r="O58" s="4"/>
      <c r="P58" s="4"/>
      <c r="Q58" s="4"/>
      <c r="R58" s="4"/>
      <c r="S58" s="4"/>
      <c r="T58" s="36"/>
      <c r="U58" s="4"/>
      <c r="V58" s="4"/>
      <c r="W58" s="4"/>
      <c r="X58" s="4"/>
      <c r="Y58" s="4"/>
      <c r="Z58" s="36"/>
      <c r="AA58" s="4"/>
      <c r="AB58" s="4"/>
      <c r="AC58" s="4"/>
    </row>
    <row r="59" spans="2:29" s="44" customFormat="1" x14ac:dyDescent="0.25">
      <c r="B59" s="56"/>
      <c r="C59" s="36"/>
      <c r="D59" s="36"/>
      <c r="E59" s="57"/>
      <c r="F59" s="58"/>
      <c r="G59" s="59"/>
      <c r="H59" s="36"/>
      <c r="I59" s="4"/>
      <c r="J59" s="4"/>
      <c r="K59" s="4"/>
      <c r="L59" s="4"/>
      <c r="M59" s="4"/>
      <c r="N59" s="36"/>
      <c r="O59" s="4"/>
      <c r="P59" s="4"/>
      <c r="Q59" s="4"/>
      <c r="R59" s="4"/>
      <c r="S59" s="4"/>
      <c r="T59" s="36"/>
      <c r="U59" s="4"/>
      <c r="V59" s="4"/>
      <c r="W59" s="4"/>
      <c r="X59" s="4"/>
      <c r="Y59" s="4"/>
      <c r="Z59" s="36"/>
      <c r="AA59" s="4"/>
      <c r="AB59" s="4"/>
      <c r="AC59" s="4"/>
    </row>
    <row r="60" spans="2:29" s="44" customFormat="1" x14ac:dyDescent="0.25">
      <c r="B60" s="56"/>
      <c r="C60" s="36"/>
      <c r="D60" s="36"/>
      <c r="E60" s="57"/>
      <c r="F60" s="58"/>
      <c r="G60" s="59"/>
      <c r="H60" s="36"/>
      <c r="I60" s="4"/>
      <c r="J60" s="4"/>
      <c r="K60" s="4"/>
      <c r="L60" s="4"/>
      <c r="M60" s="4"/>
      <c r="N60" s="36"/>
      <c r="O60" s="4"/>
      <c r="P60" s="4"/>
      <c r="Q60" s="4"/>
      <c r="R60" s="4"/>
      <c r="S60" s="4"/>
      <c r="T60" s="36"/>
      <c r="U60" s="4"/>
      <c r="V60" s="4"/>
      <c r="W60" s="4"/>
      <c r="X60" s="4"/>
      <c r="Y60" s="4"/>
      <c r="Z60" s="36"/>
      <c r="AA60" s="4"/>
      <c r="AB60" s="4"/>
      <c r="AC60" s="4"/>
    </row>
    <row r="61" spans="2:29" x14ac:dyDescent="0.25">
      <c r="E61" s="44"/>
    </row>
    <row r="62" spans="2:29" hidden="1" x14ac:dyDescent="0.25">
      <c r="C62" t="s">
        <v>21</v>
      </c>
      <c r="E62" s="44"/>
    </row>
    <row r="63" spans="2:29" hidden="1" x14ac:dyDescent="0.25">
      <c r="C63">
        <v>1</v>
      </c>
      <c r="E63" s="44"/>
    </row>
    <row r="64" spans="2:29" hidden="1" x14ac:dyDescent="0.25">
      <c r="C64">
        <v>0</v>
      </c>
      <c r="E64" s="44"/>
    </row>
    <row r="65" spans="1:9" hidden="1" x14ac:dyDescent="0.25">
      <c r="C65">
        <v>-1</v>
      </c>
      <c r="E65" s="44"/>
    </row>
    <row r="66" spans="1:9" hidden="1" x14ac:dyDescent="0.25">
      <c r="E66" s="44"/>
    </row>
    <row r="67" spans="1:9" hidden="1" x14ac:dyDescent="0.25">
      <c r="E67" s="44"/>
    </row>
    <row r="68" spans="1:9" hidden="1" x14ac:dyDescent="0.25">
      <c r="E68" s="44"/>
    </row>
    <row r="69" spans="1:9" hidden="1" x14ac:dyDescent="0.25">
      <c r="E69" s="44"/>
      <c r="F69" s="8"/>
      <c r="G69" s="8"/>
      <c r="H69" s="8"/>
    </row>
    <row r="70" spans="1:9" hidden="1" x14ac:dyDescent="0.25">
      <c r="A70" s="37" t="s">
        <v>77</v>
      </c>
      <c r="B70" s="48" t="s">
        <v>88</v>
      </c>
      <c r="C70" s="52" t="s">
        <v>295</v>
      </c>
      <c r="D70" s="8"/>
      <c r="E70" s="44"/>
      <c r="H70" s="12"/>
    </row>
    <row r="71" spans="1:9" hidden="1" x14ac:dyDescent="0.25">
      <c r="A71" s="12"/>
      <c r="B71" s="53" t="s">
        <v>109</v>
      </c>
      <c r="C71" s="48" t="s">
        <v>179</v>
      </c>
      <c r="D71" s="38"/>
      <c r="E71" s="44"/>
      <c r="H71" s="12"/>
    </row>
    <row r="72" spans="1:9" hidden="1" x14ac:dyDescent="0.25">
      <c r="A72" s="12"/>
      <c r="B72" s="53" t="s">
        <v>79</v>
      </c>
      <c r="C72" s="48" t="s">
        <v>180</v>
      </c>
      <c r="D72" s="38"/>
      <c r="E72" s="44"/>
      <c r="H72" s="12"/>
    </row>
    <row r="73" spans="1:9" hidden="1" x14ac:dyDescent="0.25">
      <c r="A73" s="12"/>
      <c r="B73" s="53" t="s">
        <v>80</v>
      </c>
      <c r="C73" s="48" t="s">
        <v>181</v>
      </c>
      <c r="D73" s="38"/>
      <c r="E73" s="44"/>
      <c r="H73" s="12"/>
    </row>
    <row r="74" spans="1:9" hidden="1" x14ac:dyDescent="0.25">
      <c r="A74" s="12"/>
      <c r="B74" s="53" t="s">
        <v>78</v>
      </c>
      <c r="C74" s="48" t="s">
        <v>182</v>
      </c>
      <c r="D74" s="38"/>
      <c r="E74" s="44"/>
      <c r="H74" s="12"/>
    </row>
    <row r="75" spans="1:9" hidden="1" x14ac:dyDescent="0.25">
      <c r="A75" s="12"/>
      <c r="B75" s="53" t="s">
        <v>110</v>
      </c>
      <c r="C75" s="53" t="s">
        <v>183</v>
      </c>
      <c r="D75" s="40"/>
      <c r="E75" s="44"/>
      <c r="H75" s="12"/>
    </row>
    <row r="76" spans="1:9" hidden="1" x14ac:dyDescent="0.25">
      <c r="A76" s="12"/>
      <c r="B76" s="53" t="s">
        <v>81</v>
      </c>
      <c r="C76" s="48" t="s">
        <v>184</v>
      </c>
      <c r="D76" s="38"/>
      <c r="E76" s="44"/>
      <c r="H76" s="12"/>
    </row>
    <row r="77" spans="1:9" hidden="1" x14ac:dyDescent="0.25">
      <c r="A77" s="12"/>
      <c r="B77" s="53" t="s">
        <v>146</v>
      </c>
      <c r="C77" s="48" t="s">
        <v>185</v>
      </c>
      <c r="D77" s="38"/>
      <c r="E77" s="44"/>
      <c r="H77" s="38"/>
      <c r="I77" s="38"/>
    </row>
    <row r="78" spans="1:9" hidden="1" x14ac:dyDescent="0.25">
      <c r="A78" s="38"/>
      <c r="B78" s="48"/>
      <c r="C78" s="52"/>
      <c r="D78" s="8"/>
      <c r="E78" s="44"/>
    </row>
    <row r="79" spans="1:9" hidden="1" x14ac:dyDescent="0.25">
      <c r="A79" s="37" t="s">
        <v>19</v>
      </c>
      <c r="B79" s="49" t="s">
        <v>88</v>
      </c>
      <c r="C79" s="54" t="s">
        <v>295</v>
      </c>
      <c r="D79" s="43"/>
      <c r="E79" s="44"/>
      <c r="H79" s="37"/>
      <c r="I79" s="38"/>
    </row>
    <row r="80" spans="1:9" hidden="1" x14ac:dyDescent="0.25">
      <c r="A80" s="12"/>
      <c r="B80" s="53" t="s">
        <v>111</v>
      </c>
      <c r="C80" s="48" t="s">
        <v>186</v>
      </c>
      <c r="D80" s="38"/>
      <c r="E80" s="44"/>
      <c r="H80" s="12"/>
    </row>
    <row r="81" spans="1:9" hidden="1" x14ac:dyDescent="0.25">
      <c r="A81" s="12"/>
      <c r="B81" s="53" t="s">
        <v>75</v>
      </c>
      <c r="C81" s="48" t="s">
        <v>187</v>
      </c>
      <c r="D81" s="38"/>
      <c r="E81" s="44"/>
      <c r="H81" s="12"/>
    </row>
    <row r="82" spans="1:9" hidden="1" x14ac:dyDescent="0.25">
      <c r="A82" s="12"/>
      <c r="B82" s="53" t="s">
        <v>74</v>
      </c>
      <c r="C82" s="48" t="s">
        <v>188</v>
      </c>
      <c r="D82" s="38"/>
      <c r="E82" s="44"/>
      <c r="H82" s="12"/>
    </row>
    <row r="83" spans="1:9" hidden="1" x14ac:dyDescent="0.25">
      <c r="A83" s="12"/>
      <c r="B83" s="53" t="s">
        <v>76</v>
      </c>
      <c r="C83" s="48" t="s">
        <v>189</v>
      </c>
      <c r="D83" s="38"/>
      <c r="E83" s="44"/>
      <c r="H83" s="12"/>
    </row>
    <row r="84" spans="1:9" hidden="1" x14ac:dyDescent="0.25">
      <c r="A84" s="38"/>
      <c r="B84" s="48"/>
      <c r="C84" s="52"/>
      <c r="D84" s="8"/>
      <c r="E84" s="44"/>
      <c r="H84" s="38"/>
      <c r="I84" s="38"/>
    </row>
    <row r="85" spans="1:9" hidden="1" x14ac:dyDescent="0.25">
      <c r="A85" s="37" t="s">
        <v>18</v>
      </c>
      <c r="B85" s="49" t="s">
        <v>88</v>
      </c>
      <c r="C85" s="54" t="s">
        <v>295</v>
      </c>
      <c r="D85" s="43"/>
      <c r="E85" s="44"/>
      <c r="H85" s="37"/>
      <c r="I85" s="38"/>
    </row>
    <row r="86" spans="1:9" hidden="1" x14ac:dyDescent="0.25">
      <c r="A86" s="12"/>
      <c r="B86" s="53" t="s">
        <v>61</v>
      </c>
      <c r="C86" s="48" t="s">
        <v>190</v>
      </c>
      <c r="D86" s="38"/>
      <c r="E86" s="44"/>
      <c r="H86" s="12"/>
    </row>
    <row r="87" spans="1:9" hidden="1" x14ac:dyDescent="0.25">
      <c r="A87" s="12"/>
      <c r="B87" s="53" t="s">
        <v>62</v>
      </c>
      <c r="C87" s="48" t="s">
        <v>191</v>
      </c>
      <c r="D87" s="38"/>
      <c r="E87" s="44"/>
      <c r="H87" s="12"/>
    </row>
    <row r="88" spans="1:9" hidden="1" x14ac:dyDescent="0.25">
      <c r="A88" s="12"/>
      <c r="B88" s="53" t="s">
        <v>112</v>
      </c>
      <c r="C88" s="48" t="s">
        <v>192</v>
      </c>
      <c r="D88" s="38"/>
      <c r="E88" s="44"/>
      <c r="H88" s="12"/>
    </row>
    <row r="89" spans="1:9" hidden="1" x14ac:dyDescent="0.25">
      <c r="A89" s="12"/>
      <c r="B89" s="53" t="s">
        <v>63</v>
      </c>
      <c r="C89" s="48" t="s">
        <v>193</v>
      </c>
      <c r="D89" s="38"/>
      <c r="E89" s="44"/>
      <c r="H89" s="12"/>
    </row>
    <row r="90" spans="1:9" hidden="1" x14ac:dyDescent="0.25">
      <c r="A90" s="12"/>
      <c r="B90" s="53" t="s">
        <v>113</v>
      </c>
      <c r="C90" s="48" t="s">
        <v>194</v>
      </c>
      <c r="D90" s="38"/>
      <c r="E90" s="44"/>
      <c r="H90" s="12"/>
    </row>
    <row r="91" spans="1:9" hidden="1" x14ac:dyDescent="0.25">
      <c r="A91" s="12"/>
      <c r="B91" s="53" t="s">
        <v>114</v>
      </c>
      <c r="C91" s="48" t="s">
        <v>195</v>
      </c>
      <c r="D91" s="38"/>
      <c r="E91" s="44"/>
      <c r="H91" s="12"/>
    </row>
    <row r="92" spans="1:9" hidden="1" x14ac:dyDescent="0.25">
      <c r="A92" s="12"/>
      <c r="B92" s="53" t="s">
        <v>147</v>
      </c>
      <c r="C92" s="48" t="s">
        <v>196</v>
      </c>
      <c r="D92" s="38"/>
      <c r="E92" s="44"/>
      <c r="H92" s="12"/>
    </row>
    <row r="93" spans="1:9" hidden="1" x14ac:dyDescent="0.25">
      <c r="A93" s="12"/>
      <c r="B93" s="53" t="s">
        <v>148</v>
      </c>
      <c r="C93" s="48" t="s">
        <v>197</v>
      </c>
      <c r="D93" s="38"/>
      <c r="E93" s="44"/>
      <c r="H93" s="12"/>
    </row>
    <row r="94" spans="1:9" hidden="1" x14ac:dyDescent="0.25">
      <c r="A94" s="12"/>
      <c r="B94" s="53" t="s">
        <v>115</v>
      </c>
      <c r="C94" s="53" t="s">
        <v>198</v>
      </c>
      <c r="D94" s="40"/>
      <c r="E94" s="44"/>
      <c r="H94" s="12"/>
    </row>
    <row r="95" spans="1:9" hidden="1" x14ac:dyDescent="0.25">
      <c r="A95" s="12"/>
      <c r="B95" s="53" t="s">
        <v>116</v>
      </c>
      <c r="C95" s="48" t="s">
        <v>199</v>
      </c>
      <c r="D95" s="38"/>
      <c r="E95" s="44"/>
      <c r="H95" s="12"/>
    </row>
    <row r="96" spans="1:9" hidden="1" x14ac:dyDescent="0.25">
      <c r="A96" s="12"/>
      <c r="B96" s="53" t="s">
        <v>149</v>
      </c>
      <c r="C96" s="48" t="s">
        <v>200</v>
      </c>
      <c r="D96" s="38"/>
      <c r="E96" s="44"/>
      <c r="H96" s="12"/>
    </row>
    <row r="97" spans="1:9" hidden="1" x14ac:dyDescent="0.25">
      <c r="A97" s="38"/>
      <c r="B97" s="48"/>
      <c r="C97" s="50"/>
      <c r="E97" s="44"/>
      <c r="H97" s="38"/>
      <c r="I97" s="38"/>
    </row>
    <row r="98" spans="1:9" hidden="1" x14ac:dyDescent="0.25">
      <c r="A98" s="37" t="s">
        <v>117</v>
      </c>
      <c r="B98" s="49" t="s">
        <v>88</v>
      </c>
      <c r="C98" s="54" t="s">
        <v>295</v>
      </c>
      <c r="D98" s="43"/>
      <c r="E98" s="44"/>
      <c r="H98" s="37"/>
      <c r="I98" s="38"/>
    </row>
    <row r="99" spans="1:9" hidden="1" x14ac:dyDescent="0.25">
      <c r="A99" s="12"/>
      <c r="B99" s="53" t="s">
        <v>51</v>
      </c>
      <c r="C99" s="48" t="s">
        <v>201</v>
      </c>
      <c r="D99" s="38"/>
      <c r="E99" s="44"/>
      <c r="H99" s="12"/>
    </row>
    <row r="100" spans="1:9" hidden="1" x14ac:dyDescent="0.25">
      <c r="A100" s="12"/>
      <c r="B100" s="53" t="s">
        <v>118</v>
      </c>
      <c r="C100" s="48" t="s">
        <v>202</v>
      </c>
      <c r="D100" s="38"/>
      <c r="E100" s="44"/>
      <c r="H100" s="12"/>
    </row>
    <row r="101" spans="1:9" hidden="1" x14ac:dyDescent="0.25">
      <c r="A101" s="12"/>
      <c r="B101" s="53" t="s">
        <v>150</v>
      </c>
      <c r="C101" s="48" t="s">
        <v>203</v>
      </c>
      <c r="D101" s="38"/>
      <c r="E101" s="44"/>
      <c r="H101" s="12"/>
    </row>
    <row r="102" spans="1:9" hidden="1" x14ac:dyDescent="0.25">
      <c r="A102" s="12"/>
      <c r="B102" s="53" t="s">
        <v>50</v>
      </c>
      <c r="C102" s="48" t="s">
        <v>204</v>
      </c>
      <c r="D102" s="38"/>
      <c r="E102" s="44"/>
      <c r="H102" s="12"/>
    </row>
    <row r="103" spans="1:9" hidden="1" x14ac:dyDescent="0.25">
      <c r="A103" s="38"/>
      <c r="B103" s="48"/>
      <c r="C103" s="48"/>
      <c r="D103" s="38"/>
      <c r="E103" s="44"/>
      <c r="H103" s="38"/>
    </row>
    <row r="104" spans="1:9" hidden="1" x14ac:dyDescent="0.25">
      <c r="A104" s="39" t="s">
        <v>105</v>
      </c>
      <c r="B104" s="49" t="s">
        <v>88</v>
      </c>
      <c r="C104" s="54" t="s">
        <v>295</v>
      </c>
      <c r="D104" s="43"/>
      <c r="E104" s="44"/>
      <c r="H104" s="39"/>
    </row>
    <row r="105" spans="1:9" hidden="1" x14ac:dyDescent="0.25">
      <c r="A105" s="12"/>
      <c r="B105" s="53" t="s">
        <v>46</v>
      </c>
      <c r="C105" s="48" t="s">
        <v>205</v>
      </c>
      <c r="D105" s="38"/>
      <c r="E105" s="44"/>
      <c r="H105" s="12"/>
    </row>
    <row r="106" spans="1:9" hidden="1" x14ac:dyDescent="0.25">
      <c r="A106" s="12"/>
      <c r="B106" s="53" t="s">
        <v>47</v>
      </c>
      <c r="C106" s="48" t="s">
        <v>206</v>
      </c>
      <c r="D106" s="38"/>
      <c r="E106" s="44"/>
      <c r="H106" s="12"/>
    </row>
    <row r="107" spans="1:9" hidden="1" x14ac:dyDescent="0.25">
      <c r="A107" s="12"/>
      <c r="B107" s="53" t="s">
        <v>49</v>
      </c>
      <c r="C107" s="48" t="s">
        <v>207</v>
      </c>
      <c r="D107" s="38"/>
      <c r="E107" s="44"/>
      <c r="H107" s="12"/>
    </row>
    <row r="108" spans="1:9" hidden="1" x14ac:dyDescent="0.25">
      <c r="A108" s="12"/>
      <c r="B108" s="53" t="s">
        <v>48</v>
      </c>
      <c r="C108" s="48" t="s">
        <v>208</v>
      </c>
      <c r="D108" s="38"/>
      <c r="E108" s="44"/>
      <c r="H108" s="12"/>
    </row>
    <row r="109" spans="1:9" hidden="1" x14ac:dyDescent="0.25">
      <c r="A109" s="12"/>
      <c r="B109" s="53" t="s">
        <v>119</v>
      </c>
      <c r="C109" s="48" t="s">
        <v>209</v>
      </c>
      <c r="D109" s="38"/>
      <c r="E109" s="44"/>
      <c r="H109" s="12"/>
    </row>
    <row r="110" spans="1:9" hidden="1" x14ac:dyDescent="0.25">
      <c r="A110" s="38"/>
      <c r="B110" s="48"/>
      <c r="C110" s="48"/>
      <c r="D110" s="38"/>
      <c r="E110" s="44"/>
      <c r="H110" s="38"/>
    </row>
    <row r="111" spans="1:9" hidden="1" x14ac:dyDescent="0.25">
      <c r="A111" s="39" t="s">
        <v>120</v>
      </c>
      <c r="B111" s="49" t="s">
        <v>88</v>
      </c>
      <c r="C111" s="54" t="s">
        <v>295</v>
      </c>
      <c r="D111" s="43"/>
      <c r="E111" s="44"/>
      <c r="H111" s="39"/>
    </row>
    <row r="112" spans="1:9" hidden="1" x14ac:dyDescent="0.25">
      <c r="A112" s="12"/>
      <c r="B112" s="53" t="s">
        <v>151</v>
      </c>
      <c r="C112" s="48" t="s">
        <v>210</v>
      </c>
      <c r="D112" s="38"/>
      <c r="E112" s="44"/>
      <c r="H112" s="12"/>
    </row>
    <row r="113" spans="1:8" hidden="1" x14ac:dyDescent="0.25">
      <c r="A113" s="12"/>
      <c r="B113" s="53" t="s">
        <v>121</v>
      </c>
      <c r="C113" s="48" t="s">
        <v>211</v>
      </c>
      <c r="D113" s="38"/>
      <c r="E113" s="44"/>
      <c r="H113" s="12"/>
    </row>
    <row r="114" spans="1:8" hidden="1" x14ac:dyDescent="0.25">
      <c r="A114" s="12"/>
      <c r="B114" s="53" t="s">
        <v>122</v>
      </c>
      <c r="C114" s="48" t="s">
        <v>212</v>
      </c>
      <c r="D114" s="38"/>
      <c r="E114" s="44"/>
      <c r="H114" s="12"/>
    </row>
    <row r="115" spans="1:8" hidden="1" x14ac:dyDescent="0.25">
      <c r="A115" s="12"/>
      <c r="B115" s="53" t="s">
        <v>123</v>
      </c>
      <c r="C115" s="48" t="s">
        <v>213</v>
      </c>
      <c r="D115" s="38"/>
      <c r="E115" s="44"/>
      <c r="H115" s="12"/>
    </row>
    <row r="116" spans="1:8" hidden="1" x14ac:dyDescent="0.25">
      <c r="A116" s="12"/>
      <c r="B116" s="53"/>
      <c r="C116" s="48"/>
      <c r="D116" s="38"/>
      <c r="E116" s="44"/>
      <c r="H116" s="12"/>
    </row>
    <row r="117" spans="1:8" hidden="1" x14ac:dyDescent="0.25">
      <c r="A117" s="39" t="s">
        <v>52</v>
      </c>
      <c r="B117" s="49" t="s">
        <v>88</v>
      </c>
      <c r="C117" s="54" t="s">
        <v>295</v>
      </c>
      <c r="D117" s="43"/>
      <c r="E117" s="44"/>
      <c r="H117" s="39"/>
    </row>
    <row r="118" spans="1:8" hidden="1" x14ac:dyDescent="0.25">
      <c r="A118" s="12"/>
      <c r="B118" s="53" t="s">
        <v>152</v>
      </c>
      <c r="C118" s="48" t="s">
        <v>214</v>
      </c>
      <c r="D118" s="38"/>
      <c r="E118" s="44"/>
      <c r="H118" s="12"/>
    </row>
    <row r="119" spans="1:8" hidden="1" x14ac:dyDescent="0.25">
      <c r="A119" s="12"/>
      <c r="B119" s="53" t="s">
        <v>124</v>
      </c>
      <c r="C119" s="48" t="s">
        <v>215</v>
      </c>
      <c r="D119" s="38"/>
      <c r="E119" s="44"/>
      <c r="H119" s="12"/>
    </row>
    <row r="120" spans="1:8" hidden="1" x14ac:dyDescent="0.25">
      <c r="A120" s="12"/>
      <c r="B120" s="53" t="s">
        <v>56</v>
      </c>
      <c r="C120" s="48" t="s">
        <v>216</v>
      </c>
      <c r="D120" s="38"/>
      <c r="E120" s="44"/>
      <c r="H120" s="12"/>
    </row>
    <row r="121" spans="1:8" hidden="1" x14ac:dyDescent="0.25">
      <c r="A121" s="12"/>
      <c r="B121" s="53" t="s">
        <v>55</v>
      </c>
      <c r="C121" s="48" t="s">
        <v>217</v>
      </c>
      <c r="D121" s="38"/>
      <c r="E121" s="44"/>
      <c r="H121" s="12"/>
    </row>
    <row r="122" spans="1:8" hidden="1" x14ac:dyDescent="0.25">
      <c r="A122" s="12"/>
      <c r="B122" s="53" t="s">
        <v>153</v>
      </c>
      <c r="C122" s="48" t="s">
        <v>218</v>
      </c>
      <c r="D122" s="38"/>
      <c r="E122" s="44"/>
      <c r="H122" s="12"/>
    </row>
    <row r="123" spans="1:8" hidden="1" x14ac:dyDescent="0.25">
      <c r="A123" s="12"/>
      <c r="B123" s="53" t="s">
        <v>53</v>
      </c>
      <c r="C123" s="48" t="s">
        <v>219</v>
      </c>
      <c r="D123" s="38"/>
      <c r="E123" s="44"/>
      <c r="H123" s="12"/>
    </row>
    <row r="124" spans="1:8" hidden="1" x14ac:dyDescent="0.25">
      <c r="A124" s="12"/>
      <c r="B124" s="53" t="s">
        <v>125</v>
      </c>
      <c r="C124" s="48" t="s">
        <v>220</v>
      </c>
      <c r="D124" s="38"/>
      <c r="E124" s="44"/>
      <c r="H124" s="12"/>
    </row>
    <row r="125" spans="1:8" hidden="1" x14ac:dyDescent="0.25">
      <c r="A125" s="12"/>
      <c r="B125" s="53" t="s">
        <v>54</v>
      </c>
      <c r="C125" s="48" t="s">
        <v>221</v>
      </c>
      <c r="D125" s="38"/>
      <c r="E125" s="44"/>
      <c r="H125" s="12"/>
    </row>
    <row r="126" spans="1:8" hidden="1" x14ac:dyDescent="0.25">
      <c r="A126" s="38"/>
      <c r="B126" s="48"/>
      <c r="C126" s="48"/>
      <c r="D126" s="38"/>
      <c r="E126" s="44"/>
      <c r="H126" s="38"/>
    </row>
    <row r="127" spans="1:8" hidden="1" x14ac:dyDescent="0.25">
      <c r="A127" s="39" t="s">
        <v>57</v>
      </c>
      <c r="B127" s="49" t="s">
        <v>88</v>
      </c>
      <c r="C127" s="54" t="s">
        <v>295</v>
      </c>
      <c r="D127" s="43"/>
      <c r="E127" s="44"/>
      <c r="H127" s="39"/>
    </row>
    <row r="128" spans="1:8" hidden="1" x14ac:dyDescent="0.25">
      <c r="A128" s="12"/>
      <c r="B128" s="53" t="s">
        <v>59</v>
      </c>
      <c r="C128" s="48" t="s">
        <v>222</v>
      </c>
      <c r="D128" s="38"/>
      <c r="E128" s="44"/>
      <c r="H128" s="12"/>
    </row>
    <row r="129" spans="1:8" hidden="1" x14ac:dyDescent="0.25">
      <c r="A129" s="12"/>
      <c r="B129" s="53" t="s">
        <v>58</v>
      </c>
      <c r="C129" s="48" t="s">
        <v>223</v>
      </c>
      <c r="D129" s="38"/>
      <c r="E129" s="44"/>
      <c r="H129" s="12"/>
    </row>
    <row r="130" spans="1:8" hidden="1" x14ac:dyDescent="0.25">
      <c r="A130" s="12"/>
      <c r="B130" s="53" t="s">
        <v>154</v>
      </c>
      <c r="C130" s="48" t="s">
        <v>224</v>
      </c>
      <c r="D130" s="38"/>
      <c r="E130" s="44"/>
      <c r="H130" s="12"/>
    </row>
    <row r="131" spans="1:8" hidden="1" x14ac:dyDescent="0.25">
      <c r="A131" s="12"/>
      <c r="B131" s="53" t="s">
        <v>155</v>
      </c>
      <c r="C131" s="48" t="s">
        <v>225</v>
      </c>
      <c r="D131" s="38"/>
      <c r="E131" s="44"/>
      <c r="H131" s="12"/>
    </row>
    <row r="132" spans="1:8" hidden="1" x14ac:dyDescent="0.25">
      <c r="A132" s="12"/>
      <c r="B132" s="53" t="s">
        <v>60</v>
      </c>
      <c r="C132" s="48" t="s">
        <v>226</v>
      </c>
      <c r="D132" s="38"/>
      <c r="E132" s="44"/>
      <c r="H132" s="12"/>
    </row>
    <row r="133" spans="1:8" hidden="1" x14ac:dyDescent="0.25">
      <c r="A133" s="38"/>
      <c r="B133" s="48"/>
      <c r="C133" s="48"/>
      <c r="D133" s="38"/>
      <c r="E133" s="44"/>
      <c r="H133" s="38"/>
    </row>
    <row r="134" spans="1:8" hidden="1" x14ac:dyDescent="0.25">
      <c r="A134" s="37" t="s">
        <v>126</v>
      </c>
      <c r="B134" s="49" t="s">
        <v>88</v>
      </c>
      <c r="C134" s="54" t="s">
        <v>295</v>
      </c>
      <c r="D134" s="43"/>
      <c r="E134" s="44"/>
      <c r="H134" s="37"/>
    </row>
    <row r="135" spans="1:8" hidden="1" x14ac:dyDescent="0.25">
      <c r="A135" s="12"/>
      <c r="B135" s="53" t="s">
        <v>156</v>
      </c>
      <c r="C135" s="48" t="s">
        <v>227</v>
      </c>
      <c r="D135" s="38"/>
      <c r="E135" s="44"/>
      <c r="H135" s="12"/>
    </row>
    <row r="136" spans="1:8" hidden="1" x14ac:dyDescent="0.25">
      <c r="A136" s="12"/>
      <c r="B136" s="53" t="s">
        <v>157</v>
      </c>
      <c r="C136" s="48" t="s">
        <v>228</v>
      </c>
      <c r="D136" s="38"/>
      <c r="E136" s="44"/>
      <c r="H136" s="12"/>
    </row>
    <row r="137" spans="1:8" hidden="1" x14ac:dyDescent="0.25">
      <c r="A137" s="12"/>
      <c r="B137" s="53" t="s">
        <v>158</v>
      </c>
      <c r="C137" s="48" t="s">
        <v>229</v>
      </c>
      <c r="D137" s="38"/>
      <c r="E137" s="44"/>
      <c r="H137" s="12"/>
    </row>
    <row r="138" spans="1:8" hidden="1" x14ac:dyDescent="0.25">
      <c r="A138" s="12"/>
      <c r="B138" s="53" t="s">
        <v>42</v>
      </c>
      <c r="C138" s="48" t="s">
        <v>230</v>
      </c>
      <c r="D138" s="38"/>
      <c r="E138" s="44"/>
      <c r="H138" s="12"/>
    </row>
    <row r="139" spans="1:8" hidden="1" x14ac:dyDescent="0.25">
      <c r="A139" s="12"/>
      <c r="B139" s="53" t="s">
        <v>127</v>
      </c>
      <c r="C139" s="48" t="s">
        <v>231</v>
      </c>
      <c r="D139" s="38"/>
      <c r="E139" s="44"/>
      <c r="H139" s="12"/>
    </row>
    <row r="140" spans="1:8" hidden="1" x14ac:dyDescent="0.25">
      <c r="A140" s="12"/>
      <c r="B140" s="53" t="s">
        <v>128</v>
      </c>
      <c r="C140" s="48" t="s">
        <v>232</v>
      </c>
      <c r="D140" s="38"/>
      <c r="E140" s="44"/>
      <c r="H140" s="12"/>
    </row>
    <row r="141" spans="1:8" hidden="1" x14ac:dyDescent="0.25">
      <c r="A141" s="12"/>
      <c r="B141" s="53" t="s">
        <v>41</v>
      </c>
      <c r="C141" s="48" t="s">
        <v>233</v>
      </c>
      <c r="D141" s="38"/>
      <c r="E141" s="44"/>
      <c r="H141" s="12"/>
    </row>
    <row r="142" spans="1:8" hidden="1" x14ac:dyDescent="0.25">
      <c r="A142" s="12"/>
      <c r="B142" s="53" t="s">
        <v>129</v>
      </c>
      <c r="C142" s="48" t="s">
        <v>234</v>
      </c>
      <c r="D142" s="38"/>
      <c r="E142" s="44"/>
      <c r="H142" s="12"/>
    </row>
    <row r="143" spans="1:8" hidden="1" x14ac:dyDescent="0.25">
      <c r="A143" s="38"/>
      <c r="B143" s="48"/>
      <c r="C143" s="48"/>
      <c r="D143" s="38"/>
      <c r="E143" s="44"/>
      <c r="H143" s="38"/>
    </row>
    <row r="144" spans="1:8" hidden="1" x14ac:dyDescent="0.25">
      <c r="A144" s="39" t="s">
        <v>130</v>
      </c>
      <c r="B144" s="49" t="s">
        <v>88</v>
      </c>
      <c r="C144" s="54" t="s">
        <v>295</v>
      </c>
      <c r="D144" s="43"/>
      <c r="E144" s="44"/>
      <c r="H144" s="39"/>
    </row>
    <row r="145" spans="1:8" hidden="1" x14ac:dyDescent="0.25">
      <c r="A145" s="12"/>
      <c r="B145" s="53" t="s">
        <v>131</v>
      </c>
      <c r="C145" s="48" t="s">
        <v>235</v>
      </c>
      <c r="D145" s="38"/>
      <c r="E145" s="44"/>
      <c r="H145" s="12"/>
    </row>
    <row r="146" spans="1:8" hidden="1" x14ac:dyDescent="0.25">
      <c r="A146" s="12"/>
      <c r="B146" s="53" t="s">
        <v>159</v>
      </c>
      <c r="C146" s="48" t="s">
        <v>236</v>
      </c>
      <c r="D146" s="38"/>
      <c r="E146" s="44"/>
      <c r="H146" s="12"/>
    </row>
    <row r="147" spans="1:8" hidden="1" x14ac:dyDescent="0.25">
      <c r="A147" s="12"/>
      <c r="B147" s="53" t="s">
        <v>160</v>
      </c>
      <c r="C147" s="48" t="s">
        <v>237</v>
      </c>
      <c r="D147" s="38"/>
      <c r="E147" s="44"/>
      <c r="H147" s="12"/>
    </row>
    <row r="148" spans="1:8" hidden="1" x14ac:dyDescent="0.25">
      <c r="A148" s="12"/>
      <c r="B148" s="53" t="s">
        <v>161</v>
      </c>
      <c r="C148" s="48" t="s">
        <v>238</v>
      </c>
      <c r="D148" s="38"/>
      <c r="E148" s="44"/>
      <c r="H148" s="12"/>
    </row>
    <row r="149" spans="1:8" hidden="1" x14ac:dyDescent="0.25">
      <c r="A149" s="12"/>
      <c r="B149" s="53" t="s">
        <v>162</v>
      </c>
      <c r="C149" s="48" t="s">
        <v>239</v>
      </c>
      <c r="D149" s="38"/>
      <c r="E149" s="44"/>
      <c r="H149" s="12"/>
    </row>
    <row r="150" spans="1:8" hidden="1" x14ac:dyDescent="0.25">
      <c r="A150" s="12"/>
      <c r="B150" s="53" t="s">
        <v>163</v>
      </c>
      <c r="C150" s="53" t="s">
        <v>240</v>
      </c>
      <c r="D150" s="40"/>
      <c r="E150" s="44"/>
      <c r="H150" s="12"/>
    </row>
    <row r="151" spans="1:8" hidden="1" x14ac:dyDescent="0.25">
      <c r="A151" s="12"/>
      <c r="B151" s="53" t="s">
        <v>164</v>
      </c>
      <c r="C151" s="53" t="s">
        <v>241</v>
      </c>
      <c r="D151" s="40"/>
      <c r="E151" s="44"/>
      <c r="H151" s="12"/>
    </row>
    <row r="152" spans="1:8" hidden="1" x14ac:dyDescent="0.25">
      <c r="A152" s="12"/>
      <c r="B152" s="53" t="s">
        <v>43</v>
      </c>
      <c r="C152" s="48" t="s">
        <v>242</v>
      </c>
      <c r="D152" s="38"/>
      <c r="E152" s="44"/>
      <c r="H152" s="12"/>
    </row>
    <row r="153" spans="1:8" hidden="1" x14ac:dyDescent="0.25">
      <c r="A153" s="12"/>
      <c r="B153" s="53" t="s">
        <v>165</v>
      </c>
      <c r="C153" s="53" t="s">
        <v>243</v>
      </c>
      <c r="D153" s="40"/>
      <c r="E153" s="44"/>
      <c r="H153" s="12"/>
    </row>
    <row r="154" spans="1:8" hidden="1" x14ac:dyDescent="0.25">
      <c r="A154" s="12"/>
      <c r="B154" s="53" t="s">
        <v>166</v>
      </c>
      <c r="C154" s="53" t="s">
        <v>244</v>
      </c>
      <c r="D154" s="40"/>
      <c r="E154" s="44"/>
      <c r="H154" s="12"/>
    </row>
    <row r="155" spans="1:8" hidden="1" x14ac:dyDescent="0.25">
      <c r="A155" s="12"/>
      <c r="B155" s="53" t="s">
        <v>44</v>
      </c>
      <c r="C155" s="48" t="s">
        <v>245</v>
      </c>
      <c r="D155" s="38"/>
      <c r="E155" s="44"/>
      <c r="H155" s="12"/>
    </row>
    <row r="156" spans="1:8" hidden="1" x14ac:dyDescent="0.25">
      <c r="A156" s="12"/>
      <c r="B156" s="53" t="s">
        <v>45</v>
      </c>
      <c r="C156" s="53" t="s">
        <v>246</v>
      </c>
      <c r="D156" s="40"/>
      <c r="E156" s="44"/>
      <c r="H156" s="12"/>
    </row>
    <row r="157" spans="1:8" hidden="1" x14ac:dyDescent="0.25">
      <c r="A157" s="38"/>
      <c r="B157" s="48"/>
      <c r="C157" s="48"/>
      <c r="D157" s="38"/>
      <c r="E157" s="44"/>
      <c r="H157" s="38"/>
    </row>
    <row r="158" spans="1:8" hidden="1" x14ac:dyDescent="0.25">
      <c r="A158" s="37" t="s">
        <v>20</v>
      </c>
      <c r="B158" s="49" t="s">
        <v>88</v>
      </c>
      <c r="C158" s="54" t="s">
        <v>295</v>
      </c>
      <c r="D158" s="43"/>
      <c r="E158" s="44"/>
      <c r="H158" s="37"/>
    </row>
    <row r="159" spans="1:8" hidden="1" x14ac:dyDescent="0.25">
      <c r="A159" s="12"/>
      <c r="B159" s="53" t="s">
        <v>64</v>
      </c>
      <c r="C159" s="48" t="s">
        <v>247</v>
      </c>
      <c r="D159" s="38"/>
      <c r="E159" s="44"/>
      <c r="H159" s="12"/>
    </row>
    <row r="160" spans="1:8" hidden="1" x14ac:dyDescent="0.25">
      <c r="A160" s="12"/>
      <c r="B160" s="53" t="s">
        <v>167</v>
      </c>
      <c r="C160" s="48" t="s">
        <v>248</v>
      </c>
      <c r="D160" s="38"/>
      <c r="E160" s="44"/>
      <c r="H160" s="12"/>
    </row>
    <row r="161" spans="1:8" hidden="1" x14ac:dyDescent="0.25">
      <c r="A161" s="12"/>
      <c r="B161" s="53" t="s">
        <v>168</v>
      </c>
      <c r="C161" s="48" t="s">
        <v>249</v>
      </c>
      <c r="D161" s="38"/>
      <c r="E161" s="44"/>
      <c r="H161" s="12"/>
    </row>
    <row r="162" spans="1:8" hidden="1" x14ac:dyDescent="0.25">
      <c r="A162" s="12"/>
      <c r="B162" s="53" t="s">
        <v>65</v>
      </c>
      <c r="C162" s="48" t="s">
        <v>250</v>
      </c>
      <c r="D162" s="38"/>
      <c r="E162" s="44"/>
      <c r="H162" s="12"/>
    </row>
    <row r="163" spans="1:8" hidden="1" x14ac:dyDescent="0.25">
      <c r="A163" s="12"/>
      <c r="B163" s="53" t="s">
        <v>132</v>
      </c>
      <c r="C163" s="48" t="s">
        <v>251</v>
      </c>
      <c r="D163" s="38"/>
      <c r="E163" s="44"/>
      <c r="H163" s="12"/>
    </row>
    <row r="164" spans="1:8" hidden="1" x14ac:dyDescent="0.25">
      <c r="A164" s="12"/>
      <c r="B164" s="53" t="s">
        <v>68</v>
      </c>
      <c r="C164" s="48" t="s">
        <v>252</v>
      </c>
      <c r="D164" s="38"/>
      <c r="E164" s="44"/>
      <c r="H164" s="12"/>
    </row>
    <row r="165" spans="1:8" hidden="1" x14ac:dyDescent="0.25">
      <c r="A165" s="12"/>
      <c r="B165" s="53" t="s">
        <v>169</v>
      </c>
      <c r="C165" s="48" t="s">
        <v>253</v>
      </c>
      <c r="D165" s="38"/>
      <c r="E165" s="44"/>
      <c r="H165" s="12"/>
    </row>
    <row r="166" spans="1:8" hidden="1" x14ac:dyDescent="0.25">
      <c r="A166" s="12"/>
      <c r="B166" s="53"/>
      <c r="C166" s="48"/>
      <c r="D166" s="38"/>
      <c r="E166" s="44"/>
      <c r="H166" s="12"/>
    </row>
    <row r="167" spans="1:8" hidden="1" x14ac:dyDescent="0.25">
      <c r="A167" s="39" t="s">
        <v>108</v>
      </c>
      <c r="B167" s="49" t="s">
        <v>88</v>
      </c>
      <c r="C167" s="54" t="s">
        <v>295</v>
      </c>
      <c r="D167" s="43"/>
      <c r="E167" s="44"/>
      <c r="H167" s="39"/>
    </row>
    <row r="168" spans="1:8" hidden="1" x14ac:dyDescent="0.25">
      <c r="A168" s="12"/>
      <c r="B168" s="53" t="s">
        <v>66</v>
      </c>
      <c r="C168" s="48" t="s">
        <v>254</v>
      </c>
      <c r="D168" s="38"/>
      <c r="E168" s="44"/>
      <c r="H168" s="12"/>
    </row>
    <row r="169" spans="1:8" hidden="1" x14ac:dyDescent="0.25">
      <c r="A169" s="12"/>
      <c r="B169" s="53" t="s">
        <v>67</v>
      </c>
      <c r="C169" s="48" t="s">
        <v>255</v>
      </c>
      <c r="D169" s="38"/>
      <c r="E169" s="44"/>
      <c r="H169" s="12"/>
    </row>
    <row r="170" spans="1:8" hidden="1" x14ac:dyDescent="0.25">
      <c r="A170" s="12"/>
      <c r="B170" s="53" t="s">
        <v>133</v>
      </c>
      <c r="C170" s="48" t="s">
        <v>256</v>
      </c>
      <c r="D170" s="38"/>
      <c r="E170" s="44"/>
      <c r="H170" s="12"/>
    </row>
    <row r="171" spans="1:8" hidden="1" x14ac:dyDescent="0.25">
      <c r="A171" s="12"/>
      <c r="B171" s="53" t="s">
        <v>170</v>
      </c>
      <c r="C171" s="48" t="s">
        <v>257</v>
      </c>
      <c r="D171" s="38"/>
      <c r="E171" s="44"/>
      <c r="H171" s="12"/>
    </row>
    <row r="172" spans="1:8" hidden="1" x14ac:dyDescent="0.25">
      <c r="A172" s="12"/>
      <c r="B172" s="53" t="s">
        <v>70</v>
      </c>
      <c r="C172" s="48" t="s">
        <v>258</v>
      </c>
      <c r="D172" s="38"/>
      <c r="E172" s="44"/>
      <c r="H172" s="12"/>
    </row>
    <row r="173" spans="1:8" hidden="1" x14ac:dyDescent="0.25">
      <c r="A173" s="12"/>
      <c r="B173" s="53" t="s">
        <v>69</v>
      </c>
      <c r="C173" s="48" t="s">
        <v>259</v>
      </c>
      <c r="D173" s="38"/>
      <c r="E173" s="44"/>
      <c r="H173" s="12"/>
    </row>
    <row r="174" spans="1:8" hidden="1" x14ac:dyDescent="0.25">
      <c r="A174" s="12"/>
      <c r="B174" s="53" t="s">
        <v>134</v>
      </c>
      <c r="C174" s="48" t="s">
        <v>260</v>
      </c>
      <c r="D174" s="38"/>
      <c r="E174" s="44"/>
      <c r="H174" s="12"/>
    </row>
    <row r="175" spans="1:8" hidden="1" x14ac:dyDescent="0.25">
      <c r="A175" s="12"/>
      <c r="B175" s="53" t="s">
        <v>171</v>
      </c>
      <c r="C175" s="48" t="s">
        <v>261</v>
      </c>
      <c r="D175" s="38"/>
      <c r="E175" s="44"/>
      <c r="H175" s="12"/>
    </row>
    <row r="176" spans="1:8" hidden="1" x14ac:dyDescent="0.25">
      <c r="A176" s="38"/>
      <c r="B176" s="48"/>
      <c r="C176" s="48"/>
      <c r="D176" s="38"/>
      <c r="E176" s="44"/>
      <c r="H176" s="38"/>
    </row>
    <row r="177" spans="1:8" hidden="1" x14ac:dyDescent="0.25">
      <c r="A177" s="39" t="s">
        <v>107</v>
      </c>
      <c r="B177" s="49" t="s">
        <v>88</v>
      </c>
      <c r="C177" s="54" t="s">
        <v>295</v>
      </c>
      <c r="D177" s="43"/>
      <c r="E177" s="44"/>
      <c r="H177" s="39"/>
    </row>
    <row r="178" spans="1:8" hidden="1" x14ac:dyDescent="0.25">
      <c r="A178" s="12"/>
      <c r="B178" s="53" t="s">
        <v>135</v>
      </c>
      <c r="C178" s="48" t="s">
        <v>262</v>
      </c>
      <c r="D178" s="38"/>
      <c r="E178" s="44"/>
      <c r="H178" s="12"/>
    </row>
    <row r="179" spans="1:8" hidden="1" x14ac:dyDescent="0.25">
      <c r="A179" s="12"/>
      <c r="B179" s="53" t="s">
        <v>71</v>
      </c>
      <c r="C179" s="48" t="s">
        <v>263</v>
      </c>
      <c r="D179" s="38"/>
      <c r="E179" s="44"/>
      <c r="H179" s="12"/>
    </row>
    <row r="180" spans="1:8" hidden="1" x14ac:dyDescent="0.25">
      <c r="A180" s="12"/>
      <c r="B180" s="53" t="s">
        <v>72</v>
      </c>
      <c r="C180" s="48" t="s">
        <v>264</v>
      </c>
      <c r="D180" s="38"/>
      <c r="E180" s="44"/>
      <c r="H180" s="12"/>
    </row>
    <row r="181" spans="1:8" hidden="1" x14ac:dyDescent="0.25">
      <c r="A181" s="12"/>
      <c r="B181" s="53" t="s">
        <v>136</v>
      </c>
      <c r="C181" s="48" t="s">
        <v>265</v>
      </c>
      <c r="D181" s="38"/>
      <c r="E181" s="44"/>
      <c r="H181" s="12"/>
    </row>
    <row r="182" spans="1:8" hidden="1" x14ac:dyDescent="0.25">
      <c r="A182" s="12"/>
      <c r="B182" s="48"/>
      <c r="C182" s="48"/>
      <c r="D182" s="38"/>
      <c r="E182" s="44"/>
      <c r="H182" s="12"/>
    </row>
    <row r="183" spans="1:8" hidden="1" x14ac:dyDescent="0.25">
      <c r="A183" s="39" t="s">
        <v>106</v>
      </c>
      <c r="B183" s="49" t="s">
        <v>88</v>
      </c>
      <c r="C183" s="54" t="s">
        <v>295</v>
      </c>
      <c r="D183" s="43"/>
      <c r="E183" s="44"/>
      <c r="H183" s="39"/>
    </row>
    <row r="184" spans="1:8" hidden="1" x14ac:dyDescent="0.25">
      <c r="A184" s="12"/>
      <c r="B184" s="53" t="s">
        <v>172</v>
      </c>
      <c r="C184" s="48" t="s">
        <v>266</v>
      </c>
      <c r="D184" s="38"/>
      <c r="E184" s="44"/>
      <c r="H184" s="12"/>
    </row>
    <row r="185" spans="1:8" hidden="1" x14ac:dyDescent="0.25">
      <c r="A185" s="12"/>
      <c r="B185" s="53" t="s">
        <v>73</v>
      </c>
      <c r="C185" s="48" t="s">
        <v>267</v>
      </c>
      <c r="D185" s="38"/>
      <c r="E185" s="44"/>
      <c r="H185" s="12"/>
    </row>
    <row r="186" spans="1:8" hidden="1" x14ac:dyDescent="0.25">
      <c r="A186" s="12"/>
      <c r="B186" s="53" t="s">
        <v>137</v>
      </c>
      <c r="C186" s="48" t="s">
        <v>268</v>
      </c>
      <c r="D186" s="38"/>
      <c r="E186" s="44"/>
      <c r="H186" s="12"/>
    </row>
    <row r="187" spans="1:8" hidden="1" x14ac:dyDescent="0.25">
      <c r="A187" s="38"/>
      <c r="B187" s="48"/>
      <c r="C187" s="48"/>
      <c r="D187" s="38"/>
      <c r="E187" s="44"/>
      <c r="H187" s="38"/>
    </row>
    <row r="188" spans="1:8" hidden="1" x14ac:dyDescent="0.25">
      <c r="A188" s="39" t="s">
        <v>37</v>
      </c>
      <c r="B188" s="49" t="s">
        <v>88</v>
      </c>
      <c r="C188" s="54" t="s">
        <v>295</v>
      </c>
      <c r="D188" s="43"/>
      <c r="E188" s="44"/>
      <c r="H188" s="39"/>
    </row>
    <row r="189" spans="1:8" hidden="1" x14ac:dyDescent="0.25">
      <c r="A189" s="12"/>
      <c r="B189" s="53" t="s">
        <v>138</v>
      </c>
      <c r="C189" s="48" t="s">
        <v>269</v>
      </c>
      <c r="D189" s="38"/>
      <c r="E189" s="44"/>
      <c r="H189" s="12"/>
    </row>
    <row r="190" spans="1:8" hidden="1" x14ac:dyDescent="0.25">
      <c r="A190" s="12"/>
      <c r="B190" s="53" t="s">
        <v>38</v>
      </c>
      <c r="C190" s="48" t="s">
        <v>270</v>
      </c>
      <c r="D190" s="38"/>
      <c r="E190" s="44"/>
      <c r="H190" s="12"/>
    </row>
    <row r="191" spans="1:8" hidden="1" x14ac:dyDescent="0.25">
      <c r="A191" s="12"/>
      <c r="B191" s="53" t="s">
        <v>39</v>
      </c>
      <c r="C191" s="48" t="s">
        <v>271</v>
      </c>
      <c r="D191" s="38"/>
      <c r="E191" s="44"/>
      <c r="H191" s="12"/>
    </row>
    <row r="192" spans="1:8" hidden="1" x14ac:dyDescent="0.25">
      <c r="A192" s="12"/>
      <c r="B192" s="53" t="s">
        <v>139</v>
      </c>
      <c r="C192" s="48" t="s">
        <v>272</v>
      </c>
      <c r="D192" s="38"/>
      <c r="E192" s="44"/>
      <c r="H192" s="12"/>
    </row>
    <row r="193" spans="1:8" hidden="1" x14ac:dyDescent="0.25">
      <c r="A193" s="12"/>
      <c r="B193" s="53" t="s">
        <v>40</v>
      </c>
      <c r="C193" s="48" t="s">
        <v>273</v>
      </c>
      <c r="D193" s="38"/>
      <c r="E193" s="44"/>
      <c r="H193" s="12"/>
    </row>
    <row r="194" spans="1:8" hidden="1" x14ac:dyDescent="0.25">
      <c r="A194" s="12"/>
      <c r="B194" s="53" t="s">
        <v>140</v>
      </c>
      <c r="C194" s="48" t="s">
        <v>274</v>
      </c>
      <c r="D194" s="38"/>
      <c r="E194" s="44"/>
      <c r="H194" s="12"/>
    </row>
    <row r="195" spans="1:8" hidden="1" x14ac:dyDescent="0.25">
      <c r="A195" s="12"/>
      <c r="B195" s="53" t="s">
        <v>141</v>
      </c>
      <c r="C195" s="48" t="s">
        <v>275</v>
      </c>
      <c r="D195" s="38"/>
      <c r="E195" s="44"/>
      <c r="H195" s="12"/>
    </row>
    <row r="196" spans="1:8" hidden="1" x14ac:dyDescent="0.25">
      <c r="A196" s="38"/>
      <c r="B196" s="48"/>
      <c r="C196" s="48"/>
      <c r="D196" s="38"/>
      <c r="E196" s="44"/>
      <c r="H196" s="38"/>
    </row>
    <row r="197" spans="1:8" hidden="1" x14ac:dyDescent="0.25">
      <c r="A197" s="39" t="s">
        <v>22</v>
      </c>
      <c r="B197" s="49" t="s">
        <v>88</v>
      </c>
      <c r="C197" s="54" t="s">
        <v>295</v>
      </c>
      <c r="D197" s="43"/>
      <c r="E197" s="44"/>
      <c r="H197" s="39"/>
    </row>
    <row r="198" spans="1:8" hidden="1" x14ac:dyDescent="0.25">
      <c r="A198" s="12"/>
      <c r="B198" s="53" t="s">
        <v>23</v>
      </c>
      <c r="C198" s="48" t="s">
        <v>276</v>
      </c>
      <c r="D198" s="38"/>
      <c r="E198" s="44"/>
      <c r="H198" s="12"/>
    </row>
    <row r="199" spans="1:8" hidden="1" x14ac:dyDescent="0.25">
      <c r="A199" s="12"/>
      <c r="B199" s="53" t="s">
        <v>25</v>
      </c>
      <c r="C199" s="48" t="s">
        <v>277</v>
      </c>
      <c r="D199" s="38"/>
      <c r="E199" s="44"/>
      <c r="H199" s="12"/>
    </row>
    <row r="200" spans="1:8" hidden="1" x14ac:dyDescent="0.25">
      <c r="A200" s="12"/>
      <c r="B200" s="53" t="s">
        <v>142</v>
      </c>
      <c r="C200" s="48" t="s">
        <v>278</v>
      </c>
      <c r="D200" s="38"/>
      <c r="E200" s="44"/>
      <c r="H200" s="12"/>
    </row>
    <row r="201" spans="1:8" hidden="1" x14ac:dyDescent="0.25">
      <c r="A201" s="12"/>
      <c r="B201" s="53" t="s">
        <v>24</v>
      </c>
      <c r="C201" s="48" t="s">
        <v>279</v>
      </c>
      <c r="D201" s="38"/>
      <c r="E201" s="44"/>
      <c r="H201" s="12"/>
    </row>
    <row r="202" spans="1:8" hidden="1" x14ac:dyDescent="0.25">
      <c r="A202" s="12"/>
      <c r="B202" s="55" t="s">
        <v>173</v>
      </c>
      <c r="C202" s="51" t="s">
        <v>280</v>
      </c>
      <c r="D202" s="12"/>
      <c r="E202" s="44"/>
      <c r="H202" s="12"/>
    </row>
    <row r="203" spans="1:8" hidden="1" x14ac:dyDescent="0.25">
      <c r="A203" s="12"/>
      <c r="B203" s="53" t="s">
        <v>26</v>
      </c>
      <c r="C203" s="48" t="s">
        <v>281</v>
      </c>
      <c r="D203" s="38"/>
      <c r="E203" s="44"/>
      <c r="H203" s="12"/>
    </row>
    <row r="204" spans="1:8" hidden="1" x14ac:dyDescent="0.25">
      <c r="A204" s="12"/>
      <c r="B204" s="53" t="s">
        <v>27</v>
      </c>
      <c r="C204" s="48" t="s">
        <v>282</v>
      </c>
      <c r="D204" s="38"/>
      <c r="E204" s="44"/>
      <c r="H204" s="12"/>
    </row>
    <row r="205" spans="1:8" hidden="1" x14ac:dyDescent="0.25">
      <c r="A205" s="38"/>
      <c r="B205" s="48"/>
      <c r="C205" s="48"/>
      <c r="D205" s="38"/>
      <c r="E205" s="44"/>
      <c r="H205" s="38"/>
    </row>
    <row r="206" spans="1:8" hidden="1" x14ac:dyDescent="0.25">
      <c r="A206" s="39" t="s">
        <v>143</v>
      </c>
      <c r="B206" s="49" t="s">
        <v>88</v>
      </c>
      <c r="C206" s="54" t="s">
        <v>295</v>
      </c>
      <c r="D206" s="43"/>
      <c r="E206" s="44"/>
      <c r="H206" s="39"/>
    </row>
    <row r="207" spans="1:8" hidden="1" x14ac:dyDescent="0.25">
      <c r="A207" s="12"/>
      <c r="B207" s="53" t="s">
        <v>29</v>
      </c>
      <c r="C207" s="53" t="s">
        <v>283</v>
      </c>
      <c r="D207" s="40"/>
      <c r="E207" s="44"/>
      <c r="H207" s="12"/>
    </row>
    <row r="208" spans="1:8" hidden="1" x14ac:dyDescent="0.25">
      <c r="A208" s="12"/>
      <c r="B208" s="53" t="s">
        <v>31</v>
      </c>
      <c r="C208" s="48" t="s">
        <v>284</v>
      </c>
      <c r="D208" s="38"/>
      <c r="E208" s="44"/>
      <c r="H208" s="12"/>
    </row>
    <row r="209" spans="1:9" hidden="1" x14ac:dyDescent="0.25">
      <c r="A209" s="12"/>
      <c r="B209" s="53" t="s">
        <v>28</v>
      </c>
      <c r="C209" s="48" t="s">
        <v>285</v>
      </c>
      <c r="D209" s="38"/>
      <c r="E209" s="44"/>
      <c r="H209" s="12"/>
    </row>
    <row r="210" spans="1:9" hidden="1" x14ac:dyDescent="0.25">
      <c r="A210" s="12"/>
      <c r="B210" s="53" t="s">
        <v>36</v>
      </c>
      <c r="C210" s="48" t="s">
        <v>286</v>
      </c>
      <c r="D210" s="38"/>
      <c r="E210" s="44"/>
      <c r="H210" s="12"/>
    </row>
    <row r="211" spans="1:9" hidden="1" x14ac:dyDescent="0.25">
      <c r="A211" s="12"/>
      <c r="B211" s="53" t="s">
        <v>30</v>
      </c>
      <c r="C211" s="48" t="s">
        <v>287</v>
      </c>
      <c r="D211" s="38"/>
      <c r="E211" s="44"/>
      <c r="H211" s="12"/>
    </row>
    <row r="212" spans="1:9" hidden="1" x14ac:dyDescent="0.25">
      <c r="A212" s="12"/>
      <c r="B212" s="55" t="s">
        <v>144</v>
      </c>
      <c r="C212" s="51" t="s">
        <v>288</v>
      </c>
      <c r="D212" s="12"/>
      <c r="E212" s="44"/>
      <c r="H212" s="12"/>
    </row>
    <row r="213" spans="1:9" hidden="1" x14ac:dyDescent="0.25">
      <c r="A213" s="12"/>
      <c r="B213" s="53"/>
      <c r="C213" s="48"/>
      <c r="D213" s="38"/>
      <c r="E213" s="44"/>
      <c r="H213" s="12"/>
    </row>
    <row r="214" spans="1:9" hidden="1" x14ac:dyDescent="0.25">
      <c r="A214" s="39" t="s">
        <v>104</v>
      </c>
      <c r="B214" s="49" t="s">
        <v>88</v>
      </c>
      <c r="C214" s="54" t="s">
        <v>295</v>
      </c>
      <c r="D214" s="43"/>
      <c r="E214" s="44"/>
      <c r="H214" s="39"/>
    </row>
    <row r="215" spans="1:9" hidden="1" x14ac:dyDescent="0.25">
      <c r="A215" s="12"/>
      <c r="B215" s="53" t="s">
        <v>32</v>
      </c>
      <c r="C215" s="48" t="s">
        <v>289</v>
      </c>
      <c r="D215" s="38"/>
      <c r="E215" s="44"/>
      <c r="H215" s="12"/>
    </row>
    <row r="216" spans="1:9" hidden="1" x14ac:dyDescent="0.25">
      <c r="A216" s="12"/>
      <c r="B216" s="53" t="s">
        <v>34</v>
      </c>
      <c r="C216" s="48" t="s">
        <v>290</v>
      </c>
      <c r="D216" s="38"/>
      <c r="E216" s="44"/>
      <c r="H216" s="12"/>
    </row>
    <row r="217" spans="1:9" hidden="1" x14ac:dyDescent="0.25">
      <c r="A217" s="12"/>
      <c r="B217" s="53" t="s">
        <v>35</v>
      </c>
      <c r="C217" s="48" t="s">
        <v>291</v>
      </c>
      <c r="D217" s="38"/>
      <c r="E217" s="44"/>
      <c r="H217" s="12"/>
    </row>
    <row r="218" spans="1:9" hidden="1" x14ac:dyDescent="0.25">
      <c r="A218" s="12"/>
      <c r="B218" s="53" t="s">
        <v>174</v>
      </c>
      <c r="C218" s="48" t="s">
        <v>292</v>
      </c>
      <c r="D218" s="38"/>
      <c r="E218" s="44"/>
      <c r="H218" s="12"/>
    </row>
    <row r="219" spans="1:9" hidden="1" x14ac:dyDescent="0.25">
      <c r="A219" s="12"/>
      <c r="B219" s="55" t="s">
        <v>145</v>
      </c>
      <c r="C219" s="51" t="s">
        <v>293</v>
      </c>
      <c r="D219" s="12"/>
      <c r="E219" s="44"/>
      <c r="H219" s="12"/>
    </row>
    <row r="220" spans="1:9" hidden="1" x14ac:dyDescent="0.25">
      <c r="A220" s="12"/>
      <c r="B220" s="53" t="s">
        <v>33</v>
      </c>
      <c r="C220" s="48" t="s">
        <v>294</v>
      </c>
      <c r="D220" s="38"/>
      <c r="E220" s="44"/>
      <c r="H220" s="12"/>
    </row>
    <row r="221" spans="1:9" hidden="1" x14ac:dyDescent="0.25">
      <c r="B221" s="50"/>
      <c r="C221" s="50"/>
      <c r="E221" s="44"/>
    </row>
    <row r="222" spans="1:9" hidden="1" x14ac:dyDescent="0.25">
      <c r="B222" s="50"/>
      <c r="C222" s="50"/>
      <c r="E222" s="44"/>
    </row>
    <row r="223" spans="1:9" hidden="1" x14ac:dyDescent="0.25">
      <c r="A223" s="39" t="s">
        <v>17</v>
      </c>
      <c r="B223" s="49" t="s">
        <v>88</v>
      </c>
      <c r="C223" s="54" t="s">
        <v>295</v>
      </c>
      <c r="D223" s="43"/>
      <c r="E223" s="44"/>
    </row>
    <row r="224" spans="1:9" hidden="1" x14ac:dyDescent="0.25">
      <c r="B224" s="53" t="s">
        <v>152</v>
      </c>
      <c r="C224" s="48" t="s">
        <v>214</v>
      </c>
      <c r="D224" s="38"/>
      <c r="E224" s="44"/>
      <c r="I224" s="40"/>
    </row>
    <row r="225" spans="1:11" hidden="1" x14ac:dyDescent="0.25">
      <c r="B225" s="53" t="s">
        <v>59</v>
      </c>
      <c r="C225" s="48" t="s">
        <v>222</v>
      </c>
      <c r="D225" s="38"/>
      <c r="E225" s="44"/>
      <c r="I225" s="40"/>
    </row>
    <row r="226" spans="1:11" hidden="1" x14ac:dyDescent="0.25">
      <c r="B226" s="53" t="s">
        <v>124</v>
      </c>
      <c r="C226" s="48" t="s">
        <v>215</v>
      </c>
      <c r="D226" s="38"/>
      <c r="E226" s="44"/>
      <c r="I226" s="40"/>
    </row>
    <row r="227" spans="1:11" hidden="1" x14ac:dyDescent="0.25">
      <c r="B227" s="53" t="s">
        <v>58</v>
      </c>
      <c r="C227" s="48" t="s">
        <v>223</v>
      </c>
      <c r="D227" s="38"/>
      <c r="E227" s="44"/>
      <c r="I227" s="40"/>
    </row>
    <row r="228" spans="1:11" hidden="1" x14ac:dyDescent="0.25">
      <c r="B228" s="53" t="s">
        <v>56</v>
      </c>
      <c r="C228" s="48" t="s">
        <v>216</v>
      </c>
      <c r="D228" s="38"/>
      <c r="E228" s="44"/>
      <c r="I228" s="40"/>
    </row>
    <row r="229" spans="1:11" hidden="1" x14ac:dyDescent="0.25">
      <c r="B229" s="53" t="s">
        <v>154</v>
      </c>
      <c r="C229" s="48" t="s">
        <v>224</v>
      </c>
      <c r="D229" s="38"/>
      <c r="E229" s="44"/>
      <c r="I229" s="40"/>
    </row>
    <row r="230" spans="1:11" hidden="1" x14ac:dyDescent="0.25">
      <c r="B230" s="53" t="s">
        <v>55</v>
      </c>
      <c r="C230" s="48" t="s">
        <v>217</v>
      </c>
      <c r="D230" s="38"/>
      <c r="E230" s="44"/>
      <c r="I230" s="40"/>
    </row>
    <row r="231" spans="1:11" hidden="1" x14ac:dyDescent="0.25">
      <c r="B231" s="53" t="s">
        <v>155</v>
      </c>
      <c r="C231" s="48" t="s">
        <v>225</v>
      </c>
      <c r="D231" s="38"/>
      <c r="E231" s="44"/>
      <c r="I231" s="40"/>
    </row>
    <row r="232" spans="1:11" hidden="1" x14ac:dyDescent="0.25">
      <c r="B232" s="53" t="s">
        <v>153</v>
      </c>
      <c r="C232" s="48" t="s">
        <v>218</v>
      </c>
      <c r="D232" s="38"/>
      <c r="E232" s="44"/>
      <c r="I232" s="38"/>
      <c r="K232" s="38"/>
    </row>
    <row r="233" spans="1:11" hidden="1" x14ac:dyDescent="0.25">
      <c r="B233" s="53" t="s">
        <v>60</v>
      </c>
      <c r="C233" s="48" t="s">
        <v>226</v>
      </c>
      <c r="D233" s="38"/>
      <c r="E233" s="44"/>
      <c r="I233" s="38"/>
      <c r="K233" s="38"/>
    </row>
    <row r="234" spans="1:11" hidden="1" x14ac:dyDescent="0.25">
      <c r="B234" s="53" t="s">
        <v>53</v>
      </c>
      <c r="C234" s="48" t="s">
        <v>219</v>
      </c>
      <c r="D234" s="38"/>
      <c r="E234" s="44"/>
      <c r="I234" s="40"/>
    </row>
    <row r="235" spans="1:11" hidden="1" x14ac:dyDescent="0.25">
      <c r="B235" s="53" t="s">
        <v>125</v>
      </c>
      <c r="C235" s="48" t="s">
        <v>220</v>
      </c>
      <c r="D235" s="38"/>
      <c r="E235" s="44"/>
      <c r="I235" s="40"/>
    </row>
    <row r="236" spans="1:11" hidden="1" x14ac:dyDescent="0.25">
      <c r="B236" s="53" t="s">
        <v>54</v>
      </c>
      <c r="C236" s="48" t="s">
        <v>221</v>
      </c>
      <c r="D236" s="38"/>
      <c r="E236" s="44"/>
      <c r="I236" s="40"/>
    </row>
    <row r="237" spans="1:11" hidden="1" x14ac:dyDescent="0.25">
      <c r="B237" s="49" t="s">
        <v>88</v>
      </c>
      <c r="C237" s="54" t="s">
        <v>295</v>
      </c>
      <c r="D237" s="43"/>
      <c r="E237" s="44"/>
      <c r="I237" s="40"/>
    </row>
    <row r="238" spans="1:11" hidden="1" x14ac:dyDescent="0.25">
      <c r="A238" s="39" t="s">
        <v>176</v>
      </c>
      <c r="B238" s="53" t="s">
        <v>29</v>
      </c>
      <c r="C238" s="53" t="s">
        <v>283</v>
      </c>
      <c r="D238" s="40"/>
      <c r="E238" s="44"/>
      <c r="I238" s="40"/>
    </row>
    <row r="239" spans="1:11" hidden="1" x14ac:dyDescent="0.25">
      <c r="B239" s="53" t="s">
        <v>32</v>
      </c>
      <c r="C239" s="48" t="s">
        <v>289</v>
      </c>
      <c r="D239" s="38"/>
      <c r="E239" s="44"/>
      <c r="I239" s="40"/>
    </row>
    <row r="240" spans="1:11" hidden="1" x14ac:dyDescent="0.25">
      <c r="B240" s="53" t="s">
        <v>31</v>
      </c>
      <c r="C240" s="48" t="s">
        <v>284</v>
      </c>
      <c r="D240" s="38"/>
      <c r="E240" s="44"/>
      <c r="I240" s="40"/>
    </row>
    <row r="241" spans="1:11" hidden="1" x14ac:dyDescent="0.25">
      <c r="B241" s="53" t="s">
        <v>34</v>
      </c>
      <c r="C241" s="48" t="s">
        <v>290</v>
      </c>
      <c r="D241" s="38"/>
      <c r="E241" s="45"/>
      <c r="I241" s="40"/>
    </row>
    <row r="242" spans="1:11" hidden="1" x14ac:dyDescent="0.25">
      <c r="B242" s="53" t="s">
        <v>28</v>
      </c>
      <c r="C242" s="48" t="s">
        <v>285</v>
      </c>
      <c r="D242" s="38"/>
      <c r="E242" s="46"/>
      <c r="I242" s="40"/>
    </row>
    <row r="243" spans="1:11" hidden="1" x14ac:dyDescent="0.25">
      <c r="B243" s="53" t="s">
        <v>35</v>
      </c>
      <c r="C243" s="48" t="s">
        <v>291</v>
      </c>
      <c r="D243" s="38"/>
      <c r="E243" s="45"/>
      <c r="I243" s="41"/>
    </row>
    <row r="244" spans="1:11" hidden="1" x14ac:dyDescent="0.25">
      <c r="B244" s="53" t="s">
        <v>36</v>
      </c>
      <c r="C244" s="48" t="s">
        <v>286</v>
      </c>
      <c r="D244" s="38"/>
      <c r="E244" s="46"/>
      <c r="I244" s="40"/>
      <c r="K244" s="38"/>
    </row>
    <row r="245" spans="1:11" hidden="1" x14ac:dyDescent="0.25">
      <c r="B245" s="53" t="s">
        <v>174</v>
      </c>
      <c r="C245" s="48" t="s">
        <v>292</v>
      </c>
      <c r="D245" s="38"/>
      <c r="E245" s="44"/>
      <c r="I245" s="38"/>
      <c r="K245" s="38"/>
    </row>
    <row r="246" spans="1:11" hidden="1" x14ac:dyDescent="0.25">
      <c r="B246" s="53" t="s">
        <v>30</v>
      </c>
      <c r="C246" s="48" t="s">
        <v>287</v>
      </c>
      <c r="D246" s="38"/>
      <c r="E246" s="46"/>
      <c r="I246" s="40"/>
    </row>
    <row r="247" spans="1:11" hidden="1" x14ac:dyDescent="0.25">
      <c r="B247" s="55" t="s">
        <v>145</v>
      </c>
      <c r="C247" s="51" t="s">
        <v>293</v>
      </c>
      <c r="D247" s="12"/>
      <c r="E247" s="47"/>
      <c r="I247" s="40"/>
    </row>
    <row r="248" spans="1:11" hidden="1" x14ac:dyDescent="0.25">
      <c r="B248" s="55" t="s">
        <v>144</v>
      </c>
      <c r="C248" s="51" t="s">
        <v>288</v>
      </c>
      <c r="D248" s="12"/>
      <c r="E248" s="46"/>
      <c r="I248" s="40"/>
    </row>
    <row r="249" spans="1:11" hidden="1" x14ac:dyDescent="0.25">
      <c r="B249" s="53" t="s">
        <v>33</v>
      </c>
      <c r="C249" s="48" t="s">
        <v>294</v>
      </c>
      <c r="D249" s="38"/>
      <c r="E249" s="47"/>
      <c r="I249" s="40"/>
    </row>
    <row r="250" spans="1:11" hidden="1" x14ac:dyDescent="0.25">
      <c r="B250" s="49" t="s">
        <v>88</v>
      </c>
      <c r="C250" s="54" t="s">
        <v>295</v>
      </c>
      <c r="D250" s="43"/>
      <c r="E250" s="46"/>
      <c r="I250" s="41"/>
    </row>
    <row r="251" spans="1:11" hidden="1" x14ac:dyDescent="0.25">
      <c r="A251" s="39" t="s">
        <v>175</v>
      </c>
      <c r="B251" s="53" t="s">
        <v>138</v>
      </c>
      <c r="C251" s="48" t="s">
        <v>269</v>
      </c>
      <c r="D251" s="38"/>
      <c r="E251" s="47"/>
      <c r="I251" s="40"/>
    </row>
    <row r="252" spans="1:11" hidden="1" x14ac:dyDescent="0.25">
      <c r="B252" s="53" t="s">
        <v>152</v>
      </c>
      <c r="C252" s="48" t="s">
        <v>214</v>
      </c>
      <c r="D252" s="38"/>
      <c r="E252" s="46"/>
      <c r="I252" s="40"/>
    </row>
    <row r="253" spans="1:11" hidden="1" x14ac:dyDescent="0.25">
      <c r="B253" s="53" t="s">
        <v>38</v>
      </c>
      <c r="C253" s="48" t="s">
        <v>270</v>
      </c>
      <c r="D253" s="38"/>
      <c r="E253" s="47"/>
      <c r="I253" s="40"/>
    </row>
    <row r="254" spans="1:11" hidden="1" x14ac:dyDescent="0.25">
      <c r="B254" s="53" t="s">
        <v>59</v>
      </c>
      <c r="C254" s="48" t="s">
        <v>222</v>
      </c>
      <c r="D254" s="38"/>
      <c r="E254" s="46"/>
      <c r="I254" s="40"/>
    </row>
    <row r="255" spans="1:11" hidden="1" x14ac:dyDescent="0.25">
      <c r="B255" s="53" t="s">
        <v>39</v>
      </c>
      <c r="C255" s="48" t="s">
        <v>271</v>
      </c>
      <c r="D255" s="38"/>
      <c r="E255" s="47"/>
      <c r="I255" s="40"/>
    </row>
    <row r="256" spans="1:11" hidden="1" x14ac:dyDescent="0.25">
      <c r="B256" s="53" t="s">
        <v>124</v>
      </c>
      <c r="C256" s="48" t="s">
        <v>215</v>
      </c>
      <c r="D256" s="38"/>
      <c r="E256" s="46"/>
      <c r="I256" s="40"/>
    </row>
    <row r="257" spans="2:9" hidden="1" x14ac:dyDescent="0.25">
      <c r="B257" s="53" t="s">
        <v>139</v>
      </c>
      <c r="C257" s="48" t="s">
        <v>272</v>
      </c>
      <c r="D257" s="38"/>
      <c r="E257" s="47"/>
      <c r="I257" s="40"/>
    </row>
    <row r="258" spans="2:9" hidden="1" x14ac:dyDescent="0.25">
      <c r="B258" s="53" t="s">
        <v>58</v>
      </c>
      <c r="C258" s="48" t="s">
        <v>223</v>
      </c>
      <c r="D258" s="38"/>
      <c r="E258" s="46"/>
    </row>
    <row r="259" spans="2:9" hidden="1" x14ac:dyDescent="0.25">
      <c r="B259" s="53" t="s">
        <v>40</v>
      </c>
      <c r="C259" s="48" t="s">
        <v>273</v>
      </c>
      <c r="D259" s="38"/>
      <c r="E259" s="47"/>
    </row>
    <row r="260" spans="2:9" hidden="1" x14ac:dyDescent="0.25">
      <c r="B260" s="53" t="s">
        <v>56</v>
      </c>
      <c r="C260" s="48" t="s">
        <v>216</v>
      </c>
      <c r="D260" s="38"/>
      <c r="E260" s="46"/>
      <c r="I260" s="40"/>
    </row>
    <row r="261" spans="2:9" hidden="1" x14ac:dyDescent="0.25">
      <c r="B261" s="53" t="s">
        <v>140</v>
      </c>
      <c r="C261" s="48" t="s">
        <v>274</v>
      </c>
      <c r="D261" s="38"/>
      <c r="E261" s="47"/>
      <c r="I261" s="40"/>
    </row>
    <row r="262" spans="2:9" hidden="1" x14ac:dyDescent="0.25">
      <c r="B262" s="53" t="s">
        <v>154</v>
      </c>
      <c r="C262" s="48" t="s">
        <v>224</v>
      </c>
      <c r="D262" s="38"/>
      <c r="E262" s="46"/>
      <c r="I262" s="40"/>
    </row>
    <row r="263" spans="2:9" hidden="1" x14ac:dyDescent="0.25">
      <c r="B263" s="53" t="s">
        <v>141</v>
      </c>
      <c r="C263" s="48" t="s">
        <v>275</v>
      </c>
      <c r="D263" s="38"/>
      <c r="E263" s="47"/>
      <c r="I263" s="40"/>
    </row>
    <row r="264" spans="2:9" hidden="1" x14ac:dyDescent="0.25">
      <c r="B264" s="53" t="s">
        <v>55</v>
      </c>
      <c r="C264" s="48" t="s">
        <v>217</v>
      </c>
      <c r="D264" s="38"/>
      <c r="E264" s="46"/>
      <c r="I264" s="40"/>
    </row>
    <row r="265" spans="2:9" hidden="1" x14ac:dyDescent="0.25">
      <c r="B265" s="53" t="s">
        <v>155</v>
      </c>
      <c r="C265" s="48" t="s">
        <v>225</v>
      </c>
      <c r="D265" s="38"/>
      <c r="E265" s="47"/>
      <c r="I265" s="40"/>
    </row>
    <row r="266" spans="2:9" hidden="1" x14ac:dyDescent="0.25">
      <c r="B266" s="53" t="s">
        <v>153</v>
      </c>
      <c r="C266" s="48" t="s">
        <v>218</v>
      </c>
      <c r="D266" s="38"/>
      <c r="E266" s="46"/>
      <c r="I266" s="40"/>
    </row>
    <row r="267" spans="2:9" hidden="1" x14ac:dyDescent="0.25">
      <c r="B267" s="53" t="s">
        <v>60</v>
      </c>
      <c r="C267" s="48" t="s">
        <v>226</v>
      </c>
      <c r="D267" s="38"/>
      <c r="E267" s="47"/>
      <c r="I267" s="40"/>
    </row>
    <row r="268" spans="2:9" hidden="1" x14ac:dyDescent="0.25">
      <c r="B268" s="53" t="s">
        <v>53</v>
      </c>
      <c r="C268" s="48" t="s">
        <v>219</v>
      </c>
      <c r="D268" s="38"/>
      <c r="E268" s="46"/>
      <c r="I268" s="40"/>
    </row>
    <row r="269" spans="2:9" hidden="1" x14ac:dyDescent="0.25">
      <c r="B269" s="53" t="s">
        <v>125</v>
      </c>
      <c r="C269" s="48" t="s">
        <v>220</v>
      </c>
      <c r="D269" s="38"/>
      <c r="E269" s="47"/>
      <c r="I269" s="40"/>
    </row>
    <row r="270" spans="2:9" hidden="1" x14ac:dyDescent="0.25">
      <c r="B270" s="53" t="s">
        <v>54</v>
      </c>
      <c r="C270" s="48" t="s">
        <v>221</v>
      </c>
      <c r="D270" s="38"/>
      <c r="E270" s="46"/>
      <c r="I270" s="40"/>
    </row>
    <row r="271" spans="2:9" hidden="1" x14ac:dyDescent="0.25">
      <c r="B271" s="53"/>
      <c r="C271" s="48"/>
      <c r="D271" s="38"/>
      <c r="E271" s="46"/>
      <c r="I271" s="40"/>
    </row>
    <row r="272" spans="2:9" hidden="1" x14ac:dyDescent="0.25">
      <c r="B272" s="49" t="s">
        <v>88</v>
      </c>
      <c r="C272" s="54" t="s">
        <v>295</v>
      </c>
      <c r="D272" s="43"/>
      <c r="E272" s="47"/>
      <c r="I272" s="40"/>
    </row>
    <row r="273" spans="1:11" hidden="1" x14ac:dyDescent="0.25">
      <c r="A273" s="39" t="s">
        <v>177</v>
      </c>
      <c r="B273" s="53" t="s">
        <v>51</v>
      </c>
      <c r="C273" s="48" t="s">
        <v>201</v>
      </c>
      <c r="D273" s="38"/>
      <c r="E273" s="46"/>
      <c r="I273" s="38"/>
    </row>
    <row r="274" spans="1:11" hidden="1" x14ac:dyDescent="0.25">
      <c r="B274" s="53" t="s">
        <v>46</v>
      </c>
      <c r="C274" s="48" t="s">
        <v>205</v>
      </c>
      <c r="D274" s="38"/>
      <c r="E274" s="47"/>
      <c r="I274" s="40"/>
    </row>
    <row r="275" spans="1:11" hidden="1" x14ac:dyDescent="0.25">
      <c r="B275" s="53" t="s">
        <v>118</v>
      </c>
      <c r="C275" s="48" t="s">
        <v>202</v>
      </c>
      <c r="D275" s="38"/>
      <c r="E275" s="46"/>
      <c r="I275" s="40"/>
    </row>
    <row r="276" spans="1:11" hidden="1" x14ac:dyDescent="0.25">
      <c r="B276" s="53" t="s">
        <v>47</v>
      </c>
      <c r="C276" s="48" t="s">
        <v>206</v>
      </c>
      <c r="D276" s="38"/>
      <c r="E276" s="44"/>
      <c r="I276" s="40"/>
    </row>
    <row r="277" spans="1:11" hidden="1" x14ac:dyDescent="0.25">
      <c r="B277" s="53" t="s">
        <v>150</v>
      </c>
      <c r="C277" s="48" t="s">
        <v>203</v>
      </c>
      <c r="D277" s="38"/>
      <c r="E277" s="44"/>
      <c r="I277" s="40"/>
    </row>
    <row r="278" spans="1:11" hidden="1" x14ac:dyDescent="0.25">
      <c r="B278" s="53" t="s">
        <v>49</v>
      </c>
      <c r="C278" s="48" t="s">
        <v>207</v>
      </c>
      <c r="D278" s="38"/>
      <c r="E278" s="46"/>
      <c r="I278" s="38"/>
      <c r="K278" s="38"/>
    </row>
    <row r="279" spans="1:11" hidden="1" x14ac:dyDescent="0.25">
      <c r="B279" s="53" t="s">
        <v>50</v>
      </c>
      <c r="C279" s="48" t="s">
        <v>204</v>
      </c>
      <c r="D279" s="38"/>
      <c r="E279" s="46"/>
      <c r="I279" s="40"/>
      <c r="K279" s="38"/>
    </row>
    <row r="280" spans="1:11" hidden="1" x14ac:dyDescent="0.25">
      <c r="B280" s="53" t="s">
        <v>48</v>
      </c>
      <c r="C280" s="48" t="s">
        <v>208</v>
      </c>
      <c r="D280" s="38"/>
      <c r="E280" s="46"/>
      <c r="I280" s="40"/>
    </row>
    <row r="281" spans="1:11" hidden="1" x14ac:dyDescent="0.25">
      <c r="B281" s="53" t="s">
        <v>119</v>
      </c>
      <c r="C281" s="48" t="s">
        <v>209</v>
      </c>
      <c r="D281" s="38"/>
      <c r="E281" s="46"/>
      <c r="I281" s="40"/>
    </row>
    <row r="282" spans="1:11" hidden="1" x14ac:dyDescent="0.25"/>
    <row r="283" spans="1:11" hidden="1" x14ac:dyDescent="0.25">
      <c r="B283" t="s">
        <v>296</v>
      </c>
      <c r="C283" t="s">
        <v>297</v>
      </c>
      <c r="D283" t="s">
        <v>334</v>
      </c>
      <c r="E283" t="s">
        <v>336</v>
      </c>
    </row>
    <row r="284" spans="1:11" hidden="1" x14ac:dyDescent="0.25">
      <c r="B284" t="s">
        <v>77</v>
      </c>
      <c r="C284" s="38" t="s">
        <v>77</v>
      </c>
      <c r="D284" s="38" t="s">
        <v>313</v>
      </c>
      <c r="E284" s="38" t="str">
        <f>CONCATENATE(Table_Name52[[#This Row],[Table name]],"[Link]")</f>
        <v>Abs[Link]</v>
      </c>
    </row>
    <row r="285" spans="1:11" hidden="1" x14ac:dyDescent="0.25">
      <c r="B285" t="s">
        <v>19</v>
      </c>
      <c r="C285" s="38" t="s">
        <v>19</v>
      </c>
      <c r="D285" s="38" t="s">
        <v>314</v>
      </c>
      <c r="E285" s="38" t="str">
        <f>CONCATENATE(Table_Name52[[#This Row],[Table name]],"[Link]")</f>
        <v>Calves[Link]</v>
      </c>
    </row>
    <row r="286" spans="1:11" hidden="1" x14ac:dyDescent="0.25">
      <c r="B286" t="s">
        <v>18</v>
      </c>
      <c r="C286" s="38" t="s">
        <v>18</v>
      </c>
      <c r="D286" s="38" t="s">
        <v>315</v>
      </c>
      <c r="E286" s="38" t="str">
        <f>CONCATENATE(Table_Name52[[#This Row],[Table name]],"[Link]")</f>
        <v>Biceps[Link]</v>
      </c>
    </row>
    <row r="287" spans="1:11" hidden="1" x14ac:dyDescent="0.25">
      <c r="B287" t="s">
        <v>117</v>
      </c>
      <c r="C287" s="38" t="s">
        <v>298</v>
      </c>
      <c r="D287" s="38" t="s">
        <v>316</v>
      </c>
      <c r="E287" s="38" t="str">
        <f>CONCATENATE(Table_Name52[[#This Row],[Table name]],"[Link]")</f>
        <v>Rear_Delts[Link]</v>
      </c>
    </row>
    <row r="288" spans="1:11" hidden="1" x14ac:dyDescent="0.25">
      <c r="B288" t="s">
        <v>105</v>
      </c>
      <c r="C288" s="38" t="s">
        <v>299</v>
      </c>
      <c r="D288" s="38" t="s">
        <v>317</v>
      </c>
      <c r="E288" s="38" t="str">
        <f>CONCATENATE(Table_Name52[[#This Row],[Table name]],"[Link]")</f>
        <v>Side_Delts[Link]</v>
      </c>
    </row>
    <row r="289" spans="2:5" hidden="1" x14ac:dyDescent="0.25">
      <c r="B289" t="s">
        <v>120</v>
      </c>
      <c r="C289" s="38" t="s">
        <v>120</v>
      </c>
      <c r="D289" s="38" t="s">
        <v>318</v>
      </c>
      <c r="E289" s="38" t="str">
        <f>CONCATENATE(Table_Name52[[#This Row],[Table name]],"[Link]")</f>
        <v>Traps[Link]</v>
      </c>
    </row>
    <row r="290" spans="2:5" hidden="1" x14ac:dyDescent="0.25">
      <c r="B290" t="s">
        <v>52</v>
      </c>
      <c r="C290" s="38" t="s">
        <v>300</v>
      </c>
      <c r="D290" s="38" t="s">
        <v>319</v>
      </c>
      <c r="E290" s="38" t="str">
        <f>CONCATENATE(Table_Name52[[#This Row],[Table name]],"[Link]")</f>
        <v>Horizontal_Triceps[Link]</v>
      </c>
    </row>
    <row r="291" spans="2:5" hidden="1" x14ac:dyDescent="0.25">
      <c r="B291" t="s">
        <v>57</v>
      </c>
      <c r="C291" s="38" t="s">
        <v>301</v>
      </c>
      <c r="D291" s="38" t="s">
        <v>320</v>
      </c>
      <c r="E291" s="38" t="str">
        <f>CONCATENATE(Table_Name52[[#This Row],[Table name]],"[Link]")</f>
        <v>Vertical_Triceps[Link]</v>
      </c>
    </row>
    <row r="292" spans="2:5" hidden="1" x14ac:dyDescent="0.25">
      <c r="B292" t="s">
        <v>178</v>
      </c>
      <c r="C292" s="38" t="s">
        <v>302</v>
      </c>
      <c r="D292" s="38" t="s">
        <v>335</v>
      </c>
      <c r="E292" s="38" t="str">
        <f>CONCATENATE(Table_Name52[[#This Row],[Table name]],"[Link]")</f>
        <v>Horizonal_Back[Link]</v>
      </c>
    </row>
    <row r="293" spans="2:5" hidden="1" x14ac:dyDescent="0.25">
      <c r="B293" t="s">
        <v>130</v>
      </c>
      <c r="C293" s="38" t="s">
        <v>303</v>
      </c>
      <c r="D293" s="38" t="s">
        <v>321</v>
      </c>
      <c r="E293" s="38" t="str">
        <f>CONCATENATE(Table_Name52[[#This Row],[Table name]],"[Link]")</f>
        <v>Vertical_Back[Link]</v>
      </c>
    </row>
    <row r="294" spans="2:5" hidden="1" x14ac:dyDescent="0.25">
      <c r="B294" t="s">
        <v>20</v>
      </c>
      <c r="C294" s="38" t="s">
        <v>20</v>
      </c>
      <c r="D294" s="38" t="s">
        <v>322</v>
      </c>
      <c r="E294" s="38" t="str">
        <f>CONCATENATE(Table_Name52[[#This Row],[Table name]],"[Link]")</f>
        <v>Quads[Link]</v>
      </c>
    </row>
    <row r="295" spans="2:5" hidden="1" x14ac:dyDescent="0.25">
      <c r="B295" t="s">
        <v>108</v>
      </c>
      <c r="C295" s="38" t="s">
        <v>108</v>
      </c>
      <c r="D295" s="38" t="s">
        <v>323</v>
      </c>
      <c r="E295" s="38" t="str">
        <f>CONCATENATE(Table_Name52[[#This Row],[Table name]],"[Link]")</f>
        <v>Glutes[Link]</v>
      </c>
    </row>
    <row r="296" spans="2:5" hidden="1" x14ac:dyDescent="0.25">
      <c r="B296" t="s">
        <v>107</v>
      </c>
      <c r="C296" s="38" t="s">
        <v>304</v>
      </c>
      <c r="D296" s="38" t="s">
        <v>324</v>
      </c>
      <c r="E296" s="38" t="str">
        <f>CONCATENATE(Table_Name52[[#This Row],[Table name]],"[Link]")</f>
        <v>Hamstrings_Hip_Hinge[Link]</v>
      </c>
    </row>
    <row r="297" spans="2:5" hidden="1" x14ac:dyDescent="0.25">
      <c r="B297" t="s">
        <v>106</v>
      </c>
      <c r="C297" s="38" t="s">
        <v>305</v>
      </c>
      <c r="D297" s="38" t="s">
        <v>325</v>
      </c>
      <c r="E297" s="38" t="str">
        <f>CONCATENATE(Table_Name52[[#This Row],[Table name]],"[Link]")</f>
        <v>Hamstrings_Isolation[Link]</v>
      </c>
    </row>
    <row r="298" spans="2:5" hidden="1" x14ac:dyDescent="0.25">
      <c r="B298" t="s">
        <v>37</v>
      </c>
      <c r="C298" s="38" t="s">
        <v>306</v>
      </c>
      <c r="D298" s="38" t="s">
        <v>326</v>
      </c>
      <c r="E298" s="38" t="str">
        <f>CONCATENATE(Table_Name52[[#This Row],[Table name]],"[Link]")</f>
        <v>Chest_Isolation[Link]</v>
      </c>
    </row>
    <row r="299" spans="2:5" hidden="1" x14ac:dyDescent="0.25">
      <c r="B299" t="s">
        <v>22</v>
      </c>
      <c r="C299" s="38" t="s">
        <v>307</v>
      </c>
      <c r="D299" s="38" t="s">
        <v>327</v>
      </c>
      <c r="E299" s="38" t="str">
        <f>CONCATENATE(Table_Name52[[#This Row],[Table name]],"[Link]")</f>
        <v>Horizontal_Push[Link]</v>
      </c>
    </row>
    <row r="300" spans="2:5" hidden="1" x14ac:dyDescent="0.25">
      <c r="B300" t="s">
        <v>143</v>
      </c>
      <c r="C300" s="38" t="s">
        <v>308</v>
      </c>
      <c r="D300" s="38" t="s">
        <v>328</v>
      </c>
      <c r="E300" s="38" t="str">
        <f>CONCATENATE(Table_Name52[[#This Row],[Table name]],"[Link]")</f>
        <v>Incline_Push[Link]</v>
      </c>
    </row>
    <row r="301" spans="2:5" hidden="1" x14ac:dyDescent="0.25">
      <c r="B301" t="s">
        <v>104</v>
      </c>
      <c r="C301" s="38" t="s">
        <v>309</v>
      </c>
      <c r="D301" s="38" t="s">
        <v>329</v>
      </c>
      <c r="E301" s="38" t="str">
        <f>CONCATENATE(Table_Name52[[#This Row],[Table name]],"[Link]")</f>
        <v>Front_Delts[Link]</v>
      </c>
    </row>
    <row r="302" spans="2:5" hidden="1" x14ac:dyDescent="0.25">
      <c r="B302" t="s">
        <v>17</v>
      </c>
      <c r="C302" s="38" t="s">
        <v>17</v>
      </c>
      <c r="D302" s="38" t="s">
        <v>330</v>
      </c>
      <c r="E302" s="38" t="str">
        <f>CONCATENATE(Table_Name52[[#This Row],[Table name]],"[Link]")</f>
        <v>Triceps[Link]</v>
      </c>
    </row>
    <row r="303" spans="2:5" hidden="1" x14ac:dyDescent="0.25">
      <c r="B303" t="s">
        <v>176</v>
      </c>
      <c r="C303" s="38" t="s">
        <v>310</v>
      </c>
      <c r="D303" s="38" t="s">
        <v>331</v>
      </c>
      <c r="E303" s="38" t="str">
        <f>CONCATENATE(Table_Name52[[#This Row],[Table name]],"[Link]")</f>
        <v>Incline_Push_or_Front_Delts[Link]</v>
      </c>
    </row>
    <row r="304" spans="2:5" hidden="1" x14ac:dyDescent="0.25">
      <c r="B304" t="s">
        <v>175</v>
      </c>
      <c r="C304" s="38" t="s">
        <v>311</v>
      </c>
      <c r="D304" s="38" t="s">
        <v>332</v>
      </c>
      <c r="E304" s="38" t="str">
        <f>CONCATENATE(Table_Name52[[#This Row],[Table name]],"[Link]")</f>
        <v>Chest_Isolation_or_Triceps[Link]</v>
      </c>
    </row>
    <row r="305" spans="2:5" hidden="1" x14ac:dyDescent="0.25">
      <c r="B305" t="s">
        <v>177</v>
      </c>
      <c r="C305" s="38" t="s">
        <v>312</v>
      </c>
      <c r="D305" s="38" t="s">
        <v>333</v>
      </c>
      <c r="E305" s="38" t="str">
        <f>CONCATENATE(Table_Name52[[#This Row],[Table name]],"[Link]")</f>
        <v>Rear_or_Side_Delts[Link]</v>
      </c>
    </row>
    <row r="306" spans="2:5" hidden="1" x14ac:dyDescent="0.25"/>
    <row r="307" spans="2:5" hidden="1" x14ac:dyDescent="0.25">
      <c r="B307" s="8" t="s">
        <v>88</v>
      </c>
      <c r="C307" t="s">
        <v>295</v>
      </c>
      <c r="D307" s="8" t="s">
        <v>296</v>
      </c>
    </row>
    <row r="308" spans="2:5" hidden="1" x14ac:dyDescent="0.25">
      <c r="B308" s="38" t="s">
        <v>109</v>
      </c>
      <c r="C308" t="s">
        <v>179</v>
      </c>
      <c r="D308" t="s">
        <v>77</v>
      </c>
    </row>
    <row r="309" spans="2:5" hidden="1" x14ac:dyDescent="0.25">
      <c r="B309" s="38" t="s">
        <v>79</v>
      </c>
      <c r="C309" t="s">
        <v>180</v>
      </c>
      <c r="D309" t="s">
        <v>77</v>
      </c>
    </row>
    <row r="310" spans="2:5" hidden="1" x14ac:dyDescent="0.25">
      <c r="B310" s="38" t="s">
        <v>80</v>
      </c>
      <c r="C310" t="s">
        <v>181</v>
      </c>
      <c r="D310" t="s">
        <v>77</v>
      </c>
    </row>
    <row r="311" spans="2:5" hidden="1" x14ac:dyDescent="0.25">
      <c r="B311" s="38" t="s">
        <v>78</v>
      </c>
      <c r="C311" t="s">
        <v>182</v>
      </c>
      <c r="D311" t="s">
        <v>77</v>
      </c>
    </row>
    <row r="312" spans="2:5" hidden="1" x14ac:dyDescent="0.25">
      <c r="B312" s="40" t="s">
        <v>110</v>
      </c>
      <c r="C312" t="s">
        <v>183</v>
      </c>
      <c r="D312" t="s">
        <v>77</v>
      </c>
    </row>
    <row r="313" spans="2:5" hidden="1" x14ac:dyDescent="0.25">
      <c r="B313" s="38" t="s">
        <v>81</v>
      </c>
      <c r="C313" t="s">
        <v>184</v>
      </c>
      <c r="D313" t="s">
        <v>77</v>
      </c>
    </row>
    <row r="314" spans="2:5" hidden="1" x14ac:dyDescent="0.25">
      <c r="B314" s="38" t="s">
        <v>146</v>
      </c>
      <c r="C314" t="s">
        <v>185</v>
      </c>
      <c r="D314" t="s">
        <v>77</v>
      </c>
    </row>
    <row r="315" spans="2:5" hidden="1" x14ac:dyDescent="0.25">
      <c r="B315" s="38" t="s">
        <v>61</v>
      </c>
      <c r="C315" t="s">
        <v>190</v>
      </c>
      <c r="D315" t="s">
        <v>18</v>
      </c>
    </row>
    <row r="316" spans="2:5" hidden="1" x14ac:dyDescent="0.25">
      <c r="B316" s="38" t="s">
        <v>62</v>
      </c>
      <c r="C316" t="s">
        <v>191</v>
      </c>
      <c r="D316" t="s">
        <v>18</v>
      </c>
    </row>
    <row r="317" spans="2:5" hidden="1" x14ac:dyDescent="0.25">
      <c r="B317" s="38" t="s">
        <v>112</v>
      </c>
      <c r="C317" t="s">
        <v>192</v>
      </c>
      <c r="D317" t="s">
        <v>18</v>
      </c>
    </row>
    <row r="318" spans="2:5" hidden="1" x14ac:dyDescent="0.25">
      <c r="B318" s="38" t="s">
        <v>63</v>
      </c>
      <c r="C318" t="s">
        <v>193</v>
      </c>
      <c r="D318" t="s">
        <v>18</v>
      </c>
    </row>
    <row r="319" spans="2:5" hidden="1" x14ac:dyDescent="0.25">
      <c r="B319" s="38" t="s">
        <v>113</v>
      </c>
      <c r="C319" t="s">
        <v>194</v>
      </c>
      <c r="D319" t="s">
        <v>18</v>
      </c>
    </row>
    <row r="320" spans="2:5" hidden="1" x14ac:dyDescent="0.25">
      <c r="B320" s="38" t="s">
        <v>114</v>
      </c>
      <c r="C320" t="s">
        <v>195</v>
      </c>
      <c r="D320" t="s">
        <v>18</v>
      </c>
    </row>
    <row r="321" spans="2:4" hidden="1" x14ac:dyDescent="0.25">
      <c r="B321" s="38" t="s">
        <v>147</v>
      </c>
      <c r="C321" t="s">
        <v>196</v>
      </c>
      <c r="D321" t="s">
        <v>18</v>
      </c>
    </row>
    <row r="322" spans="2:4" hidden="1" x14ac:dyDescent="0.25">
      <c r="B322" s="38" t="s">
        <v>148</v>
      </c>
      <c r="C322" t="s">
        <v>197</v>
      </c>
      <c r="D322" t="s">
        <v>18</v>
      </c>
    </row>
    <row r="323" spans="2:4" hidden="1" x14ac:dyDescent="0.25">
      <c r="B323" s="40" t="s">
        <v>115</v>
      </c>
      <c r="C323" t="s">
        <v>198</v>
      </c>
      <c r="D323" t="s">
        <v>18</v>
      </c>
    </row>
    <row r="324" spans="2:4" hidden="1" x14ac:dyDescent="0.25">
      <c r="B324" s="38" t="s">
        <v>116</v>
      </c>
      <c r="C324" t="s">
        <v>199</v>
      </c>
      <c r="D324" t="s">
        <v>18</v>
      </c>
    </row>
    <row r="325" spans="2:4" hidden="1" x14ac:dyDescent="0.25">
      <c r="B325" s="38" t="s">
        <v>149</v>
      </c>
      <c r="C325" t="s">
        <v>200</v>
      </c>
      <c r="D325" t="s">
        <v>18</v>
      </c>
    </row>
    <row r="326" spans="2:4" hidden="1" x14ac:dyDescent="0.25">
      <c r="B326" s="38" t="s">
        <v>111</v>
      </c>
      <c r="C326" t="s">
        <v>186</v>
      </c>
      <c r="D326" t="s">
        <v>19</v>
      </c>
    </row>
    <row r="327" spans="2:4" hidden="1" x14ac:dyDescent="0.25">
      <c r="B327" s="38" t="s">
        <v>75</v>
      </c>
      <c r="C327" t="s">
        <v>187</v>
      </c>
      <c r="D327" t="s">
        <v>19</v>
      </c>
    </row>
    <row r="328" spans="2:4" hidden="1" x14ac:dyDescent="0.25">
      <c r="B328" s="38" t="s">
        <v>74</v>
      </c>
      <c r="C328" t="s">
        <v>188</v>
      </c>
      <c r="D328" t="s">
        <v>19</v>
      </c>
    </row>
    <row r="329" spans="2:4" hidden="1" x14ac:dyDescent="0.25">
      <c r="B329" s="38" t="s">
        <v>76</v>
      </c>
      <c r="C329" t="s">
        <v>189</v>
      </c>
      <c r="D329" t="s">
        <v>19</v>
      </c>
    </row>
    <row r="330" spans="2:4" hidden="1" x14ac:dyDescent="0.25">
      <c r="B330" s="38" t="s">
        <v>138</v>
      </c>
      <c r="C330" t="s">
        <v>269</v>
      </c>
      <c r="D330" t="s">
        <v>37</v>
      </c>
    </row>
    <row r="331" spans="2:4" hidden="1" x14ac:dyDescent="0.25">
      <c r="B331" s="38" t="s">
        <v>38</v>
      </c>
      <c r="C331" t="s">
        <v>270</v>
      </c>
      <c r="D331" t="s">
        <v>37</v>
      </c>
    </row>
    <row r="332" spans="2:4" hidden="1" x14ac:dyDescent="0.25">
      <c r="B332" s="38" t="s">
        <v>39</v>
      </c>
      <c r="C332" t="s">
        <v>271</v>
      </c>
      <c r="D332" t="s">
        <v>37</v>
      </c>
    </row>
    <row r="333" spans="2:4" hidden="1" x14ac:dyDescent="0.25">
      <c r="B333" s="38" t="s">
        <v>139</v>
      </c>
      <c r="C333" t="s">
        <v>272</v>
      </c>
      <c r="D333" t="s">
        <v>37</v>
      </c>
    </row>
    <row r="334" spans="2:4" hidden="1" x14ac:dyDescent="0.25">
      <c r="B334" s="38" t="s">
        <v>40</v>
      </c>
      <c r="C334" t="s">
        <v>273</v>
      </c>
      <c r="D334" t="s">
        <v>37</v>
      </c>
    </row>
    <row r="335" spans="2:4" hidden="1" x14ac:dyDescent="0.25">
      <c r="B335" s="38" t="s">
        <v>140</v>
      </c>
      <c r="C335" t="s">
        <v>274</v>
      </c>
      <c r="D335" t="s">
        <v>37</v>
      </c>
    </row>
    <row r="336" spans="2:4" hidden="1" x14ac:dyDescent="0.25">
      <c r="B336" s="38" t="s">
        <v>141</v>
      </c>
      <c r="C336" t="s">
        <v>275</v>
      </c>
      <c r="D336" t="s">
        <v>37</v>
      </c>
    </row>
    <row r="337" spans="2:4" hidden="1" x14ac:dyDescent="0.25">
      <c r="B337" s="38" t="s">
        <v>138</v>
      </c>
      <c r="C337" t="s">
        <v>269</v>
      </c>
      <c r="D337" t="s">
        <v>175</v>
      </c>
    </row>
    <row r="338" spans="2:4" hidden="1" x14ac:dyDescent="0.25">
      <c r="B338" s="38" t="s">
        <v>152</v>
      </c>
      <c r="C338" t="s">
        <v>214</v>
      </c>
      <c r="D338" t="s">
        <v>175</v>
      </c>
    </row>
    <row r="339" spans="2:4" hidden="1" x14ac:dyDescent="0.25">
      <c r="B339" s="38" t="s">
        <v>38</v>
      </c>
      <c r="C339" t="s">
        <v>270</v>
      </c>
      <c r="D339" t="s">
        <v>175</v>
      </c>
    </row>
    <row r="340" spans="2:4" hidden="1" x14ac:dyDescent="0.25">
      <c r="B340" s="38" t="s">
        <v>59</v>
      </c>
      <c r="C340" t="s">
        <v>222</v>
      </c>
      <c r="D340" t="s">
        <v>175</v>
      </c>
    </row>
    <row r="341" spans="2:4" hidden="1" x14ac:dyDescent="0.25">
      <c r="B341" s="38" t="s">
        <v>39</v>
      </c>
      <c r="C341" t="s">
        <v>271</v>
      </c>
      <c r="D341" t="s">
        <v>175</v>
      </c>
    </row>
    <row r="342" spans="2:4" hidden="1" x14ac:dyDescent="0.25">
      <c r="B342" s="38" t="s">
        <v>124</v>
      </c>
      <c r="C342" t="s">
        <v>215</v>
      </c>
      <c r="D342" t="s">
        <v>175</v>
      </c>
    </row>
    <row r="343" spans="2:4" hidden="1" x14ac:dyDescent="0.25">
      <c r="B343" s="38" t="s">
        <v>139</v>
      </c>
      <c r="C343" t="s">
        <v>272</v>
      </c>
      <c r="D343" t="s">
        <v>175</v>
      </c>
    </row>
    <row r="344" spans="2:4" hidden="1" x14ac:dyDescent="0.25">
      <c r="B344" s="38" t="s">
        <v>58</v>
      </c>
      <c r="C344" t="s">
        <v>223</v>
      </c>
      <c r="D344" t="s">
        <v>175</v>
      </c>
    </row>
    <row r="345" spans="2:4" hidden="1" x14ac:dyDescent="0.25">
      <c r="B345" s="38" t="s">
        <v>40</v>
      </c>
      <c r="C345" t="s">
        <v>273</v>
      </c>
      <c r="D345" t="s">
        <v>175</v>
      </c>
    </row>
    <row r="346" spans="2:4" hidden="1" x14ac:dyDescent="0.25">
      <c r="B346" s="38" t="s">
        <v>56</v>
      </c>
      <c r="C346" t="s">
        <v>216</v>
      </c>
      <c r="D346" t="s">
        <v>175</v>
      </c>
    </row>
    <row r="347" spans="2:4" hidden="1" x14ac:dyDescent="0.25">
      <c r="B347" s="38" t="s">
        <v>140</v>
      </c>
      <c r="C347" t="s">
        <v>274</v>
      </c>
      <c r="D347" t="s">
        <v>175</v>
      </c>
    </row>
    <row r="348" spans="2:4" hidden="1" x14ac:dyDescent="0.25">
      <c r="B348" s="38" t="s">
        <v>154</v>
      </c>
      <c r="C348" t="s">
        <v>224</v>
      </c>
      <c r="D348" t="s">
        <v>175</v>
      </c>
    </row>
    <row r="349" spans="2:4" hidden="1" x14ac:dyDescent="0.25">
      <c r="B349" s="38" t="s">
        <v>141</v>
      </c>
      <c r="C349" t="s">
        <v>275</v>
      </c>
      <c r="D349" t="s">
        <v>175</v>
      </c>
    </row>
    <row r="350" spans="2:4" hidden="1" x14ac:dyDescent="0.25">
      <c r="B350" s="38" t="s">
        <v>55</v>
      </c>
      <c r="C350" t="s">
        <v>217</v>
      </c>
      <c r="D350" t="s">
        <v>175</v>
      </c>
    </row>
    <row r="351" spans="2:4" hidden="1" x14ac:dyDescent="0.25">
      <c r="B351" s="38" t="s">
        <v>155</v>
      </c>
      <c r="C351" t="s">
        <v>225</v>
      </c>
      <c r="D351" t="s">
        <v>175</v>
      </c>
    </row>
    <row r="352" spans="2:4" hidden="1" x14ac:dyDescent="0.25">
      <c r="B352" s="38" t="s">
        <v>153</v>
      </c>
      <c r="C352" t="s">
        <v>218</v>
      </c>
      <c r="D352" t="s">
        <v>175</v>
      </c>
    </row>
    <row r="353" spans="2:4" hidden="1" x14ac:dyDescent="0.25">
      <c r="B353" s="38" t="s">
        <v>60</v>
      </c>
      <c r="C353" t="s">
        <v>226</v>
      </c>
      <c r="D353" t="s">
        <v>175</v>
      </c>
    </row>
    <row r="354" spans="2:4" hidden="1" x14ac:dyDescent="0.25">
      <c r="B354" s="38" t="s">
        <v>53</v>
      </c>
      <c r="C354" t="s">
        <v>219</v>
      </c>
      <c r="D354" t="s">
        <v>175</v>
      </c>
    </row>
    <row r="355" spans="2:4" hidden="1" x14ac:dyDescent="0.25">
      <c r="B355" s="38" t="s">
        <v>125</v>
      </c>
      <c r="C355" t="s">
        <v>220</v>
      </c>
      <c r="D355" t="s">
        <v>175</v>
      </c>
    </row>
    <row r="356" spans="2:4" hidden="1" x14ac:dyDescent="0.25">
      <c r="B356" s="38" t="s">
        <v>54</v>
      </c>
      <c r="C356" t="s">
        <v>221</v>
      </c>
      <c r="D356" t="s">
        <v>175</v>
      </c>
    </row>
    <row r="357" spans="2:4" hidden="1" x14ac:dyDescent="0.25">
      <c r="B357" s="38" t="s">
        <v>32</v>
      </c>
      <c r="C357" t="s">
        <v>289</v>
      </c>
      <c r="D357" t="s">
        <v>104</v>
      </c>
    </row>
    <row r="358" spans="2:4" hidden="1" x14ac:dyDescent="0.25">
      <c r="B358" s="38" t="s">
        <v>34</v>
      </c>
      <c r="C358" t="s">
        <v>290</v>
      </c>
      <c r="D358" t="s">
        <v>104</v>
      </c>
    </row>
    <row r="359" spans="2:4" hidden="1" x14ac:dyDescent="0.25">
      <c r="B359" s="38" t="s">
        <v>35</v>
      </c>
      <c r="C359" t="s">
        <v>291</v>
      </c>
      <c r="D359" t="s">
        <v>104</v>
      </c>
    </row>
    <row r="360" spans="2:4" hidden="1" x14ac:dyDescent="0.25">
      <c r="B360" s="38" t="s">
        <v>174</v>
      </c>
      <c r="C360" t="s">
        <v>292</v>
      </c>
      <c r="D360" t="s">
        <v>104</v>
      </c>
    </row>
    <row r="361" spans="2:4" hidden="1" x14ac:dyDescent="0.25">
      <c r="B361" s="12" t="s">
        <v>145</v>
      </c>
      <c r="C361" t="s">
        <v>293</v>
      </c>
      <c r="D361" t="s">
        <v>104</v>
      </c>
    </row>
    <row r="362" spans="2:4" hidden="1" x14ac:dyDescent="0.25">
      <c r="B362" s="38" t="s">
        <v>33</v>
      </c>
      <c r="C362" t="s">
        <v>294</v>
      </c>
      <c r="D362" t="s">
        <v>104</v>
      </c>
    </row>
    <row r="363" spans="2:4" hidden="1" x14ac:dyDescent="0.25">
      <c r="B363" s="38" t="s">
        <v>66</v>
      </c>
      <c r="C363" t="s">
        <v>254</v>
      </c>
      <c r="D363" t="s">
        <v>108</v>
      </c>
    </row>
    <row r="364" spans="2:4" hidden="1" x14ac:dyDescent="0.25">
      <c r="B364" s="38" t="s">
        <v>67</v>
      </c>
      <c r="C364" t="s">
        <v>255</v>
      </c>
      <c r="D364" t="s">
        <v>108</v>
      </c>
    </row>
    <row r="365" spans="2:4" hidden="1" x14ac:dyDescent="0.25">
      <c r="B365" s="38" t="s">
        <v>133</v>
      </c>
      <c r="C365" t="s">
        <v>256</v>
      </c>
      <c r="D365" t="s">
        <v>108</v>
      </c>
    </row>
    <row r="366" spans="2:4" hidden="1" x14ac:dyDescent="0.25">
      <c r="B366" s="38" t="s">
        <v>170</v>
      </c>
      <c r="C366" t="s">
        <v>257</v>
      </c>
      <c r="D366" t="s">
        <v>108</v>
      </c>
    </row>
    <row r="367" spans="2:4" hidden="1" x14ac:dyDescent="0.25">
      <c r="B367" s="38" t="s">
        <v>70</v>
      </c>
      <c r="C367" t="s">
        <v>258</v>
      </c>
      <c r="D367" t="s">
        <v>108</v>
      </c>
    </row>
    <row r="368" spans="2:4" hidden="1" x14ac:dyDescent="0.25">
      <c r="B368" s="38" t="s">
        <v>69</v>
      </c>
      <c r="C368" t="s">
        <v>259</v>
      </c>
      <c r="D368" t="s">
        <v>108</v>
      </c>
    </row>
    <row r="369" spans="2:4" hidden="1" x14ac:dyDescent="0.25">
      <c r="B369" s="38" t="s">
        <v>134</v>
      </c>
      <c r="C369" t="s">
        <v>260</v>
      </c>
      <c r="D369" t="s">
        <v>108</v>
      </c>
    </row>
    <row r="370" spans="2:4" hidden="1" x14ac:dyDescent="0.25">
      <c r="B370" s="38" t="s">
        <v>171</v>
      </c>
      <c r="C370" t="s">
        <v>261</v>
      </c>
      <c r="D370" t="s">
        <v>108</v>
      </c>
    </row>
    <row r="371" spans="2:4" hidden="1" x14ac:dyDescent="0.25">
      <c r="B371" s="38" t="s">
        <v>135</v>
      </c>
      <c r="C371" t="s">
        <v>262</v>
      </c>
      <c r="D371" t="s">
        <v>107</v>
      </c>
    </row>
    <row r="372" spans="2:4" hidden="1" x14ac:dyDescent="0.25">
      <c r="B372" s="38" t="s">
        <v>71</v>
      </c>
      <c r="C372" t="s">
        <v>263</v>
      </c>
      <c r="D372" t="s">
        <v>107</v>
      </c>
    </row>
    <row r="373" spans="2:4" hidden="1" x14ac:dyDescent="0.25">
      <c r="B373" s="38" t="s">
        <v>72</v>
      </c>
      <c r="C373" t="s">
        <v>264</v>
      </c>
      <c r="D373" t="s">
        <v>107</v>
      </c>
    </row>
    <row r="374" spans="2:4" hidden="1" x14ac:dyDescent="0.25">
      <c r="B374" s="38" t="s">
        <v>136</v>
      </c>
      <c r="C374" t="s">
        <v>265</v>
      </c>
      <c r="D374" t="s">
        <v>107</v>
      </c>
    </row>
    <row r="375" spans="2:4" hidden="1" x14ac:dyDescent="0.25">
      <c r="B375" s="38" t="s">
        <v>172</v>
      </c>
      <c r="C375" t="s">
        <v>266</v>
      </c>
      <c r="D375" t="s">
        <v>106</v>
      </c>
    </row>
    <row r="376" spans="2:4" hidden="1" x14ac:dyDescent="0.25">
      <c r="B376" s="38" t="s">
        <v>73</v>
      </c>
      <c r="C376" t="s">
        <v>267</v>
      </c>
      <c r="D376" t="s">
        <v>106</v>
      </c>
    </row>
    <row r="377" spans="2:4" hidden="1" x14ac:dyDescent="0.25">
      <c r="B377" s="38" t="s">
        <v>137</v>
      </c>
      <c r="C377" t="s">
        <v>268</v>
      </c>
      <c r="D377" t="s">
        <v>106</v>
      </c>
    </row>
    <row r="378" spans="2:4" hidden="1" x14ac:dyDescent="0.25">
      <c r="B378" s="38" t="s">
        <v>156</v>
      </c>
      <c r="C378" t="s">
        <v>227</v>
      </c>
      <c r="D378" t="s">
        <v>126</v>
      </c>
    </row>
    <row r="379" spans="2:4" hidden="1" x14ac:dyDescent="0.25">
      <c r="B379" s="38" t="s">
        <v>157</v>
      </c>
      <c r="C379" t="s">
        <v>228</v>
      </c>
      <c r="D379" t="s">
        <v>126</v>
      </c>
    </row>
    <row r="380" spans="2:4" hidden="1" x14ac:dyDescent="0.25">
      <c r="B380" s="38" t="s">
        <v>158</v>
      </c>
      <c r="C380" t="s">
        <v>229</v>
      </c>
      <c r="D380" t="s">
        <v>126</v>
      </c>
    </row>
    <row r="381" spans="2:4" hidden="1" x14ac:dyDescent="0.25">
      <c r="B381" s="38" t="s">
        <v>42</v>
      </c>
      <c r="C381" t="s">
        <v>230</v>
      </c>
      <c r="D381" t="s">
        <v>126</v>
      </c>
    </row>
    <row r="382" spans="2:4" hidden="1" x14ac:dyDescent="0.25">
      <c r="B382" s="38" t="s">
        <v>127</v>
      </c>
      <c r="C382" t="s">
        <v>231</v>
      </c>
      <c r="D382" t="s">
        <v>126</v>
      </c>
    </row>
    <row r="383" spans="2:4" hidden="1" x14ac:dyDescent="0.25">
      <c r="B383" s="38" t="s">
        <v>128</v>
      </c>
      <c r="C383" t="s">
        <v>232</v>
      </c>
      <c r="D383" t="s">
        <v>126</v>
      </c>
    </row>
    <row r="384" spans="2:4" hidden="1" x14ac:dyDescent="0.25">
      <c r="B384" s="38" t="s">
        <v>41</v>
      </c>
      <c r="C384" t="s">
        <v>233</v>
      </c>
      <c r="D384" t="s">
        <v>126</v>
      </c>
    </row>
    <row r="385" spans="2:4" hidden="1" x14ac:dyDescent="0.25">
      <c r="B385" s="38" t="s">
        <v>129</v>
      </c>
      <c r="C385" t="s">
        <v>234</v>
      </c>
      <c r="D385" t="s">
        <v>126</v>
      </c>
    </row>
    <row r="386" spans="2:4" hidden="1" x14ac:dyDescent="0.25">
      <c r="B386" s="38" t="s">
        <v>23</v>
      </c>
      <c r="C386" t="s">
        <v>276</v>
      </c>
      <c r="D386" t="s">
        <v>22</v>
      </c>
    </row>
    <row r="387" spans="2:4" hidden="1" x14ac:dyDescent="0.25">
      <c r="B387" s="38" t="s">
        <v>25</v>
      </c>
      <c r="C387" t="s">
        <v>277</v>
      </c>
      <c r="D387" t="s">
        <v>22</v>
      </c>
    </row>
    <row r="388" spans="2:4" hidden="1" x14ac:dyDescent="0.25">
      <c r="B388" s="38" t="s">
        <v>142</v>
      </c>
      <c r="C388" t="s">
        <v>278</v>
      </c>
      <c r="D388" t="s">
        <v>22</v>
      </c>
    </row>
    <row r="389" spans="2:4" hidden="1" x14ac:dyDescent="0.25">
      <c r="B389" s="38" t="s">
        <v>24</v>
      </c>
      <c r="C389" t="s">
        <v>279</v>
      </c>
      <c r="D389" t="s">
        <v>22</v>
      </c>
    </row>
    <row r="390" spans="2:4" hidden="1" x14ac:dyDescent="0.25">
      <c r="B390" s="12" t="s">
        <v>173</v>
      </c>
      <c r="C390" t="s">
        <v>280</v>
      </c>
      <c r="D390" t="s">
        <v>22</v>
      </c>
    </row>
    <row r="391" spans="2:4" hidden="1" x14ac:dyDescent="0.25">
      <c r="B391" s="38" t="s">
        <v>26</v>
      </c>
      <c r="C391" t="s">
        <v>281</v>
      </c>
      <c r="D391" t="s">
        <v>22</v>
      </c>
    </row>
    <row r="392" spans="2:4" hidden="1" x14ac:dyDescent="0.25">
      <c r="B392" s="38" t="s">
        <v>27</v>
      </c>
      <c r="C392" t="s">
        <v>282</v>
      </c>
      <c r="D392" t="s">
        <v>22</v>
      </c>
    </row>
    <row r="393" spans="2:4" hidden="1" x14ac:dyDescent="0.25">
      <c r="B393" s="38" t="s">
        <v>152</v>
      </c>
      <c r="C393" t="s">
        <v>214</v>
      </c>
      <c r="D393" t="s">
        <v>52</v>
      </c>
    </row>
    <row r="394" spans="2:4" hidden="1" x14ac:dyDescent="0.25">
      <c r="B394" s="38" t="s">
        <v>124</v>
      </c>
      <c r="C394" t="s">
        <v>215</v>
      </c>
      <c r="D394" t="s">
        <v>52</v>
      </c>
    </row>
    <row r="395" spans="2:4" hidden="1" x14ac:dyDescent="0.25">
      <c r="B395" s="38" t="s">
        <v>56</v>
      </c>
      <c r="C395" t="s">
        <v>216</v>
      </c>
      <c r="D395" t="s">
        <v>52</v>
      </c>
    </row>
    <row r="396" spans="2:4" hidden="1" x14ac:dyDescent="0.25">
      <c r="B396" s="38" t="s">
        <v>55</v>
      </c>
      <c r="C396" t="s">
        <v>217</v>
      </c>
      <c r="D396" t="s">
        <v>52</v>
      </c>
    </row>
    <row r="397" spans="2:4" hidden="1" x14ac:dyDescent="0.25">
      <c r="B397" s="38" t="s">
        <v>153</v>
      </c>
      <c r="C397" t="s">
        <v>218</v>
      </c>
      <c r="D397" t="s">
        <v>52</v>
      </c>
    </row>
    <row r="398" spans="2:4" hidden="1" x14ac:dyDescent="0.25">
      <c r="B398" s="38" t="s">
        <v>53</v>
      </c>
      <c r="C398" t="s">
        <v>219</v>
      </c>
      <c r="D398" t="s">
        <v>52</v>
      </c>
    </row>
    <row r="399" spans="2:4" hidden="1" x14ac:dyDescent="0.25">
      <c r="B399" s="38" t="s">
        <v>125</v>
      </c>
      <c r="C399" t="s">
        <v>220</v>
      </c>
      <c r="D399" t="s">
        <v>52</v>
      </c>
    </row>
    <row r="400" spans="2:4" hidden="1" x14ac:dyDescent="0.25">
      <c r="B400" s="38" t="s">
        <v>54</v>
      </c>
      <c r="C400" t="s">
        <v>221</v>
      </c>
      <c r="D400" t="s">
        <v>52</v>
      </c>
    </row>
    <row r="401" spans="2:4" hidden="1" x14ac:dyDescent="0.25">
      <c r="B401" s="40" t="s">
        <v>29</v>
      </c>
      <c r="C401" t="s">
        <v>283</v>
      </c>
      <c r="D401" t="s">
        <v>143</v>
      </c>
    </row>
    <row r="402" spans="2:4" hidden="1" x14ac:dyDescent="0.25">
      <c r="B402" s="38" t="s">
        <v>31</v>
      </c>
      <c r="C402" t="s">
        <v>284</v>
      </c>
      <c r="D402" t="s">
        <v>143</v>
      </c>
    </row>
    <row r="403" spans="2:4" hidden="1" x14ac:dyDescent="0.25">
      <c r="B403" s="38" t="s">
        <v>28</v>
      </c>
      <c r="C403" t="s">
        <v>285</v>
      </c>
      <c r="D403" t="s">
        <v>143</v>
      </c>
    </row>
    <row r="404" spans="2:4" hidden="1" x14ac:dyDescent="0.25">
      <c r="B404" s="38" t="s">
        <v>36</v>
      </c>
      <c r="C404" t="s">
        <v>286</v>
      </c>
      <c r="D404" t="s">
        <v>143</v>
      </c>
    </row>
    <row r="405" spans="2:4" hidden="1" x14ac:dyDescent="0.25">
      <c r="B405" s="38" t="s">
        <v>30</v>
      </c>
      <c r="C405" t="s">
        <v>287</v>
      </c>
      <c r="D405" t="s">
        <v>143</v>
      </c>
    </row>
    <row r="406" spans="2:4" hidden="1" x14ac:dyDescent="0.25">
      <c r="B406" s="12" t="s">
        <v>144</v>
      </c>
      <c r="C406" t="s">
        <v>288</v>
      </c>
      <c r="D406" t="s">
        <v>143</v>
      </c>
    </row>
    <row r="407" spans="2:4" hidden="1" x14ac:dyDescent="0.25">
      <c r="B407" s="40" t="s">
        <v>29</v>
      </c>
      <c r="C407" t="s">
        <v>283</v>
      </c>
      <c r="D407" t="s">
        <v>176</v>
      </c>
    </row>
    <row r="408" spans="2:4" hidden="1" x14ac:dyDescent="0.25">
      <c r="B408" s="38" t="s">
        <v>32</v>
      </c>
      <c r="C408" t="s">
        <v>289</v>
      </c>
      <c r="D408" t="s">
        <v>176</v>
      </c>
    </row>
    <row r="409" spans="2:4" hidden="1" x14ac:dyDescent="0.25">
      <c r="B409" s="38" t="s">
        <v>31</v>
      </c>
      <c r="C409" t="s">
        <v>284</v>
      </c>
      <c r="D409" t="s">
        <v>176</v>
      </c>
    </row>
    <row r="410" spans="2:4" hidden="1" x14ac:dyDescent="0.25">
      <c r="B410" s="38" t="s">
        <v>34</v>
      </c>
      <c r="C410" t="s">
        <v>290</v>
      </c>
      <c r="D410" t="s">
        <v>176</v>
      </c>
    </row>
    <row r="411" spans="2:4" hidden="1" x14ac:dyDescent="0.25">
      <c r="B411" s="38" t="s">
        <v>28</v>
      </c>
      <c r="C411" t="s">
        <v>285</v>
      </c>
      <c r="D411" t="s">
        <v>176</v>
      </c>
    </row>
    <row r="412" spans="2:4" hidden="1" x14ac:dyDescent="0.25">
      <c r="B412" s="38" t="s">
        <v>35</v>
      </c>
      <c r="C412" t="s">
        <v>291</v>
      </c>
      <c r="D412" t="s">
        <v>176</v>
      </c>
    </row>
    <row r="413" spans="2:4" hidden="1" x14ac:dyDescent="0.25">
      <c r="B413" s="38" t="s">
        <v>36</v>
      </c>
      <c r="C413" t="s">
        <v>286</v>
      </c>
      <c r="D413" t="s">
        <v>176</v>
      </c>
    </row>
    <row r="414" spans="2:4" hidden="1" x14ac:dyDescent="0.25">
      <c r="B414" s="38" t="s">
        <v>174</v>
      </c>
      <c r="C414" t="s">
        <v>292</v>
      </c>
      <c r="D414" t="s">
        <v>176</v>
      </c>
    </row>
    <row r="415" spans="2:4" hidden="1" x14ac:dyDescent="0.25">
      <c r="B415" s="38" t="s">
        <v>30</v>
      </c>
      <c r="C415" t="s">
        <v>287</v>
      </c>
      <c r="D415" t="s">
        <v>176</v>
      </c>
    </row>
    <row r="416" spans="2:4" hidden="1" x14ac:dyDescent="0.25">
      <c r="B416" s="12" t="s">
        <v>145</v>
      </c>
      <c r="C416" t="s">
        <v>293</v>
      </c>
      <c r="D416" t="s">
        <v>176</v>
      </c>
    </row>
    <row r="417" spans="2:4" hidden="1" x14ac:dyDescent="0.25">
      <c r="B417" s="12" t="s">
        <v>144</v>
      </c>
      <c r="C417" t="s">
        <v>288</v>
      </c>
      <c r="D417" t="s">
        <v>176</v>
      </c>
    </row>
    <row r="418" spans="2:4" hidden="1" x14ac:dyDescent="0.25">
      <c r="B418" s="38" t="s">
        <v>33</v>
      </c>
      <c r="C418" t="s">
        <v>294</v>
      </c>
      <c r="D418" t="s">
        <v>176</v>
      </c>
    </row>
    <row r="419" spans="2:4" hidden="1" x14ac:dyDescent="0.25">
      <c r="B419" s="38" t="s">
        <v>64</v>
      </c>
      <c r="C419" t="s">
        <v>247</v>
      </c>
      <c r="D419" t="s">
        <v>20</v>
      </c>
    </row>
    <row r="420" spans="2:4" hidden="1" x14ac:dyDescent="0.25">
      <c r="B420" s="38" t="s">
        <v>167</v>
      </c>
      <c r="C420" t="s">
        <v>248</v>
      </c>
      <c r="D420" t="s">
        <v>20</v>
      </c>
    </row>
    <row r="421" spans="2:4" hidden="1" x14ac:dyDescent="0.25">
      <c r="B421" s="38" t="s">
        <v>168</v>
      </c>
      <c r="C421" t="s">
        <v>249</v>
      </c>
      <c r="D421" t="s">
        <v>20</v>
      </c>
    </row>
    <row r="422" spans="2:4" hidden="1" x14ac:dyDescent="0.25">
      <c r="B422" s="38" t="s">
        <v>65</v>
      </c>
      <c r="C422" t="s">
        <v>250</v>
      </c>
      <c r="D422" t="s">
        <v>20</v>
      </c>
    </row>
    <row r="423" spans="2:4" hidden="1" x14ac:dyDescent="0.25">
      <c r="B423" s="38" t="s">
        <v>132</v>
      </c>
      <c r="C423" t="s">
        <v>251</v>
      </c>
      <c r="D423" t="s">
        <v>20</v>
      </c>
    </row>
    <row r="424" spans="2:4" hidden="1" x14ac:dyDescent="0.25">
      <c r="B424" s="38" t="s">
        <v>68</v>
      </c>
      <c r="C424" t="s">
        <v>252</v>
      </c>
      <c r="D424" t="s">
        <v>20</v>
      </c>
    </row>
    <row r="425" spans="2:4" hidden="1" x14ac:dyDescent="0.25">
      <c r="B425" s="38" t="s">
        <v>169</v>
      </c>
      <c r="C425" t="s">
        <v>253</v>
      </c>
      <c r="D425" t="s">
        <v>20</v>
      </c>
    </row>
    <row r="426" spans="2:4" hidden="1" x14ac:dyDescent="0.25">
      <c r="B426" s="38" t="s">
        <v>51</v>
      </c>
      <c r="C426" t="s">
        <v>201</v>
      </c>
      <c r="D426" t="s">
        <v>117</v>
      </c>
    </row>
    <row r="427" spans="2:4" hidden="1" x14ac:dyDescent="0.25">
      <c r="B427" s="38" t="s">
        <v>118</v>
      </c>
      <c r="C427" t="s">
        <v>202</v>
      </c>
      <c r="D427" t="s">
        <v>117</v>
      </c>
    </row>
    <row r="428" spans="2:4" hidden="1" x14ac:dyDescent="0.25">
      <c r="B428" s="38" t="s">
        <v>150</v>
      </c>
      <c r="C428" t="s">
        <v>203</v>
      </c>
      <c r="D428" t="s">
        <v>117</v>
      </c>
    </row>
    <row r="429" spans="2:4" hidden="1" x14ac:dyDescent="0.25">
      <c r="B429" s="38" t="s">
        <v>50</v>
      </c>
      <c r="C429" t="s">
        <v>204</v>
      </c>
      <c r="D429" t="s">
        <v>117</v>
      </c>
    </row>
    <row r="430" spans="2:4" hidden="1" x14ac:dyDescent="0.25">
      <c r="B430" s="38" t="s">
        <v>51</v>
      </c>
      <c r="C430" t="s">
        <v>201</v>
      </c>
      <c r="D430" t="s">
        <v>177</v>
      </c>
    </row>
    <row r="431" spans="2:4" hidden="1" x14ac:dyDescent="0.25">
      <c r="B431" s="38" t="s">
        <v>46</v>
      </c>
      <c r="C431" t="s">
        <v>205</v>
      </c>
      <c r="D431" t="s">
        <v>177</v>
      </c>
    </row>
    <row r="432" spans="2:4" hidden="1" x14ac:dyDescent="0.25">
      <c r="B432" s="38" t="s">
        <v>118</v>
      </c>
      <c r="C432" t="s">
        <v>202</v>
      </c>
      <c r="D432" t="s">
        <v>177</v>
      </c>
    </row>
    <row r="433" spans="2:4" hidden="1" x14ac:dyDescent="0.25">
      <c r="B433" s="38" t="s">
        <v>47</v>
      </c>
      <c r="C433" t="s">
        <v>206</v>
      </c>
      <c r="D433" t="s">
        <v>177</v>
      </c>
    </row>
    <row r="434" spans="2:4" hidden="1" x14ac:dyDescent="0.25">
      <c r="B434" s="38" t="s">
        <v>150</v>
      </c>
      <c r="C434" t="s">
        <v>203</v>
      </c>
      <c r="D434" t="s">
        <v>177</v>
      </c>
    </row>
    <row r="435" spans="2:4" hidden="1" x14ac:dyDescent="0.25">
      <c r="B435" s="38" t="s">
        <v>49</v>
      </c>
      <c r="C435" t="s">
        <v>207</v>
      </c>
      <c r="D435" t="s">
        <v>177</v>
      </c>
    </row>
    <row r="436" spans="2:4" hidden="1" x14ac:dyDescent="0.25">
      <c r="B436" s="38" t="s">
        <v>50</v>
      </c>
      <c r="C436" t="s">
        <v>204</v>
      </c>
      <c r="D436" t="s">
        <v>177</v>
      </c>
    </row>
    <row r="437" spans="2:4" hidden="1" x14ac:dyDescent="0.25">
      <c r="B437" s="38" t="s">
        <v>48</v>
      </c>
      <c r="C437" t="s">
        <v>208</v>
      </c>
      <c r="D437" t="s">
        <v>177</v>
      </c>
    </row>
    <row r="438" spans="2:4" hidden="1" x14ac:dyDescent="0.25">
      <c r="B438" s="38" t="s">
        <v>119</v>
      </c>
      <c r="C438" t="s">
        <v>209</v>
      </c>
      <c r="D438" t="s">
        <v>177</v>
      </c>
    </row>
    <row r="439" spans="2:4" hidden="1" x14ac:dyDescent="0.25">
      <c r="B439" s="38" t="s">
        <v>46</v>
      </c>
      <c r="C439" t="s">
        <v>205</v>
      </c>
      <c r="D439" s="39" t="s">
        <v>105</v>
      </c>
    </row>
    <row r="440" spans="2:4" hidden="1" x14ac:dyDescent="0.25">
      <c r="B440" s="38" t="s">
        <v>47</v>
      </c>
      <c r="C440" t="s">
        <v>206</v>
      </c>
      <c r="D440" s="39" t="s">
        <v>105</v>
      </c>
    </row>
    <row r="441" spans="2:4" hidden="1" x14ac:dyDescent="0.25">
      <c r="B441" s="38" t="s">
        <v>49</v>
      </c>
      <c r="C441" t="s">
        <v>207</v>
      </c>
      <c r="D441" s="39" t="s">
        <v>105</v>
      </c>
    </row>
    <row r="442" spans="2:4" hidden="1" x14ac:dyDescent="0.25">
      <c r="B442" s="38" t="s">
        <v>48</v>
      </c>
      <c r="C442" t="s">
        <v>208</v>
      </c>
      <c r="D442" s="39" t="s">
        <v>105</v>
      </c>
    </row>
    <row r="443" spans="2:4" hidden="1" x14ac:dyDescent="0.25">
      <c r="B443" s="38" t="s">
        <v>119</v>
      </c>
      <c r="C443" t="s">
        <v>209</v>
      </c>
      <c r="D443" s="39" t="s">
        <v>105</v>
      </c>
    </row>
    <row r="444" spans="2:4" hidden="1" x14ac:dyDescent="0.25">
      <c r="B444" s="38" t="s">
        <v>151</v>
      </c>
      <c r="C444" t="s">
        <v>210</v>
      </c>
      <c r="D444" t="s">
        <v>120</v>
      </c>
    </row>
    <row r="445" spans="2:4" hidden="1" x14ac:dyDescent="0.25">
      <c r="B445" s="38" t="s">
        <v>121</v>
      </c>
      <c r="C445" t="s">
        <v>211</v>
      </c>
      <c r="D445" t="s">
        <v>120</v>
      </c>
    </row>
    <row r="446" spans="2:4" hidden="1" x14ac:dyDescent="0.25">
      <c r="B446" s="38" t="s">
        <v>122</v>
      </c>
      <c r="C446" t="s">
        <v>212</v>
      </c>
      <c r="D446" t="s">
        <v>120</v>
      </c>
    </row>
    <row r="447" spans="2:4" hidden="1" x14ac:dyDescent="0.25">
      <c r="B447" s="38" t="s">
        <v>123</v>
      </c>
      <c r="C447" t="s">
        <v>213</v>
      </c>
      <c r="D447" t="s">
        <v>120</v>
      </c>
    </row>
    <row r="448" spans="2:4" hidden="1" x14ac:dyDescent="0.25">
      <c r="B448" s="38" t="s">
        <v>152</v>
      </c>
      <c r="C448" t="s">
        <v>214</v>
      </c>
      <c r="D448" t="s">
        <v>17</v>
      </c>
    </row>
    <row r="449" spans="2:4" hidden="1" x14ac:dyDescent="0.25">
      <c r="B449" s="38" t="s">
        <v>59</v>
      </c>
      <c r="C449" t="s">
        <v>222</v>
      </c>
      <c r="D449" t="s">
        <v>17</v>
      </c>
    </row>
    <row r="450" spans="2:4" hidden="1" x14ac:dyDescent="0.25">
      <c r="B450" s="38" t="s">
        <v>124</v>
      </c>
      <c r="C450" t="s">
        <v>215</v>
      </c>
      <c r="D450" t="s">
        <v>17</v>
      </c>
    </row>
    <row r="451" spans="2:4" hidden="1" x14ac:dyDescent="0.25">
      <c r="B451" s="38" t="s">
        <v>58</v>
      </c>
      <c r="C451" t="s">
        <v>223</v>
      </c>
      <c r="D451" t="s">
        <v>17</v>
      </c>
    </row>
    <row r="452" spans="2:4" hidden="1" x14ac:dyDescent="0.25">
      <c r="B452" s="38" t="s">
        <v>56</v>
      </c>
      <c r="C452" t="s">
        <v>216</v>
      </c>
      <c r="D452" t="s">
        <v>17</v>
      </c>
    </row>
    <row r="453" spans="2:4" hidden="1" x14ac:dyDescent="0.25">
      <c r="B453" s="38" t="s">
        <v>154</v>
      </c>
      <c r="C453" t="s">
        <v>224</v>
      </c>
      <c r="D453" t="s">
        <v>17</v>
      </c>
    </row>
    <row r="454" spans="2:4" hidden="1" x14ac:dyDescent="0.25">
      <c r="B454" s="38" t="s">
        <v>55</v>
      </c>
      <c r="C454" t="s">
        <v>217</v>
      </c>
      <c r="D454" t="s">
        <v>17</v>
      </c>
    </row>
    <row r="455" spans="2:4" hidden="1" x14ac:dyDescent="0.25">
      <c r="B455" s="38" t="s">
        <v>155</v>
      </c>
      <c r="C455" t="s">
        <v>225</v>
      </c>
      <c r="D455" t="s">
        <v>17</v>
      </c>
    </row>
    <row r="456" spans="2:4" hidden="1" x14ac:dyDescent="0.25">
      <c r="B456" s="38" t="s">
        <v>153</v>
      </c>
      <c r="C456" t="s">
        <v>218</v>
      </c>
      <c r="D456" t="s">
        <v>17</v>
      </c>
    </row>
    <row r="457" spans="2:4" hidden="1" x14ac:dyDescent="0.25">
      <c r="B457" s="38" t="s">
        <v>60</v>
      </c>
      <c r="C457" t="s">
        <v>226</v>
      </c>
      <c r="D457" t="s">
        <v>17</v>
      </c>
    </row>
    <row r="458" spans="2:4" hidden="1" x14ac:dyDescent="0.25">
      <c r="B458" s="38" t="s">
        <v>53</v>
      </c>
      <c r="C458" t="s">
        <v>219</v>
      </c>
      <c r="D458" t="s">
        <v>17</v>
      </c>
    </row>
    <row r="459" spans="2:4" hidden="1" x14ac:dyDescent="0.25">
      <c r="B459" s="38" t="s">
        <v>125</v>
      </c>
      <c r="C459" t="s">
        <v>220</v>
      </c>
      <c r="D459" t="s">
        <v>17</v>
      </c>
    </row>
    <row r="460" spans="2:4" hidden="1" x14ac:dyDescent="0.25">
      <c r="B460" s="38" t="s">
        <v>54</v>
      </c>
      <c r="C460" t="s">
        <v>221</v>
      </c>
      <c r="D460" t="s">
        <v>17</v>
      </c>
    </row>
    <row r="461" spans="2:4" hidden="1" x14ac:dyDescent="0.25">
      <c r="B461" s="38" t="s">
        <v>131</v>
      </c>
      <c r="C461" t="s">
        <v>235</v>
      </c>
      <c r="D461" t="s">
        <v>130</v>
      </c>
    </row>
    <row r="462" spans="2:4" hidden="1" x14ac:dyDescent="0.25">
      <c r="B462" s="38" t="s">
        <v>159</v>
      </c>
      <c r="C462" t="s">
        <v>236</v>
      </c>
      <c r="D462" t="s">
        <v>130</v>
      </c>
    </row>
    <row r="463" spans="2:4" hidden="1" x14ac:dyDescent="0.25">
      <c r="B463" s="38" t="s">
        <v>160</v>
      </c>
      <c r="C463" t="s">
        <v>237</v>
      </c>
      <c r="D463" t="s">
        <v>130</v>
      </c>
    </row>
    <row r="464" spans="2:4" hidden="1" x14ac:dyDescent="0.25">
      <c r="B464" s="38" t="s">
        <v>161</v>
      </c>
      <c r="C464" t="s">
        <v>238</v>
      </c>
      <c r="D464" t="s">
        <v>130</v>
      </c>
    </row>
    <row r="465" spans="2:4" hidden="1" x14ac:dyDescent="0.25">
      <c r="B465" s="38" t="s">
        <v>162</v>
      </c>
      <c r="C465" t="s">
        <v>239</v>
      </c>
      <c r="D465" t="s">
        <v>130</v>
      </c>
    </row>
    <row r="466" spans="2:4" hidden="1" x14ac:dyDescent="0.25">
      <c r="B466" s="40" t="s">
        <v>163</v>
      </c>
      <c r="C466" t="s">
        <v>240</v>
      </c>
      <c r="D466" t="s">
        <v>130</v>
      </c>
    </row>
    <row r="467" spans="2:4" hidden="1" x14ac:dyDescent="0.25">
      <c r="B467" s="40" t="s">
        <v>164</v>
      </c>
      <c r="C467" t="s">
        <v>241</v>
      </c>
      <c r="D467" t="s">
        <v>130</v>
      </c>
    </row>
    <row r="468" spans="2:4" hidden="1" x14ac:dyDescent="0.25">
      <c r="B468" s="38" t="s">
        <v>43</v>
      </c>
      <c r="C468" t="s">
        <v>242</v>
      </c>
      <c r="D468" t="s">
        <v>130</v>
      </c>
    </row>
    <row r="469" spans="2:4" hidden="1" x14ac:dyDescent="0.25">
      <c r="B469" s="40" t="s">
        <v>165</v>
      </c>
      <c r="C469" t="s">
        <v>243</v>
      </c>
      <c r="D469" t="s">
        <v>130</v>
      </c>
    </row>
    <row r="470" spans="2:4" hidden="1" x14ac:dyDescent="0.25">
      <c r="B470" s="40" t="s">
        <v>166</v>
      </c>
      <c r="C470" t="s">
        <v>244</v>
      </c>
      <c r="D470" t="s">
        <v>130</v>
      </c>
    </row>
    <row r="471" spans="2:4" hidden="1" x14ac:dyDescent="0.25">
      <c r="B471" s="38" t="s">
        <v>44</v>
      </c>
      <c r="C471" t="s">
        <v>245</v>
      </c>
      <c r="D471" t="s">
        <v>130</v>
      </c>
    </row>
    <row r="472" spans="2:4" hidden="1" x14ac:dyDescent="0.25">
      <c r="B472" s="40" t="s">
        <v>45</v>
      </c>
      <c r="C472" t="s">
        <v>246</v>
      </c>
      <c r="D472" t="s">
        <v>130</v>
      </c>
    </row>
    <row r="473" spans="2:4" hidden="1" x14ac:dyDescent="0.25">
      <c r="B473" s="38" t="s">
        <v>59</v>
      </c>
      <c r="C473" t="s">
        <v>222</v>
      </c>
      <c r="D473" t="s">
        <v>57</v>
      </c>
    </row>
    <row r="474" spans="2:4" hidden="1" x14ac:dyDescent="0.25">
      <c r="B474" s="38" t="s">
        <v>58</v>
      </c>
      <c r="C474" t="s">
        <v>223</v>
      </c>
      <c r="D474" t="s">
        <v>57</v>
      </c>
    </row>
    <row r="475" spans="2:4" hidden="1" x14ac:dyDescent="0.25">
      <c r="B475" s="38" t="s">
        <v>154</v>
      </c>
      <c r="C475" t="s">
        <v>224</v>
      </c>
      <c r="D475" t="s">
        <v>57</v>
      </c>
    </row>
    <row r="476" spans="2:4" hidden="1" x14ac:dyDescent="0.25">
      <c r="B476" s="38" t="s">
        <v>155</v>
      </c>
      <c r="C476" t="s">
        <v>225</v>
      </c>
      <c r="D476" t="s">
        <v>57</v>
      </c>
    </row>
    <row r="477" spans="2:4" hidden="1" x14ac:dyDescent="0.25">
      <c r="B477" s="38" t="s">
        <v>60</v>
      </c>
      <c r="C477" t="s">
        <v>226</v>
      </c>
      <c r="D477" t="s">
        <v>57</v>
      </c>
    </row>
  </sheetData>
  <mergeCells count="16">
    <mergeCell ref="T25:Y25"/>
    <mergeCell ref="T34:Y34"/>
    <mergeCell ref="Z17:AC17"/>
    <mergeCell ref="Z25:AC25"/>
    <mergeCell ref="Z34:AC34"/>
    <mergeCell ref="H25:M25"/>
    <mergeCell ref="H34:M34"/>
    <mergeCell ref="N17:S17"/>
    <mergeCell ref="N25:S25"/>
    <mergeCell ref="N34:S34"/>
    <mergeCell ref="H8:M8"/>
    <mergeCell ref="N8:S8"/>
    <mergeCell ref="T8:Y8"/>
    <mergeCell ref="Z8:AC8"/>
    <mergeCell ref="H17:M17"/>
    <mergeCell ref="T17:Y17"/>
  </mergeCells>
  <dataValidations count="2">
    <dataValidation type="list" allowBlank="1" showInputMessage="1" showErrorMessage="1" sqref="S20:T24 Y37:Y42 S37:T42 S11:T16 Y20:Y24 M37:M42 Y11:Y16 S28:T33 Y28:Y33 M28:M33">
      <formula1>$C$63:$C$65</formula1>
    </dataValidation>
    <dataValidation type="list" allowBlank="1" showInputMessage="1" showErrorMessage="1" sqref="C28:C33 C11:C16 C20:C24 C37:C42">
      <formula1>INDIRECT(D11)</formula1>
    </dataValidation>
  </dataValidations>
  <hyperlinks>
    <hyperlink ref="B207" r:id="rId1"/>
    <hyperlink ref="B156" r:id="rId2"/>
    <hyperlink ref="B154" r:id="rId3"/>
    <hyperlink ref="B153" r:id="rId4"/>
    <hyperlink ref="B150" r:id="rId5"/>
    <hyperlink ref="B151" r:id="rId6"/>
    <hyperlink ref="B94" r:id="rId7"/>
    <hyperlink ref="B75" r:id="rId8"/>
    <hyperlink ref="B74" r:id="rId9"/>
    <hyperlink ref="B72" r:id="rId10"/>
    <hyperlink ref="B73" r:id="rId11"/>
    <hyperlink ref="B76" r:id="rId12"/>
    <hyperlink ref="B77" r:id="rId13"/>
    <hyperlink ref="B71" r:id="rId14"/>
    <hyperlink ref="B82" r:id="rId15"/>
    <hyperlink ref="B80" r:id="rId16"/>
    <hyperlink ref="B81" r:id="rId17"/>
    <hyperlink ref="B83" r:id="rId18"/>
    <hyperlink ref="B86" r:id="rId19"/>
    <hyperlink ref="B87" r:id="rId20"/>
    <hyperlink ref="B89" r:id="rId21"/>
    <hyperlink ref="B88" r:id="rId22"/>
    <hyperlink ref="B90" r:id="rId23"/>
    <hyperlink ref="B91" r:id="rId24"/>
    <hyperlink ref="B92" r:id="rId25"/>
    <hyperlink ref="B93" r:id="rId26"/>
    <hyperlink ref="B96" r:id="rId27"/>
    <hyperlink ref="B95" r:id="rId28"/>
    <hyperlink ref="B105" r:id="rId29"/>
    <hyperlink ref="B108" r:id="rId30"/>
    <hyperlink ref="B109" r:id="rId31"/>
    <hyperlink ref="B107" r:id="rId32"/>
    <hyperlink ref="B106" r:id="rId33"/>
    <hyperlink ref="B101" r:id="rId34"/>
    <hyperlink ref="B102" r:id="rId35"/>
    <hyperlink ref="B100" r:id="rId36"/>
    <hyperlink ref="B99" r:id="rId37"/>
    <hyperlink ref="B136" r:id="rId38"/>
    <hyperlink ref="B135" r:id="rId39"/>
    <hyperlink ref="B138" r:id="rId40"/>
    <hyperlink ref="B141" r:id="rId41"/>
    <hyperlink ref="B148" r:id="rId42"/>
    <hyperlink ref="B145" r:id="rId43"/>
    <hyperlink ref="B146" r:id="rId44"/>
    <hyperlink ref="B147" r:id="rId45"/>
    <hyperlink ref="B155" r:id="rId46"/>
    <hyperlink ref="B149" r:id="rId47"/>
    <hyperlink ref="B152" r:id="rId48"/>
    <hyperlink ref="B139" r:id="rId49"/>
    <hyperlink ref="B137" r:id="rId50"/>
    <hyperlink ref="B113" r:id="rId51"/>
    <hyperlink ref="B112" r:id="rId52"/>
    <hyperlink ref="B114" r:id="rId53"/>
    <hyperlink ref="B140" r:id="rId54"/>
    <hyperlink ref="B115" r:id="rId55"/>
    <hyperlink ref="B142" r:id="rId56"/>
    <hyperlink ref="B159" r:id="rId57"/>
    <hyperlink ref="B164" r:id="rId58"/>
    <hyperlink ref="B165" r:id="rId59"/>
    <hyperlink ref="B161" r:id="rId60"/>
    <hyperlink ref="B170" r:id="rId61"/>
    <hyperlink ref="B160" r:id="rId62"/>
    <hyperlink ref="B171" r:id="rId63"/>
    <hyperlink ref="B178" r:id="rId64"/>
    <hyperlink ref="B174" r:id="rId65"/>
    <hyperlink ref="B172" r:id="rId66"/>
    <hyperlink ref="B173" r:id="rId67"/>
    <hyperlink ref="B162" r:id="rId68"/>
    <hyperlink ref="B163" r:id="rId69"/>
    <hyperlink ref="B168" r:id="rId70"/>
    <hyperlink ref="B169" r:id="rId71"/>
    <hyperlink ref="B179" r:id="rId72"/>
    <hyperlink ref="B180" r:id="rId73"/>
    <hyperlink ref="B181" r:id="rId74"/>
    <hyperlink ref="B175" r:id="rId75"/>
    <hyperlink ref="B185" r:id="rId76"/>
    <hyperlink ref="B184" r:id="rId77"/>
    <hyperlink ref="B186" r:id="rId78"/>
    <hyperlink ref="B198" r:id="rId79"/>
    <hyperlink ref="B201" r:id="rId80"/>
    <hyperlink ref="B199" r:id="rId81"/>
    <hyperlink ref="B211" r:id="rId82"/>
    <hyperlink ref="B208" r:id="rId83"/>
    <hyperlink ref="B215" r:id="rId84"/>
    <hyperlink ref="B220" r:id="rId85"/>
    <hyperlink ref="B203" r:id="rId86"/>
    <hyperlink ref="B204" r:id="rId87"/>
    <hyperlink ref="B209" r:id="rId88"/>
    <hyperlink ref="B210" r:id="rId89"/>
    <hyperlink ref="B218" r:id="rId90"/>
    <hyperlink ref="B200" r:id="rId91"/>
    <hyperlink ref="B190" r:id="rId92"/>
    <hyperlink ref="B189" r:id="rId93"/>
    <hyperlink ref="B193" r:id="rId94"/>
    <hyperlink ref="B191" r:id="rId95"/>
    <hyperlink ref="B192" r:id="rId96"/>
    <hyperlink ref="B194" r:id="rId97"/>
    <hyperlink ref="B195" r:id="rId98"/>
    <hyperlink ref="B120" r:id="rId99"/>
    <hyperlink ref="B121" r:id="rId100"/>
    <hyperlink ref="B216" r:id="rId101"/>
    <hyperlink ref="B217" r:id="rId102"/>
    <hyperlink ref="B202" r:id="rId103"/>
    <hyperlink ref="B219" r:id="rId104"/>
    <hyperlink ref="B212" r:id="rId105"/>
    <hyperlink ref="B123" r:id="rId106"/>
    <hyperlink ref="B124" r:id="rId107"/>
    <hyperlink ref="B125" r:id="rId108"/>
    <hyperlink ref="B118" r:id="rId109"/>
    <hyperlink ref="B122" r:id="rId110"/>
    <hyperlink ref="B132" r:id="rId111"/>
    <hyperlink ref="B128" r:id="rId112"/>
    <hyperlink ref="B129" r:id="rId113"/>
    <hyperlink ref="B130" r:id="rId114"/>
    <hyperlink ref="B131" r:id="rId115"/>
    <hyperlink ref="B119" r:id="rId116"/>
    <hyperlink ref="B228" r:id="rId117"/>
    <hyperlink ref="B230" r:id="rId118"/>
    <hyperlink ref="B234" r:id="rId119"/>
    <hyperlink ref="B235" r:id="rId120"/>
    <hyperlink ref="B236" r:id="rId121"/>
    <hyperlink ref="B224" r:id="rId122"/>
    <hyperlink ref="B232" r:id="rId123"/>
    <hyperlink ref="B233" r:id="rId124"/>
    <hyperlink ref="B225" r:id="rId125"/>
    <hyperlink ref="B227" r:id="rId126"/>
    <hyperlink ref="B229" r:id="rId127"/>
    <hyperlink ref="B231" r:id="rId128"/>
    <hyperlink ref="B226" r:id="rId129"/>
    <hyperlink ref="B238" r:id="rId130"/>
    <hyperlink ref="B246" r:id="rId131"/>
    <hyperlink ref="B240" r:id="rId132"/>
    <hyperlink ref="B242" r:id="rId133"/>
    <hyperlink ref="B244" r:id="rId134"/>
    <hyperlink ref="B248" r:id="rId135"/>
    <hyperlink ref="B239" r:id="rId136"/>
    <hyperlink ref="B249" r:id="rId137"/>
    <hyperlink ref="B245" r:id="rId138"/>
    <hyperlink ref="B241" r:id="rId139"/>
    <hyperlink ref="B243" r:id="rId140"/>
    <hyperlink ref="B247" r:id="rId141"/>
    <hyperlink ref="B260" r:id="rId142"/>
    <hyperlink ref="B264" r:id="rId143"/>
    <hyperlink ref="B268" r:id="rId144"/>
    <hyperlink ref="B269" r:id="rId145"/>
    <hyperlink ref="B270" r:id="rId146"/>
    <hyperlink ref="B252" r:id="rId147"/>
    <hyperlink ref="B266" r:id="rId148"/>
    <hyperlink ref="B267" r:id="rId149"/>
    <hyperlink ref="B254" r:id="rId150"/>
    <hyperlink ref="B258" r:id="rId151"/>
    <hyperlink ref="B262" r:id="rId152"/>
    <hyperlink ref="B265" r:id="rId153"/>
    <hyperlink ref="B256" r:id="rId154"/>
    <hyperlink ref="B253" r:id="rId155"/>
    <hyperlink ref="B251" r:id="rId156"/>
    <hyperlink ref="B259" r:id="rId157"/>
    <hyperlink ref="B255" r:id="rId158"/>
    <hyperlink ref="B257" r:id="rId159"/>
    <hyperlink ref="B261" r:id="rId160"/>
    <hyperlink ref="B263" r:id="rId161"/>
    <hyperlink ref="B274" r:id="rId162"/>
    <hyperlink ref="B280" r:id="rId163"/>
    <hyperlink ref="B281" r:id="rId164"/>
    <hyperlink ref="B278" r:id="rId165"/>
    <hyperlink ref="B276" r:id="rId166"/>
    <hyperlink ref="B277" r:id="rId167"/>
    <hyperlink ref="B279" r:id="rId168"/>
    <hyperlink ref="B275" r:id="rId169"/>
    <hyperlink ref="B273" r:id="rId170"/>
    <hyperlink ref="C207" r:id="rId171"/>
    <hyperlink ref="C156" r:id="rId172"/>
    <hyperlink ref="C154" r:id="rId173"/>
    <hyperlink ref="C153" r:id="rId174"/>
    <hyperlink ref="C150" r:id="rId175"/>
    <hyperlink ref="C151" r:id="rId176"/>
    <hyperlink ref="C94" r:id="rId177"/>
    <hyperlink ref="C75" r:id="rId178"/>
    <hyperlink ref="C238" r:id="rId179"/>
  </hyperlinks>
  <pageMargins left="0.7" right="0.7" top="0.75" bottom="0.75" header="0.3" footer="0.3"/>
  <pageSetup scale="38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Mesocycle 1 Basic Hypertrophy</vt:lpstr>
      <vt:lpstr>Mesocycle 2 Metabolite Focus</vt:lpstr>
      <vt:lpstr>Mesocycle 3 Resensitization</vt:lpstr>
      <vt:lpstr>'Mesocycle 1 Basic Hypertrophy'!Print_Area</vt:lpstr>
      <vt:lpstr>'Mesocycle 2 Metabolite Focus'!Print_Area</vt:lpstr>
      <vt:lpstr>'Mesocycle 3 Resensitization'!Print_Area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2016-12-05T20:36:55Z</dcterms:modified>
</cp:coreProperties>
</file>