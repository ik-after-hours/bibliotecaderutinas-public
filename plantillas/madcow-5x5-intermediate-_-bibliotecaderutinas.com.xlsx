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ezar aqui" sheetId="1" r:id="rId4"/>
    <sheet state="visible" name="Programa" sheetId="2" r:id="rId5"/>
    <sheet state="visible" name="Predicción 1RM" sheetId="3" r:id="rId6"/>
  </sheets>
  <definedNames>
    <definedName name="OHPMAX">'Empezar aqui'!$G$13</definedName>
    <definedName name="DLMAX">'Empezar aqui'!$G$14</definedName>
    <definedName name="BBRMAX">'Empezar aqui'!$G$12</definedName>
    <definedName name="BPTON">'Empezar aqui'!$F$11</definedName>
    <definedName name="BBR">'Empezar aqui'!$I$12</definedName>
    <definedName name="DLINT">'Empezar aqui'!$E$14</definedName>
    <definedName name="SQINT">'Empezar aqui'!$E$10</definedName>
    <definedName name="DLTON">'Empezar aqui'!$F$14</definedName>
    <definedName name="DL">'Empezar aqui'!$I$14</definedName>
    <definedName name="SQ">'Empezar aqui'!$I$10</definedName>
    <definedName name="OHP">'Empezar aqui'!$I$13</definedName>
    <definedName name="SQTON">'Empezar aqui'!$F$10</definedName>
    <definedName name="BPINT">'Empezar aqui'!$E$11</definedName>
    <definedName name="PLATE">'Empezar aqui'!$D$16</definedName>
    <definedName name="SQMAX">'Empezar aqui'!$G$10</definedName>
    <definedName name="PRWEEK">'Empezar aqui'!$D$17</definedName>
    <definedName name="BBRINT">'Empezar aqui'!$E$12</definedName>
    <definedName name="BBRTON">'Empezar aqui'!$F$12</definedName>
    <definedName name="OHPINT">'Empezar aqui'!$E$13</definedName>
    <definedName name="OHPTON">'Empezar aqui'!$F$13</definedName>
    <definedName name="BP">'Empezar aqui'!$I$11</definedName>
    <definedName name="BPMAX">'Empezar aqui'!$G$11</definedName>
  </definedNames>
  <calcPr/>
  <extLst>
    <ext uri="GoogleSheetsCustomDataVersion1">
      <go:sheetsCustomData xmlns:go="http://customooxmlschemas.google.com/" r:id="rId7" roundtripDataSignature="AMtx7mjTDEKh2WjJYT1xTeOqAWQD4v5c9g=="/>
    </ext>
  </extLst>
</workbook>
</file>

<file path=xl/sharedStrings.xml><?xml version="1.0" encoding="utf-8"?>
<sst xmlns="http://schemas.openxmlformats.org/spreadsheetml/2006/main" count="93" uniqueCount="31">
  <si>
    <t>BIBLIOTECADERUTINAS.COM</t>
  </si>
  <si>
    <t>Madcow 5x5</t>
  </si>
  <si>
    <t>Ejercicio</t>
  </si>
  <si>
    <t>Peso de prueba</t>
  </si>
  <si>
    <t>Reps</t>
  </si>
  <si>
    <t>Intervalos</t>
  </si>
  <si>
    <t>Tonelaje</t>
  </si>
  <si>
    <t>1RM</t>
  </si>
  <si>
    <t>5RM</t>
  </si>
  <si>
    <t>Peso inicial</t>
  </si>
  <si>
    <t>Sentadilla</t>
  </si>
  <si>
    <t>Press de banca</t>
  </si>
  <si>
    <t>Remo</t>
  </si>
  <si>
    <t>Press militar</t>
  </si>
  <si>
    <t>Peso muerto</t>
  </si>
  <si>
    <t>Discos accesibles más pequeños</t>
  </si>
  <si>
    <t>Semana en la que se logrará el 5RM testeado#</t>
  </si>
  <si>
    <t>Rellenar las celdas turquesa</t>
  </si>
  <si>
    <t>Madcow 5x5 Intermedios</t>
  </si>
  <si>
    <t>Semana</t>
  </si>
  <si>
    <t>Dia</t>
  </si>
  <si>
    <t>Lunes</t>
  </si>
  <si>
    <t>Wednesday</t>
  </si>
  <si>
    <t>Press</t>
  </si>
  <si>
    <t>Viernes</t>
  </si>
  <si>
    <t>Predicciones de 1RM y Volumen Total levantado</t>
  </si>
  <si>
    <t>Relevant</t>
  </si>
  <si>
    <t>Total</t>
  </si>
  <si>
    <t>Banca</t>
  </si>
  <si>
    <t>Miercoles</t>
  </si>
  <si>
    <t>Total semanal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</si>
</sst>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</font>
    <font>
      <b/>
      <sz val="14.0"/>
      <color theme="1"/>
      <name val="Arial"/>
    </font>
    <font>
      <b/>
      <u/>
      <sz val="10.0"/>
      <color rgb="FF1155CC"/>
      <name val="Arial"/>
    </font>
    <font>
      <sz val="10.0"/>
      <color theme="1"/>
      <name val="Arial"/>
    </font>
    <font>
      <b/>
      <sz val="14.0"/>
      <name val="Arial"/>
    </font>
    <font>
      <b/>
      <sz val="10.0"/>
      <color theme="1"/>
      <name val="Arial"/>
    </font>
    <font/>
    <font>
      <sz val="10.0"/>
      <name val="Arial"/>
    </font>
    <font>
      <sz val="7.0"/>
      <color theme="1"/>
      <name val="Arial"/>
    </font>
    <font>
      <b/>
      <sz val="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</fills>
  <borders count="4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medium">
        <color rgb="FF000000"/>
      </right>
      <top style="double">
        <color rgb="FF000000"/>
      </top>
      <bottom/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1" fillId="3" fontId="5" numFmtId="0" xfId="0" applyAlignment="1" applyBorder="1" applyFill="1" applyFon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3" fillId="3" fontId="5" numFmtId="0" xfId="0" applyAlignment="1" applyBorder="1" applyFont="1">
      <alignment horizontal="right" shrinkToFit="0" wrapText="0"/>
    </xf>
    <xf borderId="3" fillId="3" fontId="5" numFmtId="0" xfId="0" applyAlignment="1" applyBorder="1" applyFont="1">
      <alignment horizontal="right" readingOrder="0" shrinkToFit="0" wrapText="0"/>
    </xf>
    <xf borderId="4" fillId="3" fontId="5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7" fillId="4" fontId="3" numFmtId="0" xfId="0" applyAlignment="1" applyBorder="1" applyFill="1" applyFont="1">
      <alignment horizontal="right" shrinkToFit="0" wrapText="0"/>
    </xf>
    <xf borderId="8" fillId="4" fontId="3" numFmtId="0" xfId="0" applyAlignment="1" applyBorder="1" applyFont="1">
      <alignment horizontal="right" shrinkToFit="0" wrapText="0"/>
    </xf>
    <xf borderId="8" fillId="5" fontId="3" numFmtId="164" xfId="0" applyAlignment="1" applyBorder="1" applyFill="1" applyFont="1" applyNumberFormat="1">
      <alignment horizontal="right" shrinkToFit="0" wrapText="0"/>
    </xf>
    <xf borderId="8" fillId="6" fontId="3" numFmtId="1" xfId="0" applyAlignment="1" applyBorder="1" applyFill="1" applyFont="1" applyNumberFormat="1">
      <alignment horizontal="right" shrinkToFit="0" wrapText="0"/>
    </xf>
    <xf borderId="9" fillId="6" fontId="3" numFmtId="1" xfId="0" applyAlignment="1" applyBorder="1" applyFont="1" applyNumberFormat="1">
      <alignment horizontal="right" shrinkToFit="0" wrapText="0"/>
    </xf>
    <xf borderId="10" fillId="6" fontId="3" numFmtId="0" xfId="0" applyAlignment="1" applyBorder="1" applyFont="1">
      <alignment shrinkToFit="0" wrapText="0"/>
    </xf>
    <xf borderId="11" fillId="3" fontId="5" numFmtId="0" xfId="0" applyAlignment="1" applyBorder="1" applyFont="1">
      <alignment horizontal="right" readingOrder="0" shrinkToFit="0" wrapText="0"/>
    </xf>
    <xf borderId="12" fillId="4" fontId="3" numFmtId="0" xfId="0" applyAlignment="1" applyBorder="1" applyFont="1">
      <alignment horizontal="right" shrinkToFit="0" wrapText="0"/>
    </xf>
    <xf borderId="13" fillId="4" fontId="3" numFmtId="0" xfId="0" applyAlignment="1" applyBorder="1" applyFont="1">
      <alignment horizontal="right" shrinkToFit="0" wrapText="0"/>
    </xf>
    <xf borderId="13" fillId="5" fontId="3" numFmtId="164" xfId="0" applyAlignment="1" applyBorder="1" applyFont="1" applyNumberFormat="1">
      <alignment horizontal="right" shrinkToFit="0" wrapText="0"/>
    </xf>
    <xf borderId="13" fillId="6" fontId="3" numFmtId="1" xfId="0" applyAlignment="1" applyBorder="1" applyFont="1" applyNumberFormat="1">
      <alignment horizontal="right" shrinkToFit="0" wrapText="0"/>
    </xf>
    <xf borderId="14" fillId="6" fontId="3" numFmtId="1" xfId="0" applyAlignment="1" applyBorder="1" applyFont="1" applyNumberFormat="1">
      <alignment horizontal="right" shrinkToFit="0" wrapText="0"/>
    </xf>
    <xf borderId="15" fillId="6" fontId="3" numFmtId="0" xfId="0" applyAlignment="1" applyBorder="1" applyFont="1">
      <alignment shrinkToFit="0" wrapText="0"/>
    </xf>
    <xf borderId="16" fillId="3" fontId="5" numFmtId="0" xfId="0" applyAlignment="1" applyBorder="1" applyFont="1">
      <alignment horizontal="right" readingOrder="0" shrinkToFit="0" wrapText="0"/>
    </xf>
    <xf borderId="17" fillId="0" fontId="6" numFmtId="0" xfId="0" applyBorder="1" applyFont="1"/>
    <xf borderId="18" fillId="4" fontId="3" numFmtId="0" xfId="0" applyAlignment="1" applyBorder="1" applyFont="1">
      <alignment horizontal="right" shrinkToFit="0" wrapText="0"/>
    </xf>
    <xf borderId="19" fillId="3" fontId="5" numFmtId="0" xfId="0" applyAlignment="1" applyBorder="1" applyFont="1">
      <alignment horizontal="right" readingOrder="0" shrinkToFit="0" wrapText="0"/>
    </xf>
    <xf borderId="20" fillId="0" fontId="6" numFmtId="0" xfId="0" applyBorder="1" applyFont="1"/>
    <xf borderId="21" fillId="4" fontId="3" numFmtId="0" xfId="0" applyAlignment="1" applyBorder="1" applyFont="1">
      <alignment horizontal="right" shrinkToFit="0" wrapText="0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horizontal="right" shrinkToFit="0" wrapText="0"/>
    </xf>
    <xf borderId="0" fillId="0" fontId="3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  <xf borderId="16" fillId="3" fontId="5" numFmtId="0" xfId="0" applyAlignment="1" applyBorder="1" applyFont="1">
      <alignment horizontal="center" readingOrder="0" shrinkToFit="0" wrapText="0"/>
    </xf>
    <xf borderId="22" fillId="0" fontId="6" numFmtId="0" xfId="0" applyBorder="1" applyFont="1"/>
    <xf borderId="2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13" fillId="3" fontId="5" numFmtId="0" xfId="0" applyAlignment="1" applyBorder="1" applyFont="1">
      <alignment horizontal="right" shrinkToFit="0" wrapText="0"/>
    </xf>
    <xf borderId="23" fillId="3" fontId="5" numFmtId="0" xfId="0" applyAlignment="1" applyBorder="1" applyFont="1">
      <alignment horizontal="right" shrinkToFit="0" wrapText="0"/>
    </xf>
    <xf borderId="24" fillId="3" fontId="5" numFmtId="0" xfId="0" applyAlignment="1" applyBorder="1" applyFont="1">
      <alignment horizontal="center" readingOrder="0" shrinkToFit="0" vertical="center" wrapText="0"/>
    </xf>
    <xf borderId="25" fillId="3" fontId="5" numFmtId="0" xfId="0" applyAlignment="1" applyBorder="1" applyFont="1">
      <alignment horizontal="center" readingOrder="0" shrinkToFit="0" vertical="center" wrapText="0"/>
    </xf>
    <xf borderId="26" fillId="3" fontId="3" numFmtId="0" xfId="0" applyAlignment="1" applyBorder="1" applyFont="1">
      <alignment horizontal="right" shrinkToFit="0" wrapText="0"/>
    </xf>
    <xf borderId="26" fillId="6" fontId="3" numFmtId="0" xfId="0" applyAlignment="1" applyBorder="1" applyFont="1">
      <alignment horizontal="right" shrinkToFit="0" wrapText="0"/>
    </xf>
    <xf borderId="27" fillId="6" fontId="3" numFmtId="0" xfId="0" applyAlignment="1" applyBorder="1" applyFont="1">
      <alignment horizontal="right" shrinkToFit="0" wrapText="0"/>
    </xf>
    <xf borderId="28" fillId="0" fontId="6" numFmtId="0" xfId="0" applyBorder="1" applyFont="1"/>
    <xf borderId="29" fillId="0" fontId="6" numFmtId="0" xfId="0" applyBorder="1" applyFont="1"/>
    <xf borderId="8" fillId="3" fontId="3" numFmtId="0" xfId="0" applyAlignment="1" applyBorder="1" applyFont="1">
      <alignment horizontal="right" shrinkToFit="0" wrapText="0"/>
    </xf>
    <xf borderId="8" fillId="6" fontId="3" numFmtId="0" xfId="0" applyAlignment="1" applyBorder="1" applyFont="1">
      <alignment horizontal="right" shrinkToFit="0" wrapText="0"/>
    </xf>
    <xf borderId="10" fillId="6" fontId="3" numFmtId="0" xfId="0" applyAlignment="1" applyBorder="1" applyFont="1">
      <alignment horizontal="right" shrinkToFit="0" wrapText="0"/>
    </xf>
    <xf borderId="30" fillId="0" fontId="6" numFmtId="0" xfId="0" applyBorder="1" applyFont="1"/>
    <xf borderId="31" fillId="3" fontId="5" numFmtId="0" xfId="0" applyAlignment="1" applyBorder="1" applyFont="1">
      <alignment horizontal="right" shrinkToFit="0" wrapText="0"/>
    </xf>
    <xf borderId="31" fillId="6" fontId="5" numFmtId="0" xfId="0" applyAlignment="1" applyBorder="1" applyFont="1">
      <alignment horizontal="right" shrinkToFit="0" wrapText="0"/>
    </xf>
    <xf borderId="32" fillId="6" fontId="5" numFmtId="0" xfId="0" applyAlignment="1" applyBorder="1" applyFont="1">
      <alignment horizontal="right" shrinkToFit="0" wrapText="0"/>
    </xf>
    <xf borderId="33" fillId="3" fontId="5" numFmtId="0" xfId="0" applyAlignment="1" applyBorder="1" applyFont="1">
      <alignment horizontal="center" readingOrder="0" shrinkToFit="0" vertical="center" wrapText="0"/>
    </xf>
    <xf borderId="34" fillId="3" fontId="3" numFmtId="0" xfId="0" applyAlignment="1" applyBorder="1" applyFont="1">
      <alignment horizontal="right" shrinkToFit="0" wrapText="0"/>
    </xf>
    <xf borderId="34" fillId="7" fontId="3" numFmtId="0" xfId="0" applyAlignment="1" applyBorder="1" applyFill="1" applyFont="1">
      <alignment horizontal="right" shrinkToFit="0" wrapText="0"/>
    </xf>
    <xf borderId="35" fillId="7" fontId="3" numFmtId="0" xfId="0" applyAlignment="1" applyBorder="1" applyFont="1">
      <alignment horizontal="right" shrinkToFit="0" wrapText="0"/>
    </xf>
    <xf borderId="8" fillId="7" fontId="3" numFmtId="0" xfId="0" applyAlignment="1" applyBorder="1" applyFont="1">
      <alignment horizontal="right" shrinkToFit="0" wrapText="0"/>
    </xf>
    <xf borderId="10" fillId="7" fontId="3" numFmtId="0" xfId="0" applyAlignment="1" applyBorder="1" applyFont="1">
      <alignment horizontal="right" shrinkToFit="0" wrapText="0"/>
    </xf>
    <xf borderId="31" fillId="7" fontId="5" numFmtId="0" xfId="0" applyAlignment="1" applyBorder="1" applyFont="1">
      <alignment horizontal="right" shrinkToFit="0" wrapText="0"/>
    </xf>
    <xf borderId="32" fillId="7" fontId="5" numFmtId="0" xfId="0" applyAlignment="1" applyBorder="1" applyFont="1">
      <alignment horizontal="right" shrinkToFit="0" wrapText="0"/>
    </xf>
    <xf borderId="36" fillId="3" fontId="5" numFmtId="0" xfId="0" applyAlignment="1" applyBorder="1" applyFont="1">
      <alignment horizontal="center" readingOrder="0" shrinkToFit="0" vertical="center" wrapText="0"/>
    </xf>
    <xf borderId="37" fillId="0" fontId="6" numFmtId="0" xfId="0" applyBorder="1" applyFont="1"/>
    <xf borderId="38" fillId="0" fontId="6" numFmtId="0" xfId="0" applyBorder="1" applyFont="1"/>
    <xf borderId="13" fillId="6" fontId="5" numFmtId="0" xfId="0" applyAlignment="1" applyBorder="1" applyFont="1">
      <alignment horizontal="right" shrinkToFit="0" wrapText="0"/>
    </xf>
    <xf borderId="15" fillId="6" fontId="5" numFmtId="0" xfId="0" applyAlignment="1" applyBorder="1" applyFont="1">
      <alignment horizontal="right" shrinkToFit="0" wrapText="0"/>
    </xf>
    <xf borderId="24" fillId="3" fontId="5" numFmtId="0" xfId="0" applyAlignment="1" applyBorder="1" applyFont="1">
      <alignment horizontal="center" shrinkToFit="0" vertical="center" wrapText="0"/>
    </xf>
    <xf borderId="26" fillId="7" fontId="3" numFmtId="0" xfId="0" applyAlignment="1" applyBorder="1" applyFont="1">
      <alignment horizontal="right" shrinkToFit="0" wrapText="0"/>
    </xf>
    <xf borderId="27" fillId="7" fontId="3" numFmtId="0" xfId="0" applyAlignment="1" applyBorder="1" applyFont="1">
      <alignment horizontal="right" shrinkToFit="0" wrapText="0"/>
    </xf>
    <xf borderId="31" fillId="3" fontId="3" numFmtId="0" xfId="0" applyAlignment="1" applyBorder="1" applyFont="1">
      <alignment horizontal="right" shrinkToFit="0" wrapText="0"/>
    </xf>
    <xf borderId="31" fillId="7" fontId="3" numFmtId="0" xfId="0" applyAlignment="1" applyBorder="1" applyFont="1">
      <alignment horizontal="right" shrinkToFit="0" wrapText="0"/>
    </xf>
    <xf borderId="32" fillId="7" fontId="3" numFmtId="0" xfId="0" applyAlignment="1" applyBorder="1" applyFont="1">
      <alignment horizontal="right" shrinkToFit="0" wrapText="0"/>
    </xf>
    <xf borderId="33" fillId="3" fontId="5" numFmtId="0" xfId="0" applyAlignment="1" applyBorder="1" applyFont="1">
      <alignment horizontal="center" shrinkToFit="0" vertical="center" wrapText="0"/>
    </xf>
    <xf borderId="34" fillId="6" fontId="3" numFmtId="0" xfId="0" applyAlignment="1" applyBorder="1" applyFont="1">
      <alignment horizontal="right" shrinkToFit="0" wrapText="0"/>
    </xf>
    <xf borderId="35" fillId="6" fontId="3" numFmtId="0" xfId="0" applyAlignment="1" applyBorder="1" applyFont="1">
      <alignment horizontal="right" shrinkToFit="0" wrapText="0"/>
    </xf>
    <xf borderId="13" fillId="7" fontId="5" numFmtId="0" xfId="0" applyAlignment="1" applyBorder="1" applyFont="1">
      <alignment horizontal="right" shrinkToFit="0" wrapText="0"/>
    </xf>
    <xf borderId="15" fillId="7" fontId="5" numFmtId="0" xfId="0" applyAlignment="1" applyBorder="1" applyFont="1">
      <alignment horizontal="right" shrinkToFit="0" wrapText="0"/>
    </xf>
    <xf borderId="39" fillId="3" fontId="5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right" shrinkToFit="0" wrapText="0"/>
    </xf>
    <xf borderId="8" fillId="6" fontId="5" numFmtId="0" xfId="0" applyAlignment="1" applyBorder="1" applyFont="1">
      <alignment horizontal="right" shrinkToFit="0" wrapText="0"/>
    </xf>
    <xf borderId="10" fillId="6" fontId="5" numFmtId="0" xfId="0" applyAlignment="1" applyBorder="1" applyFont="1">
      <alignment horizontal="right" shrinkToFit="0" wrapText="0"/>
    </xf>
    <xf borderId="31" fillId="6" fontId="3" numFmtId="0" xfId="0" applyAlignment="1" applyBorder="1" applyFont="1">
      <alignment horizontal="right" shrinkToFit="0" wrapText="0"/>
    </xf>
    <xf borderId="32" fillId="6" fontId="3" numFmtId="0" xfId="0" applyAlignment="1" applyBorder="1" applyFont="1">
      <alignment horizontal="right" shrinkToFit="0" wrapText="0"/>
    </xf>
    <xf borderId="8" fillId="7" fontId="5" numFmtId="0" xfId="0" applyAlignment="1" applyBorder="1" applyFont="1">
      <alignment horizontal="right" shrinkToFit="0" wrapText="0"/>
    </xf>
    <xf borderId="10" fillId="7" fontId="5" numFmtId="0" xfId="0" applyAlignment="1" applyBorder="1" applyFont="1">
      <alignment horizontal="right" shrinkToFit="0" wrapText="0"/>
    </xf>
    <xf borderId="13" fillId="3" fontId="3" numFmtId="0" xfId="0" applyAlignment="1" applyBorder="1" applyFont="1">
      <alignment horizontal="right" shrinkToFit="0" wrapText="0"/>
    </xf>
    <xf borderId="13" fillId="6" fontId="3" numFmtId="0" xfId="0" applyAlignment="1" applyBorder="1" applyFont="1">
      <alignment horizontal="right" shrinkToFit="0" wrapText="0"/>
    </xf>
    <xf borderId="15" fillId="6" fontId="3" numFmtId="0" xfId="0" applyAlignment="1" applyBorder="1" applyFont="1">
      <alignment horizontal="right" shrinkToFit="0" wrapText="0"/>
    </xf>
    <xf borderId="0" fillId="0" fontId="3" numFmtId="0" xfId="0" applyAlignment="1" applyFont="1">
      <alignment horizontal="right" shrinkToFit="0" wrapText="0"/>
    </xf>
    <xf borderId="0" fillId="0" fontId="1" numFmtId="0" xfId="0" applyAlignment="1" applyFont="1">
      <alignment readingOrder="0" shrinkToFit="0" wrapText="0"/>
    </xf>
    <xf borderId="3" fillId="3" fontId="5" numFmtId="0" xfId="0" applyAlignment="1" applyBorder="1" applyFont="1">
      <alignment readingOrder="0" shrinkToFit="0" wrapText="0"/>
    </xf>
    <xf borderId="3" fillId="3" fontId="5" numFmtId="0" xfId="0" applyAlignment="1" applyBorder="1" applyFont="1">
      <alignment shrinkToFit="0" wrapText="0"/>
    </xf>
    <xf borderId="13" fillId="3" fontId="5" numFmtId="0" xfId="0" applyAlignment="1" applyBorder="1" applyFont="1">
      <alignment shrinkToFit="0" wrapText="0"/>
    </xf>
    <xf borderId="15" fillId="3" fontId="5" numFmtId="0" xfId="0" applyAlignment="1" applyBorder="1" applyFont="1">
      <alignment shrinkToFit="0" wrapText="0"/>
    </xf>
    <xf borderId="8" fillId="3" fontId="8" numFmtId="0" xfId="0" applyAlignment="1" applyBorder="1" applyFont="1">
      <alignment horizontal="right" shrinkToFit="0" vertical="center" wrapText="0"/>
    </xf>
    <xf borderId="8" fillId="7" fontId="3" numFmtId="3" xfId="0" applyAlignment="1" applyBorder="1" applyFont="1" applyNumberFormat="1">
      <alignment shrinkToFit="0" wrapText="0"/>
    </xf>
    <xf borderId="27" fillId="7" fontId="3" numFmtId="3" xfId="0" applyAlignment="1" applyBorder="1" applyFont="1" applyNumberFormat="1">
      <alignment shrinkToFit="0" wrapText="0"/>
    </xf>
    <xf borderId="31" fillId="3" fontId="8" numFmtId="0" xfId="0" applyAlignment="1" applyBorder="1" applyFont="1">
      <alignment horizontal="right" shrinkToFit="0" vertical="center" wrapText="0"/>
    </xf>
    <xf borderId="31" fillId="7" fontId="3" numFmtId="3" xfId="0" applyAlignment="1" applyBorder="1" applyFont="1" applyNumberFormat="1">
      <alignment shrinkToFit="0" wrapText="0"/>
    </xf>
    <xf borderId="32" fillId="7" fontId="3" numFmtId="3" xfId="0" applyAlignment="1" applyBorder="1" applyFont="1" applyNumberFormat="1">
      <alignment shrinkToFit="0" wrapText="0"/>
    </xf>
    <xf borderId="8" fillId="6" fontId="3" numFmtId="3" xfId="0" applyAlignment="1" applyBorder="1" applyFont="1" applyNumberFormat="1">
      <alignment shrinkToFit="0" wrapText="0"/>
    </xf>
    <xf borderId="10" fillId="6" fontId="3" numFmtId="3" xfId="0" applyAlignment="1" applyBorder="1" applyFont="1" applyNumberFormat="1">
      <alignment shrinkToFit="0" wrapText="0"/>
    </xf>
    <xf borderId="31" fillId="6" fontId="3" numFmtId="3" xfId="0" applyAlignment="1" applyBorder="1" applyFont="1" applyNumberFormat="1">
      <alignment shrinkToFit="0" wrapText="0"/>
    </xf>
    <xf borderId="32" fillId="6" fontId="3" numFmtId="3" xfId="0" applyAlignment="1" applyBorder="1" applyFont="1" applyNumberFormat="1">
      <alignment shrinkToFit="0" wrapText="0"/>
    </xf>
    <xf borderId="10" fillId="7" fontId="3" numFmtId="3" xfId="0" applyAlignment="1" applyBorder="1" applyFont="1" applyNumberFormat="1">
      <alignment shrinkToFit="0" wrapText="0"/>
    </xf>
    <xf borderId="13" fillId="3" fontId="8" numFmtId="0" xfId="0" applyAlignment="1" applyBorder="1" applyFont="1">
      <alignment horizontal="right" shrinkToFit="0" vertical="center" wrapText="0"/>
    </xf>
    <xf borderId="13" fillId="7" fontId="3" numFmtId="3" xfId="0" applyAlignment="1" applyBorder="1" applyFont="1" applyNumberFormat="1">
      <alignment shrinkToFit="0" wrapText="0"/>
    </xf>
    <xf borderId="15" fillId="7" fontId="3" numFmtId="3" xfId="0" applyAlignment="1" applyBorder="1" applyFont="1" applyNumberFormat="1">
      <alignment shrinkToFit="0" wrapText="0"/>
    </xf>
    <xf borderId="13" fillId="6" fontId="3" numFmtId="3" xfId="0" applyAlignment="1" applyBorder="1" applyFont="1" applyNumberFormat="1">
      <alignment shrinkToFit="0" wrapText="0"/>
    </xf>
    <xf borderId="15" fillId="6" fontId="3" numFmtId="3" xfId="0" applyAlignment="1" applyBorder="1" applyFont="1" applyNumberFormat="1">
      <alignment shrinkToFit="0" wrapText="0"/>
    </xf>
    <xf borderId="7" fillId="3" fontId="5" numFmtId="0" xfId="0" applyAlignment="1" applyBorder="1" applyFont="1">
      <alignment horizontal="center" shrinkToFit="0" vertical="center" wrapText="0"/>
    </xf>
    <xf borderId="26" fillId="3" fontId="9" numFmtId="0" xfId="0" applyAlignment="1" applyBorder="1" applyFont="1">
      <alignment horizontal="right" shrinkToFit="0" vertical="center" wrapText="0"/>
    </xf>
    <xf borderId="26" fillId="6" fontId="5" numFmtId="3" xfId="0" applyAlignment="1" applyBorder="1" applyFont="1" applyNumberFormat="1">
      <alignment shrinkToFit="0" wrapText="0"/>
    </xf>
    <xf borderId="27" fillId="6" fontId="5" numFmtId="3" xfId="0" applyAlignment="1" applyBorder="1" applyFont="1" applyNumberFormat="1">
      <alignment shrinkToFit="0" wrapText="0"/>
    </xf>
    <xf borderId="39" fillId="3" fontId="5" numFmtId="0" xfId="0" applyAlignment="1" applyBorder="1" applyFont="1">
      <alignment horizontal="center" readingOrder="0" shrinkToFit="0" vertical="center" wrapText="1"/>
    </xf>
    <xf borderId="34" fillId="3" fontId="9" numFmtId="0" xfId="0" applyAlignment="1" applyBorder="1" applyFont="1">
      <alignment horizontal="right" shrinkToFit="0" vertical="center" wrapText="0"/>
    </xf>
    <xf borderId="34" fillId="7" fontId="5" numFmtId="3" xfId="0" applyAlignment="1" applyBorder="1" applyFont="1" applyNumberFormat="1">
      <alignment shrinkToFit="0" wrapText="0"/>
    </xf>
    <xf borderId="35" fillId="7" fontId="5" numFmtId="3" xfId="0" applyAlignment="1" applyBorder="1" applyFont="1" applyNumberFormat="1">
      <alignment shrinkToFit="0" wrapText="0"/>
    </xf>
    <xf borderId="34" fillId="6" fontId="5" numFmtId="3" xfId="0" applyAlignment="1" applyBorder="1" applyFont="1" applyNumberFormat="1">
      <alignment shrinkToFit="0" wrapText="0"/>
    </xf>
    <xf borderId="35" fillId="6" fontId="5" numFmtId="3" xfId="0" applyAlignment="1" applyBorder="1" applyFont="1" applyNumberFormat="1">
      <alignment shrinkToFit="0" wrapText="0"/>
    </xf>
    <xf borderId="40" fillId="3" fontId="5" numFmtId="0" xfId="0" applyAlignment="1" applyBorder="1" applyFont="1">
      <alignment horizontal="center" shrinkToFit="0" vertical="center" wrapText="0"/>
    </xf>
    <xf borderId="41" fillId="3" fontId="8" numFmtId="0" xfId="0" applyAlignment="1" applyBorder="1" applyFont="1">
      <alignment horizontal="right" shrinkToFit="0" vertical="center" wrapText="0"/>
    </xf>
    <xf borderId="41" fillId="7" fontId="3" numFmtId="3" xfId="0" applyAlignment="1" applyBorder="1" applyFont="1" applyNumberFormat="1">
      <alignment shrinkToFit="0" wrapText="0"/>
    </xf>
    <xf borderId="42" fillId="7" fontId="3" numFmtId="3" xfId="0" applyAlignment="1" applyBorder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bliotecaderutina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22.0"/>
    <col customWidth="1" min="3" max="3" width="21.14"/>
    <col customWidth="1" min="4" max="4" width="6.86"/>
    <col customWidth="1" min="5" max="5" width="13.29"/>
    <col customWidth="1" min="6" max="6" width="16.57"/>
    <col customWidth="1" min="7" max="8" width="8.57"/>
    <col customWidth="1" min="9" max="9" width="15.86"/>
    <col customWidth="1" min="10" max="26" width="17.29"/>
  </cols>
  <sheetData>
    <row r="1" ht="17.25" customHeight="1">
      <c r="A1" s="1"/>
      <c r="B1" s="2" t="s">
        <v>0</v>
      </c>
      <c r="D1" s="3"/>
      <c r="E1" s="3"/>
      <c r="F1" s="3"/>
      <c r="G1" s="3"/>
      <c r="H1" s="3"/>
      <c r="I1" s="3"/>
    </row>
    <row r="2" ht="17.25" customHeight="1">
      <c r="A2" s="1"/>
      <c r="B2" s="3"/>
      <c r="C2" s="3"/>
      <c r="D2" s="3"/>
      <c r="E2" s="3"/>
      <c r="F2" s="3"/>
      <c r="G2" s="3"/>
      <c r="H2" s="3"/>
      <c r="I2" s="3"/>
    </row>
    <row r="3" ht="17.25" customHeight="1">
      <c r="A3" s="1"/>
      <c r="B3" s="3"/>
      <c r="C3" s="3"/>
      <c r="D3" s="3"/>
      <c r="E3" s="3"/>
      <c r="F3" s="3"/>
      <c r="G3" s="3"/>
      <c r="H3" s="3"/>
      <c r="I3" s="3"/>
    </row>
    <row r="4" ht="17.25" customHeight="1">
      <c r="A4" s="1"/>
      <c r="B4" s="3"/>
      <c r="C4" s="3"/>
      <c r="D4" s="3"/>
      <c r="E4" s="3"/>
      <c r="F4" s="3"/>
      <c r="G4" s="3"/>
      <c r="H4" s="3"/>
      <c r="I4" s="3"/>
    </row>
    <row r="5" ht="18.75" customHeight="1">
      <c r="A5" s="3"/>
      <c r="B5" s="3"/>
      <c r="C5" s="3"/>
      <c r="D5" s="3"/>
      <c r="E5" s="3"/>
      <c r="F5" s="3"/>
      <c r="G5" s="3"/>
      <c r="H5" s="3"/>
      <c r="I5" s="3"/>
    </row>
    <row r="6" ht="18.75" customHeight="1">
      <c r="A6" s="3"/>
      <c r="B6" s="4" t="s">
        <v>1</v>
      </c>
      <c r="C6" s="3"/>
      <c r="D6" s="3"/>
      <c r="E6" s="3"/>
      <c r="F6" s="3"/>
      <c r="G6" s="3"/>
      <c r="H6" s="3"/>
      <c r="I6" s="3"/>
    </row>
    <row r="7" ht="13.5" customHeight="1">
      <c r="A7" s="3"/>
      <c r="B7" s="1"/>
      <c r="C7" s="3"/>
      <c r="D7" s="3"/>
      <c r="E7" s="3"/>
      <c r="F7" s="3"/>
      <c r="G7" s="3"/>
      <c r="H7" s="3"/>
      <c r="I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</row>
    <row r="9" ht="12.75" customHeight="1">
      <c r="A9" s="3"/>
      <c r="B9" s="5" t="s">
        <v>2</v>
      </c>
      <c r="C9" s="6" t="s">
        <v>3</v>
      </c>
      <c r="D9" s="7" t="s">
        <v>4</v>
      </c>
      <c r="E9" s="8" t="s">
        <v>5</v>
      </c>
      <c r="F9" s="8" t="s">
        <v>6</v>
      </c>
      <c r="G9" s="7" t="s">
        <v>7</v>
      </c>
      <c r="H9" s="9" t="s">
        <v>8</v>
      </c>
      <c r="I9" s="10" t="s">
        <v>9</v>
      </c>
    </row>
    <row r="10" ht="12.75" customHeight="1">
      <c r="A10" s="3"/>
      <c r="B10" s="11" t="s">
        <v>10</v>
      </c>
      <c r="C10" s="12">
        <v>100.0</v>
      </c>
      <c r="D10" s="13">
        <v>5.0</v>
      </c>
      <c r="E10" s="14">
        <v>0.125</v>
      </c>
      <c r="F10" s="14">
        <v>0.6</v>
      </c>
      <c r="G10" s="15">
        <f t="shared" ref="G10:G14" si="1">(C10)/(1.0278-(0.0278*D10))</f>
        <v>112.5112511</v>
      </c>
      <c r="H10" s="16">
        <f t="shared" ref="H10:H14" si="2">G10*(1.0278-(0.0278*5))</f>
        <v>100</v>
      </c>
      <c r="I10" s="17">
        <f>ROUND(H10*((1/1.025)^(PRWEEK-1))/(2*PLATE),0)*2*PLATE</f>
        <v>95</v>
      </c>
    </row>
    <row r="11" ht="12.75" customHeight="1">
      <c r="A11" s="3"/>
      <c r="B11" s="11" t="s">
        <v>11</v>
      </c>
      <c r="C11" s="12">
        <v>100.0</v>
      </c>
      <c r="D11" s="13">
        <v>5.0</v>
      </c>
      <c r="E11" s="14">
        <v>0.125</v>
      </c>
      <c r="F11" s="14">
        <v>0.6</v>
      </c>
      <c r="G11" s="15">
        <f t="shared" si="1"/>
        <v>112.5112511</v>
      </c>
      <c r="H11" s="16">
        <f t="shared" si="2"/>
        <v>100</v>
      </c>
      <c r="I11" s="17">
        <f>ROUND(H11*((1/1.025)^(PRWEEK-1))/(2*PLATE),0)*2*PLATE</f>
        <v>95</v>
      </c>
    </row>
    <row r="12" ht="12.75" customHeight="1">
      <c r="A12" s="3"/>
      <c r="B12" s="11" t="s">
        <v>12</v>
      </c>
      <c r="C12" s="12">
        <v>100.0</v>
      </c>
      <c r="D12" s="13">
        <v>5.0</v>
      </c>
      <c r="E12" s="14">
        <v>0.125</v>
      </c>
      <c r="F12" s="14">
        <v>0.6</v>
      </c>
      <c r="G12" s="15">
        <f t="shared" si="1"/>
        <v>112.5112511</v>
      </c>
      <c r="H12" s="16">
        <f t="shared" si="2"/>
        <v>100</v>
      </c>
      <c r="I12" s="17">
        <f>ROUND(H12*((1/1.025)^(PRWEEK-1))/(2*PLATE),0)*2*PLATE</f>
        <v>95</v>
      </c>
    </row>
    <row r="13" ht="12.75" customHeight="1">
      <c r="A13" s="3"/>
      <c r="B13" s="11" t="s">
        <v>13</v>
      </c>
      <c r="C13" s="12">
        <v>100.0</v>
      </c>
      <c r="D13" s="13">
        <v>5.0</v>
      </c>
      <c r="E13" s="14">
        <v>0.125</v>
      </c>
      <c r="F13" s="14">
        <v>0.6</v>
      </c>
      <c r="G13" s="15">
        <f t="shared" si="1"/>
        <v>112.5112511</v>
      </c>
      <c r="H13" s="16">
        <f t="shared" si="2"/>
        <v>100</v>
      </c>
      <c r="I13" s="17">
        <f>ROUND(H13*((1/1.025)^(PRWEEK-1))/(2*PLATE),0)*2*PLATE</f>
        <v>95</v>
      </c>
    </row>
    <row r="14" ht="12.75" customHeight="1">
      <c r="A14" s="3"/>
      <c r="B14" s="18" t="s">
        <v>14</v>
      </c>
      <c r="C14" s="19">
        <v>100.0</v>
      </c>
      <c r="D14" s="20">
        <v>5.0</v>
      </c>
      <c r="E14" s="21">
        <v>0.125</v>
      </c>
      <c r="F14" s="21">
        <v>0.6</v>
      </c>
      <c r="G14" s="22">
        <f t="shared" si="1"/>
        <v>112.5112511</v>
      </c>
      <c r="H14" s="23">
        <f t="shared" si="2"/>
        <v>100</v>
      </c>
      <c r="I14" s="24">
        <f>ROUND(H14*((1/1.025)^(PRWEEK-1))/(2*PLATE),0)*2*PLATE</f>
        <v>95</v>
      </c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2.75" customHeight="1">
      <c r="A16" s="3"/>
      <c r="B16" s="25" t="s">
        <v>15</v>
      </c>
      <c r="C16" s="26"/>
      <c r="D16" s="27">
        <v>2.5</v>
      </c>
      <c r="E16" s="3"/>
      <c r="F16" s="3"/>
      <c r="G16" s="3"/>
      <c r="H16" s="3"/>
      <c r="I16" s="3"/>
    </row>
    <row r="17" ht="12.75" customHeight="1">
      <c r="A17" s="3"/>
      <c r="B17" s="28" t="s">
        <v>16</v>
      </c>
      <c r="C17" s="29"/>
      <c r="D17" s="30">
        <v>4.0</v>
      </c>
      <c r="E17" s="3"/>
      <c r="F17" s="3"/>
      <c r="G17" s="3"/>
      <c r="H17" s="3"/>
      <c r="I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2.75" customHeight="1">
      <c r="A19" s="3"/>
      <c r="B19" s="31" t="s">
        <v>17</v>
      </c>
      <c r="C19" s="3"/>
      <c r="D19" s="3"/>
      <c r="E19" s="3"/>
      <c r="F19" s="3"/>
      <c r="G19" s="3"/>
      <c r="H19" s="3"/>
      <c r="I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2.75" customHeight="1">
      <c r="A21" s="3"/>
      <c r="B21" s="32"/>
      <c r="D21" s="33"/>
      <c r="E21" s="3"/>
      <c r="F21" s="3"/>
      <c r="G21" s="3"/>
      <c r="H21" s="3"/>
      <c r="I21" s="3"/>
    </row>
    <row r="22" ht="12.75" customHeight="1">
      <c r="A22" s="3"/>
      <c r="B22" s="32"/>
      <c r="D22" s="33"/>
      <c r="E22" s="3"/>
      <c r="F22" s="3"/>
      <c r="G22" s="3"/>
      <c r="H22" s="3"/>
      <c r="I22" s="3"/>
    </row>
    <row r="23" ht="12.75" customHeight="1">
      <c r="A23" s="3"/>
      <c r="B23" s="32"/>
      <c r="D23" s="33"/>
      <c r="E23" s="3"/>
      <c r="F23" s="3"/>
      <c r="G23" s="3"/>
      <c r="H23" s="3"/>
      <c r="I23" s="3"/>
    </row>
    <row r="24" ht="12.75" customHeight="1">
      <c r="A24" s="3"/>
      <c r="B24" s="32"/>
      <c r="C24" s="32"/>
      <c r="D24" s="33"/>
      <c r="E24" s="3"/>
      <c r="F24" s="3"/>
      <c r="G24" s="3"/>
      <c r="H24" s="3"/>
      <c r="I24" s="3"/>
    </row>
    <row r="25" ht="12.75" customHeight="1">
      <c r="A25" s="3"/>
      <c r="B25" s="32"/>
      <c r="D25" s="33"/>
      <c r="E25" s="3"/>
      <c r="F25" s="3"/>
      <c r="G25" s="3"/>
      <c r="H25" s="3"/>
      <c r="I25" s="3"/>
    </row>
    <row r="26" ht="12.75" customHeight="1">
      <c r="A26" s="3"/>
      <c r="B26" s="32"/>
      <c r="C26" s="32"/>
      <c r="D26" s="33"/>
      <c r="E26" s="3"/>
      <c r="F26" s="3"/>
      <c r="G26" s="3"/>
      <c r="H26" s="3"/>
      <c r="I26" s="3"/>
    </row>
    <row r="27" ht="12.75" customHeight="1">
      <c r="A27" s="3"/>
      <c r="B27" s="32"/>
      <c r="C27" s="32"/>
      <c r="D27" s="33"/>
      <c r="E27" s="3"/>
      <c r="F27" s="3"/>
      <c r="G27" s="3"/>
      <c r="H27" s="3"/>
      <c r="I27" s="3"/>
    </row>
    <row r="28" ht="12.75" customHeight="1">
      <c r="A28" s="3"/>
      <c r="B28" s="32"/>
      <c r="D28" s="33"/>
      <c r="E28" s="3"/>
      <c r="F28" s="3"/>
      <c r="G28" s="3"/>
      <c r="H28" s="3"/>
      <c r="I28" s="3"/>
    </row>
    <row r="29" ht="12.75" customHeight="1">
      <c r="A29" s="3"/>
      <c r="B29" s="32"/>
      <c r="C29" s="32"/>
      <c r="D29" s="33"/>
      <c r="E29" s="3"/>
      <c r="F29" s="3"/>
      <c r="G29" s="3"/>
      <c r="H29" s="3"/>
      <c r="I29" s="3"/>
    </row>
    <row r="30" ht="12.75" customHeight="1">
      <c r="A30" s="3"/>
      <c r="B30" s="32"/>
      <c r="D30" s="33"/>
      <c r="E30" s="3"/>
      <c r="F30" s="3"/>
      <c r="G30" s="3"/>
      <c r="H30" s="3"/>
      <c r="I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2.75" customHeight="1">
      <c r="A39" s="3"/>
      <c r="B39" s="34"/>
      <c r="C39" s="3"/>
      <c r="D39" s="3"/>
      <c r="E39" s="3"/>
      <c r="F39" s="3"/>
      <c r="G39" s="3"/>
      <c r="H39" s="3"/>
      <c r="I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28:C28"/>
    <mergeCell ref="B30:C30"/>
    <mergeCell ref="B1:C1"/>
    <mergeCell ref="B16:C16"/>
    <mergeCell ref="B17:C17"/>
    <mergeCell ref="B21:C21"/>
    <mergeCell ref="B22:C22"/>
    <mergeCell ref="B23:C23"/>
    <mergeCell ref="B25:C25"/>
  </mergeCell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43"/>
    <col customWidth="1" min="3" max="3" width="14.57"/>
    <col customWidth="1" min="4" max="4" width="7.86"/>
    <col customWidth="1" min="5" max="5" width="10.0"/>
    <col customWidth="1" min="6" max="16" width="7.86"/>
    <col customWidth="1" min="17" max="26" width="17.29"/>
  </cols>
  <sheetData>
    <row r="1" ht="17.2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7.2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7.2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7.2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7.25" customHeight="1">
      <c r="A5" s="1"/>
      <c r="B5" s="4" t="s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7.25" customHeight="1">
      <c r="A7" s="3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2.75" customHeight="1">
      <c r="A8" s="3"/>
      <c r="B8" s="3"/>
      <c r="C8" s="3"/>
      <c r="D8" s="3"/>
      <c r="E8" s="35" t="s">
        <v>19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26"/>
    </row>
    <row r="9" ht="12.75" customHeight="1">
      <c r="A9" s="3"/>
      <c r="B9" s="37" t="s">
        <v>20</v>
      </c>
      <c r="C9" s="38" t="s">
        <v>2</v>
      </c>
      <c r="D9" s="7" t="s">
        <v>4</v>
      </c>
      <c r="E9" s="39">
        <v>1.0</v>
      </c>
      <c r="F9" s="39">
        <v>2.0</v>
      </c>
      <c r="G9" s="39">
        <v>3.0</v>
      </c>
      <c r="H9" s="39">
        <v>4.0</v>
      </c>
      <c r="I9" s="39">
        <v>5.0</v>
      </c>
      <c r="J9" s="39">
        <v>6.0</v>
      </c>
      <c r="K9" s="39">
        <v>7.0</v>
      </c>
      <c r="L9" s="39">
        <v>8.0</v>
      </c>
      <c r="M9" s="39">
        <v>9.0</v>
      </c>
      <c r="N9" s="39">
        <v>10.0</v>
      </c>
      <c r="O9" s="39">
        <v>11.0</v>
      </c>
      <c r="P9" s="40">
        <v>12.0</v>
      </c>
    </row>
    <row r="10" ht="12.75" customHeight="1">
      <c r="A10" s="3"/>
      <c r="B10" s="41" t="s">
        <v>21</v>
      </c>
      <c r="C10" s="42" t="s">
        <v>10</v>
      </c>
      <c r="D10" s="43">
        <v>5.0</v>
      </c>
      <c r="E10" s="44">
        <f>ROUND(E14*(1-SQINT*4)/(2*PLATE),0)*2*PLATE</f>
        <v>50</v>
      </c>
      <c r="F10" s="44">
        <f>ROUND(F14*(1-SQINT*4)/(2*PLATE),0)*2*PLATE</f>
        <v>50</v>
      </c>
      <c r="G10" s="44">
        <f>ROUND(G14*(1-SQINT*4)/(2*PLATE),0)*2*PLATE</f>
        <v>50</v>
      </c>
      <c r="H10" s="44">
        <f>ROUND(H14*(1-SQINT*4)/(2*PLATE),0)*2*PLATE</f>
        <v>50</v>
      </c>
      <c r="I10" s="44">
        <f>ROUND(I14*(1-SQINT*4)/(2*PLATE),0)*2*PLATE</f>
        <v>55</v>
      </c>
      <c r="J10" s="44">
        <f>ROUND(J14*(1-SQINT*4)/(2*PLATE),0)*2*PLATE</f>
        <v>55</v>
      </c>
      <c r="K10" s="44">
        <f>ROUND(K14*(1-SQINT*4)/(2*PLATE),0)*2*PLATE</f>
        <v>55</v>
      </c>
      <c r="L10" s="44">
        <f>ROUND(L14*(1-SQINT*4)/(2*PLATE),0)*2*PLATE</f>
        <v>60</v>
      </c>
      <c r="M10" s="44">
        <f>ROUND(M14*(1-SQINT*4)/(2*PLATE),0)*2*PLATE</f>
        <v>60</v>
      </c>
      <c r="N10" s="44">
        <f>ROUND(N14*(1-SQINT*4)/(2*PLATE),0)*2*PLATE</f>
        <v>60</v>
      </c>
      <c r="O10" s="44">
        <f>ROUND(O14*(1-SQINT*4)/(2*PLATE),0)*2*PLATE</f>
        <v>60</v>
      </c>
      <c r="P10" s="45">
        <f>ROUND(P14*(1-SQINT*4)/(2*PLATE),0)*2*PLATE</f>
        <v>65</v>
      </c>
    </row>
    <row r="11" ht="12.75" customHeight="1">
      <c r="A11" s="3"/>
      <c r="B11" s="46"/>
      <c r="C11" s="47"/>
      <c r="D11" s="48">
        <v>5.0</v>
      </c>
      <c r="E11" s="49">
        <f>ROUND(E14*(1-SQINT*3)/(2*PLATE),0)*2*PLATE</f>
        <v>60</v>
      </c>
      <c r="F11" s="49">
        <f>ROUND(F14*(1-SQINT*3)/(2*PLATE),0)*2*PLATE</f>
        <v>60</v>
      </c>
      <c r="G11" s="49">
        <f>ROUND(G14*(1-SQINT*3)/(2*PLATE),0)*2*PLATE</f>
        <v>65</v>
      </c>
      <c r="H11" s="49">
        <f>ROUND(H14*(1-SQINT*3)/(2*PLATE),0)*2*PLATE</f>
        <v>65</v>
      </c>
      <c r="I11" s="49">
        <f>ROUND(I14*(1-SQINT*3)/(2*PLATE),0)*2*PLATE</f>
        <v>65</v>
      </c>
      <c r="J11" s="49">
        <f>ROUND(J14*(1-SQINT*3)/(2*PLATE),0)*2*PLATE</f>
        <v>65</v>
      </c>
      <c r="K11" s="49">
        <f>ROUND(K14*(1-SQINT*3)/(2*PLATE),0)*2*PLATE</f>
        <v>70</v>
      </c>
      <c r="L11" s="49">
        <f>ROUND(L14*(1-SQINT*3)/(2*PLATE),0)*2*PLATE</f>
        <v>70</v>
      </c>
      <c r="M11" s="49">
        <f>ROUND(M14*(1-SQINT*3)/(2*PLATE),0)*2*PLATE</f>
        <v>70</v>
      </c>
      <c r="N11" s="49">
        <f>ROUND(N14*(1-SQINT*3)/(2*PLATE),0)*2*PLATE</f>
        <v>75</v>
      </c>
      <c r="O11" s="49">
        <f>ROUND(O14*(1-SQINT*3)/(2*PLATE),0)*2*PLATE</f>
        <v>75</v>
      </c>
      <c r="P11" s="50">
        <f>ROUND(P14*(1-SQINT*3)/(2*PLATE),0)*2*PLATE</f>
        <v>80</v>
      </c>
    </row>
    <row r="12" ht="12.75" customHeight="1">
      <c r="A12" s="3"/>
      <c r="B12" s="46"/>
      <c r="C12" s="47"/>
      <c r="D12" s="48">
        <v>5.0</v>
      </c>
      <c r="E12" s="49">
        <f>ROUND(E14*(1-SQINT*2)/(2*PLATE),0)*2*PLATE</f>
        <v>70</v>
      </c>
      <c r="F12" s="49">
        <f>ROUND(F14*(1-SQINT*2)/(2*PLATE),0)*2*PLATE</f>
        <v>70</v>
      </c>
      <c r="G12" s="49">
        <f>ROUND(G14*(1-SQINT*2)/(2*PLATE),0)*2*PLATE</f>
        <v>75</v>
      </c>
      <c r="H12" s="49">
        <f>ROUND(H14*(1-SQINT*2)/(2*PLATE),0)*2*PLATE</f>
        <v>75</v>
      </c>
      <c r="I12" s="49">
        <f>ROUND(I14*(1-SQINT*2)/(2*PLATE),0)*2*PLATE</f>
        <v>80</v>
      </c>
      <c r="J12" s="49">
        <f>ROUND(J14*(1-SQINT*2)/(2*PLATE),0)*2*PLATE</f>
        <v>80</v>
      </c>
      <c r="K12" s="49">
        <f>ROUND(K14*(1-SQINT*2)/(2*PLATE),0)*2*PLATE</f>
        <v>85</v>
      </c>
      <c r="L12" s="49">
        <f>ROUND(L14*(1-SQINT*2)/(2*PLATE),0)*2*PLATE</f>
        <v>85</v>
      </c>
      <c r="M12" s="49">
        <f>ROUND(M14*(1-SQINT*2)/(2*PLATE),0)*2*PLATE</f>
        <v>85</v>
      </c>
      <c r="N12" s="49">
        <f>ROUND(N14*(1-SQINT*2)/(2*PLATE),0)*2*PLATE</f>
        <v>90</v>
      </c>
      <c r="O12" s="49">
        <f>ROUND(O14*(1-SQINT*2)/(2*PLATE),0)*2*PLATE</f>
        <v>90</v>
      </c>
      <c r="P12" s="50">
        <f>ROUND(P14*(1-SQINT*2)/(2*PLATE),0)*2*PLATE</f>
        <v>95</v>
      </c>
    </row>
    <row r="13" ht="12.75" customHeight="1">
      <c r="A13" s="3"/>
      <c r="B13" s="46"/>
      <c r="C13" s="47"/>
      <c r="D13" s="48">
        <v>5.0</v>
      </c>
      <c r="E13" s="49">
        <f>ROUND(E14*(1-SQINT)/(2*PLATE),0)*2*PLATE</f>
        <v>85</v>
      </c>
      <c r="F13" s="49">
        <f>ROUND(F14*(1-SQINT)/(2*PLATE),0)*2*PLATE</f>
        <v>85</v>
      </c>
      <c r="G13" s="49">
        <f>ROUND(G14*(1-SQINT)/(2*PLATE),0)*2*PLATE</f>
        <v>90</v>
      </c>
      <c r="H13" s="49">
        <f>ROUND(H14*(1-SQINT)/(2*PLATE),0)*2*PLATE</f>
        <v>90</v>
      </c>
      <c r="I13" s="49">
        <f>ROUND(I14*(1-SQINT)/(2*PLATE),0)*2*PLATE</f>
        <v>90</v>
      </c>
      <c r="J13" s="49">
        <f>ROUND(J14*(1-SQINT)/(2*PLATE),0)*2*PLATE</f>
        <v>90</v>
      </c>
      <c r="K13" s="49">
        <f>ROUND(K14*(1-SQINT)/(2*PLATE),0)*2*PLATE</f>
        <v>95</v>
      </c>
      <c r="L13" s="49">
        <f>ROUND(L14*(1-SQINT)/(2*PLATE),0)*2*PLATE</f>
        <v>100</v>
      </c>
      <c r="M13" s="49">
        <f>ROUND(M14*(1-SQINT)/(2*PLATE),0)*2*PLATE</f>
        <v>100</v>
      </c>
      <c r="N13" s="49">
        <f>ROUND(N14*(1-SQINT)/(2*PLATE),0)*2*PLATE</f>
        <v>105</v>
      </c>
      <c r="O13" s="49">
        <f>ROUND(O14*(1-SQINT)/(2*PLATE),0)*2*PLATE</f>
        <v>105</v>
      </c>
      <c r="P13" s="50">
        <f>ROUND(P14*(1-SQINT)/(2*PLATE),0)*2*PLATE</f>
        <v>110</v>
      </c>
    </row>
    <row r="14" ht="12.75" customHeight="1">
      <c r="A14" s="3"/>
      <c r="B14" s="46"/>
      <c r="C14" s="51"/>
      <c r="D14" s="52">
        <v>5.0</v>
      </c>
      <c r="E14" s="53">
        <f>SQ</f>
        <v>95</v>
      </c>
      <c r="F14" s="53">
        <f>ROUND(SQ*(1.025^E9)/(2*PLATE),0)*2*PLATE</f>
        <v>95</v>
      </c>
      <c r="G14" s="53">
        <f>ROUND(SQ*(1.025^F9)/(2*PLATE),0)*2*PLATE</f>
        <v>100</v>
      </c>
      <c r="H14" s="53">
        <f>ROUND(SQ*(1.025^G9)/(2*PLATE),0)*2*PLATE</f>
        <v>100</v>
      </c>
      <c r="I14" s="53">
        <f>ROUND(SQ*(1.025^H9)/(2*PLATE),0)*2*PLATE</f>
        <v>105</v>
      </c>
      <c r="J14" s="53">
        <f>ROUND(SQ*(1.025^I9)/(2*PLATE),0)*2*PLATE</f>
        <v>105</v>
      </c>
      <c r="K14" s="53">
        <f>ROUND(SQ*(1.025^J9)/(2*PLATE),0)*2*PLATE</f>
        <v>110</v>
      </c>
      <c r="L14" s="53">
        <f>ROUND(SQ*(1.025^K9)/(2*PLATE),0)*2*PLATE</f>
        <v>115</v>
      </c>
      <c r="M14" s="53">
        <f>ROUND(SQ*(1.025^L9)/(2*PLATE),0)*2*PLATE</f>
        <v>115</v>
      </c>
      <c r="N14" s="53">
        <f>ROUND(SQ*(1.025^M9)/(2*PLATE),0)*2*PLATE</f>
        <v>120</v>
      </c>
      <c r="O14" s="53">
        <f>ROUND(SQ*(1.025^N9)/(2*PLATE),0)*2*PLATE</f>
        <v>120</v>
      </c>
      <c r="P14" s="54">
        <f>ROUND(SQ*(1.025^O9)/(2*PLATE),0)*2*PLATE</f>
        <v>125</v>
      </c>
    </row>
    <row r="15" ht="12.75" customHeight="1">
      <c r="A15" s="3"/>
      <c r="B15" s="46"/>
      <c r="C15" s="55" t="s">
        <v>11</v>
      </c>
      <c r="D15" s="56">
        <v>5.0</v>
      </c>
      <c r="E15" s="57">
        <f>ROUND(E19*(1-BPINT*4)/(2*PLATE),0)*2*PLATE</f>
        <v>50</v>
      </c>
      <c r="F15" s="57">
        <f>ROUND(F19*(1-BPINT*4)/(2*PLATE),0)*2*PLATE</f>
        <v>50</v>
      </c>
      <c r="G15" s="57">
        <f>ROUND(G19*(1-BPINT*4)/(2*PLATE),0)*2*PLATE</f>
        <v>50</v>
      </c>
      <c r="H15" s="57">
        <f>ROUND(H19*(1-BPINT*4)/(2*PLATE),0)*2*PLATE</f>
        <v>50</v>
      </c>
      <c r="I15" s="57">
        <f>ROUND(I19*(1-BPINT*4)/(2*PLATE),0)*2*PLATE</f>
        <v>55</v>
      </c>
      <c r="J15" s="57">
        <f>ROUND(J19*(1-BPINT*4)/(2*PLATE),0)*2*PLATE</f>
        <v>55</v>
      </c>
      <c r="K15" s="57">
        <f>ROUND(K19*(1-BPINT*4)/(2*PLATE),0)*2*PLATE</f>
        <v>55</v>
      </c>
      <c r="L15" s="57">
        <f>ROUND(L19*(1-BPINT*4)/(2*PLATE),0)*2*PLATE</f>
        <v>60</v>
      </c>
      <c r="M15" s="57">
        <f>ROUND(M19*(1-BPINT*4)/(2*PLATE),0)*2*PLATE</f>
        <v>60</v>
      </c>
      <c r="N15" s="57">
        <f>ROUND(N19*(1-BPINT*4)/(2*PLATE),0)*2*PLATE</f>
        <v>60</v>
      </c>
      <c r="O15" s="57">
        <f>ROUND(O19*(1-BPINT*4)/(2*PLATE),0)*2*PLATE</f>
        <v>60</v>
      </c>
      <c r="P15" s="58">
        <f>ROUND(P19*(1-BPINT*4)/(2*PLATE),0)*2*PLATE</f>
        <v>65</v>
      </c>
    </row>
    <row r="16" ht="12.75" customHeight="1">
      <c r="A16" s="3"/>
      <c r="B16" s="46"/>
      <c r="C16" s="47"/>
      <c r="D16" s="48">
        <v>5.0</v>
      </c>
      <c r="E16" s="59">
        <f>ROUND(E19*(1-BPINT*3)/(2*PLATE),0)*2*PLATE</f>
        <v>60</v>
      </c>
      <c r="F16" s="59">
        <f>ROUND(F19*(1-BPINT*3)/(2*PLATE),0)*2*PLATE</f>
        <v>60</v>
      </c>
      <c r="G16" s="59">
        <f>ROUND(G19*(1-BPINT*3)/(2*PLATE),0)*2*PLATE</f>
        <v>65</v>
      </c>
      <c r="H16" s="59">
        <f>ROUND(H19*(1-BPINT*3)/(2*PLATE),0)*2*PLATE</f>
        <v>65</v>
      </c>
      <c r="I16" s="59">
        <f>ROUND(I19*(1-BPINT*3)/(2*PLATE),0)*2*PLATE</f>
        <v>65</v>
      </c>
      <c r="J16" s="59">
        <f>ROUND(J19*(1-BPINT*3)/(2*PLATE),0)*2*PLATE</f>
        <v>65</v>
      </c>
      <c r="K16" s="59">
        <f>ROUND(K19*(1-BPINT*3)/(2*PLATE),0)*2*PLATE</f>
        <v>70</v>
      </c>
      <c r="L16" s="59">
        <f>ROUND(L19*(1-BPINT*3)/(2*PLATE),0)*2*PLATE</f>
        <v>70</v>
      </c>
      <c r="M16" s="59">
        <f>ROUND(M19*(1-BPINT*3)/(2*PLATE),0)*2*PLATE</f>
        <v>70</v>
      </c>
      <c r="N16" s="59">
        <f>ROUND(N19*(1-BPINT*3)/(2*PLATE),0)*2*PLATE</f>
        <v>75</v>
      </c>
      <c r="O16" s="59">
        <f>ROUND(O19*(1-BPINT*3)/(2*PLATE),0)*2*PLATE</f>
        <v>75</v>
      </c>
      <c r="P16" s="60">
        <f>ROUND(P19*(1-BPINT*3)/(2*PLATE),0)*2*PLATE</f>
        <v>80</v>
      </c>
    </row>
    <row r="17" ht="12.75" customHeight="1">
      <c r="A17" s="3"/>
      <c r="B17" s="46"/>
      <c r="C17" s="47"/>
      <c r="D17" s="48">
        <v>5.0</v>
      </c>
      <c r="E17" s="59">
        <f>ROUND(E19*(1-BPINT*2)/(2*PLATE),0)*2*PLATE</f>
        <v>70</v>
      </c>
      <c r="F17" s="59">
        <f>ROUND(F19*(1-BPINT*2)/(2*PLATE),0)*2*PLATE</f>
        <v>70</v>
      </c>
      <c r="G17" s="59">
        <f>ROUND(G19*(1-BPINT*2)/(2*PLATE),0)*2*PLATE</f>
        <v>75</v>
      </c>
      <c r="H17" s="59">
        <f>ROUND(H19*(1-BPINT*2)/(2*PLATE),0)*2*PLATE</f>
        <v>75</v>
      </c>
      <c r="I17" s="59">
        <f>ROUND(I19*(1-BPINT*2)/(2*PLATE),0)*2*PLATE</f>
        <v>80</v>
      </c>
      <c r="J17" s="59">
        <f>ROUND(J19*(1-BPINT*2)/(2*PLATE),0)*2*PLATE</f>
        <v>80</v>
      </c>
      <c r="K17" s="59">
        <f>ROUND(K19*(1-BPINT*2)/(2*PLATE),0)*2*PLATE</f>
        <v>85</v>
      </c>
      <c r="L17" s="59">
        <f>ROUND(L19*(1-BPINT*2)/(2*PLATE),0)*2*PLATE</f>
        <v>85</v>
      </c>
      <c r="M17" s="59">
        <f>ROUND(M19*(1-BPINT*2)/(2*PLATE),0)*2*PLATE</f>
        <v>85</v>
      </c>
      <c r="N17" s="59">
        <f>ROUND(N19*(1-BPINT*2)/(2*PLATE),0)*2*PLATE</f>
        <v>90</v>
      </c>
      <c r="O17" s="59">
        <f>ROUND(O19*(1-BPINT*2)/(2*PLATE),0)*2*PLATE</f>
        <v>90</v>
      </c>
      <c r="P17" s="60">
        <f>ROUND(P19*(1-BPINT*2)/(2*PLATE),0)*2*PLATE</f>
        <v>95</v>
      </c>
    </row>
    <row r="18" ht="12.75" customHeight="1">
      <c r="A18" s="3"/>
      <c r="B18" s="46"/>
      <c r="C18" s="47"/>
      <c r="D18" s="48">
        <v>5.0</v>
      </c>
      <c r="E18" s="59">
        <f>ROUND(E19*(1-BPINT)/(2*PLATE),0)*2*PLATE</f>
        <v>85</v>
      </c>
      <c r="F18" s="59">
        <f>ROUND(F19*(1-BPINT)/(2*PLATE),0)*2*PLATE</f>
        <v>85</v>
      </c>
      <c r="G18" s="59">
        <f>ROUND(G19*(1-BPINT)/(2*PLATE),0)*2*PLATE</f>
        <v>90</v>
      </c>
      <c r="H18" s="59">
        <f>ROUND(H19*(1-BPINT)/(2*PLATE),0)*2*PLATE</f>
        <v>90</v>
      </c>
      <c r="I18" s="59">
        <f>ROUND(I19*(1-BPINT)/(2*PLATE),0)*2*PLATE</f>
        <v>90</v>
      </c>
      <c r="J18" s="59">
        <f>ROUND(J19*(1-BPINT)/(2*PLATE),0)*2*PLATE</f>
        <v>90</v>
      </c>
      <c r="K18" s="59">
        <f>ROUND(K19*(1-BPINT)/(2*PLATE),0)*2*PLATE</f>
        <v>95</v>
      </c>
      <c r="L18" s="59">
        <f>ROUND(L19*(1-BPINT)/(2*PLATE),0)*2*PLATE</f>
        <v>100</v>
      </c>
      <c r="M18" s="59">
        <f>ROUND(M19*(1-BPINT)/(2*PLATE),0)*2*PLATE</f>
        <v>100</v>
      </c>
      <c r="N18" s="59">
        <f>ROUND(N19*(1-BPINT)/(2*PLATE),0)*2*PLATE</f>
        <v>105</v>
      </c>
      <c r="O18" s="59">
        <f>ROUND(O19*(1-BPINT)/(2*PLATE),0)*2*PLATE</f>
        <v>105</v>
      </c>
      <c r="P18" s="60">
        <f>ROUND(P19*(1-BPINT)/(2*PLATE),0)*2*PLATE</f>
        <v>110</v>
      </c>
    </row>
    <row r="19" ht="12.75" customHeight="1">
      <c r="A19" s="3"/>
      <c r="B19" s="46"/>
      <c r="C19" s="51"/>
      <c r="D19" s="52">
        <v>5.0</v>
      </c>
      <c r="E19" s="61">
        <f>BP</f>
        <v>95</v>
      </c>
      <c r="F19" s="61">
        <f>ROUND(BP*(1.025^E9)/(2*PLATE),0)*2*PLATE</f>
        <v>95</v>
      </c>
      <c r="G19" s="61">
        <f>ROUND(BP*(1.025^F9)/(2*PLATE),0)*2*PLATE</f>
        <v>100</v>
      </c>
      <c r="H19" s="61">
        <f>ROUND(BP*(1.025^G9)/(2*PLATE),0)*2*PLATE</f>
        <v>100</v>
      </c>
      <c r="I19" s="61">
        <f>ROUND(BP*(1.025^H9)/(2*PLATE),0)*2*PLATE</f>
        <v>105</v>
      </c>
      <c r="J19" s="61">
        <f>ROUND(BP*(1.025^I9)/(2*PLATE),0)*2*PLATE</f>
        <v>105</v>
      </c>
      <c r="K19" s="61">
        <f>ROUND(BP*(1.025^J9)/(2*PLATE),0)*2*PLATE</f>
        <v>110</v>
      </c>
      <c r="L19" s="61">
        <f>ROUND(BP*(1.025^K9)/(2*PLATE),0)*2*PLATE</f>
        <v>115</v>
      </c>
      <c r="M19" s="61">
        <f>ROUND(BP*(1.025^L9)/(2*PLATE),0)*2*PLATE</f>
        <v>115</v>
      </c>
      <c r="N19" s="61">
        <f>ROUND(BP*(1.025^M9)/(2*PLATE),0)*2*PLATE</f>
        <v>120</v>
      </c>
      <c r="O19" s="61">
        <f>ROUND(BP*(1.025^N9)/(2*PLATE),0)*2*PLATE</f>
        <v>120</v>
      </c>
      <c r="P19" s="62">
        <f>ROUND(BP*(1.025^O9)/(2*PLATE),0)*2*PLATE</f>
        <v>125</v>
      </c>
    </row>
    <row r="20" ht="12.75" customHeight="1">
      <c r="A20" s="3"/>
      <c r="B20" s="46"/>
      <c r="C20" s="63" t="s">
        <v>12</v>
      </c>
      <c r="D20" s="48">
        <v>5.0</v>
      </c>
      <c r="E20" s="49">
        <f>ROUND(E24*(1-BBRINT*4)/(2*PLATE),0)*2*PLATE</f>
        <v>50</v>
      </c>
      <c r="F20" s="49">
        <f>ROUND(F24*(1-BBRINT*4)/(2*PLATE),0)*2*PLATE</f>
        <v>50</v>
      </c>
      <c r="G20" s="49">
        <f>ROUND(G24*(1-BBRINT*4)/(2*PLATE),0)*2*PLATE</f>
        <v>50</v>
      </c>
      <c r="H20" s="49">
        <f>ROUND(H24*(1-BBRINT*4)/(2*PLATE),0)*2*PLATE</f>
        <v>50</v>
      </c>
      <c r="I20" s="49">
        <f>ROUND(I24*(1-BBRINT*4)/(2*PLATE),0)*2*PLATE</f>
        <v>55</v>
      </c>
      <c r="J20" s="49">
        <f>ROUND(J24*(1-BBRINT*4)/(2*PLATE),0)*2*PLATE</f>
        <v>55</v>
      </c>
      <c r="K20" s="49">
        <f>ROUND(K24*(1-BBRINT*4)/(2*PLATE),0)*2*PLATE</f>
        <v>55</v>
      </c>
      <c r="L20" s="49">
        <f>ROUND(L24*(1-BBRINT*4)/(2*PLATE),0)*2*PLATE</f>
        <v>60</v>
      </c>
      <c r="M20" s="49">
        <f>ROUND(M24*(1-BBRINT*4)/(2*PLATE),0)*2*PLATE</f>
        <v>60</v>
      </c>
      <c r="N20" s="49">
        <f>ROUND(N24*(1-BBRINT*4)/(2*PLATE),0)*2*PLATE</f>
        <v>60</v>
      </c>
      <c r="O20" s="49">
        <f>ROUND(O24*(1-BBRINT*4)/(2*PLATE),0)*2*PLATE</f>
        <v>60</v>
      </c>
      <c r="P20" s="50">
        <f>ROUND(P24*(1-BBRINT*4)/(2*PLATE),0)*2*PLATE</f>
        <v>65</v>
      </c>
    </row>
    <row r="21" ht="12.75" customHeight="1">
      <c r="A21" s="3"/>
      <c r="B21" s="46"/>
      <c r="C21" s="47"/>
      <c r="D21" s="48">
        <v>5.0</v>
      </c>
      <c r="E21" s="49">
        <f>ROUND(E24*(1-BBRINT*3)/(2*PLATE),0)*2*PLATE</f>
        <v>60</v>
      </c>
      <c r="F21" s="49">
        <f>ROUND(F24*(1-BBRINT*3)/(2*PLATE),0)*2*PLATE</f>
        <v>60</v>
      </c>
      <c r="G21" s="49">
        <f>ROUND(G24*(1-BBRINT*3)/(2*PLATE),0)*2*PLATE</f>
        <v>65</v>
      </c>
      <c r="H21" s="49">
        <f>ROUND(H24*(1-BBRINT*3)/(2*PLATE),0)*2*PLATE</f>
        <v>65</v>
      </c>
      <c r="I21" s="49">
        <f>ROUND(I24*(1-BBRINT*3)/(2*PLATE),0)*2*PLATE</f>
        <v>65</v>
      </c>
      <c r="J21" s="49">
        <f>ROUND(J24*(1-BBRINT*3)/(2*PLATE),0)*2*PLATE</f>
        <v>65</v>
      </c>
      <c r="K21" s="49">
        <f>ROUND(K24*(1-BBRINT*3)/(2*PLATE),0)*2*PLATE</f>
        <v>70</v>
      </c>
      <c r="L21" s="49">
        <f>ROUND(L24*(1-BBRINT*3)/(2*PLATE),0)*2*PLATE</f>
        <v>70</v>
      </c>
      <c r="M21" s="49">
        <f>ROUND(M24*(1-BBRINT*3)/(2*PLATE),0)*2*PLATE</f>
        <v>70</v>
      </c>
      <c r="N21" s="49">
        <f>ROUND(N24*(1-BBRINT*3)/(2*PLATE),0)*2*PLATE</f>
        <v>75</v>
      </c>
      <c r="O21" s="49">
        <f>ROUND(O24*(1-BBRINT*3)/(2*PLATE),0)*2*PLATE</f>
        <v>75</v>
      </c>
      <c r="P21" s="50">
        <f>ROUND(P24*(1-BBRINT*3)/(2*PLATE),0)*2*PLATE</f>
        <v>80</v>
      </c>
    </row>
    <row r="22" ht="12.75" customHeight="1">
      <c r="A22" s="3"/>
      <c r="B22" s="46"/>
      <c r="C22" s="47"/>
      <c r="D22" s="48">
        <v>5.0</v>
      </c>
      <c r="E22" s="49">
        <f>ROUND(E24*(1-BBRINT*2)/(2*PLATE),0)*2*PLATE</f>
        <v>70</v>
      </c>
      <c r="F22" s="49">
        <f>ROUND(F24*(1-BBRINT*2)/(2*PLATE),0)*2*PLATE</f>
        <v>70</v>
      </c>
      <c r="G22" s="49">
        <f>ROUND(G24*(1-BBRINT*2)/(2*PLATE),0)*2*PLATE</f>
        <v>75</v>
      </c>
      <c r="H22" s="49">
        <f>ROUND(H24*(1-BBRINT*2)/(2*PLATE),0)*2*PLATE</f>
        <v>75</v>
      </c>
      <c r="I22" s="49">
        <f>ROUND(I24*(1-BBRINT*2)/(2*PLATE),0)*2*PLATE</f>
        <v>80</v>
      </c>
      <c r="J22" s="49">
        <f>ROUND(J24*(1-BBRINT*2)/(2*PLATE),0)*2*PLATE</f>
        <v>80</v>
      </c>
      <c r="K22" s="49">
        <f>ROUND(K24*(1-BBRINT*2)/(2*PLATE),0)*2*PLATE</f>
        <v>85</v>
      </c>
      <c r="L22" s="49">
        <f>ROUND(L24*(1-BBRINT*2)/(2*PLATE),0)*2*PLATE</f>
        <v>85</v>
      </c>
      <c r="M22" s="49">
        <f>ROUND(M24*(1-BBRINT*2)/(2*PLATE),0)*2*PLATE</f>
        <v>85</v>
      </c>
      <c r="N22" s="49">
        <f>ROUND(N24*(1-BBRINT*2)/(2*PLATE),0)*2*PLATE</f>
        <v>90</v>
      </c>
      <c r="O22" s="49">
        <f>ROUND(O24*(1-BBRINT*2)/(2*PLATE),0)*2*PLATE</f>
        <v>90</v>
      </c>
      <c r="P22" s="50">
        <f>ROUND(P24*(1-BBRINT*2)/(2*PLATE),0)*2*PLATE</f>
        <v>95</v>
      </c>
    </row>
    <row r="23" ht="12.75" customHeight="1">
      <c r="A23" s="3"/>
      <c r="B23" s="46"/>
      <c r="C23" s="47"/>
      <c r="D23" s="48">
        <v>5.0</v>
      </c>
      <c r="E23" s="49">
        <f>ROUND(E24*(1-BBRINT)/(2*PLATE),0)*2*PLATE</f>
        <v>85</v>
      </c>
      <c r="F23" s="49">
        <f>ROUND(F24*(1-BBRINT)/(2*PLATE),0)*2*PLATE</f>
        <v>85</v>
      </c>
      <c r="G23" s="49">
        <f>ROUND(G24*(1-BBRINT)/(2*PLATE),0)*2*PLATE</f>
        <v>90</v>
      </c>
      <c r="H23" s="49">
        <f>ROUND(H24*(1-BBRINT)/(2*PLATE),0)*2*PLATE</f>
        <v>90</v>
      </c>
      <c r="I23" s="49">
        <f>ROUND(I24*(1-BBRINT)/(2*PLATE),0)*2*PLATE</f>
        <v>90</v>
      </c>
      <c r="J23" s="49">
        <f>ROUND(J24*(1-BBRINT)/(2*PLATE),0)*2*PLATE</f>
        <v>90</v>
      </c>
      <c r="K23" s="49">
        <f>ROUND(K24*(1-BBRINT)/(2*PLATE),0)*2*PLATE</f>
        <v>95</v>
      </c>
      <c r="L23" s="49">
        <f>ROUND(L24*(1-BBRINT)/(2*PLATE),0)*2*PLATE</f>
        <v>100</v>
      </c>
      <c r="M23" s="49">
        <f>ROUND(M24*(1-BBRINT)/(2*PLATE),0)*2*PLATE</f>
        <v>100</v>
      </c>
      <c r="N23" s="49">
        <f>ROUND(N24*(1-BBRINT)/(2*PLATE),0)*2*PLATE</f>
        <v>105</v>
      </c>
      <c r="O23" s="49">
        <f>ROUND(O24*(1-BBRINT)/(2*PLATE),0)*2*PLATE</f>
        <v>105</v>
      </c>
      <c r="P23" s="50">
        <f>ROUND(P24*(1-BBRINT)/(2*PLATE),0)*2*PLATE</f>
        <v>110</v>
      </c>
    </row>
    <row r="24" ht="12.75" customHeight="1">
      <c r="A24" s="3"/>
      <c r="B24" s="64"/>
      <c r="C24" s="65"/>
      <c r="D24" s="39">
        <v>5.0</v>
      </c>
      <c r="E24" s="66">
        <f>BBR</f>
        <v>95</v>
      </c>
      <c r="F24" s="66">
        <f>ROUND(BBR*(1.025^E9)/(2*PLATE),0)*2*PLATE</f>
        <v>95</v>
      </c>
      <c r="G24" s="66">
        <f>ROUND(BBR*(1.025^F9)/(2*PLATE),0)*2*PLATE</f>
        <v>100</v>
      </c>
      <c r="H24" s="66">
        <f>ROUND(BBR*(1.025^G9)/(2*PLATE),0)*2*PLATE</f>
        <v>100</v>
      </c>
      <c r="I24" s="66">
        <f>ROUND(BBR*(1.025^H9)/(2*PLATE),0)*2*PLATE</f>
        <v>105</v>
      </c>
      <c r="J24" s="66">
        <f>ROUND(BBR*(1.025^I9)/(2*PLATE),0)*2*PLATE</f>
        <v>105</v>
      </c>
      <c r="K24" s="66">
        <f>ROUND(BBR*(1.025^J9)/(2*PLATE),0)*2*PLATE</f>
        <v>110</v>
      </c>
      <c r="L24" s="66">
        <f>ROUND(BBR*(1.025^K9)/(2*PLATE),0)*2*PLATE</f>
        <v>115</v>
      </c>
      <c r="M24" s="66">
        <f>ROUND(BBR*(1.025^L9)/(2*PLATE),0)*2*PLATE</f>
        <v>115</v>
      </c>
      <c r="N24" s="66">
        <f>ROUND(BBR*(1.025^M9)/(2*PLATE),0)*2*PLATE</f>
        <v>120</v>
      </c>
      <c r="O24" s="66">
        <f>ROUND(BBR*(1.025^N9)/(2*PLATE),0)*2*PLATE</f>
        <v>120</v>
      </c>
      <c r="P24" s="67">
        <f>ROUND(BBR*(1.025^O9)/(2*PLATE),0)*2*PLATE</f>
        <v>125</v>
      </c>
    </row>
    <row r="25" ht="12.75" customHeight="1">
      <c r="A25" s="3"/>
      <c r="B25" s="68" t="s">
        <v>22</v>
      </c>
      <c r="C25" s="42" t="s">
        <v>10</v>
      </c>
      <c r="D25" s="43">
        <v>5.0</v>
      </c>
      <c r="E25" s="69">
        <f t="shared" ref="E25:P25" si="1">E10</f>
        <v>50</v>
      </c>
      <c r="F25" s="69">
        <f t="shared" si="1"/>
        <v>50</v>
      </c>
      <c r="G25" s="69">
        <f t="shared" si="1"/>
        <v>50</v>
      </c>
      <c r="H25" s="69">
        <f t="shared" si="1"/>
        <v>50</v>
      </c>
      <c r="I25" s="69">
        <f t="shared" si="1"/>
        <v>55</v>
      </c>
      <c r="J25" s="69">
        <f t="shared" si="1"/>
        <v>55</v>
      </c>
      <c r="K25" s="69">
        <f t="shared" si="1"/>
        <v>55</v>
      </c>
      <c r="L25" s="69">
        <f t="shared" si="1"/>
        <v>60</v>
      </c>
      <c r="M25" s="69">
        <f t="shared" si="1"/>
        <v>60</v>
      </c>
      <c r="N25" s="69">
        <f t="shared" si="1"/>
        <v>60</v>
      </c>
      <c r="O25" s="69">
        <f t="shared" si="1"/>
        <v>60</v>
      </c>
      <c r="P25" s="70">
        <f t="shared" si="1"/>
        <v>65</v>
      </c>
    </row>
    <row r="26" ht="12.75" customHeight="1">
      <c r="A26" s="3"/>
      <c r="B26" s="46"/>
      <c r="C26" s="47"/>
      <c r="D26" s="48">
        <v>5.0</v>
      </c>
      <c r="E26" s="59">
        <f t="shared" ref="E26:P26" si="2">E11</f>
        <v>60</v>
      </c>
      <c r="F26" s="59">
        <f t="shared" si="2"/>
        <v>60</v>
      </c>
      <c r="G26" s="59">
        <f t="shared" si="2"/>
        <v>65</v>
      </c>
      <c r="H26" s="59">
        <f t="shared" si="2"/>
        <v>65</v>
      </c>
      <c r="I26" s="59">
        <f t="shared" si="2"/>
        <v>65</v>
      </c>
      <c r="J26" s="59">
        <f t="shared" si="2"/>
        <v>65</v>
      </c>
      <c r="K26" s="59">
        <f t="shared" si="2"/>
        <v>70</v>
      </c>
      <c r="L26" s="59">
        <f t="shared" si="2"/>
        <v>70</v>
      </c>
      <c r="M26" s="59">
        <f t="shared" si="2"/>
        <v>70</v>
      </c>
      <c r="N26" s="59">
        <f t="shared" si="2"/>
        <v>75</v>
      </c>
      <c r="O26" s="59">
        <f t="shared" si="2"/>
        <v>75</v>
      </c>
      <c r="P26" s="60">
        <f t="shared" si="2"/>
        <v>80</v>
      </c>
    </row>
    <row r="27" ht="12.75" customHeight="1">
      <c r="A27" s="3"/>
      <c r="B27" s="46"/>
      <c r="C27" s="47"/>
      <c r="D27" s="48">
        <v>5.0</v>
      </c>
      <c r="E27" s="59">
        <f t="shared" ref="E27:P27" si="3">E12</f>
        <v>70</v>
      </c>
      <c r="F27" s="59">
        <f t="shared" si="3"/>
        <v>70</v>
      </c>
      <c r="G27" s="59">
        <f t="shared" si="3"/>
        <v>75</v>
      </c>
      <c r="H27" s="59">
        <f t="shared" si="3"/>
        <v>75</v>
      </c>
      <c r="I27" s="59">
        <f t="shared" si="3"/>
        <v>80</v>
      </c>
      <c r="J27" s="59">
        <f t="shared" si="3"/>
        <v>80</v>
      </c>
      <c r="K27" s="59">
        <f t="shared" si="3"/>
        <v>85</v>
      </c>
      <c r="L27" s="59">
        <f t="shared" si="3"/>
        <v>85</v>
      </c>
      <c r="M27" s="59">
        <f t="shared" si="3"/>
        <v>85</v>
      </c>
      <c r="N27" s="59">
        <f t="shared" si="3"/>
        <v>90</v>
      </c>
      <c r="O27" s="59">
        <f t="shared" si="3"/>
        <v>90</v>
      </c>
      <c r="P27" s="60">
        <f t="shared" si="3"/>
        <v>95</v>
      </c>
    </row>
    <row r="28" ht="12.75" customHeight="1">
      <c r="A28" s="3"/>
      <c r="B28" s="46"/>
      <c r="C28" s="51"/>
      <c r="D28" s="71">
        <v>5.0</v>
      </c>
      <c r="E28" s="72">
        <f t="shared" ref="E28:P28" si="4">E12</f>
        <v>70</v>
      </c>
      <c r="F28" s="72">
        <f t="shared" si="4"/>
        <v>70</v>
      </c>
      <c r="G28" s="72">
        <f t="shared" si="4"/>
        <v>75</v>
      </c>
      <c r="H28" s="72">
        <f t="shared" si="4"/>
        <v>75</v>
      </c>
      <c r="I28" s="72">
        <f t="shared" si="4"/>
        <v>80</v>
      </c>
      <c r="J28" s="72">
        <f t="shared" si="4"/>
        <v>80</v>
      </c>
      <c r="K28" s="72">
        <f t="shared" si="4"/>
        <v>85</v>
      </c>
      <c r="L28" s="72">
        <f t="shared" si="4"/>
        <v>85</v>
      </c>
      <c r="M28" s="72">
        <f t="shared" si="4"/>
        <v>85</v>
      </c>
      <c r="N28" s="72">
        <f t="shared" si="4"/>
        <v>90</v>
      </c>
      <c r="O28" s="72">
        <f t="shared" si="4"/>
        <v>90</v>
      </c>
      <c r="P28" s="73">
        <f t="shared" si="4"/>
        <v>95</v>
      </c>
    </row>
    <row r="29" ht="12.75" customHeight="1">
      <c r="A29" s="3"/>
      <c r="B29" s="46"/>
      <c r="C29" s="74" t="s">
        <v>23</v>
      </c>
      <c r="D29" s="56">
        <v>5.0</v>
      </c>
      <c r="E29" s="75">
        <f>ROUND(E32*(1-OHPINT*3)/(2*PLATE),0)*2*PLATE</f>
        <v>60</v>
      </c>
      <c r="F29" s="75">
        <f>ROUND(F32*(1-OHPINT*3)/(2*PLATE),0)*2*PLATE</f>
        <v>60</v>
      </c>
      <c r="G29" s="75">
        <f>ROUND(G32*(1-OHPINT*3)/(2*PLATE),0)*2*PLATE</f>
        <v>65</v>
      </c>
      <c r="H29" s="75">
        <f>ROUND(H32*(1-OHPINT*3)/(2*PLATE),0)*2*PLATE</f>
        <v>65</v>
      </c>
      <c r="I29" s="75">
        <f>ROUND(I32*(1-OHPINT*3)/(2*PLATE),0)*2*PLATE</f>
        <v>65</v>
      </c>
      <c r="J29" s="75">
        <f>ROUND(J32*(1-OHPINT*3)/(2*PLATE),0)*2*PLATE</f>
        <v>65</v>
      </c>
      <c r="K29" s="75">
        <f>ROUND(K32*(1-OHPINT*3)/(2*PLATE),0)*2*PLATE</f>
        <v>70</v>
      </c>
      <c r="L29" s="75">
        <f>ROUND(L32*(1-OHPINT*3)/(2*PLATE),0)*2*PLATE</f>
        <v>70</v>
      </c>
      <c r="M29" s="75">
        <f>ROUND(M32*(1-OHPINT*3)/(2*PLATE),0)*2*PLATE</f>
        <v>70</v>
      </c>
      <c r="N29" s="75">
        <f>ROUND(N32*(1-OHPINT*3)/(2*PLATE),0)*2*PLATE</f>
        <v>75</v>
      </c>
      <c r="O29" s="75">
        <f>ROUND(O32*(1-OHPINT*3)/(2*PLATE),0)*2*PLATE</f>
        <v>75</v>
      </c>
      <c r="P29" s="76">
        <f>ROUND(P32*(1-OHPINT*3)/(2*PLATE),0)*2*PLATE</f>
        <v>80</v>
      </c>
    </row>
    <row r="30" ht="12.75" customHeight="1">
      <c r="A30" s="3"/>
      <c r="B30" s="46"/>
      <c r="C30" s="47"/>
      <c r="D30" s="48">
        <v>5.0</v>
      </c>
      <c r="E30" s="49">
        <f>ROUND(E32*(1-OHPINT*2)/(2*PLATE),0)*2*PLATE</f>
        <v>70</v>
      </c>
      <c r="F30" s="49">
        <f>ROUND(F32*(1-OHPINT*2)/(2*PLATE),0)*2*PLATE</f>
        <v>70</v>
      </c>
      <c r="G30" s="49">
        <f>ROUND(G32*(1-OHPINT*2)/(2*PLATE),0)*2*PLATE</f>
        <v>75</v>
      </c>
      <c r="H30" s="49">
        <f>ROUND(H32*(1-OHPINT*2)/(2*PLATE),0)*2*PLATE</f>
        <v>75</v>
      </c>
      <c r="I30" s="49">
        <f>ROUND(I32*(1-OHPINT*2)/(2*PLATE),0)*2*PLATE</f>
        <v>80</v>
      </c>
      <c r="J30" s="49">
        <f>ROUND(J32*(1-OHPINT*2)/(2*PLATE),0)*2*PLATE</f>
        <v>80</v>
      </c>
      <c r="K30" s="49">
        <f>ROUND(K32*(1-OHPINT*2)/(2*PLATE),0)*2*PLATE</f>
        <v>85</v>
      </c>
      <c r="L30" s="49">
        <f>ROUND(L32*(1-OHPINT*2)/(2*PLATE),0)*2*PLATE</f>
        <v>85</v>
      </c>
      <c r="M30" s="49">
        <f>ROUND(M32*(1-OHPINT*2)/(2*PLATE),0)*2*PLATE</f>
        <v>85</v>
      </c>
      <c r="N30" s="49">
        <f>ROUND(N32*(1-OHPINT*2)/(2*PLATE),0)*2*PLATE</f>
        <v>90</v>
      </c>
      <c r="O30" s="49">
        <f>ROUND(O32*(1-OHPINT*2)/(2*PLATE),0)*2*PLATE</f>
        <v>90</v>
      </c>
      <c r="P30" s="50">
        <f>ROUND(P32*(1-OHPINT*2)/(2*PLATE),0)*2*PLATE</f>
        <v>95</v>
      </c>
    </row>
    <row r="31" ht="12.75" customHeight="1">
      <c r="A31" s="3"/>
      <c r="B31" s="46"/>
      <c r="C31" s="47"/>
      <c r="D31" s="48">
        <v>5.0</v>
      </c>
      <c r="E31" s="49">
        <f>ROUND(E32*(1-OHPINT)/(2*PLATE),0)*2*PLATE</f>
        <v>85</v>
      </c>
      <c r="F31" s="49">
        <f>ROUND(F32*(1-OHPINT)/(2*PLATE),0)*2*PLATE</f>
        <v>85</v>
      </c>
      <c r="G31" s="49">
        <f>ROUND(G32*(1-OHPINT)/(2*PLATE),0)*2*PLATE</f>
        <v>90</v>
      </c>
      <c r="H31" s="49">
        <f>ROUND(H32*(1-OHPINT)/(2*PLATE),0)*2*PLATE</f>
        <v>90</v>
      </c>
      <c r="I31" s="49">
        <f>ROUND(I32*(1-OHPINT)/(2*PLATE),0)*2*PLATE</f>
        <v>90</v>
      </c>
      <c r="J31" s="49">
        <f>ROUND(J32*(1-OHPINT)/(2*PLATE),0)*2*PLATE</f>
        <v>90</v>
      </c>
      <c r="K31" s="49">
        <f>ROUND(K32*(1-OHPINT)/(2*PLATE),0)*2*PLATE</f>
        <v>95</v>
      </c>
      <c r="L31" s="49">
        <f>ROUND(L32*(1-OHPINT)/(2*PLATE),0)*2*PLATE</f>
        <v>100</v>
      </c>
      <c r="M31" s="49">
        <f>ROUND(M32*(1-OHPINT)/(2*PLATE),0)*2*PLATE</f>
        <v>100</v>
      </c>
      <c r="N31" s="49">
        <f>ROUND(N32*(1-OHPINT)/(2*PLATE),0)*2*PLATE</f>
        <v>105</v>
      </c>
      <c r="O31" s="49">
        <f>ROUND(O32*(1-OHPINT)/(2*PLATE),0)*2*PLATE</f>
        <v>105</v>
      </c>
      <c r="P31" s="50">
        <f>ROUND(P32*(1-OHPINT)/(2*PLATE),0)*2*PLATE</f>
        <v>110</v>
      </c>
    </row>
    <row r="32" ht="12.75" customHeight="1">
      <c r="A32" s="3"/>
      <c r="B32" s="46"/>
      <c r="C32" s="51"/>
      <c r="D32" s="52">
        <v>5.0</v>
      </c>
      <c r="E32" s="53">
        <f>OHP</f>
        <v>95</v>
      </c>
      <c r="F32" s="53">
        <f>ROUND(OHP*(1.025^E9)/(2*PLATE),0)*2*PLATE</f>
        <v>95</v>
      </c>
      <c r="G32" s="53">
        <f>ROUND(OHP*(1.025^F9)/(2*PLATE),0)*2*PLATE</f>
        <v>100</v>
      </c>
      <c r="H32" s="53">
        <f>ROUND(OHP*(1.025^G9)/(2*PLATE),0)*2*PLATE</f>
        <v>100</v>
      </c>
      <c r="I32" s="53">
        <f>ROUND(OHP*(1.025^H9)/(2*PLATE),0)*2*PLATE</f>
        <v>105</v>
      </c>
      <c r="J32" s="53">
        <f>ROUND(OHP*(1.025^I9)/(2*PLATE),0)*2*PLATE</f>
        <v>105</v>
      </c>
      <c r="K32" s="53">
        <f>ROUND(OHP*(1.025^J9)/(2*PLATE),0)*2*PLATE</f>
        <v>110</v>
      </c>
      <c r="L32" s="53">
        <f>ROUND(OHP*(1.025^K9)/(2*PLATE),0)*2*PLATE</f>
        <v>115</v>
      </c>
      <c r="M32" s="53">
        <f>ROUND(OHP*(1.025^L9)/(2*PLATE),0)*2*PLATE</f>
        <v>115</v>
      </c>
      <c r="N32" s="53">
        <f>ROUND(OHP*(1.025^M9)/(2*PLATE),0)*2*PLATE</f>
        <v>120</v>
      </c>
      <c r="O32" s="53">
        <f>ROUND(OHP*(1.025^N9)/(2*PLATE),0)*2*PLATE</f>
        <v>120</v>
      </c>
      <c r="P32" s="54">
        <f>ROUND(OHP*(1.025^O9)/(2*PLATE),0)*2*PLATE</f>
        <v>125</v>
      </c>
    </row>
    <row r="33" ht="12.75" customHeight="1">
      <c r="A33" s="3"/>
      <c r="B33" s="46"/>
      <c r="C33" s="63" t="s">
        <v>14</v>
      </c>
      <c r="D33" s="48">
        <v>5.0</v>
      </c>
      <c r="E33" s="59">
        <f>ROUND(E36*(1-DLINT*3)/(2*PLATE),0)*2*PLATE</f>
        <v>60</v>
      </c>
      <c r="F33" s="59">
        <f>ROUND(F36*(1-DLINT*3)/(2*PLATE),0)*2*PLATE</f>
        <v>60</v>
      </c>
      <c r="G33" s="59">
        <f>ROUND(G36*(1-DLINT*3)/(2*PLATE),0)*2*PLATE</f>
        <v>65</v>
      </c>
      <c r="H33" s="59">
        <f>ROUND(H36*(1-DLINT*3)/(2*PLATE),0)*2*PLATE</f>
        <v>65</v>
      </c>
      <c r="I33" s="59">
        <f>ROUND(I36*(1-DLINT*3)/(2*PLATE),0)*2*PLATE</f>
        <v>65</v>
      </c>
      <c r="J33" s="59">
        <f>ROUND(J36*(1-DLINT*3)/(2*PLATE),0)*2*PLATE</f>
        <v>65</v>
      </c>
      <c r="K33" s="59">
        <f>ROUND(K36*(1-DLINT*3)/(2*PLATE),0)*2*PLATE</f>
        <v>70</v>
      </c>
      <c r="L33" s="59">
        <f>ROUND(L36*(1-DLINT*3)/(2*PLATE),0)*2*PLATE</f>
        <v>70</v>
      </c>
      <c r="M33" s="59">
        <f>ROUND(M36*(1-DLINT*3)/(2*PLATE),0)*2*PLATE</f>
        <v>70</v>
      </c>
      <c r="N33" s="59">
        <f>ROUND(N36*(1-DLINT*3)/(2*PLATE),0)*2*PLATE</f>
        <v>75</v>
      </c>
      <c r="O33" s="59">
        <f>ROUND(O36*(1-DLINT*3)/(2*PLATE),0)*2*PLATE</f>
        <v>75</v>
      </c>
      <c r="P33" s="60">
        <f>ROUND(P36*(1-DLINT*3)/(2*PLATE),0)*2*PLATE</f>
        <v>80</v>
      </c>
    </row>
    <row r="34" ht="12.75" customHeight="1">
      <c r="A34" s="3"/>
      <c r="B34" s="46"/>
      <c r="C34" s="47"/>
      <c r="D34" s="48">
        <v>5.0</v>
      </c>
      <c r="E34" s="59">
        <f>ROUND(E36*(1-DLINT*2)/(2*PLATE),0)*2*PLATE</f>
        <v>70</v>
      </c>
      <c r="F34" s="59">
        <f>ROUND(F36*(1-DLINT*2)/(2*PLATE),0)*2*PLATE</f>
        <v>70</v>
      </c>
      <c r="G34" s="59">
        <f>ROUND(G36*(1-DLINT*2)/(2*PLATE),0)*2*PLATE</f>
        <v>75</v>
      </c>
      <c r="H34" s="59">
        <f>ROUND(H36*(1-DLINT*2)/(2*PLATE),0)*2*PLATE</f>
        <v>75</v>
      </c>
      <c r="I34" s="59">
        <f>ROUND(I36*(1-DLINT*2)/(2*PLATE),0)*2*PLATE</f>
        <v>80</v>
      </c>
      <c r="J34" s="59">
        <f>ROUND(J36*(1-DLINT*2)/(2*PLATE),0)*2*PLATE</f>
        <v>80</v>
      </c>
      <c r="K34" s="59">
        <f>ROUND(K36*(1-DLINT*2)/(2*PLATE),0)*2*PLATE</f>
        <v>85</v>
      </c>
      <c r="L34" s="59">
        <f>ROUND(L36*(1-DLINT*2)/(2*PLATE),0)*2*PLATE</f>
        <v>85</v>
      </c>
      <c r="M34" s="59">
        <f>ROUND(M36*(1-DLINT*2)/(2*PLATE),0)*2*PLATE</f>
        <v>85</v>
      </c>
      <c r="N34" s="59">
        <f>ROUND(N36*(1-DLINT*2)/(2*PLATE),0)*2*PLATE</f>
        <v>90</v>
      </c>
      <c r="O34" s="59">
        <f>ROUND(O36*(1-DLINT*2)/(2*PLATE),0)*2*PLATE</f>
        <v>90</v>
      </c>
      <c r="P34" s="60">
        <f>ROUND(P36*(1-DLINT*2)/(2*PLATE),0)*2*PLATE</f>
        <v>95</v>
      </c>
    </row>
    <row r="35" ht="12.75" customHeight="1">
      <c r="A35" s="3"/>
      <c r="B35" s="46"/>
      <c r="C35" s="47"/>
      <c r="D35" s="48">
        <v>5.0</v>
      </c>
      <c r="E35" s="59">
        <f>ROUND(E36*(1-DLINT)/(2*PLATE),0)*2*PLATE</f>
        <v>85</v>
      </c>
      <c r="F35" s="59">
        <f>ROUND(F36*(1-DLINT)/(2*PLATE),0)*2*PLATE</f>
        <v>85</v>
      </c>
      <c r="G35" s="59">
        <f>ROUND(G36*(1-DLINT)/(2*PLATE),0)*2*PLATE</f>
        <v>90</v>
      </c>
      <c r="H35" s="59">
        <f>ROUND(H36*(1-DLINT)/(2*PLATE),0)*2*PLATE</f>
        <v>90</v>
      </c>
      <c r="I35" s="59">
        <f>ROUND(I36*(1-DLINT)/(2*PLATE),0)*2*PLATE</f>
        <v>90</v>
      </c>
      <c r="J35" s="59">
        <f>ROUND(J36*(1-DLINT)/(2*PLATE),0)*2*PLATE</f>
        <v>90</v>
      </c>
      <c r="K35" s="59">
        <f>ROUND(K36*(1-DLINT)/(2*PLATE),0)*2*PLATE</f>
        <v>95</v>
      </c>
      <c r="L35" s="59">
        <f>ROUND(L36*(1-DLINT)/(2*PLATE),0)*2*PLATE</f>
        <v>100</v>
      </c>
      <c r="M35" s="59">
        <f>ROUND(M36*(1-DLINT)/(2*PLATE),0)*2*PLATE</f>
        <v>100</v>
      </c>
      <c r="N35" s="59">
        <f>ROUND(N36*(1-DLINT)/(2*PLATE),0)*2*PLATE</f>
        <v>105</v>
      </c>
      <c r="O35" s="59">
        <f>ROUND(O36*(1-DLINT)/(2*PLATE),0)*2*PLATE</f>
        <v>105</v>
      </c>
      <c r="P35" s="60">
        <f>ROUND(P36*(1-DLINT)/(2*PLATE),0)*2*PLATE</f>
        <v>110</v>
      </c>
    </row>
    <row r="36" ht="12.75" customHeight="1">
      <c r="A36" s="3"/>
      <c r="B36" s="64"/>
      <c r="C36" s="65"/>
      <c r="D36" s="39">
        <v>5.0</v>
      </c>
      <c r="E36" s="77">
        <f>DL</f>
        <v>95</v>
      </c>
      <c r="F36" s="77">
        <f>ROUND(DL*(1.025^E9)/(2*PLATE),0)*2*PLATE</f>
        <v>95</v>
      </c>
      <c r="G36" s="77">
        <f>ROUND(DL*(1.025^F9)/(2*PLATE),0)*2*PLATE</f>
        <v>100</v>
      </c>
      <c r="H36" s="77">
        <f>ROUND(DL*(1.025^G9)/(2*PLATE),0)*2*PLATE</f>
        <v>100</v>
      </c>
      <c r="I36" s="77">
        <f>ROUND(DL*(1.025^H9)/(2*PLATE),0)*2*PLATE</f>
        <v>105</v>
      </c>
      <c r="J36" s="77">
        <f>ROUND(DL*(1.025^I9)/(2*PLATE),0)*2*PLATE</f>
        <v>105</v>
      </c>
      <c r="K36" s="77">
        <f>ROUND(DL*(1.025^J9)/(2*PLATE),0)*2*PLATE</f>
        <v>110</v>
      </c>
      <c r="L36" s="77">
        <f>ROUND(DL*(1.025^K9)/(2*PLATE),0)*2*PLATE</f>
        <v>115</v>
      </c>
      <c r="M36" s="77">
        <f>ROUND(DL*(1.025^L9)/(2*PLATE),0)*2*PLATE</f>
        <v>115</v>
      </c>
      <c r="N36" s="77">
        <f>ROUND(DL*(1.025^M9)/(2*PLATE),0)*2*PLATE</f>
        <v>120</v>
      </c>
      <c r="O36" s="77">
        <f>ROUND(DL*(1.025^N9)/(2*PLATE),0)*2*PLATE</f>
        <v>120</v>
      </c>
      <c r="P36" s="78">
        <f>ROUND(DL*(1.025^O9)/(2*PLATE),0)*2*PLATE</f>
        <v>125</v>
      </c>
    </row>
    <row r="37" ht="12.75" customHeight="1">
      <c r="A37" s="3"/>
      <c r="B37" s="79" t="s">
        <v>24</v>
      </c>
      <c r="C37" s="42" t="s">
        <v>10</v>
      </c>
      <c r="D37" s="43">
        <v>5.0</v>
      </c>
      <c r="E37" s="44">
        <f t="shared" ref="E37:P37" si="5">E10</f>
        <v>50</v>
      </c>
      <c r="F37" s="44">
        <f t="shared" si="5"/>
        <v>50</v>
      </c>
      <c r="G37" s="44">
        <f t="shared" si="5"/>
        <v>50</v>
      </c>
      <c r="H37" s="44">
        <f t="shared" si="5"/>
        <v>50</v>
      </c>
      <c r="I37" s="44">
        <f t="shared" si="5"/>
        <v>55</v>
      </c>
      <c r="J37" s="44">
        <f t="shared" si="5"/>
        <v>55</v>
      </c>
      <c r="K37" s="44">
        <f t="shared" si="5"/>
        <v>55</v>
      </c>
      <c r="L37" s="44">
        <f t="shared" si="5"/>
        <v>60</v>
      </c>
      <c r="M37" s="44">
        <f t="shared" si="5"/>
        <v>60</v>
      </c>
      <c r="N37" s="44">
        <f t="shared" si="5"/>
        <v>60</v>
      </c>
      <c r="O37" s="44">
        <f t="shared" si="5"/>
        <v>60</v>
      </c>
      <c r="P37" s="45">
        <f t="shared" si="5"/>
        <v>65</v>
      </c>
    </row>
    <row r="38" ht="12.75" customHeight="1">
      <c r="A38" s="3"/>
      <c r="B38" s="46"/>
      <c r="C38" s="47"/>
      <c r="D38" s="48">
        <v>5.0</v>
      </c>
      <c r="E38" s="49">
        <f t="shared" ref="E38:P38" si="6">E11</f>
        <v>60</v>
      </c>
      <c r="F38" s="49">
        <f t="shared" si="6"/>
        <v>60</v>
      </c>
      <c r="G38" s="49">
        <f t="shared" si="6"/>
        <v>65</v>
      </c>
      <c r="H38" s="49">
        <f t="shared" si="6"/>
        <v>65</v>
      </c>
      <c r="I38" s="49">
        <f t="shared" si="6"/>
        <v>65</v>
      </c>
      <c r="J38" s="49">
        <f t="shared" si="6"/>
        <v>65</v>
      </c>
      <c r="K38" s="49">
        <f t="shared" si="6"/>
        <v>70</v>
      </c>
      <c r="L38" s="49">
        <f t="shared" si="6"/>
        <v>70</v>
      </c>
      <c r="M38" s="49">
        <f t="shared" si="6"/>
        <v>70</v>
      </c>
      <c r="N38" s="49">
        <f t="shared" si="6"/>
        <v>75</v>
      </c>
      <c r="O38" s="49">
        <f t="shared" si="6"/>
        <v>75</v>
      </c>
      <c r="P38" s="50">
        <f t="shared" si="6"/>
        <v>80</v>
      </c>
    </row>
    <row r="39" ht="12.75" customHeight="1">
      <c r="A39" s="3"/>
      <c r="B39" s="46"/>
      <c r="C39" s="47"/>
      <c r="D39" s="48">
        <v>5.0</v>
      </c>
      <c r="E39" s="49">
        <f t="shared" ref="E39:P39" si="7">E12</f>
        <v>70</v>
      </c>
      <c r="F39" s="49">
        <f t="shared" si="7"/>
        <v>70</v>
      </c>
      <c r="G39" s="49">
        <f t="shared" si="7"/>
        <v>75</v>
      </c>
      <c r="H39" s="49">
        <f t="shared" si="7"/>
        <v>75</v>
      </c>
      <c r="I39" s="49">
        <f t="shared" si="7"/>
        <v>80</v>
      </c>
      <c r="J39" s="49">
        <f t="shared" si="7"/>
        <v>80</v>
      </c>
      <c r="K39" s="49">
        <f t="shared" si="7"/>
        <v>85</v>
      </c>
      <c r="L39" s="49">
        <f t="shared" si="7"/>
        <v>85</v>
      </c>
      <c r="M39" s="49">
        <f t="shared" si="7"/>
        <v>85</v>
      </c>
      <c r="N39" s="49">
        <f t="shared" si="7"/>
        <v>90</v>
      </c>
      <c r="O39" s="49">
        <f t="shared" si="7"/>
        <v>90</v>
      </c>
      <c r="P39" s="50">
        <f t="shared" si="7"/>
        <v>95</v>
      </c>
    </row>
    <row r="40" ht="12.75" customHeight="1">
      <c r="A40" s="3"/>
      <c r="B40" s="46"/>
      <c r="C40" s="47"/>
      <c r="D40" s="48">
        <v>5.0</v>
      </c>
      <c r="E40" s="49">
        <f t="shared" ref="E40:P40" si="8">E13</f>
        <v>85</v>
      </c>
      <c r="F40" s="49">
        <f t="shared" si="8"/>
        <v>85</v>
      </c>
      <c r="G40" s="49">
        <f t="shared" si="8"/>
        <v>90</v>
      </c>
      <c r="H40" s="49">
        <f t="shared" si="8"/>
        <v>90</v>
      </c>
      <c r="I40" s="49">
        <f t="shared" si="8"/>
        <v>90</v>
      </c>
      <c r="J40" s="49">
        <f t="shared" si="8"/>
        <v>90</v>
      </c>
      <c r="K40" s="49">
        <f t="shared" si="8"/>
        <v>95</v>
      </c>
      <c r="L40" s="49">
        <f t="shared" si="8"/>
        <v>100</v>
      </c>
      <c r="M40" s="49">
        <f t="shared" si="8"/>
        <v>100</v>
      </c>
      <c r="N40" s="49">
        <f t="shared" si="8"/>
        <v>105</v>
      </c>
      <c r="O40" s="49">
        <f t="shared" si="8"/>
        <v>105</v>
      </c>
      <c r="P40" s="50">
        <f t="shared" si="8"/>
        <v>110</v>
      </c>
    </row>
    <row r="41" ht="12.75" customHeight="1">
      <c r="A41" s="3"/>
      <c r="B41" s="46"/>
      <c r="C41" s="47"/>
      <c r="D41" s="80">
        <v>3.0</v>
      </c>
      <c r="E41" s="81">
        <f>ROUND(SQ*(1.025^E9)/(2*PLATE),0)*2*PLATE</f>
        <v>95</v>
      </c>
      <c r="F41" s="81">
        <f>ROUND(SQ*(1.025^F9)/(2*PLATE),0)*2*PLATE</f>
        <v>100</v>
      </c>
      <c r="G41" s="81">
        <f>ROUND(SQ*(1.025^G9)/(2*PLATE),0)*2*PLATE</f>
        <v>100</v>
      </c>
      <c r="H41" s="81">
        <f>ROUND(SQ*(1.025^H9)/(2*PLATE),0)*2*PLATE</f>
        <v>105</v>
      </c>
      <c r="I41" s="81">
        <f>ROUND(SQ*(1.025^I9)/(2*PLATE),0)*2*PLATE</f>
        <v>105</v>
      </c>
      <c r="J41" s="81">
        <f>ROUND(SQ*(1.025^J9)/(2*PLATE),0)*2*PLATE</f>
        <v>110</v>
      </c>
      <c r="K41" s="81">
        <f>ROUND(SQ*(1.025^K9)/(2*PLATE),0)*2*PLATE</f>
        <v>115</v>
      </c>
      <c r="L41" s="81">
        <f>ROUND(SQ*(1.025^L9)/(2*PLATE),0)*2*PLATE</f>
        <v>115</v>
      </c>
      <c r="M41" s="81">
        <f>ROUND(SQ*(1.025^M9)/(2*PLATE),0)*2*PLATE</f>
        <v>120</v>
      </c>
      <c r="N41" s="81">
        <f>ROUND(SQ*(1.025^N9)/(2*PLATE),0)*2*PLATE</f>
        <v>120</v>
      </c>
      <c r="O41" s="81">
        <f>ROUND(SQ*(1.025^O9)/(2*PLATE),0)*2*PLATE</f>
        <v>125</v>
      </c>
      <c r="P41" s="82">
        <f>ROUND(SQ*(1.025^P9)/(2*PLATE),0)*2*PLATE</f>
        <v>130</v>
      </c>
    </row>
    <row r="42" ht="12.75" customHeight="1">
      <c r="A42" s="3"/>
      <c r="B42" s="46"/>
      <c r="C42" s="51"/>
      <c r="D42" s="71">
        <v>8.0</v>
      </c>
      <c r="E42" s="83">
        <f t="shared" ref="E42:P42" si="9">E12</f>
        <v>70</v>
      </c>
      <c r="F42" s="83">
        <f t="shared" si="9"/>
        <v>70</v>
      </c>
      <c r="G42" s="83">
        <f t="shared" si="9"/>
        <v>75</v>
      </c>
      <c r="H42" s="83">
        <f t="shared" si="9"/>
        <v>75</v>
      </c>
      <c r="I42" s="83">
        <f t="shared" si="9"/>
        <v>80</v>
      </c>
      <c r="J42" s="83">
        <f t="shared" si="9"/>
        <v>80</v>
      </c>
      <c r="K42" s="83">
        <f t="shared" si="9"/>
        <v>85</v>
      </c>
      <c r="L42" s="83">
        <f t="shared" si="9"/>
        <v>85</v>
      </c>
      <c r="M42" s="83">
        <f t="shared" si="9"/>
        <v>85</v>
      </c>
      <c r="N42" s="83">
        <f t="shared" si="9"/>
        <v>90</v>
      </c>
      <c r="O42" s="83">
        <f t="shared" si="9"/>
        <v>90</v>
      </c>
      <c r="P42" s="84">
        <f t="shared" si="9"/>
        <v>95</v>
      </c>
    </row>
    <row r="43" ht="12.75" customHeight="1">
      <c r="A43" s="3"/>
      <c r="B43" s="46"/>
      <c r="C43" s="55" t="s">
        <v>11</v>
      </c>
      <c r="D43" s="56">
        <v>5.0</v>
      </c>
      <c r="E43" s="57">
        <f t="shared" ref="E43:P43" si="10">E15</f>
        <v>50</v>
      </c>
      <c r="F43" s="57">
        <f t="shared" si="10"/>
        <v>50</v>
      </c>
      <c r="G43" s="57">
        <f t="shared" si="10"/>
        <v>50</v>
      </c>
      <c r="H43" s="57">
        <f t="shared" si="10"/>
        <v>50</v>
      </c>
      <c r="I43" s="57">
        <f t="shared" si="10"/>
        <v>55</v>
      </c>
      <c r="J43" s="57">
        <f t="shared" si="10"/>
        <v>55</v>
      </c>
      <c r="K43" s="57">
        <f t="shared" si="10"/>
        <v>55</v>
      </c>
      <c r="L43" s="57">
        <f t="shared" si="10"/>
        <v>60</v>
      </c>
      <c r="M43" s="57">
        <f t="shared" si="10"/>
        <v>60</v>
      </c>
      <c r="N43" s="57">
        <f t="shared" si="10"/>
        <v>60</v>
      </c>
      <c r="O43" s="57">
        <f t="shared" si="10"/>
        <v>60</v>
      </c>
      <c r="P43" s="58">
        <f t="shared" si="10"/>
        <v>65</v>
      </c>
    </row>
    <row r="44" ht="12.75" customHeight="1">
      <c r="A44" s="3"/>
      <c r="B44" s="46"/>
      <c r="C44" s="47"/>
      <c r="D44" s="48">
        <v>5.0</v>
      </c>
      <c r="E44" s="59">
        <f t="shared" ref="E44:P44" si="11">E16</f>
        <v>60</v>
      </c>
      <c r="F44" s="59">
        <f t="shared" si="11"/>
        <v>60</v>
      </c>
      <c r="G44" s="59">
        <f t="shared" si="11"/>
        <v>65</v>
      </c>
      <c r="H44" s="59">
        <f t="shared" si="11"/>
        <v>65</v>
      </c>
      <c r="I44" s="59">
        <f t="shared" si="11"/>
        <v>65</v>
      </c>
      <c r="J44" s="59">
        <f t="shared" si="11"/>
        <v>65</v>
      </c>
      <c r="K44" s="59">
        <f t="shared" si="11"/>
        <v>70</v>
      </c>
      <c r="L44" s="59">
        <f t="shared" si="11"/>
        <v>70</v>
      </c>
      <c r="M44" s="59">
        <f t="shared" si="11"/>
        <v>70</v>
      </c>
      <c r="N44" s="59">
        <f t="shared" si="11"/>
        <v>75</v>
      </c>
      <c r="O44" s="59">
        <f t="shared" si="11"/>
        <v>75</v>
      </c>
      <c r="P44" s="60">
        <f t="shared" si="11"/>
        <v>80</v>
      </c>
    </row>
    <row r="45" ht="12.75" customHeight="1">
      <c r="A45" s="3"/>
      <c r="B45" s="46"/>
      <c r="C45" s="47"/>
      <c r="D45" s="48">
        <v>5.0</v>
      </c>
      <c r="E45" s="59">
        <f t="shared" ref="E45:P45" si="12">E17</f>
        <v>70</v>
      </c>
      <c r="F45" s="59">
        <f t="shared" si="12"/>
        <v>70</v>
      </c>
      <c r="G45" s="59">
        <f t="shared" si="12"/>
        <v>75</v>
      </c>
      <c r="H45" s="59">
        <f t="shared" si="12"/>
        <v>75</v>
      </c>
      <c r="I45" s="59">
        <f t="shared" si="12"/>
        <v>80</v>
      </c>
      <c r="J45" s="59">
        <f t="shared" si="12"/>
        <v>80</v>
      </c>
      <c r="K45" s="59">
        <f t="shared" si="12"/>
        <v>85</v>
      </c>
      <c r="L45" s="59">
        <f t="shared" si="12"/>
        <v>85</v>
      </c>
      <c r="M45" s="59">
        <f t="shared" si="12"/>
        <v>85</v>
      </c>
      <c r="N45" s="59">
        <f t="shared" si="12"/>
        <v>90</v>
      </c>
      <c r="O45" s="59">
        <f t="shared" si="12"/>
        <v>90</v>
      </c>
      <c r="P45" s="60">
        <f t="shared" si="12"/>
        <v>95</v>
      </c>
    </row>
    <row r="46" ht="12.75" customHeight="1">
      <c r="A46" s="3"/>
      <c r="B46" s="46"/>
      <c r="C46" s="47"/>
      <c r="D46" s="48">
        <v>5.0</v>
      </c>
      <c r="E46" s="59">
        <f t="shared" ref="E46:P46" si="13">E18</f>
        <v>85</v>
      </c>
      <c r="F46" s="59">
        <f t="shared" si="13"/>
        <v>85</v>
      </c>
      <c r="G46" s="59">
        <f t="shared" si="13"/>
        <v>90</v>
      </c>
      <c r="H46" s="59">
        <f t="shared" si="13"/>
        <v>90</v>
      </c>
      <c r="I46" s="59">
        <f t="shared" si="13"/>
        <v>90</v>
      </c>
      <c r="J46" s="59">
        <f t="shared" si="13"/>
        <v>90</v>
      </c>
      <c r="K46" s="59">
        <f t="shared" si="13"/>
        <v>95</v>
      </c>
      <c r="L46" s="59">
        <f t="shared" si="13"/>
        <v>100</v>
      </c>
      <c r="M46" s="59">
        <f t="shared" si="13"/>
        <v>100</v>
      </c>
      <c r="N46" s="59">
        <f t="shared" si="13"/>
        <v>105</v>
      </c>
      <c r="O46" s="59">
        <f t="shared" si="13"/>
        <v>105</v>
      </c>
      <c r="P46" s="60">
        <f t="shared" si="13"/>
        <v>110</v>
      </c>
    </row>
    <row r="47" ht="12.75" customHeight="1">
      <c r="A47" s="3"/>
      <c r="B47" s="46"/>
      <c r="C47" s="47"/>
      <c r="D47" s="80">
        <v>3.0</v>
      </c>
      <c r="E47" s="85">
        <f>ROUND(BP*(1.025^E9)/(2*PLATE),0)*2*PLATE</f>
        <v>95</v>
      </c>
      <c r="F47" s="85">
        <f>ROUND(BP*(1.025^F9)/(2*PLATE),0)*2*PLATE</f>
        <v>100</v>
      </c>
      <c r="G47" s="85">
        <f>ROUND(BP*(1.025^G9)/(2*PLATE),0)*2*PLATE</f>
        <v>100</v>
      </c>
      <c r="H47" s="85">
        <f>ROUND(BP*(1.025^H9)/(2*PLATE),0)*2*PLATE</f>
        <v>105</v>
      </c>
      <c r="I47" s="85">
        <f>ROUND(BP*(1.025^I9)/(2*PLATE),0)*2*PLATE</f>
        <v>105</v>
      </c>
      <c r="J47" s="85">
        <f>ROUND(BP*(1.025^J9)/(2*PLATE),0)*2*PLATE</f>
        <v>110</v>
      </c>
      <c r="K47" s="85">
        <f>ROUND(BP*(1.025^K9)/(2*PLATE),0)*2*PLATE</f>
        <v>115</v>
      </c>
      <c r="L47" s="85">
        <f>ROUND(BP*(1.025^L9)/(2*PLATE),0)*2*PLATE</f>
        <v>115</v>
      </c>
      <c r="M47" s="85">
        <f>ROUND(BP*(1.025^M9)/(2*PLATE),0)*2*PLATE</f>
        <v>120</v>
      </c>
      <c r="N47" s="85">
        <f>ROUND(BP*(1.025^N9)/(2*PLATE),0)*2*PLATE</f>
        <v>120</v>
      </c>
      <c r="O47" s="85">
        <f>ROUND(BP*(1.025^O9)/(2*PLATE),0)*2*PLATE</f>
        <v>125</v>
      </c>
      <c r="P47" s="86">
        <f>ROUND(BP*(1.025^P9)/(2*PLATE),0)*2*PLATE</f>
        <v>130</v>
      </c>
    </row>
    <row r="48" ht="12.75" customHeight="1">
      <c r="A48" s="3"/>
      <c r="B48" s="46"/>
      <c r="C48" s="51"/>
      <c r="D48" s="71">
        <v>8.0</v>
      </c>
      <c r="E48" s="72">
        <f t="shared" ref="E48:P48" si="14">E17</f>
        <v>70</v>
      </c>
      <c r="F48" s="72">
        <f t="shared" si="14"/>
        <v>70</v>
      </c>
      <c r="G48" s="72">
        <f t="shared" si="14"/>
        <v>75</v>
      </c>
      <c r="H48" s="72">
        <f t="shared" si="14"/>
        <v>75</v>
      </c>
      <c r="I48" s="72">
        <f t="shared" si="14"/>
        <v>80</v>
      </c>
      <c r="J48" s="72">
        <f t="shared" si="14"/>
        <v>80</v>
      </c>
      <c r="K48" s="72">
        <f t="shared" si="14"/>
        <v>85</v>
      </c>
      <c r="L48" s="72">
        <f t="shared" si="14"/>
        <v>85</v>
      </c>
      <c r="M48" s="72">
        <f t="shared" si="14"/>
        <v>85</v>
      </c>
      <c r="N48" s="72">
        <f t="shared" si="14"/>
        <v>90</v>
      </c>
      <c r="O48" s="72">
        <f t="shared" si="14"/>
        <v>90</v>
      </c>
      <c r="P48" s="73">
        <f t="shared" si="14"/>
        <v>95</v>
      </c>
    </row>
    <row r="49" ht="12.75" customHeight="1">
      <c r="A49" s="3"/>
      <c r="B49" s="46"/>
      <c r="C49" s="63" t="s">
        <v>12</v>
      </c>
      <c r="D49" s="48">
        <v>5.0</v>
      </c>
      <c r="E49" s="49">
        <f t="shared" ref="E49:P49" si="15">E20</f>
        <v>50</v>
      </c>
      <c r="F49" s="49">
        <f t="shared" si="15"/>
        <v>50</v>
      </c>
      <c r="G49" s="49">
        <f t="shared" si="15"/>
        <v>50</v>
      </c>
      <c r="H49" s="49">
        <f t="shared" si="15"/>
        <v>50</v>
      </c>
      <c r="I49" s="49">
        <f t="shared" si="15"/>
        <v>55</v>
      </c>
      <c r="J49" s="49">
        <f t="shared" si="15"/>
        <v>55</v>
      </c>
      <c r="K49" s="49">
        <f t="shared" si="15"/>
        <v>55</v>
      </c>
      <c r="L49" s="49">
        <f t="shared" si="15"/>
        <v>60</v>
      </c>
      <c r="M49" s="49">
        <f t="shared" si="15"/>
        <v>60</v>
      </c>
      <c r="N49" s="49">
        <f t="shared" si="15"/>
        <v>60</v>
      </c>
      <c r="O49" s="49">
        <f t="shared" si="15"/>
        <v>60</v>
      </c>
      <c r="P49" s="50">
        <f t="shared" si="15"/>
        <v>65</v>
      </c>
    </row>
    <row r="50" ht="12.75" customHeight="1">
      <c r="A50" s="3"/>
      <c r="B50" s="46"/>
      <c r="C50" s="47"/>
      <c r="D50" s="48">
        <v>5.0</v>
      </c>
      <c r="E50" s="49">
        <f t="shared" ref="E50:P50" si="16">E21</f>
        <v>60</v>
      </c>
      <c r="F50" s="49">
        <f t="shared" si="16"/>
        <v>60</v>
      </c>
      <c r="G50" s="49">
        <f t="shared" si="16"/>
        <v>65</v>
      </c>
      <c r="H50" s="49">
        <f t="shared" si="16"/>
        <v>65</v>
      </c>
      <c r="I50" s="49">
        <f t="shared" si="16"/>
        <v>65</v>
      </c>
      <c r="J50" s="49">
        <f t="shared" si="16"/>
        <v>65</v>
      </c>
      <c r="K50" s="49">
        <f t="shared" si="16"/>
        <v>70</v>
      </c>
      <c r="L50" s="49">
        <f t="shared" si="16"/>
        <v>70</v>
      </c>
      <c r="M50" s="49">
        <f t="shared" si="16"/>
        <v>70</v>
      </c>
      <c r="N50" s="49">
        <f t="shared" si="16"/>
        <v>75</v>
      </c>
      <c r="O50" s="49">
        <f t="shared" si="16"/>
        <v>75</v>
      </c>
      <c r="P50" s="50">
        <f t="shared" si="16"/>
        <v>80</v>
      </c>
    </row>
    <row r="51" ht="12.75" customHeight="1">
      <c r="A51" s="3"/>
      <c r="B51" s="46"/>
      <c r="C51" s="47"/>
      <c r="D51" s="48">
        <v>5.0</v>
      </c>
      <c r="E51" s="49">
        <f t="shared" ref="E51:P51" si="17">E22</f>
        <v>70</v>
      </c>
      <c r="F51" s="49">
        <f t="shared" si="17"/>
        <v>70</v>
      </c>
      <c r="G51" s="49">
        <f t="shared" si="17"/>
        <v>75</v>
      </c>
      <c r="H51" s="49">
        <f t="shared" si="17"/>
        <v>75</v>
      </c>
      <c r="I51" s="49">
        <f t="shared" si="17"/>
        <v>80</v>
      </c>
      <c r="J51" s="49">
        <f t="shared" si="17"/>
        <v>80</v>
      </c>
      <c r="K51" s="49">
        <f t="shared" si="17"/>
        <v>85</v>
      </c>
      <c r="L51" s="49">
        <f t="shared" si="17"/>
        <v>85</v>
      </c>
      <c r="M51" s="49">
        <f t="shared" si="17"/>
        <v>85</v>
      </c>
      <c r="N51" s="49">
        <f t="shared" si="17"/>
        <v>90</v>
      </c>
      <c r="O51" s="49">
        <f t="shared" si="17"/>
        <v>90</v>
      </c>
      <c r="P51" s="50">
        <f t="shared" si="17"/>
        <v>95</v>
      </c>
    </row>
    <row r="52" ht="12.75" customHeight="1">
      <c r="A52" s="3"/>
      <c r="B52" s="46"/>
      <c r="C52" s="47"/>
      <c r="D52" s="48">
        <v>5.0</v>
      </c>
      <c r="E52" s="49">
        <f t="shared" ref="E52:P52" si="18">E23</f>
        <v>85</v>
      </c>
      <c r="F52" s="49">
        <f t="shared" si="18"/>
        <v>85</v>
      </c>
      <c r="G52" s="49">
        <f t="shared" si="18"/>
        <v>90</v>
      </c>
      <c r="H52" s="49">
        <f t="shared" si="18"/>
        <v>90</v>
      </c>
      <c r="I52" s="49">
        <f t="shared" si="18"/>
        <v>90</v>
      </c>
      <c r="J52" s="49">
        <f t="shared" si="18"/>
        <v>90</v>
      </c>
      <c r="K52" s="49">
        <f t="shared" si="18"/>
        <v>95</v>
      </c>
      <c r="L52" s="49">
        <f t="shared" si="18"/>
        <v>100</v>
      </c>
      <c r="M52" s="49">
        <f t="shared" si="18"/>
        <v>100</v>
      </c>
      <c r="N52" s="49">
        <f t="shared" si="18"/>
        <v>105</v>
      </c>
      <c r="O52" s="49">
        <f t="shared" si="18"/>
        <v>105</v>
      </c>
      <c r="P52" s="50">
        <f t="shared" si="18"/>
        <v>110</v>
      </c>
    </row>
    <row r="53" ht="12.75" customHeight="1">
      <c r="A53" s="3"/>
      <c r="B53" s="46"/>
      <c r="C53" s="47"/>
      <c r="D53" s="80">
        <v>3.0</v>
      </c>
      <c r="E53" s="81">
        <f>ROUND(BBR*(1.025^E9)/(2*PLATE),0)*2*PLATE</f>
        <v>95</v>
      </c>
      <c r="F53" s="81">
        <f>ROUND(BBR*(1.025^F9)/(2*PLATE),0)*2*PLATE</f>
        <v>100</v>
      </c>
      <c r="G53" s="81">
        <f>ROUND(BBR*(1.025^G9)/(2*PLATE),0)*2*PLATE</f>
        <v>100</v>
      </c>
      <c r="H53" s="81">
        <f>ROUND(BBR*(1.025^H9)/(2*PLATE),0)*2*PLATE</f>
        <v>105</v>
      </c>
      <c r="I53" s="81">
        <f>ROUND(BBR*(1.025^I9)/(2*PLATE),0)*2*PLATE</f>
        <v>105</v>
      </c>
      <c r="J53" s="81">
        <f>ROUND(BBR*(1.025^J9)/(2*PLATE),0)*2*PLATE</f>
        <v>110</v>
      </c>
      <c r="K53" s="81">
        <f>ROUND(BBR*(1.025^K9)/(2*PLATE),0)*2*PLATE</f>
        <v>115</v>
      </c>
      <c r="L53" s="81">
        <f>ROUND(BBR*(1.025^L9)/(2*PLATE),0)*2*PLATE</f>
        <v>115</v>
      </c>
      <c r="M53" s="81">
        <f>ROUND(BBR*(1.025^M9)/(2*PLATE),0)*2*PLATE</f>
        <v>120</v>
      </c>
      <c r="N53" s="81">
        <f>ROUND(BBR*(1.025^N9)/(2*PLATE),0)*2*PLATE</f>
        <v>120</v>
      </c>
      <c r="O53" s="81">
        <f>ROUND(BBR*(1.025^O9)/(2*PLATE),0)*2*PLATE</f>
        <v>125</v>
      </c>
      <c r="P53" s="82">
        <f>ROUND(BBR*(1.025^P9)/(2*PLATE),0)*2*PLATE</f>
        <v>130</v>
      </c>
    </row>
    <row r="54" ht="12.75" customHeight="1">
      <c r="A54" s="3"/>
      <c r="B54" s="64"/>
      <c r="C54" s="65"/>
      <c r="D54" s="87">
        <v>8.0</v>
      </c>
      <c r="E54" s="88">
        <f t="shared" ref="E54:P54" si="19">E22</f>
        <v>70</v>
      </c>
      <c r="F54" s="88">
        <f t="shared" si="19"/>
        <v>70</v>
      </c>
      <c r="G54" s="88">
        <f t="shared" si="19"/>
        <v>75</v>
      </c>
      <c r="H54" s="88">
        <f t="shared" si="19"/>
        <v>75</v>
      </c>
      <c r="I54" s="88">
        <f t="shared" si="19"/>
        <v>80</v>
      </c>
      <c r="J54" s="88">
        <f t="shared" si="19"/>
        <v>80</v>
      </c>
      <c r="K54" s="88">
        <f t="shared" si="19"/>
        <v>85</v>
      </c>
      <c r="L54" s="88">
        <f t="shared" si="19"/>
        <v>85</v>
      </c>
      <c r="M54" s="88">
        <f t="shared" si="19"/>
        <v>85</v>
      </c>
      <c r="N54" s="88">
        <f t="shared" si="19"/>
        <v>90</v>
      </c>
      <c r="O54" s="88">
        <f t="shared" si="19"/>
        <v>90</v>
      </c>
      <c r="P54" s="89">
        <f t="shared" si="19"/>
        <v>95</v>
      </c>
    </row>
    <row r="55" ht="12.75" customHeight="1">
      <c r="A55" s="3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2.75" customHeight="1">
      <c r="A60" s="3"/>
      <c r="B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9:C32"/>
    <mergeCell ref="C33:C36"/>
    <mergeCell ref="B37:B54"/>
    <mergeCell ref="C37:C42"/>
    <mergeCell ref="C43:C48"/>
    <mergeCell ref="C49:C54"/>
    <mergeCell ref="E8:P8"/>
    <mergeCell ref="B10:B24"/>
    <mergeCell ref="C10:C14"/>
    <mergeCell ref="C15:C19"/>
    <mergeCell ref="C20:C24"/>
    <mergeCell ref="B25:B36"/>
    <mergeCell ref="C25:C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57"/>
    <col customWidth="1" min="3" max="3" width="14.0"/>
    <col customWidth="1" min="4" max="26" width="11.57"/>
  </cols>
  <sheetData>
    <row r="1" ht="17.25" customHeight="1">
      <c r="A1" s="1"/>
      <c r="B1" s="3"/>
      <c r="C1" s="1"/>
      <c r="D1" s="3"/>
      <c r="E1" s="1"/>
      <c r="F1" s="3"/>
      <c r="G1" s="1"/>
      <c r="H1" s="3"/>
      <c r="I1" s="1"/>
      <c r="J1" s="3"/>
      <c r="K1" s="1"/>
      <c r="L1" s="3"/>
      <c r="M1" s="1"/>
      <c r="N1" s="3"/>
      <c r="O1" s="1"/>
      <c r="P1" s="3"/>
      <c r="Q1" s="1"/>
      <c r="R1" s="3"/>
      <c r="S1" s="1"/>
      <c r="T1" s="3"/>
      <c r="U1" s="1"/>
      <c r="V1" s="3"/>
      <c r="W1" s="1"/>
      <c r="X1" s="3"/>
      <c r="Y1" s="1"/>
      <c r="Z1" s="3"/>
    </row>
    <row r="2" ht="17.25" customHeight="1">
      <c r="A2" s="1"/>
      <c r="B2" s="3"/>
      <c r="C2" s="1"/>
      <c r="D2" s="3"/>
      <c r="E2" s="1"/>
      <c r="F2" s="3"/>
      <c r="G2" s="1"/>
      <c r="H2" s="3"/>
      <c r="I2" s="1"/>
      <c r="J2" s="3"/>
      <c r="K2" s="1"/>
      <c r="L2" s="3"/>
      <c r="M2" s="1"/>
      <c r="N2" s="3"/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</row>
    <row r="3" ht="17.25" customHeight="1">
      <c r="A3" s="1"/>
      <c r="B3" s="3"/>
      <c r="C3" s="1"/>
      <c r="D3" s="3"/>
      <c r="E3" s="1"/>
      <c r="F3" s="3"/>
      <c r="G3" s="1"/>
      <c r="H3" s="3"/>
      <c r="I3" s="1"/>
      <c r="J3" s="3"/>
      <c r="K3" s="1"/>
      <c r="L3" s="3"/>
      <c r="M3" s="1"/>
      <c r="N3" s="3"/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</row>
    <row r="4" ht="17.25" customHeight="1">
      <c r="A4" s="1"/>
      <c r="B4" s="3"/>
      <c r="C4" s="1"/>
      <c r="D4" s="3"/>
      <c r="E4" s="1"/>
      <c r="F4" s="3"/>
      <c r="G4" s="1"/>
      <c r="H4" s="3"/>
      <c r="I4" s="1"/>
      <c r="J4" s="3"/>
      <c r="K4" s="1"/>
      <c r="L4" s="3"/>
      <c r="M4" s="1"/>
      <c r="N4" s="3"/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</row>
    <row r="5" ht="17.25" customHeight="1">
      <c r="A5" s="3"/>
      <c r="B5" s="91" t="s">
        <v>25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3"/>
      <c r="B6" s="1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90"/>
      <c r="C7" s="90"/>
      <c r="D7" s="9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5" t="s">
        <v>19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26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7" t="s">
        <v>20</v>
      </c>
      <c r="C9" s="92" t="s">
        <v>2</v>
      </c>
      <c r="D9" s="93"/>
      <c r="E9" s="94">
        <v>1.0</v>
      </c>
      <c r="F9" s="94">
        <v>2.0</v>
      </c>
      <c r="G9" s="94">
        <v>3.0</v>
      </c>
      <c r="H9" s="94">
        <v>4.0</v>
      </c>
      <c r="I9" s="94">
        <v>5.0</v>
      </c>
      <c r="J9" s="94">
        <v>6.0</v>
      </c>
      <c r="K9" s="94">
        <v>7.0</v>
      </c>
      <c r="L9" s="94">
        <v>8.0</v>
      </c>
      <c r="M9" s="94">
        <v>9.0</v>
      </c>
      <c r="N9" s="94">
        <v>10.0</v>
      </c>
      <c r="O9" s="94">
        <v>11.0</v>
      </c>
      <c r="P9" s="95">
        <v>12.0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79" t="s">
        <v>21</v>
      </c>
      <c r="C10" s="63" t="s">
        <v>10</v>
      </c>
      <c r="D10" s="96" t="s">
        <v>26</v>
      </c>
      <c r="E10" s="97">
        <f>IF(Programa!E10&gt;=SQTON*E28,5*Programa!E10,0)+IF(Programa!E11&gt;=SQTON*E28,5*Programa!E11,0)+IF(Programa!E12&gt;=SQTON*E28,5*Programa!E12,0)+IF(Programa!E13&gt;=SQTON*E28,5*Programa!E13,0)+IF(Programa!E14&gt;=SQTON*E28,5*Programa!E14,0)</f>
        <v>1250</v>
      </c>
      <c r="F10" s="97">
        <f>IF(Programa!F10&gt;=SQTON*F28,5*Programa!F10,0)+IF(Programa!F11&gt;=SQTON*F28,5*Programa!F11,0)+IF(Programa!F12&gt;=SQTON*F28,5*Programa!F12,0)+IF(Programa!F13&gt;=SQTON*F28,5*Programa!F13,0)+IF(Programa!F14&gt;=SQTON*F28,5*Programa!F14,0)</f>
        <v>1250</v>
      </c>
      <c r="G10" s="97">
        <f>IF(Programa!G10&gt;=SQTON*G28,5*Programa!G10,0)+IF(Programa!G11&gt;=SQTON*G28,5*Programa!G11,0)+IF(Programa!G12&gt;=SQTON*G28,5*Programa!G12,0)+IF(Programa!G13&gt;=SQTON*G28,5*Programa!G13,0)+IF(Programa!G14&gt;=SQTON*G28,5*Programa!G14,0)</f>
        <v>1325</v>
      </c>
      <c r="H10" s="97">
        <f>IF(Programa!H10&gt;=SQTON*H28,5*Programa!H10,0)+IF(Programa!H11&gt;=SQTON*H28,5*Programa!H11,0)+IF(Programa!H12&gt;=SQTON*H28,5*Programa!H12,0)+IF(Programa!H13&gt;=SQTON*H28,5*Programa!H13,0)+IF(Programa!H14&gt;=SQTON*H28,5*Programa!H14,0)</f>
        <v>1325</v>
      </c>
      <c r="I10" s="97">
        <f>IF(Programa!I10&gt;=SQTON*I28,5*Programa!I10,0)+IF(Programa!I11&gt;=SQTON*I28,5*Programa!I11,0)+IF(Programa!I12&gt;=SQTON*I28,5*Programa!I12,0)+IF(Programa!I13&gt;=SQTON*I28,5*Programa!I13,0)+IF(Programa!I14&gt;=SQTON*I28,5*Programa!I14,0)</f>
        <v>1375</v>
      </c>
      <c r="J10" s="97">
        <f>IF(Programa!J10&gt;=SQTON*J28,5*Programa!J10,0)+IF(Programa!J11&gt;=SQTON*J28,5*Programa!J11,0)+IF(Programa!J12&gt;=SQTON*J28,5*Programa!J12,0)+IF(Programa!J13&gt;=SQTON*J28,5*Programa!J13,0)+IF(Programa!J14&gt;=SQTON*J28,5*Programa!J14,0)</f>
        <v>1375</v>
      </c>
      <c r="K10" s="97">
        <f>IF(Programa!K10&gt;=SQTON*K28,5*Programa!K10,0)+IF(Programa!K11&gt;=SQTON*K28,5*Programa!K11,0)+IF(Programa!K12&gt;=SQTON*K28,5*Programa!K12,0)+IF(Programa!K13&gt;=SQTON*K28,5*Programa!K13,0)+IF(Programa!K14&gt;=SQTON*K28,5*Programa!K14,0)</f>
        <v>1450</v>
      </c>
      <c r="L10" s="97">
        <f>IF(Programa!L10&gt;=SQTON*L28,5*Programa!L10,0)+IF(Programa!L11&gt;=SQTON*L28,5*Programa!L11,0)+IF(Programa!L12&gt;=SQTON*L28,5*Programa!L12,0)+IF(Programa!L13&gt;=SQTON*L28,5*Programa!L13,0)+IF(Programa!L14&gt;=SQTON*L28,5*Programa!L14,0)</f>
        <v>1500</v>
      </c>
      <c r="M10" s="97">
        <f>IF(Programa!M10&gt;=SQTON*M28,5*Programa!M10,0)+IF(Programa!M11&gt;=SQTON*M28,5*Programa!M11,0)+IF(Programa!M12&gt;=SQTON*M28,5*Programa!M12,0)+IF(Programa!M13&gt;=SQTON*M28,5*Programa!M13,0)+IF(Programa!M14&gt;=SQTON*M28,5*Programa!M14,0)</f>
        <v>1500</v>
      </c>
      <c r="N10" s="97">
        <f>IF(Programa!N10&gt;=SQTON*N28,5*Programa!N10,0)+IF(Programa!N11&gt;=SQTON*N28,5*Programa!N11,0)+IF(Programa!N12&gt;=SQTON*N28,5*Programa!N12,0)+IF(Programa!N13&gt;=SQTON*N28,5*Programa!N13,0)+IF(Programa!N14&gt;=SQTON*N28,5*Programa!N14,0)</f>
        <v>1575</v>
      </c>
      <c r="O10" s="97">
        <f>IF(Programa!O10&gt;=SQTON*O28,5*Programa!O10,0)+IF(Programa!O11&gt;=SQTON*O28,5*Programa!O11,0)+IF(Programa!O12&gt;=SQTON*O28,5*Programa!O12,0)+IF(Programa!O13&gt;=SQTON*O28,5*Programa!O13,0)+IF(Programa!O14&gt;=SQTON*O28,5*Programa!O14,0)</f>
        <v>1575</v>
      </c>
      <c r="P10" s="98">
        <f>IF(Programa!P10&gt;=SQTON*P28,5*Programa!P10,0)+IF(Programa!P11&gt;=SQTON*P28,5*Programa!P11,0)+IF(Programa!P12&gt;=SQTON*P28,5*Programa!P12,0)+IF(Programa!P13&gt;=SQTON*P28,5*Programa!P13,0)+IF(Programa!P14&gt;=SQTON*P28,5*Programa!P14,0)</f>
        <v>1650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46"/>
      <c r="C11" s="51"/>
      <c r="D11" s="99" t="s">
        <v>27</v>
      </c>
      <c r="E11" s="100">
        <f>5*SUM(Programa!E10:E14)</f>
        <v>1800</v>
      </c>
      <c r="F11" s="100">
        <f>5*SUM(Programa!F10:F14)</f>
        <v>1800</v>
      </c>
      <c r="G11" s="100">
        <f>5*SUM(Programa!G10:G14)</f>
        <v>1900</v>
      </c>
      <c r="H11" s="100">
        <f>5*SUM(Programa!H10:H14)</f>
        <v>1900</v>
      </c>
      <c r="I11" s="100">
        <f>5*SUM(Programa!I10:I14)</f>
        <v>1975</v>
      </c>
      <c r="J11" s="100">
        <f>5*SUM(Programa!J10:J14)</f>
        <v>1975</v>
      </c>
      <c r="K11" s="100">
        <f>5*SUM(Programa!K10:K14)</f>
        <v>2075</v>
      </c>
      <c r="L11" s="100">
        <f>5*SUM(Programa!L10:L14)</f>
        <v>2150</v>
      </c>
      <c r="M11" s="100">
        <f>5*SUM(Programa!M10:M14)</f>
        <v>2150</v>
      </c>
      <c r="N11" s="100">
        <f>5*SUM(Programa!N10:N14)</f>
        <v>2250</v>
      </c>
      <c r="O11" s="100">
        <f>5*SUM(Programa!O10:O14)</f>
        <v>2250</v>
      </c>
      <c r="P11" s="101">
        <f>5*SUM(Programa!P10:P14)</f>
        <v>2375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46"/>
      <c r="C12" s="63" t="s">
        <v>28</v>
      </c>
      <c r="D12" s="96" t="s">
        <v>26</v>
      </c>
      <c r="E12" s="102">
        <f>IF(Programa!E15&gt;=BPTON*E31,5*Programa!E15,0)+IF(Programa!E16&gt;=BPTON*E31,5*Programa!E16,0)+IF(Programa!E17&gt;=BPTON*E31,5*Programa!E17,0)+IF(Programa!E18&gt;=BPTON*E31,5*Programa!E18,0)+IF(Programa!E19&gt;=BPTON*E31,5*Programa!E19,0)</f>
        <v>1250</v>
      </c>
      <c r="F12" s="102">
        <f>IF(Programa!F15&gt;=BPTON*F31,5*Programa!F15,0)+IF(Programa!F16&gt;=BPTON*F31,5*Programa!F16,0)+IF(Programa!F17&gt;=BPTON*F31,5*Programa!F17,0)+IF(Programa!F18&gt;=BPTON*F31,5*Programa!F18,0)+IF(Programa!F19&gt;=BPTON*F31,5*Programa!F19,0)</f>
        <v>1250</v>
      </c>
      <c r="G12" s="102">
        <f>IF(Programa!G15&gt;=BPTON*G31,5*Programa!G15,0)+IF(Programa!G16&gt;=BPTON*G31,5*Programa!G16,0)+IF(Programa!G17&gt;=BPTON*G31,5*Programa!G17,0)+IF(Programa!G18&gt;=BPTON*G31,5*Programa!G18,0)+IF(Programa!G19&gt;=BPTON*G31,5*Programa!G19,0)</f>
        <v>1325</v>
      </c>
      <c r="H12" s="102">
        <f>IF(Programa!H15&gt;=BPTON*H31,5*Programa!H15,0)+IF(Programa!H16&gt;=BPTON*H31,5*Programa!H16,0)+IF(Programa!H17&gt;=BPTON*H31,5*Programa!H17,0)+IF(Programa!H18&gt;=BPTON*H31,5*Programa!H18,0)+IF(Programa!H19&gt;=BPTON*H31,5*Programa!H19,0)</f>
        <v>1325</v>
      </c>
      <c r="I12" s="102">
        <f>IF(Programa!I15&gt;=BPTON*I31,5*Programa!I15,0)+IF(Programa!I16&gt;=BPTON*I31,5*Programa!I16,0)+IF(Programa!I17&gt;=BPTON*I31,5*Programa!I17,0)+IF(Programa!I18&gt;=BPTON*I31,5*Programa!I18,0)+IF(Programa!I19&gt;=BPTON*I31,5*Programa!I19,0)</f>
        <v>1375</v>
      </c>
      <c r="J12" s="102">
        <f>IF(Programa!J15&gt;=BPTON*J31,5*Programa!J15,0)+IF(Programa!J16&gt;=BPTON*J31,5*Programa!J16,0)+IF(Programa!J17&gt;=BPTON*J31,5*Programa!J17,0)+IF(Programa!J18&gt;=BPTON*J31,5*Programa!J18,0)+IF(Programa!J19&gt;=BPTON*J31,5*Programa!J19,0)</f>
        <v>1375</v>
      </c>
      <c r="K12" s="102">
        <f>IF(Programa!K15&gt;=BPTON*K31,5*Programa!K15,0)+IF(Programa!K16&gt;=BPTON*K31,5*Programa!K16,0)+IF(Programa!K17&gt;=BPTON*K31,5*Programa!K17,0)+IF(Programa!K18&gt;=BPTON*K31,5*Programa!K18,0)+IF(Programa!K19&gt;=BPTON*K31,5*Programa!K19,0)</f>
        <v>1450</v>
      </c>
      <c r="L12" s="102">
        <f>IF(Programa!L15&gt;=BPTON*L31,5*Programa!L15,0)+IF(Programa!L16&gt;=BPTON*L31,5*Programa!L16,0)+IF(Programa!L17&gt;=BPTON*L31,5*Programa!L17,0)+IF(Programa!L18&gt;=BPTON*L31,5*Programa!L18,0)+IF(Programa!L19&gt;=BPTON*L31,5*Programa!L19,0)</f>
        <v>1500</v>
      </c>
      <c r="M12" s="102">
        <f>IF(Programa!M15&gt;=BPTON*M31,5*Programa!M15,0)+IF(Programa!M16&gt;=BPTON*M31,5*Programa!M16,0)+IF(Programa!M17&gt;=BPTON*M31,5*Programa!M17,0)+IF(Programa!M18&gt;=BPTON*M31,5*Programa!M18,0)+IF(Programa!M19&gt;=BPTON*M31,5*Programa!M19,0)</f>
        <v>1500</v>
      </c>
      <c r="N12" s="102">
        <f>IF(Programa!N15&gt;=BPTON*N31,5*Programa!N15,0)+IF(Programa!N16&gt;=BPTON*N31,5*Programa!N16,0)+IF(Programa!N17&gt;=BPTON*N31,5*Programa!N17,0)+IF(Programa!N18&gt;=BPTON*N31,5*Programa!N18,0)+IF(Programa!N19&gt;=BPTON*N31,5*Programa!N19,0)</f>
        <v>1575</v>
      </c>
      <c r="O12" s="102">
        <f>IF(Programa!O15&gt;=BPTON*O31,5*Programa!O15,0)+IF(Programa!O16&gt;=BPTON*O31,5*Programa!O16,0)+IF(Programa!O17&gt;=BPTON*O31,5*Programa!O17,0)+IF(Programa!O18&gt;=BPTON*O31,5*Programa!O18,0)+IF(Programa!O19&gt;=BPTON*O31,5*Programa!O19,0)</f>
        <v>1575</v>
      </c>
      <c r="P12" s="103">
        <f>IF(Programa!P15&gt;=BPTON*P31,5*Programa!P15,0)+IF(Programa!P16&gt;=BPTON*P31,5*Programa!P16,0)+IF(Programa!P17&gt;=BPTON*P31,5*Programa!P17,0)+IF(Programa!P18&gt;=BPTON*P31,5*Programa!P18,0)+IF(Programa!P19&gt;=BPTON*P31,5*Programa!P19,0)</f>
        <v>1650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46"/>
      <c r="C13" s="51"/>
      <c r="D13" s="99" t="s">
        <v>27</v>
      </c>
      <c r="E13" s="104">
        <f>5*SUM(Programa!E15:E19)</f>
        <v>1800</v>
      </c>
      <c r="F13" s="104">
        <f>5*SUM(Programa!F15:F19)</f>
        <v>1800</v>
      </c>
      <c r="G13" s="104">
        <f>5*SUM(Programa!G15:G19)</f>
        <v>1900</v>
      </c>
      <c r="H13" s="104">
        <f>5*SUM(Programa!H15:H19)</f>
        <v>1900</v>
      </c>
      <c r="I13" s="104">
        <f>5*SUM(Programa!I15:I19)</f>
        <v>1975</v>
      </c>
      <c r="J13" s="104">
        <f>5*SUM(Programa!J15:J19)</f>
        <v>1975</v>
      </c>
      <c r="K13" s="104">
        <f>5*SUM(Programa!K15:K19)</f>
        <v>2075</v>
      </c>
      <c r="L13" s="104">
        <f>5*SUM(Programa!L15:L19)</f>
        <v>2150</v>
      </c>
      <c r="M13" s="104">
        <f>5*SUM(Programa!M15:M19)</f>
        <v>2150</v>
      </c>
      <c r="N13" s="104">
        <f>5*SUM(Programa!N15:N19)</f>
        <v>2250</v>
      </c>
      <c r="O13" s="104">
        <f>5*SUM(Programa!O15:O19)</f>
        <v>2250</v>
      </c>
      <c r="P13" s="105">
        <f>5*SUM(Programa!P15:P19)</f>
        <v>2375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46"/>
      <c r="C14" s="63" t="s">
        <v>12</v>
      </c>
      <c r="D14" s="96" t="s">
        <v>26</v>
      </c>
      <c r="E14" s="97">
        <f>IF(Programa!E20&gt;=BBRTON*E34,5*Programa!E20,0)+IF(Programa!E21&gt;=BBRTON*E34,5*Programa!E21,0)+IF(Programa!E22&gt;=BBRTON*E34,5*Programa!E22,0)+IF(Programa!E23&gt;=BBRTON*E34,5*Programa!E23,0)+IF(Programa!E24&gt;=BBRTON*E34,5*Programa!E24,0)</f>
        <v>1250</v>
      </c>
      <c r="F14" s="97">
        <f>IF(Programa!F20&gt;=BBRTON*F34,5*Programa!F20,0)+IF(Programa!F21&gt;=BBRTON*F34,5*Programa!F21,0)+IF(Programa!F22&gt;=BBRTON*F34,5*Programa!F22,0)+IF(Programa!F23&gt;=BBRTON*F34,5*Programa!F23,0)+IF(Programa!F24&gt;=BBRTON*F34,5*Programa!F24,0)</f>
        <v>1250</v>
      </c>
      <c r="G14" s="97">
        <f>IF(Programa!G20&gt;=BBRTON*G34,5*Programa!G20,0)+IF(Programa!G21&gt;=BBRTON*G34,5*Programa!G21,0)+IF(Programa!G22&gt;=BBRTON*G34,5*Programa!G22,0)+IF(Programa!G23&gt;=BBRTON*G34,5*Programa!G23,0)+IF(Programa!G24&gt;=BBRTON*G34,5*Programa!G24,0)</f>
        <v>1325</v>
      </c>
      <c r="H14" s="97">
        <f>IF(Programa!H20&gt;=BBRTON*H34,5*Programa!H20,0)+IF(Programa!H21&gt;=BBRTON*H34,5*Programa!H21,0)+IF(Programa!H22&gt;=BBRTON*H34,5*Programa!H22,0)+IF(Programa!H23&gt;=BBRTON*H34,5*Programa!H23,0)+IF(Programa!H24&gt;=BBRTON*H34,5*Programa!H24,0)</f>
        <v>1325</v>
      </c>
      <c r="I14" s="97">
        <f>IF(Programa!I20&gt;=BBRTON*I34,5*Programa!I20,0)+IF(Programa!I21&gt;=BBRTON*I34,5*Programa!I21,0)+IF(Programa!I22&gt;=BBRTON*I34,5*Programa!I22,0)+IF(Programa!I23&gt;=BBRTON*I34,5*Programa!I23,0)+IF(Programa!I24&gt;=BBRTON*I34,5*Programa!I24,0)</f>
        <v>1375</v>
      </c>
      <c r="J14" s="97">
        <f>IF(Programa!J20&gt;=BBRTON*J34,5*Programa!J20,0)+IF(Programa!J21&gt;=BBRTON*J34,5*Programa!J21,0)+IF(Programa!J22&gt;=BBRTON*J34,5*Programa!J22,0)+IF(Programa!J23&gt;=BBRTON*J34,5*Programa!J23,0)+IF(Programa!J24&gt;=BBRTON*J34,5*Programa!J24,0)</f>
        <v>1375</v>
      </c>
      <c r="K14" s="97">
        <f>IF(Programa!K20&gt;=BBRTON*K34,5*Programa!K20,0)+IF(Programa!K21&gt;=BBRTON*K34,5*Programa!K21,0)+IF(Programa!K22&gt;=BBRTON*K34,5*Programa!K22,0)+IF(Programa!K23&gt;=BBRTON*K34,5*Programa!K23,0)+IF(Programa!K24&gt;=BBRTON*K34,5*Programa!K24,0)</f>
        <v>1450</v>
      </c>
      <c r="L14" s="97">
        <f>IF(Programa!L20&gt;=BBRTON*L34,5*Programa!L20,0)+IF(Programa!L21&gt;=BBRTON*L34,5*Programa!L21,0)+IF(Programa!L22&gt;=BBRTON*L34,5*Programa!L22,0)+IF(Programa!L23&gt;=BBRTON*L34,5*Programa!L23,0)+IF(Programa!L24&gt;=BBRTON*L34,5*Programa!L24,0)</f>
        <v>1500</v>
      </c>
      <c r="M14" s="97">
        <f>IF(Programa!M20&gt;=BBRTON*M34,5*Programa!M20,0)+IF(Programa!M21&gt;=BBRTON*M34,5*Programa!M21,0)+IF(Programa!M22&gt;=BBRTON*M34,5*Programa!M22,0)+IF(Programa!M23&gt;=BBRTON*M34,5*Programa!M23,0)+IF(Programa!M24&gt;=BBRTON*M34,5*Programa!M24,0)</f>
        <v>1500</v>
      </c>
      <c r="N14" s="97">
        <f>IF(Programa!N20&gt;=BBRTON*N34,5*Programa!N20,0)+IF(Programa!N21&gt;=BBRTON*N34,5*Programa!N21,0)+IF(Programa!N22&gt;=BBRTON*N34,5*Programa!N22,0)+IF(Programa!N23&gt;=BBRTON*N34,5*Programa!N23,0)+IF(Programa!N24&gt;=BBRTON*N34,5*Programa!N24,0)</f>
        <v>1575</v>
      </c>
      <c r="O14" s="97">
        <f>IF(Programa!O20&gt;=BBRTON*O34,5*Programa!O20,0)+IF(Programa!O21&gt;=BBRTON*O34,5*Programa!O21,0)+IF(Programa!O22&gt;=BBRTON*O34,5*Programa!O22,0)+IF(Programa!O23&gt;=BBRTON*O34,5*Programa!O23,0)+IF(Programa!O24&gt;=BBRTON*O34,5*Programa!O24,0)</f>
        <v>1575</v>
      </c>
      <c r="P14" s="106">
        <f>IF(Programa!P20&gt;=BBRTON*P34,5*Programa!P20,0)+IF(Programa!P21&gt;=BBRTON*P34,5*Programa!P21,0)+IF(Programa!P22&gt;=BBRTON*P34,5*Programa!P22,0)+IF(Programa!P23&gt;=BBRTON*P34,5*Programa!P23,0)+IF(Programa!P24&gt;=BBRTON*P34,5*Programa!P24,0)</f>
        <v>1650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64"/>
      <c r="C15" s="65"/>
      <c r="D15" s="107" t="s">
        <v>27</v>
      </c>
      <c r="E15" s="108">
        <f>5*SUM(Programa!E20:E24)</f>
        <v>1800</v>
      </c>
      <c r="F15" s="108">
        <f>5*SUM(Programa!F20:F24)</f>
        <v>1800</v>
      </c>
      <c r="G15" s="108">
        <f>5*SUM(Programa!G20:G24)</f>
        <v>1900</v>
      </c>
      <c r="H15" s="108">
        <f>5*SUM(Programa!H20:H24)</f>
        <v>1900</v>
      </c>
      <c r="I15" s="108">
        <f>5*SUM(Programa!I20:I24)</f>
        <v>1975</v>
      </c>
      <c r="J15" s="108">
        <f>5*SUM(Programa!J20:J24)</f>
        <v>1975</v>
      </c>
      <c r="K15" s="108">
        <f>5*SUM(Programa!K20:K24)</f>
        <v>2075</v>
      </c>
      <c r="L15" s="108">
        <f>5*SUM(Programa!L20:L24)</f>
        <v>2150</v>
      </c>
      <c r="M15" s="108">
        <f>5*SUM(Programa!M20:M24)</f>
        <v>2150</v>
      </c>
      <c r="N15" s="108">
        <f>5*SUM(Programa!N20:N24)</f>
        <v>2250</v>
      </c>
      <c r="O15" s="108">
        <f>5*SUM(Programa!O20:O24)</f>
        <v>2250</v>
      </c>
      <c r="P15" s="109">
        <f>5*SUM(Programa!P20:P24)</f>
        <v>2375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79" t="s">
        <v>29</v>
      </c>
      <c r="C16" s="63" t="s">
        <v>10</v>
      </c>
      <c r="D16" s="96" t="s">
        <v>26</v>
      </c>
      <c r="E16" s="102">
        <f>IF(Programa!E25&gt;=SQTON*E28,5*Programa!E25,0)+IF(Programa!E26&gt;=SQTON*E28,5*Programa!E26,0)+IF(Programa!E27&gt;=SQTON*E28,5*Programa!E27,0)+IF(Programa!E28&gt;=SQTON*E28,5*Programa!E28,0)</f>
        <v>700</v>
      </c>
      <c r="F16" s="102">
        <f>IF(Programa!F25&gt;=SQTON*F28,5*Programa!F25,0)+IF(Programa!F26&gt;=SQTON*F28,5*Programa!F26,0)+IF(Programa!F27&gt;=SQTON*F28,5*Programa!F27,0)+IF(Programa!F28&gt;=SQTON*F28,5*Programa!F28,0)</f>
        <v>700</v>
      </c>
      <c r="G16" s="102">
        <f>IF(Programa!G25&gt;=SQTON*G28,5*Programa!G25,0)+IF(Programa!G26&gt;=SQTON*G28,5*Programa!G26,0)+IF(Programa!G27&gt;=SQTON*G28,5*Programa!G27,0)+IF(Programa!G28&gt;=SQTON*G28,5*Programa!G28,0)</f>
        <v>750</v>
      </c>
      <c r="H16" s="102">
        <f>IF(Programa!H25&gt;=SQTON*H28,5*Programa!H25,0)+IF(Programa!H26&gt;=SQTON*H28,5*Programa!H26,0)+IF(Programa!H27&gt;=SQTON*H28,5*Programa!H27,0)+IF(Programa!H28&gt;=SQTON*H28,5*Programa!H28,0)</f>
        <v>750</v>
      </c>
      <c r="I16" s="102">
        <f>IF(Programa!I25&gt;=SQTON*I28,5*Programa!I25,0)+IF(Programa!I26&gt;=SQTON*I28,5*Programa!I26,0)+IF(Programa!I27&gt;=SQTON*I28,5*Programa!I27,0)+IF(Programa!I28&gt;=SQTON*I28,5*Programa!I28,0)</f>
        <v>800</v>
      </c>
      <c r="J16" s="102">
        <f>IF(Programa!J25&gt;=SQTON*J28,5*Programa!J25,0)+IF(Programa!J26&gt;=SQTON*J28,5*Programa!J26,0)+IF(Programa!J27&gt;=SQTON*J28,5*Programa!J27,0)+IF(Programa!J28&gt;=SQTON*J28,5*Programa!J28,0)</f>
        <v>800</v>
      </c>
      <c r="K16" s="102">
        <f>IF(Programa!K25&gt;=SQTON*K28,5*Programa!K25,0)+IF(Programa!K26&gt;=SQTON*K28,5*Programa!K26,0)+IF(Programa!K27&gt;=SQTON*K28,5*Programa!K27,0)+IF(Programa!K28&gt;=SQTON*K28,5*Programa!K28,0)</f>
        <v>850</v>
      </c>
      <c r="L16" s="102">
        <f>IF(Programa!L25&gt;=SQTON*L28,5*Programa!L25,0)+IF(Programa!L26&gt;=SQTON*L28,5*Programa!L26,0)+IF(Programa!L27&gt;=SQTON*L28,5*Programa!L27,0)+IF(Programa!L28&gt;=SQTON*L28,5*Programa!L28,0)</f>
        <v>850</v>
      </c>
      <c r="M16" s="102">
        <f>IF(Programa!M25&gt;=SQTON*M28,5*Programa!M25,0)+IF(Programa!M26&gt;=SQTON*M28,5*Programa!M26,0)+IF(Programa!M27&gt;=SQTON*M28,5*Programa!M27,0)+IF(Programa!M28&gt;=SQTON*M28,5*Programa!M28,0)</f>
        <v>850</v>
      </c>
      <c r="N16" s="102">
        <f>IF(Programa!N25&gt;=SQTON*N28,5*Programa!N25,0)+IF(Programa!N26&gt;=SQTON*N28,5*Programa!N26,0)+IF(Programa!N27&gt;=SQTON*N28,5*Programa!N27,0)+IF(Programa!N28&gt;=SQTON*N28,5*Programa!N28,0)</f>
        <v>900</v>
      </c>
      <c r="O16" s="102">
        <f>IF(Programa!O25&gt;=SQTON*O28,5*Programa!O25,0)+IF(Programa!O26&gt;=SQTON*O28,5*Programa!O26,0)+IF(Programa!O27&gt;=SQTON*O28,5*Programa!O27,0)+IF(Programa!O28&gt;=SQTON*O28,5*Programa!O28,0)</f>
        <v>900</v>
      </c>
      <c r="P16" s="103">
        <f>IF(Programa!P25&gt;=SQTON*P28,5*Programa!P25,0)+IF(Programa!P26&gt;=SQTON*P28,5*Programa!P26,0)+IF(Programa!P27&gt;=SQTON*P28,5*Programa!P27,0)+IF(Programa!P28&gt;=SQTON*P28,5*Programa!P28,0)</f>
        <v>950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46"/>
      <c r="C17" s="51"/>
      <c r="D17" s="99" t="s">
        <v>27</v>
      </c>
      <c r="E17" s="104">
        <f>5*SUM(Programa!E25:E28)</f>
        <v>1250</v>
      </c>
      <c r="F17" s="104">
        <f>5*SUM(Programa!F25:F28)</f>
        <v>1250</v>
      </c>
      <c r="G17" s="104">
        <f>5*SUM(Programa!G25:G28)</f>
        <v>1325</v>
      </c>
      <c r="H17" s="104">
        <f>5*SUM(Programa!H25:H28)</f>
        <v>1325</v>
      </c>
      <c r="I17" s="104">
        <f>5*SUM(Programa!I25:I28)</f>
        <v>1400</v>
      </c>
      <c r="J17" s="104">
        <f>5*SUM(Programa!J25:J28)</f>
        <v>1400</v>
      </c>
      <c r="K17" s="104">
        <f>5*SUM(Programa!K25:K28)</f>
        <v>1475</v>
      </c>
      <c r="L17" s="104">
        <f>5*SUM(Programa!L25:L28)</f>
        <v>1500</v>
      </c>
      <c r="M17" s="104">
        <f>5*SUM(Programa!M25:M28)</f>
        <v>1500</v>
      </c>
      <c r="N17" s="104">
        <f>5*SUM(Programa!N25:N28)</f>
        <v>1575</v>
      </c>
      <c r="O17" s="104">
        <f>5*SUM(Programa!O25:O28)</f>
        <v>1575</v>
      </c>
      <c r="P17" s="105">
        <f>5*SUM(Programa!P25:P28)</f>
        <v>1675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46"/>
      <c r="C18" s="63" t="s">
        <v>13</v>
      </c>
      <c r="D18" s="96" t="s">
        <v>26</v>
      </c>
      <c r="E18" s="97">
        <f>IF(Programa!E29&gt;=OHPTON*E37,5*Programa!E29,0)+IF(Programa!E30&gt;=OHPTON*E37,5*Programa!E30,0)+IF(Programa!E31&gt;=OHPTON*E37,5*Programa!E31,0)+IF(Programa!E32&gt;=OHPTON*E37,5*Programa!E32,0)</f>
        <v>1250</v>
      </c>
      <c r="F18" s="97">
        <f>IF(Programa!F29&gt;=OHPTON*F37,5*Programa!F29,0)+IF(Programa!F30&gt;=OHPTON*F37,5*Programa!F30,0)+IF(Programa!F31&gt;=OHPTON*F37,5*Programa!F31,0)+IF(Programa!F32&gt;=OHPTON*F37,5*Programa!F32,0)</f>
        <v>1250</v>
      </c>
      <c r="G18" s="97">
        <f>IF(Programa!G29&gt;=OHPTON*G37,5*Programa!G29,0)+IF(Programa!G30&gt;=OHPTON*G37,5*Programa!G30,0)+IF(Programa!G31&gt;=OHPTON*G37,5*Programa!G31,0)+IF(Programa!G32&gt;=OHPTON*G37,5*Programa!G32,0)</f>
        <v>1325</v>
      </c>
      <c r="H18" s="97">
        <f>IF(Programa!H29&gt;=OHPTON*H37,5*Programa!H29,0)+IF(Programa!H30&gt;=OHPTON*H37,5*Programa!H30,0)+IF(Programa!H31&gt;=OHPTON*H37,5*Programa!H31,0)+IF(Programa!H32&gt;=OHPTON*H37,5*Programa!H32,0)</f>
        <v>1325</v>
      </c>
      <c r="I18" s="97">
        <f>IF(Programa!I29&gt;=OHPTON*I37,5*Programa!I29,0)+IF(Programa!I30&gt;=OHPTON*I37,5*Programa!I30,0)+IF(Programa!I31&gt;=OHPTON*I37,5*Programa!I31,0)+IF(Programa!I32&gt;=OHPTON*I37,5*Programa!I32,0)</f>
        <v>1375</v>
      </c>
      <c r="J18" s="97">
        <f>IF(Programa!J29&gt;=OHPTON*J37,5*Programa!J29,0)+IF(Programa!J30&gt;=OHPTON*J37,5*Programa!J30,0)+IF(Programa!J31&gt;=OHPTON*J37,5*Programa!J31,0)+IF(Programa!J32&gt;=OHPTON*J37,5*Programa!J32,0)</f>
        <v>1375</v>
      </c>
      <c r="K18" s="97">
        <f>IF(Programa!K29&gt;=OHPTON*K37,5*Programa!K29,0)+IF(Programa!K30&gt;=OHPTON*K37,5*Programa!K30,0)+IF(Programa!K31&gt;=OHPTON*K37,5*Programa!K31,0)+IF(Programa!K32&gt;=OHPTON*K37,5*Programa!K32,0)</f>
        <v>1450</v>
      </c>
      <c r="L18" s="97">
        <f>IF(Programa!L29&gt;=OHPTON*L37,5*Programa!L29,0)+IF(Programa!L30&gt;=OHPTON*L37,5*Programa!L30,0)+IF(Programa!L31&gt;=OHPTON*L37,5*Programa!L31,0)+IF(Programa!L32&gt;=OHPTON*L37,5*Programa!L32,0)</f>
        <v>1500</v>
      </c>
      <c r="M18" s="97">
        <f>IF(Programa!M29&gt;=OHPTON*M37,5*Programa!M29,0)+IF(Programa!M30&gt;=OHPTON*M37,5*Programa!M30,0)+IF(Programa!M31&gt;=OHPTON*M37,5*Programa!M31,0)+IF(Programa!M32&gt;=OHPTON*M37,5*Programa!M32,0)</f>
        <v>1500</v>
      </c>
      <c r="N18" s="97">
        <f>IF(Programa!N29&gt;=OHPTON*N37,5*Programa!N29,0)+IF(Programa!N30&gt;=OHPTON*N37,5*Programa!N30,0)+IF(Programa!N31&gt;=OHPTON*N37,5*Programa!N31,0)+IF(Programa!N32&gt;=OHPTON*N37,5*Programa!N32,0)</f>
        <v>1575</v>
      </c>
      <c r="O18" s="97">
        <f>IF(Programa!O29&gt;=OHPTON*O37,5*Programa!O29,0)+IF(Programa!O30&gt;=OHPTON*O37,5*Programa!O30,0)+IF(Programa!O31&gt;=OHPTON*O37,5*Programa!O31,0)+IF(Programa!O32&gt;=OHPTON*O37,5*Programa!O32,0)</f>
        <v>1575</v>
      </c>
      <c r="P18" s="106">
        <f>IF(Programa!P29&gt;=OHPTON*P37,5*Programa!P29,0)+IF(Programa!P30&gt;=OHPTON*P37,5*Programa!P30,0)+IF(Programa!P31&gt;=OHPTON*P37,5*Programa!P31,0)+IF(Programa!P32&gt;=OHPTON*P37,5*Programa!P32,0)</f>
        <v>1650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46"/>
      <c r="C19" s="51"/>
      <c r="D19" s="99" t="s">
        <v>27</v>
      </c>
      <c r="E19" s="100">
        <f>5*SUM(Programa!E29:E32)</f>
        <v>1550</v>
      </c>
      <c r="F19" s="100">
        <f>5*SUM(Programa!F29:F32)</f>
        <v>1550</v>
      </c>
      <c r="G19" s="100">
        <f>5*SUM(Programa!G29:G32)</f>
        <v>1650</v>
      </c>
      <c r="H19" s="100">
        <f>5*SUM(Programa!H29:H32)</f>
        <v>1650</v>
      </c>
      <c r="I19" s="100">
        <f>5*SUM(Programa!I29:I32)</f>
        <v>1700</v>
      </c>
      <c r="J19" s="100">
        <f>5*SUM(Programa!J29:J32)</f>
        <v>1700</v>
      </c>
      <c r="K19" s="100">
        <f>5*SUM(Programa!K29:K32)</f>
        <v>1800</v>
      </c>
      <c r="L19" s="100">
        <f>5*SUM(Programa!L29:L32)</f>
        <v>1850</v>
      </c>
      <c r="M19" s="100">
        <f>5*SUM(Programa!M29:M32)</f>
        <v>1850</v>
      </c>
      <c r="N19" s="100">
        <f>5*SUM(Programa!N29:N32)</f>
        <v>1950</v>
      </c>
      <c r="O19" s="100">
        <f>5*SUM(Programa!O29:O32)</f>
        <v>1950</v>
      </c>
      <c r="P19" s="101">
        <f>5*SUM(Programa!P29:P32)</f>
        <v>2050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46"/>
      <c r="C20" s="63" t="s">
        <v>14</v>
      </c>
      <c r="D20" s="96" t="s">
        <v>26</v>
      </c>
      <c r="E20" s="102">
        <f>IF(Programa!E33&gt;=DLTON*E40,5*Programa!E33,0)+IF(Programa!E34&gt;=DLTON*E40,5*Programa!E34,0)+IF(Programa!E35&gt;=DLTON*E40,5*Programa!E35,0)+IF(Programa!E36&gt;=DLTON*E40,5*Programa!E36,0)</f>
        <v>1250</v>
      </c>
      <c r="F20" s="102">
        <f>IF(Programa!F33&gt;=DLTON*F40,5*Programa!F33,0)+IF(Programa!F34&gt;=DLTON*F40,5*Programa!F34,0)+IF(Programa!F35&gt;=DLTON*F40,5*Programa!F35,0)+IF(Programa!F36&gt;=DLTON*F40,5*Programa!F36,0)</f>
        <v>1250</v>
      </c>
      <c r="G20" s="102">
        <f>IF(Programa!G33&gt;=DLTON*G40,5*Programa!G33,0)+IF(Programa!G34&gt;=DLTON*G40,5*Programa!G34,0)+IF(Programa!G35&gt;=DLTON*G40,5*Programa!G35,0)+IF(Programa!G36&gt;=DLTON*G40,5*Programa!G36,0)</f>
        <v>1325</v>
      </c>
      <c r="H20" s="102">
        <f>IF(Programa!H33&gt;=DLTON*H40,5*Programa!H33,0)+IF(Programa!H34&gt;=DLTON*H40,5*Programa!H34,0)+IF(Programa!H35&gt;=DLTON*H40,5*Programa!H35,0)+IF(Programa!H36&gt;=DLTON*H40,5*Programa!H36,0)</f>
        <v>1325</v>
      </c>
      <c r="I20" s="102">
        <f>IF(Programa!I33&gt;=DLTON*I40,5*Programa!I33,0)+IF(Programa!I34&gt;=DLTON*I40,5*Programa!I34,0)+IF(Programa!I35&gt;=DLTON*I40,5*Programa!I35,0)+IF(Programa!I36&gt;=DLTON*I40,5*Programa!I36,0)</f>
        <v>1375</v>
      </c>
      <c r="J20" s="102">
        <f>IF(Programa!J33&gt;=DLTON*J40,5*Programa!J33,0)+IF(Programa!J34&gt;=DLTON*J40,5*Programa!J34,0)+IF(Programa!J35&gt;=DLTON*J40,5*Programa!J35,0)+IF(Programa!J36&gt;=DLTON*J40,5*Programa!J36,0)</f>
        <v>1375</v>
      </c>
      <c r="K20" s="102">
        <f>IF(Programa!K33&gt;=DLTON*K40,5*Programa!K33,0)+IF(Programa!K34&gt;=DLTON*K40,5*Programa!K34,0)+IF(Programa!K35&gt;=DLTON*K40,5*Programa!K35,0)+IF(Programa!K36&gt;=DLTON*K40,5*Programa!K36,0)</f>
        <v>1450</v>
      </c>
      <c r="L20" s="102">
        <f>IF(Programa!L33&gt;=DLTON*L40,5*Programa!L33,0)+IF(Programa!L34&gt;=DLTON*L40,5*Programa!L34,0)+IF(Programa!L35&gt;=DLTON*L40,5*Programa!L35,0)+IF(Programa!L36&gt;=DLTON*L40,5*Programa!L36,0)</f>
        <v>1500</v>
      </c>
      <c r="M20" s="102">
        <f>IF(Programa!M33&gt;=DLTON*M40,5*Programa!M33,0)+IF(Programa!M34&gt;=DLTON*M40,5*Programa!M34,0)+IF(Programa!M35&gt;=DLTON*M40,5*Programa!M35,0)+IF(Programa!M36&gt;=DLTON*M40,5*Programa!M36,0)</f>
        <v>1500</v>
      </c>
      <c r="N20" s="102">
        <f>IF(Programa!N33&gt;=DLTON*N40,5*Programa!N33,0)+IF(Programa!N34&gt;=DLTON*N40,5*Programa!N34,0)+IF(Programa!N35&gt;=DLTON*N40,5*Programa!N35,0)+IF(Programa!N36&gt;=DLTON*N40,5*Programa!N36,0)</f>
        <v>1575</v>
      </c>
      <c r="O20" s="102">
        <f>IF(Programa!O33&gt;=DLTON*O40,5*Programa!O33,0)+IF(Programa!O34&gt;=DLTON*O40,5*Programa!O34,0)+IF(Programa!O35&gt;=DLTON*O40,5*Programa!O35,0)+IF(Programa!O36&gt;=DLTON*O40,5*Programa!O36,0)</f>
        <v>1575</v>
      </c>
      <c r="P20" s="103">
        <f>IF(Programa!P33&gt;=DLTON*P40,5*Programa!P33,0)+IF(Programa!P34&gt;=DLTON*P40,5*Programa!P34,0)+IF(Programa!P35&gt;=DLTON*P40,5*Programa!P35,0)+IF(Programa!P36&gt;=DLTON*P40,5*Programa!P36,0)</f>
        <v>1650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64"/>
      <c r="C21" s="65"/>
      <c r="D21" s="107" t="s">
        <v>27</v>
      </c>
      <c r="E21" s="110">
        <f>5*SUM(Programa!E33:E36)</f>
        <v>1550</v>
      </c>
      <c r="F21" s="110">
        <f>5*SUM(Programa!F33:F36)</f>
        <v>1550</v>
      </c>
      <c r="G21" s="110">
        <f>5*SUM(Programa!G33:G36)</f>
        <v>1650</v>
      </c>
      <c r="H21" s="110">
        <f>5*SUM(Programa!H33:H36)</f>
        <v>1650</v>
      </c>
      <c r="I21" s="110">
        <f>5*SUM(Programa!I33:I36)</f>
        <v>1700</v>
      </c>
      <c r="J21" s="110">
        <f>5*SUM(Programa!J33:J36)</f>
        <v>1700</v>
      </c>
      <c r="K21" s="110">
        <f>5*SUM(Programa!K33:K36)</f>
        <v>1800</v>
      </c>
      <c r="L21" s="110">
        <f>5*SUM(Programa!L33:L36)</f>
        <v>1850</v>
      </c>
      <c r="M21" s="110">
        <f>5*SUM(Programa!M33:M36)</f>
        <v>1850</v>
      </c>
      <c r="N21" s="110">
        <f>5*SUM(Programa!N33:N36)</f>
        <v>1950</v>
      </c>
      <c r="O21" s="110">
        <f>5*SUM(Programa!O33:O36)</f>
        <v>1950</v>
      </c>
      <c r="P21" s="111">
        <f>5*SUM(Programa!P33:P36)</f>
        <v>2050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79" t="s">
        <v>24</v>
      </c>
      <c r="C22" s="63" t="s">
        <v>10</v>
      </c>
      <c r="D22" s="96" t="s">
        <v>26</v>
      </c>
      <c r="E22" s="97">
        <f>IF(Programa!E37&gt;=SQTON*E28,5*Programa!E37,0)+IF(Programa!E38&gt;=SQTON*E28,5*Programa!E38,0)+IF(Programa!E39&gt;=SQTON*E28,5*Programa!E39,0)+IF(Programa!E40&gt;=SQTON*E28,5*Programa!E40,0)+IF(Programa!E41&gt;=SQTON*E28,3*Programa!E41,0)+IF(Programa!E42&gt;=SQTON*E28,8*Programa!E42,0)</f>
        <v>1620</v>
      </c>
      <c r="F22" s="97">
        <f>IF(Programa!F37&gt;=SQTON*F28,5*Programa!F37,0)+IF(Programa!F38&gt;=SQTON*F28,5*Programa!F38,0)+IF(Programa!F39&gt;=SQTON*F28,5*Programa!F39,0)+IF(Programa!F40&gt;=SQTON*F28,5*Programa!F40,0)+IF(Programa!F41&gt;=SQTON*F28,3*Programa!F41,0)+IF(Programa!F42&gt;=SQTON*F28,8*Programa!F42,0)</f>
        <v>1635</v>
      </c>
      <c r="G22" s="97">
        <f>IF(Programa!G37&gt;=SQTON*G28,5*Programa!G37,0)+IF(Programa!G38&gt;=SQTON*G28,5*Programa!G38,0)+IF(Programa!G39&gt;=SQTON*G28,5*Programa!G39,0)+IF(Programa!G40&gt;=SQTON*G28,5*Programa!G40,0)+IF(Programa!G41&gt;=SQTON*G28,3*Programa!G41,0)+IF(Programa!G42&gt;=SQTON*G28,8*Programa!G42,0)</f>
        <v>1725</v>
      </c>
      <c r="H22" s="97">
        <f>IF(Programa!H37&gt;=SQTON*H28,5*Programa!H37,0)+IF(Programa!H38&gt;=SQTON*H28,5*Programa!H38,0)+IF(Programa!H39&gt;=SQTON*H28,5*Programa!H39,0)+IF(Programa!H40&gt;=SQTON*H28,5*Programa!H40,0)+IF(Programa!H41&gt;=SQTON*H28,3*Programa!H41,0)+IF(Programa!H42&gt;=SQTON*H28,8*Programa!H42,0)</f>
        <v>1740</v>
      </c>
      <c r="I22" s="97">
        <f>IF(Programa!I37&gt;=SQTON*I28,5*Programa!I37,0)+IF(Programa!I38&gt;=SQTON*I28,5*Programa!I38,0)+IF(Programa!I39&gt;=SQTON*I28,5*Programa!I39,0)+IF(Programa!I40&gt;=SQTON*I28,5*Programa!I40,0)+IF(Programa!I41&gt;=SQTON*I28,3*Programa!I41,0)+IF(Programa!I42&gt;=SQTON*I28,8*Programa!I42,0)</f>
        <v>1805</v>
      </c>
      <c r="J22" s="97">
        <f>IF(Programa!J37&gt;=SQTON*J28,5*Programa!J37,0)+IF(Programa!J38&gt;=SQTON*J28,5*Programa!J38,0)+IF(Programa!J39&gt;=SQTON*J28,5*Programa!J39,0)+IF(Programa!J40&gt;=SQTON*J28,5*Programa!J40,0)+IF(Programa!J41&gt;=SQTON*J28,3*Programa!J41,0)+IF(Programa!J42&gt;=SQTON*J28,8*Programa!J42,0)</f>
        <v>1820</v>
      </c>
      <c r="K22" s="97">
        <f>IF(Programa!K37&gt;=SQTON*K28,5*Programa!K37,0)+IF(Programa!K38&gt;=SQTON*K28,5*Programa!K38,0)+IF(Programa!K39&gt;=SQTON*K28,5*Programa!K39,0)+IF(Programa!K40&gt;=SQTON*K28,5*Programa!K40,0)+IF(Programa!K41&gt;=SQTON*K28,3*Programa!K41,0)+IF(Programa!K42&gt;=SQTON*K28,8*Programa!K42,0)</f>
        <v>1925</v>
      </c>
      <c r="L22" s="97">
        <f>IF(Programa!L37&gt;=SQTON*L28,5*Programa!L37,0)+IF(Programa!L38&gt;=SQTON*L28,5*Programa!L38,0)+IF(Programa!L39&gt;=SQTON*L28,5*Programa!L39,0)+IF(Programa!L40&gt;=SQTON*L28,5*Programa!L40,0)+IF(Programa!L41&gt;=SQTON*L28,3*Programa!L41,0)+IF(Programa!L42&gt;=SQTON*L28,8*Programa!L42,0)</f>
        <v>1950</v>
      </c>
      <c r="M22" s="97">
        <f>IF(Programa!M37&gt;=SQTON*M28,5*Programa!M37,0)+IF(Programa!M38&gt;=SQTON*M28,5*Programa!M38,0)+IF(Programa!M39&gt;=SQTON*M28,5*Programa!M39,0)+IF(Programa!M40&gt;=SQTON*M28,5*Programa!M40,0)+IF(Programa!M41&gt;=SQTON*M28,3*Programa!M41,0)+IF(Programa!M42&gt;=SQTON*M28,8*Programa!M42,0)</f>
        <v>1965</v>
      </c>
      <c r="N22" s="97">
        <f>IF(Programa!N37&gt;=SQTON*N28,5*Programa!N37,0)+IF(Programa!N38&gt;=SQTON*N28,5*Programa!N38,0)+IF(Programa!N39&gt;=SQTON*N28,5*Programa!N39,0)+IF(Programa!N40&gt;=SQTON*N28,5*Programa!N40,0)+IF(Programa!N41&gt;=SQTON*N28,3*Programa!N41,0)+IF(Programa!N42&gt;=SQTON*N28,8*Programa!N42,0)</f>
        <v>2055</v>
      </c>
      <c r="O22" s="97">
        <f>IF(Programa!O37&gt;=SQTON*O28,5*Programa!O37,0)+IF(Programa!O38&gt;=SQTON*O28,5*Programa!O38,0)+IF(Programa!O39&gt;=SQTON*O28,5*Programa!O39,0)+IF(Programa!O40&gt;=SQTON*O28,5*Programa!O40,0)+IF(Programa!O41&gt;=SQTON*O28,3*Programa!O41,0)+IF(Programa!O42&gt;=SQTON*O28,8*Programa!O42,0)</f>
        <v>2070</v>
      </c>
      <c r="P22" s="106">
        <f>IF(Programa!P37&gt;=SQTON*P28,5*Programa!P37,0)+IF(Programa!P38&gt;=SQTON*P28,5*Programa!P38,0)+IF(Programa!P39&gt;=SQTON*P28,5*Programa!P39,0)+IF(Programa!P40&gt;=SQTON*P28,5*Programa!P40,0)+IF(Programa!P41&gt;=SQTON*P28,3*Programa!P41,0)+IF(Programa!P42&gt;=SQTON*P28,8*Programa!P42,0)</f>
        <v>2175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46"/>
      <c r="C23" s="51"/>
      <c r="D23" s="99" t="s">
        <v>27</v>
      </c>
      <c r="E23" s="100">
        <f>5*SUM(Programa!E37:E40)+3*Programa!E41+8*Programa!E42</f>
        <v>2170</v>
      </c>
      <c r="F23" s="100">
        <f>5*SUM(Programa!F37:F40)+3*Programa!F41+8*Programa!F42</f>
        <v>2185</v>
      </c>
      <c r="G23" s="100">
        <f>5*SUM(Programa!G37:G40)+3*Programa!G41+8*Programa!G42</f>
        <v>2300</v>
      </c>
      <c r="H23" s="100">
        <f>5*SUM(Programa!H37:H40)+3*Programa!H41+8*Programa!H42</f>
        <v>2315</v>
      </c>
      <c r="I23" s="100">
        <f>5*SUM(Programa!I37:I40)+3*Programa!I41+8*Programa!I42</f>
        <v>2405</v>
      </c>
      <c r="J23" s="100">
        <f>5*SUM(Programa!J37:J40)+3*Programa!J41+8*Programa!J42</f>
        <v>2420</v>
      </c>
      <c r="K23" s="100">
        <f>5*SUM(Programa!K37:K40)+3*Programa!K41+8*Programa!K42</f>
        <v>2550</v>
      </c>
      <c r="L23" s="100">
        <f>5*SUM(Programa!L37:L40)+3*Programa!L41+8*Programa!L42</f>
        <v>2600</v>
      </c>
      <c r="M23" s="100">
        <f>5*SUM(Programa!M37:M40)+3*Programa!M41+8*Programa!M42</f>
        <v>2615</v>
      </c>
      <c r="N23" s="100">
        <f>5*SUM(Programa!N37:N40)+3*Programa!N41+8*Programa!N42</f>
        <v>2730</v>
      </c>
      <c r="O23" s="100">
        <f>5*SUM(Programa!O37:O40)+3*Programa!O41+8*Programa!O42</f>
        <v>2745</v>
      </c>
      <c r="P23" s="101">
        <f>5*SUM(Programa!P37:P40)+3*Programa!P41+8*Programa!P42</f>
        <v>2900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46"/>
      <c r="C24" s="63" t="s">
        <v>28</v>
      </c>
      <c r="D24" s="96" t="s">
        <v>26</v>
      </c>
      <c r="E24" s="102">
        <f>IF(Programa!E43&gt;=BPTON*E31,5*Programa!E43,0)+IF(Programa!E44&gt;=BPTON*E31,5*Programa!E44,0)+IF(Programa!E45&gt;=BPTON*E31,5*Programa!E45,0)+IF(Programa!E46&gt;=BPTON*E31,5*Programa!E46,0)+IF(Programa!E47&gt;=BPTON*E31,3*Programa!E47,0)+IF(Programa!E48&gt;=BPTON*E31,8*Programa!E48,0)</f>
        <v>1620</v>
      </c>
      <c r="F24" s="102">
        <f>IF(Programa!F43&gt;=BPTON*F31,5*Programa!F43,0)+IF(Programa!F44&gt;=BPTON*F31,5*Programa!F44,0)+IF(Programa!F45&gt;=BPTON*F31,5*Programa!F45,0)+IF(Programa!F46&gt;=BPTON*F31,5*Programa!F46,0)+IF(Programa!F47&gt;=BPTON*F31,3*Programa!F47,0)+IF(Programa!F48&gt;=BPTON*F31,8*Programa!F48,0)</f>
        <v>1635</v>
      </c>
      <c r="G24" s="102">
        <f>IF(Programa!G43&gt;=BPTON*G31,5*Programa!G43,0)+IF(Programa!G44&gt;=BPTON*G31,5*Programa!G44,0)+IF(Programa!G45&gt;=BPTON*G31,5*Programa!G45,0)+IF(Programa!G46&gt;=BPTON*G31,5*Programa!G46,0)+IF(Programa!G47&gt;=BPTON*G31,3*Programa!G47,0)+IF(Programa!G48&gt;=BPTON*G31,8*Programa!G48,0)</f>
        <v>1725</v>
      </c>
      <c r="H24" s="102">
        <f>IF(Programa!H43&gt;=BPTON*H31,5*Programa!H43,0)+IF(Programa!H44&gt;=BPTON*H31,5*Programa!H44,0)+IF(Programa!H45&gt;=BPTON*H31,5*Programa!H45,0)+IF(Programa!H46&gt;=BPTON*H31,5*Programa!H46,0)+IF(Programa!H47&gt;=BPTON*H31,3*Programa!H47,0)+IF(Programa!H48&gt;=BPTON*H31,8*Programa!H48,0)</f>
        <v>1740</v>
      </c>
      <c r="I24" s="102">
        <f>IF(Programa!I43&gt;=BPTON*I31,5*Programa!I43,0)+IF(Programa!I44&gt;=BPTON*I31,5*Programa!I44,0)+IF(Programa!I45&gt;=BPTON*I31,5*Programa!I45,0)+IF(Programa!I46&gt;=BPTON*I31,5*Programa!I46,0)+IF(Programa!I47&gt;=BPTON*I31,3*Programa!I47,0)+IF(Programa!I48&gt;=BPTON*I31,8*Programa!I48,0)</f>
        <v>1805</v>
      </c>
      <c r="J24" s="102">
        <f>IF(Programa!J43&gt;=BPTON*J31,5*Programa!J43,0)+IF(Programa!J44&gt;=BPTON*J31,5*Programa!J44,0)+IF(Programa!J45&gt;=BPTON*J31,5*Programa!J45,0)+IF(Programa!J46&gt;=BPTON*J31,5*Programa!J46,0)+IF(Programa!J47&gt;=BPTON*J31,3*Programa!J47,0)+IF(Programa!J48&gt;=BPTON*J31,8*Programa!J48,0)</f>
        <v>1820</v>
      </c>
      <c r="K24" s="102">
        <f>IF(Programa!K43&gt;=BPTON*K31,5*Programa!K43,0)+IF(Programa!K44&gt;=BPTON*K31,5*Programa!K44,0)+IF(Programa!K45&gt;=BPTON*K31,5*Programa!K45,0)+IF(Programa!K46&gt;=BPTON*K31,5*Programa!K46,0)+IF(Programa!K47&gt;=BPTON*K31,3*Programa!K47,0)+IF(Programa!K48&gt;=BPTON*K31,8*Programa!K48,0)</f>
        <v>1925</v>
      </c>
      <c r="L24" s="102">
        <f>IF(Programa!L43&gt;=BPTON*L31,5*Programa!L43,0)+IF(Programa!L44&gt;=BPTON*L31,5*Programa!L44,0)+IF(Programa!L45&gt;=BPTON*L31,5*Programa!L45,0)+IF(Programa!L46&gt;=BPTON*L31,5*Programa!L46,0)+IF(Programa!L47&gt;=BPTON*L31,3*Programa!L47,0)+IF(Programa!L48&gt;=BPTON*L31,8*Programa!L48,0)</f>
        <v>1950</v>
      </c>
      <c r="M24" s="102">
        <f>IF(Programa!M43&gt;=BPTON*M31,5*Programa!M43,0)+IF(Programa!M44&gt;=BPTON*M31,5*Programa!M44,0)+IF(Programa!M45&gt;=BPTON*M31,5*Programa!M45,0)+IF(Programa!M46&gt;=BPTON*M31,5*Programa!M46,0)+IF(Programa!M47&gt;=BPTON*M31,3*Programa!M47,0)+IF(Programa!M48&gt;=BPTON*M31,8*Programa!M48,0)</f>
        <v>1965</v>
      </c>
      <c r="N24" s="102">
        <f>IF(Programa!N43&gt;=BPTON*N31,5*Programa!N43,0)+IF(Programa!N44&gt;=BPTON*N31,5*Programa!N44,0)+IF(Programa!N45&gt;=BPTON*N31,5*Programa!N45,0)+IF(Programa!N46&gt;=BPTON*N31,5*Programa!N46,0)+IF(Programa!N47&gt;=BPTON*N31,3*Programa!N47,0)+IF(Programa!N48&gt;=BPTON*N31,8*Programa!N48,0)</f>
        <v>2055</v>
      </c>
      <c r="O24" s="102">
        <f>IF(Programa!O43&gt;=BPTON*O31,5*Programa!O43,0)+IF(Programa!O44&gt;=BPTON*O31,5*Programa!O44,0)+IF(Programa!O45&gt;=BPTON*O31,5*Programa!O45,0)+IF(Programa!O46&gt;=BPTON*O31,5*Programa!O46,0)+IF(Programa!O47&gt;=BPTON*O31,3*Programa!O47,0)+IF(Programa!O48&gt;=BPTON*O31,8*Programa!O48,0)</f>
        <v>2070</v>
      </c>
      <c r="P24" s="103">
        <f>IF(Programa!P43&gt;=BPTON*P31,5*Programa!P43,0)+IF(Programa!P44&gt;=BPTON*P31,5*Programa!P44,0)+IF(Programa!P45&gt;=BPTON*P31,5*Programa!P45,0)+IF(Programa!P46&gt;=BPTON*P31,5*Programa!P46,0)+IF(Programa!P47&gt;=BPTON*P31,3*Programa!P47,0)+IF(Programa!P48&gt;=BPTON*P31,8*Programa!P48,0)</f>
        <v>2175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46"/>
      <c r="C25" s="51"/>
      <c r="D25" s="99" t="s">
        <v>27</v>
      </c>
      <c r="E25" s="104">
        <f>5*SUM(Programa!E43:E46)+3*Programa!E47+8*Programa!E48</f>
        <v>2170</v>
      </c>
      <c r="F25" s="104">
        <f>5*SUM(Programa!F43:F46)+3*Programa!F47+8*Programa!F48</f>
        <v>2185</v>
      </c>
      <c r="G25" s="104">
        <f>5*SUM(Programa!G43:G46)+3*Programa!G47+8*Programa!G48</f>
        <v>2300</v>
      </c>
      <c r="H25" s="104">
        <f>5*SUM(Programa!H43:H46)+3*Programa!H47+8*Programa!H48</f>
        <v>2315</v>
      </c>
      <c r="I25" s="104">
        <f>5*SUM(Programa!I43:I46)+3*Programa!I47+8*Programa!I48</f>
        <v>2405</v>
      </c>
      <c r="J25" s="104">
        <f>5*SUM(Programa!J43:J46)+3*Programa!J47+8*Programa!J48</f>
        <v>2420</v>
      </c>
      <c r="K25" s="104">
        <f>5*SUM(Programa!K43:K46)+3*Programa!K47+8*Programa!K48</f>
        <v>2550</v>
      </c>
      <c r="L25" s="104">
        <f>5*SUM(Programa!L43:L46)+3*Programa!L47+8*Programa!L48</f>
        <v>2600</v>
      </c>
      <c r="M25" s="104">
        <f>5*SUM(Programa!M43:M46)+3*Programa!M47+8*Programa!M48</f>
        <v>2615</v>
      </c>
      <c r="N25" s="104">
        <f>5*SUM(Programa!N43:N46)+3*Programa!N47+8*Programa!N48</f>
        <v>2730</v>
      </c>
      <c r="O25" s="104">
        <f>5*SUM(Programa!O43:O46)+3*Programa!O47+8*Programa!O48</f>
        <v>2745</v>
      </c>
      <c r="P25" s="105">
        <f>5*SUM(Programa!P43:P46)+3*Programa!P47+8*Programa!P48</f>
        <v>2900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46"/>
      <c r="C26" s="63" t="s">
        <v>12</v>
      </c>
      <c r="D26" s="96" t="s">
        <v>26</v>
      </c>
      <c r="E26" s="97">
        <f>IF(Programa!E49&gt;=BBRTON*E34,5*Programa!E49,0)+IF(Programa!E50&gt;=BBRTON*E34,5*Programa!E50,0)+IF(Programa!E51&gt;=BBRTON*E34,5*Programa!E51,0)+IF(Programa!E52&gt;=BBRTON*E34,5*Programa!E52,0)+IF(Programa!E53&gt;=BBRTON*E34,3*Programa!E53,0)+IF(Programa!E54&gt;=BBRTON*E34,8*Programa!E54,0)</f>
        <v>1620</v>
      </c>
      <c r="F26" s="97">
        <f>IF(Programa!F49&gt;=BBRTON*F34,5*Programa!F49,0)+IF(Programa!F50&gt;=BBRTON*F34,5*Programa!F50,0)+IF(Programa!F51&gt;=BBRTON*F34,5*Programa!F51,0)+IF(Programa!F52&gt;=BBRTON*F34,5*Programa!F52,0)+IF(Programa!F53&gt;=BBRTON*F34,3*Programa!F53,0)+IF(Programa!F54&gt;=BBRTON*F34,8*Programa!F54,0)</f>
        <v>1635</v>
      </c>
      <c r="G26" s="97">
        <f>IF(Programa!G49&gt;=BBRTON*G34,5*Programa!G49,0)+IF(Programa!G50&gt;=BBRTON*G34,5*Programa!G50,0)+IF(Programa!G51&gt;=BBRTON*G34,5*Programa!G51,0)+IF(Programa!G52&gt;=BBRTON*G34,5*Programa!G52,0)+IF(Programa!G53&gt;=BBRTON*G34,3*Programa!G53,0)+IF(Programa!G54&gt;=BBRTON*G34,8*Programa!G54,0)</f>
        <v>1725</v>
      </c>
      <c r="H26" s="97">
        <f>IF(Programa!H49&gt;=BBRTON*H34,5*Programa!H49,0)+IF(Programa!H50&gt;=BBRTON*H34,5*Programa!H50,0)+IF(Programa!H51&gt;=BBRTON*H34,5*Programa!H51,0)+IF(Programa!H52&gt;=BBRTON*H34,5*Programa!H52,0)+IF(Programa!H53&gt;=BBRTON*H34,3*Programa!H53,0)+IF(Programa!H54&gt;=BBRTON*H34,8*Programa!H54,0)</f>
        <v>1740</v>
      </c>
      <c r="I26" s="97">
        <f>IF(Programa!I49&gt;=BBRTON*I34,5*Programa!I49,0)+IF(Programa!I50&gt;=BBRTON*I34,5*Programa!I50,0)+IF(Programa!I51&gt;=BBRTON*I34,5*Programa!I51,0)+IF(Programa!I52&gt;=BBRTON*I34,5*Programa!I52,0)+IF(Programa!I53&gt;=BBRTON*I34,3*Programa!I53,0)+IF(Programa!I54&gt;=BBRTON*I34,8*Programa!I54,0)</f>
        <v>1805</v>
      </c>
      <c r="J26" s="97">
        <f>IF(Programa!J49&gt;=BBRTON*J34,5*Programa!J49,0)+IF(Programa!J50&gt;=BBRTON*J34,5*Programa!J50,0)+IF(Programa!J51&gt;=BBRTON*J34,5*Programa!J51,0)+IF(Programa!J52&gt;=BBRTON*J34,5*Programa!J52,0)+IF(Programa!J53&gt;=BBRTON*J34,3*Programa!J53,0)+IF(Programa!J54&gt;=BBRTON*J34,8*Programa!J54,0)</f>
        <v>1820</v>
      </c>
      <c r="K26" s="97">
        <f>IF(Programa!K49&gt;=BBRTON*K34,5*Programa!K49,0)+IF(Programa!K50&gt;=BBRTON*K34,5*Programa!K50,0)+IF(Programa!K51&gt;=BBRTON*K34,5*Programa!K51,0)+IF(Programa!K52&gt;=BBRTON*K34,5*Programa!K52,0)+IF(Programa!K53&gt;=BBRTON*K34,3*Programa!K53,0)+IF(Programa!K54&gt;=BBRTON*K34,8*Programa!K54,0)</f>
        <v>1925</v>
      </c>
      <c r="L26" s="97">
        <f>IF(Programa!L49&gt;=BBRTON*L34,5*Programa!L49,0)+IF(Programa!L50&gt;=BBRTON*L34,5*Programa!L50,0)+IF(Programa!L51&gt;=BBRTON*L34,5*Programa!L51,0)+IF(Programa!L52&gt;=BBRTON*L34,5*Programa!L52,0)+IF(Programa!L53&gt;=BBRTON*L34,3*Programa!L53,0)+IF(Programa!L54&gt;=BBRTON*L34,8*Programa!L54,0)</f>
        <v>1950</v>
      </c>
      <c r="M26" s="97">
        <f>IF(Programa!M49&gt;=BBRTON*M34,5*Programa!M49,0)+IF(Programa!M50&gt;=BBRTON*M34,5*Programa!M50,0)+IF(Programa!M51&gt;=BBRTON*M34,5*Programa!M51,0)+IF(Programa!M52&gt;=BBRTON*M34,5*Programa!M52,0)+IF(Programa!M53&gt;=BBRTON*M34,3*Programa!M53,0)+IF(Programa!M54&gt;=BBRTON*M34,8*Programa!M54,0)</f>
        <v>1965</v>
      </c>
      <c r="N26" s="97">
        <f>IF(Programa!N49&gt;=BBRTON*N34,5*Programa!N49,0)+IF(Programa!N50&gt;=BBRTON*N34,5*Programa!N50,0)+IF(Programa!N51&gt;=BBRTON*N34,5*Programa!N51,0)+IF(Programa!N52&gt;=BBRTON*N34,5*Programa!N52,0)+IF(Programa!N53&gt;=BBRTON*N34,3*Programa!N53,0)+IF(Programa!N54&gt;=BBRTON*N34,8*Programa!N54,0)</f>
        <v>2055</v>
      </c>
      <c r="O26" s="97">
        <f>IF(Programa!O49&gt;=BBRTON*O34,5*Programa!O49,0)+IF(Programa!O50&gt;=BBRTON*O34,5*Programa!O50,0)+IF(Programa!O51&gt;=BBRTON*O34,5*Programa!O51,0)+IF(Programa!O52&gt;=BBRTON*O34,5*Programa!O52,0)+IF(Programa!O53&gt;=BBRTON*O34,3*Programa!O53,0)+IF(Programa!O54&gt;=BBRTON*O34,8*Programa!O54,0)</f>
        <v>2070</v>
      </c>
      <c r="P26" s="106">
        <f>IF(Programa!P49&gt;=BBRTON*P34,5*Programa!P49,0)+IF(Programa!P50&gt;=BBRTON*P34,5*Programa!P50,0)+IF(Programa!P51&gt;=BBRTON*P34,5*Programa!P51,0)+IF(Programa!P52&gt;=BBRTON*P34,5*Programa!P52,0)+IF(Programa!P53&gt;=BBRTON*P34,3*Programa!P53,0)+IF(Programa!P54&gt;=BBRTON*P34,8*Programa!P54,0)</f>
        <v>2175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64"/>
      <c r="C27" s="65"/>
      <c r="D27" s="107" t="s">
        <v>27</v>
      </c>
      <c r="E27" s="108">
        <f>5*SUM(Programa!E49:E52)+3*Programa!E53+8*Programa!E54</f>
        <v>2170</v>
      </c>
      <c r="F27" s="108">
        <f>5*SUM(Programa!F49:F52)+3*Programa!F53+8*Programa!F54</f>
        <v>2185</v>
      </c>
      <c r="G27" s="108">
        <f>5*SUM(Programa!G49:G52)+3*Programa!G53+8*Programa!G54</f>
        <v>2300</v>
      </c>
      <c r="H27" s="108">
        <f>5*SUM(Programa!H49:H52)+3*Programa!H53+8*Programa!H54</f>
        <v>2315</v>
      </c>
      <c r="I27" s="108">
        <f>5*SUM(Programa!I49:I52)+3*Programa!I53+8*Programa!I54</f>
        <v>2405</v>
      </c>
      <c r="J27" s="108">
        <f>5*SUM(Programa!J49:J52)+3*Programa!J53+8*Programa!J54</f>
        <v>2420</v>
      </c>
      <c r="K27" s="108">
        <f>5*SUM(Programa!K49:K52)+3*Programa!K53+8*Programa!K54</f>
        <v>2550</v>
      </c>
      <c r="L27" s="108">
        <f>5*SUM(Programa!L49:L52)+3*Programa!L53+8*Programa!L54</f>
        <v>2600</v>
      </c>
      <c r="M27" s="108">
        <f>5*SUM(Programa!M49:M52)+3*Programa!M53+8*Programa!M54</f>
        <v>2615</v>
      </c>
      <c r="N27" s="108">
        <f>5*SUM(Programa!N49:N52)+3*Programa!N53+8*Programa!N54</f>
        <v>2730</v>
      </c>
      <c r="O27" s="108">
        <f>5*SUM(Programa!O49:O52)+3*Programa!O53+8*Programa!O54</f>
        <v>2745</v>
      </c>
      <c r="P27" s="109">
        <f>5*SUM(Programa!P49:P52)+3*Programa!P53+8*Programa!P54</f>
        <v>2900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112"/>
      <c r="C28" s="42" t="s">
        <v>10</v>
      </c>
      <c r="D28" s="113" t="s">
        <v>7</v>
      </c>
      <c r="E28" s="114">
        <f>MAX(SQMAX,Programa!E14/(1.0278-(0.0278*5)))</f>
        <v>112.5112511</v>
      </c>
      <c r="F28" s="114">
        <f>MAX(SQMAX,Programa!F14/(1.0278-(0.0278*5)))</f>
        <v>112.5112511</v>
      </c>
      <c r="G28" s="114">
        <f>MAX(SQMAX,Programa!G14/(1.0278-(0.0278*5)))</f>
        <v>112.5112511</v>
      </c>
      <c r="H28" s="114">
        <f>MAX(SQMAX,Programa!H14/(1.0278-(0.0278*5)))</f>
        <v>112.5112511</v>
      </c>
      <c r="I28" s="114">
        <f>MAX(SQMAX,Programa!I14/(1.0278-(0.0278*5)))</f>
        <v>118.1368137</v>
      </c>
      <c r="J28" s="114">
        <f>MAX(SQMAX,Programa!J14/(1.0278-(0.0278*5)))</f>
        <v>118.1368137</v>
      </c>
      <c r="K28" s="114">
        <f>MAX(SQMAX,Programa!K14/(1.0278-(0.0278*5)))</f>
        <v>123.7623762</v>
      </c>
      <c r="L28" s="114">
        <f>MAX(SQMAX,Programa!L14/(1.0278-(0.0278*5)))</f>
        <v>129.3879388</v>
      </c>
      <c r="M28" s="114">
        <f>MAX(SQMAX,Programa!M14/(1.0278-(0.0278*5)))</f>
        <v>129.3879388</v>
      </c>
      <c r="N28" s="114">
        <f>MAX(SQMAX,Programa!N14/(1.0278-(0.0278*5)))</f>
        <v>135.0135014</v>
      </c>
      <c r="O28" s="114">
        <f>MAX(SQMAX,Programa!O14/(1.0278-(0.0278*5)))</f>
        <v>135.0135014</v>
      </c>
      <c r="P28" s="115">
        <f>MAX(SQMAX,Programa!P14/(1.0278-(0.0278*5)))</f>
        <v>140.6390639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116" t="s">
        <v>30</v>
      </c>
      <c r="C29" s="47"/>
      <c r="D29" s="96" t="s">
        <v>26</v>
      </c>
      <c r="E29" s="102">
        <f t="shared" ref="E29:P29" si="1">E10+E16+E22</f>
        <v>3570</v>
      </c>
      <c r="F29" s="102">
        <f t="shared" si="1"/>
        <v>3585</v>
      </c>
      <c r="G29" s="102">
        <f t="shared" si="1"/>
        <v>3800</v>
      </c>
      <c r="H29" s="102">
        <f t="shared" si="1"/>
        <v>3815</v>
      </c>
      <c r="I29" s="102">
        <f t="shared" si="1"/>
        <v>3980</v>
      </c>
      <c r="J29" s="102">
        <f t="shared" si="1"/>
        <v>3995</v>
      </c>
      <c r="K29" s="102">
        <f t="shared" si="1"/>
        <v>4225</v>
      </c>
      <c r="L29" s="102">
        <f t="shared" si="1"/>
        <v>4300</v>
      </c>
      <c r="M29" s="102">
        <f t="shared" si="1"/>
        <v>4315</v>
      </c>
      <c r="N29" s="102">
        <f t="shared" si="1"/>
        <v>4530</v>
      </c>
      <c r="O29" s="102">
        <f t="shared" si="1"/>
        <v>4545</v>
      </c>
      <c r="P29" s="103">
        <f t="shared" si="1"/>
        <v>4775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46"/>
      <c r="C30" s="51"/>
      <c r="D30" s="99" t="s">
        <v>27</v>
      </c>
      <c r="E30" s="104">
        <f t="shared" ref="E30:P30" si="2">E11+E17+E23</f>
        <v>5220</v>
      </c>
      <c r="F30" s="104">
        <f t="shared" si="2"/>
        <v>5235</v>
      </c>
      <c r="G30" s="104">
        <f t="shared" si="2"/>
        <v>5525</v>
      </c>
      <c r="H30" s="104">
        <f t="shared" si="2"/>
        <v>5540</v>
      </c>
      <c r="I30" s="104">
        <f t="shared" si="2"/>
        <v>5780</v>
      </c>
      <c r="J30" s="104">
        <f t="shared" si="2"/>
        <v>5795</v>
      </c>
      <c r="K30" s="104">
        <f t="shared" si="2"/>
        <v>6100</v>
      </c>
      <c r="L30" s="104">
        <f t="shared" si="2"/>
        <v>6250</v>
      </c>
      <c r="M30" s="104">
        <f t="shared" si="2"/>
        <v>6265</v>
      </c>
      <c r="N30" s="104">
        <f t="shared" si="2"/>
        <v>6555</v>
      </c>
      <c r="O30" s="104">
        <f t="shared" si="2"/>
        <v>6570</v>
      </c>
      <c r="P30" s="105">
        <f t="shared" si="2"/>
        <v>6950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46"/>
      <c r="C31" s="55" t="s">
        <v>28</v>
      </c>
      <c r="D31" s="117" t="s">
        <v>7</v>
      </c>
      <c r="E31" s="118">
        <f>MAX(BPMAX,Programa!E19/(1.0278-(0.0278*5)))</f>
        <v>112.5112511</v>
      </c>
      <c r="F31" s="118">
        <f>MAX(BPMAX,Programa!F19/(1.0278-(0.0278*5)))</f>
        <v>112.5112511</v>
      </c>
      <c r="G31" s="118">
        <f>MAX(BPMAX,Programa!G19/(1.0278-(0.0278*5)))</f>
        <v>112.5112511</v>
      </c>
      <c r="H31" s="118">
        <f>MAX(BPMAX,Programa!H19/(1.0278-(0.0278*5)))</f>
        <v>112.5112511</v>
      </c>
      <c r="I31" s="118">
        <f>MAX(BPMAX,Programa!I19/(1.0278-(0.0278*5)))</f>
        <v>118.1368137</v>
      </c>
      <c r="J31" s="118">
        <f>MAX(BPMAX,Programa!J19/(1.0278-(0.0278*5)))</f>
        <v>118.1368137</v>
      </c>
      <c r="K31" s="118">
        <f>MAX(BPMAX,Programa!K19/(1.0278-(0.0278*5)))</f>
        <v>123.7623762</v>
      </c>
      <c r="L31" s="118">
        <f>MAX(BPMAX,Programa!L19/(1.0278-(0.0278*5)))</f>
        <v>129.3879388</v>
      </c>
      <c r="M31" s="118">
        <f>MAX(BPMAX,Programa!M19/(1.0278-(0.0278*5)))</f>
        <v>129.3879388</v>
      </c>
      <c r="N31" s="118">
        <f>MAX(BPMAX,Programa!N19/(1.0278-(0.0278*5)))</f>
        <v>135.0135014</v>
      </c>
      <c r="O31" s="118">
        <f>MAX(BPMAX,Programa!O19/(1.0278-(0.0278*5)))</f>
        <v>135.0135014</v>
      </c>
      <c r="P31" s="119">
        <f>MAX(BPMAX,Programa!P19/(1.0278-(0.0278*5)))</f>
        <v>140.6390639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46"/>
      <c r="C32" s="47"/>
      <c r="D32" s="96" t="s">
        <v>26</v>
      </c>
      <c r="E32" s="97">
        <f t="shared" ref="E32:P32" si="3">E12+E24</f>
        <v>2870</v>
      </c>
      <c r="F32" s="97">
        <f t="shared" si="3"/>
        <v>2885</v>
      </c>
      <c r="G32" s="97">
        <f t="shared" si="3"/>
        <v>3050</v>
      </c>
      <c r="H32" s="97">
        <f t="shared" si="3"/>
        <v>3065</v>
      </c>
      <c r="I32" s="97">
        <f t="shared" si="3"/>
        <v>3180</v>
      </c>
      <c r="J32" s="97">
        <f t="shared" si="3"/>
        <v>3195</v>
      </c>
      <c r="K32" s="97">
        <f t="shared" si="3"/>
        <v>3375</v>
      </c>
      <c r="L32" s="97">
        <f t="shared" si="3"/>
        <v>3450</v>
      </c>
      <c r="M32" s="97">
        <f t="shared" si="3"/>
        <v>3465</v>
      </c>
      <c r="N32" s="97">
        <f t="shared" si="3"/>
        <v>3630</v>
      </c>
      <c r="O32" s="97">
        <f t="shared" si="3"/>
        <v>3645</v>
      </c>
      <c r="P32" s="106">
        <f t="shared" si="3"/>
        <v>3825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46"/>
      <c r="C33" s="51"/>
      <c r="D33" s="99" t="s">
        <v>27</v>
      </c>
      <c r="E33" s="100">
        <f t="shared" ref="E33:P33" si="4">E13+E25</f>
        <v>3970</v>
      </c>
      <c r="F33" s="100">
        <f t="shared" si="4"/>
        <v>3985</v>
      </c>
      <c r="G33" s="100">
        <f t="shared" si="4"/>
        <v>4200</v>
      </c>
      <c r="H33" s="100">
        <f t="shared" si="4"/>
        <v>4215</v>
      </c>
      <c r="I33" s="100">
        <f t="shared" si="4"/>
        <v>4380</v>
      </c>
      <c r="J33" s="100">
        <f t="shared" si="4"/>
        <v>4395</v>
      </c>
      <c r="K33" s="100">
        <f t="shared" si="4"/>
        <v>4625</v>
      </c>
      <c r="L33" s="100">
        <f t="shared" si="4"/>
        <v>4750</v>
      </c>
      <c r="M33" s="100">
        <f t="shared" si="4"/>
        <v>4765</v>
      </c>
      <c r="N33" s="100">
        <f t="shared" si="4"/>
        <v>4980</v>
      </c>
      <c r="O33" s="100">
        <f t="shared" si="4"/>
        <v>4995</v>
      </c>
      <c r="P33" s="101">
        <f t="shared" si="4"/>
        <v>5275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46"/>
      <c r="C34" s="55" t="s">
        <v>12</v>
      </c>
      <c r="D34" s="117" t="s">
        <v>7</v>
      </c>
      <c r="E34" s="120">
        <f>MAX(BBRMAX,Programa!E24/(1.0278-(0.0278*5)))</f>
        <v>112.5112511</v>
      </c>
      <c r="F34" s="120">
        <f>MAX(BBRMAX,Programa!F24/(1.0278-(0.0278*5)))</f>
        <v>112.5112511</v>
      </c>
      <c r="G34" s="120">
        <f>MAX(BBRMAX,Programa!G24/(1.0278-(0.0278*5)))</f>
        <v>112.5112511</v>
      </c>
      <c r="H34" s="120">
        <f>MAX(BBRMAX,Programa!H24/(1.0278-(0.0278*5)))</f>
        <v>112.5112511</v>
      </c>
      <c r="I34" s="120">
        <f>MAX(BBRMAX,Programa!I24/(1.0278-(0.0278*5)))</f>
        <v>118.1368137</v>
      </c>
      <c r="J34" s="120">
        <f>MAX(BBRMAX,Programa!J24/(1.0278-(0.0278*5)))</f>
        <v>118.1368137</v>
      </c>
      <c r="K34" s="120">
        <f>MAX(BBRMAX,Programa!K24/(1.0278-(0.0278*5)))</f>
        <v>123.7623762</v>
      </c>
      <c r="L34" s="120">
        <f>MAX(BBRMAX,Programa!L24/(1.0278-(0.0278*5)))</f>
        <v>129.3879388</v>
      </c>
      <c r="M34" s="120">
        <f>MAX(BBRMAX,Programa!M24/(1.0278-(0.0278*5)))</f>
        <v>129.3879388</v>
      </c>
      <c r="N34" s="120">
        <f>MAX(BBRMAX,Programa!N24/(1.0278-(0.0278*5)))</f>
        <v>135.0135014</v>
      </c>
      <c r="O34" s="120">
        <f>MAX(BBRMAX,Programa!O24/(1.0278-(0.0278*5)))</f>
        <v>135.0135014</v>
      </c>
      <c r="P34" s="121">
        <f>MAX(BBRMAX,Programa!P24/(1.0278-(0.0278*5)))</f>
        <v>140.6390639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46"/>
      <c r="C35" s="47"/>
      <c r="D35" s="96" t="s">
        <v>26</v>
      </c>
      <c r="E35" s="102">
        <f t="shared" ref="E35:P35" si="5">E14+E26</f>
        <v>2870</v>
      </c>
      <c r="F35" s="102">
        <f t="shared" si="5"/>
        <v>2885</v>
      </c>
      <c r="G35" s="102">
        <f t="shared" si="5"/>
        <v>3050</v>
      </c>
      <c r="H35" s="102">
        <f t="shared" si="5"/>
        <v>3065</v>
      </c>
      <c r="I35" s="102">
        <f t="shared" si="5"/>
        <v>3180</v>
      </c>
      <c r="J35" s="102">
        <f t="shared" si="5"/>
        <v>3195</v>
      </c>
      <c r="K35" s="102">
        <f t="shared" si="5"/>
        <v>3375</v>
      </c>
      <c r="L35" s="102">
        <f t="shared" si="5"/>
        <v>3450</v>
      </c>
      <c r="M35" s="102">
        <f t="shared" si="5"/>
        <v>3465</v>
      </c>
      <c r="N35" s="102">
        <f t="shared" si="5"/>
        <v>3630</v>
      </c>
      <c r="O35" s="102">
        <f t="shared" si="5"/>
        <v>3645</v>
      </c>
      <c r="P35" s="103">
        <f t="shared" si="5"/>
        <v>3825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46"/>
      <c r="C36" s="51"/>
      <c r="D36" s="99" t="s">
        <v>27</v>
      </c>
      <c r="E36" s="104">
        <f t="shared" ref="E36:P36" si="6">E15+E27</f>
        <v>3970</v>
      </c>
      <c r="F36" s="104">
        <f t="shared" si="6"/>
        <v>3985</v>
      </c>
      <c r="G36" s="104">
        <f t="shared" si="6"/>
        <v>4200</v>
      </c>
      <c r="H36" s="104">
        <f t="shared" si="6"/>
        <v>4215</v>
      </c>
      <c r="I36" s="104">
        <f t="shared" si="6"/>
        <v>4380</v>
      </c>
      <c r="J36" s="104">
        <f t="shared" si="6"/>
        <v>4395</v>
      </c>
      <c r="K36" s="104">
        <f t="shared" si="6"/>
        <v>4625</v>
      </c>
      <c r="L36" s="104">
        <f t="shared" si="6"/>
        <v>4750</v>
      </c>
      <c r="M36" s="104">
        <f t="shared" si="6"/>
        <v>4765</v>
      </c>
      <c r="N36" s="104">
        <f t="shared" si="6"/>
        <v>4980</v>
      </c>
      <c r="O36" s="104">
        <f t="shared" si="6"/>
        <v>4995</v>
      </c>
      <c r="P36" s="105">
        <f t="shared" si="6"/>
        <v>5275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46"/>
      <c r="C37" s="55" t="s">
        <v>13</v>
      </c>
      <c r="D37" s="117" t="s">
        <v>7</v>
      </c>
      <c r="E37" s="118">
        <f>MAX(OHPMAX,Programa!E32/(1.0278-(0.0278*5)))</f>
        <v>112.5112511</v>
      </c>
      <c r="F37" s="118">
        <f>MAX(OHPMAX,Programa!F32/(1.0278-(0.0278*5)))</f>
        <v>112.5112511</v>
      </c>
      <c r="G37" s="118">
        <f>MAX(OHPMAX,Programa!G32/(1.0278-(0.0278*5)))</f>
        <v>112.5112511</v>
      </c>
      <c r="H37" s="118">
        <f>MAX(OHPMAX,Programa!H32/(1.0278-(0.0278*5)))</f>
        <v>112.5112511</v>
      </c>
      <c r="I37" s="118">
        <f>MAX(OHPMAX,Programa!I32/(1.0278-(0.0278*5)))</f>
        <v>118.1368137</v>
      </c>
      <c r="J37" s="118">
        <f>MAX(OHPMAX,Programa!J32/(1.0278-(0.0278*5)))</f>
        <v>118.1368137</v>
      </c>
      <c r="K37" s="118">
        <f>MAX(OHPMAX,Programa!K32/(1.0278-(0.0278*5)))</f>
        <v>123.7623762</v>
      </c>
      <c r="L37" s="118">
        <f>MAX(OHPMAX,Programa!L32/(1.0278-(0.0278*5)))</f>
        <v>129.3879388</v>
      </c>
      <c r="M37" s="118">
        <f>MAX(OHPMAX,Programa!M32/(1.0278-(0.0278*5)))</f>
        <v>129.3879388</v>
      </c>
      <c r="N37" s="118">
        <f>MAX(OHPMAX,Programa!N32/(1.0278-(0.0278*5)))</f>
        <v>135.0135014</v>
      </c>
      <c r="O37" s="118">
        <f>MAX(OHPMAX,Programa!O32/(1.0278-(0.0278*5)))</f>
        <v>135.0135014</v>
      </c>
      <c r="P37" s="119">
        <f>MAX(OHPMAX,Programa!P32/(1.0278-(0.0278*5)))</f>
        <v>140.6390639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46"/>
      <c r="C38" s="47"/>
      <c r="D38" s="96" t="s">
        <v>26</v>
      </c>
      <c r="E38" s="97">
        <f t="shared" ref="E38:P38" si="7">E18</f>
        <v>1250</v>
      </c>
      <c r="F38" s="97">
        <f t="shared" si="7"/>
        <v>1250</v>
      </c>
      <c r="G38" s="97">
        <f t="shared" si="7"/>
        <v>1325</v>
      </c>
      <c r="H38" s="97">
        <f t="shared" si="7"/>
        <v>1325</v>
      </c>
      <c r="I38" s="97">
        <f t="shared" si="7"/>
        <v>1375</v>
      </c>
      <c r="J38" s="97">
        <f t="shared" si="7"/>
        <v>1375</v>
      </c>
      <c r="K38" s="97">
        <f t="shared" si="7"/>
        <v>1450</v>
      </c>
      <c r="L38" s="97">
        <f t="shared" si="7"/>
        <v>1500</v>
      </c>
      <c r="M38" s="97">
        <f t="shared" si="7"/>
        <v>1500</v>
      </c>
      <c r="N38" s="97">
        <f t="shared" si="7"/>
        <v>1575</v>
      </c>
      <c r="O38" s="97">
        <f t="shared" si="7"/>
        <v>1575</v>
      </c>
      <c r="P38" s="106">
        <f t="shared" si="7"/>
        <v>1650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46"/>
      <c r="C39" s="51"/>
      <c r="D39" s="99" t="s">
        <v>27</v>
      </c>
      <c r="E39" s="100">
        <f t="shared" ref="E39:P39" si="8">E19</f>
        <v>1550</v>
      </c>
      <c r="F39" s="100">
        <f t="shared" si="8"/>
        <v>1550</v>
      </c>
      <c r="G39" s="100">
        <f t="shared" si="8"/>
        <v>1650</v>
      </c>
      <c r="H39" s="100">
        <f t="shared" si="8"/>
        <v>1650</v>
      </c>
      <c r="I39" s="100">
        <f t="shared" si="8"/>
        <v>1700</v>
      </c>
      <c r="J39" s="100">
        <f t="shared" si="8"/>
        <v>1700</v>
      </c>
      <c r="K39" s="100">
        <f t="shared" si="8"/>
        <v>1800</v>
      </c>
      <c r="L39" s="100">
        <f t="shared" si="8"/>
        <v>1850</v>
      </c>
      <c r="M39" s="100">
        <f t="shared" si="8"/>
        <v>1850</v>
      </c>
      <c r="N39" s="100">
        <f t="shared" si="8"/>
        <v>1950</v>
      </c>
      <c r="O39" s="100">
        <f t="shared" si="8"/>
        <v>1950</v>
      </c>
      <c r="P39" s="101">
        <f t="shared" si="8"/>
        <v>2050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46"/>
      <c r="C40" s="55" t="s">
        <v>14</v>
      </c>
      <c r="D40" s="117" t="s">
        <v>7</v>
      </c>
      <c r="E40" s="120">
        <f>MAX(DLMAX,Programa!E36/(1.0278-(0.0278*5)))</f>
        <v>112.5112511</v>
      </c>
      <c r="F40" s="120">
        <f>MAX(DLMAX,Programa!F36/(1.0278-(0.0278*5)))</f>
        <v>112.5112511</v>
      </c>
      <c r="G40" s="120">
        <f>MAX(DLMAX,Programa!G36/(1.0278-(0.0278*5)))</f>
        <v>112.5112511</v>
      </c>
      <c r="H40" s="120">
        <f>MAX(DLMAX,Programa!H36/(1.0278-(0.0278*5)))</f>
        <v>112.5112511</v>
      </c>
      <c r="I40" s="120">
        <f>MAX(DLMAX,Programa!I36/(1.0278-(0.0278*5)))</f>
        <v>118.1368137</v>
      </c>
      <c r="J40" s="120">
        <f>MAX(DLMAX,Programa!J36/(1.0278-(0.0278*5)))</f>
        <v>118.1368137</v>
      </c>
      <c r="K40" s="120">
        <f>MAX(DLMAX,Programa!K36/(1.0278-(0.0278*5)))</f>
        <v>123.7623762</v>
      </c>
      <c r="L40" s="120">
        <f>MAX(DLMAX,Programa!L36/(1.0278-(0.0278*5)))</f>
        <v>129.3879388</v>
      </c>
      <c r="M40" s="120">
        <f>MAX(DLMAX,Programa!M36/(1.0278-(0.0278*5)))</f>
        <v>129.3879388</v>
      </c>
      <c r="N40" s="120">
        <f>MAX(DLMAX,Programa!N36/(1.0278-(0.0278*5)))</f>
        <v>135.0135014</v>
      </c>
      <c r="O40" s="120">
        <f>MAX(DLMAX,Programa!O36/(1.0278-(0.0278*5)))</f>
        <v>135.0135014</v>
      </c>
      <c r="P40" s="121">
        <f>MAX(DLMAX,Programa!P36/(1.0278-(0.0278*5)))</f>
        <v>140.6390639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46"/>
      <c r="C41" s="47"/>
      <c r="D41" s="96" t="s">
        <v>26</v>
      </c>
      <c r="E41" s="102">
        <f t="shared" ref="E41:P41" si="9">E20</f>
        <v>1250</v>
      </c>
      <c r="F41" s="102">
        <f t="shared" si="9"/>
        <v>1250</v>
      </c>
      <c r="G41" s="102">
        <f t="shared" si="9"/>
        <v>1325</v>
      </c>
      <c r="H41" s="102">
        <f t="shared" si="9"/>
        <v>1325</v>
      </c>
      <c r="I41" s="102">
        <f t="shared" si="9"/>
        <v>1375</v>
      </c>
      <c r="J41" s="102">
        <f t="shared" si="9"/>
        <v>1375</v>
      </c>
      <c r="K41" s="102">
        <f t="shared" si="9"/>
        <v>1450</v>
      </c>
      <c r="L41" s="102">
        <f t="shared" si="9"/>
        <v>1500</v>
      </c>
      <c r="M41" s="102">
        <f t="shared" si="9"/>
        <v>1500</v>
      </c>
      <c r="N41" s="102">
        <f t="shared" si="9"/>
        <v>1575</v>
      </c>
      <c r="O41" s="102">
        <f t="shared" si="9"/>
        <v>1575</v>
      </c>
      <c r="P41" s="103">
        <f t="shared" si="9"/>
        <v>1650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46"/>
      <c r="C42" s="47"/>
      <c r="D42" s="96" t="s">
        <v>27</v>
      </c>
      <c r="E42" s="102">
        <f t="shared" ref="E42:P42" si="10">E21</f>
        <v>1550</v>
      </c>
      <c r="F42" s="102">
        <f t="shared" si="10"/>
        <v>1550</v>
      </c>
      <c r="G42" s="102">
        <f t="shared" si="10"/>
        <v>1650</v>
      </c>
      <c r="H42" s="102">
        <f t="shared" si="10"/>
        <v>1650</v>
      </c>
      <c r="I42" s="102">
        <f t="shared" si="10"/>
        <v>1700</v>
      </c>
      <c r="J42" s="102">
        <f t="shared" si="10"/>
        <v>1700</v>
      </c>
      <c r="K42" s="102">
        <f t="shared" si="10"/>
        <v>1800</v>
      </c>
      <c r="L42" s="102">
        <f t="shared" si="10"/>
        <v>1850</v>
      </c>
      <c r="M42" s="102">
        <f t="shared" si="10"/>
        <v>1850</v>
      </c>
      <c r="N42" s="102">
        <f t="shared" si="10"/>
        <v>1950</v>
      </c>
      <c r="O42" s="102">
        <f t="shared" si="10"/>
        <v>1950</v>
      </c>
      <c r="P42" s="103">
        <f t="shared" si="10"/>
        <v>2050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46"/>
      <c r="C43" s="122" t="s">
        <v>27</v>
      </c>
      <c r="D43" s="123" t="s">
        <v>26</v>
      </c>
      <c r="E43" s="124">
        <f t="shared" ref="E43:P43" si="11">E29+E32+E35+E38+E41</f>
        <v>11810</v>
      </c>
      <c r="F43" s="124">
        <f t="shared" si="11"/>
        <v>11855</v>
      </c>
      <c r="G43" s="124">
        <f t="shared" si="11"/>
        <v>12550</v>
      </c>
      <c r="H43" s="124">
        <f t="shared" si="11"/>
        <v>12595</v>
      </c>
      <c r="I43" s="124">
        <f t="shared" si="11"/>
        <v>13090</v>
      </c>
      <c r="J43" s="124">
        <f t="shared" si="11"/>
        <v>13135</v>
      </c>
      <c r="K43" s="124">
        <f t="shared" si="11"/>
        <v>13875</v>
      </c>
      <c r="L43" s="124">
        <f t="shared" si="11"/>
        <v>14200</v>
      </c>
      <c r="M43" s="124">
        <f t="shared" si="11"/>
        <v>14245</v>
      </c>
      <c r="N43" s="124">
        <f t="shared" si="11"/>
        <v>14940</v>
      </c>
      <c r="O43" s="124">
        <f t="shared" si="11"/>
        <v>14985</v>
      </c>
      <c r="P43" s="125">
        <f t="shared" si="11"/>
        <v>15725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64"/>
      <c r="C44" s="65"/>
      <c r="D44" s="107" t="s">
        <v>27</v>
      </c>
      <c r="E44" s="108">
        <f t="shared" ref="E44:P44" si="12">E30+E33+E36+E39+E42</f>
        <v>16260</v>
      </c>
      <c r="F44" s="108">
        <f t="shared" si="12"/>
        <v>16305</v>
      </c>
      <c r="G44" s="108">
        <f t="shared" si="12"/>
        <v>17225</v>
      </c>
      <c r="H44" s="108">
        <f t="shared" si="12"/>
        <v>17270</v>
      </c>
      <c r="I44" s="108">
        <f t="shared" si="12"/>
        <v>17940</v>
      </c>
      <c r="J44" s="108">
        <f t="shared" si="12"/>
        <v>17985</v>
      </c>
      <c r="K44" s="108">
        <f t="shared" si="12"/>
        <v>18950</v>
      </c>
      <c r="L44" s="108">
        <f t="shared" si="12"/>
        <v>19450</v>
      </c>
      <c r="M44" s="108">
        <f t="shared" si="12"/>
        <v>19495</v>
      </c>
      <c r="N44" s="108">
        <f t="shared" si="12"/>
        <v>20415</v>
      </c>
      <c r="O44" s="108">
        <f t="shared" si="12"/>
        <v>20460</v>
      </c>
      <c r="P44" s="109">
        <f t="shared" si="12"/>
        <v>21600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8:P8"/>
    <mergeCell ref="B10:B15"/>
    <mergeCell ref="C10:C11"/>
    <mergeCell ref="C12:C13"/>
    <mergeCell ref="C14:C15"/>
    <mergeCell ref="B16:B21"/>
    <mergeCell ref="C16:C17"/>
    <mergeCell ref="C28:C30"/>
    <mergeCell ref="C31:C33"/>
    <mergeCell ref="C34:C36"/>
    <mergeCell ref="C37:C39"/>
    <mergeCell ref="C40:C42"/>
    <mergeCell ref="C43:C44"/>
    <mergeCell ref="C18:C19"/>
    <mergeCell ref="C20:C21"/>
    <mergeCell ref="B22:B27"/>
    <mergeCell ref="C22:C23"/>
    <mergeCell ref="C24:C25"/>
    <mergeCell ref="C26:C27"/>
    <mergeCell ref="B29:B44"/>
  </mergeCells>
  <drawing r:id="rId1"/>
</worksheet>
</file>