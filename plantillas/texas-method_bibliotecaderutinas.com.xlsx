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 defaultThemeVersion="124226"/>
  <xr:revisionPtr revIDLastSave="0" documentId="13_ncr:1_{69876A3C-C3C0-4B70-B601-C2A9A5E83FC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utina Método Texas" sheetId="1" r:id="rId1"/>
  </sheets>
  <definedNames>
    <definedName name="_xlnm.Print_Area" localSheetId="0">'Rutina Método Texas'!$B$12:$O$83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0" i="1" l="1"/>
  <c r="M9" i="1" l="1"/>
  <c r="J9" i="1" s="1"/>
  <c r="M8" i="1"/>
  <c r="M7" i="1"/>
  <c r="J7" i="1" s="1"/>
  <c r="M6" i="1"/>
  <c r="J6" i="1" s="1"/>
  <c r="M5" i="1"/>
  <c r="J5" i="1" s="1"/>
  <c r="J8" i="1"/>
  <c r="L8" i="1" s="1"/>
  <c r="H43" i="1"/>
  <c r="H40" i="1" s="1"/>
  <c r="F37" i="1"/>
  <c r="I37" i="1" s="1"/>
  <c r="G32" i="1"/>
  <c r="I32" i="1" s="1"/>
  <c r="F26" i="1"/>
  <c r="F20" i="1"/>
  <c r="G20" i="1" s="1"/>
  <c r="H41" i="1"/>
  <c r="F25" i="1"/>
  <c r="G29" i="1"/>
  <c r="G31" i="1"/>
  <c r="F23" i="1" l="1"/>
  <c r="L26" i="1"/>
  <c r="L24" i="1" s="1"/>
  <c r="H42" i="1"/>
  <c r="K43" i="1"/>
  <c r="K41" i="1" s="1"/>
  <c r="F36" i="1"/>
  <c r="F17" i="1"/>
  <c r="L37" i="1"/>
  <c r="L36" i="1" s="1"/>
  <c r="I34" i="1"/>
  <c r="I35" i="1"/>
  <c r="F35" i="1"/>
  <c r="F34" i="1"/>
  <c r="I29" i="1"/>
  <c r="F68" i="1"/>
  <c r="I30" i="1"/>
  <c r="I31" i="1"/>
  <c r="M32" i="1"/>
  <c r="M31" i="1" s="1"/>
  <c r="G30" i="1"/>
  <c r="L25" i="1"/>
  <c r="F24" i="1"/>
  <c r="K6" i="1"/>
  <c r="F19" i="1"/>
  <c r="I20" i="1"/>
  <c r="J20" i="1" s="1"/>
  <c r="J19" i="1" s="1"/>
  <c r="F18" i="1"/>
  <c r="H20" i="1"/>
  <c r="K20" i="1" s="1"/>
  <c r="K19" i="1" s="1"/>
  <c r="I36" i="1"/>
  <c r="L6" i="1"/>
  <c r="K8" i="1"/>
  <c r="K32" i="1"/>
  <c r="K29" i="1" s="1"/>
  <c r="G18" i="1"/>
  <c r="G19" i="1"/>
  <c r="G17" i="1"/>
  <c r="L7" i="1"/>
  <c r="K7" i="1"/>
  <c r="K5" i="1"/>
  <c r="L5" i="1"/>
  <c r="L9" i="1"/>
  <c r="K9" i="1"/>
  <c r="I62" i="1"/>
  <c r="G62" i="1"/>
  <c r="H26" i="1"/>
  <c r="J26" i="1"/>
  <c r="N26" i="1"/>
  <c r="L23" i="1"/>
  <c r="M30" i="1" l="1"/>
  <c r="F46" i="1"/>
  <c r="M29" i="1"/>
  <c r="K40" i="1"/>
  <c r="K42" i="1"/>
  <c r="N43" i="1"/>
  <c r="N40" i="1" s="1"/>
  <c r="L34" i="1"/>
  <c r="L35" i="1"/>
  <c r="N41" i="1"/>
  <c r="J17" i="1"/>
  <c r="J18" i="1"/>
  <c r="I19" i="1"/>
  <c r="L20" i="1"/>
  <c r="L17" i="1" s="1"/>
  <c r="I17" i="1"/>
  <c r="I46" i="1" s="1"/>
  <c r="K17" i="1"/>
  <c r="F73" i="1"/>
  <c r="F71" i="1" s="1"/>
  <c r="H68" i="1"/>
  <c r="J68" i="1"/>
  <c r="F65" i="1"/>
  <c r="F66" i="1"/>
  <c r="L68" i="1"/>
  <c r="F67" i="1"/>
  <c r="H17" i="1"/>
  <c r="N20" i="1"/>
  <c r="F56" i="1"/>
  <c r="G56" i="1" s="1"/>
  <c r="H18" i="1"/>
  <c r="K18" i="1"/>
  <c r="H19" i="1"/>
  <c r="I18" i="1"/>
  <c r="G46" i="1"/>
  <c r="K31" i="1"/>
  <c r="K30" i="1"/>
  <c r="G60" i="1"/>
  <c r="G59" i="1"/>
  <c r="G61" i="1"/>
  <c r="J25" i="1"/>
  <c r="J24" i="1"/>
  <c r="J23" i="1"/>
  <c r="N24" i="1"/>
  <c r="N23" i="1"/>
  <c r="N25" i="1"/>
  <c r="H24" i="1"/>
  <c r="H23" i="1"/>
  <c r="H25" i="1"/>
  <c r="K62" i="1"/>
  <c r="I61" i="1"/>
  <c r="M62" i="1"/>
  <c r="I60" i="1"/>
  <c r="I59" i="1"/>
  <c r="M20" i="1" l="1"/>
  <c r="M19" i="1" s="1"/>
  <c r="N42" i="1"/>
  <c r="H79" i="1"/>
  <c r="F70" i="1"/>
  <c r="F72" i="1"/>
  <c r="K46" i="1"/>
  <c r="L18" i="1"/>
  <c r="L19" i="1"/>
  <c r="I56" i="1"/>
  <c r="F53" i="1"/>
  <c r="M18" i="1"/>
  <c r="F55" i="1"/>
  <c r="I73" i="1"/>
  <c r="I72" i="1" s="1"/>
  <c r="J66" i="1"/>
  <c r="J67" i="1"/>
  <c r="J65" i="1"/>
  <c r="L67" i="1"/>
  <c r="L66" i="1"/>
  <c r="N68" i="1"/>
  <c r="L65" i="1"/>
  <c r="H65" i="1"/>
  <c r="H66" i="1"/>
  <c r="H67" i="1"/>
  <c r="M17" i="1"/>
  <c r="F54" i="1"/>
  <c r="N18" i="1"/>
  <c r="N19" i="1"/>
  <c r="N17" i="1"/>
  <c r="H56" i="1"/>
  <c r="I71" i="1"/>
  <c r="J46" i="1"/>
  <c r="J56" i="1"/>
  <c r="L56" i="1"/>
  <c r="I54" i="1"/>
  <c r="I55" i="1"/>
  <c r="I53" i="1"/>
  <c r="H46" i="1"/>
  <c r="M61" i="1"/>
  <c r="M59" i="1"/>
  <c r="M60" i="1"/>
  <c r="K60" i="1"/>
  <c r="K61" i="1"/>
  <c r="K59" i="1"/>
  <c r="G53" i="1"/>
  <c r="G54" i="1"/>
  <c r="G55" i="1"/>
  <c r="M46" i="1" l="1"/>
  <c r="L46" i="1"/>
  <c r="H76" i="1"/>
  <c r="K79" i="1"/>
  <c r="H77" i="1"/>
  <c r="H78" i="1"/>
  <c r="L73" i="1"/>
  <c r="L71" i="1" s="1"/>
  <c r="F82" i="1"/>
  <c r="N46" i="1"/>
  <c r="I70" i="1"/>
  <c r="N66" i="1"/>
  <c r="N65" i="1"/>
  <c r="N67" i="1"/>
  <c r="H54" i="1"/>
  <c r="H55" i="1"/>
  <c r="H53" i="1"/>
  <c r="K56" i="1"/>
  <c r="M56" i="1"/>
  <c r="L54" i="1"/>
  <c r="L55" i="1"/>
  <c r="L53" i="1"/>
  <c r="G82" i="1"/>
  <c r="I82" i="1"/>
  <c r="J55" i="1"/>
  <c r="J54" i="1"/>
  <c r="J53" i="1"/>
  <c r="L70" i="1" l="1"/>
  <c r="L82" i="1" s="1"/>
  <c r="L72" i="1"/>
  <c r="K77" i="1"/>
  <c r="K76" i="1"/>
  <c r="N79" i="1"/>
  <c r="K78" i="1"/>
  <c r="H82" i="1"/>
  <c r="K54" i="1"/>
  <c r="K55" i="1"/>
  <c r="K53" i="1"/>
  <c r="N56" i="1"/>
  <c r="J82" i="1"/>
  <c r="M54" i="1"/>
  <c r="M55" i="1"/>
  <c r="M53" i="1"/>
  <c r="K82" i="1" l="1"/>
  <c r="N76" i="1"/>
  <c r="N77" i="1"/>
  <c r="N78" i="1"/>
  <c r="N54" i="1"/>
  <c r="N55" i="1"/>
  <c r="N53" i="1"/>
  <c r="M82" i="1"/>
  <c r="N82" i="1" l="1"/>
</calcChain>
</file>

<file path=xl/sharedStrings.xml><?xml version="1.0" encoding="utf-8"?>
<sst xmlns="http://schemas.openxmlformats.org/spreadsheetml/2006/main" count="195" uniqueCount="44">
  <si>
    <t>Clean</t>
  </si>
  <si>
    <t>`</t>
  </si>
  <si>
    <t>5x5</t>
  </si>
  <si>
    <t>2x5</t>
  </si>
  <si>
    <t>1x5</t>
  </si>
  <si>
    <t>1x3</t>
  </si>
  <si>
    <t>1x2</t>
  </si>
  <si>
    <t>3x5</t>
  </si>
  <si>
    <t>5x3</t>
  </si>
  <si>
    <t>5x10</t>
  </si>
  <si>
    <t>1RM</t>
  </si>
  <si>
    <t>Ejercicio</t>
  </si>
  <si>
    <t>Sentadilla</t>
  </si>
  <si>
    <t>Press banca</t>
  </si>
  <si>
    <t>Press militar</t>
  </si>
  <si>
    <t>Peso muerto</t>
  </si>
  <si>
    <t>Incremento semanal</t>
  </si>
  <si>
    <t>Series x Reps</t>
  </si>
  <si>
    <t>A</t>
  </si>
  <si>
    <t>B</t>
  </si>
  <si>
    <t>C</t>
  </si>
  <si>
    <t>Volumen</t>
  </si>
  <si>
    <t>Ligero</t>
  </si>
  <si>
    <t>Pesado</t>
  </si>
  <si>
    <t>Aproximaciones</t>
  </si>
  <si>
    <t>Hip Thrust</t>
  </si>
  <si>
    <t>Dominadas</t>
  </si>
  <si>
    <t>Series efectivas</t>
  </si>
  <si>
    <t>Tonelaje (Volumen)</t>
  </si>
  <si>
    <t>3xFallo</t>
  </si>
  <si>
    <t>Semana 1</t>
  </si>
  <si>
    <t>Semana 2</t>
  </si>
  <si>
    <t>Semana 3</t>
  </si>
  <si>
    <t>5RM inicial</t>
  </si>
  <si>
    <t>Estimaciones a conseguir</t>
  </si>
  <si>
    <t>Incremento de peso más pequeño entre los ejercicios:</t>
  </si>
  <si>
    <t>Ejercicios</t>
  </si>
  <si>
    <t>RUTINA MÉTODO TEXAS</t>
  </si>
  <si>
    <r>
      <t xml:space="preserve">1. Introduce el peso máximo utilizado (kg o lbs.) para realizar 5 repeticiones en las </t>
    </r>
    <r>
      <rPr>
        <b/>
        <sz val="10.5"/>
        <rFont val="Calibri"/>
        <family val="2"/>
      </rPr>
      <t>celdas amarillas</t>
    </r>
    <r>
      <rPr>
        <sz val="10.5"/>
        <rFont val="Calibri"/>
        <family val="2"/>
      </rPr>
      <t xml:space="preserve">.
2. Introduce el Factor de 5RM en las </t>
    </r>
    <r>
      <rPr>
        <b/>
        <sz val="10.5"/>
        <rFont val="Calibri"/>
        <family val="2"/>
      </rPr>
      <t>celdas azules</t>
    </r>
    <r>
      <rPr>
        <sz val="10.5"/>
        <rFont val="Calibri"/>
        <family val="2"/>
      </rPr>
      <t xml:space="preserve">.  El Factor de 5RM es el % de tu 5x5 PR inicial con el que querrías intentar un 5RM histórico.
3. Introduce el incremento de peso semanal en barra  (kg o lbs.) en las </t>
    </r>
    <r>
      <rPr>
        <b/>
        <sz val="10.5"/>
        <rFont val="Calibri"/>
        <family val="2"/>
      </rPr>
      <t>celdas moradas</t>
    </r>
    <r>
      <rPr>
        <sz val="10.5"/>
        <rFont val="Calibri"/>
        <family val="2"/>
      </rPr>
      <t xml:space="preserve">.
4. Cambia los números de las </t>
    </r>
    <r>
      <rPr>
        <b/>
        <sz val="10.5"/>
        <rFont val="Calibri"/>
        <family val="2"/>
      </rPr>
      <t>celdas grises</t>
    </r>
    <r>
      <rPr>
        <sz val="10.5"/>
        <rFont val="Calibri"/>
        <family val="2"/>
      </rPr>
      <t xml:space="preserve"> que hay en las primeras series de aproximación de cada día para que el peso utilizado en estas  (kg o lbs.) encajen con tu RM deseado ese día.</t>
    </r>
  </si>
  <si>
    <t>5RM Factor</t>
  </si>
  <si>
    <t>Semana 5</t>
  </si>
  <si>
    <t>Semana 4</t>
  </si>
  <si>
    <t>Semana 6</t>
  </si>
  <si>
    <t>WWW.BIBLIOTECADERUTINAS.COM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</si>
</sst>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&quot;RM&quot;"/>
    <numFmt numFmtId="165" formatCode="&quot;#&quot;##"/>
    <numFmt numFmtId="166" formatCode="0.0%"/>
  </numFmts>
  <fonts count="18" x14ac:knownFonts="1">
    <font>
      <sz val="10"/>
      <name val="Arial"/>
      <family val="2"/>
    </font>
    <font>
      <sz val="10.5"/>
      <name val="Calibri"/>
      <family val="2"/>
    </font>
    <font>
      <b/>
      <sz val="10.5"/>
      <name val="Calibri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.5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3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22"/>
      </patternFill>
    </fill>
    <fill>
      <patternFill patternType="solid">
        <fgColor theme="6" tint="0.59999389629810485"/>
        <bgColor indexed="55"/>
      </patternFill>
    </fill>
    <fill>
      <patternFill patternType="solid">
        <fgColor theme="7" tint="0.59999389629810485"/>
        <bgColor indexed="34"/>
      </patternFill>
    </fill>
    <fill>
      <patternFill patternType="solid">
        <fgColor theme="2" tint="-0.249977111117893"/>
        <bgColor indexed="3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DotDot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" fontId="5" fillId="0" borderId="2" xfId="0" applyNumberFormat="1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/>
    </xf>
    <xf numFmtId="0" fontId="5" fillId="0" borderId="19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  <protection locked="0"/>
    </xf>
    <xf numFmtId="0" fontId="7" fillId="0" borderId="3" xfId="0" applyNumberFormat="1" applyFont="1" applyBorder="1" applyAlignment="1" applyProtection="1">
      <alignment horizontal="center" vertical="center"/>
    </xf>
    <xf numFmtId="0" fontId="7" fillId="0" borderId="4" xfId="0" applyNumberFormat="1" applyFont="1" applyBorder="1" applyAlignment="1" applyProtection="1">
      <alignment horizontal="center" vertical="center"/>
    </xf>
    <xf numFmtId="0" fontId="7" fillId="0" borderId="21" xfId="0" applyNumberFormat="1" applyFont="1" applyBorder="1" applyAlignment="1" applyProtection="1">
      <alignment horizontal="center" vertical="center"/>
    </xf>
    <xf numFmtId="0" fontId="7" fillId="0" borderId="22" xfId="0" applyNumberFormat="1" applyFont="1" applyBorder="1" applyAlignment="1" applyProtection="1">
      <alignment horizontal="center" vertical="center"/>
    </xf>
    <xf numFmtId="0" fontId="4" fillId="5" borderId="9" xfId="0" applyFont="1" applyFill="1" applyBorder="1" applyAlignment="1" applyProtection="1">
      <alignment horizontal="center" vertical="center"/>
      <protection locked="0"/>
    </xf>
    <xf numFmtId="164" fontId="5" fillId="5" borderId="11" xfId="0" applyNumberFormat="1" applyFont="1" applyFill="1" applyBorder="1" applyAlignment="1" applyProtection="1">
      <alignment horizontal="center" vertical="center"/>
      <protection locked="0"/>
    </xf>
    <xf numFmtId="0" fontId="5" fillId="5" borderId="23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  <xf numFmtId="0" fontId="7" fillId="0" borderId="30" xfId="0" applyNumberFormat="1" applyFont="1" applyBorder="1" applyAlignment="1" applyProtection="1">
      <alignment horizontal="center" vertical="center"/>
    </xf>
    <xf numFmtId="0" fontId="7" fillId="0" borderId="31" xfId="0" applyNumberFormat="1" applyFont="1" applyBorder="1" applyAlignment="1" applyProtection="1">
      <alignment horizontal="center" vertical="center"/>
    </xf>
    <xf numFmtId="0" fontId="7" fillId="0" borderId="32" xfId="0" applyNumberFormat="1" applyFont="1" applyBorder="1" applyAlignment="1" applyProtection="1">
      <alignment horizontal="center" vertical="center"/>
    </xf>
    <xf numFmtId="0" fontId="5" fillId="5" borderId="33" xfId="0" applyFont="1" applyFill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</xf>
    <xf numFmtId="0" fontId="5" fillId="0" borderId="35" xfId="0" applyFont="1" applyBorder="1" applyAlignment="1" applyProtection="1">
      <alignment horizontal="center" vertical="center"/>
    </xf>
    <xf numFmtId="0" fontId="5" fillId="0" borderId="36" xfId="0" applyFont="1" applyBorder="1" applyAlignment="1" applyProtection="1">
      <alignment horizontal="center" vertical="center"/>
    </xf>
    <xf numFmtId="0" fontId="5" fillId="0" borderId="37" xfId="0" applyFont="1" applyBorder="1" applyAlignment="1" applyProtection="1">
      <alignment horizontal="center" vertical="center"/>
    </xf>
    <xf numFmtId="0" fontId="5" fillId="0" borderId="38" xfId="0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7" fillId="0" borderId="40" xfId="0" applyNumberFormat="1" applyFont="1" applyBorder="1" applyAlignment="1" applyProtection="1">
      <alignment horizontal="center" vertical="center"/>
    </xf>
    <xf numFmtId="0" fontId="7" fillId="0" borderId="41" xfId="0" applyNumberFormat="1" applyFont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44" xfId="0" applyNumberFormat="1" applyBorder="1" applyAlignment="1" applyProtection="1">
      <alignment vertical="center"/>
    </xf>
    <xf numFmtId="0" fontId="0" fillId="0" borderId="45" xfId="0" applyNumberFormat="1" applyBorder="1" applyAlignment="1" applyProtection="1">
      <alignment vertical="center"/>
    </xf>
    <xf numFmtId="0" fontId="8" fillId="0" borderId="4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8" fillId="0" borderId="48" xfId="0" applyFont="1" applyBorder="1" applyAlignment="1" applyProtection="1">
      <alignment horizontal="center" vertical="center"/>
      <protection locked="0"/>
    </xf>
    <xf numFmtId="0" fontId="8" fillId="0" borderId="49" xfId="0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7" fillId="0" borderId="48" xfId="0" applyFont="1" applyBorder="1" applyAlignment="1" applyProtection="1">
      <alignment horizontal="center" vertical="center"/>
      <protection locked="0"/>
    </xf>
    <xf numFmtId="0" fontId="7" fillId="0" borderId="49" xfId="0" applyFont="1" applyBorder="1" applyAlignment="1" applyProtection="1">
      <alignment horizontal="center" vertical="center"/>
      <protection locked="0"/>
    </xf>
    <xf numFmtId="3" fontId="5" fillId="3" borderId="31" xfId="0" applyNumberFormat="1" applyFont="1" applyFill="1" applyBorder="1" applyAlignment="1" applyProtection="1">
      <alignment horizontal="center" vertical="center"/>
    </xf>
    <xf numFmtId="3" fontId="5" fillId="3" borderId="39" xfId="0" applyNumberFormat="1" applyFont="1" applyFill="1" applyBorder="1" applyAlignment="1" applyProtection="1">
      <alignment horizontal="center" vertical="center"/>
    </xf>
    <xf numFmtId="3" fontId="5" fillId="3" borderId="40" xfId="0" applyNumberFormat="1" applyFont="1" applyFill="1" applyBorder="1" applyAlignment="1" applyProtection="1">
      <alignment horizontal="center" vertical="center"/>
    </xf>
    <xf numFmtId="0" fontId="0" fillId="0" borderId="51" xfId="0" applyBorder="1" applyProtection="1">
      <protection locked="0"/>
    </xf>
    <xf numFmtId="0" fontId="0" fillId="0" borderId="51" xfId="0" applyBorder="1" applyAlignment="1" applyProtection="1">
      <alignment horizontal="center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6" borderId="18" xfId="0" applyFont="1" applyFill="1" applyBorder="1" applyAlignment="1" applyProtection="1">
      <alignment horizontal="center" vertical="center"/>
      <protection locked="0"/>
    </xf>
    <xf numFmtId="0" fontId="5" fillId="6" borderId="21" xfId="0" applyFont="1" applyFill="1" applyBorder="1" applyAlignment="1" applyProtection="1">
      <alignment horizontal="center" vertical="center"/>
      <protection locked="0"/>
    </xf>
    <xf numFmtId="3" fontId="5" fillId="3" borderId="30" xfId="0" applyNumberFormat="1" applyFont="1" applyFill="1" applyBorder="1" applyAlignment="1" applyProtection="1">
      <alignment horizontal="center" vertical="center"/>
    </xf>
    <xf numFmtId="1" fontId="5" fillId="0" borderId="54" xfId="0" applyNumberFormat="1" applyFont="1" applyBorder="1" applyAlignment="1" applyProtection="1">
      <alignment horizontal="center" vertical="center"/>
    </xf>
    <xf numFmtId="164" fontId="4" fillId="0" borderId="34" xfId="0" applyNumberFormat="1" applyFont="1" applyBorder="1" applyAlignment="1" applyProtection="1">
      <alignment horizontal="center" wrapText="1"/>
      <protection locked="0"/>
    </xf>
    <xf numFmtId="164" fontId="4" fillId="0" borderId="34" xfId="0" applyNumberFormat="1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Border="1" applyAlignment="1" applyProtection="1">
      <alignment horizontal="center" vertical="center"/>
    </xf>
    <xf numFmtId="0" fontId="5" fillId="6" borderId="11" xfId="0" applyFont="1" applyFill="1" applyBorder="1" applyAlignment="1" applyProtection="1">
      <alignment horizontal="center" vertical="center"/>
      <protection locked="0"/>
    </xf>
    <xf numFmtId="1" fontId="5" fillId="0" borderId="39" xfId="0" applyNumberFormat="1" applyFont="1" applyBorder="1" applyAlignment="1" applyProtection="1">
      <alignment horizontal="center" vertical="center"/>
    </xf>
    <xf numFmtId="0" fontId="4" fillId="5" borderId="42" xfId="0" applyFont="1" applyFill="1" applyBorder="1" applyAlignment="1" applyProtection="1">
      <alignment horizontal="center" vertical="center"/>
      <protection locked="0"/>
    </xf>
    <xf numFmtId="0" fontId="5" fillId="5" borderId="53" xfId="0" applyFont="1" applyFill="1" applyBorder="1" applyAlignment="1" applyProtection="1">
      <alignment horizontal="center" vertical="center"/>
      <protection locked="0"/>
    </xf>
    <xf numFmtId="0" fontId="5" fillId="7" borderId="55" xfId="0" applyFont="1" applyFill="1" applyBorder="1" applyAlignment="1" applyProtection="1">
      <alignment horizontal="center" vertical="center"/>
    </xf>
    <xf numFmtId="0" fontId="5" fillId="9" borderId="1" xfId="0" applyFont="1" applyFill="1" applyBorder="1" applyAlignment="1" applyProtection="1">
      <alignment horizontal="center" vertical="center"/>
    </xf>
    <xf numFmtId="0" fontId="5" fillId="9" borderId="2" xfId="0" applyFont="1" applyFill="1" applyBorder="1" applyAlignment="1" applyProtection="1">
      <alignment horizontal="center" vertical="center"/>
    </xf>
    <xf numFmtId="0" fontId="5" fillId="9" borderId="18" xfId="0" applyFont="1" applyFill="1" applyBorder="1" applyAlignment="1" applyProtection="1">
      <alignment horizontal="center" vertical="center"/>
    </xf>
    <xf numFmtId="0" fontId="5" fillId="9" borderId="19" xfId="0" applyFont="1" applyFill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  <protection locked="0"/>
    </xf>
    <xf numFmtId="16" fontId="14" fillId="3" borderId="9" xfId="0" applyNumberFormat="1" applyFont="1" applyFill="1" applyBorder="1" applyAlignment="1" applyProtection="1">
      <alignment horizontal="center" vertical="center"/>
      <protection locked="0"/>
    </xf>
    <xf numFmtId="16" fontId="14" fillId="3" borderId="10" xfId="0" applyNumberFormat="1" applyFont="1" applyFill="1" applyBorder="1" applyAlignment="1" applyProtection="1">
      <alignment horizontal="center" vertical="center"/>
      <protection locked="0"/>
    </xf>
    <xf numFmtId="16" fontId="14" fillId="3" borderId="11" xfId="0" applyNumberFormat="1" applyFont="1" applyFill="1" applyBorder="1" applyAlignment="1" applyProtection="1">
      <alignment horizontal="center" vertical="center"/>
      <protection locked="0"/>
    </xf>
    <xf numFmtId="165" fontId="14" fillId="4" borderId="14" xfId="0" applyNumberFormat="1" applyFont="1" applyFill="1" applyBorder="1" applyAlignment="1" applyProtection="1">
      <alignment horizontal="center" vertical="center"/>
      <protection locked="0"/>
    </xf>
    <xf numFmtId="165" fontId="14" fillId="4" borderId="15" xfId="0" applyNumberFormat="1" applyFont="1" applyFill="1" applyBorder="1" applyAlignment="1" applyProtection="1">
      <alignment horizontal="center" vertical="center"/>
      <protection locked="0"/>
    </xf>
    <xf numFmtId="165" fontId="14" fillId="4" borderId="16" xfId="0" applyNumberFormat="1" applyFont="1" applyFill="1" applyBorder="1" applyAlignment="1" applyProtection="1">
      <alignment horizontal="center" vertical="center"/>
      <protection locked="0"/>
    </xf>
    <xf numFmtId="16" fontId="14" fillId="3" borderId="67" xfId="0" applyNumberFormat="1" applyFont="1" applyFill="1" applyBorder="1" applyAlignment="1" applyProtection="1">
      <alignment horizontal="center" vertical="center"/>
      <protection locked="0"/>
    </xf>
    <xf numFmtId="16" fontId="14" fillId="3" borderId="54" xfId="0" applyNumberFormat="1" applyFont="1" applyFill="1" applyBorder="1" applyAlignment="1" applyProtection="1">
      <alignment horizontal="center" vertical="center"/>
      <protection locked="0"/>
    </xf>
    <xf numFmtId="16" fontId="14" fillId="3" borderId="68" xfId="0" applyNumberFormat="1" applyFont="1" applyFill="1" applyBorder="1" applyAlignment="1" applyProtection="1">
      <alignment horizontal="center" vertical="center"/>
      <protection locked="0"/>
    </xf>
    <xf numFmtId="0" fontId="0" fillId="12" borderId="43" xfId="0" applyFill="1" applyBorder="1" applyProtection="1">
      <protection locked="0"/>
    </xf>
    <xf numFmtId="0" fontId="0" fillId="12" borderId="0" xfId="0" applyFill="1" applyBorder="1" applyProtection="1">
      <protection locked="0"/>
    </xf>
    <xf numFmtId="0" fontId="0" fillId="12" borderId="0" xfId="0" applyFill="1" applyBorder="1" applyAlignment="1" applyProtection="1">
      <alignment horizontal="center"/>
      <protection locked="0"/>
    </xf>
    <xf numFmtId="0" fontId="0" fillId="12" borderId="29" xfId="0" applyFill="1" applyBorder="1" applyProtection="1">
      <protection locked="0"/>
    </xf>
    <xf numFmtId="0" fontId="0" fillId="12" borderId="44" xfId="0" applyFill="1" applyBorder="1" applyProtection="1">
      <protection locked="0"/>
    </xf>
    <xf numFmtId="0" fontId="0" fillId="12" borderId="45" xfId="0" applyFill="1" applyBorder="1" applyProtection="1">
      <protection locked="0"/>
    </xf>
    <xf numFmtId="0" fontId="0" fillId="12" borderId="45" xfId="0" applyFill="1" applyBorder="1" applyAlignment="1" applyProtection="1">
      <alignment horizontal="center"/>
      <protection locked="0"/>
    </xf>
    <xf numFmtId="0" fontId="0" fillId="12" borderId="32" xfId="0" applyFill="1" applyBorder="1" applyProtection="1">
      <protection locked="0"/>
    </xf>
    <xf numFmtId="0" fontId="0" fillId="12" borderId="7" xfId="0" applyFill="1" applyBorder="1" applyProtection="1">
      <protection locked="0"/>
    </xf>
    <xf numFmtId="0" fontId="0" fillId="12" borderId="13" xfId="0" applyFill="1" applyBorder="1" applyProtection="1">
      <protection locked="0"/>
    </xf>
    <xf numFmtId="0" fontId="0" fillId="12" borderId="13" xfId="0" applyFill="1" applyBorder="1"/>
    <xf numFmtId="0" fontId="0" fillId="12" borderId="52" xfId="0" applyFill="1" applyBorder="1"/>
    <xf numFmtId="0" fontId="0" fillId="12" borderId="50" xfId="0" applyFill="1" applyBorder="1" applyProtection="1">
      <protection locked="0"/>
    </xf>
    <xf numFmtId="0" fontId="0" fillId="12" borderId="51" xfId="0" applyFill="1" applyBorder="1" applyProtection="1">
      <protection locked="0"/>
    </xf>
    <xf numFmtId="0" fontId="0" fillId="12" borderId="51" xfId="0" applyFill="1" applyBorder="1" applyAlignment="1" applyProtection="1">
      <alignment horizontal="center"/>
      <protection locked="0"/>
    </xf>
    <xf numFmtId="0" fontId="0" fillId="12" borderId="5" xfId="0" applyFill="1" applyBorder="1" applyProtection="1">
      <protection locked="0"/>
    </xf>
    <xf numFmtId="0" fontId="0" fillId="12" borderId="8" xfId="0" applyFill="1" applyBorder="1" applyProtection="1">
      <protection locked="0"/>
    </xf>
    <xf numFmtId="0" fontId="6" fillId="12" borderId="0" xfId="0" applyFont="1" applyFill="1" applyBorder="1" applyAlignment="1" applyProtection="1">
      <alignment horizontal="center"/>
      <protection locked="0"/>
    </xf>
    <xf numFmtId="0" fontId="6" fillId="12" borderId="0" xfId="0" applyFont="1" applyFill="1" applyBorder="1" applyProtection="1">
      <protection locked="0"/>
    </xf>
    <xf numFmtId="0" fontId="0" fillId="12" borderId="6" xfId="0" applyFill="1" applyBorder="1" applyProtection="1">
      <protection locked="0"/>
    </xf>
    <xf numFmtId="0" fontId="0" fillId="12" borderId="6" xfId="0" applyFill="1" applyBorder="1" applyAlignment="1" applyProtection="1">
      <alignment horizontal="center"/>
      <protection locked="0"/>
    </xf>
    <xf numFmtId="0" fontId="14" fillId="10" borderId="2" xfId="0" applyFont="1" applyFill="1" applyBorder="1" applyAlignment="1" applyProtection="1">
      <alignment horizontal="center"/>
      <protection locked="0"/>
    </xf>
    <xf numFmtId="0" fontId="15" fillId="11" borderId="69" xfId="0" applyFont="1" applyFill="1" applyBorder="1" applyAlignment="1" applyProtection="1">
      <alignment horizontal="center"/>
      <protection locked="0"/>
    </xf>
    <xf numFmtId="0" fontId="15" fillId="11" borderId="66" xfId="0" applyFont="1" applyFill="1" applyBorder="1" applyAlignment="1" applyProtection="1">
      <alignment horizontal="center"/>
      <protection locked="0"/>
    </xf>
    <xf numFmtId="0" fontId="15" fillId="11" borderId="70" xfId="0" applyFont="1" applyFill="1" applyBorder="1" applyAlignment="1" applyProtection="1">
      <alignment horizontal="center"/>
      <protection locked="0"/>
    </xf>
    <xf numFmtId="166" fontId="5" fillId="8" borderId="10" xfId="1" applyNumberFormat="1" applyFont="1" applyFill="1" applyBorder="1" applyAlignment="1" applyProtection="1">
      <alignment horizontal="center" vertical="center"/>
    </xf>
    <xf numFmtId="166" fontId="5" fillId="8" borderId="2" xfId="1" applyNumberFormat="1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0" borderId="25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wrapText="1"/>
      <protection locked="0"/>
    </xf>
    <xf numFmtId="0" fontId="4" fillId="0" borderId="34" xfId="0" applyFont="1" applyBorder="1" applyAlignment="1" applyProtection="1">
      <alignment horizontal="center" wrapText="1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0" fontId="14" fillId="0" borderId="28" xfId="0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2" fillId="0" borderId="37" xfId="0" applyFont="1" applyBorder="1" applyAlignment="1" applyProtection="1">
      <alignment horizontal="center" vertical="center"/>
      <protection locked="0"/>
    </xf>
    <xf numFmtId="0" fontId="13" fillId="0" borderId="37" xfId="0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 applyProtection="1">
      <alignment horizontal="center" vertical="center"/>
      <protection locked="0"/>
    </xf>
    <xf numFmtId="0" fontId="8" fillId="0" borderId="60" xfId="0" applyFont="1" applyBorder="1" applyAlignment="1" applyProtection="1">
      <alignment horizontal="center" vertical="center"/>
      <protection locked="0"/>
    </xf>
    <xf numFmtId="0" fontId="8" fillId="0" borderId="61" xfId="0" applyFont="1" applyBorder="1" applyAlignment="1" applyProtection="1">
      <alignment horizontal="center" vertical="center"/>
      <protection locked="0"/>
    </xf>
    <xf numFmtId="0" fontId="4" fillId="5" borderId="65" xfId="0" applyFont="1" applyFill="1" applyBorder="1" applyAlignment="1" applyProtection="1">
      <alignment horizontal="center" vertical="center"/>
      <protection locked="0"/>
    </xf>
    <xf numFmtId="0" fontId="4" fillId="5" borderId="53" xfId="0" applyFont="1" applyFill="1" applyBorder="1" applyAlignment="1" applyProtection="1">
      <alignment horizontal="center" vertical="center"/>
      <protection locked="0"/>
    </xf>
    <xf numFmtId="0" fontId="4" fillId="5" borderId="42" xfId="0" applyFont="1" applyFill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left" vertical="center" wrapText="1"/>
      <protection locked="0"/>
    </xf>
    <xf numFmtId="0" fontId="9" fillId="0" borderId="57" xfId="0" applyFont="1" applyBorder="1" applyAlignment="1" applyProtection="1">
      <alignment horizontal="left" vertical="center" wrapText="1"/>
      <protection locked="0"/>
    </xf>
    <xf numFmtId="0" fontId="9" fillId="0" borderId="58" xfId="0" applyFont="1" applyBorder="1" applyAlignment="1" applyProtection="1">
      <alignment horizontal="left" vertical="center" wrapText="1"/>
      <protection locked="0"/>
    </xf>
    <xf numFmtId="0" fontId="9" fillId="0" borderId="43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29" xfId="0" applyFont="1" applyBorder="1" applyAlignment="1" applyProtection="1">
      <alignment horizontal="left" vertical="center" wrapText="1"/>
      <protection locked="0"/>
    </xf>
    <xf numFmtId="0" fontId="9" fillId="0" borderId="44" xfId="0" applyFont="1" applyBorder="1" applyAlignment="1" applyProtection="1">
      <alignment horizontal="left" vertical="center" wrapText="1"/>
      <protection locked="0"/>
    </xf>
    <xf numFmtId="0" fontId="9" fillId="0" borderId="45" xfId="0" applyFont="1" applyBorder="1" applyAlignment="1" applyProtection="1">
      <alignment horizontal="left" vertical="center" wrapText="1"/>
      <protection locked="0"/>
    </xf>
    <xf numFmtId="0" fontId="9" fillId="0" borderId="32" xfId="0" applyFont="1" applyBorder="1" applyAlignment="1" applyProtection="1">
      <alignment horizontal="left" vertical="center" wrapText="1"/>
      <protection locked="0"/>
    </xf>
    <xf numFmtId="166" fontId="5" fillId="8" borderId="4" xfId="1" applyNumberFormat="1" applyFont="1" applyFill="1" applyBorder="1" applyAlignment="1" applyProtection="1">
      <alignment horizontal="center" vertical="center"/>
    </xf>
    <xf numFmtId="0" fontId="4" fillId="0" borderId="42" xfId="0" applyFont="1" applyBorder="1" applyAlignment="1" applyProtection="1">
      <alignment horizontal="center"/>
      <protection locked="0"/>
    </xf>
    <xf numFmtId="0" fontId="4" fillId="0" borderId="53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44" xfId="0" applyFont="1" applyFill="1" applyBorder="1" applyAlignment="1" applyProtection="1">
      <alignment horizontal="right" vertical="center" wrapText="1"/>
      <protection locked="0"/>
    </xf>
    <xf numFmtId="0" fontId="4" fillId="0" borderId="45" xfId="0" applyFont="1" applyFill="1" applyBorder="1" applyAlignment="1" applyProtection="1">
      <alignment horizontal="right" vertical="center" wrapText="1"/>
      <protection locked="0"/>
    </xf>
    <xf numFmtId="0" fontId="4" fillId="0" borderId="32" xfId="0" applyFont="1" applyFill="1" applyBorder="1" applyAlignment="1" applyProtection="1">
      <alignment horizontal="right" vertical="center" wrapText="1"/>
      <protection locked="0"/>
    </xf>
    <xf numFmtId="164" fontId="4" fillId="0" borderId="59" xfId="0" applyNumberFormat="1" applyFont="1" applyBorder="1" applyAlignment="1" applyProtection="1">
      <alignment horizontal="center"/>
      <protection locked="0"/>
    </xf>
    <xf numFmtId="164" fontId="4" fillId="0" borderId="24" xfId="0" applyNumberFormat="1" applyFont="1" applyBorder="1" applyAlignment="1" applyProtection="1">
      <alignment horizontal="center"/>
      <protection locked="0"/>
    </xf>
    <xf numFmtId="0" fontId="10" fillId="4" borderId="56" xfId="0" applyFont="1" applyFill="1" applyBorder="1" applyAlignment="1" applyProtection="1">
      <alignment horizontal="center" vertical="center"/>
      <protection locked="0"/>
    </xf>
    <xf numFmtId="0" fontId="10" fillId="4" borderId="62" xfId="0" applyFont="1" applyFill="1" applyBorder="1" applyAlignment="1" applyProtection="1">
      <alignment horizontal="center" vertical="center"/>
      <protection locked="0"/>
    </xf>
    <xf numFmtId="0" fontId="10" fillId="4" borderId="43" xfId="0" applyFont="1" applyFill="1" applyBorder="1" applyAlignment="1" applyProtection="1">
      <alignment horizontal="center" vertical="center"/>
      <protection locked="0"/>
    </xf>
    <xf numFmtId="0" fontId="10" fillId="4" borderId="27" xfId="0" applyFont="1" applyFill="1" applyBorder="1" applyAlignment="1" applyProtection="1">
      <alignment horizontal="center" vertical="center"/>
      <protection locked="0"/>
    </xf>
    <xf numFmtId="0" fontId="11" fillId="4" borderId="63" xfId="0" applyFont="1" applyFill="1" applyBorder="1" applyAlignment="1" applyProtection="1">
      <alignment horizontal="center" vertical="center" wrapText="1"/>
      <protection locked="0"/>
    </xf>
    <xf numFmtId="0" fontId="11" fillId="4" borderId="64" xfId="0" applyFont="1" applyFill="1" applyBorder="1" applyAlignment="1" applyProtection="1">
      <alignment horizontal="center" vertical="center" wrapText="1"/>
      <protection locked="0"/>
    </xf>
    <xf numFmtId="0" fontId="5" fillId="5" borderId="65" xfId="0" applyFont="1" applyFill="1" applyBorder="1" applyAlignment="1" applyProtection="1">
      <alignment horizontal="center" vertical="center"/>
      <protection locked="0"/>
    </xf>
    <xf numFmtId="0" fontId="5" fillId="5" borderId="53" xfId="0" applyFont="1" applyFill="1" applyBorder="1" applyAlignment="1" applyProtection="1">
      <alignment horizontal="center" vertical="center"/>
      <protection locked="0"/>
    </xf>
    <xf numFmtId="0" fontId="5" fillId="3" borderId="44" xfId="0" applyFont="1" applyFill="1" applyBorder="1" applyAlignment="1" applyProtection="1">
      <alignment horizontal="center" vertical="center"/>
      <protection locked="0"/>
    </xf>
    <xf numFmtId="0" fontId="5" fillId="3" borderId="45" xfId="0" applyFont="1" applyFill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5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wrapText="1"/>
      <protection locked="0"/>
    </xf>
    <xf numFmtId="0" fontId="4" fillId="0" borderId="35" xfId="0" applyFont="1" applyBorder="1" applyAlignment="1" applyProtection="1">
      <alignment horizontal="center" wrapText="1"/>
      <protection locked="0"/>
    </xf>
    <xf numFmtId="0" fontId="17" fillId="13" borderId="45" xfId="2" applyFont="1" applyFill="1" applyBorder="1" applyAlignment="1" applyProtection="1">
      <alignment horizontal="center" vertical="center"/>
      <protection locked="0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5"/>
  <sheetViews>
    <sheetView tabSelected="1" zoomScaleNormal="100" workbookViewId="0">
      <selection activeCell="R7" sqref="R7"/>
    </sheetView>
  </sheetViews>
  <sheetFormatPr baseColWidth="10" defaultColWidth="9" defaultRowHeight="13.2" x14ac:dyDescent="0.25"/>
  <cols>
    <col min="1" max="1" width="9" style="1"/>
    <col min="2" max="2" width="2.6640625" style="1" customWidth="1"/>
    <col min="3" max="3" width="12" style="1" customWidth="1"/>
    <col min="4" max="4" width="16.109375" style="64" customWidth="1"/>
    <col min="5" max="5" width="10.88671875" style="1" customWidth="1"/>
    <col min="6" max="6" width="8.6640625" style="1" customWidth="1"/>
    <col min="7" max="7" width="11.44140625" style="1" customWidth="1"/>
    <col min="8" max="8" width="13.109375" style="1" customWidth="1"/>
    <col min="9" max="14" width="8.6640625" style="1" customWidth="1"/>
    <col min="15" max="15" width="2.6640625" style="1" customWidth="1"/>
    <col min="16" max="16" width="15.88671875" style="1" customWidth="1"/>
    <col min="17" max="16384" width="9" style="1"/>
  </cols>
  <sheetData>
    <row r="1" spans="1:16" ht="13.8" thickBot="1" x14ac:dyDescent="0.3">
      <c r="A1" s="168" t="s">
        <v>43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ht="18.600000000000001" thickBot="1" x14ac:dyDescent="0.4">
      <c r="A2" s="115" t="s">
        <v>37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5.75" customHeight="1" x14ac:dyDescent="0.3">
      <c r="A3" s="135" t="s">
        <v>38</v>
      </c>
      <c r="B3" s="136"/>
      <c r="C3" s="136"/>
      <c r="D3" s="136"/>
      <c r="E3" s="136"/>
      <c r="F3" s="136"/>
      <c r="G3" s="137"/>
      <c r="H3" s="120" t="s">
        <v>11</v>
      </c>
      <c r="I3" s="122" t="s">
        <v>33</v>
      </c>
      <c r="J3" s="145" t="s">
        <v>34</v>
      </c>
      <c r="K3" s="146"/>
      <c r="L3" s="146"/>
      <c r="M3" s="146"/>
      <c r="N3" s="146"/>
      <c r="O3" s="147"/>
      <c r="P3" s="166" t="s">
        <v>16</v>
      </c>
    </row>
    <row r="4" spans="1:16" ht="16.2" thickBot="1" x14ac:dyDescent="0.35">
      <c r="A4" s="138"/>
      <c r="B4" s="139"/>
      <c r="C4" s="139"/>
      <c r="D4" s="139"/>
      <c r="E4" s="139"/>
      <c r="F4" s="139"/>
      <c r="G4" s="140"/>
      <c r="H4" s="121"/>
      <c r="I4" s="123"/>
      <c r="J4" s="69" t="s">
        <v>10</v>
      </c>
      <c r="K4" s="70">
        <v>2</v>
      </c>
      <c r="L4" s="70">
        <v>3</v>
      </c>
      <c r="M4" s="70">
        <v>5</v>
      </c>
      <c r="N4" s="151" t="s">
        <v>39</v>
      </c>
      <c r="O4" s="152"/>
      <c r="P4" s="167"/>
    </row>
    <row r="5" spans="1:16" ht="15.6" x14ac:dyDescent="0.25">
      <c r="A5" s="138"/>
      <c r="B5" s="139"/>
      <c r="C5" s="139"/>
      <c r="D5" s="139"/>
      <c r="E5" s="139"/>
      <c r="F5" s="139"/>
      <c r="G5" s="140"/>
      <c r="H5" s="71" t="s">
        <v>12</v>
      </c>
      <c r="I5" s="72">
        <v>100</v>
      </c>
      <c r="J5" s="73">
        <f>(M5)/(1.0278-(0.0278*5))</f>
        <v>125.45004500450044</v>
      </c>
      <c r="K5" s="73">
        <f t="shared" ref="K5:L9" si="0">ROUND(($J5*(1.0278-(0.0278*K$4)))/$P$10,0/5)*$P$10</f>
        <v>123</v>
      </c>
      <c r="L5" s="73">
        <f t="shared" si="0"/>
        <v>117</v>
      </c>
      <c r="M5" s="73">
        <f>I5*N5</f>
        <v>111.5</v>
      </c>
      <c r="N5" s="118">
        <v>1.115</v>
      </c>
      <c r="O5" s="118"/>
      <c r="P5" s="74">
        <v>5</v>
      </c>
    </row>
    <row r="6" spans="1:16" ht="15.6" x14ac:dyDescent="0.25">
      <c r="A6" s="138"/>
      <c r="B6" s="139"/>
      <c r="C6" s="139"/>
      <c r="D6" s="139"/>
      <c r="E6" s="139"/>
      <c r="F6" s="139"/>
      <c r="G6" s="140"/>
      <c r="H6" s="2" t="s">
        <v>13</v>
      </c>
      <c r="I6" s="3">
        <v>80</v>
      </c>
      <c r="J6" s="4">
        <f>(M6)/(1.0278-(0.0278*5))</f>
        <v>96.759675967596749</v>
      </c>
      <c r="K6" s="4">
        <f t="shared" si="0"/>
        <v>93</v>
      </c>
      <c r="L6" s="4">
        <f t="shared" si="0"/>
        <v>90</v>
      </c>
      <c r="M6" s="68">
        <f>I6*N6</f>
        <v>86</v>
      </c>
      <c r="N6" s="119">
        <v>1.075</v>
      </c>
      <c r="O6" s="119"/>
      <c r="P6" s="65">
        <v>4</v>
      </c>
    </row>
    <row r="7" spans="1:16" ht="15.6" x14ac:dyDescent="0.25">
      <c r="A7" s="138"/>
      <c r="B7" s="139"/>
      <c r="C7" s="139"/>
      <c r="D7" s="139"/>
      <c r="E7" s="139"/>
      <c r="F7" s="139"/>
      <c r="G7" s="140"/>
      <c r="H7" s="2" t="s">
        <v>14</v>
      </c>
      <c r="I7" s="3">
        <v>45</v>
      </c>
      <c r="J7" s="4">
        <f>(M7)/(1.0278-(0.0278*5))</f>
        <v>54.933618361836174</v>
      </c>
      <c r="K7" s="4">
        <f t="shared" si="0"/>
        <v>54</v>
      </c>
      <c r="L7" s="4">
        <f t="shared" si="0"/>
        <v>51</v>
      </c>
      <c r="M7" s="68">
        <f>I7*N7</f>
        <v>48.824999999999996</v>
      </c>
      <c r="N7" s="119">
        <v>1.085</v>
      </c>
      <c r="O7" s="119"/>
      <c r="P7" s="65">
        <v>3</v>
      </c>
    </row>
    <row r="8" spans="1:16" ht="15.6" x14ac:dyDescent="0.25">
      <c r="A8" s="138"/>
      <c r="B8" s="139"/>
      <c r="C8" s="139"/>
      <c r="D8" s="139"/>
      <c r="E8" s="139"/>
      <c r="F8" s="139"/>
      <c r="G8" s="140"/>
      <c r="H8" s="2" t="s">
        <v>15</v>
      </c>
      <c r="I8" s="3">
        <v>120</v>
      </c>
      <c r="J8" s="4">
        <f>(M8)/(1.0278-(0.0278*5))</f>
        <v>135.01350135013502</v>
      </c>
      <c r="K8" s="4">
        <f t="shared" si="0"/>
        <v>132</v>
      </c>
      <c r="L8" s="4">
        <f t="shared" si="0"/>
        <v>129</v>
      </c>
      <c r="M8" s="68">
        <f>I8*N8</f>
        <v>120</v>
      </c>
      <c r="N8" s="119">
        <v>1</v>
      </c>
      <c r="O8" s="119"/>
      <c r="P8" s="65">
        <v>10</v>
      </c>
    </row>
    <row r="9" spans="1:16" ht="16.2" thickBot="1" x14ac:dyDescent="0.3">
      <c r="A9" s="138"/>
      <c r="B9" s="139"/>
      <c r="C9" s="139"/>
      <c r="D9" s="139"/>
      <c r="E9" s="139"/>
      <c r="F9" s="139"/>
      <c r="G9" s="140"/>
      <c r="H9" s="5" t="s">
        <v>0</v>
      </c>
      <c r="I9" s="6">
        <v>70</v>
      </c>
      <c r="J9" s="7">
        <f>(M9)/(1.0278-(0.0278*5))</f>
        <v>87.815031503150308</v>
      </c>
      <c r="K9" s="7">
        <f t="shared" si="0"/>
        <v>84</v>
      </c>
      <c r="L9" s="7">
        <f t="shared" si="0"/>
        <v>84</v>
      </c>
      <c r="M9" s="75">
        <f>I9*N9</f>
        <v>78.05</v>
      </c>
      <c r="N9" s="144">
        <v>1.115</v>
      </c>
      <c r="O9" s="144"/>
      <c r="P9" s="66">
        <v>5</v>
      </c>
    </row>
    <row r="10" spans="1:16" ht="15.75" customHeight="1" thickBot="1" x14ac:dyDescent="0.3">
      <c r="A10" s="141"/>
      <c r="B10" s="142"/>
      <c r="C10" s="142"/>
      <c r="D10" s="142"/>
      <c r="E10" s="142"/>
      <c r="F10" s="142"/>
      <c r="G10" s="143"/>
      <c r="H10" s="148" t="s">
        <v>35</v>
      </c>
      <c r="I10" s="149"/>
      <c r="J10" s="149"/>
      <c r="K10" s="149"/>
      <c r="L10" s="149"/>
      <c r="M10" s="149"/>
      <c r="N10" s="149"/>
      <c r="O10" s="150"/>
      <c r="P10" s="78">
        <f>MIN(P5:P9)</f>
        <v>3</v>
      </c>
    </row>
    <row r="11" spans="1:16" ht="12" customHeight="1" x14ac:dyDescent="0.3">
      <c r="A11" s="93"/>
      <c r="B11" s="94"/>
      <c r="C11" s="94"/>
      <c r="D11" s="110"/>
      <c r="E11" s="111"/>
      <c r="F11" s="111"/>
      <c r="G11" s="111"/>
      <c r="H11" s="111"/>
      <c r="I11" s="111"/>
      <c r="J11" s="111"/>
      <c r="K11" s="111"/>
      <c r="L11" s="111"/>
      <c r="M11" s="94"/>
      <c r="N11" s="94"/>
      <c r="O11" s="94"/>
      <c r="P11" s="96"/>
    </row>
    <row r="12" spans="1:16" ht="16.5" customHeight="1" thickBot="1" x14ac:dyDescent="0.35">
      <c r="A12" s="93"/>
      <c r="B12" s="108" t="s">
        <v>1</v>
      </c>
      <c r="C12" s="112"/>
      <c r="D12" s="113"/>
      <c r="E12" s="112"/>
      <c r="F12" s="114" t="s">
        <v>30</v>
      </c>
      <c r="G12" s="114"/>
      <c r="H12" s="114"/>
      <c r="I12" s="114" t="s">
        <v>31</v>
      </c>
      <c r="J12" s="114"/>
      <c r="K12" s="114"/>
      <c r="L12" s="114" t="s">
        <v>32</v>
      </c>
      <c r="M12" s="114"/>
      <c r="N12" s="114"/>
      <c r="O12" s="101"/>
      <c r="P12" s="96"/>
    </row>
    <row r="13" spans="1:16" ht="12" customHeight="1" x14ac:dyDescent="0.25">
      <c r="A13" s="93"/>
      <c r="B13" s="109"/>
      <c r="C13" s="153" t="s">
        <v>36</v>
      </c>
      <c r="D13" s="154"/>
      <c r="E13" s="157" t="s">
        <v>17</v>
      </c>
      <c r="F13" s="90" t="s">
        <v>18</v>
      </c>
      <c r="G13" s="91" t="s">
        <v>19</v>
      </c>
      <c r="H13" s="92" t="s">
        <v>20</v>
      </c>
      <c r="I13" s="90" t="s">
        <v>18</v>
      </c>
      <c r="J13" s="91" t="s">
        <v>19</v>
      </c>
      <c r="K13" s="92" t="s">
        <v>20</v>
      </c>
      <c r="L13" s="90" t="s">
        <v>18</v>
      </c>
      <c r="M13" s="91" t="s">
        <v>19</v>
      </c>
      <c r="N13" s="92" t="s">
        <v>20</v>
      </c>
      <c r="O13" s="102"/>
      <c r="P13" s="96"/>
    </row>
    <row r="14" spans="1:16" ht="12" customHeight="1" thickBot="1" x14ac:dyDescent="0.3">
      <c r="A14" s="93"/>
      <c r="B14" s="109"/>
      <c r="C14" s="155"/>
      <c r="D14" s="156"/>
      <c r="E14" s="158"/>
      <c r="F14" s="87" t="s">
        <v>21</v>
      </c>
      <c r="G14" s="88" t="s">
        <v>22</v>
      </c>
      <c r="H14" s="89" t="s">
        <v>23</v>
      </c>
      <c r="I14" s="87" t="s">
        <v>21</v>
      </c>
      <c r="J14" s="88" t="s">
        <v>22</v>
      </c>
      <c r="K14" s="89" t="s">
        <v>23</v>
      </c>
      <c r="L14" s="87" t="s">
        <v>21</v>
      </c>
      <c r="M14" s="88" t="s">
        <v>22</v>
      </c>
      <c r="N14" s="89" t="s">
        <v>23</v>
      </c>
      <c r="O14" s="103"/>
      <c r="P14" s="96"/>
    </row>
    <row r="15" spans="1:16" ht="12" customHeight="1" x14ac:dyDescent="0.25">
      <c r="A15" s="93"/>
      <c r="B15" s="109"/>
      <c r="C15" s="132"/>
      <c r="D15" s="133"/>
      <c r="E15" s="133"/>
      <c r="F15" s="10" t="s">
        <v>2</v>
      </c>
      <c r="G15" s="11" t="s">
        <v>3</v>
      </c>
      <c r="H15" s="12" t="s">
        <v>4</v>
      </c>
      <c r="I15" s="10" t="s">
        <v>2</v>
      </c>
      <c r="J15" s="11" t="s">
        <v>3</v>
      </c>
      <c r="K15" s="12" t="s">
        <v>4</v>
      </c>
      <c r="L15" s="13" t="s">
        <v>2</v>
      </c>
      <c r="M15" s="11" t="s">
        <v>3</v>
      </c>
      <c r="N15" s="12" t="s">
        <v>4</v>
      </c>
      <c r="O15" s="103"/>
      <c r="P15" s="96"/>
    </row>
    <row r="16" spans="1:16" ht="12" customHeight="1" x14ac:dyDescent="0.25">
      <c r="A16" s="93"/>
      <c r="B16" s="109"/>
      <c r="C16" s="125" t="s">
        <v>12</v>
      </c>
      <c r="D16" s="127" t="s">
        <v>24</v>
      </c>
      <c r="E16" s="14" t="s">
        <v>3</v>
      </c>
      <c r="F16" s="79">
        <v>45</v>
      </c>
      <c r="G16" s="80">
        <v>45</v>
      </c>
      <c r="H16" s="81">
        <v>45</v>
      </c>
      <c r="I16" s="79">
        <v>45</v>
      </c>
      <c r="J16" s="80">
        <v>45</v>
      </c>
      <c r="K16" s="81">
        <v>45</v>
      </c>
      <c r="L16" s="82">
        <v>45</v>
      </c>
      <c r="M16" s="80">
        <v>45</v>
      </c>
      <c r="N16" s="81">
        <v>45</v>
      </c>
      <c r="O16" s="103"/>
      <c r="P16" s="96"/>
    </row>
    <row r="17" spans="1:16" ht="12" customHeight="1" x14ac:dyDescent="0.25">
      <c r="A17" s="93"/>
      <c r="B17" s="109"/>
      <c r="C17" s="125"/>
      <c r="D17" s="128"/>
      <c r="E17" s="19" t="s">
        <v>4</v>
      </c>
      <c r="F17" s="15">
        <f>FLOOR(PRODUCT(0.4,F20),5)</f>
        <v>40</v>
      </c>
      <c r="G17" s="16">
        <f>FLOOR(PRODUCT(0.4,G20),5)</f>
        <v>30</v>
      </c>
      <c r="H17" s="17">
        <f>FLOOR(PRODUCT(0.4,H20),5)</f>
        <v>40</v>
      </c>
      <c r="I17" s="15">
        <f t="shared" ref="I17:N17" si="1">FLOOR(PRODUCT(0.4,I20),5)</f>
        <v>40</v>
      </c>
      <c r="J17" s="16">
        <f t="shared" si="1"/>
        <v>30</v>
      </c>
      <c r="K17" s="17">
        <f t="shared" si="1"/>
        <v>45</v>
      </c>
      <c r="L17" s="18">
        <f t="shared" si="1"/>
        <v>40</v>
      </c>
      <c r="M17" s="16">
        <f t="shared" si="1"/>
        <v>30</v>
      </c>
      <c r="N17" s="17">
        <f t="shared" si="1"/>
        <v>45</v>
      </c>
      <c r="O17" s="103"/>
      <c r="P17" s="96"/>
    </row>
    <row r="18" spans="1:16" ht="12" customHeight="1" x14ac:dyDescent="0.25">
      <c r="A18" s="93"/>
      <c r="B18" s="109"/>
      <c r="C18" s="125"/>
      <c r="D18" s="128"/>
      <c r="E18" s="19" t="s">
        <v>5</v>
      </c>
      <c r="F18" s="15">
        <f>FLOOR(PRODUCT(0.6,F20),5)</f>
        <v>60</v>
      </c>
      <c r="G18" s="16">
        <f>FLOOR(PRODUCT(0.6,G20),5)</f>
        <v>45</v>
      </c>
      <c r="H18" s="17">
        <f>FLOOR(PRODUCT(0.6,H20),5)</f>
        <v>65</v>
      </c>
      <c r="I18" s="15">
        <f t="shared" ref="I18:N18" si="2">FLOOR(PRODUCT(0.6,I20),5)</f>
        <v>60</v>
      </c>
      <c r="J18" s="16">
        <f t="shared" si="2"/>
        <v>45</v>
      </c>
      <c r="K18" s="17">
        <f t="shared" si="2"/>
        <v>65</v>
      </c>
      <c r="L18" s="18">
        <f t="shared" si="2"/>
        <v>65</v>
      </c>
      <c r="M18" s="16">
        <f t="shared" si="2"/>
        <v>50</v>
      </c>
      <c r="N18" s="17">
        <f t="shared" si="2"/>
        <v>70</v>
      </c>
      <c r="O18" s="103"/>
      <c r="P18" s="96"/>
    </row>
    <row r="19" spans="1:16" ht="12" customHeight="1" x14ac:dyDescent="0.25">
      <c r="A19" s="93"/>
      <c r="B19" s="109"/>
      <c r="C19" s="125"/>
      <c r="D19" s="129"/>
      <c r="E19" s="19" t="s">
        <v>6</v>
      </c>
      <c r="F19" s="15">
        <f>FLOOR(PRODUCT(0.8,F20),5)</f>
        <v>80</v>
      </c>
      <c r="G19" s="16">
        <f>FLOOR(PRODUCT(0.8,G20),5)</f>
        <v>60</v>
      </c>
      <c r="H19" s="17">
        <f>FLOOR(PRODUCT(0.8,H20),5)</f>
        <v>85</v>
      </c>
      <c r="I19" s="15">
        <f t="shared" ref="I19:N19" si="3">FLOOR(PRODUCT(0.8,I20),5)</f>
        <v>80</v>
      </c>
      <c r="J19" s="16">
        <f t="shared" si="3"/>
        <v>60</v>
      </c>
      <c r="K19" s="17">
        <f t="shared" si="3"/>
        <v>90</v>
      </c>
      <c r="L19" s="18">
        <f t="shared" si="3"/>
        <v>85</v>
      </c>
      <c r="M19" s="16">
        <f t="shared" si="3"/>
        <v>65</v>
      </c>
      <c r="N19" s="17">
        <f t="shared" si="3"/>
        <v>95</v>
      </c>
      <c r="O19" s="103"/>
      <c r="P19" s="96"/>
    </row>
    <row r="20" spans="1:16" ht="12" customHeight="1" thickBot="1" x14ac:dyDescent="0.3">
      <c r="A20" s="93"/>
      <c r="B20" s="109"/>
      <c r="C20" s="126"/>
      <c r="D20" s="130" t="s">
        <v>27</v>
      </c>
      <c r="E20" s="131"/>
      <c r="F20" s="20">
        <f>I5</f>
        <v>100</v>
      </c>
      <c r="G20" s="21">
        <f>ROUNDDOWN((F20*0.8)/$P$5,0)*$P$5</f>
        <v>80</v>
      </c>
      <c r="H20" s="22">
        <f>ROUND((F20*$N$5)/$P$5,0)*$P$5</f>
        <v>110</v>
      </c>
      <c r="I20" s="20">
        <f>F20+$P$5</f>
        <v>105</v>
      </c>
      <c r="J20" s="21">
        <f>ROUNDDOWN((I20*0.8)/$P$5,0)*$P$5</f>
        <v>80</v>
      </c>
      <c r="K20" s="22">
        <f>H20+5</f>
        <v>115</v>
      </c>
      <c r="L20" s="23">
        <f>I20+$P$5</f>
        <v>110</v>
      </c>
      <c r="M20" s="21">
        <f>ROUNDDOWN((L20*0.8)/$P$5,0)*$P$5</f>
        <v>85</v>
      </c>
      <c r="N20" s="22">
        <f>K20+5</f>
        <v>120</v>
      </c>
      <c r="O20" s="103"/>
      <c r="P20" s="96"/>
    </row>
    <row r="21" spans="1:16" ht="12" customHeight="1" x14ac:dyDescent="0.25">
      <c r="A21" s="93"/>
      <c r="B21" s="109"/>
      <c r="C21" s="24"/>
      <c r="D21" s="134"/>
      <c r="E21" s="133"/>
      <c r="F21" s="10" t="s">
        <v>2</v>
      </c>
      <c r="G21" s="11"/>
      <c r="H21" s="25">
        <v>1</v>
      </c>
      <c r="I21" s="26"/>
      <c r="J21" s="11" t="s">
        <v>7</v>
      </c>
      <c r="K21" s="12"/>
      <c r="L21" s="13" t="s">
        <v>2</v>
      </c>
      <c r="M21" s="11"/>
      <c r="N21" s="25">
        <v>2</v>
      </c>
      <c r="O21" s="102"/>
      <c r="P21" s="96"/>
    </row>
    <row r="22" spans="1:16" ht="12" customHeight="1" x14ac:dyDescent="0.25">
      <c r="A22" s="93"/>
      <c r="B22" s="109"/>
      <c r="C22" s="124" t="s">
        <v>13</v>
      </c>
      <c r="D22" s="127" t="s">
        <v>24</v>
      </c>
      <c r="E22" s="19" t="s">
        <v>3</v>
      </c>
      <c r="F22" s="79">
        <v>45</v>
      </c>
      <c r="G22" s="27"/>
      <c r="H22" s="81">
        <v>45</v>
      </c>
      <c r="I22" s="28"/>
      <c r="J22" s="80">
        <v>45</v>
      </c>
      <c r="K22" s="29"/>
      <c r="L22" s="82">
        <v>45</v>
      </c>
      <c r="M22" s="27"/>
      <c r="N22" s="81">
        <v>45</v>
      </c>
      <c r="O22" s="102"/>
      <c r="P22" s="96"/>
    </row>
    <row r="23" spans="1:16" ht="12" customHeight="1" x14ac:dyDescent="0.25">
      <c r="A23" s="93"/>
      <c r="B23" s="109"/>
      <c r="C23" s="125"/>
      <c r="D23" s="128"/>
      <c r="E23" s="19" t="s">
        <v>4</v>
      </c>
      <c r="F23" s="15">
        <f>FLOOR(PRODUCT(0.5,F26),5)</f>
        <v>40</v>
      </c>
      <c r="G23" s="30"/>
      <c r="H23" s="17">
        <f>FLOOR(PRODUCT(0.5,H26),5)</f>
        <v>45</v>
      </c>
      <c r="I23" s="31"/>
      <c r="J23" s="16">
        <f>FLOOR(PRODUCT(0.5,J26),5)</f>
        <v>35</v>
      </c>
      <c r="K23" s="32"/>
      <c r="L23" s="18">
        <f>FLOOR(PRODUCT(0.5,L26),5)</f>
        <v>40</v>
      </c>
      <c r="M23" s="30"/>
      <c r="N23" s="17">
        <f>FLOOR(PRODUCT(0.5,N26),5)</f>
        <v>45</v>
      </c>
      <c r="O23" s="102"/>
      <c r="P23" s="96"/>
    </row>
    <row r="24" spans="1:16" ht="12" customHeight="1" x14ac:dyDescent="0.25">
      <c r="A24" s="93"/>
      <c r="B24" s="109"/>
      <c r="C24" s="125"/>
      <c r="D24" s="128"/>
      <c r="E24" s="19" t="s">
        <v>5</v>
      </c>
      <c r="F24" s="15">
        <f>FLOOR(PRODUCT(0.7,F26),5)</f>
        <v>55</v>
      </c>
      <c r="G24" s="30"/>
      <c r="H24" s="17">
        <f>FLOOR(PRODUCT(0.7,H26),5)</f>
        <v>65</v>
      </c>
      <c r="I24" s="31"/>
      <c r="J24" s="16">
        <f>FLOOR(PRODUCT(0.7,J26),5)</f>
        <v>50</v>
      </c>
      <c r="K24" s="32"/>
      <c r="L24" s="18">
        <f>FLOOR(PRODUCT(0.7,L26),5)</f>
        <v>55</v>
      </c>
      <c r="M24" s="30"/>
      <c r="N24" s="17">
        <f>FLOOR(PRODUCT(0.7,N26),5)</f>
        <v>65</v>
      </c>
      <c r="O24" s="102"/>
      <c r="P24" s="96"/>
    </row>
    <row r="25" spans="1:16" ht="12" customHeight="1" x14ac:dyDescent="0.25">
      <c r="A25" s="93"/>
      <c r="B25" s="109"/>
      <c r="C25" s="125"/>
      <c r="D25" s="129"/>
      <c r="E25" s="19" t="s">
        <v>6</v>
      </c>
      <c r="F25" s="15">
        <f>FLOOR(PRODUCT(0.9,F26),5)</f>
        <v>70</v>
      </c>
      <c r="G25" s="30"/>
      <c r="H25" s="17">
        <f>FLOOR(PRODUCT(0.9,H26),5)</f>
        <v>85</v>
      </c>
      <c r="I25" s="31"/>
      <c r="J25" s="16">
        <f>FLOOR(PRODUCT(0.9,J26),5)</f>
        <v>60</v>
      </c>
      <c r="K25" s="32"/>
      <c r="L25" s="18">
        <f>FLOOR(PRODUCT(0.9,L26),5)</f>
        <v>75</v>
      </c>
      <c r="M25" s="30"/>
      <c r="N25" s="17">
        <f>FLOOR(PRODUCT(0.9,N26),5)</f>
        <v>85</v>
      </c>
      <c r="O25" s="102"/>
      <c r="P25" s="96"/>
    </row>
    <row r="26" spans="1:16" ht="12" customHeight="1" thickBot="1" x14ac:dyDescent="0.3">
      <c r="A26" s="93"/>
      <c r="B26" s="109"/>
      <c r="C26" s="126"/>
      <c r="D26" s="130" t="s">
        <v>27</v>
      </c>
      <c r="E26" s="131"/>
      <c r="F26" s="20">
        <f>I6</f>
        <v>80</v>
      </c>
      <c r="G26" s="33"/>
      <c r="H26" s="22">
        <f>ROUNDDOWN(((F26*$N$6)/(1.0278-(0.0278*5))*(1.0278-(0.0278*H21)))/$P$10,0)*$P$10</f>
        <v>96</v>
      </c>
      <c r="I26" s="34"/>
      <c r="J26" s="21">
        <f>ROUNDDOWN((F26*0.9)/$P$10,0)*$P$10</f>
        <v>72</v>
      </c>
      <c r="K26" s="35"/>
      <c r="L26" s="23">
        <f>F26+$P$6</f>
        <v>84</v>
      </c>
      <c r="M26" s="33"/>
      <c r="N26" s="22">
        <f>ROUNDDOWN(((L26*$N$6)/(1.0278-(0.0278*5))*(1.0278-(0.0278*N21)))/$P$10,0)*$P$10</f>
        <v>96</v>
      </c>
      <c r="O26" s="102"/>
      <c r="P26" s="96"/>
    </row>
    <row r="27" spans="1:16" ht="12" customHeight="1" x14ac:dyDescent="0.25">
      <c r="A27" s="93"/>
      <c r="B27" s="109"/>
      <c r="C27" s="132"/>
      <c r="D27" s="133"/>
      <c r="E27" s="133"/>
      <c r="F27" s="10"/>
      <c r="G27" s="11" t="s">
        <v>7</v>
      </c>
      <c r="H27" s="12"/>
      <c r="I27" s="10" t="s">
        <v>2</v>
      </c>
      <c r="J27" s="11"/>
      <c r="K27" s="25">
        <v>1</v>
      </c>
      <c r="L27" s="13"/>
      <c r="M27" s="11" t="s">
        <v>7</v>
      </c>
      <c r="N27" s="12"/>
      <c r="O27" s="103"/>
      <c r="P27" s="96"/>
    </row>
    <row r="28" spans="1:16" ht="12" customHeight="1" x14ac:dyDescent="0.25">
      <c r="A28" s="93"/>
      <c r="B28" s="109"/>
      <c r="C28" s="124" t="s">
        <v>14</v>
      </c>
      <c r="D28" s="127" t="s">
        <v>24</v>
      </c>
      <c r="E28" s="19" t="s">
        <v>3</v>
      </c>
      <c r="F28" s="28"/>
      <c r="G28" s="80">
        <v>45</v>
      </c>
      <c r="H28" s="29"/>
      <c r="I28" s="79">
        <v>45</v>
      </c>
      <c r="J28" s="27"/>
      <c r="K28" s="81">
        <v>45</v>
      </c>
      <c r="L28" s="27"/>
      <c r="M28" s="80">
        <v>45</v>
      </c>
      <c r="N28" s="29"/>
      <c r="O28" s="103"/>
      <c r="P28" s="96"/>
    </row>
    <row r="29" spans="1:16" ht="12" customHeight="1" x14ac:dyDescent="0.25">
      <c r="A29" s="93"/>
      <c r="B29" s="109"/>
      <c r="C29" s="125"/>
      <c r="D29" s="128"/>
      <c r="E29" s="19" t="s">
        <v>4</v>
      </c>
      <c r="F29" s="31"/>
      <c r="G29" s="16">
        <f>FLOOR(PRODUCT(0.55,G32),5)</f>
        <v>20</v>
      </c>
      <c r="H29" s="32"/>
      <c r="I29" s="15">
        <f>FLOOR(PRODUCT(0.55,I32),5)</f>
        <v>20</v>
      </c>
      <c r="J29" s="30"/>
      <c r="K29" s="17">
        <f>FLOOR(PRODUCT(0.55,K32),5)</f>
        <v>25</v>
      </c>
      <c r="L29" s="30"/>
      <c r="M29" s="16">
        <f>FLOOR(PRODUCT(0.55,M32),5)</f>
        <v>20</v>
      </c>
      <c r="N29" s="32"/>
      <c r="O29" s="103"/>
      <c r="P29" s="96"/>
    </row>
    <row r="30" spans="1:16" ht="12" customHeight="1" x14ac:dyDescent="0.25">
      <c r="A30" s="93"/>
      <c r="B30" s="109"/>
      <c r="C30" s="125"/>
      <c r="D30" s="128"/>
      <c r="E30" s="19" t="s">
        <v>5</v>
      </c>
      <c r="F30" s="31"/>
      <c r="G30" s="16">
        <f>FLOOR(PRODUCT(0.7,G32),5)</f>
        <v>30</v>
      </c>
      <c r="H30" s="32"/>
      <c r="I30" s="15">
        <f>FLOOR(PRODUCT(0.7,I32),5)</f>
        <v>30</v>
      </c>
      <c r="J30" s="30"/>
      <c r="K30" s="17">
        <f>FLOOR(PRODUCT(0.7,K32),5)</f>
        <v>35</v>
      </c>
      <c r="L30" s="30"/>
      <c r="M30" s="16">
        <f>FLOOR(PRODUCT(0.7,M32),5)</f>
        <v>30</v>
      </c>
      <c r="N30" s="32"/>
      <c r="O30" s="103"/>
      <c r="P30" s="96"/>
    </row>
    <row r="31" spans="1:16" ht="12" customHeight="1" x14ac:dyDescent="0.25">
      <c r="A31" s="93"/>
      <c r="B31" s="109"/>
      <c r="C31" s="125"/>
      <c r="D31" s="129"/>
      <c r="E31" s="19" t="s">
        <v>6</v>
      </c>
      <c r="F31" s="31"/>
      <c r="G31" s="16">
        <f>FLOOR(PRODUCT(0.85,G32),5)</f>
        <v>35</v>
      </c>
      <c r="H31" s="32"/>
      <c r="I31" s="15">
        <f>FLOOR(PRODUCT(0.85,I32),5)</f>
        <v>35</v>
      </c>
      <c r="J31" s="30"/>
      <c r="K31" s="17">
        <f>FLOOR(PRODUCT(0.85,K32),5)</f>
        <v>45</v>
      </c>
      <c r="L31" s="30"/>
      <c r="M31" s="16">
        <f>FLOOR(PRODUCT(0.85,M32),5)</f>
        <v>35</v>
      </c>
      <c r="N31" s="32"/>
      <c r="O31" s="103"/>
      <c r="P31" s="96"/>
    </row>
    <row r="32" spans="1:16" ht="12" customHeight="1" thickBot="1" x14ac:dyDescent="0.3">
      <c r="A32" s="93"/>
      <c r="B32" s="109"/>
      <c r="C32" s="126"/>
      <c r="D32" s="130" t="s">
        <v>27</v>
      </c>
      <c r="E32" s="131"/>
      <c r="F32" s="34"/>
      <c r="G32" s="21">
        <f>I7</f>
        <v>45</v>
      </c>
      <c r="H32" s="35"/>
      <c r="I32" s="20">
        <f>G32</f>
        <v>45</v>
      </c>
      <c r="J32" s="33"/>
      <c r="K32" s="22">
        <f>ROUNDDOWN(((I32*$N$7)/(1.0278-(0.0278*5))*(1.0278-(0.0278*K27)))/$P$10,0)*$P$10</f>
        <v>54</v>
      </c>
      <c r="L32" s="33"/>
      <c r="M32" s="21">
        <f>I32</f>
        <v>45</v>
      </c>
      <c r="N32" s="35"/>
      <c r="O32" s="103"/>
      <c r="P32" s="96"/>
    </row>
    <row r="33" spans="1:16" ht="12" customHeight="1" x14ac:dyDescent="0.25">
      <c r="A33" s="93"/>
      <c r="B33" s="109"/>
      <c r="C33" s="159"/>
      <c r="D33" s="160"/>
      <c r="E33" s="160"/>
      <c r="F33" s="10" t="s">
        <v>4</v>
      </c>
      <c r="G33" s="11"/>
      <c r="H33" s="12"/>
      <c r="I33" s="10" t="s">
        <v>4</v>
      </c>
      <c r="J33" s="36"/>
      <c r="K33" s="12"/>
      <c r="L33" s="13" t="s">
        <v>4</v>
      </c>
      <c r="M33" s="11"/>
      <c r="N33" s="12"/>
      <c r="O33" s="103"/>
      <c r="P33" s="96"/>
    </row>
    <row r="34" spans="1:16" ht="12" customHeight="1" x14ac:dyDescent="0.25">
      <c r="A34" s="93"/>
      <c r="B34" s="109"/>
      <c r="C34" s="124" t="s">
        <v>15</v>
      </c>
      <c r="D34" s="163" t="s">
        <v>24</v>
      </c>
      <c r="E34" s="19" t="s">
        <v>3</v>
      </c>
      <c r="F34" s="15">
        <f>FLOOR(PRODUCT(0.4,F37),5)</f>
        <v>45</v>
      </c>
      <c r="G34" s="37"/>
      <c r="H34" s="38"/>
      <c r="I34" s="39">
        <f>FLOOR(PRODUCT(0.4,I37),5)</f>
        <v>50</v>
      </c>
      <c r="J34" s="37"/>
      <c r="K34" s="38"/>
      <c r="L34" s="18">
        <f>FLOOR(PRODUCT(0.4,L37),5)</f>
        <v>55</v>
      </c>
      <c r="M34" s="37"/>
      <c r="N34" s="38"/>
      <c r="O34" s="103"/>
      <c r="P34" s="96"/>
    </row>
    <row r="35" spans="1:16" ht="12" customHeight="1" x14ac:dyDescent="0.25">
      <c r="A35" s="93"/>
      <c r="B35" s="109"/>
      <c r="C35" s="125"/>
      <c r="D35" s="164"/>
      <c r="E35" s="19" t="s">
        <v>5</v>
      </c>
      <c r="F35" s="15">
        <f>FLOOR(PRODUCT(0.6,F37),5)</f>
        <v>70</v>
      </c>
      <c r="G35" s="40"/>
      <c r="H35" s="41"/>
      <c r="I35" s="39">
        <f>FLOOR(PRODUCT(0.6,I37),5)</f>
        <v>75</v>
      </c>
      <c r="J35" s="40"/>
      <c r="K35" s="41"/>
      <c r="L35" s="18">
        <f>FLOOR(PRODUCT(0.6,L37),5)</f>
        <v>80</v>
      </c>
      <c r="M35" s="40"/>
      <c r="N35" s="41"/>
      <c r="O35" s="103"/>
      <c r="P35" s="96"/>
    </row>
    <row r="36" spans="1:16" ht="12" customHeight="1" x14ac:dyDescent="0.25">
      <c r="A36" s="93"/>
      <c r="B36" s="109"/>
      <c r="C36" s="125"/>
      <c r="D36" s="165"/>
      <c r="E36" s="19" t="s">
        <v>6</v>
      </c>
      <c r="F36" s="15">
        <f>FLOOR(PRODUCT(0.85,F37),5)</f>
        <v>100</v>
      </c>
      <c r="G36" s="40"/>
      <c r="H36" s="41"/>
      <c r="I36" s="39">
        <f>FLOOR(PRODUCT(0.85,I37),5)</f>
        <v>110</v>
      </c>
      <c r="J36" s="40"/>
      <c r="K36" s="41"/>
      <c r="L36" s="18">
        <f>FLOOR(PRODUCT(0.85,L37),5)</f>
        <v>115</v>
      </c>
      <c r="M36" s="40"/>
      <c r="N36" s="41"/>
      <c r="O36" s="103"/>
      <c r="P36" s="96"/>
    </row>
    <row r="37" spans="1:16" ht="12" customHeight="1" thickBot="1" x14ac:dyDescent="0.3">
      <c r="A37" s="93"/>
      <c r="B37" s="109"/>
      <c r="C37" s="126"/>
      <c r="D37" s="130" t="s">
        <v>27</v>
      </c>
      <c r="E37" s="131"/>
      <c r="F37" s="20">
        <f>I8</f>
        <v>120</v>
      </c>
      <c r="G37" s="42"/>
      <c r="H37" s="43"/>
      <c r="I37" s="44">
        <f>F37+$P$8</f>
        <v>130</v>
      </c>
      <c r="J37" s="42"/>
      <c r="K37" s="43"/>
      <c r="L37" s="23">
        <f>I37+$P$8</f>
        <v>140</v>
      </c>
      <c r="M37" s="42"/>
      <c r="N37" s="43"/>
      <c r="O37" s="103"/>
      <c r="P37" s="96"/>
    </row>
    <row r="38" spans="1:16" ht="12" customHeight="1" x14ac:dyDescent="0.25">
      <c r="A38" s="93"/>
      <c r="B38" s="109"/>
      <c r="C38" s="159"/>
      <c r="D38" s="160"/>
      <c r="E38" s="160"/>
      <c r="F38" s="10"/>
      <c r="G38" s="11"/>
      <c r="H38" s="12" t="s">
        <v>8</v>
      </c>
      <c r="I38" s="26"/>
      <c r="J38" s="45"/>
      <c r="K38" s="12" t="s">
        <v>8</v>
      </c>
      <c r="L38" s="13"/>
      <c r="M38" s="11"/>
      <c r="N38" s="12" t="s">
        <v>8</v>
      </c>
      <c r="O38" s="103"/>
      <c r="P38" s="96"/>
    </row>
    <row r="39" spans="1:16" ht="12" customHeight="1" x14ac:dyDescent="0.25">
      <c r="A39" s="93"/>
      <c r="B39" s="109"/>
      <c r="C39" s="124" t="s">
        <v>0</v>
      </c>
      <c r="D39" s="127" t="s">
        <v>24</v>
      </c>
      <c r="E39" s="19" t="s">
        <v>3</v>
      </c>
      <c r="F39" s="46"/>
      <c r="G39" s="37"/>
      <c r="H39" s="81">
        <v>45</v>
      </c>
      <c r="I39" s="28"/>
      <c r="J39" s="47"/>
      <c r="K39" s="81">
        <v>45</v>
      </c>
      <c r="L39" s="47"/>
      <c r="M39" s="37"/>
      <c r="N39" s="81">
        <v>45</v>
      </c>
      <c r="O39" s="103"/>
      <c r="P39" s="96"/>
    </row>
    <row r="40" spans="1:16" ht="12" customHeight="1" x14ac:dyDescent="0.25">
      <c r="A40" s="93"/>
      <c r="B40" s="109"/>
      <c r="C40" s="125"/>
      <c r="D40" s="128"/>
      <c r="E40" s="19" t="s">
        <v>4</v>
      </c>
      <c r="F40" s="46"/>
      <c r="G40" s="40"/>
      <c r="H40" s="17">
        <f>FLOOR(PRODUCT(0.55,H43),5)</f>
        <v>35</v>
      </c>
      <c r="I40" s="31"/>
      <c r="J40" s="47"/>
      <c r="K40" s="17">
        <f>FLOOR(PRODUCT(0.55,K43),5)</f>
        <v>40</v>
      </c>
      <c r="L40" s="47"/>
      <c r="M40" s="40"/>
      <c r="N40" s="17">
        <f>FLOOR(PRODUCT(0.55,N43),5)</f>
        <v>40</v>
      </c>
      <c r="O40" s="103"/>
      <c r="P40" s="96"/>
    </row>
    <row r="41" spans="1:16" ht="12" customHeight="1" x14ac:dyDescent="0.25">
      <c r="A41" s="93"/>
      <c r="B41" s="109"/>
      <c r="C41" s="125"/>
      <c r="D41" s="128"/>
      <c r="E41" s="19" t="s">
        <v>5</v>
      </c>
      <c r="F41" s="46"/>
      <c r="G41" s="40"/>
      <c r="H41" s="17">
        <f>FLOOR(PRODUCT(0.7,H43),5)</f>
        <v>45</v>
      </c>
      <c r="I41" s="31"/>
      <c r="J41" s="47"/>
      <c r="K41" s="17">
        <f>FLOOR(PRODUCT(0.7,K43),5)</f>
        <v>50</v>
      </c>
      <c r="L41" s="47"/>
      <c r="M41" s="40"/>
      <c r="N41" s="17">
        <f>FLOOR(PRODUCT(0.7,N43),5)</f>
        <v>55</v>
      </c>
      <c r="O41" s="103"/>
      <c r="P41" s="96"/>
    </row>
    <row r="42" spans="1:16" ht="12" customHeight="1" x14ac:dyDescent="0.25">
      <c r="A42" s="93"/>
      <c r="B42" s="109"/>
      <c r="C42" s="125"/>
      <c r="D42" s="129"/>
      <c r="E42" s="19" t="s">
        <v>6</v>
      </c>
      <c r="F42" s="46"/>
      <c r="G42" s="40"/>
      <c r="H42" s="17">
        <f>FLOOR(PRODUCT(0.85,H43),5)</f>
        <v>55</v>
      </c>
      <c r="I42" s="31"/>
      <c r="J42" s="47"/>
      <c r="K42" s="17">
        <f>FLOOR(PRODUCT(0.85,K43),5)</f>
        <v>60</v>
      </c>
      <c r="L42" s="47"/>
      <c r="M42" s="40"/>
      <c r="N42" s="17">
        <f>FLOOR(PRODUCT(0.85,N43),5)</f>
        <v>65</v>
      </c>
      <c r="O42" s="103"/>
      <c r="P42" s="96"/>
    </row>
    <row r="43" spans="1:16" ht="12" customHeight="1" thickBot="1" x14ac:dyDescent="0.3">
      <c r="A43" s="93"/>
      <c r="B43" s="109"/>
      <c r="C43" s="126"/>
      <c r="D43" s="130" t="s">
        <v>27</v>
      </c>
      <c r="E43" s="131"/>
      <c r="F43" s="48"/>
      <c r="G43" s="42"/>
      <c r="H43" s="22">
        <f>I9</f>
        <v>70</v>
      </c>
      <c r="I43" s="34"/>
      <c r="J43" s="49"/>
      <c r="K43" s="22">
        <f>H43+$P$9</f>
        <v>75</v>
      </c>
      <c r="L43" s="49"/>
      <c r="M43" s="42"/>
      <c r="N43" s="22">
        <f>K43+$P$9</f>
        <v>80</v>
      </c>
      <c r="O43" s="103"/>
      <c r="P43" s="96"/>
    </row>
    <row r="44" spans="1:16" ht="12" customHeight="1" thickBot="1" x14ac:dyDescent="0.3">
      <c r="A44" s="93"/>
      <c r="B44" s="109"/>
      <c r="C44" s="83" t="s">
        <v>25</v>
      </c>
      <c r="D44" s="130" t="s">
        <v>27</v>
      </c>
      <c r="E44" s="131"/>
      <c r="F44" s="50"/>
      <c r="G44" s="51" t="s">
        <v>9</v>
      </c>
      <c r="H44" s="52"/>
      <c r="I44" s="50"/>
      <c r="J44" s="51" t="s">
        <v>9</v>
      </c>
      <c r="K44" s="52"/>
      <c r="L44" s="53"/>
      <c r="M44" s="51" t="s">
        <v>9</v>
      </c>
      <c r="N44" s="52"/>
      <c r="O44" s="102"/>
      <c r="P44" s="96"/>
    </row>
    <row r="45" spans="1:16" ht="12" customHeight="1" thickBot="1" x14ac:dyDescent="0.3">
      <c r="A45" s="93"/>
      <c r="B45" s="109"/>
      <c r="C45" s="83" t="s">
        <v>26</v>
      </c>
      <c r="D45" s="130" t="s">
        <v>27</v>
      </c>
      <c r="E45" s="131"/>
      <c r="F45" s="54"/>
      <c r="G45" s="55" t="s">
        <v>29</v>
      </c>
      <c r="H45" s="56"/>
      <c r="I45" s="54"/>
      <c r="J45" s="55" t="s">
        <v>29</v>
      </c>
      <c r="K45" s="56"/>
      <c r="L45" s="57"/>
      <c r="M45" s="55" t="s">
        <v>29</v>
      </c>
      <c r="N45" s="56"/>
      <c r="O45" s="102"/>
      <c r="P45" s="96"/>
    </row>
    <row r="46" spans="1:16" ht="12" customHeight="1" thickBot="1" x14ac:dyDescent="0.3">
      <c r="A46" s="93"/>
      <c r="B46" s="109"/>
      <c r="C46" s="161" t="s">
        <v>28</v>
      </c>
      <c r="D46" s="162"/>
      <c r="E46" s="162"/>
      <c r="F46" s="58">
        <f>(F16*10)+(F17*5)+(F18*3)+(F19*2)+(F20*25)+(F22*10)+(F23*5)+(F24*3)+(F25*2)+(F26*25)+(F34*10)+(F35*3)+(F36*2)+(F37*5)</f>
        <v>7905</v>
      </c>
      <c r="G46" s="59">
        <f>(G16*10)+(G17*5)+(G18*3)+(G19*2)+(G20*10)+(G28*10)+(G29*5)+(G30*3)+(G31*2)+(G32*15)</f>
        <v>3040</v>
      </c>
      <c r="H46" s="60">
        <f>(H16*10)+(H17*5)+(H18*3)+(H19*2)+(H20*5)+(H22*10)+(H23*5)+(H24*3)+(H25*2)+(H26*H21)+(H39*10)+(H40*5)+(H41*3)+(H42*2)+(H43*15)</f>
        <v>4621</v>
      </c>
      <c r="I46" s="58">
        <f>(I16*10)+(I17*5)+(I18*3)+(I19*2)+(I20*25)+(I28*10)+(I29*5)+(I30*3)+(I31*2)+(I32*25)+(I34*10)+(I35*3)+(I36*2)+(I37*5)</f>
        <v>7045</v>
      </c>
      <c r="J46" s="59">
        <f>(J16*10)+(J17*5)+(J18*3)+(J19*2)+(J20*10)+(J22*10)+(J23*5)+(J24*3)+(J25*2)+(J26*15)</f>
        <v>3630</v>
      </c>
      <c r="K46" s="60">
        <f>(K16*10)+(K17*5)+(K18*3)+(K19*2)+(K20*5)+(K28*10)+(K29*5)+(K30*3)+(K31*2)+(K32*K27)+(K39*10)+(K40*5)+(K41*3)+(K42*2)+(K43*15)</f>
        <v>4494</v>
      </c>
      <c r="L46" s="67">
        <f>(L16*10)+(L17*5)+(L18*3)+(L19*2)+(L20*25)+(L22*10)+(L23*5)+(L24*3)+(L25*2)+(L26*25)+(L34*10)+(L35*3)+(L36*2)+(L37*5)</f>
        <v>8550</v>
      </c>
      <c r="M46" s="59">
        <f>(M16*10)+(M17*5)+(M18*3)+(M19*2)+(M20*10)+(M28*10)+(M29*5)+(M30*3)+(M31*2)+(M32*15)</f>
        <v>3115</v>
      </c>
      <c r="N46" s="60">
        <f>(N16*10)+(N17*5)+(N18*3)+(N19*2)+(N20*5)+(N22*10)+(N23*5)+(N24*3)+(N25*2)+(N26*N21)+(N39*10)+(N40*5)+(N41*3)+(N42*2)+(N43*15)</f>
        <v>5052</v>
      </c>
      <c r="O46" s="103"/>
      <c r="P46" s="96"/>
    </row>
    <row r="47" spans="1:16" ht="12" customHeight="1" x14ac:dyDescent="0.25">
      <c r="A47" s="93"/>
      <c r="B47" s="105"/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104"/>
      <c r="P47" s="96"/>
    </row>
    <row r="48" spans="1:16" ht="15" customHeight="1" thickBot="1" x14ac:dyDescent="0.35">
      <c r="A48" s="93"/>
      <c r="B48" s="108" t="s">
        <v>1</v>
      </c>
      <c r="C48" s="8"/>
      <c r="D48" s="9"/>
      <c r="E48" s="8"/>
      <c r="F48" s="114" t="s">
        <v>41</v>
      </c>
      <c r="G48" s="114"/>
      <c r="H48" s="114"/>
      <c r="I48" s="114" t="s">
        <v>40</v>
      </c>
      <c r="J48" s="114"/>
      <c r="K48" s="114"/>
      <c r="L48" s="114" t="s">
        <v>42</v>
      </c>
      <c r="M48" s="114"/>
      <c r="N48" s="114"/>
      <c r="O48" s="101"/>
      <c r="P48" s="96"/>
    </row>
    <row r="49" spans="1:16" ht="12" customHeight="1" x14ac:dyDescent="0.25">
      <c r="A49" s="93"/>
      <c r="B49" s="109"/>
      <c r="C49" s="153" t="s">
        <v>36</v>
      </c>
      <c r="D49" s="154"/>
      <c r="E49" s="157" t="s">
        <v>17</v>
      </c>
      <c r="F49" s="84" t="s">
        <v>18</v>
      </c>
      <c r="G49" s="85" t="s">
        <v>19</v>
      </c>
      <c r="H49" s="86" t="s">
        <v>20</v>
      </c>
      <c r="I49" s="84" t="s">
        <v>18</v>
      </c>
      <c r="J49" s="85" t="s">
        <v>19</v>
      </c>
      <c r="K49" s="86" t="s">
        <v>20</v>
      </c>
      <c r="L49" s="84" t="s">
        <v>18</v>
      </c>
      <c r="M49" s="85" t="s">
        <v>19</v>
      </c>
      <c r="N49" s="86" t="s">
        <v>20</v>
      </c>
      <c r="O49" s="102"/>
      <c r="P49" s="96"/>
    </row>
    <row r="50" spans="1:16" ht="12" customHeight="1" thickBot="1" x14ac:dyDescent="0.3">
      <c r="A50" s="93"/>
      <c r="B50" s="109"/>
      <c r="C50" s="155"/>
      <c r="D50" s="156"/>
      <c r="E50" s="158"/>
      <c r="F50" s="87" t="s">
        <v>21</v>
      </c>
      <c r="G50" s="88" t="s">
        <v>22</v>
      </c>
      <c r="H50" s="89" t="s">
        <v>23</v>
      </c>
      <c r="I50" s="87" t="s">
        <v>21</v>
      </c>
      <c r="J50" s="88" t="s">
        <v>22</v>
      </c>
      <c r="K50" s="89" t="s">
        <v>23</v>
      </c>
      <c r="L50" s="87" t="s">
        <v>21</v>
      </c>
      <c r="M50" s="88" t="s">
        <v>22</v>
      </c>
      <c r="N50" s="89" t="s">
        <v>23</v>
      </c>
      <c r="O50" s="103"/>
      <c r="P50" s="96"/>
    </row>
    <row r="51" spans="1:16" ht="12" customHeight="1" x14ac:dyDescent="0.25">
      <c r="A51" s="93"/>
      <c r="B51" s="109"/>
      <c r="C51" s="24"/>
      <c r="D51" s="63"/>
      <c r="E51" s="77"/>
      <c r="F51" s="10" t="s">
        <v>2</v>
      </c>
      <c r="G51" s="11" t="s">
        <v>3</v>
      </c>
      <c r="H51" s="12" t="s">
        <v>4</v>
      </c>
      <c r="I51" s="10" t="s">
        <v>2</v>
      </c>
      <c r="J51" s="11" t="s">
        <v>3</v>
      </c>
      <c r="K51" s="12" t="s">
        <v>4</v>
      </c>
      <c r="L51" s="10" t="s">
        <v>2</v>
      </c>
      <c r="M51" s="11" t="s">
        <v>3</v>
      </c>
      <c r="N51" s="12" t="s">
        <v>4</v>
      </c>
      <c r="O51" s="103"/>
      <c r="P51" s="96"/>
    </row>
    <row r="52" spans="1:16" ht="12" customHeight="1" x14ac:dyDescent="0.25">
      <c r="A52" s="93"/>
      <c r="B52" s="109"/>
      <c r="C52" s="125" t="s">
        <v>12</v>
      </c>
      <c r="D52" s="127" t="s">
        <v>24</v>
      </c>
      <c r="E52" s="14" t="s">
        <v>3</v>
      </c>
      <c r="F52" s="15">
        <v>45</v>
      </c>
      <c r="G52" s="16">
        <v>45</v>
      </c>
      <c r="H52" s="17">
        <v>45</v>
      </c>
      <c r="I52" s="15">
        <v>45</v>
      </c>
      <c r="J52" s="16">
        <v>45</v>
      </c>
      <c r="K52" s="17">
        <v>45</v>
      </c>
      <c r="L52" s="15">
        <v>45</v>
      </c>
      <c r="M52" s="16">
        <v>45</v>
      </c>
      <c r="N52" s="17">
        <v>45</v>
      </c>
      <c r="O52" s="103"/>
      <c r="P52" s="96"/>
    </row>
    <row r="53" spans="1:16" ht="12" customHeight="1" x14ac:dyDescent="0.25">
      <c r="A53" s="93"/>
      <c r="B53" s="109"/>
      <c r="C53" s="125"/>
      <c r="D53" s="128"/>
      <c r="E53" s="19" t="s">
        <v>4</v>
      </c>
      <c r="F53" s="15">
        <f t="shared" ref="F53:N53" si="4">FLOOR(PRODUCT(0.4,F56),5)</f>
        <v>45</v>
      </c>
      <c r="G53" s="16">
        <f t="shared" si="4"/>
        <v>35</v>
      </c>
      <c r="H53" s="17">
        <f t="shared" si="4"/>
        <v>50</v>
      </c>
      <c r="I53" s="15">
        <f t="shared" si="4"/>
        <v>45</v>
      </c>
      <c r="J53" s="16">
        <f t="shared" si="4"/>
        <v>35</v>
      </c>
      <c r="K53" s="17">
        <f t="shared" si="4"/>
        <v>50</v>
      </c>
      <c r="L53" s="15">
        <f t="shared" si="4"/>
        <v>50</v>
      </c>
      <c r="M53" s="16">
        <f t="shared" si="4"/>
        <v>40</v>
      </c>
      <c r="N53" s="17">
        <f t="shared" si="4"/>
        <v>50</v>
      </c>
      <c r="O53" s="103"/>
      <c r="P53" s="96"/>
    </row>
    <row r="54" spans="1:16" ht="12" customHeight="1" x14ac:dyDescent="0.25">
      <c r="A54" s="93"/>
      <c r="B54" s="109"/>
      <c r="C54" s="125"/>
      <c r="D54" s="128"/>
      <c r="E54" s="19" t="s">
        <v>5</v>
      </c>
      <c r="F54" s="15">
        <f t="shared" ref="F54:N54" si="5">FLOOR(PRODUCT(0.6,F56),5)</f>
        <v>65</v>
      </c>
      <c r="G54" s="16">
        <f t="shared" si="5"/>
        <v>50</v>
      </c>
      <c r="H54" s="17">
        <f t="shared" si="5"/>
        <v>75</v>
      </c>
      <c r="I54" s="15">
        <f t="shared" si="5"/>
        <v>70</v>
      </c>
      <c r="J54" s="16">
        <f t="shared" si="5"/>
        <v>55</v>
      </c>
      <c r="K54" s="17">
        <f t="shared" si="5"/>
        <v>75</v>
      </c>
      <c r="L54" s="15">
        <f t="shared" si="5"/>
        <v>75</v>
      </c>
      <c r="M54" s="16">
        <f t="shared" si="5"/>
        <v>60</v>
      </c>
      <c r="N54" s="17">
        <f t="shared" si="5"/>
        <v>80</v>
      </c>
      <c r="O54" s="103"/>
      <c r="P54" s="96"/>
    </row>
    <row r="55" spans="1:16" ht="12" customHeight="1" x14ac:dyDescent="0.25">
      <c r="A55" s="93"/>
      <c r="B55" s="109"/>
      <c r="C55" s="125"/>
      <c r="D55" s="129"/>
      <c r="E55" s="19" t="s">
        <v>6</v>
      </c>
      <c r="F55" s="15">
        <f t="shared" ref="F55:N55" si="6">FLOOR(PRODUCT(0.8,F56),5)</f>
        <v>90</v>
      </c>
      <c r="G55" s="16">
        <f t="shared" si="6"/>
        <v>70</v>
      </c>
      <c r="H55" s="17">
        <f t="shared" si="6"/>
        <v>100</v>
      </c>
      <c r="I55" s="15">
        <f t="shared" si="6"/>
        <v>95</v>
      </c>
      <c r="J55" s="16">
        <f t="shared" si="6"/>
        <v>75</v>
      </c>
      <c r="K55" s="17">
        <f t="shared" si="6"/>
        <v>100</v>
      </c>
      <c r="L55" s="15">
        <f t="shared" si="6"/>
        <v>100</v>
      </c>
      <c r="M55" s="16">
        <f t="shared" si="6"/>
        <v>80</v>
      </c>
      <c r="N55" s="17">
        <f t="shared" si="6"/>
        <v>105</v>
      </c>
      <c r="O55" s="103"/>
      <c r="P55" s="96"/>
    </row>
    <row r="56" spans="1:16" ht="12" customHeight="1" thickBot="1" x14ac:dyDescent="0.3">
      <c r="A56" s="93"/>
      <c r="B56" s="109"/>
      <c r="C56" s="126"/>
      <c r="D56" s="130" t="s">
        <v>27</v>
      </c>
      <c r="E56" s="131"/>
      <c r="F56" s="20">
        <f>L20+$P$5</f>
        <v>115</v>
      </c>
      <c r="G56" s="21">
        <f>ROUNDDOWN((F56*0.8)/$P$5,0)*$P$5</f>
        <v>90</v>
      </c>
      <c r="H56" s="22">
        <f>N20+5</f>
        <v>125</v>
      </c>
      <c r="I56" s="20">
        <f>F56+$P$5</f>
        <v>120</v>
      </c>
      <c r="J56" s="21">
        <f>ROUNDDOWN((I56*0.8)/$P$5,0)*$P$5</f>
        <v>95</v>
      </c>
      <c r="K56" s="22">
        <f>H56+5</f>
        <v>130</v>
      </c>
      <c r="L56" s="21">
        <f>I56+$P$5</f>
        <v>125</v>
      </c>
      <c r="M56" s="21">
        <f>ROUNDDOWN((L56*0.8)/$P$5,0)*$P$5</f>
        <v>100</v>
      </c>
      <c r="N56" s="22">
        <f>K56+5</f>
        <v>135</v>
      </c>
      <c r="O56" s="103"/>
      <c r="P56" s="96"/>
    </row>
    <row r="57" spans="1:16" ht="12" customHeight="1" x14ac:dyDescent="0.25">
      <c r="A57" s="93"/>
      <c r="B57" s="109"/>
      <c r="C57" s="24"/>
      <c r="D57" s="63"/>
      <c r="E57" s="76"/>
      <c r="F57" s="26"/>
      <c r="G57" s="11" t="s">
        <v>7</v>
      </c>
      <c r="H57" s="12"/>
      <c r="I57" s="10" t="s">
        <v>2</v>
      </c>
      <c r="J57" s="11"/>
      <c r="K57" s="25">
        <v>3</v>
      </c>
      <c r="L57" s="26"/>
      <c r="M57" s="11" t="s">
        <v>7</v>
      </c>
      <c r="N57" s="12"/>
      <c r="O57" s="103"/>
      <c r="P57" s="96"/>
    </row>
    <row r="58" spans="1:16" ht="12" customHeight="1" x14ac:dyDescent="0.25">
      <c r="A58" s="93"/>
      <c r="B58" s="109"/>
      <c r="C58" s="124" t="s">
        <v>13</v>
      </c>
      <c r="D58" s="127" t="s">
        <v>24</v>
      </c>
      <c r="E58" s="19" t="s">
        <v>3</v>
      </c>
      <c r="F58" s="28"/>
      <c r="G58" s="16">
        <v>45</v>
      </c>
      <c r="H58" s="29"/>
      <c r="I58" s="15">
        <v>45</v>
      </c>
      <c r="J58" s="27"/>
      <c r="K58" s="17">
        <v>45</v>
      </c>
      <c r="L58" s="28"/>
      <c r="M58" s="16">
        <v>45</v>
      </c>
      <c r="N58" s="29"/>
      <c r="O58" s="103"/>
      <c r="P58" s="96"/>
    </row>
    <row r="59" spans="1:16" ht="12" customHeight="1" x14ac:dyDescent="0.25">
      <c r="A59" s="93"/>
      <c r="B59" s="109"/>
      <c r="C59" s="125"/>
      <c r="D59" s="128"/>
      <c r="E59" s="19" t="s">
        <v>4</v>
      </c>
      <c r="F59" s="31"/>
      <c r="G59" s="16">
        <f>FLOOR(PRODUCT(0.5,G62),5)</f>
        <v>35</v>
      </c>
      <c r="H59" s="32"/>
      <c r="I59" s="15">
        <f>FLOOR(PRODUCT(0.5,I62),5)</f>
        <v>40</v>
      </c>
      <c r="J59" s="30"/>
      <c r="K59" s="17">
        <f>FLOOR(PRODUCT(0.5,K62),5)</f>
        <v>45</v>
      </c>
      <c r="L59" s="31"/>
      <c r="M59" s="16">
        <f>FLOOR(PRODUCT(0.5,M62),5)</f>
        <v>35</v>
      </c>
      <c r="N59" s="32"/>
      <c r="O59" s="103"/>
      <c r="P59" s="96"/>
    </row>
    <row r="60" spans="1:16" ht="12" customHeight="1" x14ac:dyDescent="0.25">
      <c r="A60" s="93"/>
      <c r="B60" s="109"/>
      <c r="C60" s="125"/>
      <c r="D60" s="128"/>
      <c r="E60" s="19" t="s">
        <v>5</v>
      </c>
      <c r="F60" s="31"/>
      <c r="G60" s="16">
        <f>FLOOR(PRODUCT(0.7,G62),5)</f>
        <v>50</v>
      </c>
      <c r="H60" s="32"/>
      <c r="I60" s="15">
        <f>FLOOR(PRODUCT(0.7,I62),5)</f>
        <v>60</v>
      </c>
      <c r="J60" s="30"/>
      <c r="K60" s="17">
        <f>FLOOR(PRODUCT(0.7,K62),5)</f>
        <v>65</v>
      </c>
      <c r="L60" s="31"/>
      <c r="M60" s="16">
        <f>FLOOR(PRODUCT(0.7,M62),5)</f>
        <v>50</v>
      </c>
      <c r="N60" s="32"/>
      <c r="O60" s="103"/>
      <c r="P60" s="96"/>
    </row>
    <row r="61" spans="1:16" ht="12" customHeight="1" x14ac:dyDescent="0.25">
      <c r="A61" s="93"/>
      <c r="B61" s="109"/>
      <c r="C61" s="125"/>
      <c r="D61" s="129"/>
      <c r="E61" s="19" t="s">
        <v>6</v>
      </c>
      <c r="F61" s="31"/>
      <c r="G61" s="16">
        <f t="shared" ref="G61:M61" si="7">FLOOR(PRODUCT(0.9,G62),5)</f>
        <v>65</v>
      </c>
      <c r="H61" s="32"/>
      <c r="I61" s="15">
        <f t="shared" si="7"/>
        <v>75</v>
      </c>
      <c r="J61" s="30"/>
      <c r="K61" s="17">
        <f t="shared" si="7"/>
        <v>85</v>
      </c>
      <c r="L61" s="31"/>
      <c r="M61" s="16">
        <f t="shared" si="7"/>
        <v>70</v>
      </c>
      <c r="N61" s="32"/>
      <c r="O61" s="103"/>
      <c r="P61" s="96"/>
    </row>
    <row r="62" spans="1:16" ht="12" customHeight="1" thickBot="1" x14ac:dyDescent="0.3">
      <c r="A62" s="93"/>
      <c r="B62" s="109"/>
      <c r="C62" s="126"/>
      <c r="D62" s="130" t="s">
        <v>27</v>
      </c>
      <c r="E62" s="131"/>
      <c r="F62" s="34"/>
      <c r="G62" s="21">
        <f>ROUNDDOWN((L26*0.9)/$P$10,0)*$P$10</f>
        <v>75</v>
      </c>
      <c r="H62" s="35"/>
      <c r="I62" s="20">
        <f>L26+$P$6</f>
        <v>88</v>
      </c>
      <c r="J62" s="33"/>
      <c r="K62" s="22">
        <f>ROUNDDOWN(((I62*$N$6)/(1.0278-(0.0278*5))*(1.0278-(0.0278*K57)))/$P$10,0)*$P$10</f>
        <v>99</v>
      </c>
      <c r="L62" s="34"/>
      <c r="M62" s="21">
        <f>ROUNDDOWN((I62*0.9)/$P$10,0)*$P$10</f>
        <v>78</v>
      </c>
      <c r="N62" s="35"/>
      <c r="O62" s="103"/>
      <c r="P62" s="96"/>
    </row>
    <row r="63" spans="1:16" ht="12" customHeight="1" x14ac:dyDescent="0.25">
      <c r="A63" s="93"/>
      <c r="B63" s="109"/>
      <c r="C63" s="24"/>
      <c r="D63" s="63"/>
      <c r="E63" s="76"/>
      <c r="F63" s="10" t="s">
        <v>2</v>
      </c>
      <c r="G63" s="11"/>
      <c r="H63" s="25">
        <v>2</v>
      </c>
      <c r="I63" s="10"/>
      <c r="J63" s="11" t="s">
        <v>7</v>
      </c>
      <c r="K63" s="12"/>
      <c r="L63" s="10" t="s">
        <v>2</v>
      </c>
      <c r="M63" s="11"/>
      <c r="N63" s="25">
        <v>3</v>
      </c>
      <c r="O63" s="102"/>
      <c r="P63" s="96"/>
    </row>
    <row r="64" spans="1:16" ht="12" customHeight="1" x14ac:dyDescent="0.25">
      <c r="A64" s="93"/>
      <c r="B64" s="109"/>
      <c r="C64" s="124" t="s">
        <v>14</v>
      </c>
      <c r="D64" s="127" t="s">
        <v>24</v>
      </c>
      <c r="E64" s="19" t="s">
        <v>3</v>
      </c>
      <c r="F64" s="15">
        <v>45</v>
      </c>
      <c r="G64" s="27"/>
      <c r="H64" s="17">
        <v>45</v>
      </c>
      <c r="I64" s="28"/>
      <c r="J64" s="16">
        <v>45</v>
      </c>
      <c r="K64" s="29"/>
      <c r="L64" s="15">
        <v>45</v>
      </c>
      <c r="M64" s="27"/>
      <c r="N64" s="17">
        <v>45</v>
      </c>
      <c r="O64" s="102"/>
      <c r="P64" s="96"/>
    </row>
    <row r="65" spans="1:16" ht="12" customHeight="1" x14ac:dyDescent="0.25">
      <c r="A65" s="93"/>
      <c r="B65" s="109"/>
      <c r="C65" s="125"/>
      <c r="D65" s="128"/>
      <c r="E65" s="19" t="s">
        <v>4</v>
      </c>
      <c r="F65" s="15">
        <f>FLOOR(PRODUCT(0.55,F68),5)</f>
        <v>25</v>
      </c>
      <c r="G65" s="30"/>
      <c r="H65" s="17">
        <f>FLOOR(PRODUCT(0.55,H68),5)</f>
        <v>25</v>
      </c>
      <c r="I65" s="31"/>
      <c r="J65" s="16">
        <f>FLOOR(PRODUCT(0.55,J68),5)</f>
        <v>25</v>
      </c>
      <c r="K65" s="32"/>
      <c r="L65" s="15">
        <f>FLOOR(PRODUCT(0.55,L68),5)</f>
        <v>25</v>
      </c>
      <c r="M65" s="30"/>
      <c r="N65" s="17">
        <f>FLOOR(PRODUCT(0.55,N68),5)</f>
        <v>30</v>
      </c>
      <c r="O65" s="102"/>
      <c r="P65" s="96"/>
    </row>
    <row r="66" spans="1:16" ht="12" customHeight="1" x14ac:dyDescent="0.25">
      <c r="A66" s="93"/>
      <c r="B66" s="109"/>
      <c r="C66" s="125"/>
      <c r="D66" s="128"/>
      <c r="E66" s="19" t="s">
        <v>5</v>
      </c>
      <c r="F66" s="15">
        <f>FLOOR(PRODUCT(0.7,F68),5)</f>
        <v>30</v>
      </c>
      <c r="G66" s="30"/>
      <c r="H66" s="17">
        <f>FLOOR(PRODUCT(0.7,H68),5)</f>
        <v>35</v>
      </c>
      <c r="I66" s="31"/>
      <c r="J66" s="16">
        <f>FLOOR(PRODUCT(0.7,J68),5)</f>
        <v>30</v>
      </c>
      <c r="K66" s="32"/>
      <c r="L66" s="15">
        <f>FLOOR(PRODUCT(0.7,L68),5)</f>
        <v>35</v>
      </c>
      <c r="M66" s="30"/>
      <c r="N66" s="17">
        <f>FLOOR(PRODUCT(0.7,N68),5)</f>
        <v>35</v>
      </c>
      <c r="O66" s="102"/>
      <c r="P66" s="96"/>
    </row>
    <row r="67" spans="1:16" ht="12" customHeight="1" x14ac:dyDescent="0.25">
      <c r="A67" s="93"/>
      <c r="B67" s="109"/>
      <c r="C67" s="125"/>
      <c r="D67" s="129"/>
      <c r="E67" s="19" t="s">
        <v>6</v>
      </c>
      <c r="F67" s="15">
        <f t="shared" ref="F67:N67" si="8">FLOOR(PRODUCT(0.85,F68),5)</f>
        <v>40</v>
      </c>
      <c r="G67" s="30"/>
      <c r="H67" s="17">
        <f t="shared" si="8"/>
        <v>45</v>
      </c>
      <c r="I67" s="31"/>
      <c r="J67" s="16">
        <f t="shared" si="8"/>
        <v>40</v>
      </c>
      <c r="K67" s="32"/>
      <c r="L67" s="15">
        <f t="shared" si="8"/>
        <v>40</v>
      </c>
      <c r="M67" s="30"/>
      <c r="N67" s="17">
        <f t="shared" si="8"/>
        <v>45</v>
      </c>
      <c r="O67" s="102"/>
      <c r="P67" s="96"/>
    </row>
    <row r="68" spans="1:16" ht="12" customHeight="1" thickBot="1" x14ac:dyDescent="0.3">
      <c r="A68" s="93"/>
      <c r="B68" s="109"/>
      <c r="C68" s="126"/>
      <c r="D68" s="130" t="s">
        <v>27</v>
      </c>
      <c r="E68" s="131"/>
      <c r="F68" s="20">
        <f>I32+P7</f>
        <v>48</v>
      </c>
      <c r="G68" s="33"/>
      <c r="H68" s="21">
        <f>ROUNDDOWN(((F68*$N$7)/(1.0278-(0.0278*5))*(1.0278-(0.0278*H63)))/$P$10,0)*$P$10</f>
        <v>54</v>
      </c>
      <c r="I68" s="34"/>
      <c r="J68" s="21">
        <f>F68</f>
        <v>48</v>
      </c>
      <c r="K68" s="35"/>
      <c r="L68" s="20">
        <f>F68+P7</f>
        <v>51</v>
      </c>
      <c r="M68" s="33"/>
      <c r="N68" s="22">
        <f>ROUNDDOWN(((L68*$N$7)/(1.0278-(0.0278*5))*(1.0278-(0.0278*N63)))/$P$10,0)*$P$10</f>
        <v>57</v>
      </c>
      <c r="O68" s="102"/>
      <c r="P68" s="96"/>
    </row>
    <row r="69" spans="1:16" ht="12" customHeight="1" x14ac:dyDescent="0.25">
      <c r="A69" s="93"/>
      <c r="B69" s="109"/>
      <c r="C69" s="10"/>
      <c r="D69" s="11"/>
      <c r="E69" s="45"/>
      <c r="F69" s="10" t="s">
        <v>4</v>
      </c>
      <c r="G69" s="36"/>
      <c r="H69" s="12"/>
      <c r="I69" s="10" t="s">
        <v>4</v>
      </c>
      <c r="J69" s="11"/>
      <c r="K69" s="12"/>
      <c r="L69" s="10" t="s">
        <v>4</v>
      </c>
      <c r="M69" s="36"/>
      <c r="N69" s="12"/>
      <c r="O69" s="103"/>
      <c r="P69" s="96"/>
    </row>
    <row r="70" spans="1:16" ht="12" customHeight="1" x14ac:dyDescent="0.25">
      <c r="A70" s="93"/>
      <c r="B70" s="109"/>
      <c r="C70" s="124" t="s">
        <v>15</v>
      </c>
      <c r="D70" s="163" t="s">
        <v>24</v>
      </c>
      <c r="E70" s="19" t="s">
        <v>3</v>
      </c>
      <c r="F70" s="39">
        <f>FLOOR(PRODUCT(0.4,F73),5)</f>
        <v>60</v>
      </c>
      <c r="G70" s="37"/>
      <c r="H70" s="38"/>
      <c r="I70" s="15">
        <f>FLOOR(PRODUCT(0.4,I73),5)</f>
        <v>60</v>
      </c>
      <c r="J70" s="37"/>
      <c r="K70" s="38"/>
      <c r="L70" s="39">
        <f>FLOOR(PRODUCT(0.4,L73),5)</f>
        <v>65</v>
      </c>
      <c r="M70" s="37"/>
      <c r="N70" s="38"/>
      <c r="O70" s="103"/>
      <c r="P70" s="96"/>
    </row>
    <row r="71" spans="1:16" ht="12" customHeight="1" x14ac:dyDescent="0.25">
      <c r="A71" s="93"/>
      <c r="B71" s="109"/>
      <c r="C71" s="125"/>
      <c r="D71" s="164"/>
      <c r="E71" s="19" t="s">
        <v>5</v>
      </c>
      <c r="F71" s="39">
        <f>FLOOR(PRODUCT(0.6,F73),5)</f>
        <v>90</v>
      </c>
      <c r="G71" s="40"/>
      <c r="H71" s="41"/>
      <c r="I71" s="15">
        <f>FLOOR(PRODUCT(0.6,I73),5)</f>
        <v>95</v>
      </c>
      <c r="J71" s="40"/>
      <c r="K71" s="41"/>
      <c r="L71" s="39">
        <f>FLOOR(PRODUCT(0.6,L73),5)</f>
        <v>100</v>
      </c>
      <c r="M71" s="40"/>
      <c r="N71" s="41"/>
      <c r="O71" s="103"/>
      <c r="P71" s="96"/>
    </row>
    <row r="72" spans="1:16" ht="12" customHeight="1" x14ac:dyDescent="0.25">
      <c r="A72" s="93"/>
      <c r="B72" s="109"/>
      <c r="C72" s="125"/>
      <c r="D72" s="165"/>
      <c r="E72" s="19" t="s">
        <v>6</v>
      </c>
      <c r="F72" s="39">
        <f>FLOOR(PRODUCT(0.85,F73),5)</f>
        <v>125</v>
      </c>
      <c r="G72" s="40"/>
      <c r="H72" s="41"/>
      <c r="I72" s="15">
        <f>FLOOR(PRODUCT(0.85,I73),5)</f>
        <v>135</v>
      </c>
      <c r="J72" s="40"/>
      <c r="K72" s="41"/>
      <c r="L72" s="39">
        <f>FLOOR(PRODUCT(0.85,L73),5)</f>
        <v>140</v>
      </c>
      <c r="M72" s="40"/>
      <c r="N72" s="41"/>
      <c r="O72" s="103"/>
      <c r="P72" s="96"/>
    </row>
    <row r="73" spans="1:16" ht="12" customHeight="1" thickBot="1" x14ac:dyDescent="0.3">
      <c r="A73" s="93"/>
      <c r="B73" s="109"/>
      <c r="C73" s="126"/>
      <c r="D73" s="130" t="s">
        <v>27</v>
      </c>
      <c r="E73" s="131"/>
      <c r="F73" s="44">
        <f>L37+$P$8</f>
        <v>150</v>
      </c>
      <c r="G73" s="42"/>
      <c r="H73" s="43"/>
      <c r="I73" s="20">
        <f>F73+$P$8</f>
        <v>160</v>
      </c>
      <c r="J73" s="42"/>
      <c r="K73" s="43"/>
      <c r="L73" s="44">
        <f>I73+$P$8</f>
        <v>170</v>
      </c>
      <c r="M73" s="42"/>
      <c r="N73" s="43"/>
      <c r="O73" s="103"/>
      <c r="P73" s="96"/>
    </row>
    <row r="74" spans="1:16" ht="12" customHeight="1" x14ac:dyDescent="0.25">
      <c r="A74" s="93"/>
      <c r="B74" s="109"/>
      <c r="C74" s="10"/>
      <c r="D74" s="11"/>
      <c r="E74" s="45"/>
      <c r="F74" s="26"/>
      <c r="G74" s="45"/>
      <c r="H74" s="12" t="s">
        <v>8</v>
      </c>
      <c r="I74" s="10"/>
      <c r="J74" s="11"/>
      <c r="K74" s="12" t="s">
        <v>8</v>
      </c>
      <c r="L74" s="26"/>
      <c r="M74" s="45"/>
      <c r="N74" s="12" t="s">
        <v>8</v>
      </c>
      <c r="O74" s="103"/>
      <c r="P74" s="96"/>
    </row>
    <row r="75" spans="1:16" ht="12" customHeight="1" x14ac:dyDescent="0.25">
      <c r="A75" s="93"/>
      <c r="B75" s="109"/>
      <c r="C75" s="124" t="s">
        <v>0</v>
      </c>
      <c r="D75" s="127" t="s">
        <v>24</v>
      </c>
      <c r="E75" s="19" t="s">
        <v>3</v>
      </c>
      <c r="F75" s="28"/>
      <c r="G75" s="47"/>
      <c r="H75" s="17">
        <v>45</v>
      </c>
      <c r="I75" s="46"/>
      <c r="J75" s="37"/>
      <c r="K75" s="17">
        <v>45</v>
      </c>
      <c r="L75" s="28"/>
      <c r="M75" s="47"/>
      <c r="N75" s="17">
        <v>45</v>
      </c>
      <c r="O75" s="103"/>
      <c r="P75" s="96"/>
    </row>
    <row r="76" spans="1:16" ht="12" customHeight="1" x14ac:dyDescent="0.25">
      <c r="A76" s="93"/>
      <c r="B76" s="109"/>
      <c r="C76" s="125"/>
      <c r="D76" s="128"/>
      <c r="E76" s="19" t="s">
        <v>4</v>
      </c>
      <c r="F76" s="31"/>
      <c r="G76" s="47"/>
      <c r="H76" s="17">
        <f>FLOOR(PRODUCT(0.55,H79),5)</f>
        <v>45</v>
      </c>
      <c r="I76" s="46"/>
      <c r="J76" s="40"/>
      <c r="K76" s="17">
        <f>FLOOR(PRODUCT(0.55,K79),5)</f>
        <v>45</v>
      </c>
      <c r="L76" s="31"/>
      <c r="M76" s="47"/>
      <c r="N76" s="17">
        <f>FLOOR(PRODUCT(0.55,N79),5)</f>
        <v>50</v>
      </c>
      <c r="O76" s="103"/>
      <c r="P76" s="96"/>
    </row>
    <row r="77" spans="1:16" ht="12" customHeight="1" x14ac:dyDescent="0.25">
      <c r="A77" s="93"/>
      <c r="B77" s="109"/>
      <c r="C77" s="125"/>
      <c r="D77" s="128"/>
      <c r="E77" s="19" t="s">
        <v>5</v>
      </c>
      <c r="F77" s="31"/>
      <c r="G77" s="47"/>
      <c r="H77" s="17">
        <f>FLOOR(PRODUCT(0.7,H79),5)</f>
        <v>55</v>
      </c>
      <c r="I77" s="46"/>
      <c r="J77" s="40"/>
      <c r="K77" s="17">
        <f>FLOOR(PRODUCT(0.7,K79),5)</f>
        <v>60</v>
      </c>
      <c r="L77" s="31"/>
      <c r="M77" s="47"/>
      <c r="N77" s="17">
        <f>FLOOR(PRODUCT(0.7,N79),5)</f>
        <v>65</v>
      </c>
      <c r="O77" s="103"/>
      <c r="P77" s="96"/>
    </row>
    <row r="78" spans="1:16" ht="12" customHeight="1" x14ac:dyDescent="0.25">
      <c r="A78" s="93"/>
      <c r="B78" s="109"/>
      <c r="C78" s="125"/>
      <c r="D78" s="129"/>
      <c r="E78" s="19" t="s">
        <v>6</v>
      </c>
      <c r="F78" s="31"/>
      <c r="G78" s="47"/>
      <c r="H78" s="17">
        <f>FLOOR(PRODUCT(0.85,H79),5)</f>
        <v>70</v>
      </c>
      <c r="I78" s="46"/>
      <c r="J78" s="40"/>
      <c r="K78" s="17">
        <f>FLOOR(PRODUCT(0.85,K79),5)</f>
        <v>75</v>
      </c>
      <c r="L78" s="31"/>
      <c r="M78" s="47"/>
      <c r="N78" s="17">
        <f>FLOOR(PRODUCT(0.85,N79),5)</f>
        <v>80</v>
      </c>
      <c r="O78" s="103"/>
      <c r="P78" s="96"/>
    </row>
    <row r="79" spans="1:16" ht="12" customHeight="1" thickBot="1" x14ac:dyDescent="0.3">
      <c r="A79" s="93"/>
      <c r="B79" s="109"/>
      <c r="C79" s="126"/>
      <c r="D79" s="130" t="s">
        <v>27</v>
      </c>
      <c r="E79" s="131"/>
      <c r="F79" s="34"/>
      <c r="G79" s="49"/>
      <c r="H79" s="22">
        <f>N43+$P$9</f>
        <v>85</v>
      </c>
      <c r="I79" s="48"/>
      <c r="J79" s="42"/>
      <c r="K79" s="22">
        <f>H79+$P$9</f>
        <v>90</v>
      </c>
      <c r="L79" s="34"/>
      <c r="M79" s="49"/>
      <c r="N79" s="22">
        <f>K79+$P$9</f>
        <v>95</v>
      </c>
      <c r="O79" s="103"/>
      <c r="P79" s="96"/>
    </row>
    <row r="80" spans="1:16" ht="12" customHeight="1" thickBot="1" x14ac:dyDescent="0.3">
      <c r="A80" s="93"/>
      <c r="B80" s="109"/>
      <c r="C80" s="83" t="s">
        <v>26</v>
      </c>
      <c r="D80" s="130" t="s">
        <v>27</v>
      </c>
      <c r="E80" s="131"/>
      <c r="F80" s="50"/>
      <c r="G80" s="51" t="s">
        <v>9</v>
      </c>
      <c r="H80" s="52"/>
      <c r="I80" s="50"/>
      <c r="J80" s="51" t="s">
        <v>9</v>
      </c>
      <c r="K80" s="52"/>
      <c r="L80" s="50"/>
      <c r="M80" s="51" t="s">
        <v>9</v>
      </c>
      <c r="N80" s="52"/>
      <c r="O80" s="102"/>
      <c r="P80" s="96"/>
    </row>
    <row r="81" spans="1:16" ht="12" customHeight="1" thickBot="1" x14ac:dyDescent="0.3">
      <c r="A81" s="93"/>
      <c r="B81" s="109"/>
      <c r="C81" s="83" t="s">
        <v>25</v>
      </c>
      <c r="D81" s="130" t="s">
        <v>27</v>
      </c>
      <c r="E81" s="131"/>
      <c r="F81" s="54"/>
      <c r="G81" s="55" t="s">
        <v>29</v>
      </c>
      <c r="H81" s="56"/>
      <c r="I81" s="54"/>
      <c r="J81" s="55" t="s">
        <v>29</v>
      </c>
      <c r="K81" s="56"/>
      <c r="L81" s="54"/>
      <c r="M81" s="55" t="s">
        <v>29</v>
      </c>
      <c r="N81" s="56"/>
      <c r="O81" s="102"/>
      <c r="P81" s="96"/>
    </row>
    <row r="82" spans="1:16" ht="12" customHeight="1" thickBot="1" x14ac:dyDescent="0.3">
      <c r="A82" s="93"/>
      <c r="B82" s="109"/>
      <c r="C82" s="161" t="s">
        <v>28</v>
      </c>
      <c r="D82" s="162"/>
      <c r="E82" s="162"/>
      <c r="F82" s="58">
        <f>(F52*10)+(F53*5)+(F54*3)+(F55*2)+(F56*25)+(F64*10)+(F65*5)+(F66*3)+(F67*2)+(F68*25)+(F70*10)+(F71*3)+(F72*2)+(F73*5)</f>
        <v>7740</v>
      </c>
      <c r="G82" s="59">
        <f>(G52*10)+(G53*5)+(G54*3)+(G55*2)+(G56*10)+(G58*10)+(G59*5)+(G60*3)+(G61*2)+(G62*15)</f>
        <v>3845</v>
      </c>
      <c r="H82" s="60">
        <f>(H52*10)+(H53*5)+(H54*3)+(H55*2)+(H56*5)+(H64*10)+(H65*5)+(H66*3)+(H67*2)+(H68*H63)+(H75*10)+(H76*5)+(H77*3)+(H78*2)+(H79*15)</f>
        <v>4883</v>
      </c>
      <c r="I82" s="58">
        <f>(I52*10)+(I53*5)+(I54*3)+(I55*2)+(I56*25)+(I58*10)+(I59*5)+(I60*3)+(I61*2)+(I62*25)+(I70*10)+(I71*3)+(I72*2)+(I73*5)</f>
        <v>9210</v>
      </c>
      <c r="J82" s="59">
        <f>(J52*10)+(J53*5)+(J54*3)+(J55*2)+(J56*10)+(J64*10)+(J65*5)+(J66*3)+(J67*2)+(J68*15)</f>
        <v>3355</v>
      </c>
      <c r="K82" s="60">
        <f>(K52*10)+(K53*5)+(K54*3)+(K55*2)+(K56*5)+(K58*10)+(K59*5)+(K60*3)+(K61*2)+(K62*K57)+(K75*10)+(K76*5)+(K77*3)+(K78*2)+(K79*15)</f>
        <v>5467</v>
      </c>
      <c r="L82" s="58">
        <f>(L52*10)+(L53*5)+(L54*3)+(L55*2)+(L56*25)+(L64*10)+(L65*5)+(L66*3)+(L67*2)+(L68*25)+(L70*10)+(L71*3)+(L72*2)+(L73*5)</f>
        <v>8365</v>
      </c>
      <c r="M82" s="59">
        <f>(M52*10)+(M53*5)+(M54*3)+(M55*2)+(M56*10)+(M58*10)+(M59*5)+(M60*3)+(M61*2)+(M62*15)</f>
        <v>4075</v>
      </c>
      <c r="N82" s="60">
        <f>(N52*10)+(N53*5)+(N54*3)+(N55*2)+(N56*5)+(N64*10)+(N65*5)+(N66*3)+(N67*2)+(N68*N63)+(N75*10)+(N76*5)+(N77*3)+(N78*2)+(N79*15)</f>
        <v>5271</v>
      </c>
      <c r="O82" s="103"/>
      <c r="P82" s="96"/>
    </row>
    <row r="83" spans="1:16" ht="12" customHeight="1" x14ac:dyDescent="0.25">
      <c r="A83" s="93"/>
      <c r="B83" s="105"/>
      <c r="C83" s="106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4"/>
      <c r="P83" s="96"/>
    </row>
    <row r="84" spans="1:16" x14ac:dyDescent="0.25">
      <c r="A84" s="93"/>
      <c r="B84" s="94"/>
      <c r="C84" s="94"/>
      <c r="D84" s="95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6"/>
    </row>
    <row r="85" spans="1:16" ht="13.8" thickBot="1" x14ac:dyDescent="0.3">
      <c r="A85" s="97"/>
      <c r="B85" s="98"/>
      <c r="C85" s="98"/>
      <c r="D85" s="99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100"/>
    </row>
  </sheetData>
  <mergeCells count="65">
    <mergeCell ref="A1:P1"/>
    <mergeCell ref="P3:P4"/>
    <mergeCell ref="D80:E80"/>
    <mergeCell ref="D44:E44"/>
    <mergeCell ref="D45:E45"/>
    <mergeCell ref="C46:E46"/>
    <mergeCell ref="C49:D50"/>
    <mergeCell ref="E49:E50"/>
    <mergeCell ref="C52:C56"/>
    <mergeCell ref="D52:D55"/>
    <mergeCell ref="D56:E56"/>
    <mergeCell ref="C33:E33"/>
    <mergeCell ref="C34:C37"/>
    <mergeCell ref="D34:D36"/>
    <mergeCell ref="C58:C62"/>
    <mergeCell ref="D58:D61"/>
    <mergeCell ref="D62:E62"/>
    <mergeCell ref="D81:E81"/>
    <mergeCell ref="C82:E82"/>
    <mergeCell ref="C70:C73"/>
    <mergeCell ref="D70:D72"/>
    <mergeCell ref="D73:E73"/>
    <mergeCell ref="C75:C79"/>
    <mergeCell ref="D75:D78"/>
    <mergeCell ref="D79:E79"/>
    <mergeCell ref="C64:C68"/>
    <mergeCell ref="D64:D67"/>
    <mergeCell ref="D68:E68"/>
    <mergeCell ref="C28:C32"/>
    <mergeCell ref="D28:D31"/>
    <mergeCell ref="D32:E32"/>
    <mergeCell ref="D37:E37"/>
    <mergeCell ref="C38:E38"/>
    <mergeCell ref="C39:C43"/>
    <mergeCell ref="D39:D42"/>
    <mergeCell ref="D43:E43"/>
    <mergeCell ref="D21:E21"/>
    <mergeCell ref="A3:G10"/>
    <mergeCell ref="N8:O8"/>
    <mergeCell ref="N9:O9"/>
    <mergeCell ref="J3:O3"/>
    <mergeCell ref="H10:O10"/>
    <mergeCell ref="N4:O4"/>
    <mergeCell ref="C13:D14"/>
    <mergeCell ref="E13:E14"/>
    <mergeCell ref="C15:E15"/>
    <mergeCell ref="C16:C20"/>
    <mergeCell ref="D16:D19"/>
    <mergeCell ref="D20:E20"/>
    <mergeCell ref="F48:H48"/>
    <mergeCell ref="I48:K48"/>
    <mergeCell ref="L48:N48"/>
    <mergeCell ref="A2:P2"/>
    <mergeCell ref="N5:O5"/>
    <mergeCell ref="N6:O6"/>
    <mergeCell ref="N7:O7"/>
    <mergeCell ref="H3:H4"/>
    <mergeCell ref="I3:I4"/>
    <mergeCell ref="F12:H12"/>
    <mergeCell ref="I12:K12"/>
    <mergeCell ref="L12:N12"/>
    <mergeCell ref="C22:C26"/>
    <mergeCell ref="D22:D25"/>
    <mergeCell ref="D26:E26"/>
    <mergeCell ref="C27:E27"/>
  </mergeCells>
  <hyperlinks>
    <hyperlink ref="A1" r:id="rId1" xr:uid="{6716FF11-3E45-4370-968C-F6F4801B3A24}"/>
  </hyperlinks>
  <printOptions horizontalCentered="1" verticalCentered="1"/>
  <pageMargins left="0.25" right="0.25" top="0.25" bottom="0.25" header="0" footer="0"/>
  <pageSetup scale="86" firstPageNumber="0"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 Método Texas</vt:lpstr>
      <vt:lpstr>'Rutina Método Texas'!Área_de_impresión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2010-05-20T00:53:02Z</dcterms:created>
  <dcterms:modified xsi:type="dcterms:W3CDTF">2020-10-02T19:29:36Z</dcterms:modified>
</cp:coreProperties>
</file>