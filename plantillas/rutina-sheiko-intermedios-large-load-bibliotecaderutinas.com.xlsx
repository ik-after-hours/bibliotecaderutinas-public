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" sheetId="1" r:id="rId4"/>
    <sheet state="visible" name="#37" sheetId="2" r:id="rId5"/>
    <sheet state="visible" name="#30" sheetId="3" r:id="rId6"/>
    <sheet state="visible" name="#32" sheetId="4" r:id="rId7"/>
    <sheet state="visible" name="Volume Calcs" sheetId="5" r:id="rId8"/>
  </sheets>
  <definedNames/>
  <calcPr/>
  <extLst>
    <ext uri="GoogleSheetsCustomDataVersion1">
      <go:sheetsCustomData xmlns:go="http://customooxmlschemas.google.com/" r:id="rId9" roundtripDataSignature="AMtx7mi8ge9n4ngoYCrkhQCVM97WuRYF2A=="/>
    </ext>
  </extLst>
</workbook>
</file>

<file path=xl/sharedStrings.xml><?xml version="1.0" encoding="utf-8"?>
<sst xmlns="http://schemas.openxmlformats.org/spreadsheetml/2006/main" count="757" uniqueCount="85">
  <si>
    <t>WWW.RUTINADEBIBLIOTECAS.COM</t>
  </si>
  <si>
    <t>Introduce 1RM:</t>
  </si>
  <si>
    <t>Made by ChaseT 2008.05.09</t>
  </si>
  <si>
    <t>Sentadilals</t>
  </si>
  <si>
    <t>Sheiko Intermedios Large Load</t>
  </si>
  <si>
    <t>Press de banca</t>
  </si>
  <si>
    <t>Peso muerto</t>
  </si>
  <si>
    <t>Que programa usar</t>
  </si>
  <si>
    <t>Large load:</t>
  </si>
  <si>
    <t>Menos de 80kg</t>
  </si>
  <si>
    <t>Medium load:</t>
  </si>
  <si>
    <t>Más de 80kg</t>
  </si>
  <si>
    <t>Small load:</t>
  </si>
  <si>
    <t>Más de 110kg</t>
  </si>
  <si>
    <t>Sheiko</t>
  </si>
  <si>
    <t>Bloque de preparacion 1 (4 semanas)</t>
  </si>
  <si>
    <t>semana 1</t>
  </si>
  <si>
    <t>squat</t>
  </si>
  <si>
    <t>bench</t>
  </si>
  <si>
    <t>deadlift</t>
  </si>
  <si>
    <t>semana 2</t>
  </si>
  <si>
    <t>semana 3</t>
  </si>
  <si>
    <t>semana 4</t>
  </si>
  <si>
    <t>dia 1 Lunes</t>
  </si>
  <si>
    <t>%</t>
  </si>
  <si>
    <t>reps</t>
  </si>
  <si>
    <t>sets</t>
  </si>
  <si>
    <t>peso</t>
  </si>
  <si>
    <t>50-59</t>
  </si>
  <si>
    <t>60-69</t>
  </si>
  <si>
    <t>70-79</t>
  </si>
  <si>
    <t>80-89</t>
  </si>
  <si>
    <t>90+</t>
  </si>
  <si>
    <t>dia 1 lunes</t>
  </si>
  <si>
    <t>Sentadillas</t>
  </si>
  <si>
    <t>Sentadilla</t>
  </si>
  <si>
    <t>Flys con mancuernas</t>
  </si>
  <si>
    <t>Flexiones lastradas</t>
  </si>
  <si>
    <t>Flys con mancuerna</t>
  </si>
  <si>
    <t>Fondos</t>
  </si>
  <si>
    <t>Buenos dias</t>
  </si>
  <si>
    <t>dia 3 miercoles</t>
  </si>
  <si>
    <t>weight</t>
  </si>
  <si>
    <t>Abs</t>
  </si>
  <si>
    <t>Peso muerto a las rodillas</t>
  </si>
  <si>
    <t>Press de banca inclinado</t>
  </si>
  <si>
    <t>Peso muerto en cajas</t>
  </si>
  <si>
    <t>Zancadas</t>
  </si>
  <si>
    <t>dia 5 viernes</t>
  </si>
  <si>
    <t>Press frances</t>
  </si>
  <si>
    <t>Triceps</t>
  </si>
  <si>
    <t>Bloque preparacion 2 (4 Semanas)</t>
  </si>
  <si>
    <t>Press de banca estrecho</t>
  </si>
  <si>
    <t>Flexiones</t>
  </si>
  <si>
    <t>Peso muerto hasta rodillas</t>
  </si>
  <si>
    <t>Prensa</t>
  </si>
  <si>
    <t>Bloque competicion/peaking (4 Semanas)</t>
  </si>
  <si>
    <t>dia 1 unes</t>
  </si>
  <si>
    <t>100%-105%</t>
  </si>
  <si>
    <t>2-3</t>
  </si>
  <si>
    <t>Dia 5, 6 o 7</t>
  </si>
  <si>
    <t>Competicion</t>
  </si>
  <si>
    <t>peso muerto</t>
  </si>
  <si>
    <t>sentadilla</t>
  </si>
  <si>
    <t>Volume Calculations</t>
  </si>
  <si>
    <t>Overall summary</t>
  </si>
  <si>
    <t>These graphs show the type of loading</t>
  </si>
  <si>
    <t>These graphs show the focus of the loading</t>
  </si>
  <si>
    <t>Squat</t>
  </si>
  <si>
    <t>Bench</t>
  </si>
  <si>
    <t>Deadlift</t>
  </si>
  <si>
    <t>#37</t>
  </si>
  <si>
    <t>Dead</t>
  </si>
  <si>
    <t>NL</t>
  </si>
  <si>
    <t>Avg Wt.</t>
  </si>
  <si>
    <t>Week 1</t>
  </si>
  <si>
    <t>Week 2</t>
  </si>
  <si>
    <t>Week 3</t>
  </si>
  <si>
    <t>Week 4</t>
  </si>
  <si>
    <t>Month</t>
  </si>
  <si>
    <t>% of Lifts</t>
  </si>
  <si>
    <t>Total</t>
  </si>
  <si>
    <t xml:space="preserve">Avg. Int. </t>
  </si>
  <si>
    <t>#30</t>
  </si>
  <si>
    <t>#32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</si>
</sst>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0.0"/>
      <color rgb="FF000000"/>
      <name val="Arimo"/>
    </font>
    <font>
      <b/>
      <u/>
      <sz val="10.0"/>
      <color theme="10"/>
      <name val="Arimo"/>
    </font>
    <font/>
    <font>
      <sz val="10.0"/>
      <color theme="1"/>
      <name val="Arimo"/>
    </font>
    <font>
      <b/>
      <sz val="10.0"/>
      <color rgb="FFFFFFFF"/>
      <name val="Arimo"/>
    </font>
    <font>
      <sz val="10.0"/>
      <color rgb="FFFFFFFF"/>
      <name val="Arimo"/>
    </font>
    <font>
      <sz val="24.0"/>
      <color rgb="FF990000"/>
      <name val="Arimo"/>
    </font>
    <font>
      <b/>
      <sz val="10.0"/>
      <color rgb="FF990000"/>
      <name val="Arimo"/>
    </font>
    <font>
      <b/>
      <sz val="10.0"/>
      <color theme="1"/>
      <name val="Arimo"/>
    </font>
    <font>
      <sz val="18.0"/>
      <color theme="1"/>
      <name val="Arial"/>
    </font>
    <font>
      <sz val="10.0"/>
      <color theme="1"/>
      <name val="Arial"/>
    </font>
    <font>
      <b/>
      <sz val="10.0"/>
      <color rgb="FF0000FF"/>
      <name val="Arimo"/>
    </font>
    <font>
      <b/>
      <sz val="10.0"/>
      <color rgb="FF000000"/>
      <name val="Arimo"/>
    </font>
    <font>
      <b/>
      <sz val="12.0"/>
      <color theme="1"/>
      <name val="Arimo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0000"/>
        <bgColor rgb="FF990000"/>
      </patternFill>
    </fill>
    <fill>
      <patternFill patternType="solid">
        <fgColor rgb="FF00FF00"/>
        <bgColor rgb="FF00FF0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</border>
    <border>
      <left style="thin">
        <color rgb="FF3C3C3C"/>
      </left>
      <top style="thin">
        <color rgb="FF3C3C3C"/>
      </top>
    </border>
    <border>
      <right style="thin">
        <color rgb="FF3C3C3C"/>
      </right>
      <top style="thin">
        <color rgb="FF3C3C3C"/>
      </top>
    </border>
    <border>
      <left style="thin">
        <color rgb="FF3C3C3C"/>
      </left>
    </border>
    <border>
      <right style="thin">
        <color rgb="FF3C3C3C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5" numFmtId="1" xfId="0" applyBorder="1" applyFont="1" applyNumberFormat="1"/>
    <xf borderId="0" fillId="0" fontId="3" numFmtId="1" xfId="0" applyFont="1" applyNumberFormat="1"/>
    <xf borderId="0" fillId="0" fontId="3" numFmtId="2" xfId="0" applyFont="1" applyNumberFormat="1"/>
    <xf borderId="4" fillId="4" fontId="3" numFmtId="1" xfId="0" applyBorder="1" applyFill="1" applyFont="1" applyNumberFormat="1"/>
    <xf borderId="0" fillId="0" fontId="6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1" fillId="3" fontId="4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0" fillId="0" fontId="7" numFmtId="2" xfId="0" applyAlignment="1" applyFont="1" applyNumberFormat="1">
      <alignment horizontal="center" vertical="center"/>
    </xf>
    <xf borderId="0" fillId="0" fontId="3" numFmtId="2" xfId="0" applyAlignment="1" applyFont="1" applyNumberFormat="1">
      <alignment shrinkToFit="0" vertical="center" wrapText="1"/>
    </xf>
    <xf borderId="0" fillId="0" fontId="3" numFmtId="2" xfId="0" applyAlignment="1" applyFont="1" applyNumberFormat="1">
      <alignment vertical="center"/>
    </xf>
    <xf borderId="0" fillId="0" fontId="8" numFmtId="0" xfId="0" applyAlignment="1" applyFont="1">
      <alignment horizontal="center"/>
    </xf>
    <xf borderId="0" fillId="0" fontId="8" numFmtId="1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8" numFmtId="0" xfId="0" applyFont="1"/>
    <xf borderId="0" fillId="0" fontId="9" numFmtId="0" xfId="0" applyFont="1"/>
    <xf borderId="0" fillId="0" fontId="10" numFmtId="1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0" fillId="0" fontId="11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8" numFmtId="9" xfId="0" applyAlignment="1" applyFont="1" applyNumberFormat="1">
      <alignment horizontal="center"/>
    </xf>
    <xf borderId="5" fillId="5" fontId="8" numFmtId="0" xfId="0" applyBorder="1" applyFill="1" applyFont="1"/>
    <xf borderId="5" fillId="5" fontId="3" numFmtId="0" xfId="0" applyAlignment="1" applyBorder="1" applyFont="1">
      <alignment horizontal="left"/>
    </xf>
    <xf borderId="5" fillId="5" fontId="3" numFmtId="9" xfId="0" applyAlignment="1" applyBorder="1" applyFont="1" applyNumberFormat="1">
      <alignment horizontal="center"/>
    </xf>
    <xf borderId="5" fillId="5" fontId="3" numFmtId="1" xfId="0" applyAlignment="1" applyBorder="1" applyFont="1" applyNumberFormat="1">
      <alignment horizontal="center"/>
    </xf>
    <xf borderId="6" fillId="0" fontId="3" numFmtId="1" xfId="0" applyAlignment="1" applyBorder="1" applyFont="1" applyNumberFormat="1">
      <alignment horizontal="center"/>
    </xf>
    <xf borderId="7" fillId="0" fontId="3" numFmtId="1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5" fillId="6" fontId="8" numFmtId="0" xfId="0" applyBorder="1" applyFill="1" applyFont="1"/>
    <xf borderId="5" fillId="6" fontId="3" numFmtId="0" xfId="0" applyAlignment="1" applyBorder="1" applyFont="1">
      <alignment horizontal="left"/>
    </xf>
    <xf borderId="5" fillId="6" fontId="3" numFmtId="9" xfId="0" applyAlignment="1" applyBorder="1" applyFont="1" applyNumberFormat="1">
      <alignment horizontal="center"/>
    </xf>
    <xf borderId="5" fillId="6" fontId="3" numFmtId="0" xfId="0" applyAlignment="1" applyBorder="1" applyFont="1">
      <alignment horizontal="center"/>
    </xf>
    <xf borderId="5" fillId="6" fontId="3" numFmtId="1" xfId="0" applyAlignment="1" applyBorder="1" applyFont="1" applyNumberFormat="1">
      <alignment horizontal="center"/>
    </xf>
    <xf borderId="5" fillId="5" fontId="3" numFmtId="0" xfId="0" applyAlignment="1" applyBorder="1" applyFont="1">
      <alignment horizontal="center"/>
    </xf>
    <xf borderId="8" fillId="0" fontId="3" numFmtId="1" xfId="0" applyAlignment="1" applyBorder="1" applyFont="1" applyNumberFormat="1">
      <alignment horizontal="center"/>
    </xf>
    <xf borderId="9" fillId="0" fontId="3" numFmtId="1" xfId="0" applyAlignment="1" applyBorder="1" applyFont="1" applyNumberFormat="1">
      <alignment horizontal="center"/>
    </xf>
    <xf borderId="9" fillId="0" fontId="3" numFmtId="0" xfId="0" applyAlignment="1" applyBorder="1" applyFont="1">
      <alignment horizontal="center"/>
    </xf>
    <xf borderId="5" fillId="0" fontId="8" numFmtId="0" xfId="0" applyBorder="1" applyFont="1"/>
    <xf borderId="5" fillId="0" fontId="3" numFmtId="0" xfId="0" applyAlignment="1" applyBorder="1" applyFont="1">
      <alignment horizontal="left"/>
    </xf>
    <xf borderId="5" fillId="0" fontId="3" numFmtId="9" xfId="0" applyAlignment="1" applyBorder="1" applyFont="1" applyNumberFormat="1">
      <alignment horizontal="center"/>
    </xf>
    <xf borderId="5" fillId="0" fontId="3" numFmtId="1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5" fillId="0" fontId="12" numFmtId="0" xfId="0" applyBorder="1" applyFont="1"/>
    <xf borderId="5" fillId="0" fontId="0" numFmtId="0" xfId="0" applyAlignment="1" applyBorder="1" applyFont="1">
      <alignment horizontal="left"/>
    </xf>
    <xf borderId="5" fillId="0" fontId="0" numFmtId="9" xfId="0" applyAlignment="1" applyBorder="1" applyFont="1" applyNumberFormat="1">
      <alignment horizontal="center"/>
    </xf>
    <xf borderId="5" fillId="0" fontId="0" numFmtId="1" xfId="0" applyAlignment="1" applyBorder="1" applyFont="1" applyNumberFormat="1">
      <alignment horizontal="center"/>
    </xf>
    <xf borderId="5" fillId="0" fontId="0" numFmtId="0" xfId="0" applyAlignment="1" applyBorder="1" applyFont="1">
      <alignment horizontal="center"/>
    </xf>
    <xf borderId="5" fillId="7" fontId="8" numFmtId="0" xfId="0" applyBorder="1" applyFill="1" applyFont="1"/>
    <xf borderId="5" fillId="7" fontId="3" numFmtId="0" xfId="0" applyAlignment="1" applyBorder="1" applyFont="1">
      <alignment horizontal="left"/>
    </xf>
    <xf borderId="5" fillId="7" fontId="3" numFmtId="9" xfId="0" applyAlignment="1" applyBorder="1" applyFont="1" applyNumberFormat="1">
      <alignment horizontal="center"/>
    </xf>
    <xf borderId="5" fillId="7" fontId="3" numFmtId="1" xfId="0" applyAlignment="1" applyBorder="1" applyFont="1" applyNumberFormat="1">
      <alignment horizontal="center"/>
    </xf>
    <xf borderId="5" fillId="7" fontId="3" numFmtId="0" xfId="0" applyAlignment="1" applyBorder="1" applyFont="1">
      <alignment horizontal="center"/>
    </xf>
    <xf borderId="8" fillId="0" fontId="8" numFmtId="1" xfId="0" applyAlignment="1" applyBorder="1" applyFont="1" applyNumberFormat="1">
      <alignment horizontal="center"/>
    </xf>
    <xf borderId="9" fillId="0" fontId="8" numFmtId="1" xfId="0" applyAlignment="1" applyBorder="1" applyFont="1" applyNumberFormat="1">
      <alignment horizontal="center"/>
    </xf>
    <xf borderId="0" fillId="0" fontId="8" numFmtId="1" xfId="0" applyFont="1" applyNumberFormat="1"/>
    <xf borderId="4" fillId="6" fontId="3" numFmtId="0" xfId="0" applyAlignment="1" applyBorder="1" applyFont="1">
      <alignment horizontal="left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3" numFmtId="49" xfId="0" applyAlignment="1" applyFont="1" applyNumberFormat="1">
      <alignment horizontal="center"/>
    </xf>
    <xf borderId="0" fillId="0" fontId="8" numFmtId="49" xfId="0" applyAlignment="1" applyFont="1" applyNumberFormat="1">
      <alignment horizontal="center"/>
    </xf>
    <xf borderId="0" fillId="0" fontId="3" numFmtId="49" xfId="0" applyFont="1" applyNumberFormat="1"/>
    <xf borderId="5" fillId="6" fontId="3" numFmtId="49" xfId="0" applyAlignment="1" applyBorder="1" applyFont="1" applyNumberFormat="1">
      <alignment horizontal="center"/>
    </xf>
    <xf borderId="5" fillId="5" fontId="3" numFmtId="49" xfId="0" applyAlignment="1" applyBorder="1" applyFont="1" applyNumberFormat="1">
      <alignment horizontal="center"/>
    </xf>
    <xf borderId="5" fillId="7" fontId="3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1" fillId="2" fontId="3" numFmtId="1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4" fillId="2" fontId="3" numFmtId="0" xfId="0" applyBorder="1" applyFont="1"/>
    <xf borderId="4" fillId="2" fontId="0" numFmtId="0" xfId="0" applyBorder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Squat #30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val>
            <c:numRef>
              <c:f>'Volume Calcs'!$V$59:$Y$59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val>
            <c:numRef>
              <c:f>'Volume Calcs'!$V$60:$Y$60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val>
            <c:numRef>
              <c:f>'Volume Calcs'!$V$61:$Y$61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val>
            <c:numRef>
              <c:f>'Volume Calcs'!$V$62:$Y$62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val>
            <c:numRef>
              <c:f>'Volume Calcs'!$V$63:$Y$63</c:f>
              <c:numCache/>
            </c:numRef>
          </c:val>
          <c:smooth val="0"/>
        </c:ser>
        <c:axId val="934000239"/>
        <c:axId val="110182258"/>
      </c:lineChart>
      <c:catAx>
        <c:axId val="934000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10182258"/>
      </c:catAx>
      <c:valAx>
        <c:axId val="110182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3400023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Bench #30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val>
            <c:numRef>
              <c:f>'Volume Calcs'!$AB$59:$AE$59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val>
            <c:numRef>
              <c:f>'Volume Calcs'!$AB$60:$AE$60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val>
            <c:numRef>
              <c:f>'Volume Calcs'!$AB$61:$AE$61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val>
            <c:numRef>
              <c:f>'Volume Calcs'!$AB$62:$AE$62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val>
            <c:numRef>
              <c:f>'Volume Calcs'!$AB$63:$AE$63</c:f>
              <c:numCache/>
            </c:numRef>
          </c:val>
          <c:smooth val="0"/>
        </c:ser>
        <c:axId val="1676547574"/>
        <c:axId val="325685147"/>
      </c:lineChart>
      <c:catAx>
        <c:axId val="1676547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325685147"/>
      </c:catAx>
      <c:valAx>
        <c:axId val="32568514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67654757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Deadlift #30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Calcs'!$AH$58:$AK$58</c:f>
            </c:strRef>
          </c:cat>
          <c:val>
            <c:numRef>
              <c:f>'Volume Calcs'!$AH$59:$AK$59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Calcs'!$AH$58:$AK$58</c:f>
            </c:strRef>
          </c:cat>
          <c:val>
            <c:numRef>
              <c:f>'Volume Calcs'!$AH$60:$AK$60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Calcs'!$AH$58:$AK$58</c:f>
            </c:strRef>
          </c:cat>
          <c:val>
            <c:numRef>
              <c:f>'Volume Calcs'!$AH$61:$AK$61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Calcs'!$AH$58:$AK$58</c:f>
            </c:strRef>
          </c:cat>
          <c:val>
            <c:numRef>
              <c:f>'Volume Calcs'!$AH$62:$AK$62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Calcs'!$AH$58:$AK$58</c:f>
            </c:strRef>
          </c:cat>
          <c:val>
            <c:numRef>
              <c:f>'Volume Calcs'!$AH$63:$AK$63</c:f>
              <c:numCache/>
            </c:numRef>
          </c:val>
          <c:smooth val="0"/>
        </c:ser>
        <c:axId val="976891389"/>
        <c:axId val="982154203"/>
      </c:lineChart>
      <c:catAx>
        <c:axId val="976891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1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982154203"/>
      </c:catAx>
      <c:valAx>
        <c:axId val="98215420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7689138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Squat #32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Calcs'!$V$89:$Y$89</c:f>
            </c:strRef>
          </c:cat>
          <c:val>
            <c:numRef>
              <c:f>'Volume Calcs'!$V$90:$Y$90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Calcs'!$V$89:$Y$89</c:f>
            </c:strRef>
          </c:cat>
          <c:val>
            <c:numRef>
              <c:f>'Volume Calcs'!$V$91:$Y$91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Calcs'!$V$89:$Y$89</c:f>
            </c:strRef>
          </c:cat>
          <c:val>
            <c:numRef>
              <c:f>'Volume Calcs'!$V$92:$Y$92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Calcs'!$V$89:$Y$89</c:f>
            </c:strRef>
          </c:cat>
          <c:val>
            <c:numRef>
              <c:f>'Volume Calcs'!$V$93:$Y$93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Calcs'!$V$89:$Y$89</c:f>
            </c:strRef>
          </c:cat>
          <c:val>
            <c:numRef>
              <c:f>'Volume Calcs'!$V$94:$Y$94</c:f>
              <c:numCache/>
            </c:numRef>
          </c:val>
          <c:smooth val="0"/>
        </c:ser>
        <c:axId val="1510650997"/>
        <c:axId val="835653405"/>
      </c:lineChart>
      <c:catAx>
        <c:axId val="1510650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835653405"/>
      </c:catAx>
      <c:valAx>
        <c:axId val="8356534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1065099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Bench #32</a:t>
            </a:r>
          </a:p>
        </c:rich>
      </c:tx>
      <c:overlay val="0"/>
    </c:title>
    <c:plotArea>
      <c:layout>
        <c:manualLayout>
          <c:xMode val="edge"/>
          <c:yMode val="edge"/>
          <c:x val="0.16711590296496"/>
          <c:y val="0.197183098591549"/>
          <c:w val="0.560646900269542"/>
          <c:h val="0.584507042253521"/>
        </c:manualLayout>
      </c:layout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Calcs'!$AB$89:$AE$89</c:f>
            </c:strRef>
          </c:cat>
          <c:val>
            <c:numRef>
              <c:f>'Volume Calcs'!$AB$90:$AE$90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Calcs'!$AB$89:$AE$89</c:f>
            </c:strRef>
          </c:cat>
          <c:val>
            <c:numRef>
              <c:f>'Volume Calcs'!$AB$91:$AE$91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Calcs'!$AB$89:$AE$89</c:f>
            </c:strRef>
          </c:cat>
          <c:val>
            <c:numRef>
              <c:f>'Volume Calcs'!$AB$92:$AE$92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Calcs'!$AB$89:$AE$89</c:f>
            </c:strRef>
          </c:cat>
          <c:val>
            <c:numRef>
              <c:f>'Volume Calcs'!$AB$93:$AE$93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Calcs'!$AB$89:$AE$89</c:f>
            </c:strRef>
          </c:cat>
          <c:val>
            <c:numRef>
              <c:f>'Volume Calcs'!$AB$94:$AE$94</c:f>
              <c:numCache/>
            </c:numRef>
          </c:val>
          <c:smooth val="0"/>
        </c:ser>
        <c:axId val="1665958667"/>
        <c:axId val="15144075"/>
      </c:lineChart>
      <c:catAx>
        <c:axId val="1665958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5144075"/>
      </c:catAx>
      <c:valAx>
        <c:axId val="1514407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66595866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Deadlift #32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Calcs'!$AH$89:$AK$89</c:f>
            </c:strRef>
          </c:cat>
          <c:val>
            <c:numRef>
              <c:f>'Volume Calcs'!$AH$90:$AK$90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Calcs'!$AH$89:$AK$89</c:f>
            </c:strRef>
          </c:cat>
          <c:val>
            <c:numRef>
              <c:f>'Volume Calcs'!$AH$91:$AK$91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Calcs'!$AH$89:$AK$89</c:f>
            </c:strRef>
          </c:cat>
          <c:val>
            <c:numRef>
              <c:f>'Volume Calcs'!$AH$92:$AK$92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Calcs'!$AH$89:$AK$89</c:f>
            </c:strRef>
          </c:cat>
          <c:val>
            <c:numRef>
              <c:f>'Volume Calcs'!$AH$93:$AK$93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Calcs'!$AH$89:$AK$89</c:f>
            </c:strRef>
          </c:cat>
          <c:val>
            <c:numRef>
              <c:f>'Volume Calcs'!$AH$94:$AK$94</c:f>
              <c:numCache/>
            </c:numRef>
          </c:val>
          <c:smooth val="0"/>
        </c:ser>
        <c:axId val="82789607"/>
        <c:axId val="353328933"/>
      </c:lineChart>
      <c:catAx>
        <c:axId val="82789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353328933"/>
      </c:catAx>
      <c:valAx>
        <c:axId val="35332893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278960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Lift Distribution #30</a:t>
            </a:r>
          </a:p>
        </c:rich>
      </c:tx>
      <c:overlay val="0"/>
    </c:title>
    <c:plotArea>
      <c:layout/>
      <c:lineChart>
        <c:ser>
          <c:idx val="0"/>
          <c:order val="0"/>
          <c:tx>
            <c:v>Squat</c:v>
          </c:tx>
          <c:marker>
            <c:symbol val="none"/>
          </c:marker>
          <c:cat>
            <c:strRef>
              <c:f>'Volume Calcs'!$AO$58:$AR$58</c:f>
            </c:strRef>
          </c:cat>
          <c:val>
            <c:numRef>
              <c:f>'Volume Calcs'!$AO$59:$AR$59</c:f>
              <c:numCache/>
            </c:numRef>
          </c:val>
          <c:smooth val="0"/>
        </c:ser>
        <c:ser>
          <c:idx val="1"/>
          <c:order val="1"/>
          <c:tx>
            <c:v>Deadlift</c:v>
          </c:tx>
          <c:marker>
            <c:symbol val="none"/>
          </c:marker>
          <c:cat>
            <c:strRef>
              <c:f>'Volume Calcs'!$AO$58:$AR$58</c:f>
            </c:strRef>
          </c:cat>
          <c:val>
            <c:numRef>
              <c:f>'Volume Calcs'!$AO$61:$AR$61</c:f>
              <c:numCache/>
            </c:numRef>
          </c:val>
          <c:smooth val="0"/>
        </c:ser>
        <c:ser>
          <c:idx val="2"/>
          <c:order val="2"/>
          <c:tx>
            <c:v>Bench</c:v>
          </c:tx>
          <c:marker>
            <c:symbol val="none"/>
          </c:marker>
          <c:cat>
            <c:strRef>
              <c:f>'Volume Calcs'!$AO$58:$AR$58</c:f>
            </c:strRef>
          </c:cat>
          <c:val>
            <c:numRef>
              <c:f>'Volume Calcs'!$AO$60:$AR$60</c:f>
              <c:numCache/>
            </c:numRef>
          </c:val>
          <c:smooth val="0"/>
        </c:ser>
        <c:axId val="438946472"/>
        <c:axId val="975829185"/>
      </c:lineChart>
      <c:catAx>
        <c:axId val="438946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975829185"/>
      </c:catAx>
      <c:valAx>
        <c:axId val="975829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38946472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Lift Distribution #32</a:t>
            </a:r>
          </a:p>
        </c:rich>
      </c:tx>
      <c:overlay val="0"/>
    </c:title>
    <c:plotArea>
      <c:layout/>
      <c:lineChart>
        <c:ser>
          <c:idx val="0"/>
          <c:order val="0"/>
          <c:tx>
            <c:v>Squat</c:v>
          </c:tx>
          <c:marker>
            <c:symbol val="none"/>
          </c:marker>
          <c:cat>
            <c:strRef>
              <c:f>'Volume Calcs'!$AO$89:$AR$89</c:f>
            </c:strRef>
          </c:cat>
          <c:val>
            <c:numRef>
              <c:f>'Volume Calcs'!$AO$90:$AR$90</c:f>
              <c:numCache/>
            </c:numRef>
          </c:val>
          <c:smooth val="0"/>
        </c:ser>
        <c:ser>
          <c:idx val="1"/>
          <c:order val="1"/>
          <c:tx>
            <c:v>Deadlift</c:v>
          </c:tx>
          <c:marker>
            <c:symbol val="none"/>
          </c:marker>
          <c:cat>
            <c:strRef>
              <c:f>'Volume Calcs'!$AO$89:$AR$89</c:f>
            </c:strRef>
          </c:cat>
          <c:val>
            <c:numRef>
              <c:f>'Volume Calcs'!$AO$92:$AR$92</c:f>
              <c:numCache/>
            </c:numRef>
          </c:val>
          <c:smooth val="0"/>
        </c:ser>
        <c:ser>
          <c:idx val="2"/>
          <c:order val="2"/>
          <c:tx>
            <c:v>Bench</c:v>
          </c:tx>
          <c:marker>
            <c:symbol val="none"/>
          </c:marker>
          <c:cat>
            <c:strRef>
              <c:f>'Volume Calcs'!$AO$89:$AR$89</c:f>
            </c:strRef>
          </c:cat>
          <c:val>
            <c:numRef>
              <c:f>'Volume Calcs'!$AO$91:$AR$91</c:f>
              <c:numCache/>
            </c:numRef>
          </c:val>
          <c:smooth val="0"/>
        </c:ser>
        <c:axId val="1498384126"/>
        <c:axId val="529467037"/>
      </c:lineChart>
      <c:catAx>
        <c:axId val="1498384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1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529467037"/>
      </c:catAx>
      <c:valAx>
        <c:axId val="529467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98384126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Squat #37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Calcs'!$V$26:$Y$26</c:f>
            </c:strRef>
          </c:cat>
          <c:val>
            <c:numRef>
              <c:f>'Volume Calcs'!$V$27:$Y$27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Calcs'!$V$26:$Y$26</c:f>
            </c:strRef>
          </c:cat>
          <c:val>
            <c:numRef>
              <c:f>'Volume Calcs'!$V$28:$Y$28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Calcs'!$V$26:$Y$26</c:f>
            </c:strRef>
          </c:cat>
          <c:val>
            <c:numRef>
              <c:f>'Volume Calcs'!$V$29:$Y$29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Calcs'!$V$26:$Y$26</c:f>
            </c:strRef>
          </c:cat>
          <c:val>
            <c:numRef>
              <c:f>'Volume Calcs'!$V$30:$Y$30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Calcs'!$V$26:$Y$26</c:f>
            </c:strRef>
          </c:cat>
          <c:val>
            <c:numRef>
              <c:f>'Volume Calcs'!$V$31:$Y$31</c:f>
              <c:numCache/>
            </c:numRef>
          </c:val>
          <c:smooth val="0"/>
        </c:ser>
        <c:axId val="988591831"/>
        <c:axId val="1614944377"/>
      </c:lineChart>
      <c:catAx>
        <c:axId val="988591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614944377"/>
      </c:catAx>
      <c:valAx>
        <c:axId val="16149443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8859183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Bench #37</a:t>
            </a:r>
          </a:p>
        </c:rich>
      </c:tx>
      <c:overlay val="0"/>
    </c:title>
    <c:plotArea>
      <c:layout>
        <c:manualLayout>
          <c:xMode val="edge"/>
          <c:yMode val="edge"/>
          <c:x val="0.16711590296496"/>
          <c:y val="0.197183098591549"/>
          <c:w val="0.560646900269542"/>
          <c:h val="0.584507042253521"/>
        </c:manualLayout>
      </c:layout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Calcs'!$AB$26:$AE$26</c:f>
            </c:strRef>
          </c:cat>
          <c:val>
            <c:numRef>
              <c:f>'Volume Calcs'!$AB$27:$AE$27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Calcs'!$AB$26:$AE$26</c:f>
            </c:strRef>
          </c:cat>
          <c:val>
            <c:numRef>
              <c:f>'Volume Calcs'!$AB$28:$AE$28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Calcs'!$AB$26:$AE$26</c:f>
            </c:strRef>
          </c:cat>
          <c:val>
            <c:numRef>
              <c:f>'Volume Calcs'!$AB$29:$AE$29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Calcs'!$AB$26:$AE$26</c:f>
            </c:strRef>
          </c:cat>
          <c:val>
            <c:numRef>
              <c:f>'Volume Calcs'!$AB$30:$AE$30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Calcs'!$AB$26:$AE$26</c:f>
            </c:strRef>
          </c:cat>
          <c:val>
            <c:numRef>
              <c:f>'Volume Calcs'!$AB$31:$AE$31</c:f>
              <c:numCache/>
            </c:numRef>
          </c:val>
          <c:smooth val="0"/>
        </c:ser>
        <c:axId val="980832244"/>
        <c:axId val="666777495"/>
      </c:lineChart>
      <c:catAx>
        <c:axId val="980832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666777495"/>
      </c:catAx>
      <c:valAx>
        <c:axId val="66677749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8083224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Deadlift #37</a:t>
            </a:r>
          </a:p>
        </c:rich>
      </c:tx>
      <c:overlay val="0"/>
    </c:title>
    <c:plotArea>
      <c:layout/>
      <c:lineChart>
        <c:ser>
          <c:idx val="0"/>
          <c:order val="0"/>
          <c:tx>
            <c:v>50-59</c:v>
          </c:tx>
          <c:marker>
            <c:symbol val="none"/>
          </c:marker>
          <c:cat>
            <c:strRef>
              <c:f>'Volume Calcs'!$AH$26:$AK$26</c:f>
            </c:strRef>
          </c:cat>
          <c:val>
            <c:numRef>
              <c:f>'Volume Calcs'!$AH$27:$AK$27</c:f>
              <c:numCache/>
            </c:numRef>
          </c:val>
          <c:smooth val="0"/>
        </c:ser>
        <c:ser>
          <c:idx val="1"/>
          <c:order val="1"/>
          <c:tx>
            <c:v>60-69</c:v>
          </c:tx>
          <c:marker>
            <c:symbol val="none"/>
          </c:marker>
          <c:cat>
            <c:strRef>
              <c:f>'Volume Calcs'!$AH$26:$AK$26</c:f>
            </c:strRef>
          </c:cat>
          <c:val>
            <c:numRef>
              <c:f>'Volume Calcs'!$AH$28:$AK$28</c:f>
              <c:numCache/>
            </c:numRef>
          </c:val>
          <c:smooth val="0"/>
        </c:ser>
        <c:ser>
          <c:idx val="2"/>
          <c:order val="2"/>
          <c:tx>
            <c:v>70-79</c:v>
          </c:tx>
          <c:marker>
            <c:symbol val="none"/>
          </c:marker>
          <c:cat>
            <c:strRef>
              <c:f>'Volume Calcs'!$AH$26:$AK$26</c:f>
            </c:strRef>
          </c:cat>
          <c:val>
            <c:numRef>
              <c:f>'Volume Calcs'!$AH$29:$AK$29</c:f>
              <c:numCache/>
            </c:numRef>
          </c:val>
          <c:smooth val="0"/>
        </c:ser>
        <c:ser>
          <c:idx val="3"/>
          <c:order val="3"/>
          <c:tx>
            <c:v>80-89</c:v>
          </c:tx>
          <c:marker>
            <c:symbol val="none"/>
          </c:marker>
          <c:cat>
            <c:strRef>
              <c:f>'Volume Calcs'!$AH$26:$AK$26</c:f>
            </c:strRef>
          </c:cat>
          <c:val>
            <c:numRef>
              <c:f>'Volume Calcs'!$AH$30:$AK$30</c:f>
              <c:numCache/>
            </c:numRef>
          </c:val>
          <c:smooth val="0"/>
        </c:ser>
        <c:ser>
          <c:idx val="4"/>
          <c:order val="4"/>
          <c:tx>
            <c:v>90+</c:v>
          </c:tx>
          <c:marker>
            <c:symbol val="none"/>
          </c:marker>
          <c:cat>
            <c:strRef>
              <c:f>'Volume Calcs'!$AH$26:$AK$26</c:f>
            </c:strRef>
          </c:cat>
          <c:val>
            <c:numRef>
              <c:f>'Volume Calcs'!$AH$31:$AK$31</c:f>
              <c:numCache/>
            </c:numRef>
          </c:val>
          <c:smooth val="0"/>
        </c:ser>
        <c:axId val="749083864"/>
        <c:axId val="162441560"/>
      </c:lineChart>
      <c:catAx>
        <c:axId val="74908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62441560"/>
      </c:catAx>
      <c:valAx>
        <c:axId val="16244156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4908386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Lift Distribution #37</a:t>
            </a:r>
          </a:p>
        </c:rich>
      </c:tx>
      <c:overlay val="0"/>
    </c:title>
    <c:plotArea>
      <c:layout/>
      <c:lineChart>
        <c:ser>
          <c:idx val="0"/>
          <c:order val="0"/>
          <c:tx>
            <c:v>Squat</c:v>
          </c:tx>
          <c:marker>
            <c:symbol val="none"/>
          </c:marker>
          <c:cat>
            <c:strRef>
              <c:f>'Volume Calcs'!$AO$26:$AR$26</c:f>
            </c:strRef>
          </c:cat>
          <c:val>
            <c:numRef>
              <c:f>'Volume Calcs'!$AO$27:$AR$27</c:f>
              <c:numCache/>
            </c:numRef>
          </c:val>
          <c:smooth val="0"/>
        </c:ser>
        <c:ser>
          <c:idx val="1"/>
          <c:order val="1"/>
          <c:tx>
            <c:v>Deadlift</c:v>
          </c:tx>
          <c:marker>
            <c:symbol val="none"/>
          </c:marker>
          <c:cat>
            <c:strRef>
              <c:f>'Volume Calcs'!$AO$26:$AR$26</c:f>
            </c:strRef>
          </c:cat>
          <c:val>
            <c:numRef>
              <c:f>'Volume Calcs'!$AO$29:$AR$29</c:f>
              <c:numCache/>
            </c:numRef>
          </c:val>
          <c:smooth val="0"/>
        </c:ser>
        <c:ser>
          <c:idx val="2"/>
          <c:order val="2"/>
          <c:tx>
            <c:v>Bench</c:v>
          </c:tx>
          <c:marker>
            <c:symbol val="none"/>
          </c:marker>
          <c:cat>
            <c:strRef>
              <c:f>'Volume Calcs'!$AO$26:$AR$26</c:f>
            </c:strRef>
          </c:cat>
          <c:val>
            <c:numRef>
              <c:f>'Volume Calcs'!$AO$28:$AR$28</c:f>
              <c:numCache/>
            </c:numRef>
          </c:val>
          <c:smooth val="0"/>
        </c:ser>
        <c:axId val="999896847"/>
        <c:axId val="2092071224"/>
      </c:lineChart>
      <c:catAx>
        <c:axId val="99989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2092071224"/>
      </c:catAx>
      <c:valAx>
        <c:axId val="2092071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9989684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619125</xdr:colOff>
      <xdr:row>37</xdr:row>
      <xdr:rowOff>123825</xdr:rowOff>
    </xdr:from>
    <xdr:ext cx="3952875" cy="2581275"/>
    <xdr:graphicFrame>
      <xdr:nvGraphicFramePr>
        <xdr:cNvPr id="131805877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352425</xdr:colOff>
      <xdr:row>38</xdr:row>
      <xdr:rowOff>9525</xdr:rowOff>
    </xdr:from>
    <xdr:ext cx="3667125" cy="2562225"/>
    <xdr:graphicFrame>
      <xdr:nvGraphicFramePr>
        <xdr:cNvPr id="109521600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57150</xdr:colOff>
      <xdr:row>38</xdr:row>
      <xdr:rowOff>0</xdr:rowOff>
    </xdr:from>
    <xdr:ext cx="3590925" cy="2581275"/>
    <xdr:graphicFrame>
      <xdr:nvGraphicFramePr>
        <xdr:cNvPr id="128846909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76200</xdr:colOff>
      <xdr:row>69</xdr:row>
      <xdr:rowOff>38100</xdr:rowOff>
    </xdr:from>
    <xdr:ext cx="3590925" cy="2705100"/>
    <xdr:graphicFrame>
      <xdr:nvGraphicFramePr>
        <xdr:cNvPr id="127500516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238125</xdr:colOff>
      <xdr:row>69</xdr:row>
      <xdr:rowOff>38100</xdr:rowOff>
    </xdr:from>
    <xdr:ext cx="3362325" cy="2705100"/>
    <xdr:graphicFrame>
      <xdr:nvGraphicFramePr>
        <xdr:cNvPr id="1559843310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32</xdr:col>
      <xdr:colOff>161925</xdr:colOff>
      <xdr:row>69</xdr:row>
      <xdr:rowOff>47625</xdr:rowOff>
    </xdr:from>
    <xdr:ext cx="3819525" cy="2705100"/>
    <xdr:graphicFrame>
      <xdr:nvGraphicFramePr>
        <xdr:cNvPr id="831610173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38</xdr:col>
      <xdr:colOff>257175</xdr:colOff>
      <xdr:row>38</xdr:row>
      <xdr:rowOff>9525</xdr:rowOff>
    </xdr:from>
    <xdr:ext cx="4362450" cy="2543175"/>
    <xdr:graphicFrame>
      <xdr:nvGraphicFramePr>
        <xdr:cNvPr id="2136612023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39</xdr:col>
      <xdr:colOff>0</xdr:colOff>
      <xdr:row>68</xdr:row>
      <xdr:rowOff>161925</xdr:rowOff>
    </xdr:from>
    <xdr:ext cx="3981450" cy="2705100"/>
    <xdr:graphicFrame>
      <xdr:nvGraphicFramePr>
        <xdr:cNvPr id="842159493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20</xdr:col>
      <xdr:colOff>85725</xdr:colOff>
      <xdr:row>6</xdr:row>
      <xdr:rowOff>38100</xdr:rowOff>
    </xdr:from>
    <xdr:ext cx="3590925" cy="2705100"/>
    <xdr:graphicFrame>
      <xdr:nvGraphicFramePr>
        <xdr:cNvPr id="1697708078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26</xdr:col>
      <xdr:colOff>180975</xdr:colOff>
      <xdr:row>6</xdr:row>
      <xdr:rowOff>38100</xdr:rowOff>
    </xdr:from>
    <xdr:ext cx="3362325" cy="2705100"/>
    <xdr:graphicFrame>
      <xdr:nvGraphicFramePr>
        <xdr:cNvPr id="998190035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32</xdr:col>
      <xdr:colOff>38100</xdr:colOff>
      <xdr:row>6</xdr:row>
      <xdr:rowOff>38100</xdr:rowOff>
    </xdr:from>
    <xdr:ext cx="3590925" cy="2705100"/>
    <xdr:graphicFrame>
      <xdr:nvGraphicFramePr>
        <xdr:cNvPr id="1934557484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38</xdr:col>
      <xdr:colOff>390525</xdr:colOff>
      <xdr:row>6</xdr:row>
      <xdr:rowOff>28575</xdr:rowOff>
    </xdr:from>
    <xdr:ext cx="4191000" cy="2705100"/>
    <xdr:graphicFrame>
      <xdr:nvGraphicFramePr>
        <xdr:cNvPr id="1834886175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rutinadebiblioteca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5" width="11.43"/>
    <col customWidth="1" min="6" max="6" width="8.71"/>
    <col customWidth="1" min="7" max="10" width="9.14"/>
    <col customWidth="1" min="11" max="25" width="8.71"/>
    <col customWidth="1" hidden="1" min="26" max="26" width="0.14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Z1" s="4"/>
    </row>
    <row r="2" ht="12.75" customHeight="1">
      <c r="A2" s="5" t="s">
        <v>1</v>
      </c>
      <c r="B2" s="6"/>
      <c r="C2" s="6"/>
      <c r="D2" s="7"/>
      <c r="E2" s="7"/>
      <c r="G2" s="8"/>
      <c r="H2" s="8"/>
      <c r="I2" s="8"/>
      <c r="J2" s="8"/>
      <c r="Z2" s="4" t="s">
        <v>2</v>
      </c>
    </row>
    <row r="3" ht="12.75" customHeight="1">
      <c r="A3" s="4" t="s">
        <v>3</v>
      </c>
      <c r="B3" s="9">
        <v>100.0</v>
      </c>
      <c r="C3" s="8"/>
      <c r="D3" s="10" t="s">
        <v>4</v>
      </c>
      <c r="Z3" s="4"/>
    </row>
    <row r="4" ht="12.75" customHeight="1">
      <c r="A4" s="4" t="s">
        <v>5</v>
      </c>
      <c r="B4" s="9">
        <v>100.0</v>
      </c>
      <c r="C4" s="7"/>
      <c r="Z4" s="4"/>
    </row>
    <row r="5" ht="12.75" customHeight="1">
      <c r="A5" s="4" t="s">
        <v>6</v>
      </c>
      <c r="B5" s="9">
        <v>100.0</v>
      </c>
      <c r="C5" s="7"/>
      <c r="Z5" s="4"/>
    </row>
    <row r="6" ht="12.75" customHeight="1">
      <c r="B6" s="7"/>
      <c r="C6" s="7"/>
      <c r="Z6" s="4"/>
    </row>
    <row r="7" ht="12.75" customHeight="1">
      <c r="B7" s="7"/>
      <c r="C7" s="7"/>
      <c r="Z7" s="4"/>
    </row>
    <row r="8" ht="12.75" customHeight="1">
      <c r="B8" s="7"/>
      <c r="C8" s="7"/>
      <c r="Z8" s="4"/>
    </row>
    <row r="9" ht="12.75" customHeight="1">
      <c r="B9" s="7"/>
      <c r="C9" s="7"/>
      <c r="Z9" s="4"/>
    </row>
    <row r="10" ht="12.75" customHeight="1">
      <c r="B10" s="7"/>
      <c r="C10" s="7"/>
      <c r="Z10" s="4"/>
    </row>
    <row r="11" ht="12.75" customHeight="1">
      <c r="B11" s="7"/>
      <c r="C11" s="7"/>
      <c r="Z11" s="4"/>
    </row>
    <row r="12" ht="12.75" customHeight="1">
      <c r="B12" s="7"/>
      <c r="C12" s="7"/>
      <c r="D12" s="7"/>
      <c r="E12" s="7"/>
      <c r="G12" s="8"/>
      <c r="H12" s="8"/>
      <c r="I12" s="8"/>
      <c r="J12" s="8"/>
      <c r="Z12" s="4"/>
    </row>
    <row r="13" ht="12.75" customHeight="1">
      <c r="B13" s="7"/>
      <c r="C13" s="7"/>
      <c r="D13" s="7"/>
      <c r="Z13" s="4"/>
    </row>
    <row r="14" ht="12.75" customHeight="1">
      <c r="B14" s="7"/>
      <c r="C14" s="7"/>
      <c r="D14" s="7"/>
      <c r="Z14" s="4"/>
    </row>
    <row r="15" ht="12.75" customHeight="1">
      <c r="B15" s="7"/>
      <c r="C15" s="7"/>
      <c r="D15" s="7"/>
      <c r="Z15" s="4"/>
    </row>
    <row r="16" ht="12.75" customHeight="1">
      <c r="B16" s="7"/>
      <c r="C16" s="7"/>
      <c r="D16" s="7"/>
      <c r="E16" s="7"/>
      <c r="G16" s="8"/>
      <c r="H16" s="8"/>
      <c r="I16" s="8"/>
      <c r="J16" s="8"/>
      <c r="Z16" s="4"/>
    </row>
    <row r="17" ht="12.75" customHeight="1">
      <c r="G17" s="11"/>
      <c r="H17" s="12" t="s">
        <v>7</v>
      </c>
      <c r="I17" s="2"/>
      <c r="J17" s="2"/>
      <c r="K17" s="2"/>
      <c r="L17" s="2"/>
      <c r="M17" s="2"/>
      <c r="N17" s="3"/>
      <c r="Z17" s="4"/>
    </row>
    <row r="18" ht="12.75" customHeight="1">
      <c r="G18" s="13"/>
      <c r="H18" s="14" t="s">
        <v>8</v>
      </c>
      <c r="J18" s="15" t="s">
        <v>9</v>
      </c>
      <c r="Z18" s="4"/>
    </row>
    <row r="19" ht="12.75" customHeight="1">
      <c r="G19" s="8"/>
      <c r="Z19" s="4"/>
    </row>
    <row r="20" ht="12.75" customHeight="1">
      <c r="G20" s="8"/>
      <c r="H20" s="14" t="s">
        <v>10</v>
      </c>
      <c r="J20" s="16" t="s">
        <v>11</v>
      </c>
      <c r="Z20" s="4"/>
    </row>
    <row r="21" ht="12.75" customHeight="1">
      <c r="G21" s="8"/>
      <c r="Z21" s="4"/>
    </row>
    <row r="22" ht="12.75" customHeight="1">
      <c r="G22" s="8"/>
      <c r="H22" s="14" t="s">
        <v>12</v>
      </c>
      <c r="J22" s="16" t="s">
        <v>13</v>
      </c>
      <c r="Z22" s="4"/>
    </row>
    <row r="23" ht="12.75" customHeight="1">
      <c r="G23" s="8"/>
      <c r="Z23" s="4"/>
    </row>
    <row r="24" ht="12.75" customHeight="1">
      <c r="G24" s="8"/>
      <c r="H24" s="8"/>
      <c r="I24" s="8"/>
      <c r="J24" s="8"/>
      <c r="Z24" s="4"/>
    </row>
    <row r="25" ht="12.75" customHeight="1">
      <c r="G25" s="8"/>
      <c r="H25" s="8"/>
      <c r="I25" s="8"/>
      <c r="J25" s="8"/>
      <c r="Z25" s="4"/>
    </row>
    <row r="26" ht="12.75" customHeight="1">
      <c r="G26" s="8"/>
      <c r="H26" s="8"/>
      <c r="I26" s="8"/>
      <c r="J26" s="8"/>
      <c r="Z26" s="4"/>
    </row>
    <row r="27" ht="12.75" customHeight="1">
      <c r="G27" s="8"/>
      <c r="H27" s="8"/>
      <c r="I27" s="8"/>
      <c r="J27" s="8"/>
      <c r="Z27" s="4"/>
    </row>
    <row r="28" ht="12.75" customHeight="1">
      <c r="G28" s="8"/>
      <c r="H28" s="8"/>
      <c r="I28" s="8"/>
      <c r="J28" s="8"/>
      <c r="Z28" s="4"/>
    </row>
    <row r="29" ht="12.75" customHeight="1">
      <c r="G29" s="8"/>
      <c r="H29" s="8"/>
      <c r="I29" s="8"/>
      <c r="J29" s="8"/>
      <c r="Z29" s="4"/>
    </row>
    <row r="30" ht="12.75" customHeight="1">
      <c r="G30" s="8"/>
      <c r="H30" s="8"/>
      <c r="I30" s="8"/>
      <c r="J30" s="8"/>
      <c r="Z30" s="4"/>
    </row>
    <row r="31" ht="12.75" customHeight="1">
      <c r="G31" s="8"/>
      <c r="H31" s="8"/>
      <c r="I31" s="8"/>
      <c r="J31" s="8"/>
      <c r="Z31" s="4"/>
    </row>
    <row r="32" ht="12.75" customHeight="1">
      <c r="G32" s="8"/>
      <c r="H32" s="8"/>
      <c r="I32" s="8"/>
      <c r="J32" s="8"/>
      <c r="Z32" s="4"/>
    </row>
    <row r="33" ht="12.75" customHeight="1">
      <c r="B33" s="7"/>
      <c r="C33" s="7"/>
      <c r="D33" s="7"/>
      <c r="E33" s="7"/>
      <c r="G33" s="8"/>
      <c r="H33" s="8"/>
      <c r="I33" s="8"/>
      <c r="J33" s="8"/>
      <c r="Z33" s="4"/>
    </row>
    <row r="34" ht="12.75" customHeight="1">
      <c r="B34" s="7"/>
      <c r="C34" s="7"/>
      <c r="D34" s="7"/>
      <c r="E34" s="7"/>
      <c r="G34" s="8"/>
      <c r="H34" s="8"/>
      <c r="I34" s="8"/>
      <c r="J34" s="8"/>
      <c r="Z34" s="4"/>
    </row>
    <row r="35" ht="12.75" customHeight="1">
      <c r="B35" s="7"/>
      <c r="C35" s="7"/>
      <c r="D35" s="7"/>
      <c r="E35" s="7"/>
      <c r="G35" s="8"/>
      <c r="H35" s="8"/>
      <c r="I35" s="8"/>
      <c r="J35" s="8"/>
      <c r="Z35" s="4"/>
    </row>
    <row r="36" ht="12.75" customHeight="1">
      <c r="B36" s="7"/>
      <c r="C36" s="7"/>
      <c r="D36" s="7"/>
      <c r="E36" s="7"/>
      <c r="G36" s="8"/>
      <c r="H36" s="8"/>
      <c r="I36" s="8"/>
      <c r="J36" s="8"/>
      <c r="Z36" s="4"/>
    </row>
    <row r="37" ht="12.75" customHeight="1">
      <c r="B37" s="7"/>
      <c r="C37" s="7"/>
      <c r="D37" s="7"/>
      <c r="E37" s="7"/>
      <c r="G37" s="8"/>
      <c r="H37" s="8"/>
      <c r="I37" s="8"/>
      <c r="J37" s="8"/>
      <c r="Z37" s="4"/>
    </row>
    <row r="38" ht="12.75" customHeight="1">
      <c r="B38" s="7"/>
      <c r="C38" s="7"/>
      <c r="D38" s="7"/>
      <c r="E38" s="7"/>
      <c r="G38" s="8"/>
      <c r="H38" s="8"/>
      <c r="I38" s="8"/>
      <c r="J38" s="8"/>
      <c r="Z38" s="4"/>
    </row>
    <row r="39" ht="12.75" customHeight="1">
      <c r="B39" s="7"/>
      <c r="C39" s="7"/>
      <c r="D39" s="7"/>
      <c r="E39" s="7"/>
      <c r="G39" s="8"/>
      <c r="H39" s="8"/>
      <c r="I39" s="8"/>
      <c r="J39" s="8"/>
      <c r="Z39" s="4"/>
    </row>
    <row r="40" ht="12.75" customHeight="1">
      <c r="B40" s="7"/>
      <c r="C40" s="7"/>
      <c r="D40" s="7"/>
      <c r="E40" s="7"/>
      <c r="G40" s="8"/>
      <c r="H40" s="8"/>
      <c r="I40" s="8"/>
      <c r="J40" s="8"/>
      <c r="Z40" s="4"/>
    </row>
    <row r="41" ht="12.75" customHeight="1">
      <c r="B41" s="7"/>
      <c r="C41" s="7"/>
      <c r="D41" s="7"/>
      <c r="E41" s="7"/>
      <c r="G41" s="8"/>
      <c r="H41" s="8"/>
      <c r="I41" s="8"/>
      <c r="J41" s="8"/>
      <c r="Z41" s="4"/>
    </row>
    <row r="42" ht="12.75" customHeight="1">
      <c r="B42" s="7"/>
      <c r="C42" s="7"/>
      <c r="D42" s="7"/>
      <c r="E42" s="7"/>
      <c r="G42" s="8"/>
      <c r="H42" s="8"/>
      <c r="I42" s="8"/>
      <c r="J42" s="8"/>
      <c r="Z42" s="4"/>
    </row>
    <row r="43" ht="12.75" customHeight="1">
      <c r="B43" s="7"/>
      <c r="C43" s="7"/>
      <c r="D43" s="7"/>
      <c r="E43" s="7"/>
      <c r="G43" s="8"/>
      <c r="H43" s="8"/>
      <c r="I43" s="8"/>
      <c r="J43" s="8"/>
      <c r="Z43" s="4"/>
    </row>
    <row r="44" ht="12.75" customHeight="1">
      <c r="B44" s="7"/>
      <c r="C44" s="7"/>
      <c r="D44" s="7"/>
      <c r="E44" s="7"/>
      <c r="G44" s="8"/>
      <c r="H44" s="8"/>
      <c r="I44" s="8"/>
      <c r="J44" s="8"/>
      <c r="Z44" s="4"/>
    </row>
    <row r="45" ht="12.75" customHeight="1">
      <c r="B45" s="7"/>
      <c r="C45" s="7"/>
      <c r="D45" s="7"/>
      <c r="E45" s="7"/>
      <c r="G45" s="8"/>
      <c r="H45" s="8"/>
      <c r="I45" s="8"/>
      <c r="J45" s="8"/>
      <c r="Z45" s="4"/>
    </row>
    <row r="46" ht="12.75" customHeight="1">
      <c r="B46" s="7"/>
      <c r="C46" s="7"/>
      <c r="D46" s="7"/>
      <c r="E46" s="7"/>
      <c r="G46" s="8"/>
      <c r="H46" s="8"/>
      <c r="I46" s="8"/>
      <c r="J46" s="8"/>
      <c r="Z46" s="4"/>
    </row>
    <row r="47" ht="12.75" customHeight="1">
      <c r="B47" s="7"/>
      <c r="C47" s="7"/>
      <c r="D47" s="7"/>
      <c r="E47" s="7"/>
      <c r="G47" s="8"/>
      <c r="H47" s="8"/>
      <c r="I47" s="8"/>
      <c r="J47" s="8"/>
      <c r="Z47" s="4"/>
    </row>
    <row r="48" ht="12.75" customHeight="1">
      <c r="B48" s="7"/>
      <c r="C48" s="7"/>
      <c r="D48" s="7"/>
      <c r="E48" s="7"/>
      <c r="G48" s="8"/>
      <c r="H48" s="8"/>
      <c r="I48" s="8"/>
      <c r="J48" s="8"/>
      <c r="Z48" s="4"/>
    </row>
    <row r="49" ht="12.75" customHeight="1">
      <c r="B49" s="7"/>
      <c r="C49" s="7"/>
      <c r="D49" s="7"/>
      <c r="E49" s="7"/>
      <c r="G49" s="8"/>
      <c r="H49" s="8"/>
      <c r="I49" s="8"/>
      <c r="J49" s="8"/>
      <c r="Z49" s="4"/>
    </row>
    <row r="50" ht="12.75" customHeight="1">
      <c r="B50" s="7"/>
      <c r="C50" s="7"/>
      <c r="D50" s="7"/>
      <c r="E50" s="7"/>
      <c r="G50" s="8"/>
      <c r="H50" s="8"/>
      <c r="I50" s="8"/>
      <c r="J50" s="8"/>
      <c r="Z50" s="4"/>
    </row>
    <row r="51" ht="12.75" customHeight="1">
      <c r="B51" s="7"/>
      <c r="C51" s="7"/>
      <c r="D51" s="7"/>
      <c r="E51" s="7"/>
      <c r="G51" s="8"/>
      <c r="H51" s="8"/>
      <c r="I51" s="8"/>
      <c r="J51" s="8"/>
      <c r="Z51" s="4"/>
    </row>
    <row r="52" ht="12.75" customHeight="1">
      <c r="B52" s="7"/>
      <c r="C52" s="7"/>
      <c r="D52" s="7"/>
      <c r="E52" s="7"/>
      <c r="G52" s="8"/>
      <c r="H52" s="8"/>
      <c r="I52" s="8"/>
      <c r="J52" s="8"/>
      <c r="Z52" s="4"/>
    </row>
    <row r="53" ht="12.75" customHeight="1">
      <c r="B53" s="7"/>
      <c r="C53" s="7"/>
      <c r="D53" s="7"/>
      <c r="E53" s="7"/>
      <c r="G53" s="8"/>
      <c r="H53" s="8"/>
      <c r="I53" s="8"/>
      <c r="J53" s="8"/>
      <c r="Z53" s="4"/>
    </row>
    <row r="54" ht="12.75" customHeight="1">
      <c r="B54" s="7"/>
      <c r="C54" s="7"/>
      <c r="D54" s="7"/>
      <c r="E54" s="7"/>
      <c r="G54" s="8"/>
      <c r="H54" s="8"/>
      <c r="I54" s="8"/>
      <c r="J54" s="8"/>
      <c r="Z54" s="4"/>
    </row>
    <row r="55" ht="12.75" customHeight="1">
      <c r="B55" s="7"/>
      <c r="C55" s="7"/>
      <c r="D55" s="7"/>
      <c r="E55" s="7"/>
      <c r="G55" s="8"/>
      <c r="H55" s="8"/>
      <c r="I55" s="8"/>
      <c r="J55" s="8"/>
      <c r="Z55" s="4"/>
    </row>
    <row r="56" ht="12.75" customHeight="1">
      <c r="B56" s="7"/>
      <c r="C56" s="7"/>
      <c r="D56" s="7"/>
      <c r="E56" s="7"/>
      <c r="G56" s="8"/>
      <c r="H56" s="8"/>
      <c r="I56" s="8"/>
      <c r="J56" s="8"/>
      <c r="Z56" s="4"/>
    </row>
    <row r="57" ht="12.75" customHeight="1">
      <c r="B57" s="7"/>
      <c r="C57" s="7"/>
      <c r="D57" s="7"/>
      <c r="E57" s="7"/>
      <c r="G57" s="8"/>
      <c r="H57" s="8"/>
      <c r="I57" s="8"/>
      <c r="J57" s="8"/>
      <c r="Z57" s="4"/>
    </row>
    <row r="58" ht="12.75" customHeight="1">
      <c r="B58" s="7"/>
      <c r="C58" s="7"/>
      <c r="D58" s="7"/>
      <c r="E58" s="7"/>
      <c r="G58" s="8"/>
      <c r="H58" s="8"/>
      <c r="I58" s="8"/>
      <c r="J58" s="8"/>
      <c r="Z58" s="4"/>
    </row>
    <row r="59" ht="12.75" customHeight="1">
      <c r="B59" s="7"/>
      <c r="C59" s="7"/>
      <c r="D59" s="7"/>
      <c r="E59" s="7"/>
      <c r="G59" s="8"/>
      <c r="H59" s="8"/>
      <c r="I59" s="8"/>
      <c r="J59" s="8"/>
      <c r="Z59" s="4"/>
    </row>
    <row r="60" ht="12.75" customHeight="1">
      <c r="B60" s="7"/>
      <c r="C60" s="7"/>
      <c r="D60" s="7"/>
      <c r="E60" s="7"/>
      <c r="G60" s="8"/>
      <c r="H60" s="8"/>
      <c r="I60" s="8"/>
      <c r="J60" s="8"/>
      <c r="Z60" s="4"/>
    </row>
    <row r="61" ht="12.75" customHeight="1">
      <c r="B61" s="7"/>
      <c r="C61" s="7"/>
      <c r="D61" s="7"/>
      <c r="E61" s="7"/>
      <c r="G61" s="8"/>
      <c r="H61" s="8"/>
      <c r="I61" s="8"/>
      <c r="J61" s="8"/>
      <c r="Z61" s="4"/>
    </row>
    <row r="62" ht="12.75" customHeight="1">
      <c r="B62" s="7"/>
      <c r="C62" s="7"/>
      <c r="D62" s="7"/>
      <c r="E62" s="7"/>
      <c r="G62" s="8"/>
      <c r="H62" s="8"/>
      <c r="I62" s="8"/>
      <c r="J62" s="8"/>
      <c r="Z62" s="4"/>
    </row>
    <row r="63" ht="12.75" customHeight="1">
      <c r="B63" s="7"/>
      <c r="C63" s="7"/>
      <c r="D63" s="7"/>
      <c r="E63" s="7"/>
      <c r="G63" s="8"/>
      <c r="H63" s="8"/>
      <c r="I63" s="8"/>
      <c r="J63" s="8"/>
      <c r="Z63" s="4"/>
    </row>
    <row r="64" ht="12.75" customHeight="1">
      <c r="B64" s="7"/>
      <c r="C64" s="7"/>
      <c r="D64" s="7"/>
      <c r="E64" s="7"/>
      <c r="G64" s="8"/>
      <c r="H64" s="8"/>
      <c r="I64" s="8"/>
      <c r="J64" s="8"/>
      <c r="Z64" s="4"/>
    </row>
    <row r="65" ht="12.75" customHeight="1">
      <c r="B65" s="7"/>
      <c r="C65" s="7"/>
      <c r="D65" s="7"/>
      <c r="E65" s="7"/>
      <c r="G65" s="8"/>
      <c r="H65" s="8"/>
      <c r="I65" s="8"/>
      <c r="J65" s="8"/>
      <c r="Z65" s="4"/>
    </row>
    <row r="66" ht="12.75" customHeight="1">
      <c r="B66" s="7"/>
      <c r="C66" s="7"/>
      <c r="D66" s="7"/>
      <c r="E66" s="7"/>
      <c r="G66" s="8"/>
      <c r="H66" s="8"/>
      <c r="I66" s="8"/>
      <c r="J66" s="8"/>
      <c r="Z66" s="4"/>
    </row>
    <row r="67" ht="12.75" customHeight="1">
      <c r="B67" s="7"/>
      <c r="C67" s="7"/>
      <c r="D67" s="7"/>
      <c r="E67" s="7"/>
      <c r="G67" s="8"/>
      <c r="H67" s="8"/>
      <c r="I67" s="8"/>
      <c r="J67" s="8"/>
      <c r="Z67" s="4"/>
    </row>
    <row r="68" ht="12.75" customHeight="1">
      <c r="B68" s="7"/>
      <c r="C68" s="7"/>
      <c r="D68" s="7"/>
      <c r="E68" s="7"/>
      <c r="G68" s="8"/>
      <c r="H68" s="8"/>
      <c r="I68" s="8"/>
      <c r="J68" s="8"/>
      <c r="Z68" s="4"/>
    </row>
    <row r="69" ht="12.75" customHeight="1">
      <c r="B69" s="7"/>
      <c r="C69" s="7"/>
      <c r="D69" s="7"/>
      <c r="E69" s="7"/>
      <c r="G69" s="8"/>
      <c r="H69" s="8"/>
      <c r="I69" s="8"/>
      <c r="J69" s="8"/>
      <c r="Z69" s="4"/>
    </row>
    <row r="70" ht="12.75" customHeight="1">
      <c r="B70" s="7"/>
      <c r="C70" s="7"/>
      <c r="D70" s="7"/>
      <c r="E70" s="7"/>
      <c r="G70" s="8"/>
      <c r="H70" s="8"/>
      <c r="I70" s="8"/>
      <c r="J70" s="8"/>
      <c r="Z70" s="4"/>
    </row>
    <row r="71" ht="12.75" customHeight="1">
      <c r="B71" s="7"/>
      <c r="C71" s="7"/>
      <c r="D71" s="7"/>
      <c r="E71" s="7"/>
      <c r="G71" s="8"/>
      <c r="H71" s="8"/>
      <c r="I71" s="8"/>
      <c r="J71" s="8"/>
      <c r="Z71" s="4"/>
    </row>
    <row r="72" ht="12.75" customHeight="1">
      <c r="B72" s="7"/>
      <c r="C72" s="7"/>
      <c r="D72" s="7"/>
      <c r="E72" s="7"/>
      <c r="G72" s="8"/>
      <c r="H72" s="8"/>
      <c r="I72" s="8"/>
      <c r="J72" s="8"/>
      <c r="Z72" s="4"/>
    </row>
    <row r="73" ht="12.75" customHeight="1">
      <c r="B73" s="7"/>
      <c r="C73" s="7"/>
      <c r="D73" s="7"/>
      <c r="E73" s="7"/>
      <c r="G73" s="8"/>
      <c r="H73" s="8"/>
      <c r="I73" s="8"/>
      <c r="J73" s="8"/>
      <c r="Z73" s="4"/>
    </row>
    <row r="74" ht="12.75" customHeight="1">
      <c r="B74" s="7"/>
      <c r="C74" s="7"/>
      <c r="D74" s="7"/>
      <c r="E74" s="7"/>
      <c r="G74" s="8"/>
      <c r="H74" s="8"/>
      <c r="I74" s="8"/>
      <c r="J74" s="8"/>
      <c r="Z74" s="4"/>
    </row>
    <row r="75" ht="12.75" customHeight="1">
      <c r="B75" s="7"/>
      <c r="C75" s="7"/>
      <c r="D75" s="7"/>
      <c r="E75" s="7"/>
      <c r="G75" s="8"/>
      <c r="H75" s="8"/>
      <c r="I75" s="8"/>
      <c r="J75" s="8"/>
      <c r="Z75" s="4"/>
    </row>
    <row r="76" ht="12.75" customHeight="1">
      <c r="B76" s="7"/>
      <c r="C76" s="7"/>
      <c r="D76" s="7"/>
      <c r="E76" s="7"/>
      <c r="G76" s="8"/>
      <c r="H76" s="8"/>
      <c r="I76" s="8"/>
      <c r="J76" s="8"/>
      <c r="Z76" s="4"/>
    </row>
    <row r="77" ht="12.75" customHeight="1">
      <c r="B77" s="7"/>
      <c r="C77" s="7"/>
      <c r="D77" s="7"/>
      <c r="E77" s="7"/>
      <c r="G77" s="8"/>
      <c r="H77" s="8"/>
      <c r="I77" s="8"/>
      <c r="J77" s="8"/>
      <c r="Z77" s="4"/>
    </row>
    <row r="78" ht="12.75" customHeight="1">
      <c r="B78" s="7"/>
      <c r="C78" s="7"/>
      <c r="D78" s="7"/>
      <c r="E78" s="7"/>
      <c r="G78" s="8"/>
      <c r="H78" s="8"/>
      <c r="I78" s="8"/>
      <c r="J78" s="8"/>
      <c r="Z78" s="4"/>
    </row>
    <row r="79" ht="12.75" customHeight="1">
      <c r="B79" s="7"/>
      <c r="C79" s="7"/>
      <c r="D79" s="7"/>
      <c r="E79" s="7"/>
      <c r="G79" s="8"/>
      <c r="H79" s="8"/>
      <c r="I79" s="8"/>
      <c r="J79" s="8"/>
      <c r="Z79" s="4"/>
    </row>
    <row r="80" ht="12.75" customHeight="1">
      <c r="B80" s="7"/>
      <c r="C80" s="7"/>
      <c r="D80" s="7"/>
      <c r="E80" s="7"/>
      <c r="G80" s="8"/>
      <c r="H80" s="8"/>
      <c r="I80" s="8"/>
      <c r="J80" s="8"/>
      <c r="Z80" s="4"/>
    </row>
    <row r="81" ht="12.75" customHeight="1">
      <c r="B81" s="7"/>
      <c r="C81" s="7"/>
      <c r="D81" s="7"/>
      <c r="E81" s="7"/>
      <c r="G81" s="8"/>
      <c r="H81" s="8"/>
      <c r="I81" s="8"/>
      <c r="J81" s="8"/>
      <c r="Z81" s="4"/>
    </row>
    <row r="82" ht="12.75" customHeight="1">
      <c r="B82" s="7"/>
      <c r="C82" s="7"/>
      <c r="D82" s="7"/>
      <c r="E82" s="7"/>
      <c r="G82" s="8"/>
      <c r="H82" s="8"/>
      <c r="I82" s="8"/>
      <c r="J82" s="8"/>
      <c r="Z82" s="4"/>
    </row>
    <row r="83" ht="12.75" customHeight="1">
      <c r="B83" s="7"/>
      <c r="C83" s="7"/>
      <c r="D83" s="7"/>
      <c r="E83" s="7"/>
      <c r="G83" s="8"/>
      <c r="H83" s="8"/>
      <c r="I83" s="8"/>
      <c r="J83" s="8"/>
      <c r="Z83" s="4"/>
    </row>
    <row r="84" ht="12.75" customHeight="1">
      <c r="B84" s="7"/>
      <c r="C84" s="7"/>
      <c r="D84" s="7"/>
      <c r="E84" s="7"/>
      <c r="G84" s="8"/>
      <c r="H84" s="8"/>
      <c r="I84" s="8"/>
      <c r="J84" s="8"/>
      <c r="Z84" s="4"/>
    </row>
    <row r="85" ht="12.75" customHeight="1">
      <c r="B85" s="7"/>
      <c r="C85" s="7"/>
      <c r="D85" s="7"/>
      <c r="E85" s="7"/>
      <c r="G85" s="8"/>
      <c r="H85" s="8"/>
      <c r="I85" s="8"/>
      <c r="J85" s="8"/>
      <c r="Z85" s="4"/>
    </row>
    <row r="86" ht="12.75" customHeight="1">
      <c r="B86" s="7"/>
      <c r="C86" s="7"/>
      <c r="D86" s="7"/>
      <c r="E86" s="7"/>
      <c r="G86" s="8"/>
      <c r="H86" s="8"/>
      <c r="I86" s="8"/>
      <c r="J86" s="8"/>
      <c r="Z86" s="4"/>
    </row>
    <row r="87" ht="12.75" customHeight="1">
      <c r="B87" s="7"/>
      <c r="C87" s="7"/>
      <c r="D87" s="7"/>
      <c r="E87" s="7"/>
      <c r="G87" s="8"/>
      <c r="H87" s="8"/>
      <c r="I87" s="8"/>
      <c r="J87" s="8"/>
      <c r="Z87" s="4"/>
    </row>
    <row r="88" ht="12.75" customHeight="1">
      <c r="B88" s="7"/>
      <c r="C88" s="7"/>
      <c r="D88" s="7"/>
      <c r="E88" s="7"/>
      <c r="G88" s="8"/>
      <c r="H88" s="8"/>
      <c r="I88" s="8"/>
      <c r="J88" s="8"/>
      <c r="Z88" s="4"/>
    </row>
    <row r="89" ht="12.75" customHeight="1">
      <c r="B89" s="7"/>
      <c r="C89" s="7"/>
      <c r="D89" s="7"/>
      <c r="E89" s="7"/>
      <c r="G89" s="8"/>
      <c r="H89" s="8"/>
      <c r="I89" s="8"/>
      <c r="J89" s="8"/>
      <c r="Z89" s="4"/>
    </row>
    <row r="90" ht="12.75" customHeight="1">
      <c r="B90" s="7"/>
      <c r="C90" s="7"/>
      <c r="D90" s="7"/>
      <c r="E90" s="7"/>
      <c r="G90" s="8"/>
      <c r="H90" s="8"/>
      <c r="I90" s="8"/>
      <c r="J90" s="8"/>
      <c r="Z90" s="4"/>
    </row>
    <row r="91" ht="12.75" customHeight="1">
      <c r="B91" s="7"/>
      <c r="C91" s="7"/>
      <c r="D91" s="7"/>
      <c r="E91" s="7"/>
      <c r="G91" s="8"/>
      <c r="H91" s="8"/>
      <c r="I91" s="8"/>
      <c r="J91" s="8"/>
      <c r="Z91" s="4"/>
    </row>
    <row r="92" ht="12.75" customHeight="1">
      <c r="B92" s="7"/>
      <c r="C92" s="7"/>
      <c r="D92" s="7"/>
      <c r="E92" s="7"/>
      <c r="G92" s="8"/>
      <c r="H92" s="8"/>
      <c r="I92" s="8"/>
      <c r="J92" s="8"/>
      <c r="Z92" s="4"/>
    </row>
    <row r="93" ht="12.75" customHeight="1">
      <c r="B93" s="7"/>
      <c r="C93" s="7"/>
      <c r="D93" s="7"/>
      <c r="E93" s="7"/>
      <c r="G93" s="8"/>
      <c r="H93" s="8"/>
      <c r="I93" s="8"/>
      <c r="J93" s="8"/>
      <c r="Z93" s="4"/>
    </row>
    <row r="94" ht="12.75" customHeight="1">
      <c r="B94" s="7"/>
      <c r="C94" s="7"/>
      <c r="D94" s="7"/>
      <c r="E94" s="7"/>
      <c r="G94" s="8"/>
      <c r="H94" s="8"/>
      <c r="I94" s="8"/>
      <c r="J94" s="8"/>
      <c r="Z94" s="4"/>
    </row>
    <row r="95" ht="12.75" customHeight="1">
      <c r="B95" s="7"/>
      <c r="C95" s="7"/>
      <c r="D95" s="7"/>
      <c r="E95" s="7"/>
      <c r="G95" s="8"/>
      <c r="H95" s="8"/>
      <c r="I95" s="8"/>
      <c r="J95" s="8"/>
      <c r="Z95" s="4"/>
    </row>
    <row r="96" ht="12.75" customHeight="1">
      <c r="B96" s="7"/>
      <c r="C96" s="7"/>
      <c r="D96" s="7"/>
      <c r="E96" s="7"/>
      <c r="G96" s="8"/>
      <c r="H96" s="8"/>
      <c r="I96" s="8"/>
      <c r="J96" s="8"/>
      <c r="Z96" s="4"/>
    </row>
    <row r="97" ht="12.75" customHeight="1">
      <c r="B97" s="7"/>
      <c r="C97" s="7"/>
      <c r="D97" s="7"/>
      <c r="E97" s="7"/>
      <c r="G97" s="8"/>
      <c r="H97" s="8"/>
      <c r="I97" s="8"/>
      <c r="J97" s="8"/>
      <c r="Z97" s="4"/>
    </row>
    <row r="98" ht="12.75" customHeight="1">
      <c r="B98" s="7"/>
      <c r="C98" s="7"/>
      <c r="D98" s="7"/>
      <c r="E98" s="7"/>
      <c r="G98" s="8"/>
      <c r="H98" s="8"/>
      <c r="I98" s="8"/>
      <c r="J98" s="8"/>
      <c r="Z98" s="4"/>
    </row>
    <row r="99" ht="12.75" customHeight="1">
      <c r="B99" s="7"/>
      <c r="C99" s="7"/>
      <c r="D99" s="7"/>
      <c r="E99" s="7"/>
      <c r="G99" s="8"/>
      <c r="H99" s="8"/>
      <c r="I99" s="8"/>
      <c r="J99" s="8"/>
      <c r="Z99" s="4"/>
    </row>
    <row r="100" ht="12.75" customHeight="1">
      <c r="B100" s="7"/>
      <c r="C100" s="7"/>
      <c r="D100" s="7"/>
      <c r="E100" s="7"/>
      <c r="G100" s="8"/>
      <c r="H100" s="8"/>
      <c r="I100" s="8"/>
      <c r="J100" s="8"/>
      <c r="Z100" s="4"/>
    </row>
    <row r="101" ht="12.75" customHeight="1">
      <c r="B101" s="7"/>
      <c r="C101" s="7"/>
      <c r="D101" s="7"/>
      <c r="E101" s="7"/>
      <c r="G101" s="8"/>
      <c r="H101" s="8"/>
      <c r="I101" s="8"/>
      <c r="J101" s="8"/>
      <c r="Z101" s="4"/>
    </row>
    <row r="102" ht="12.75" customHeight="1">
      <c r="B102" s="7"/>
      <c r="C102" s="7"/>
      <c r="D102" s="7"/>
      <c r="E102" s="7"/>
      <c r="G102" s="8"/>
      <c r="H102" s="8"/>
      <c r="I102" s="8"/>
      <c r="J102" s="8"/>
      <c r="Z102" s="4"/>
    </row>
    <row r="103" ht="12.75" customHeight="1">
      <c r="B103" s="7"/>
      <c r="C103" s="7"/>
      <c r="D103" s="7"/>
      <c r="E103" s="7"/>
      <c r="G103" s="8"/>
      <c r="H103" s="8"/>
      <c r="I103" s="8"/>
      <c r="J103" s="8"/>
      <c r="Z103" s="4"/>
    </row>
    <row r="104" ht="12.75" customHeight="1">
      <c r="B104" s="7"/>
      <c r="C104" s="7"/>
      <c r="D104" s="7"/>
      <c r="E104" s="7"/>
      <c r="G104" s="8"/>
      <c r="H104" s="8"/>
      <c r="I104" s="8"/>
      <c r="J104" s="8"/>
      <c r="Z104" s="4"/>
    </row>
    <row r="105" ht="12.75" customHeight="1">
      <c r="B105" s="7"/>
      <c r="C105" s="7"/>
      <c r="D105" s="7"/>
      <c r="E105" s="7"/>
      <c r="G105" s="8"/>
      <c r="H105" s="8"/>
      <c r="I105" s="8"/>
      <c r="J105" s="8"/>
      <c r="Z105" s="4"/>
    </row>
    <row r="106" ht="12.75" customHeight="1">
      <c r="B106" s="7"/>
      <c r="C106" s="7"/>
      <c r="D106" s="7"/>
      <c r="E106" s="7"/>
      <c r="G106" s="8"/>
      <c r="H106" s="8"/>
      <c r="I106" s="8"/>
      <c r="J106" s="8"/>
      <c r="Z106" s="4"/>
    </row>
    <row r="107" ht="12.75" customHeight="1">
      <c r="B107" s="7"/>
      <c r="C107" s="7"/>
      <c r="D107" s="7"/>
      <c r="E107" s="7"/>
      <c r="G107" s="8"/>
      <c r="H107" s="8"/>
      <c r="I107" s="8"/>
      <c r="J107" s="8"/>
      <c r="Z107" s="4"/>
    </row>
    <row r="108" ht="12.75" customHeight="1">
      <c r="B108" s="7"/>
      <c r="C108" s="7"/>
      <c r="D108" s="7"/>
      <c r="E108" s="7"/>
      <c r="G108" s="8"/>
      <c r="H108" s="8"/>
      <c r="I108" s="8"/>
      <c r="J108" s="8"/>
      <c r="Z108" s="4"/>
    </row>
    <row r="109" ht="12.75" customHeight="1">
      <c r="B109" s="7"/>
      <c r="C109" s="7"/>
      <c r="D109" s="7"/>
      <c r="E109" s="7"/>
      <c r="G109" s="8"/>
      <c r="H109" s="8"/>
      <c r="I109" s="8"/>
      <c r="J109" s="8"/>
      <c r="Z109" s="4"/>
    </row>
    <row r="110" ht="12.75" customHeight="1">
      <c r="B110" s="7"/>
      <c r="C110" s="7"/>
      <c r="D110" s="7"/>
      <c r="E110" s="7"/>
      <c r="G110" s="8"/>
      <c r="H110" s="8"/>
      <c r="I110" s="8"/>
      <c r="J110" s="8"/>
      <c r="Z110" s="4"/>
    </row>
    <row r="111" ht="12.75" customHeight="1">
      <c r="B111" s="7"/>
      <c r="C111" s="7"/>
      <c r="D111" s="7"/>
      <c r="E111" s="7"/>
      <c r="G111" s="8"/>
      <c r="H111" s="8"/>
      <c r="I111" s="8"/>
      <c r="J111" s="8"/>
      <c r="Z111" s="4"/>
    </row>
    <row r="112" ht="12.75" customHeight="1">
      <c r="B112" s="7"/>
      <c r="C112" s="7"/>
      <c r="D112" s="7"/>
      <c r="E112" s="7"/>
      <c r="G112" s="8"/>
      <c r="H112" s="8"/>
      <c r="I112" s="8"/>
      <c r="J112" s="8"/>
      <c r="Z112" s="4"/>
    </row>
    <row r="113" ht="12.75" customHeight="1">
      <c r="B113" s="7"/>
      <c r="C113" s="7"/>
      <c r="D113" s="7"/>
      <c r="E113" s="7"/>
      <c r="G113" s="8"/>
      <c r="H113" s="8"/>
      <c r="I113" s="8"/>
      <c r="J113" s="8"/>
      <c r="Z113" s="4"/>
    </row>
    <row r="114" ht="12.75" customHeight="1">
      <c r="B114" s="7"/>
      <c r="C114" s="7"/>
      <c r="D114" s="7"/>
      <c r="E114" s="7"/>
      <c r="G114" s="8"/>
      <c r="H114" s="8"/>
      <c r="I114" s="8"/>
      <c r="J114" s="8"/>
      <c r="Z114" s="4"/>
    </row>
    <row r="115" ht="12.75" customHeight="1">
      <c r="B115" s="7"/>
      <c r="C115" s="7"/>
      <c r="D115" s="7"/>
      <c r="E115" s="7"/>
      <c r="G115" s="8"/>
      <c r="H115" s="8"/>
      <c r="I115" s="8"/>
      <c r="J115" s="8"/>
      <c r="Z115" s="4"/>
    </row>
    <row r="116" ht="12.75" customHeight="1">
      <c r="B116" s="7"/>
      <c r="C116" s="7"/>
      <c r="D116" s="7"/>
      <c r="E116" s="7"/>
      <c r="G116" s="8"/>
      <c r="H116" s="8"/>
      <c r="I116" s="8"/>
      <c r="J116" s="8"/>
      <c r="Z116" s="4"/>
    </row>
    <row r="117" ht="12.75" customHeight="1">
      <c r="B117" s="7"/>
      <c r="C117" s="7"/>
      <c r="D117" s="7"/>
      <c r="E117" s="7"/>
      <c r="G117" s="8"/>
      <c r="H117" s="8"/>
      <c r="I117" s="8"/>
      <c r="J117" s="8"/>
      <c r="Z117" s="4"/>
    </row>
    <row r="118" ht="12.75" customHeight="1">
      <c r="B118" s="7"/>
      <c r="C118" s="7"/>
      <c r="D118" s="7"/>
      <c r="E118" s="7"/>
      <c r="G118" s="8"/>
      <c r="H118" s="8"/>
      <c r="I118" s="8"/>
      <c r="J118" s="8"/>
      <c r="Z118" s="4"/>
    </row>
    <row r="119" ht="12.75" customHeight="1">
      <c r="B119" s="7"/>
      <c r="C119" s="7"/>
      <c r="D119" s="7"/>
      <c r="E119" s="7"/>
      <c r="G119" s="8"/>
      <c r="H119" s="8"/>
      <c r="I119" s="8"/>
      <c r="J119" s="8"/>
      <c r="Z119" s="4"/>
    </row>
    <row r="120" ht="12.75" customHeight="1">
      <c r="B120" s="7"/>
      <c r="C120" s="7"/>
      <c r="D120" s="7"/>
      <c r="E120" s="7"/>
      <c r="G120" s="8"/>
      <c r="H120" s="8"/>
      <c r="I120" s="8"/>
      <c r="J120" s="8"/>
      <c r="Z120" s="4"/>
    </row>
    <row r="121" ht="12.75" customHeight="1">
      <c r="B121" s="7"/>
      <c r="C121" s="7"/>
      <c r="D121" s="7"/>
      <c r="E121" s="7"/>
      <c r="G121" s="8"/>
      <c r="H121" s="8"/>
      <c r="I121" s="8"/>
      <c r="J121" s="8"/>
      <c r="Z121" s="4"/>
    </row>
    <row r="122" ht="12.75" customHeight="1">
      <c r="B122" s="7"/>
      <c r="C122" s="7"/>
      <c r="D122" s="7"/>
      <c r="E122" s="7"/>
      <c r="G122" s="8"/>
      <c r="H122" s="8"/>
      <c r="I122" s="8"/>
      <c r="J122" s="8"/>
      <c r="Z122" s="4"/>
    </row>
    <row r="123" ht="12.75" customHeight="1">
      <c r="B123" s="7"/>
      <c r="C123" s="7"/>
      <c r="D123" s="7"/>
      <c r="E123" s="7"/>
      <c r="G123" s="8"/>
      <c r="H123" s="8"/>
      <c r="I123" s="8"/>
      <c r="J123" s="8"/>
      <c r="Z123" s="4"/>
    </row>
    <row r="124" ht="12.75" customHeight="1">
      <c r="B124" s="7"/>
      <c r="C124" s="7"/>
      <c r="D124" s="7"/>
      <c r="E124" s="7"/>
      <c r="G124" s="8"/>
      <c r="H124" s="8"/>
      <c r="I124" s="8"/>
      <c r="J124" s="8"/>
      <c r="Z124" s="4"/>
    </row>
    <row r="125" ht="12.75" customHeight="1">
      <c r="B125" s="7"/>
      <c r="C125" s="7"/>
      <c r="D125" s="7"/>
      <c r="E125" s="7"/>
      <c r="G125" s="8"/>
      <c r="H125" s="8"/>
      <c r="I125" s="8"/>
      <c r="J125" s="8"/>
      <c r="Z125" s="4"/>
    </row>
    <row r="126" ht="12.75" customHeight="1">
      <c r="B126" s="7"/>
      <c r="C126" s="7"/>
      <c r="D126" s="7"/>
      <c r="E126" s="7"/>
      <c r="G126" s="8"/>
      <c r="H126" s="8"/>
      <c r="I126" s="8"/>
      <c r="J126" s="8"/>
      <c r="Z126" s="4"/>
    </row>
    <row r="127" ht="12.75" customHeight="1">
      <c r="B127" s="7"/>
      <c r="C127" s="7"/>
      <c r="D127" s="7"/>
      <c r="E127" s="7"/>
      <c r="G127" s="8"/>
      <c r="H127" s="8"/>
      <c r="I127" s="8"/>
      <c r="J127" s="8"/>
      <c r="Z127" s="4"/>
    </row>
    <row r="128" ht="12.75" customHeight="1">
      <c r="B128" s="7"/>
      <c r="C128" s="7"/>
      <c r="D128" s="7"/>
      <c r="E128" s="7"/>
      <c r="G128" s="8"/>
      <c r="H128" s="8"/>
      <c r="I128" s="8"/>
      <c r="J128" s="8"/>
      <c r="Z128" s="4"/>
    </row>
    <row r="129" ht="12.75" customHeight="1">
      <c r="B129" s="7"/>
      <c r="C129" s="7"/>
      <c r="D129" s="7"/>
      <c r="E129" s="7"/>
      <c r="G129" s="8"/>
      <c r="H129" s="8"/>
      <c r="I129" s="8"/>
      <c r="J129" s="8"/>
      <c r="Z129" s="4"/>
    </row>
    <row r="130" ht="12.75" customHeight="1">
      <c r="B130" s="7"/>
      <c r="C130" s="7"/>
      <c r="D130" s="7"/>
      <c r="E130" s="7"/>
      <c r="G130" s="8"/>
      <c r="H130" s="8"/>
      <c r="I130" s="8"/>
      <c r="J130" s="8"/>
      <c r="Z130" s="4"/>
    </row>
    <row r="131" ht="12.75" customHeight="1">
      <c r="B131" s="7"/>
      <c r="C131" s="7"/>
      <c r="D131" s="7"/>
      <c r="E131" s="7"/>
      <c r="G131" s="8"/>
      <c r="H131" s="8"/>
      <c r="I131" s="8"/>
      <c r="J131" s="8"/>
      <c r="Z131" s="4"/>
    </row>
    <row r="132" ht="12.75" customHeight="1">
      <c r="B132" s="7"/>
      <c r="C132" s="7"/>
      <c r="D132" s="7"/>
      <c r="E132" s="7"/>
      <c r="G132" s="8"/>
      <c r="H132" s="8"/>
      <c r="I132" s="8"/>
      <c r="J132" s="8"/>
      <c r="Z132" s="4"/>
    </row>
    <row r="133" ht="12.75" customHeight="1">
      <c r="B133" s="7"/>
      <c r="C133" s="7"/>
      <c r="D133" s="7"/>
      <c r="E133" s="7"/>
      <c r="G133" s="8"/>
      <c r="H133" s="8"/>
      <c r="I133" s="8"/>
      <c r="J133" s="8"/>
      <c r="Z133" s="4"/>
    </row>
    <row r="134" ht="12.75" customHeight="1">
      <c r="B134" s="7"/>
      <c r="C134" s="7"/>
      <c r="D134" s="7"/>
      <c r="E134" s="7"/>
      <c r="G134" s="8"/>
      <c r="H134" s="8"/>
      <c r="I134" s="8"/>
      <c r="J134" s="8"/>
      <c r="Z134" s="4"/>
    </row>
    <row r="135" ht="12.75" customHeight="1">
      <c r="B135" s="7"/>
      <c r="C135" s="7"/>
      <c r="D135" s="7"/>
      <c r="E135" s="7"/>
      <c r="G135" s="8"/>
      <c r="H135" s="8"/>
      <c r="I135" s="8"/>
      <c r="J135" s="8"/>
      <c r="Z135" s="4"/>
    </row>
    <row r="136" ht="12.75" customHeight="1">
      <c r="B136" s="7"/>
      <c r="C136" s="7"/>
      <c r="D136" s="7"/>
      <c r="E136" s="7"/>
      <c r="G136" s="8"/>
      <c r="H136" s="8"/>
      <c r="I136" s="8"/>
      <c r="J136" s="8"/>
      <c r="Z136" s="4"/>
    </row>
    <row r="137" ht="12.75" customHeight="1">
      <c r="B137" s="7"/>
      <c r="C137" s="7"/>
      <c r="D137" s="7"/>
      <c r="E137" s="7"/>
      <c r="G137" s="8"/>
      <c r="H137" s="8"/>
      <c r="I137" s="8"/>
      <c r="J137" s="8"/>
      <c r="Z137" s="4"/>
    </row>
    <row r="138" ht="12.75" customHeight="1">
      <c r="B138" s="7"/>
      <c r="C138" s="7"/>
      <c r="D138" s="7"/>
      <c r="E138" s="7"/>
      <c r="G138" s="8"/>
      <c r="H138" s="8"/>
      <c r="I138" s="8"/>
      <c r="J138" s="8"/>
      <c r="Z138" s="4"/>
    </row>
    <row r="139" ht="12.75" customHeight="1">
      <c r="B139" s="7"/>
      <c r="C139" s="7"/>
      <c r="D139" s="7"/>
      <c r="E139" s="7"/>
      <c r="G139" s="8"/>
      <c r="H139" s="8"/>
      <c r="I139" s="8"/>
      <c r="J139" s="8"/>
      <c r="Z139" s="4"/>
    </row>
    <row r="140" ht="12.75" customHeight="1">
      <c r="B140" s="7"/>
      <c r="C140" s="7"/>
      <c r="D140" s="7"/>
      <c r="E140" s="7"/>
      <c r="G140" s="8"/>
      <c r="H140" s="8"/>
      <c r="I140" s="8"/>
      <c r="J140" s="8"/>
      <c r="Z140" s="4"/>
    </row>
    <row r="141" ht="12.75" customHeight="1">
      <c r="B141" s="7"/>
      <c r="C141" s="7"/>
      <c r="D141" s="7"/>
      <c r="E141" s="7"/>
      <c r="G141" s="8"/>
      <c r="H141" s="8"/>
      <c r="I141" s="8"/>
      <c r="J141" s="8"/>
      <c r="Z141" s="4"/>
    </row>
    <row r="142" ht="12.75" customHeight="1">
      <c r="B142" s="7"/>
      <c r="C142" s="7"/>
      <c r="D142" s="7"/>
      <c r="E142" s="7"/>
      <c r="G142" s="8"/>
      <c r="H142" s="8"/>
      <c r="I142" s="8"/>
      <c r="J142" s="8"/>
      <c r="Z142" s="4"/>
    </row>
    <row r="143" ht="12.75" customHeight="1">
      <c r="B143" s="7"/>
      <c r="C143" s="7"/>
      <c r="D143" s="7"/>
      <c r="E143" s="7"/>
      <c r="G143" s="8"/>
      <c r="H143" s="8"/>
      <c r="I143" s="8"/>
      <c r="J143" s="8"/>
      <c r="Z143" s="4"/>
    </row>
    <row r="144" ht="12.75" customHeight="1">
      <c r="B144" s="7"/>
      <c r="C144" s="7"/>
      <c r="D144" s="7"/>
      <c r="E144" s="7"/>
      <c r="G144" s="8"/>
      <c r="H144" s="8"/>
      <c r="I144" s="8"/>
      <c r="J144" s="8"/>
      <c r="Z144" s="4"/>
    </row>
    <row r="145" ht="12.75" customHeight="1">
      <c r="B145" s="7"/>
      <c r="C145" s="7"/>
      <c r="D145" s="7"/>
      <c r="E145" s="7"/>
      <c r="G145" s="8"/>
      <c r="H145" s="8"/>
      <c r="I145" s="8"/>
      <c r="J145" s="8"/>
      <c r="Z145" s="4"/>
    </row>
    <row r="146" ht="12.75" customHeight="1">
      <c r="B146" s="7"/>
      <c r="C146" s="7"/>
      <c r="D146" s="7"/>
      <c r="E146" s="7"/>
      <c r="G146" s="8"/>
      <c r="H146" s="8"/>
      <c r="I146" s="8"/>
      <c r="J146" s="8"/>
      <c r="Z146" s="4"/>
    </row>
    <row r="147" ht="12.75" customHeight="1">
      <c r="B147" s="7"/>
      <c r="C147" s="7"/>
      <c r="D147" s="7"/>
      <c r="E147" s="7"/>
      <c r="G147" s="8"/>
      <c r="H147" s="8"/>
      <c r="I147" s="8"/>
      <c r="J147" s="8"/>
      <c r="Z147" s="4"/>
    </row>
    <row r="148" ht="12.75" customHeight="1">
      <c r="B148" s="7"/>
      <c r="C148" s="7"/>
      <c r="D148" s="7"/>
      <c r="E148" s="7"/>
      <c r="G148" s="8"/>
      <c r="H148" s="8"/>
      <c r="I148" s="8"/>
      <c r="J148" s="8"/>
      <c r="Z148" s="4"/>
    </row>
    <row r="149" ht="12.75" customHeight="1">
      <c r="B149" s="7"/>
      <c r="C149" s="7"/>
      <c r="D149" s="7"/>
      <c r="E149" s="7"/>
      <c r="G149" s="8"/>
      <c r="H149" s="8"/>
      <c r="I149" s="8"/>
      <c r="J149" s="8"/>
      <c r="Z149" s="4"/>
    </row>
    <row r="150" ht="12.75" customHeight="1">
      <c r="B150" s="7"/>
      <c r="C150" s="7"/>
      <c r="D150" s="7"/>
      <c r="E150" s="7"/>
      <c r="G150" s="8"/>
      <c r="H150" s="8"/>
      <c r="I150" s="8"/>
      <c r="J150" s="8"/>
      <c r="Z150" s="4"/>
    </row>
    <row r="151" ht="12.75" customHeight="1">
      <c r="B151" s="7"/>
      <c r="C151" s="7"/>
      <c r="D151" s="7"/>
      <c r="E151" s="7"/>
      <c r="G151" s="8"/>
      <c r="H151" s="8"/>
      <c r="I151" s="8"/>
      <c r="J151" s="8"/>
      <c r="Z151" s="4"/>
    </row>
    <row r="152" ht="12.75" customHeight="1">
      <c r="B152" s="7"/>
      <c r="C152" s="7"/>
      <c r="D152" s="7"/>
      <c r="E152" s="7"/>
      <c r="G152" s="8"/>
      <c r="H152" s="8"/>
      <c r="I152" s="8"/>
      <c r="J152" s="8"/>
      <c r="Z152" s="4"/>
    </row>
    <row r="153" ht="12.75" customHeight="1">
      <c r="B153" s="7"/>
      <c r="C153" s="7"/>
      <c r="D153" s="7"/>
      <c r="E153" s="7"/>
      <c r="G153" s="8"/>
      <c r="H153" s="8"/>
      <c r="I153" s="8"/>
      <c r="J153" s="8"/>
      <c r="Z153" s="4"/>
    </row>
    <row r="154" ht="12.75" customHeight="1">
      <c r="B154" s="7"/>
      <c r="C154" s="7"/>
      <c r="D154" s="7"/>
      <c r="E154" s="7"/>
      <c r="G154" s="8"/>
      <c r="H154" s="8"/>
      <c r="I154" s="8"/>
      <c r="J154" s="8"/>
      <c r="Z154" s="4"/>
    </row>
    <row r="155" ht="12.75" customHeight="1">
      <c r="B155" s="7"/>
      <c r="C155" s="7"/>
      <c r="D155" s="7"/>
      <c r="E155" s="7"/>
      <c r="G155" s="8"/>
      <c r="H155" s="8"/>
      <c r="I155" s="8"/>
      <c r="J155" s="8"/>
      <c r="Z155" s="4"/>
    </row>
    <row r="156" ht="12.75" customHeight="1">
      <c r="B156" s="7"/>
      <c r="C156" s="7"/>
      <c r="D156" s="7"/>
      <c r="E156" s="7"/>
      <c r="G156" s="8"/>
      <c r="H156" s="8"/>
      <c r="I156" s="8"/>
      <c r="J156" s="8"/>
      <c r="Z156" s="4"/>
    </row>
    <row r="157" ht="12.75" customHeight="1">
      <c r="B157" s="7"/>
      <c r="C157" s="7"/>
      <c r="D157" s="7"/>
      <c r="E157" s="7"/>
      <c r="G157" s="8"/>
      <c r="H157" s="8"/>
      <c r="I157" s="8"/>
      <c r="J157" s="8"/>
      <c r="Z157" s="4"/>
    </row>
    <row r="158" ht="12.75" customHeight="1">
      <c r="B158" s="7"/>
      <c r="C158" s="7"/>
      <c r="D158" s="7"/>
      <c r="E158" s="7"/>
      <c r="G158" s="8"/>
      <c r="H158" s="8"/>
      <c r="I158" s="8"/>
      <c r="J158" s="8"/>
      <c r="Z158" s="4"/>
    </row>
    <row r="159" ht="12.75" customHeight="1">
      <c r="B159" s="7"/>
      <c r="C159" s="7"/>
      <c r="D159" s="7"/>
      <c r="E159" s="7"/>
      <c r="G159" s="8"/>
      <c r="H159" s="8"/>
      <c r="I159" s="8"/>
      <c r="J159" s="8"/>
      <c r="Z159" s="4"/>
    </row>
    <row r="160" ht="12.75" customHeight="1">
      <c r="B160" s="7"/>
      <c r="C160" s="7"/>
      <c r="D160" s="7"/>
      <c r="E160" s="7"/>
      <c r="G160" s="8"/>
      <c r="H160" s="8"/>
      <c r="I160" s="8"/>
      <c r="J160" s="8"/>
      <c r="Z160" s="4"/>
    </row>
    <row r="161" ht="12.75" customHeight="1">
      <c r="B161" s="7"/>
      <c r="C161" s="7"/>
      <c r="D161" s="7"/>
      <c r="E161" s="7"/>
      <c r="G161" s="8"/>
      <c r="H161" s="8"/>
      <c r="I161" s="8"/>
      <c r="J161" s="8"/>
      <c r="Z161" s="4"/>
    </row>
    <row r="162" ht="12.75" customHeight="1">
      <c r="B162" s="7"/>
      <c r="C162" s="7"/>
      <c r="D162" s="7"/>
      <c r="E162" s="7"/>
      <c r="G162" s="8"/>
      <c r="H162" s="8"/>
      <c r="I162" s="8"/>
      <c r="J162" s="8"/>
      <c r="Z162" s="4"/>
    </row>
    <row r="163" ht="12.75" customHeight="1">
      <c r="B163" s="7"/>
      <c r="C163" s="7"/>
      <c r="D163" s="7"/>
      <c r="E163" s="7"/>
      <c r="G163" s="8"/>
      <c r="H163" s="8"/>
      <c r="I163" s="8"/>
      <c r="J163" s="8"/>
      <c r="Z163" s="4"/>
    </row>
    <row r="164" ht="12.75" customHeight="1">
      <c r="B164" s="7"/>
      <c r="C164" s="7"/>
      <c r="D164" s="7"/>
      <c r="E164" s="7"/>
      <c r="G164" s="8"/>
      <c r="H164" s="8"/>
      <c r="I164" s="8"/>
      <c r="J164" s="8"/>
      <c r="Z164" s="4"/>
    </row>
    <row r="165" ht="12.75" customHeight="1">
      <c r="B165" s="7"/>
      <c r="C165" s="7"/>
      <c r="D165" s="7"/>
      <c r="E165" s="7"/>
      <c r="G165" s="8"/>
      <c r="H165" s="8"/>
      <c r="I165" s="8"/>
      <c r="J165" s="8"/>
      <c r="Z165" s="4"/>
    </row>
    <row r="166" ht="12.75" customHeight="1">
      <c r="B166" s="7"/>
      <c r="C166" s="7"/>
      <c r="D166" s="7"/>
      <c r="E166" s="7"/>
      <c r="G166" s="8"/>
      <c r="H166" s="8"/>
      <c r="I166" s="8"/>
      <c r="J166" s="8"/>
      <c r="Z166" s="4"/>
    </row>
    <row r="167" ht="12.75" customHeight="1">
      <c r="B167" s="7"/>
      <c r="C167" s="7"/>
      <c r="D167" s="7"/>
      <c r="E167" s="7"/>
      <c r="G167" s="8"/>
      <c r="H167" s="8"/>
      <c r="I167" s="8"/>
      <c r="J167" s="8"/>
      <c r="Z167" s="4"/>
    </row>
    <row r="168" ht="12.75" customHeight="1">
      <c r="B168" s="7"/>
      <c r="C168" s="7"/>
      <c r="D168" s="7"/>
      <c r="E168" s="7"/>
      <c r="G168" s="8"/>
      <c r="H168" s="8"/>
      <c r="I168" s="8"/>
      <c r="J168" s="8"/>
      <c r="Z168" s="4"/>
    </row>
    <row r="169" ht="12.75" customHeight="1">
      <c r="B169" s="7"/>
      <c r="C169" s="7"/>
      <c r="D169" s="7"/>
      <c r="E169" s="7"/>
      <c r="G169" s="8"/>
      <c r="H169" s="8"/>
      <c r="I169" s="8"/>
      <c r="J169" s="8"/>
      <c r="Z169" s="4"/>
    </row>
    <row r="170" ht="12.75" customHeight="1">
      <c r="B170" s="7"/>
      <c r="C170" s="7"/>
      <c r="D170" s="7"/>
      <c r="E170" s="7"/>
      <c r="G170" s="8"/>
      <c r="H170" s="8"/>
      <c r="I170" s="8"/>
      <c r="J170" s="8"/>
      <c r="Z170" s="4"/>
    </row>
    <row r="171" ht="12.75" customHeight="1">
      <c r="B171" s="7"/>
      <c r="C171" s="7"/>
      <c r="D171" s="7"/>
      <c r="E171" s="7"/>
      <c r="G171" s="8"/>
      <c r="H171" s="8"/>
      <c r="I171" s="8"/>
      <c r="J171" s="8"/>
      <c r="Z171" s="4"/>
    </row>
    <row r="172" ht="12.75" customHeight="1">
      <c r="B172" s="7"/>
      <c r="C172" s="7"/>
      <c r="D172" s="7"/>
      <c r="E172" s="7"/>
      <c r="G172" s="8"/>
      <c r="H172" s="8"/>
      <c r="I172" s="8"/>
      <c r="J172" s="8"/>
      <c r="Z172" s="4"/>
    </row>
    <row r="173" ht="12.75" customHeight="1">
      <c r="B173" s="7"/>
      <c r="C173" s="7"/>
      <c r="D173" s="7"/>
      <c r="E173" s="7"/>
      <c r="G173" s="8"/>
      <c r="H173" s="8"/>
      <c r="I173" s="8"/>
      <c r="J173" s="8"/>
      <c r="Z173" s="4"/>
    </row>
    <row r="174" ht="12.75" customHeight="1">
      <c r="B174" s="7"/>
      <c r="C174" s="7"/>
      <c r="D174" s="7"/>
      <c r="E174" s="7"/>
      <c r="G174" s="8"/>
      <c r="H174" s="8"/>
      <c r="I174" s="8"/>
      <c r="J174" s="8"/>
      <c r="Z174" s="4"/>
    </row>
    <row r="175" ht="12.75" customHeight="1">
      <c r="B175" s="7"/>
      <c r="C175" s="7"/>
      <c r="D175" s="7"/>
      <c r="E175" s="7"/>
      <c r="G175" s="8"/>
      <c r="H175" s="8"/>
      <c r="I175" s="8"/>
      <c r="J175" s="8"/>
      <c r="Z175" s="4"/>
    </row>
    <row r="176" ht="12.75" customHeight="1">
      <c r="B176" s="7"/>
      <c r="C176" s="7"/>
      <c r="D176" s="7"/>
      <c r="E176" s="7"/>
      <c r="G176" s="8"/>
      <c r="H176" s="8"/>
      <c r="I176" s="8"/>
      <c r="J176" s="8"/>
      <c r="Z176" s="4"/>
    </row>
    <row r="177" ht="12.75" customHeight="1">
      <c r="B177" s="7"/>
      <c r="C177" s="7"/>
      <c r="D177" s="7"/>
      <c r="E177" s="7"/>
      <c r="G177" s="8"/>
      <c r="H177" s="8"/>
      <c r="I177" s="8"/>
      <c r="J177" s="8"/>
      <c r="Z177" s="4"/>
    </row>
    <row r="178" ht="12.75" customHeight="1">
      <c r="B178" s="7"/>
      <c r="C178" s="7"/>
      <c r="D178" s="7"/>
      <c r="E178" s="7"/>
      <c r="G178" s="8"/>
      <c r="H178" s="8"/>
      <c r="I178" s="8"/>
      <c r="J178" s="8"/>
      <c r="Z178" s="4"/>
    </row>
    <row r="179" ht="12.75" customHeight="1">
      <c r="B179" s="7"/>
      <c r="C179" s="7"/>
      <c r="D179" s="7"/>
      <c r="E179" s="7"/>
      <c r="G179" s="8"/>
      <c r="H179" s="8"/>
      <c r="I179" s="8"/>
      <c r="J179" s="8"/>
      <c r="Z179" s="4"/>
    </row>
    <row r="180" ht="12.75" customHeight="1">
      <c r="B180" s="7"/>
      <c r="C180" s="7"/>
      <c r="D180" s="7"/>
      <c r="E180" s="7"/>
      <c r="G180" s="8"/>
      <c r="H180" s="8"/>
      <c r="I180" s="8"/>
      <c r="J180" s="8"/>
      <c r="Z180" s="4"/>
    </row>
    <row r="181" ht="12.75" customHeight="1">
      <c r="B181" s="7"/>
      <c r="C181" s="7"/>
      <c r="D181" s="7"/>
      <c r="E181" s="7"/>
      <c r="G181" s="8"/>
      <c r="H181" s="8"/>
      <c r="I181" s="8"/>
      <c r="J181" s="8"/>
      <c r="Z181" s="4"/>
    </row>
    <row r="182" ht="12.75" customHeight="1">
      <c r="B182" s="7"/>
      <c r="C182" s="7"/>
      <c r="D182" s="7"/>
      <c r="E182" s="7"/>
      <c r="G182" s="8"/>
      <c r="H182" s="8"/>
      <c r="I182" s="8"/>
      <c r="J182" s="8"/>
      <c r="Z182" s="4"/>
    </row>
    <row r="183" ht="12.75" customHeight="1">
      <c r="B183" s="7"/>
      <c r="C183" s="7"/>
      <c r="D183" s="7"/>
      <c r="E183" s="7"/>
      <c r="G183" s="8"/>
      <c r="H183" s="8"/>
      <c r="I183" s="8"/>
      <c r="J183" s="8"/>
      <c r="Z183" s="4"/>
    </row>
    <row r="184" ht="12.75" customHeight="1">
      <c r="B184" s="7"/>
      <c r="C184" s="7"/>
      <c r="D184" s="7"/>
      <c r="E184" s="7"/>
      <c r="G184" s="8"/>
      <c r="H184" s="8"/>
      <c r="I184" s="8"/>
      <c r="J184" s="8"/>
      <c r="Z184" s="4"/>
    </row>
    <row r="185" ht="12.75" customHeight="1">
      <c r="B185" s="7"/>
      <c r="C185" s="7"/>
      <c r="D185" s="7"/>
      <c r="E185" s="7"/>
      <c r="G185" s="8"/>
      <c r="H185" s="8"/>
      <c r="I185" s="8"/>
      <c r="J185" s="8"/>
      <c r="Z185" s="4"/>
    </row>
    <row r="186" ht="12.75" customHeight="1">
      <c r="B186" s="7"/>
      <c r="C186" s="7"/>
      <c r="D186" s="7"/>
      <c r="E186" s="7"/>
      <c r="G186" s="8"/>
      <c r="H186" s="8"/>
      <c r="I186" s="8"/>
      <c r="J186" s="8"/>
      <c r="Z186" s="4"/>
    </row>
    <row r="187" ht="12.75" customHeight="1">
      <c r="B187" s="7"/>
      <c r="C187" s="7"/>
      <c r="D187" s="7"/>
      <c r="E187" s="7"/>
      <c r="G187" s="8"/>
      <c r="H187" s="8"/>
      <c r="I187" s="8"/>
      <c r="J187" s="8"/>
      <c r="Z187" s="4"/>
    </row>
    <row r="188" ht="12.75" customHeight="1">
      <c r="B188" s="7"/>
      <c r="C188" s="7"/>
      <c r="D188" s="7"/>
      <c r="E188" s="7"/>
      <c r="G188" s="8"/>
      <c r="H188" s="8"/>
      <c r="I188" s="8"/>
      <c r="J188" s="8"/>
      <c r="Z188" s="4"/>
    </row>
    <row r="189" ht="12.75" customHeight="1">
      <c r="B189" s="7"/>
      <c r="C189" s="7"/>
      <c r="D189" s="7"/>
      <c r="E189" s="7"/>
      <c r="G189" s="8"/>
      <c r="H189" s="8"/>
      <c r="I189" s="8"/>
      <c r="J189" s="8"/>
      <c r="Z189" s="4"/>
    </row>
    <row r="190" ht="12.75" customHeight="1">
      <c r="B190" s="7"/>
      <c r="C190" s="7"/>
      <c r="D190" s="7"/>
      <c r="E190" s="7"/>
      <c r="G190" s="8"/>
      <c r="H190" s="8"/>
      <c r="I190" s="8"/>
      <c r="J190" s="8"/>
      <c r="Z190" s="4"/>
    </row>
    <row r="191" ht="12.75" customHeight="1">
      <c r="B191" s="7"/>
      <c r="C191" s="7"/>
      <c r="D191" s="7"/>
      <c r="E191" s="7"/>
      <c r="G191" s="8"/>
      <c r="H191" s="8"/>
      <c r="I191" s="8"/>
      <c r="J191" s="8"/>
      <c r="Z191" s="4"/>
    </row>
    <row r="192" ht="12.75" customHeight="1">
      <c r="B192" s="7"/>
      <c r="C192" s="7"/>
      <c r="D192" s="7"/>
      <c r="E192" s="7"/>
      <c r="G192" s="8"/>
      <c r="H192" s="8"/>
      <c r="I192" s="8"/>
      <c r="J192" s="8"/>
      <c r="Z192" s="4"/>
    </row>
    <row r="193" ht="12.75" customHeight="1">
      <c r="B193" s="7"/>
      <c r="C193" s="7"/>
      <c r="D193" s="7"/>
      <c r="E193" s="7"/>
      <c r="G193" s="8"/>
      <c r="H193" s="8"/>
      <c r="I193" s="8"/>
      <c r="J193" s="8"/>
      <c r="Z193" s="4"/>
    </row>
    <row r="194" ht="12.75" customHeight="1">
      <c r="B194" s="7"/>
      <c r="C194" s="7"/>
      <c r="D194" s="7"/>
      <c r="E194" s="7"/>
      <c r="G194" s="8"/>
      <c r="H194" s="8"/>
      <c r="I194" s="8"/>
      <c r="J194" s="8"/>
      <c r="Z194" s="4"/>
    </row>
    <row r="195" ht="12.75" customHeight="1">
      <c r="B195" s="7"/>
      <c r="C195" s="7"/>
      <c r="D195" s="7"/>
      <c r="E195" s="7"/>
      <c r="G195" s="8"/>
      <c r="H195" s="8"/>
      <c r="I195" s="8"/>
      <c r="J195" s="8"/>
      <c r="Z195" s="4"/>
    </row>
    <row r="196" ht="12.75" customHeight="1">
      <c r="B196" s="7"/>
      <c r="C196" s="7"/>
      <c r="D196" s="7"/>
      <c r="E196" s="7"/>
      <c r="G196" s="8"/>
      <c r="H196" s="8"/>
      <c r="I196" s="8"/>
      <c r="J196" s="8"/>
      <c r="Z196" s="4"/>
    </row>
    <row r="197" ht="12.75" customHeight="1">
      <c r="B197" s="7"/>
      <c r="C197" s="7"/>
      <c r="D197" s="7"/>
      <c r="E197" s="7"/>
      <c r="G197" s="8"/>
      <c r="H197" s="8"/>
      <c r="I197" s="8"/>
      <c r="J197" s="8"/>
      <c r="Z197" s="4"/>
    </row>
    <row r="198" ht="12.75" customHeight="1">
      <c r="B198" s="7"/>
      <c r="C198" s="7"/>
      <c r="D198" s="7"/>
      <c r="E198" s="7"/>
      <c r="G198" s="8"/>
      <c r="H198" s="8"/>
      <c r="I198" s="8"/>
      <c r="J198" s="8"/>
      <c r="Z198" s="4"/>
    </row>
    <row r="199" ht="12.75" customHeight="1">
      <c r="B199" s="7"/>
      <c r="C199" s="7"/>
      <c r="D199" s="7"/>
      <c r="E199" s="7"/>
      <c r="G199" s="8"/>
      <c r="H199" s="8"/>
      <c r="I199" s="8"/>
      <c r="J199" s="8"/>
      <c r="Z199" s="4"/>
    </row>
    <row r="200" ht="12.75" customHeight="1">
      <c r="B200" s="7"/>
      <c r="C200" s="7"/>
      <c r="D200" s="7"/>
      <c r="E200" s="7"/>
      <c r="G200" s="8"/>
      <c r="H200" s="8"/>
      <c r="I200" s="8"/>
      <c r="J200" s="8"/>
      <c r="Z200" s="4"/>
    </row>
    <row r="201" ht="12.75" customHeight="1">
      <c r="B201" s="7"/>
      <c r="C201" s="7"/>
      <c r="D201" s="7"/>
      <c r="E201" s="7"/>
      <c r="G201" s="8"/>
      <c r="H201" s="8"/>
      <c r="I201" s="8"/>
      <c r="J201" s="8"/>
      <c r="Z201" s="4"/>
    </row>
    <row r="202" ht="12.75" customHeight="1">
      <c r="B202" s="7"/>
      <c r="C202" s="7"/>
      <c r="D202" s="7"/>
      <c r="E202" s="7"/>
      <c r="G202" s="8"/>
      <c r="H202" s="8"/>
      <c r="I202" s="8"/>
      <c r="J202" s="8"/>
      <c r="Z202" s="4"/>
    </row>
    <row r="203" ht="12.75" customHeight="1">
      <c r="B203" s="7"/>
      <c r="C203" s="7"/>
      <c r="D203" s="7"/>
      <c r="E203" s="7"/>
      <c r="G203" s="8"/>
      <c r="H203" s="8"/>
      <c r="I203" s="8"/>
      <c r="J203" s="8"/>
      <c r="Z203" s="4"/>
    </row>
    <row r="204" ht="12.75" customHeight="1">
      <c r="B204" s="7"/>
      <c r="C204" s="7"/>
      <c r="D204" s="7"/>
      <c r="E204" s="7"/>
      <c r="G204" s="8"/>
      <c r="H204" s="8"/>
      <c r="I204" s="8"/>
      <c r="J204" s="8"/>
      <c r="Z204" s="4"/>
    </row>
    <row r="205" ht="12.75" customHeight="1">
      <c r="B205" s="7"/>
      <c r="C205" s="7"/>
      <c r="D205" s="7"/>
      <c r="E205" s="7"/>
      <c r="G205" s="8"/>
      <c r="H205" s="8"/>
      <c r="I205" s="8"/>
      <c r="J205" s="8"/>
      <c r="Z205" s="4"/>
    </row>
    <row r="206" ht="12.75" customHeight="1">
      <c r="B206" s="7"/>
      <c r="C206" s="7"/>
      <c r="D206" s="7"/>
      <c r="E206" s="7"/>
      <c r="G206" s="8"/>
      <c r="H206" s="8"/>
      <c r="I206" s="8"/>
      <c r="J206" s="8"/>
      <c r="Z206" s="4"/>
    </row>
    <row r="207" ht="12.75" customHeight="1">
      <c r="B207" s="7"/>
      <c r="C207" s="7"/>
      <c r="D207" s="7"/>
      <c r="E207" s="7"/>
      <c r="G207" s="8"/>
      <c r="H207" s="8"/>
      <c r="I207" s="8"/>
      <c r="J207" s="8"/>
      <c r="Z207" s="4"/>
    </row>
    <row r="208" ht="12.75" customHeight="1">
      <c r="B208" s="7"/>
      <c r="C208" s="7"/>
      <c r="D208" s="7"/>
      <c r="E208" s="7"/>
      <c r="G208" s="8"/>
      <c r="H208" s="8"/>
      <c r="I208" s="8"/>
      <c r="J208" s="8"/>
      <c r="Z208" s="4"/>
    </row>
    <row r="209" ht="12.75" customHeight="1">
      <c r="B209" s="7"/>
      <c r="C209" s="7"/>
      <c r="D209" s="7"/>
      <c r="E209" s="7"/>
      <c r="G209" s="8"/>
      <c r="H209" s="8"/>
      <c r="I209" s="8"/>
      <c r="J209" s="8"/>
      <c r="Z209" s="4"/>
    </row>
    <row r="210" ht="12.75" customHeight="1">
      <c r="B210" s="7"/>
      <c r="C210" s="7"/>
      <c r="D210" s="7"/>
      <c r="E210" s="7"/>
      <c r="G210" s="8"/>
      <c r="H210" s="8"/>
      <c r="I210" s="8"/>
      <c r="J210" s="8"/>
      <c r="Z210" s="4"/>
    </row>
    <row r="211" ht="12.75" customHeight="1">
      <c r="B211" s="7"/>
      <c r="C211" s="7"/>
      <c r="D211" s="7"/>
      <c r="E211" s="7"/>
      <c r="G211" s="8"/>
      <c r="H211" s="8"/>
      <c r="I211" s="8"/>
      <c r="J211" s="8"/>
      <c r="Z211" s="4"/>
    </row>
    <row r="212" ht="12.75" customHeight="1">
      <c r="B212" s="7"/>
      <c r="C212" s="7"/>
      <c r="D212" s="7"/>
      <c r="E212" s="7"/>
      <c r="G212" s="8"/>
      <c r="H212" s="8"/>
      <c r="I212" s="8"/>
      <c r="J212" s="8"/>
      <c r="Z212" s="4"/>
    </row>
    <row r="213" ht="12.75" customHeight="1">
      <c r="B213" s="7"/>
      <c r="C213" s="7"/>
      <c r="D213" s="7"/>
      <c r="E213" s="7"/>
      <c r="G213" s="8"/>
      <c r="H213" s="8"/>
      <c r="I213" s="8"/>
      <c r="J213" s="8"/>
      <c r="Z213" s="4"/>
    </row>
    <row r="214" ht="12.75" customHeight="1">
      <c r="B214" s="7"/>
      <c r="C214" s="7"/>
      <c r="D214" s="7"/>
      <c r="E214" s="7"/>
      <c r="G214" s="8"/>
      <c r="H214" s="8"/>
      <c r="I214" s="8"/>
      <c r="J214" s="8"/>
      <c r="Z214" s="4"/>
    </row>
    <row r="215" ht="12.75" customHeight="1">
      <c r="B215" s="7"/>
      <c r="C215" s="7"/>
      <c r="D215" s="7"/>
      <c r="E215" s="7"/>
      <c r="G215" s="8"/>
      <c r="H215" s="8"/>
      <c r="I215" s="8"/>
      <c r="J215" s="8"/>
      <c r="Z215" s="4"/>
    </row>
    <row r="216" ht="12.75" customHeight="1">
      <c r="B216" s="7"/>
      <c r="C216" s="7"/>
      <c r="D216" s="7"/>
      <c r="E216" s="7"/>
      <c r="G216" s="8"/>
      <c r="H216" s="8"/>
      <c r="I216" s="8"/>
      <c r="J216" s="8"/>
      <c r="Z216" s="4"/>
    </row>
    <row r="217" ht="12.75" customHeight="1">
      <c r="B217" s="7"/>
      <c r="C217" s="7"/>
      <c r="D217" s="7"/>
      <c r="E217" s="7"/>
      <c r="G217" s="8"/>
      <c r="H217" s="8"/>
      <c r="I217" s="8"/>
      <c r="J217" s="8"/>
      <c r="Z217" s="4"/>
    </row>
    <row r="218" ht="12.75" customHeight="1">
      <c r="B218" s="7"/>
      <c r="C218" s="7"/>
      <c r="D218" s="7"/>
      <c r="E218" s="7"/>
      <c r="G218" s="8"/>
      <c r="H218" s="8"/>
      <c r="I218" s="8"/>
      <c r="J218" s="8"/>
      <c r="Z218" s="4"/>
    </row>
    <row r="219" ht="12.75" customHeight="1">
      <c r="B219" s="7"/>
      <c r="C219" s="7"/>
      <c r="D219" s="7"/>
      <c r="E219" s="7"/>
      <c r="G219" s="8"/>
      <c r="H219" s="8"/>
      <c r="I219" s="8"/>
      <c r="J219" s="8"/>
      <c r="Z219" s="4"/>
    </row>
    <row r="220" ht="12.75" customHeight="1">
      <c r="B220" s="7"/>
      <c r="C220" s="7"/>
      <c r="D220" s="7"/>
      <c r="E220" s="7"/>
      <c r="G220" s="8"/>
      <c r="H220" s="8"/>
      <c r="I220" s="8"/>
      <c r="J220" s="8"/>
      <c r="Z220" s="4"/>
    </row>
    <row r="221" ht="12.75" customHeight="1">
      <c r="B221" s="7"/>
      <c r="C221" s="7"/>
      <c r="D221" s="7"/>
      <c r="E221" s="7"/>
      <c r="G221" s="8"/>
      <c r="H221" s="8"/>
      <c r="I221" s="8"/>
      <c r="J221" s="8"/>
      <c r="Z221" s="4"/>
    </row>
    <row r="222" ht="12.75" customHeight="1">
      <c r="B222" s="7"/>
      <c r="C222" s="7"/>
      <c r="D222" s="7"/>
      <c r="E222" s="7"/>
      <c r="G222" s="8"/>
      <c r="H222" s="8"/>
      <c r="I222" s="8"/>
      <c r="J222" s="8"/>
      <c r="Z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2:I23"/>
    <mergeCell ref="J22:N23"/>
    <mergeCell ref="A1:M1"/>
    <mergeCell ref="D3:K11"/>
    <mergeCell ref="H17:N17"/>
    <mergeCell ref="H18:I19"/>
    <mergeCell ref="J18:N19"/>
    <mergeCell ref="H20:I21"/>
    <mergeCell ref="J20:N21"/>
  </mergeCells>
  <hyperlinks>
    <hyperlink r:id="rId1" ref="A1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4.29"/>
    <col customWidth="1" min="3" max="3" width="11.29"/>
    <col customWidth="1" min="4" max="4" width="9.0"/>
    <col customWidth="1" min="5" max="5" width="7.71"/>
    <col customWidth="1" min="6" max="6" width="9.14"/>
    <col customWidth="1" min="7" max="7" width="0.43"/>
    <col customWidth="1" hidden="1" min="8" max="9" width="10.29"/>
    <col customWidth="1" hidden="1" min="10" max="11" width="8.57"/>
    <col customWidth="1" hidden="1" min="12" max="12" width="8.71"/>
    <col customWidth="1" hidden="1" min="13" max="13" width="0.57"/>
    <col customWidth="1" hidden="1" min="14" max="14" width="8.86"/>
    <col customWidth="1" hidden="1" min="15" max="15" width="8.57"/>
    <col customWidth="1" hidden="1" min="16" max="17" width="8.86"/>
    <col customWidth="1" hidden="1" min="18" max="26" width="8.71"/>
    <col customWidth="1" hidden="1" min="27" max="27" width="0.43"/>
    <col customWidth="1" min="28" max="29" width="2.86"/>
    <col customWidth="1" min="30" max="30" width="25.29"/>
    <col customWidth="1" min="31" max="34" width="8.71"/>
    <col customWidth="1" min="35" max="35" width="2.29"/>
    <col customWidth="1" min="36" max="36" width="3.0"/>
    <col customWidth="1" min="37" max="37" width="24.29"/>
    <col customWidth="1" min="38" max="41" width="8.71"/>
    <col customWidth="1" min="42" max="42" width="2.57"/>
    <col customWidth="1" min="43" max="43" width="2.86"/>
    <col customWidth="1" min="44" max="44" width="25.86"/>
    <col customWidth="1" min="45" max="48" width="8.71"/>
  </cols>
  <sheetData>
    <row r="1" ht="12.75" customHeight="1">
      <c r="A1" s="17"/>
      <c r="B1" s="17" t="s">
        <v>14</v>
      </c>
      <c r="C1" s="17"/>
      <c r="D1" s="18"/>
      <c r="E1" s="17"/>
      <c r="F1" s="17"/>
      <c r="G1" s="19"/>
      <c r="H1" s="19"/>
      <c r="I1" s="19"/>
      <c r="J1" s="19"/>
      <c r="K1" s="19"/>
      <c r="L1" s="1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C1" s="4"/>
      <c r="AD1" s="4"/>
      <c r="AK1" s="4"/>
      <c r="AR1" s="4"/>
    </row>
    <row r="2" ht="12.75" customHeight="1">
      <c r="A2" s="20"/>
      <c r="B2" s="21" t="s">
        <v>15</v>
      </c>
      <c r="G2" s="22"/>
      <c r="H2" s="22"/>
      <c r="I2" s="19"/>
      <c r="J2" s="19"/>
      <c r="K2" s="19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C2" s="4"/>
      <c r="AD2" s="4"/>
      <c r="AK2" s="4"/>
      <c r="AR2" s="4"/>
    </row>
    <row r="3" ht="12.75" customHeight="1">
      <c r="A3" s="20"/>
      <c r="G3" s="22"/>
      <c r="H3" s="22"/>
      <c r="I3" s="19"/>
      <c r="J3" s="19"/>
      <c r="K3" s="19"/>
      <c r="L3" s="1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C3" s="4"/>
      <c r="AD3" s="4"/>
      <c r="AK3" s="4"/>
      <c r="AR3" s="4"/>
    </row>
    <row r="4" ht="12.75" customHeight="1">
      <c r="A4" s="23"/>
      <c r="B4" s="23"/>
      <c r="C4" s="23"/>
      <c r="D4" s="24"/>
      <c r="E4" s="18"/>
      <c r="F4" s="23"/>
      <c r="G4" s="19"/>
      <c r="H4" s="19"/>
      <c r="I4" s="19"/>
      <c r="J4" s="19"/>
      <c r="K4" s="19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C4" s="4"/>
      <c r="AD4" s="4"/>
      <c r="AK4" s="4"/>
      <c r="AR4" s="4"/>
    </row>
    <row r="5" ht="12.75" customHeight="1">
      <c r="A5" s="20" t="s">
        <v>16</v>
      </c>
      <c r="C5" s="25"/>
      <c r="D5" s="19"/>
      <c r="E5" s="19"/>
      <c r="F5" s="19"/>
      <c r="G5" s="19"/>
      <c r="H5" s="19"/>
      <c r="I5" s="19"/>
      <c r="J5" s="19"/>
      <c r="K5" s="19"/>
      <c r="L5" s="13"/>
      <c r="M5" s="4" t="s">
        <v>17</v>
      </c>
      <c r="N5" s="4"/>
      <c r="O5" s="4"/>
      <c r="P5" s="4"/>
      <c r="Q5" s="4"/>
      <c r="R5" s="4" t="s">
        <v>18</v>
      </c>
      <c r="S5" s="4"/>
      <c r="T5" s="4"/>
      <c r="U5" s="4"/>
      <c r="V5" s="4"/>
      <c r="W5" s="4" t="s">
        <v>19</v>
      </c>
      <c r="X5" s="4"/>
      <c r="Y5" s="4"/>
      <c r="Z5" s="4"/>
      <c r="AA5" s="4"/>
      <c r="AC5" s="20" t="s">
        <v>20</v>
      </c>
      <c r="AE5" s="25"/>
      <c r="AF5" s="19"/>
      <c r="AG5" s="19"/>
      <c r="AH5" s="19"/>
      <c r="AJ5" s="20" t="s">
        <v>21</v>
      </c>
      <c r="AL5" s="25"/>
      <c r="AM5" s="19"/>
      <c r="AN5" s="19"/>
      <c r="AO5" s="19"/>
      <c r="AQ5" s="20" t="s">
        <v>22</v>
      </c>
      <c r="AS5" s="25"/>
      <c r="AT5" s="19"/>
      <c r="AU5" s="19"/>
      <c r="AV5" s="19"/>
    </row>
    <row r="6" ht="12.75" customHeight="1">
      <c r="A6" s="20" t="s">
        <v>23</v>
      </c>
      <c r="C6" s="26" t="s">
        <v>24</v>
      </c>
      <c r="D6" s="18" t="s">
        <v>25</v>
      </c>
      <c r="E6" s="18" t="s">
        <v>26</v>
      </c>
      <c r="F6" s="18" t="s">
        <v>27</v>
      </c>
      <c r="G6" s="19"/>
      <c r="H6" s="19"/>
      <c r="I6" s="19"/>
      <c r="J6" s="19"/>
      <c r="K6" s="19"/>
      <c r="L6" s="13"/>
      <c r="M6" s="4" t="s">
        <v>28</v>
      </c>
      <c r="N6" s="4" t="s">
        <v>29</v>
      </c>
      <c r="O6" s="4" t="s">
        <v>30</v>
      </c>
      <c r="P6" s="4" t="s">
        <v>31</v>
      </c>
      <c r="Q6" s="4" t="s">
        <v>32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C6" s="20" t="s">
        <v>33</v>
      </c>
      <c r="AE6" s="26" t="s">
        <v>24</v>
      </c>
      <c r="AF6" s="18" t="s">
        <v>25</v>
      </c>
      <c r="AG6" s="18" t="s">
        <v>26</v>
      </c>
      <c r="AH6" s="18" t="s">
        <v>27</v>
      </c>
      <c r="AJ6" s="20" t="s">
        <v>33</v>
      </c>
      <c r="AL6" s="26" t="s">
        <v>24</v>
      </c>
      <c r="AM6" s="18" t="s">
        <v>25</v>
      </c>
      <c r="AN6" s="18" t="s">
        <v>26</v>
      </c>
      <c r="AO6" s="18" t="s">
        <v>27</v>
      </c>
      <c r="AQ6" s="20" t="s">
        <v>33</v>
      </c>
      <c r="AS6" s="26" t="s">
        <v>24</v>
      </c>
      <c r="AT6" s="18" t="s">
        <v>25</v>
      </c>
      <c r="AU6" s="18" t="s">
        <v>26</v>
      </c>
      <c r="AV6" s="18" t="s">
        <v>27</v>
      </c>
    </row>
    <row r="7" ht="12.75" customHeight="1">
      <c r="A7" s="27">
        <v>1.0</v>
      </c>
      <c r="B7" s="28" t="s">
        <v>5</v>
      </c>
      <c r="C7" s="29">
        <v>0.5</v>
      </c>
      <c r="D7" s="30">
        <v>5.0</v>
      </c>
      <c r="E7" s="30">
        <v>1.0</v>
      </c>
      <c r="F7" s="30">
        <f>Max!$B$4*C7</f>
        <v>50</v>
      </c>
      <c r="G7" s="31"/>
      <c r="H7" s="32"/>
      <c r="I7" s="31">
        <f t="shared" ref="I7:I10" si="1">D7*E7</f>
        <v>5</v>
      </c>
      <c r="J7" s="32">
        <f t="shared" ref="J7:J10" si="2">F7*I7</f>
        <v>250</v>
      </c>
      <c r="K7" s="31"/>
      <c r="L7" s="33"/>
      <c r="M7" s="4"/>
      <c r="N7" s="4"/>
      <c r="O7" s="4"/>
      <c r="P7" s="4"/>
      <c r="Q7" s="4"/>
      <c r="R7" s="7">
        <f>I7</f>
        <v>5</v>
      </c>
      <c r="S7" s="7">
        <f>I8</f>
        <v>8</v>
      </c>
      <c r="T7" s="7">
        <f>I9+I10</f>
        <v>21</v>
      </c>
      <c r="U7" s="4">
        <v>0.0</v>
      </c>
      <c r="V7" s="4">
        <v>0.0</v>
      </c>
      <c r="W7" s="4"/>
      <c r="X7" s="4"/>
      <c r="Y7" s="4"/>
      <c r="Z7" s="4"/>
      <c r="AA7" s="4"/>
      <c r="AC7" s="34">
        <v>1.0</v>
      </c>
      <c r="AD7" s="35" t="s">
        <v>34</v>
      </c>
      <c r="AE7" s="36">
        <v>0.5</v>
      </c>
      <c r="AF7" s="37">
        <v>5.0</v>
      </c>
      <c r="AG7" s="38">
        <v>1.0</v>
      </c>
      <c r="AH7" s="38">
        <f>Max!$B$3*AE7</f>
        <v>50</v>
      </c>
      <c r="AJ7" s="34">
        <v>1.0</v>
      </c>
      <c r="AK7" s="35" t="s">
        <v>34</v>
      </c>
      <c r="AL7" s="36">
        <v>0.5</v>
      </c>
      <c r="AM7" s="37">
        <v>5.0</v>
      </c>
      <c r="AN7" s="38">
        <v>1.0</v>
      </c>
      <c r="AO7" s="38">
        <f>Max!$B$3*AL7</f>
        <v>50</v>
      </c>
      <c r="AQ7" s="34">
        <v>1.0</v>
      </c>
      <c r="AR7" s="35" t="s">
        <v>34</v>
      </c>
      <c r="AS7" s="36">
        <v>0.5</v>
      </c>
      <c r="AT7" s="37">
        <v>5.0</v>
      </c>
      <c r="AU7" s="38">
        <v>1.0</v>
      </c>
      <c r="AV7" s="38">
        <f>Max!$B$3*AS7</f>
        <v>50</v>
      </c>
    </row>
    <row r="8" ht="12.75" customHeight="1">
      <c r="A8" s="27"/>
      <c r="B8" s="28"/>
      <c r="C8" s="29">
        <v>0.6</v>
      </c>
      <c r="D8" s="39">
        <v>4.0</v>
      </c>
      <c r="E8" s="30">
        <v>2.0</v>
      </c>
      <c r="F8" s="30">
        <f>Max!$B$4*C8</f>
        <v>60</v>
      </c>
      <c r="G8" s="40"/>
      <c r="H8" s="41"/>
      <c r="I8" s="40">
        <f t="shared" si="1"/>
        <v>8</v>
      </c>
      <c r="J8" s="41">
        <f t="shared" si="2"/>
        <v>480</v>
      </c>
      <c r="K8" s="40"/>
      <c r="L8" s="4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C8" s="34"/>
      <c r="AD8" s="35"/>
      <c r="AE8" s="36">
        <v>0.6</v>
      </c>
      <c r="AF8" s="37">
        <v>4.0</v>
      </c>
      <c r="AG8" s="38">
        <v>2.0</v>
      </c>
      <c r="AH8" s="38">
        <f>Max!$B$3*AE8</f>
        <v>60</v>
      </c>
      <c r="AJ8" s="34"/>
      <c r="AK8" s="35"/>
      <c r="AL8" s="36">
        <v>0.6</v>
      </c>
      <c r="AM8" s="37">
        <v>4.0</v>
      </c>
      <c r="AN8" s="38">
        <v>2.0</v>
      </c>
      <c r="AO8" s="38">
        <f>Max!$B$3*AL8</f>
        <v>60</v>
      </c>
      <c r="AQ8" s="34"/>
      <c r="AR8" s="35"/>
      <c r="AS8" s="36">
        <v>0.6</v>
      </c>
      <c r="AT8" s="37">
        <v>4.0</v>
      </c>
      <c r="AU8" s="38">
        <v>1.0</v>
      </c>
      <c r="AV8" s="38">
        <f>Max!$B$3*AS8</f>
        <v>60</v>
      </c>
    </row>
    <row r="9" ht="12.75" customHeight="1">
      <c r="A9" s="27"/>
      <c r="B9" s="28"/>
      <c r="C9" s="29">
        <v>0.7</v>
      </c>
      <c r="D9" s="39">
        <v>3.0</v>
      </c>
      <c r="E9" s="30">
        <v>2.0</v>
      </c>
      <c r="F9" s="30">
        <f>Max!$B$4*C9</f>
        <v>70</v>
      </c>
      <c r="G9" s="40"/>
      <c r="H9" s="41"/>
      <c r="I9" s="40">
        <f t="shared" si="1"/>
        <v>6</v>
      </c>
      <c r="J9" s="41">
        <f t="shared" si="2"/>
        <v>420</v>
      </c>
      <c r="K9" s="40"/>
      <c r="L9" s="4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C9" s="34"/>
      <c r="AD9" s="35"/>
      <c r="AE9" s="36">
        <v>0.7</v>
      </c>
      <c r="AF9" s="37">
        <v>3.0</v>
      </c>
      <c r="AG9" s="38">
        <v>2.0</v>
      </c>
      <c r="AH9" s="38">
        <f>Max!$B$3*AE9</f>
        <v>70</v>
      </c>
      <c r="AJ9" s="34"/>
      <c r="AK9" s="35"/>
      <c r="AL9" s="36">
        <v>0.7</v>
      </c>
      <c r="AM9" s="37">
        <v>3.0</v>
      </c>
      <c r="AN9" s="38">
        <v>2.0</v>
      </c>
      <c r="AO9" s="38">
        <f>Max!$B$3*AL9</f>
        <v>70</v>
      </c>
      <c r="AQ9" s="34"/>
      <c r="AR9" s="35"/>
      <c r="AS9" s="36">
        <v>0.7</v>
      </c>
      <c r="AT9" s="37">
        <v>3.0</v>
      </c>
      <c r="AU9" s="38">
        <v>2.0</v>
      </c>
      <c r="AV9" s="38">
        <f>Max!$B$3*AS9</f>
        <v>70</v>
      </c>
    </row>
    <row r="10" ht="12.75" customHeight="1">
      <c r="A10" s="27"/>
      <c r="B10" s="28"/>
      <c r="C10" s="29">
        <v>0.75</v>
      </c>
      <c r="D10" s="30">
        <v>3.0</v>
      </c>
      <c r="E10" s="30">
        <v>5.0</v>
      </c>
      <c r="F10" s="30">
        <f>Max!$B$4*C10</f>
        <v>75</v>
      </c>
      <c r="G10" s="40"/>
      <c r="H10" s="41"/>
      <c r="I10" s="40">
        <f t="shared" si="1"/>
        <v>15</v>
      </c>
      <c r="J10" s="41">
        <f t="shared" si="2"/>
        <v>1125</v>
      </c>
      <c r="K10" s="40"/>
      <c r="L10" s="4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C10" s="34"/>
      <c r="AD10" s="35"/>
      <c r="AE10" s="36">
        <v>0.8</v>
      </c>
      <c r="AF10" s="37">
        <v>2.0</v>
      </c>
      <c r="AG10" s="38">
        <v>5.0</v>
      </c>
      <c r="AH10" s="38">
        <f>Max!$B$3*AE10</f>
        <v>80</v>
      </c>
      <c r="AJ10" s="34"/>
      <c r="AK10" s="35"/>
      <c r="AL10" s="36">
        <v>0.8</v>
      </c>
      <c r="AM10" s="37">
        <v>3.0</v>
      </c>
      <c r="AN10" s="38">
        <v>5.0</v>
      </c>
      <c r="AO10" s="38">
        <f>Max!$B$3*AL10</f>
        <v>80</v>
      </c>
      <c r="AQ10" s="34"/>
      <c r="AR10" s="35"/>
      <c r="AS10" s="36">
        <v>0.8</v>
      </c>
      <c r="AT10" s="37">
        <v>3.0</v>
      </c>
      <c r="AU10" s="38">
        <v>2.0</v>
      </c>
      <c r="AV10" s="38">
        <f>Max!$B$3*AS10</f>
        <v>80</v>
      </c>
    </row>
    <row r="11" ht="12.75" customHeight="1">
      <c r="A11" s="34">
        <v>2.0</v>
      </c>
      <c r="B11" s="35" t="s">
        <v>35</v>
      </c>
      <c r="C11" s="36">
        <v>0.5</v>
      </c>
      <c r="D11" s="37">
        <v>5.0</v>
      </c>
      <c r="E11" s="38">
        <v>1.0</v>
      </c>
      <c r="F11" s="38">
        <f>Max!$B$3*C11</f>
        <v>50</v>
      </c>
      <c r="G11" s="40">
        <f t="shared" ref="G11:G13" si="3">D11*E11</f>
        <v>5</v>
      </c>
      <c r="H11" s="41">
        <f t="shared" ref="H11:H13" si="4">F11*G11</f>
        <v>250</v>
      </c>
      <c r="I11" s="40"/>
      <c r="J11" s="41"/>
      <c r="K11" s="40"/>
      <c r="L11" s="42"/>
      <c r="M11" s="7">
        <f>G11</f>
        <v>5</v>
      </c>
      <c r="N11" s="7">
        <f>G12</f>
        <v>10</v>
      </c>
      <c r="O11" s="7">
        <f>G13</f>
        <v>25</v>
      </c>
      <c r="P11" s="4">
        <v>0.0</v>
      </c>
      <c r="Q11" s="4">
        <v>0.0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C11" s="27">
        <v>2.0</v>
      </c>
      <c r="AD11" s="28" t="s">
        <v>5</v>
      </c>
      <c r="AE11" s="29">
        <v>0.5</v>
      </c>
      <c r="AF11" s="39">
        <v>5.0</v>
      </c>
      <c r="AG11" s="30">
        <v>1.0</v>
      </c>
      <c r="AH11" s="30">
        <f>Max!$B$4*AE11</f>
        <v>50</v>
      </c>
      <c r="AJ11" s="27">
        <v>2.0</v>
      </c>
      <c r="AK11" s="28" t="s">
        <v>5</v>
      </c>
      <c r="AL11" s="29">
        <v>0.5</v>
      </c>
      <c r="AM11" s="39">
        <v>5.0</v>
      </c>
      <c r="AN11" s="30">
        <v>1.0</v>
      </c>
      <c r="AO11" s="30">
        <f>Max!$B$4*AL11</f>
        <v>50</v>
      </c>
      <c r="AQ11" s="34"/>
      <c r="AR11" s="35"/>
      <c r="AS11" s="36">
        <v>0.85</v>
      </c>
      <c r="AT11" s="37">
        <v>2.0</v>
      </c>
      <c r="AU11" s="38">
        <v>3.0</v>
      </c>
      <c r="AV11" s="38">
        <f>Max!$B$3*AS11</f>
        <v>85</v>
      </c>
    </row>
    <row r="12" ht="12.75" customHeight="1">
      <c r="A12" s="34"/>
      <c r="B12" s="35"/>
      <c r="C12" s="36">
        <v>0.6</v>
      </c>
      <c r="D12" s="38">
        <v>5.0</v>
      </c>
      <c r="E12" s="38">
        <v>2.0</v>
      </c>
      <c r="F12" s="38">
        <f>Max!$B$3*C12</f>
        <v>60</v>
      </c>
      <c r="G12" s="40">
        <f t="shared" si="3"/>
        <v>10</v>
      </c>
      <c r="H12" s="41">
        <f t="shared" si="4"/>
        <v>600</v>
      </c>
      <c r="I12" s="40"/>
      <c r="J12" s="41"/>
      <c r="K12" s="40"/>
      <c r="L12" s="4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C12" s="27"/>
      <c r="AD12" s="28"/>
      <c r="AE12" s="29">
        <v>0.6</v>
      </c>
      <c r="AF12" s="39">
        <v>4.0</v>
      </c>
      <c r="AG12" s="30">
        <v>1.0</v>
      </c>
      <c r="AH12" s="30">
        <f>Max!$B$4*AE12</f>
        <v>60</v>
      </c>
      <c r="AJ12" s="27"/>
      <c r="AK12" s="28"/>
      <c r="AL12" s="29">
        <v>0.6</v>
      </c>
      <c r="AM12" s="39">
        <v>4.0</v>
      </c>
      <c r="AN12" s="30">
        <v>1.0</v>
      </c>
      <c r="AO12" s="30">
        <f>Max!$B$4*AL12</f>
        <v>60</v>
      </c>
      <c r="AQ12" s="27">
        <v>2.0</v>
      </c>
      <c r="AR12" s="28" t="s">
        <v>5</v>
      </c>
      <c r="AS12" s="29">
        <v>0.5</v>
      </c>
      <c r="AT12" s="39">
        <v>5.0</v>
      </c>
      <c r="AU12" s="30">
        <v>1.0</v>
      </c>
      <c r="AV12" s="30">
        <f>Max!$B$4*AS12</f>
        <v>50</v>
      </c>
    </row>
    <row r="13" ht="12.75" customHeight="1">
      <c r="A13" s="34"/>
      <c r="B13" s="35"/>
      <c r="C13" s="36">
        <v>0.7</v>
      </c>
      <c r="D13" s="38">
        <v>5.0</v>
      </c>
      <c r="E13" s="38">
        <v>5.0</v>
      </c>
      <c r="F13" s="38">
        <f>Max!$B$3*C13</f>
        <v>70</v>
      </c>
      <c r="G13" s="40">
        <f t="shared" si="3"/>
        <v>25</v>
      </c>
      <c r="H13" s="41">
        <f t="shared" si="4"/>
        <v>1750</v>
      </c>
      <c r="I13" s="40"/>
      <c r="J13" s="41"/>
      <c r="K13" s="40"/>
      <c r="L13" s="4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C13" s="27"/>
      <c r="AD13" s="28"/>
      <c r="AE13" s="29">
        <v>0.7</v>
      </c>
      <c r="AF13" s="39">
        <v>3.0</v>
      </c>
      <c r="AG13" s="30">
        <v>2.0</v>
      </c>
      <c r="AH13" s="30">
        <f>Max!$B$4*AE13</f>
        <v>70</v>
      </c>
      <c r="AJ13" s="27"/>
      <c r="AK13" s="28"/>
      <c r="AL13" s="29">
        <v>0.7</v>
      </c>
      <c r="AM13" s="39">
        <v>3.0</v>
      </c>
      <c r="AN13" s="30">
        <v>2.0</v>
      </c>
      <c r="AO13" s="30">
        <f>Max!$B$4*AL13</f>
        <v>70</v>
      </c>
      <c r="AQ13" s="27"/>
      <c r="AR13" s="28"/>
      <c r="AS13" s="29">
        <v>0.6</v>
      </c>
      <c r="AT13" s="39">
        <v>4.0</v>
      </c>
      <c r="AU13" s="30">
        <v>1.0</v>
      </c>
      <c r="AV13" s="30">
        <f>Max!$B$4*AS13</f>
        <v>60</v>
      </c>
    </row>
    <row r="14" ht="12.75" customHeight="1">
      <c r="A14" s="27">
        <v>4.0</v>
      </c>
      <c r="B14" s="28" t="s">
        <v>5</v>
      </c>
      <c r="C14" s="29">
        <v>0.5</v>
      </c>
      <c r="D14" s="30">
        <v>6.0</v>
      </c>
      <c r="E14" s="30">
        <v>1.0</v>
      </c>
      <c r="F14" s="30">
        <f>Max!$B$4*C14</f>
        <v>50</v>
      </c>
      <c r="G14" s="40"/>
      <c r="H14" s="41"/>
      <c r="I14" s="40">
        <f t="shared" ref="I14:I16" si="5">D14*E14</f>
        <v>6</v>
      </c>
      <c r="J14" s="41">
        <f t="shared" ref="J14:J16" si="6">F14*I14</f>
        <v>300</v>
      </c>
      <c r="K14" s="40"/>
      <c r="L14" s="42"/>
      <c r="M14" s="4"/>
      <c r="N14" s="4"/>
      <c r="O14" s="4"/>
      <c r="P14" s="4"/>
      <c r="Q14" s="4"/>
      <c r="R14" s="7">
        <f>I14</f>
        <v>6</v>
      </c>
      <c r="S14" s="7">
        <f>I15</f>
        <v>12</v>
      </c>
      <c r="T14" s="7">
        <f>I16</f>
        <v>24</v>
      </c>
      <c r="U14" s="4">
        <v>0.0</v>
      </c>
      <c r="V14" s="4">
        <v>0.0</v>
      </c>
      <c r="W14" s="4"/>
      <c r="X14" s="4"/>
      <c r="Y14" s="4"/>
      <c r="Z14" s="4"/>
      <c r="AA14" s="4"/>
      <c r="AC14" s="27"/>
      <c r="AD14" s="28"/>
      <c r="AE14" s="29">
        <v>0.8</v>
      </c>
      <c r="AF14" s="39">
        <v>2.0</v>
      </c>
      <c r="AG14" s="30">
        <v>6.0</v>
      </c>
      <c r="AH14" s="30">
        <f>Max!$B$4*AE14</f>
        <v>80</v>
      </c>
      <c r="AJ14" s="27"/>
      <c r="AK14" s="28"/>
      <c r="AL14" s="29">
        <v>0.8</v>
      </c>
      <c r="AM14" s="39">
        <v>3.0</v>
      </c>
      <c r="AN14" s="30">
        <v>5.0</v>
      </c>
      <c r="AO14" s="30">
        <f>Max!$B$4*AL14</f>
        <v>80</v>
      </c>
      <c r="AQ14" s="27"/>
      <c r="AR14" s="28"/>
      <c r="AS14" s="29">
        <v>0.7</v>
      </c>
      <c r="AT14" s="39">
        <v>3.0</v>
      </c>
      <c r="AU14" s="30">
        <v>2.0</v>
      </c>
      <c r="AV14" s="30">
        <f>Max!$B$4*AS14</f>
        <v>70</v>
      </c>
    </row>
    <row r="15" ht="12.75" customHeight="1">
      <c r="A15" s="27"/>
      <c r="B15" s="28"/>
      <c r="C15" s="29">
        <v>0.6</v>
      </c>
      <c r="D15" s="30">
        <v>6.0</v>
      </c>
      <c r="E15" s="30">
        <v>2.0</v>
      </c>
      <c r="F15" s="30">
        <f>Max!$B$4*C15</f>
        <v>60</v>
      </c>
      <c r="G15" s="40"/>
      <c r="H15" s="41"/>
      <c r="I15" s="40">
        <f t="shared" si="5"/>
        <v>12</v>
      </c>
      <c r="J15" s="41">
        <f t="shared" si="6"/>
        <v>720</v>
      </c>
      <c r="K15" s="40"/>
      <c r="L15" s="4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3">
        <v>3.0</v>
      </c>
      <c r="AD15" s="44" t="s">
        <v>36</v>
      </c>
      <c r="AE15" s="45"/>
      <c r="AF15" s="46">
        <v>10.0</v>
      </c>
      <c r="AG15" s="46">
        <v>5.0</v>
      </c>
      <c r="AH15" s="46"/>
      <c r="AJ15" s="43">
        <v>3.0</v>
      </c>
      <c r="AK15" s="44" t="s">
        <v>36</v>
      </c>
      <c r="AL15" s="45"/>
      <c r="AM15" s="47">
        <v>10.0</v>
      </c>
      <c r="AN15" s="46">
        <v>5.0</v>
      </c>
      <c r="AO15" s="46"/>
      <c r="AQ15" s="27"/>
      <c r="AR15" s="28"/>
      <c r="AS15" s="29">
        <v>0.8</v>
      </c>
      <c r="AT15" s="39">
        <v>3.0</v>
      </c>
      <c r="AU15" s="30">
        <v>5.0</v>
      </c>
      <c r="AV15" s="30">
        <f>Max!$B$4*AS15</f>
        <v>80</v>
      </c>
    </row>
    <row r="16" ht="12.75" customHeight="1">
      <c r="A16" s="27"/>
      <c r="B16" s="28"/>
      <c r="C16" s="29">
        <v>0.65</v>
      </c>
      <c r="D16" s="30">
        <v>6.0</v>
      </c>
      <c r="E16" s="30">
        <v>4.0</v>
      </c>
      <c r="F16" s="30">
        <f>Max!$B$4*C16</f>
        <v>65</v>
      </c>
      <c r="G16" s="40"/>
      <c r="H16" s="41"/>
      <c r="I16" s="40">
        <f t="shared" si="5"/>
        <v>24</v>
      </c>
      <c r="J16" s="41">
        <f t="shared" si="6"/>
        <v>1560</v>
      </c>
      <c r="K16" s="40"/>
      <c r="L16" s="4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43">
        <v>4.0</v>
      </c>
      <c r="AD16" s="44" t="s">
        <v>37</v>
      </c>
      <c r="AE16" s="45"/>
      <c r="AF16" s="46">
        <v>10.0</v>
      </c>
      <c r="AG16" s="46">
        <v>5.0</v>
      </c>
      <c r="AH16" s="46"/>
      <c r="AJ16" s="43">
        <v>4.0</v>
      </c>
      <c r="AK16" s="44" t="s">
        <v>37</v>
      </c>
      <c r="AL16" s="45"/>
      <c r="AM16" s="47">
        <v>10.0</v>
      </c>
      <c r="AN16" s="46">
        <v>5.0</v>
      </c>
      <c r="AO16" s="46"/>
      <c r="AQ16" s="43">
        <v>3.0</v>
      </c>
      <c r="AR16" s="44" t="s">
        <v>36</v>
      </c>
      <c r="AS16" s="45"/>
      <c r="AT16" s="47">
        <v>10.0</v>
      </c>
      <c r="AU16" s="46">
        <v>5.0</v>
      </c>
      <c r="AV16" s="46"/>
    </row>
    <row r="17" ht="12.75" customHeight="1">
      <c r="A17" s="43">
        <v>3.0</v>
      </c>
      <c r="B17" s="48" t="s">
        <v>38</v>
      </c>
      <c r="C17" s="45"/>
      <c r="D17" s="47">
        <v>10.0</v>
      </c>
      <c r="E17" s="46">
        <v>5.0</v>
      </c>
      <c r="F17" s="46"/>
      <c r="G17" s="40"/>
      <c r="H17" s="41"/>
      <c r="I17" s="40"/>
      <c r="J17" s="41"/>
      <c r="K17" s="40"/>
      <c r="L17" s="4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34">
        <v>5.0</v>
      </c>
      <c r="AD17" s="35" t="s">
        <v>34</v>
      </c>
      <c r="AE17" s="36">
        <v>0.55</v>
      </c>
      <c r="AF17" s="38">
        <v>3.0</v>
      </c>
      <c r="AG17" s="38">
        <v>1.0</v>
      </c>
      <c r="AH17" s="38">
        <f>Max!$B$3*AE17</f>
        <v>55</v>
      </c>
      <c r="AJ17" s="34">
        <v>5.0</v>
      </c>
      <c r="AK17" s="35" t="s">
        <v>34</v>
      </c>
      <c r="AL17" s="36">
        <v>0.5</v>
      </c>
      <c r="AM17" s="37">
        <v>5.0</v>
      </c>
      <c r="AN17" s="38">
        <v>1.0</v>
      </c>
      <c r="AO17" s="38">
        <f>Max!$B$3*AL17</f>
        <v>50</v>
      </c>
      <c r="AQ17" s="43">
        <v>4.0</v>
      </c>
      <c r="AR17" s="44" t="s">
        <v>39</v>
      </c>
      <c r="AS17" s="45"/>
      <c r="AT17" s="47">
        <v>8.0</v>
      </c>
      <c r="AU17" s="46">
        <v>5.0</v>
      </c>
      <c r="AV17" s="46"/>
    </row>
    <row r="18" ht="12.75" customHeight="1">
      <c r="A18" s="49">
        <v>5.0</v>
      </c>
      <c r="B18" s="50" t="s">
        <v>40</v>
      </c>
      <c r="C18" s="51"/>
      <c r="D18" s="52">
        <v>5.0</v>
      </c>
      <c r="E18" s="52">
        <v>5.0</v>
      </c>
      <c r="F18" s="52"/>
      <c r="G18" s="40"/>
      <c r="H18" s="41"/>
      <c r="I18" s="40"/>
      <c r="J18" s="41"/>
      <c r="K18" s="40"/>
      <c r="L18" s="4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C18" s="34"/>
      <c r="AD18" s="35"/>
      <c r="AE18" s="36">
        <v>0.65</v>
      </c>
      <c r="AF18" s="38">
        <v>3.0</v>
      </c>
      <c r="AG18" s="38">
        <v>1.0</v>
      </c>
      <c r="AH18" s="38">
        <f>Max!$B$3*AE18</f>
        <v>65</v>
      </c>
      <c r="AJ18" s="34"/>
      <c r="AK18" s="35"/>
      <c r="AL18" s="36">
        <v>0.6</v>
      </c>
      <c r="AM18" s="37">
        <v>5.0</v>
      </c>
      <c r="AN18" s="38">
        <v>1.0</v>
      </c>
      <c r="AO18" s="38">
        <f>Max!$B$3*AL18</f>
        <v>60</v>
      </c>
      <c r="AQ18" s="34">
        <v>5.0</v>
      </c>
      <c r="AR18" s="35" t="s">
        <v>34</v>
      </c>
      <c r="AS18" s="36">
        <v>0.5</v>
      </c>
      <c r="AT18" s="37">
        <v>5.0</v>
      </c>
      <c r="AU18" s="38">
        <v>1.0</v>
      </c>
      <c r="AV18" s="38">
        <f>Max!$B$3*AS18</f>
        <v>50</v>
      </c>
    </row>
    <row r="19" ht="12.75" customHeight="1">
      <c r="A19" s="20"/>
      <c r="B19" s="48"/>
      <c r="C19" s="25"/>
      <c r="D19" s="19"/>
      <c r="E19" s="19"/>
      <c r="F19" s="19"/>
      <c r="G19" s="40"/>
      <c r="H19" s="41"/>
      <c r="I19" s="40"/>
      <c r="J19" s="41"/>
      <c r="K19" s="40"/>
      <c r="L19" s="4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C19" s="34"/>
      <c r="AD19" s="35"/>
      <c r="AE19" s="36">
        <v>0.75</v>
      </c>
      <c r="AF19" s="38">
        <v>3.0</v>
      </c>
      <c r="AG19" s="38">
        <v>4.0</v>
      </c>
      <c r="AH19" s="38">
        <f>Max!$B$3*AE19</f>
        <v>75</v>
      </c>
      <c r="AJ19" s="34"/>
      <c r="AK19" s="35"/>
      <c r="AL19" s="36">
        <v>0.7</v>
      </c>
      <c r="AM19" s="37">
        <v>5.0</v>
      </c>
      <c r="AN19" s="38">
        <v>5.0</v>
      </c>
      <c r="AO19" s="38">
        <f>Max!$B$3*AL19</f>
        <v>70</v>
      </c>
      <c r="AQ19" s="34"/>
      <c r="AR19" s="35"/>
      <c r="AS19" s="36">
        <v>0.6</v>
      </c>
      <c r="AT19" s="37">
        <v>4.0</v>
      </c>
      <c r="AU19" s="38">
        <v>1.0</v>
      </c>
      <c r="AV19" s="38">
        <f>Max!$B$3*AS19</f>
        <v>60</v>
      </c>
    </row>
    <row r="20" ht="12.75" customHeight="1">
      <c r="A20" s="20" t="s">
        <v>41</v>
      </c>
      <c r="C20" s="26" t="s">
        <v>24</v>
      </c>
      <c r="D20" s="18" t="s">
        <v>25</v>
      </c>
      <c r="E20" s="18" t="s">
        <v>26</v>
      </c>
      <c r="F20" s="18" t="s">
        <v>42</v>
      </c>
      <c r="G20" s="40"/>
      <c r="H20" s="41"/>
      <c r="I20" s="40"/>
      <c r="J20" s="41"/>
      <c r="K20" s="40"/>
      <c r="L20" s="4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49">
        <v>6.0</v>
      </c>
      <c r="AD20" s="50" t="s">
        <v>40</v>
      </c>
      <c r="AE20" s="51"/>
      <c r="AF20" s="53">
        <v>5.0</v>
      </c>
      <c r="AG20" s="52">
        <v>5.0</v>
      </c>
      <c r="AH20" s="52"/>
      <c r="AJ20" s="49">
        <v>6.0</v>
      </c>
      <c r="AK20" s="50" t="s">
        <v>43</v>
      </c>
      <c r="AL20" s="51"/>
      <c r="AM20" s="53">
        <v>10.0</v>
      </c>
      <c r="AN20" s="52">
        <v>3.0</v>
      </c>
      <c r="AO20" s="52"/>
      <c r="AQ20" s="34"/>
      <c r="AR20" s="35"/>
      <c r="AS20" s="36">
        <v>0.7</v>
      </c>
      <c r="AT20" s="37">
        <v>3.0</v>
      </c>
      <c r="AU20" s="38">
        <v>2.0</v>
      </c>
      <c r="AV20" s="38">
        <f>Max!$B$3*AS20</f>
        <v>70</v>
      </c>
    </row>
    <row r="21" ht="12.75" customHeight="1">
      <c r="A21" s="54">
        <v>1.0</v>
      </c>
      <c r="B21" s="55" t="s">
        <v>6</v>
      </c>
      <c r="C21" s="56">
        <v>0.5</v>
      </c>
      <c r="D21" s="57">
        <v>5.0</v>
      </c>
      <c r="E21" s="57">
        <v>1.0</v>
      </c>
      <c r="F21" s="57">
        <f>Max!$B$5*C21</f>
        <v>50</v>
      </c>
      <c r="G21" s="40"/>
      <c r="H21" s="41"/>
      <c r="I21" s="40"/>
      <c r="J21" s="41"/>
      <c r="K21" s="40">
        <f t="shared" ref="K21:K24" si="7">D21*E21</f>
        <v>5</v>
      </c>
      <c r="L21" s="42">
        <f t="shared" ref="L21:L24" si="8">F21*K21</f>
        <v>250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7">
        <f>K21</f>
        <v>5</v>
      </c>
      <c r="X21" s="7">
        <f>K22</f>
        <v>10</v>
      </c>
      <c r="Y21" s="7">
        <f>K23+K24</f>
        <v>20</v>
      </c>
      <c r="Z21" s="4">
        <v>0.0</v>
      </c>
      <c r="AA21" s="4">
        <v>0.0</v>
      </c>
      <c r="AC21" s="20"/>
      <c r="AD21" s="48"/>
      <c r="AE21" s="25"/>
      <c r="AF21" s="19"/>
      <c r="AG21" s="19"/>
      <c r="AH21" s="19"/>
      <c r="AJ21" s="20"/>
      <c r="AK21" s="48"/>
      <c r="AL21" s="25"/>
      <c r="AM21" s="19"/>
      <c r="AN21" s="19"/>
      <c r="AO21" s="19"/>
      <c r="AQ21" s="34"/>
      <c r="AR21" s="35"/>
      <c r="AS21" s="36">
        <v>0.8</v>
      </c>
      <c r="AT21" s="37">
        <v>2.0</v>
      </c>
      <c r="AU21" s="38">
        <v>4.0</v>
      </c>
      <c r="AV21" s="38">
        <f>Max!$B$3*AS21</f>
        <v>80</v>
      </c>
    </row>
    <row r="22" ht="12.75" customHeight="1">
      <c r="A22" s="54"/>
      <c r="B22" s="55"/>
      <c r="C22" s="56">
        <v>0.6</v>
      </c>
      <c r="D22" s="57">
        <v>5.0</v>
      </c>
      <c r="E22" s="57">
        <v>2.0</v>
      </c>
      <c r="F22" s="57">
        <f>Max!$B$5*C22</f>
        <v>60</v>
      </c>
      <c r="G22" s="40"/>
      <c r="H22" s="41"/>
      <c r="I22" s="40"/>
      <c r="J22" s="41"/>
      <c r="K22" s="40">
        <f t="shared" si="7"/>
        <v>10</v>
      </c>
      <c r="L22" s="42">
        <f t="shared" si="8"/>
        <v>600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C22" s="20" t="s">
        <v>41</v>
      </c>
      <c r="AE22" s="26" t="s">
        <v>24</v>
      </c>
      <c r="AF22" s="18" t="s">
        <v>25</v>
      </c>
      <c r="AG22" s="18" t="s">
        <v>26</v>
      </c>
      <c r="AH22" s="18" t="s">
        <v>42</v>
      </c>
      <c r="AJ22" s="20" t="s">
        <v>41</v>
      </c>
      <c r="AL22" s="26" t="s">
        <v>24</v>
      </c>
      <c r="AM22" s="18" t="s">
        <v>25</v>
      </c>
      <c r="AN22" s="18" t="s">
        <v>26</v>
      </c>
      <c r="AO22" s="18" t="s">
        <v>42</v>
      </c>
      <c r="AQ22" s="49">
        <v>6.0</v>
      </c>
      <c r="AR22" s="50" t="s">
        <v>40</v>
      </c>
      <c r="AS22" s="51"/>
      <c r="AT22" s="53">
        <v>5.0</v>
      </c>
      <c r="AU22" s="52">
        <v>5.0</v>
      </c>
      <c r="AV22" s="52"/>
    </row>
    <row r="23" ht="12.75" customHeight="1">
      <c r="A23" s="54"/>
      <c r="B23" s="55"/>
      <c r="C23" s="56">
        <v>0.7</v>
      </c>
      <c r="D23" s="57">
        <v>4.0</v>
      </c>
      <c r="E23" s="57">
        <v>2.0</v>
      </c>
      <c r="F23" s="57">
        <f>Max!$B$5*C23</f>
        <v>70</v>
      </c>
      <c r="G23" s="40"/>
      <c r="H23" s="41"/>
      <c r="I23" s="40"/>
      <c r="J23" s="41"/>
      <c r="K23" s="40">
        <f t="shared" si="7"/>
        <v>8</v>
      </c>
      <c r="L23" s="42">
        <f t="shared" si="8"/>
        <v>560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C23" s="54">
        <v>1.0</v>
      </c>
      <c r="AD23" s="55" t="s">
        <v>44</v>
      </c>
      <c r="AE23" s="56">
        <v>0.5</v>
      </c>
      <c r="AF23" s="58">
        <v>4.0</v>
      </c>
      <c r="AG23" s="57">
        <v>1.0</v>
      </c>
      <c r="AH23" s="57">
        <f>Max!$B$5*AE23</f>
        <v>50</v>
      </c>
      <c r="AJ23" s="54">
        <v>1.0</v>
      </c>
      <c r="AK23" s="55" t="s">
        <v>44</v>
      </c>
      <c r="AL23" s="56">
        <v>0.5</v>
      </c>
      <c r="AM23" s="58">
        <v>4.0</v>
      </c>
      <c r="AN23" s="57">
        <v>1.0</v>
      </c>
      <c r="AO23" s="57">
        <f>Max!$B$5*AL23</f>
        <v>50</v>
      </c>
      <c r="AQ23" s="20"/>
      <c r="AR23" s="48"/>
      <c r="AS23" s="25"/>
      <c r="AT23" s="19"/>
      <c r="AU23" s="19"/>
      <c r="AV23" s="19"/>
    </row>
    <row r="24" ht="12.75" customHeight="1">
      <c r="A24" s="54"/>
      <c r="B24" s="55"/>
      <c r="C24" s="56">
        <v>0.75</v>
      </c>
      <c r="D24" s="57">
        <v>3.0</v>
      </c>
      <c r="E24" s="57">
        <v>4.0</v>
      </c>
      <c r="F24" s="57">
        <f>Max!$B$5*C24</f>
        <v>75</v>
      </c>
      <c r="G24" s="40"/>
      <c r="H24" s="41"/>
      <c r="I24" s="40"/>
      <c r="J24" s="41"/>
      <c r="K24" s="40">
        <f t="shared" si="7"/>
        <v>12</v>
      </c>
      <c r="L24" s="42">
        <f t="shared" si="8"/>
        <v>900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C24" s="54"/>
      <c r="AD24" s="55"/>
      <c r="AE24" s="56">
        <v>0.6</v>
      </c>
      <c r="AF24" s="58">
        <v>4.0</v>
      </c>
      <c r="AG24" s="57">
        <v>2.0</v>
      </c>
      <c r="AH24" s="57">
        <f>Max!$B$5*AE24</f>
        <v>60</v>
      </c>
      <c r="AJ24" s="54"/>
      <c r="AK24" s="55"/>
      <c r="AL24" s="56">
        <v>0.6</v>
      </c>
      <c r="AM24" s="58">
        <v>4.0</v>
      </c>
      <c r="AN24" s="57">
        <v>1.0</v>
      </c>
      <c r="AO24" s="57">
        <f>Max!$B$5*AL24</f>
        <v>60</v>
      </c>
      <c r="AQ24" s="20" t="s">
        <v>41</v>
      </c>
      <c r="AS24" s="26" t="s">
        <v>24</v>
      </c>
      <c r="AT24" s="18" t="s">
        <v>25</v>
      </c>
      <c r="AU24" s="18" t="s">
        <v>26</v>
      </c>
      <c r="AV24" s="18" t="s">
        <v>42</v>
      </c>
    </row>
    <row r="25" ht="12.75" customHeight="1">
      <c r="A25" s="43">
        <v>2.0</v>
      </c>
      <c r="B25" s="44" t="s">
        <v>45</v>
      </c>
      <c r="C25" s="45"/>
      <c r="D25" s="46">
        <v>4.0</v>
      </c>
      <c r="E25" s="46">
        <v>6.0</v>
      </c>
      <c r="F25" s="46"/>
      <c r="G25" s="40"/>
      <c r="H25" s="41"/>
      <c r="I25" s="40"/>
      <c r="J25" s="41"/>
      <c r="K25" s="40"/>
      <c r="L25" s="4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C25" s="54"/>
      <c r="AD25" s="55"/>
      <c r="AE25" s="56">
        <v>0.7</v>
      </c>
      <c r="AF25" s="58">
        <v>4.0</v>
      </c>
      <c r="AG25" s="57">
        <v>4.0</v>
      </c>
      <c r="AH25" s="57">
        <f>Max!$B$5*AE25</f>
        <v>70</v>
      </c>
      <c r="AJ25" s="54"/>
      <c r="AK25" s="55"/>
      <c r="AL25" s="56">
        <v>0.7</v>
      </c>
      <c r="AM25" s="58">
        <v>4.0</v>
      </c>
      <c r="AN25" s="57">
        <v>2.0</v>
      </c>
      <c r="AO25" s="57">
        <f>Max!$B$5*AL25</f>
        <v>70</v>
      </c>
      <c r="AQ25" s="27">
        <v>1.0</v>
      </c>
      <c r="AR25" s="28" t="s">
        <v>5</v>
      </c>
      <c r="AS25" s="29">
        <v>0.5</v>
      </c>
      <c r="AT25" s="39">
        <v>5.0</v>
      </c>
      <c r="AU25" s="30">
        <v>1.0</v>
      </c>
      <c r="AV25" s="30">
        <f>Max!$B$4*AS25</f>
        <v>50</v>
      </c>
    </row>
    <row r="26" ht="12.75" customHeight="1">
      <c r="A26" s="43">
        <v>3.0</v>
      </c>
      <c r="B26" s="44" t="s">
        <v>39</v>
      </c>
      <c r="C26" s="45"/>
      <c r="D26" s="46">
        <v>5.0</v>
      </c>
      <c r="E26" s="46">
        <v>5.0</v>
      </c>
      <c r="F26" s="46"/>
      <c r="G26" s="40"/>
      <c r="H26" s="41"/>
      <c r="I26" s="40"/>
      <c r="J26" s="41"/>
      <c r="K26" s="40"/>
      <c r="L26" s="4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C26" s="27">
        <v>2.0</v>
      </c>
      <c r="AD26" s="28" t="s">
        <v>5</v>
      </c>
      <c r="AE26" s="29">
        <v>0.5</v>
      </c>
      <c r="AF26" s="39">
        <v>5.0</v>
      </c>
      <c r="AG26" s="30">
        <v>1.0</v>
      </c>
      <c r="AH26" s="30">
        <f>Max!$B$4*AE26</f>
        <v>50</v>
      </c>
      <c r="AJ26" s="54"/>
      <c r="AK26" s="55"/>
      <c r="AL26" s="56">
        <v>0.75</v>
      </c>
      <c r="AM26" s="58">
        <v>4.0</v>
      </c>
      <c r="AN26" s="57">
        <v>4.0</v>
      </c>
      <c r="AO26" s="57">
        <f>Max!$B$5*AL26</f>
        <v>75</v>
      </c>
      <c r="AQ26" s="27"/>
      <c r="AR26" s="28"/>
      <c r="AS26" s="29">
        <v>0.6</v>
      </c>
      <c r="AT26" s="39">
        <v>4.0</v>
      </c>
      <c r="AU26" s="30">
        <v>1.0</v>
      </c>
      <c r="AV26" s="30">
        <f>Max!$B$4*AS26</f>
        <v>60</v>
      </c>
    </row>
    <row r="27" ht="12.75" customHeight="1">
      <c r="A27" s="54">
        <v>4.0</v>
      </c>
      <c r="B27" s="55" t="s">
        <v>46</v>
      </c>
      <c r="C27" s="56">
        <v>0.5</v>
      </c>
      <c r="D27" s="57">
        <v>5.0</v>
      </c>
      <c r="E27" s="57">
        <v>1.0</v>
      </c>
      <c r="F27" s="57">
        <f>Max!$B$5*C27</f>
        <v>50</v>
      </c>
      <c r="G27" s="40"/>
      <c r="H27" s="41"/>
      <c r="I27" s="40"/>
      <c r="J27" s="41"/>
      <c r="K27" s="40">
        <f t="shared" ref="K27:K30" si="9">D27*E27</f>
        <v>5</v>
      </c>
      <c r="L27" s="42">
        <f t="shared" ref="L27:L30" si="10">F27*K27</f>
        <v>250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7">
        <f>K27</f>
        <v>5</v>
      </c>
      <c r="X27" s="7">
        <f>K28</f>
        <v>10</v>
      </c>
      <c r="Y27" s="7">
        <f>K29</f>
        <v>8</v>
      </c>
      <c r="Z27" s="7">
        <f>K30</f>
        <v>12</v>
      </c>
      <c r="AA27" s="4">
        <v>0.0</v>
      </c>
      <c r="AC27" s="27"/>
      <c r="AD27" s="28"/>
      <c r="AE27" s="29">
        <v>0.6</v>
      </c>
      <c r="AF27" s="39">
        <v>5.0</v>
      </c>
      <c r="AG27" s="30">
        <v>2.0</v>
      </c>
      <c r="AH27" s="30">
        <f>Max!$B$4*AE27</f>
        <v>60</v>
      </c>
      <c r="AJ27" s="27">
        <v>2.0</v>
      </c>
      <c r="AK27" s="28" t="s">
        <v>5</v>
      </c>
      <c r="AL27" s="29">
        <v>0.5</v>
      </c>
      <c r="AM27" s="39">
        <v>6.0</v>
      </c>
      <c r="AN27" s="30">
        <v>1.0</v>
      </c>
      <c r="AO27" s="30">
        <f>Max!$B$4*AL27</f>
        <v>50</v>
      </c>
      <c r="AQ27" s="27"/>
      <c r="AR27" s="28"/>
      <c r="AS27" s="29">
        <v>0.7</v>
      </c>
      <c r="AT27" s="39">
        <v>3.0</v>
      </c>
      <c r="AU27" s="30">
        <v>2.0</v>
      </c>
      <c r="AV27" s="30">
        <f>Max!$B$4*AS27</f>
        <v>70</v>
      </c>
    </row>
    <row r="28" ht="12.75" customHeight="1">
      <c r="A28" s="54"/>
      <c r="B28" s="55"/>
      <c r="C28" s="56">
        <v>0.6</v>
      </c>
      <c r="D28" s="57">
        <v>5.0</v>
      </c>
      <c r="E28" s="57">
        <v>2.0</v>
      </c>
      <c r="F28" s="57">
        <f>Max!$B$5*C28</f>
        <v>60</v>
      </c>
      <c r="G28" s="40"/>
      <c r="H28" s="41"/>
      <c r="I28" s="40"/>
      <c r="J28" s="41"/>
      <c r="K28" s="40">
        <f t="shared" si="9"/>
        <v>10</v>
      </c>
      <c r="L28" s="42">
        <f t="shared" si="10"/>
        <v>600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27"/>
      <c r="AD28" s="28"/>
      <c r="AE28" s="29">
        <v>0.7</v>
      </c>
      <c r="AF28" s="39">
        <v>4.0</v>
      </c>
      <c r="AG28" s="30">
        <v>5.0</v>
      </c>
      <c r="AH28" s="30">
        <f>Max!$B$4*AE28</f>
        <v>70</v>
      </c>
      <c r="AJ28" s="27"/>
      <c r="AK28" s="28"/>
      <c r="AL28" s="29">
        <v>0.6</v>
      </c>
      <c r="AM28" s="39">
        <v>5.0</v>
      </c>
      <c r="AN28" s="30">
        <v>1.0</v>
      </c>
      <c r="AO28" s="30">
        <f>Max!$B$4*AL28</f>
        <v>60</v>
      </c>
      <c r="AQ28" s="27"/>
      <c r="AR28" s="28"/>
      <c r="AS28" s="29">
        <v>0.8</v>
      </c>
      <c r="AT28" s="39">
        <v>3.0</v>
      </c>
      <c r="AU28" s="30">
        <v>2.0</v>
      </c>
      <c r="AV28" s="30">
        <f>Max!$B$4*AS28</f>
        <v>80</v>
      </c>
    </row>
    <row r="29" ht="12.75" customHeight="1">
      <c r="A29" s="54"/>
      <c r="B29" s="55"/>
      <c r="C29" s="56">
        <v>0.7</v>
      </c>
      <c r="D29" s="58">
        <v>4.0</v>
      </c>
      <c r="E29" s="57">
        <v>2.0</v>
      </c>
      <c r="F29" s="57">
        <f>Max!$B$5*C29</f>
        <v>70</v>
      </c>
      <c r="G29" s="40"/>
      <c r="H29" s="41"/>
      <c r="I29" s="40"/>
      <c r="J29" s="41"/>
      <c r="K29" s="40">
        <f t="shared" si="9"/>
        <v>8</v>
      </c>
      <c r="L29" s="42">
        <f t="shared" si="10"/>
        <v>560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C29" s="43">
        <v>3.0</v>
      </c>
      <c r="AD29" s="44" t="s">
        <v>36</v>
      </c>
      <c r="AE29" s="45"/>
      <c r="AF29" s="46">
        <v>10.0</v>
      </c>
      <c r="AG29" s="46">
        <v>5.0</v>
      </c>
      <c r="AH29" s="46"/>
      <c r="AJ29" s="27"/>
      <c r="AK29" s="28"/>
      <c r="AL29" s="29">
        <v>0.7</v>
      </c>
      <c r="AM29" s="39">
        <v>4.0</v>
      </c>
      <c r="AN29" s="30">
        <v>2.0</v>
      </c>
      <c r="AO29" s="30">
        <f>Max!$B$4*AL29</f>
        <v>70</v>
      </c>
      <c r="AQ29" s="27"/>
      <c r="AR29" s="28"/>
      <c r="AS29" s="29">
        <v>0.85</v>
      </c>
      <c r="AT29" s="39">
        <v>2.0</v>
      </c>
      <c r="AU29" s="30">
        <v>3.0</v>
      </c>
      <c r="AV29" s="30">
        <f>Max!$B$4*AS29</f>
        <v>85</v>
      </c>
    </row>
    <row r="30" ht="12.75" customHeight="1">
      <c r="A30" s="54"/>
      <c r="B30" s="55"/>
      <c r="C30" s="56">
        <v>0.8</v>
      </c>
      <c r="D30" s="57">
        <v>3.0</v>
      </c>
      <c r="E30" s="57">
        <v>4.0</v>
      </c>
      <c r="F30" s="57">
        <f>Max!$B$5*C30</f>
        <v>80</v>
      </c>
      <c r="G30" s="40"/>
      <c r="H30" s="41"/>
      <c r="I30" s="40"/>
      <c r="J30" s="41"/>
      <c r="K30" s="40">
        <f t="shared" si="9"/>
        <v>12</v>
      </c>
      <c r="L30" s="42">
        <f t="shared" si="10"/>
        <v>960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C30" s="54">
        <v>4.0</v>
      </c>
      <c r="AD30" s="55" t="s">
        <v>6</v>
      </c>
      <c r="AE30" s="56">
        <v>0.5</v>
      </c>
      <c r="AF30" s="58">
        <v>4.0</v>
      </c>
      <c r="AG30" s="57">
        <v>1.0</v>
      </c>
      <c r="AH30" s="57">
        <f>Max!$B$5*AE30</f>
        <v>50</v>
      </c>
      <c r="AJ30" s="27"/>
      <c r="AK30" s="28"/>
      <c r="AL30" s="29">
        <v>0.75</v>
      </c>
      <c r="AM30" s="39">
        <v>3.0</v>
      </c>
      <c r="AN30" s="30">
        <v>2.0</v>
      </c>
      <c r="AO30" s="30">
        <f>Max!$B$4*AL30</f>
        <v>75</v>
      </c>
      <c r="AQ30" s="54">
        <v>2.0</v>
      </c>
      <c r="AR30" s="55" t="s">
        <v>6</v>
      </c>
      <c r="AS30" s="56">
        <v>0.5</v>
      </c>
      <c r="AT30" s="58">
        <v>4.0</v>
      </c>
      <c r="AU30" s="57">
        <v>1.0</v>
      </c>
      <c r="AV30" s="57">
        <f>Max!$B$5*AS30</f>
        <v>50</v>
      </c>
    </row>
    <row r="31" ht="12.75" customHeight="1">
      <c r="A31" s="43">
        <v>5.0</v>
      </c>
      <c r="B31" s="44" t="s">
        <v>47</v>
      </c>
      <c r="C31" s="45"/>
      <c r="D31" s="47">
        <v>5.0</v>
      </c>
      <c r="E31" s="46">
        <v>5.0</v>
      </c>
      <c r="F31" s="46"/>
      <c r="G31" s="40"/>
      <c r="H31" s="41"/>
      <c r="I31" s="40"/>
      <c r="J31" s="41"/>
      <c r="K31" s="40"/>
      <c r="L31" s="4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54"/>
      <c r="AD31" s="55"/>
      <c r="AE31" s="56">
        <v>0.6</v>
      </c>
      <c r="AF31" s="58">
        <v>4.0</v>
      </c>
      <c r="AG31" s="57">
        <v>1.0</v>
      </c>
      <c r="AH31" s="57">
        <f>Max!$B$5*AE31</f>
        <v>60</v>
      </c>
      <c r="AJ31" s="27"/>
      <c r="AK31" s="28"/>
      <c r="AL31" s="29">
        <v>0.8</v>
      </c>
      <c r="AM31" s="39">
        <v>2.0</v>
      </c>
      <c r="AN31" s="30">
        <v>2.0</v>
      </c>
      <c r="AO31" s="30">
        <f>Max!$B$4*AL31</f>
        <v>80</v>
      </c>
      <c r="AQ31" s="54"/>
      <c r="AR31" s="55"/>
      <c r="AS31" s="56">
        <v>0.6</v>
      </c>
      <c r="AT31" s="58">
        <v>4.0</v>
      </c>
      <c r="AU31" s="57">
        <v>1.0</v>
      </c>
      <c r="AV31" s="57">
        <f>Max!$B$5*AS31</f>
        <v>60</v>
      </c>
    </row>
    <row r="32" ht="12.75" customHeight="1">
      <c r="A32" s="43">
        <v>6.0</v>
      </c>
      <c r="B32" s="44" t="s">
        <v>43</v>
      </c>
      <c r="C32" s="45"/>
      <c r="D32" s="46">
        <v>10.0</v>
      </c>
      <c r="E32" s="46">
        <v>3.0</v>
      </c>
      <c r="F32" s="46"/>
      <c r="G32" s="40"/>
      <c r="H32" s="41"/>
      <c r="I32" s="40"/>
      <c r="J32" s="41"/>
      <c r="K32" s="40"/>
      <c r="L32" s="4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54"/>
      <c r="AD32" s="55"/>
      <c r="AE32" s="56">
        <v>0.7</v>
      </c>
      <c r="AF32" s="58">
        <v>3.0</v>
      </c>
      <c r="AG32" s="57">
        <v>2.0</v>
      </c>
      <c r="AH32" s="57">
        <f>Max!$B$5*AE32</f>
        <v>70</v>
      </c>
      <c r="AJ32" s="27"/>
      <c r="AK32" s="28"/>
      <c r="AL32" s="29">
        <v>0.75</v>
      </c>
      <c r="AM32" s="39">
        <v>3.0</v>
      </c>
      <c r="AN32" s="30">
        <v>2.0</v>
      </c>
      <c r="AO32" s="30">
        <f>Max!$B$4*AL32</f>
        <v>75</v>
      </c>
      <c r="AQ32" s="54"/>
      <c r="AR32" s="55"/>
      <c r="AS32" s="56">
        <v>0.7</v>
      </c>
      <c r="AT32" s="58">
        <v>3.0</v>
      </c>
      <c r="AU32" s="57">
        <v>2.0</v>
      </c>
      <c r="AV32" s="57">
        <f>Max!$B$5*AS32</f>
        <v>70</v>
      </c>
    </row>
    <row r="33" ht="12.75" customHeight="1">
      <c r="A33" s="20"/>
      <c r="B33" s="48"/>
      <c r="C33" s="25"/>
      <c r="D33" s="19"/>
      <c r="E33" s="19"/>
      <c r="F33" s="19"/>
      <c r="G33" s="40"/>
      <c r="H33" s="41"/>
      <c r="I33" s="40"/>
      <c r="J33" s="41"/>
      <c r="K33" s="40"/>
      <c r="L33" s="4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54"/>
      <c r="AD33" s="55"/>
      <c r="AE33" s="56">
        <v>0.75</v>
      </c>
      <c r="AF33" s="58">
        <v>3.0</v>
      </c>
      <c r="AG33" s="57">
        <v>5.0</v>
      </c>
      <c r="AH33" s="57">
        <f>Max!$B$5*AE33</f>
        <v>75</v>
      </c>
      <c r="AJ33" s="27"/>
      <c r="AK33" s="28"/>
      <c r="AL33" s="29">
        <v>0.7</v>
      </c>
      <c r="AM33" s="39">
        <v>4.0</v>
      </c>
      <c r="AN33" s="30">
        <v>1.0</v>
      </c>
      <c r="AO33" s="30">
        <f>Max!$B$4*AL33</f>
        <v>70</v>
      </c>
      <c r="AQ33" s="54"/>
      <c r="AR33" s="55"/>
      <c r="AS33" s="56">
        <v>0.8</v>
      </c>
      <c r="AT33" s="58">
        <v>3.0</v>
      </c>
      <c r="AU33" s="57">
        <v>2.0</v>
      </c>
      <c r="AV33" s="57">
        <f>Max!$B$5*AS33</f>
        <v>80</v>
      </c>
    </row>
    <row r="34" ht="12.75" customHeight="1">
      <c r="A34" s="20" t="s">
        <v>48</v>
      </c>
      <c r="C34" s="26" t="s">
        <v>24</v>
      </c>
      <c r="D34" s="18" t="s">
        <v>25</v>
      </c>
      <c r="E34" s="18" t="s">
        <v>26</v>
      </c>
      <c r="F34" s="18" t="s">
        <v>42</v>
      </c>
      <c r="G34" s="40"/>
      <c r="H34" s="41"/>
      <c r="I34" s="40"/>
      <c r="J34" s="41"/>
      <c r="K34" s="40"/>
      <c r="L34" s="4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C34" s="43">
        <v>5.0</v>
      </c>
      <c r="AD34" s="44" t="s">
        <v>47</v>
      </c>
      <c r="AE34" s="45"/>
      <c r="AF34" s="47">
        <v>5.0</v>
      </c>
      <c r="AG34" s="46">
        <v>5.0</v>
      </c>
      <c r="AH34" s="46"/>
      <c r="AJ34" s="27"/>
      <c r="AK34" s="28"/>
      <c r="AL34" s="29">
        <v>0.65</v>
      </c>
      <c r="AM34" s="39">
        <v>5.0</v>
      </c>
      <c r="AN34" s="30">
        <v>1.0</v>
      </c>
      <c r="AO34" s="30">
        <f>Max!$B$4*AL34</f>
        <v>65</v>
      </c>
      <c r="AQ34" s="54"/>
      <c r="AR34" s="55"/>
      <c r="AS34" s="56">
        <v>0.85</v>
      </c>
      <c r="AT34" s="58">
        <v>2.0</v>
      </c>
      <c r="AU34" s="57">
        <v>3.0</v>
      </c>
      <c r="AV34" s="57">
        <f>Max!$B$5*AS34</f>
        <v>85</v>
      </c>
    </row>
    <row r="35" ht="12.75" customHeight="1">
      <c r="A35" s="27">
        <v>1.0</v>
      </c>
      <c r="B35" s="28" t="s">
        <v>5</v>
      </c>
      <c r="C35" s="29">
        <v>0.5</v>
      </c>
      <c r="D35" s="30">
        <v>7.0</v>
      </c>
      <c r="E35" s="30">
        <v>1.0</v>
      </c>
      <c r="F35" s="30">
        <f>Max!$B$4*C35</f>
        <v>50</v>
      </c>
      <c r="G35" s="40"/>
      <c r="H35" s="41"/>
      <c r="I35" s="40">
        <f t="shared" ref="I35:I45" si="11">D35*E35</f>
        <v>7</v>
      </c>
      <c r="J35" s="41">
        <f t="shared" ref="J35:J45" si="12">F35*I35</f>
        <v>350</v>
      </c>
      <c r="K35" s="40"/>
      <c r="L35" s="42"/>
      <c r="M35" s="4"/>
      <c r="N35" s="4"/>
      <c r="O35" s="4"/>
      <c r="P35" s="4"/>
      <c r="Q35" s="4"/>
      <c r="R35" s="7">
        <f>I35+I36+I44+I45</f>
        <v>31</v>
      </c>
      <c r="S35" s="7">
        <f>I37+I38+I42+I43</f>
        <v>19</v>
      </c>
      <c r="T35" s="7">
        <f>I39+I40+I41</f>
        <v>16</v>
      </c>
      <c r="U35" s="4">
        <v>0.0</v>
      </c>
      <c r="V35" s="4">
        <v>0.0</v>
      </c>
      <c r="W35" s="4"/>
      <c r="X35" s="4"/>
      <c r="Y35" s="4"/>
      <c r="Z35" s="4"/>
      <c r="AA35" s="4"/>
      <c r="AC35" s="20"/>
      <c r="AD35" s="48"/>
      <c r="AE35" s="25"/>
      <c r="AF35" s="19"/>
      <c r="AG35" s="19"/>
      <c r="AH35" s="19"/>
      <c r="AJ35" s="27"/>
      <c r="AK35" s="28"/>
      <c r="AL35" s="29">
        <v>0.6</v>
      </c>
      <c r="AM35" s="39">
        <v>6.0</v>
      </c>
      <c r="AN35" s="30">
        <v>1.0</v>
      </c>
      <c r="AO35" s="30">
        <f>Max!$B$4*AL35</f>
        <v>60</v>
      </c>
      <c r="AQ35" s="27">
        <v>3.0</v>
      </c>
      <c r="AR35" s="28" t="s">
        <v>5</v>
      </c>
      <c r="AS35" s="29">
        <v>0.55</v>
      </c>
      <c r="AT35" s="39">
        <v>5.0</v>
      </c>
      <c r="AU35" s="30">
        <v>1.0</v>
      </c>
      <c r="AV35" s="30">
        <f>Max!$B$4*AS35</f>
        <v>55</v>
      </c>
    </row>
    <row r="36" ht="12.75" customHeight="1">
      <c r="A36" s="27"/>
      <c r="B36" s="28"/>
      <c r="C36" s="29">
        <v>0.55</v>
      </c>
      <c r="D36" s="30">
        <v>6.0</v>
      </c>
      <c r="E36" s="30">
        <v>1.0</v>
      </c>
      <c r="F36" s="30">
        <f>Max!$B$4*C36</f>
        <v>55</v>
      </c>
      <c r="G36" s="40"/>
      <c r="H36" s="41"/>
      <c r="I36" s="40">
        <f t="shared" si="11"/>
        <v>6</v>
      </c>
      <c r="J36" s="41">
        <f t="shared" si="12"/>
        <v>330</v>
      </c>
      <c r="K36" s="40"/>
      <c r="L36" s="4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C36" s="20" t="s">
        <v>48</v>
      </c>
      <c r="AE36" s="26" t="s">
        <v>24</v>
      </c>
      <c r="AF36" s="18" t="s">
        <v>25</v>
      </c>
      <c r="AG36" s="18" t="s">
        <v>26</v>
      </c>
      <c r="AH36" s="18" t="s">
        <v>42</v>
      </c>
      <c r="AJ36" s="27"/>
      <c r="AK36" s="28"/>
      <c r="AL36" s="29">
        <v>0.55</v>
      </c>
      <c r="AM36" s="39">
        <v>7.0</v>
      </c>
      <c r="AN36" s="30">
        <v>1.0</v>
      </c>
      <c r="AO36" s="30">
        <f>Max!$B$4*AL36</f>
        <v>55</v>
      </c>
      <c r="AQ36" s="27"/>
      <c r="AR36" s="28"/>
      <c r="AS36" s="29">
        <v>0.65</v>
      </c>
      <c r="AT36" s="39">
        <v>5.0</v>
      </c>
      <c r="AU36" s="30">
        <v>1.0</v>
      </c>
      <c r="AV36" s="30">
        <f>Max!$B$4*AS36</f>
        <v>65</v>
      </c>
    </row>
    <row r="37" ht="12.75" customHeight="1">
      <c r="A37" s="27"/>
      <c r="B37" s="28"/>
      <c r="C37" s="29">
        <v>0.6</v>
      </c>
      <c r="D37" s="30">
        <v>5.0</v>
      </c>
      <c r="E37" s="30">
        <v>1.0</v>
      </c>
      <c r="F37" s="30">
        <f>Max!$B$4*C37</f>
        <v>60</v>
      </c>
      <c r="G37" s="40"/>
      <c r="H37" s="41"/>
      <c r="I37" s="40">
        <f t="shared" si="11"/>
        <v>5</v>
      </c>
      <c r="J37" s="41">
        <f t="shared" si="12"/>
        <v>300</v>
      </c>
      <c r="K37" s="40"/>
      <c r="L37" s="4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34">
        <v>1.0</v>
      </c>
      <c r="AD37" s="35" t="s">
        <v>34</v>
      </c>
      <c r="AE37" s="36">
        <v>0.5</v>
      </c>
      <c r="AF37" s="37">
        <v>4.0</v>
      </c>
      <c r="AG37" s="38">
        <v>1.0</v>
      </c>
      <c r="AH37" s="38">
        <f>Max!$B$3*AE37</f>
        <v>50</v>
      </c>
      <c r="AJ37" s="27"/>
      <c r="AK37" s="28"/>
      <c r="AL37" s="29">
        <v>0.5</v>
      </c>
      <c r="AM37" s="39">
        <v>8.0</v>
      </c>
      <c r="AN37" s="30">
        <v>1.0</v>
      </c>
      <c r="AO37" s="30">
        <f>Max!$B$4*AL37</f>
        <v>50</v>
      </c>
      <c r="AQ37" s="27"/>
      <c r="AR37" s="28"/>
      <c r="AS37" s="29">
        <v>0.75</v>
      </c>
      <c r="AT37" s="39">
        <v>4.0</v>
      </c>
      <c r="AU37" s="30">
        <v>4.0</v>
      </c>
      <c r="AV37" s="30">
        <f>Max!$B$4*AS37</f>
        <v>75</v>
      </c>
    </row>
    <row r="38" ht="12.75" customHeight="1">
      <c r="A38" s="27"/>
      <c r="B38" s="28"/>
      <c r="C38" s="29">
        <v>0.65</v>
      </c>
      <c r="D38" s="30">
        <v>4.0</v>
      </c>
      <c r="E38" s="30">
        <v>1.0</v>
      </c>
      <c r="F38" s="30">
        <f>Max!$B$4*C38</f>
        <v>65</v>
      </c>
      <c r="G38" s="40"/>
      <c r="H38" s="41"/>
      <c r="I38" s="40">
        <f t="shared" si="11"/>
        <v>4</v>
      </c>
      <c r="J38" s="41">
        <f t="shared" si="12"/>
        <v>260</v>
      </c>
      <c r="K38" s="40"/>
      <c r="L38" s="4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34"/>
      <c r="AD38" s="35"/>
      <c r="AE38" s="36">
        <v>0.6</v>
      </c>
      <c r="AF38" s="37">
        <v>4.0</v>
      </c>
      <c r="AG38" s="38">
        <v>1.0</v>
      </c>
      <c r="AH38" s="38">
        <f>Max!$B$3*AE38</f>
        <v>60</v>
      </c>
      <c r="AJ38" s="43">
        <v>3.0</v>
      </c>
      <c r="AK38" s="44" t="s">
        <v>36</v>
      </c>
      <c r="AL38" s="45"/>
      <c r="AM38" s="46">
        <v>10.0</v>
      </c>
      <c r="AN38" s="46">
        <v>5.0</v>
      </c>
      <c r="AO38" s="46"/>
      <c r="AQ38" s="43">
        <v>4.0</v>
      </c>
      <c r="AR38" s="44" t="s">
        <v>36</v>
      </c>
      <c r="AS38" s="45"/>
      <c r="AT38" s="47">
        <v>10.0</v>
      </c>
      <c r="AU38" s="46">
        <v>5.0</v>
      </c>
      <c r="AV38" s="46"/>
    </row>
    <row r="39" ht="12.75" customHeight="1">
      <c r="A39" s="27"/>
      <c r="B39" s="28"/>
      <c r="C39" s="29">
        <v>0.7</v>
      </c>
      <c r="D39" s="30">
        <v>3.0</v>
      </c>
      <c r="E39" s="30">
        <v>2.0</v>
      </c>
      <c r="F39" s="30">
        <f>Max!$B$4*C39</f>
        <v>70</v>
      </c>
      <c r="G39" s="40"/>
      <c r="H39" s="41"/>
      <c r="I39" s="40">
        <f t="shared" si="11"/>
        <v>6</v>
      </c>
      <c r="J39" s="41">
        <f t="shared" si="12"/>
        <v>420</v>
      </c>
      <c r="K39" s="40"/>
      <c r="L39" s="4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C39" s="34"/>
      <c r="AD39" s="35"/>
      <c r="AE39" s="36">
        <v>0.7</v>
      </c>
      <c r="AF39" s="37">
        <v>3.0</v>
      </c>
      <c r="AG39" s="38">
        <v>2.0</v>
      </c>
      <c r="AH39" s="38">
        <f>Max!$B$3*AE39</f>
        <v>70</v>
      </c>
      <c r="AJ39" s="54">
        <v>4.0</v>
      </c>
      <c r="AK39" s="55" t="s">
        <v>46</v>
      </c>
      <c r="AL39" s="56">
        <v>0.6</v>
      </c>
      <c r="AM39" s="58">
        <v>5.0</v>
      </c>
      <c r="AN39" s="57">
        <v>1.0</v>
      </c>
      <c r="AO39" s="57">
        <f>Max!$B$5*AL39</f>
        <v>60</v>
      </c>
      <c r="AQ39" s="43">
        <v>5.0</v>
      </c>
      <c r="AR39" s="44" t="s">
        <v>47</v>
      </c>
      <c r="AS39" s="45"/>
      <c r="AT39" s="47">
        <v>5.0</v>
      </c>
      <c r="AU39" s="46">
        <v>5.0</v>
      </c>
      <c r="AV39" s="46"/>
    </row>
    <row r="40" ht="12.75" customHeight="1">
      <c r="A40" s="27"/>
      <c r="B40" s="28"/>
      <c r="C40" s="29">
        <v>0.75</v>
      </c>
      <c r="D40" s="30">
        <v>2.0</v>
      </c>
      <c r="E40" s="30">
        <v>2.0</v>
      </c>
      <c r="F40" s="30">
        <f>Max!$B$4*C40</f>
        <v>75</v>
      </c>
      <c r="G40" s="40"/>
      <c r="H40" s="41"/>
      <c r="I40" s="40">
        <f t="shared" si="11"/>
        <v>4</v>
      </c>
      <c r="J40" s="41">
        <f t="shared" si="12"/>
        <v>300</v>
      </c>
      <c r="K40" s="40"/>
      <c r="L40" s="4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C40" s="34"/>
      <c r="AD40" s="35"/>
      <c r="AE40" s="36">
        <v>0.75</v>
      </c>
      <c r="AF40" s="37">
        <v>3.0</v>
      </c>
      <c r="AG40" s="38">
        <v>6.0</v>
      </c>
      <c r="AH40" s="38">
        <f>Max!$B$3*AE40</f>
        <v>75</v>
      </c>
      <c r="AJ40" s="54"/>
      <c r="AK40" s="55"/>
      <c r="AL40" s="56">
        <v>0.7</v>
      </c>
      <c r="AM40" s="58">
        <v>5.0</v>
      </c>
      <c r="AN40" s="57">
        <v>2.0</v>
      </c>
      <c r="AO40" s="57">
        <f>Max!$B$5*AL40</f>
        <v>70</v>
      </c>
      <c r="AQ40" s="20"/>
      <c r="AR40" s="48"/>
      <c r="AS40" s="25"/>
      <c r="AT40" s="19"/>
      <c r="AU40" s="19"/>
      <c r="AV40" s="19"/>
    </row>
    <row r="41" ht="12.75" customHeight="1">
      <c r="A41" s="27"/>
      <c r="B41" s="28"/>
      <c r="C41" s="29">
        <v>0.7</v>
      </c>
      <c r="D41" s="39">
        <v>3.0</v>
      </c>
      <c r="E41" s="30">
        <v>2.0</v>
      </c>
      <c r="F41" s="30">
        <f>Max!$B$4*C41</f>
        <v>70</v>
      </c>
      <c r="G41" s="40"/>
      <c r="H41" s="41"/>
      <c r="I41" s="40">
        <f t="shared" si="11"/>
        <v>6</v>
      </c>
      <c r="J41" s="41">
        <f t="shared" si="12"/>
        <v>420</v>
      </c>
      <c r="K41" s="40"/>
      <c r="L41" s="4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C41" s="27">
        <v>2.0</v>
      </c>
      <c r="AD41" s="28" t="s">
        <v>5</v>
      </c>
      <c r="AE41" s="29">
        <v>0.5</v>
      </c>
      <c r="AF41" s="39">
        <v>6.0</v>
      </c>
      <c r="AG41" s="30">
        <v>1.0</v>
      </c>
      <c r="AH41" s="30">
        <f>Max!$B$4*AE41</f>
        <v>50</v>
      </c>
      <c r="AJ41" s="54"/>
      <c r="AK41" s="55"/>
      <c r="AL41" s="56">
        <v>0.8</v>
      </c>
      <c r="AM41" s="58">
        <v>4.0</v>
      </c>
      <c r="AN41" s="57">
        <v>4.0</v>
      </c>
      <c r="AO41" s="57">
        <f>Max!$B$5*AL41</f>
        <v>80</v>
      </c>
      <c r="AQ41" s="20" t="s">
        <v>48</v>
      </c>
      <c r="AS41" s="26" t="s">
        <v>24</v>
      </c>
      <c r="AT41" s="18" t="s">
        <v>25</v>
      </c>
      <c r="AU41" s="18" t="s">
        <v>26</v>
      </c>
      <c r="AV41" s="18" t="s">
        <v>42</v>
      </c>
    </row>
    <row r="42" ht="12.75" customHeight="1">
      <c r="A42" s="27"/>
      <c r="B42" s="28"/>
      <c r="C42" s="29">
        <v>0.65</v>
      </c>
      <c r="D42" s="39">
        <v>4.0</v>
      </c>
      <c r="E42" s="30">
        <v>1.0</v>
      </c>
      <c r="F42" s="30">
        <f>Max!$B$4*C42</f>
        <v>65</v>
      </c>
      <c r="G42" s="40"/>
      <c r="H42" s="41"/>
      <c r="I42" s="40">
        <f t="shared" si="11"/>
        <v>4</v>
      </c>
      <c r="J42" s="41">
        <f t="shared" si="12"/>
        <v>260</v>
      </c>
      <c r="K42" s="40"/>
      <c r="L42" s="4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C42" s="27"/>
      <c r="AD42" s="28"/>
      <c r="AE42" s="29">
        <v>0.6</v>
      </c>
      <c r="AF42" s="39">
        <v>5.0</v>
      </c>
      <c r="AG42" s="30">
        <v>1.0</v>
      </c>
      <c r="AH42" s="30">
        <f>Max!$B$4*AE42</f>
        <v>60</v>
      </c>
      <c r="AJ42" s="43">
        <v>5.0</v>
      </c>
      <c r="AK42" s="44" t="s">
        <v>47</v>
      </c>
      <c r="AL42" s="45"/>
      <c r="AM42" s="47">
        <v>5.0</v>
      </c>
      <c r="AN42" s="46">
        <v>5.0</v>
      </c>
      <c r="AO42" s="46"/>
      <c r="AQ42" s="34">
        <v>1.0</v>
      </c>
      <c r="AR42" s="35" t="s">
        <v>34</v>
      </c>
      <c r="AS42" s="36">
        <v>0.5</v>
      </c>
      <c r="AT42" s="37">
        <v>5.0</v>
      </c>
      <c r="AU42" s="38">
        <v>1.0</v>
      </c>
      <c r="AV42" s="38">
        <f>Max!$B$3*AS42</f>
        <v>50</v>
      </c>
    </row>
    <row r="43" ht="12.75" customHeight="1">
      <c r="A43" s="27"/>
      <c r="B43" s="28"/>
      <c r="C43" s="29">
        <v>0.6</v>
      </c>
      <c r="D43" s="39">
        <v>6.0</v>
      </c>
      <c r="E43" s="30">
        <v>1.0</v>
      </c>
      <c r="F43" s="30">
        <f>Max!$B$4*C43</f>
        <v>60</v>
      </c>
      <c r="G43" s="40"/>
      <c r="H43" s="41"/>
      <c r="I43" s="40">
        <f t="shared" si="11"/>
        <v>6</v>
      </c>
      <c r="J43" s="41">
        <f t="shared" si="12"/>
        <v>360</v>
      </c>
      <c r="K43" s="40"/>
      <c r="L43" s="4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C43" s="27"/>
      <c r="AD43" s="28"/>
      <c r="AE43" s="29">
        <v>0.7</v>
      </c>
      <c r="AF43" s="39">
        <v>4.0</v>
      </c>
      <c r="AG43" s="30">
        <v>2.0</v>
      </c>
      <c r="AH43" s="30">
        <f>Max!$B$4*AE43</f>
        <v>70</v>
      </c>
      <c r="AJ43" s="43">
        <v>6.0</v>
      </c>
      <c r="AK43" s="44" t="s">
        <v>43</v>
      </c>
      <c r="AL43" s="45"/>
      <c r="AM43" s="47">
        <v>10.0</v>
      </c>
      <c r="AN43" s="46">
        <v>3.0</v>
      </c>
      <c r="AO43" s="46"/>
      <c r="AQ43" s="34"/>
      <c r="AR43" s="35"/>
      <c r="AS43" s="36">
        <v>0.6</v>
      </c>
      <c r="AT43" s="37">
        <v>4.0</v>
      </c>
      <c r="AU43" s="38">
        <v>1.0</v>
      </c>
      <c r="AV43" s="38">
        <f>Max!$B$3*AS43</f>
        <v>60</v>
      </c>
    </row>
    <row r="44" ht="12.75" customHeight="1">
      <c r="A44" s="27"/>
      <c r="B44" s="28"/>
      <c r="C44" s="29">
        <v>0.55</v>
      </c>
      <c r="D44" s="39">
        <v>8.0</v>
      </c>
      <c r="E44" s="30">
        <v>1.0</v>
      </c>
      <c r="F44" s="30">
        <f>Max!$B$4*C44</f>
        <v>55</v>
      </c>
      <c r="G44" s="40"/>
      <c r="H44" s="41"/>
      <c r="I44" s="40">
        <f t="shared" si="11"/>
        <v>8</v>
      </c>
      <c r="J44" s="41">
        <f t="shared" si="12"/>
        <v>440</v>
      </c>
      <c r="K44" s="40"/>
      <c r="L44" s="4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27"/>
      <c r="AD44" s="28"/>
      <c r="AE44" s="29">
        <v>0.75</v>
      </c>
      <c r="AF44" s="39">
        <v>3.0</v>
      </c>
      <c r="AG44" s="30">
        <v>2.0</v>
      </c>
      <c r="AH44" s="30">
        <f>Max!$B$4*AE44</f>
        <v>75</v>
      </c>
      <c r="AJ44" s="20"/>
      <c r="AK44" s="48"/>
      <c r="AL44" s="25"/>
      <c r="AM44" s="19"/>
      <c r="AN44" s="19"/>
      <c r="AO44" s="19"/>
      <c r="AQ44" s="34"/>
      <c r="AR44" s="35"/>
      <c r="AS44" s="36">
        <v>0.7</v>
      </c>
      <c r="AT44" s="37">
        <v>3.0</v>
      </c>
      <c r="AU44" s="38">
        <v>2.0</v>
      </c>
      <c r="AV44" s="38">
        <f>Max!$B$3*AS44</f>
        <v>70</v>
      </c>
    </row>
    <row r="45" ht="12.75" customHeight="1">
      <c r="A45" s="27"/>
      <c r="B45" s="28"/>
      <c r="C45" s="29">
        <v>0.5</v>
      </c>
      <c r="D45" s="39">
        <v>10.0</v>
      </c>
      <c r="E45" s="30">
        <v>1.0</v>
      </c>
      <c r="F45" s="30">
        <f>Max!$B$4*C45</f>
        <v>50</v>
      </c>
      <c r="G45" s="40"/>
      <c r="H45" s="41"/>
      <c r="I45" s="40">
        <f t="shared" si="11"/>
        <v>10</v>
      </c>
      <c r="J45" s="41">
        <f t="shared" si="12"/>
        <v>500</v>
      </c>
      <c r="K45" s="40"/>
      <c r="L45" s="4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27"/>
      <c r="AD45" s="28"/>
      <c r="AE45" s="29">
        <v>0.8</v>
      </c>
      <c r="AF45" s="39">
        <v>2.0</v>
      </c>
      <c r="AG45" s="30">
        <v>2.0</v>
      </c>
      <c r="AH45" s="30">
        <f>Max!$B$4*AE45</f>
        <v>80</v>
      </c>
      <c r="AJ45" s="20" t="s">
        <v>48</v>
      </c>
      <c r="AL45" s="26" t="s">
        <v>24</v>
      </c>
      <c r="AM45" s="18" t="s">
        <v>25</v>
      </c>
      <c r="AN45" s="18" t="s">
        <v>26</v>
      </c>
      <c r="AO45" s="18" t="s">
        <v>42</v>
      </c>
      <c r="AQ45" s="34"/>
      <c r="AR45" s="35"/>
      <c r="AS45" s="36">
        <v>0.8</v>
      </c>
      <c r="AT45" s="37">
        <v>3.0</v>
      </c>
      <c r="AU45" s="38">
        <v>6.0</v>
      </c>
      <c r="AV45" s="38">
        <f>Max!$B$3*AS45</f>
        <v>80</v>
      </c>
    </row>
    <row r="46" ht="12.75" customHeight="1">
      <c r="A46" s="43">
        <v>2.0</v>
      </c>
      <c r="B46" s="44" t="s">
        <v>38</v>
      </c>
      <c r="C46" s="45"/>
      <c r="D46" s="47">
        <v>10.0</v>
      </c>
      <c r="E46" s="46">
        <v>5.0</v>
      </c>
      <c r="F46" s="46"/>
      <c r="G46" s="40"/>
      <c r="H46" s="41"/>
      <c r="I46" s="40"/>
      <c r="J46" s="41"/>
      <c r="K46" s="40"/>
      <c r="L46" s="4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27"/>
      <c r="AD46" s="28"/>
      <c r="AE46" s="29">
        <v>0.75</v>
      </c>
      <c r="AF46" s="39">
        <v>4.0</v>
      </c>
      <c r="AG46" s="30">
        <v>1.0</v>
      </c>
      <c r="AH46" s="30">
        <f>Max!$B$4*AE46</f>
        <v>75</v>
      </c>
      <c r="AI46" s="4"/>
      <c r="AJ46" s="27">
        <v>1.0</v>
      </c>
      <c r="AK46" s="28" t="s">
        <v>5</v>
      </c>
      <c r="AL46" s="29">
        <v>0.5</v>
      </c>
      <c r="AM46" s="39">
        <v>5.0</v>
      </c>
      <c r="AN46" s="30">
        <v>1.0</v>
      </c>
      <c r="AO46" s="30">
        <f>Max!$B$4*AL46</f>
        <v>50</v>
      </c>
      <c r="AP46" s="4"/>
      <c r="AQ46" s="27">
        <v>2.0</v>
      </c>
      <c r="AR46" s="28" t="s">
        <v>5</v>
      </c>
      <c r="AS46" s="29">
        <v>0.5</v>
      </c>
      <c r="AT46" s="39">
        <v>5.0</v>
      </c>
      <c r="AU46" s="30">
        <v>1.0</v>
      </c>
      <c r="AV46" s="30">
        <f>Max!$B$4*AS46</f>
        <v>50</v>
      </c>
    </row>
    <row r="47" ht="12.75" customHeight="1">
      <c r="A47" s="34">
        <v>3.0</v>
      </c>
      <c r="B47" s="35" t="s">
        <v>34</v>
      </c>
      <c r="C47" s="36">
        <v>0.5</v>
      </c>
      <c r="D47" s="37">
        <v>5.0</v>
      </c>
      <c r="E47" s="38">
        <v>1.0</v>
      </c>
      <c r="F47" s="38">
        <f>Max!$B$3*C47</f>
        <v>50</v>
      </c>
      <c r="G47" s="40">
        <f t="shared" ref="G47:G50" si="13">D47*E47</f>
        <v>5</v>
      </c>
      <c r="H47" s="41">
        <f t="shared" ref="H47:H50" si="14">F47*G47</f>
        <v>250</v>
      </c>
      <c r="I47" s="40"/>
      <c r="J47" s="41"/>
      <c r="K47" s="40"/>
      <c r="L47" s="42"/>
      <c r="M47" s="7">
        <f>G47</f>
        <v>5</v>
      </c>
      <c r="N47" s="7">
        <f>G48</f>
        <v>8</v>
      </c>
      <c r="O47" s="7">
        <f>G49+G50</f>
        <v>21</v>
      </c>
      <c r="P47" s="4">
        <v>0.0</v>
      </c>
      <c r="Q47" s="4">
        <v>0.0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C47" s="27"/>
      <c r="AD47" s="28"/>
      <c r="AE47" s="29">
        <v>0.7</v>
      </c>
      <c r="AF47" s="39">
        <v>5.0</v>
      </c>
      <c r="AG47" s="30">
        <v>1.0</v>
      </c>
      <c r="AH47" s="30">
        <f>Max!$B$4*AE47</f>
        <v>70</v>
      </c>
      <c r="AJ47" s="27"/>
      <c r="AK47" s="28"/>
      <c r="AL47" s="29">
        <v>0.6</v>
      </c>
      <c r="AM47" s="39">
        <v>4.0</v>
      </c>
      <c r="AN47" s="30">
        <v>1.0</v>
      </c>
      <c r="AO47" s="30">
        <f>Max!$B$4*AL47</f>
        <v>60</v>
      </c>
      <c r="AQ47" s="27"/>
      <c r="AR47" s="28"/>
      <c r="AS47" s="29">
        <v>0.6</v>
      </c>
      <c r="AT47" s="39">
        <v>5.0</v>
      </c>
      <c r="AU47" s="30">
        <v>1.0</v>
      </c>
      <c r="AV47" s="30">
        <f>Max!$B$4*AS47</f>
        <v>60</v>
      </c>
    </row>
    <row r="48" ht="12.75" customHeight="1">
      <c r="A48" s="34"/>
      <c r="B48" s="35"/>
      <c r="C48" s="36">
        <v>0.6</v>
      </c>
      <c r="D48" s="37">
        <v>4.0</v>
      </c>
      <c r="E48" s="38">
        <v>2.0</v>
      </c>
      <c r="F48" s="38">
        <f>Max!$B$3*C48</f>
        <v>60</v>
      </c>
      <c r="G48" s="40">
        <f t="shared" si="13"/>
        <v>8</v>
      </c>
      <c r="H48" s="41">
        <f t="shared" si="14"/>
        <v>480</v>
      </c>
      <c r="I48" s="40"/>
      <c r="J48" s="41"/>
      <c r="K48" s="40"/>
      <c r="L48" s="4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C48" s="27"/>
      <c r="AD48" s="28"/>
      <c r="AE48" s="29">
        <v>0.6</v>
      </c>
      <c r="AF48" s="39">
        <v>6.0</v>
      </c>
      <c r="AG48" s="30">
        <v>1.0</v>
      </c>
      <c r="AH48" s="30">
        <f>Max!$B$4*AE48</f>
        <v>60</v>
      </c>
      <c r="AJ48" s="27"/>
      <c r="AK48" s="28"/>
      <c r="AL48" s="29">
        <v>0.7</v>
      </c>
      <c r="AM48" s="39">
        <v>3.0</v>
      </c>
      <c r="AN48" s="30">
        <v>2.0</v>
      </c>
      <c r="AO48" s="30">
        <f>Max!$B$4*AL48</f>
        <v>70</v>
      </c>
      <c r="AQ48" s="27"/>
      <c r="AR48" s="28"/>
      <c r="AS48" s="29">
        <v>0.7</v>
      </c>
      <c r="AT48" s="39">
        <v>5.0</v>
      </c>
      <c r="AU48" s="30">
        <v>5.0</v>
      </c>
      <c r="AV48" s="30">
        <f>Max!$B$4*AS48</f>
        <v>70</v>
      </c>
    </row>
    <row r="49" ht="12.75" customHeight="1">
      <c r="A49" s="34"/>
      <c r="B49" s="35"/>
      <c r="C49" s="36">
        <v>0.7</v>
      </c>
      <c r="D49" s="37">
        <v>3.0</v>
      </c>
      <c r="E49" s="38">
        <v>2.0</v>
      </c>
      <c r="F49" s="38">
        <f>Max!$B$3*C49</f>
        <v>70</v>
      </c>
      <c r="G49" s="40">
        <f t="shared" si="13"/>
        <v>6</v>
      </c>
      <c r="H49" s="41">
        <f t="shared" si="14"/>
        <v>420</v>
      </c>
      <c r="I49" s="40"/>
      <c r="J49" s="41"/>
      <c r="K49" s="40"/>
      <c r="L49" s="4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C49" s="27"/>
      <c r="AD49" s="28"/>
      <c r="AE49" s="29">
        <v>0.5</v>
      </c>
      <c r="AF49" s="39">
        <v>7.0</v>
      </c>
      <c r="AG49" s="30">
        <v>1.0</v>
      </c>
      <c r="AH49" s="30">
        <f>Max!$B$4*AE49</f>
        <v>50</v>
      </c>
      <c r="AJ49" s="27"/>
      <c r="AK49" s="28"/>
      <c r="AL49" s="29">
        <v>0.8</v>
      </c>
      <c r="AM49" s="39">
        <v>2.0</v>
      </c>
      <c r="AN49" s="30">
        <v>5.0</v>
      </c>
      <c r="AO49" s="30">
        <f>Max!$B$4*AL49</f>
        <v>80</v>
      </c>
      <c r="AQ49" s="43">
        <v>3.0</v>
      </c>
      <c r="AR49" s="44" t="s">
        <v>36</v>
      </c>
      <c r="AS49" s="45"/>
      <c r="AT49" s="47">
        <v>10.0</v>
      </c>
      <c r="AU49" s="46">
        <v>5.0</v>
      </c>
      <c r="AV49" s="46"/>
    </row>
    <row r="50" ht="12.75" customHeight="1">
      <c r="A50" s="34"/>
      <c r="B50" s="35"/>
      <c r="C50" s="36">
        <v>0.75</v>
      </c>
      <c r="D50" s="37">
        <v>3.0</v>
      </c>
      <c r="E50" s="38">
        <v>5.0</v>
      </c>
      <c r="F50" s="38">
        <f>Max!$B$3*C50</f>
        <v>75</v>
      </c>
      <c r="G50" s="40">
        <f t="shared" si="13"/>
        <v>15</v>
      </c>
      <c r="H50" s="41">
        <f t="shared" si="14"/>
        <v>1125</v>
      </c>
      <c r="I50" s="40"/>
      <c r="J50" s="41"/>
      <c r="K50" s="40"/>
      <c r="L50" s="4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3">
        <v>3.0</v>
      </c>
      <c r="AD50" s="44" t="s">
        <v>36</v>
      </c>
      <c r="AE50" s="45"/>
      <c r="AF50" s="47">
        <v>10.0</v>
      </c>
      <c r="AG50" s="46">
        <v>5.0</v>
      </c>
      <c r="AH50" s="46"/>
      <c r="AJ50" s="34">
        <v>2.0</v>
      </c>
      <c r="AK50" s="35" t="s">
        <v>34</v>
      </c>
      <c r="AL50" s="36">
        <v>0.5</v>
      </c>
      <c r="AM50" s="37">
        <v>5.0</v>
      </c>
      <c r="AN50" s="38">
        <v>1.0</v>
      </c>
      <c r="AO50" s="38">
        <f>Max!$B$3*AL50</f>
        <v>50</v>
      </c>
      <c r="AQ50" s="43">
        <v>4.0</v>
      </c>
      <c r="AR50" s="44" t="s">
        <v>39</v>
      </c>
      <c r="AS50" s="45"/>
      <c r="AT50" s="47">
        <v>8.0</v>
      </c>
      <c r="AU50" s="46">
        <v>5.0</v>
      </c>
      <c r="AV50" s="46"/>
    </row>
    <row r="51" ht="12.75" customHeight="1">
      <c r="A51" s="43">
        <v>4.0</v>
      </c>
      <c r="B51" s="44" t="s">
        <v>49</v>
      </c>
      <c r="C51" s="45"/>
      <c r="D51" s="46">
        <v>10.0</v>
      </c>
      <c r="E51" s="46">
        <v>5.0</v>
      </c>
      <c r="F51" s="46"/>
      <c r="G51" s="40"/>
      <c r="H51" s="41"/>
      <c r="I51" s="40"/>
      <c r="J51" s="41"/>
      <c r="K51" s="40"/>
      <c r="L51" s="4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C51" s="43">
        <v>4.0</v>
      </c>
      <c r="AD51" s="44" t="s">
        <v>50</v>
      </c>
      <c r="AE51" s="45"/>
      <c r="AF51" s="47">
        <v>10.0</v>
      </c>
      <c r="AG51" s="46">
        <v>5.0</v>
      </c>
      <c r="AH51" s="46"/>
      <c r="AJ51" s="34"/>
      <c r="AK51" s="35"/>
      <c r="AL51" s="36">
        <v>0.6</v>
      </c>
      <c r="AM51" s="37">
        <v>5.0</v>
      </c>
      <c r="AN51" s="38">
        <v>1.0</v>
      </c>
      <c r="AO51" s="38">
        <f>Max!$B$3*AL51</f>
        <v>60</v>
      </c>
      <c r="AQ51" s="43">
        <v>5.0</v>
      </c>
      <c r="AR51" s="44" t="s">
        <v>40</v>
      </c>
      <c r="AS51" s="45"/>
      <c r="AT51" s="47">
        <v>5.0</v>
      </c>
      <c r="AU51" s="46">
        <v>5.0</v>
      </c>
      <c r="AV51" s="46"/>
    </row>
    <row r="52" ht="12.75" customHeight="1">
      <c r="A52" s="49">
        <v>5.0</v>
      </c>
      <c r="B52" s="50" t="s">
        <v>40</v>
      </c>
      <c r="C52" s="51"/>
      <c r="D52" s="53">
        <v>5.0</v>
      </c>
      <c r="E52" s="52">
        <v>5.0</v>
      </c>
      <c r="F52" s="52"/>
      <c r="G52" s="40"/>
      <c r="H52" s="41"/>
      <c r="I52" s="40"/>
      <c r="J52" s="41"/>
      <c r="K52" s="40"/>
      <c r="L52" s="4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C52" s="34">
        <v>5.0</v>
      </c>
      <c r="AD52" s="35" t="s">
        <v>34</v>
      </c>
      <c r="AE52" s="36">
        <v>0.55</v>
      </c>
      <c r="AF52" s="37">
        <v>3.0</v>
      </c>
      <c r="AG52" s="38">
        <v>1.0</v>
      </c>
      <c r="AH52" s="38">
        <f>Max!$B$3*AE52</f>
        <v>55</v>
      </c>
      <c r="AJ52" s="34"/>
      <c r="AK52" s="35"/>
      <c r="AL52" s="36">
        <v>0.7</v>
      </c>
      <c r="AM52" s="37">
        <v>5.0</v>
      </c>
      <c r="AN52" s="38">
        <v>2.0</v>
      </c>
      <c r="AO52" s="38">
        <f>Max!$B$3*AL52</f>
        <v>70</v>
      </c>
      <c r="AQ52" s="49">
        <v>6.0</v>
      </c>
      <c r="AR52" s="50" t="s">
        <v>43</v>
      </c>
      <c r="AS52" s="51"/>
      <c r="AT52" s="53">
        <v>10.0</v>
      </c>
      <c r="AU52" s="52">
        <v>3.0</v>
      </c>
      <c r="AV52" s="52"/>
    </row>
    <row r="53" ht="12.75" customHeight="1">
      <c r="A53" s="20"/>
      <c r="B53" s="48"/>
      <c r="C53" s="26"/>
      <c r="D53" s="18"/>
      <c r="E53" s="18"/>
      <c r="F53" s="18"/>
      <c r="G53" s="40"/>
      <c r="H53" s="41"/>
      <c r="I53" s="40"/>
      <c r="J53" s="41"/>
      <c r="K53" s="40"/>
      <c r="L53" s="4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34"/>
      <c r="AD53" s="35"/>
      <c r="AE53" s="36">
        <v>0.65</v>
      </c>
      <c r="AF53" s="37">
        <v>3.0</v>
      </c>
      <c r="AG53" s="38">
        <v>1.0</v>
      </c>
      <c r="AH53" s="38">
        <f>Max!$B$3*AE53</f>
        <v>65</v>
      </c>
      <c r="AJ53" s="34"/>
      <c r="AK53" s="35"/>
      <c r="AL53" s="36">
        <v>0.75</v>
      </c>
      <c r="AM53" s="37">
        <v>4.0</v>
      </c>
      <c r="AN53" s="38">
        <v>5.0</v>
      </c>
      <c r="AO53" s="38">
        <f>Max!$B$3*AL53</f>
        <v>75</v>
      </c>
      <c r="AR53" s="4"/>
    </row>
    <row r="54" ht="12.75" customHeight="1">
      <c r="A54" s="20"/>
      <c r="B54" s="23"/>
      <c r="C54" s="26"/>
      <c r="D54" s="18"/>
      <c r="E54" s="18"/>
      <c r="F54" s="18"/>
      <c r="G54" s="59">
        <f t="shared" ref="G54:L54" si="15">SUM(G7:G53)</f>
        <v>74</v>
      </c>
      <c r="H54" s="60">
        <f t="shared" si="15"/>
        <v>4875</v>
      </c>
      <c r="I54" s="59">
        <f t="shared" si="15"/>
        <v>142</v>
      </c>
      <c r="J54" s="60">
        <f t="shared" si="15"/>
        <v>8795</v>
      </c>
      <c r="K54" s="59">
        <f t="shared" si="15"/>
        <v>70</v>
      </c>
      <c r="L54" s="60">
        <f t="shared" si="15"/>
        <v>4680</v>
      </c>
      <c r="M54" s="61">
        <f t="shared" ref="M54:Q54" si="16">SUM(M11:M53)</f>
        <v>10</v>
      </c>
      <c r="N54" s="61">
        <f t="shared" si="16"/>
        <v>18</v>
      </c>
      <c r="O54" s="61">
        <f t="shared" si="16"/>
        <v>46</v>
      </c>
      <c r="P54" s="20">
        <f t="shared" si="16"/>
        <v>0</v>
      </c>
      <c r="Q54" s="61">
        <f t="shared" si="16"/>
        <v>0</v>
      </c>
      <c r="R54" s="61">
        <f t="shared" ref="R54:V54" si="17">SUM(R7:R53)</f>
        <v>42</v>
      </c>
      <c r="S54" s="61">
        <f t="shared" si="17"/>
        <v>39</v>
      </c>
      <c r="T54" s="61">
        <f t="shared" si="17"/>
        <v>61</v>
      </c>
      <c r="U54" s="20">
        <f t="shared" si="17"/>
        <v>0</v>
      </c>
      <c r="V54" s="20">
        <f t="shared" si="17"/>
        <v>0</v>
      </c>
      <c r="W54" s="61">
        <f t="shared" ref="W54:AA54" si="18">SUM(W21:W53)</f>
        <v>10</v>
      </c>
      <c r="X54" s="61">
        <f t="shared" si="18"/>
        <v>20</v>
      </c>
      <c r="Y54" s="61">
        <f t="shared" si="18"/>
        <v>28</v>
      </c>
      <c r="Z54" s="20">
        <f t="shared" si="18"/>
        <v>12</v>
      </c>
      <c r="AA54" s="20">
        <f t="shared" si="18"/>
        <v>0</v>
      </c>
      <c r="AB54" s="20"/>
      <c r="AC54" s="34"/>
      <c r="AD54" s="35"/>
      <c r="AE54" s="36">
        <v>0.75</v>
      </c>
      <c r="AF54" s="37">
        <v>2.0</v>
      </c>
      <c r="AG54" s="38">
        <v>4.0</v>
      </c>
      <c r="AH54" s="38">
        <f>Max!$B$3*AE54</f>
        <v>75</v>
      </c>
      <c r="AI54" s="20"/>
      <c r="AJ54" s="27">
        <v>3.0</v>
      </c>
      <c r="AK54" s="28" t="s">
        <v>5</v>
      </c>
      <c r="AL54" s="29">
        <v>0.5</v>
      </c>
      <c r="AM54" s="39">
        <v>6.0</v>
      </c>
      <c r="AN54" s="30">
        <v>1.0</v>
      </c>
      <c r="AO54" s="30">
        <f>Max!$B$4*AL54</f>
        <v>50</v>
      </c>
      <c r="AP54" s="20"/>
      <c r="AQ54" s="20"/>
      <c r="AR54" s="20"/>
      <c r="AS54" s="20"/>
      <c r="AT54" s="20"/>
      <c r="AU54" s="20"/>
      <c r="AV54" s="20"/>
    </row>
    <row r="55" ht="12.75" customHeight="1">
      <c r="A55" s="20"/>
      <c r="B55" s="48"/>
      <c r="C55" s="25"/>
      <c r="D55" s="19"/>
      <c r="E55" s="19"/>
      <c r="F55" s="19"/>
      <c r="G55" s="40"/>
      <c r="H55" s="41"/>
      <c r="I55" s="40"/>
      <c r="J55" s="41"/>
      <c r="K55" s="40"/>
      <c r="L55" s="4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9">
        <v>6.0</v>
      </c>
      <c r="AD55" s="50" t="s">
        <v>40</v>
      </c>
      <c r="AE55" s="51"/>
      <c r="AF55" s="53">
        <v>6.0</v>
      </c>
      <c r="AG55" s="52">
        <v>5.0</v>
      </c>
      <c r="AH55" s="52"/>
      <c r="AJ55" s="27"/>
      <c r="AK55" s="28"/>
      <c r="AL55" s="29">
        <v>0.6</v>
      </c>
      <c r="AM55" s="39">
        <v>6.0</v>
      </c>
      <c r="AN55" s="30">
        <v>2.0</v>
      </c>
      <c r="AO55" s="30">
        <f>Max!$B$4*AL55</f>
        <v>60</v>
      </c>
      <c r="AR55" s="4"/>
    </row>
    <row r="56" ht="12.75" customHeight="1">
      <c r="A56" s="20"/>
      <c r="B56" s="48"/>
      <c r="C56" s="25"/>
      <c r="D56" s="19"/>
      <c r="E56" s="19"/>
      <c r="F56" s="19"/>
      <c r="G56" s="40"/>
      <c r="H56" s="41"/>
      <c r="I56" s="40"/>
      <c r="J56" s="41"/>
      <c r="K56" s="40"/>
      <c r="L56" s="4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C56" s="20"/>
      <c r="AD56" s="48"/>
      <c r="AE56" s="26"/>
      <c r="AF56" s="18"/>
      <c r="AG56" s="18"/>
      <c r="AH56" s="18"/>
      <c r="AJ56" s="27"/>
      <c r="AK56" s="28"/>
      <c r="AL56" s="29">
        <v>0.65</v>
      </c>
      <c r="AM56" s="39">
        <v>6.0</v>
      </c>
      <c r="AN56" s="30">
        <v>4.0</v>
      </c>
      <c r="AO56" s="30">
        <f>Max!$B$4*AL56</f>
        <v>65</v>
      </c>
      <c r="AR56" s="4"/>
    </row>
    <row r="57" ht="12.75" customHeight="1">
      <c r="A57" s="20"/>
      <c r="B57" s="48"/>
      <c r="C57" s="25"/>
      <c r="D57" s="19"/>
      <c r="E57" s="19"/>
      <c r="F57" s="19"/>
      <c r="G57" s="40">
        <f t="shared" ref="G57:G60" si="19">AF7*AG7</f>
        <v>5</v>
      </c>
      <c r="H57" s="41">
        <f t="shared" ref="H57:H60" si="20">AH7*G57</f>
        <v>250</v>
      </c>
      <c r="I57" s="40"/>
      <c r="J57" s="41"/>
      <c r="K57" s="40"/>
      <c r="L57" s="42"/>
      <c r="M57" s="7">
        <f>G57</f>
        <v>5</v>
      </c>
      <c r="N57" s="7">
        <f>G58</f>
        <v>8</v>
      </c>
      <c r="O57" s="7">
        <f>G59</f>
        <v>6</v>
      </c>
      <c r="P57" s="7">
        <f>G60</f>
        <v>10</v>
      </c>
      <c r="Q57" s="4">
        <v>0.0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C57" s="20"/>
      <c r="AD57" s="23"/>
      <c r="AE57" s="26"/>
      <c r="AF57" s="18"/>
      <c r="AG57" s="18"/>
      <c r="AH57" s="18"/>
      <c r="AJ57" s="43">
        <v>4.0</v>
      </c>
      <c r="AK57" s="44" t="s">
        <v>36</v>
      </c>
      <c r="AL57" s="45"/>
      <c r="AM57" s="47">
        <v>10.0</v>
      </c>
      <c r="AN57" s="46">
        <v>5.0</v>
      </c>
      <c r="AO57" s="46"/>
      <c r="AR57" s="4"/>
    </row>
    <row r="58" ht="12.75" customHeight="1">
      <c r="A58" s="20"/>
      <c r="B58" s="48"/>
      <c r="C58" s="25"/>
      <c r="D58" s="19"/>
      <c r="E58" s="19"/>
      <c r="F58" s="19"/>
      <c r="G58" s="40">
        <f t="shared" si="19"/>
        <v>8</v>
      </c>
      <c r="H58" s="41">
        <f t="shared" si="20"/>
        <v>480</v>
      </c>
      <c r="I58" s="40"/>
      <c r="J58" s="41"/>
      <c r="K58" s="40"/>
      <c r="L58" s="4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C58" s="4"/>
      <c r="AD58" s="4"/>
      <c r="AJ58" s="49">
        <v>5.0</v>
      </c>
      <c r="AK58" s="50" t="s">
        <v>40</v>
      </c>
      <c r="AL58" s="51"/>
      <c r="AM58" s="53">
        <v>5.0</v>
      </c>
      <c r="AN58" s="52">
        <v>5.0</v>
      </c>
      <c r="AO58" s="52"/>
      <c r="AR58" s="4"/>
    </row>
    <row r="59" ht="12.75" customHeight="1">
      <c r="A59" s="20"/>
      <c r="B59" s="48"/>
      <c r="C59" s="25"/>
      <c r="D59" s="19"/>
      <c r="E59" s="19"/>
      <c r="F59" s="19"/>
      <c r="G59" s="40">
        <f t="shared" si="19"/>
        <v>6</v>
      </c>
      <c r="H59" s="41">
        <f t="shared" si="20"/>
        <v>420</v>
      </c>
      <c r="I59" s="40"/>
      <c r="J59" s="41"/>
      <c r="K59" s="40"/>
      <c r="L59" s="4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C59" s="4"/>
      <c r="AD59" s="4"/>
      <c r="AJ59" s="20"/>
      <c r="AK59" s="48"/>
      <c r="AL59" s="26"/>
      <c r="AM59" s="18"/>
      <c r="AN59" s="18"/>
      <c r="AO59" s="18"/>
      <c r="AR59" s="4"/>
    </row>
    <row r="60" ht="12.75" customHeight="1">
      <c r="A60" s="20"/>
      <c r="B60" s="48"/>
      <c r="C60" s="25"/>
      <c r="D60" s="19"/>
      <c r="E60" s="19"/>
      <c r="F60" s="19"/>
      <c r="G60" s="40">
        <f t="shared" si="19"/>
        <v>10</v>
      </c>
      <c r="H60" s="41">
        <f t="shared" si="20"/>
        <v>800</v>
      </c>
      <c r="I60" s="40"/>
      <c r="J60" s="41"/>
      <c r="K60" s="40"/>
      <c r="L60" s="4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C60" s="4"/>
      <c r="AD60" s="4"/>
      <c r="AJ60" s="20"/>
      <c r="AK60" s="23"/>
      <c r="AL60" s="26"/>
      <c r="AM60" s="18"/>
      <c r="AN60" s="18"/>
      <c r="AO60" s="18"/>
      <c r="AR60" s="4"/>
    </row>
    <row r="61" ht="12.75" customHeight="1">
      <c r="A61" s="20"/>
      <c r="B61" s="48"/>
      <c r="C61" s="25"/>
      <c r="D61" s="19"/>
      <c r="E61" s="19"/>
      <c r="F61" s="19"/>
      <c r="G61" s="40"/>
      <c r="H61" s="41"/>
      <c r="I61" s="40">
        <f t="shared" ref="I61:I64" si="21">AF11*AG11</f>
        <v>5</v>
      </c>
      <c r="J61" s="41">
        <f t="shared" ref="J61:J64" si="22">AH11*I61</f>
        <v>250</v>
      </c>
      <c r="K61" s="40"/>
      <c r="L61" s="42"/>
      <c r="M61" s="4"/>
      <c r="N61" s="4"/>
      <c r="O61" s="4"/>
      <c r="P61" s="4"/>
      <c r="Q61" s="4"/>
      <c r="R61" s="7">
        <f>I61</f>
        <v>5</v>
      </c>
      <c r="S61" s="7">
        <f>I62</f>
        <v>4</v>
      </c>
      <c r="T61" s="7">
        <f>I63</f>
        <v>6</v>
      </c>
      <c r="U61" s="7">
        <f>I64</f>
        <v>12</v>
      </c>
      <c r="V61" s="4">
        <v>0.0</v>
      </c>
      <c r="W61" s="4"/>
      <c r="X61" s="4"/>
      <c r="Y61" s="4"/>
      <c r="Z61" s="4"/>
      <c r="AA61" s="4"/>
      <c r="AC61" s="4"/>
      <c r="AD61" s="4"/>
      <c r="AK61" s="4"/>
      <c r="AR61" s="4"/>
    </row>
    <row r="62" ht="12.75" customHeight="1">
      <c r="A62" s="20"/>
      <c r="B62" s="48"/>
      <c r="C62" s="25"/>
      <c r="D62" s="19"/>
      <c r="E62" s="19"/>
      <c r="F62" s="19"/>
      <c r="G62" s="40"/>
      <c r="H62" s="41"/>
      <c r="I62" s="40">
        <f t="shared" si="21"/>
        <v>4</v>
      </c>
      <c r="J62" s="41">
        <f t="shared" si="22"/>
        <v>240</v>
      </c>
      <c r="K62" s="40"/>
      <c r="L62" s="4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C62" s="4"/>
      <c r="AD62" s="4"/>
      <c r="AK62" s="4"/>
      <c r="AR62" s="4"/>
    </row>
    <row r="63" ht="12.75" customHeight="1">
      <c r="A63" s="20"/>
      <c r="B63" s="48"/>
      <c r="C63" s="25"/>
      <c r="D63" s="19"/>
      <c r="E63" s="19"/>
      <c r="F63" s="19"/>
      <c r="G63" s="40"/>
      <c r="H63" s="41"/>
      <c r="I63" s="40">
        <f t="shared" si="21"/>
        <v>6</v>
      </c>
      <c r="J63" s="41">
        <f t="shared" si="22"/>
        <v>420</v>
      </c>
      <c r="K63" s="40"/>
      <c r="L63" s="4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C63" s="4"/>
      <c r="AD63" s="4"/>
      <c r="AK63" s="4"/>
      <c r="AR63" s="4"/>
    </row>
    <row r="64" ht="12.75" customHeight="1">
      <c r="A64" s="20"/>
      <c r="B64" s="48"/>
      <c r="C64" s="25"/>
      <c r="D64" s="19"/>
      <c r="E64" s="19"/>
      <c r="F64" s="19"/>
      <c r="G64" s="40"/>
      <c r="H64" s="41"/>
      <c r="I64" s="40">
        <f t="shared" si="21"/>
        <v>12</v>
      </c>
      <c r="J64" s="41">
        <f t="shared" si="22"/>
        <v>960</v>
      </c>
      <c r="K64" s="40"/>
      <c r="L64" s="4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C64" s="4"/>
      <c r="AD64" s="4"/>
      <c r="AK64" s="4"/>
      <c r="AR64" s="4"/>
    </row>
    <row r="65" ht="12.75" customHeight="1">
      <c r="A65" s="20"/>
      <c r="B65" s="48"/>
      <c r="C65" s="25"/>
      <c r="D65" s="19"/>
      <c r="E65" s="19"/>
      <c r="F65" s="19"/>
      <c r="G65" s="40"/>
      <c r="H65" s="41"/>
      <c r="I65" s="40"/>
      <c r="J65" s="41"/>
      <c r="K65" s="40"/>
      <c r="L65" s="4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C65" s="4"/>
      <c r="AD65" s="4"/>
      <c r="AK65" s="4"/>
      <c r="AR65" s="4"/>
    </row>
    <row r="66" ht="12.75" customHeight="1">
      <c r="A66" s="20"/>
      <c r="B66" s="48"/>
      <c r="C66" s="25"/>
      <c r="D66" s="19"/>
      <c r="E66" s="19"/>
      <c r="F66" s="19"/>
      <c r="G66" s="40"/>
      <c r="H66" s="41"/>
      <c r="I66" s="40"/>
      <c r="J66" s="41"/>
      <c r="K66" s="40"/>
      <c r="L66" s="4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C66" s="4"/>
      <c r="AD66" s="4"/>
      <c r="AK66" s="4"/>
      <c r="AR66" s="4"/>
    </row>
    <row r="67" ht="12.75" customHeight="1">
      <c r="A67" s="20"/>
      <c r="B67" s="48"/>
      <c r="C67" s="25"/>
      <c r="D67" s="19"/>
      <c r="E67" s="19"/>
      <c r="F67" s="19"/>
      <c r="G67" s="40">
        <f t="shared" ref="G67:G69" si="23">AF17*AG17</f>
        <v>3</v>
      </c>
      <c r="H67" s="41">
        <f t="shared" ref="H67:H69" si="24">AH17*G67</f>
        <v>165</v>
      </c>
      <c r="I67" s="40"/>
      <c r="J67" s="41"/>
      <c r="K67" s="40"/>
      <c r="L67" s="42"/>
      <c r="M67" s="7">
        <f>G67</f>
        <v>3</v>
      </c>
      <c r="N67" s="7">
        <f>G68</f>
        <v>3</v>
      </c>
      <c r="O67" s="7">
        <f>G69</f>
        <v>12</v>
      </c>
      <c r="P67" s="4">
        <v>0.0</v>
      </c>
      <c r="Q67" s="4">
        <v>0.0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C67" s="4"/>
      <c r="AD67" s="4"/>
      <c r="AK67" s="4"/>
      <c r="AR67" s="4"/>
    </row>
    <row r="68" ht="12.75" customHeight="1">
      <c r="A68" s="20"/>
      <c r="B68" s="48"/>
      <c r="C68" s="25"/>
      <c r="D68" s="19"/>
      <c r="E68" s="19"/>
      <c r="F68" s="19"/>
      <c r="G68" s="40">
        <f t="shared" si="23"/>
        <v>3</v>
      </c>
      <c r="H68" s="41">
        <f t="shared" si="24"/>
        <v>195</v>
      </c>
      <c r="I68" s="40"/>
      <c r="J68" s="41"/>
      <c r="K68" s="40"/>
      <c r="L68" s="4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C68" s="4"/>
      <c r="AD68" s="4"/>
      <c r="AK68" s="4"/>
      <c r="AR68" s="4"/>
    </row>
    <row r="69" ht="12.75" customHeight="1">
      <c r="A69" s="20"/>
      <c r="B69" s="48"/>
      <c r="C69" s="25"/>
      <c r="D69" s="19"/>
      <c r="E69" s="19"/>
      <c r="F69" s="19"/>
      <c r="G69" s="40">
        <f t="shared" si="23"/>
        <v>12</v>
      </c>
      <c r="H69" s="41">
        <f t="shared" si="24"/>
        <v>900</v>
      </c>
      <c r="I69" s="40"/>
      <c r="J69" s="41"/>
      <c r="K69" s="40"/>
      <c r="L69" s="4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C69" s="4"/>
      <c r="AD69" s="4"/>
      <c r="AK69" s="4"/>
      <c r="AR69" s="4"/>
    </row>
    <row r="70" ht="12.75" customHeight="1">
      <c r="A70" s="20"/>
      <c r="B70" s="48"/>
      <c r="C70" s="25"/>
      <c r="D70" s="19"/>
      <c r="E70" s="19"/>
      <c r="F70" s="19"/>
      <c r="G70" s="40"/>
      <c r="H70" s="41"/>
      <c r="I70" s="40"/>
      <c r="J70" s="41"/>
      <c r="K70" s="40"/>
      <c r="L70" s="4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C70" s="4"/>
      <c r="AD70" s="4"/>
      <c r="AK70" s="4"/>
      <c r="AR70" s="4"/>
    </row>
    <row r="71" ht="12.75" customHeight="1">
      <c r="A71" s="20"/>
      <c r="B71" s="48"/>
      <c r="C71" s="25"/>
      <c r="D71" s="19"/>
      <c r="E71" s="19"/>
      <c r="F71" s="19"/>
      <c r="G71" s="40"/>
      <c r="H71" s="41"/>
      <c r="I71" s="40"/>
      <c r="J71" s="41"/>
      <c r="K71" s="40"/>
      <c r="L71" s="4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C71" s="4"/>
      <c r="AD71" s="4"/>
      <c r="AK71" s="4"/>
      <c r="AR71" s="4"/>
    </row>
    <row r="72" ht="12.75" customHeight="1">
      <c r="A72" s="20"/>
      <c r="B72" s="48"/>
      <c r="C72" s="25"/>
      <c r="D72" s="19"/>
      <c r="E72" s="19"/>
      <c r="F72" s="19"/>
      <c r="G72" s="40"/>
      <c r="H72" s="41"/>
      <c r="I72" s="40"/>
      <c r="J72" s="41"/>
      <c r="K72" s="40"/>
      <c r="L72" s="4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C72" s="4"/>
      <c r="AD72" s="4"/>
      <c r="AK72" s="4"/>
      <c r="AR72" s="4"/>
    </row>
    <row r="73" ht="12.75" customHeight="1">
      <c r="A73" s="20"/>
      <c r="B73" s="48"/>
      <c r="C73" s="25"/>
      <c r="D73" s="19"/>
      <c r="E73" s="19"/>
      <c r="F73" s="19"/>
      <c r="G73" s="40"/>
      <c r="H73" s="41"/>
      <c r="I73" s="40"/>
      <c r="J73" s="41"/>
      <c r="K73" s="40">
        <f t="shared" ref="K73:K75" si="25">AF23*AG23</f>
        <v>4</v>
      </c>
      <c r="L73" s="42">
        <f t="shared" ref="L73:L75" si="26">AH23*K73</f>
        <v>200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7">
        <f>K73</f>
        <v>4</v>
      </c>
      <c r="X73" s="7">
        <f>K74</f>
        <v>8</v>
      </c>
      <c r="Y73" s="7">
        <f>K75</f>
        <v>16</v>
      </c>
      <c r="Z73" s="4">
        <v>0.0</v>
      </c>
      <c r="AA73" s="4">
        <v>0.0</v>
      </c>
      <c r="AC73" s="4"/>
      <c r="AD73" s="4"/>
      <c r="AK73" s="4"/>
      <c r="AR73" s="4"/>
    </row>
    <row r="74" ht="12.75" customHeight="1">
      <c r="A74" s="20"/>
      <c r="B74" s="48"/>
      <c r="C74" s="25"/>
      <c r="D74" s="19"/>
      <c r="E74" s="19"/>
      <c r="F74" s="19"/>
      <c r="G74" s="40"/>
      <c r="H74" s="41"/>
      <c r="I74" s="40"/>
      <c r="J74" s="41"/>
      <c r="K74" s="40">
        <f t="shared" si="25"/>
        <v>8</v>
      </c>
      <c r="L74" s="42">
        <f t="shared" si="26"/>
        <v>480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C74" s="4"/>
      <c r="AD74" s="4"/>
      <c r="AK74" s="4"/>
      <c r="AR74" s="4"/>
    </row>
    <row r="75" ht="12.75" customHeight="1">
      <c r="A75" s="20"/>
      <c r="B75" s="48"/>
      <c r="C75" s="25"/>
      <c r="D75" s="19"/>
      <c r="E75" s="19"/>
      <c r="F75" s="19"/>
      <c r="G75" s="40"/>
      <c r="H75" s="41"/>
      <c r="I75" s="40"/>
      <c r="J75" s="41"/>
      <c r="K75" s="40">
        <f t="shared" si="25"/>
        <v>16</v>
      </c>
      <c r="L75" s="42">
        <f t="shared" si="26"/>
        <v>1120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C75" s="4"/>
      <c r="AD75" s="4"/>
      <c r="AK75" s="4"/>
      <c r="AR75" s="4"/>
    </row>
    <row r="76" ht="12.75" customHeight="1">
      <c r="A76" s="20"/>
      <c r="B76" s="48"/>
      <c r="C76" s="25"/>
      <c r="D76" s="19"/>
      <c r="E76" s="19"/>
      <c r="F76" s="19"/>
      <c r="G76" s="40"/>
      <c r="H76" s="41"/>
      <c r="I76" s="40">
        <f t="shared" ref="I76:I78" si="27">AF26*AG26</f>
        <v>5</v>
      </c>
      <c r="J76" s="41">
        <f t="shared" ref="J76:J78" si="28">AH26*I76</f>
        <v>250</v>
      </c>
      <c r="K76" s="40"/>
      <c r="L76" s="42"/>
      <c r="M76" s="4"/>
      <c r="N76" s="4"/>
      <c r="O76" s="4"/>
      <c r="P76" s="4"/>
      <c r="Q76" s="4"/>
      <c r="R76" s="7">
        <f>I76</f>
        <v>5</v>
      </c>
      <c r="S76" s="7">
        <f>I77</f>
        <v>10</v>
      </c>
      <c r="T76" s="7">
        <f>I78</f>
        <v>20</v>
      </c>
      <c r="U76" s="4">
        <v>0.0</v>
      </c>
      <c r="V76" s="4">
        <v>0.0</v>
      </c>
      <c r="W76" s="4"/>
      <c r="X76" s="4"/>
      <c r="Y76" s="4"/>
      <c r="Z76" s="4"/>
      <c r="AA76" s="4"/>
      <c r="AC76" s="4"/>
      <c r="AD76" s="4"/>
      <c r="AK76" s="4"/>
      <c r="AR76" s="4"/>
    </row>
    <row r="77" ht="12.75" customHeight="1">
      <c r="A77" s="20"/>
      <c r="B77" s="48"/>
      <c r="C77" s="25"/>
      <c r="D77" s="19"/>
      <c r="E77" s="19"/>
      <c r="F77" s="19"/>
      <c r="G77" s="40"/>
      <c r="H77" s="41"/>
      <c r="I77" s="40">
        <f t="shared" si="27"/>
        <v>10</v>
      </c>
      <c r="J77" s="41">
        <f t="shared" si="28"/>
        <v>600</v>
      </c>
      <c r="K77" s="40"/>
      <c r="L77" s="4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C77" s="4"/>
      <c r="AD77" s="4"/>
      <c r="AK77" s="4"/>
      <c r="AR77" s="4"/>
    </row>
    <row r="78" ht="12.75" customHeight="1">
      <c r="A78" s="20"/>
      <c r="B78" s="48"/>
      <c r="C78" s="25"/>
      <c r="D78" s="19"/>
      <c r="E78" s="19"/>
      <c r="F78" s="19"/>
      <c r="G78" s="40"/>
      <c r="H78" s="41"/>
      <c r="I78" s="40">
        <f t="shared" si="27"/>
        <v>20</v>
      </c>
      <c r="J78" s="41">
        <f t="shared" si="28"/>
        <v>1400</v>
      </c>
      <c r="K78" s="40"/>
      <c r="L78" s="4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C78" s="4"/>
      <c r="AD78" s="4"/>
      <c r="AK78" s="4"/>
      <c r="AR78" s="4"/>
    </row>
    <row r="79" ht="12.75" customHeight="1">
      <c r="A79" s="20"/>
      <c r="B79" s="48"/>
      <c r="C79" s="25"/>
      <c r="D79" s="19"/>
      <c r="E79" s="19"/>
      <c r="F79" s="19"/>
      <c r="G79" s="40"/>
      <c r="H79" s="41"/>
      <c r="I79" s="40"/>
      <c r="J79" s="41"/>
      <c r="K79" s="40"/>
      <c r="L79" s="4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C79" s="4"/>
      <c r="AD79" s="4"/>
      <c r="AK79" s="4"/>
      <c r="AR79" s="4"/>
    </row>
    <row r="80" ht="12.75" customHeight="1">
      <c r="A80" s="20"/>
      <c r="B80" s="48"/>
      <c r="C80" s="25"/>
      <c r="D80" s="19"/>
      <c r="E80" s="19"/>
      <c r="F80" s="19"/>
      <c r="G80" s="40"/>
      <c r="H80" s="41"/>
      <c r="I80" s="40"/>
      <c r="J80" s="41"/>
      <c r="K80" s="40">
        <f t="shared" ref="K80:K83" si="29">AF30*AG30</f>
        <v>4</v>
      </c>
      <c r="L80" s="42">
        <f t="shared" ref="L80:L83" si="30">AH30*K80</f>
        <v>200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7">
        <f>K80</f>
        <v>4</v>
      </c>
      <c r="X80" s="7">
        <f>K81</f>
        <v>4</v>
      </c>
      <c r="Y80" s="7">
        <f>K82+K83</f>
        <v>21</v>
      </c>
      <c r="Z80" s="4">
        <v>0.0</v>
      </c>
      <c r="AA80" s="4">
        <v>0.0</v>
      </c>
      <c r="AC80" s="4"/>
      <c r="AD80" s="4"/>
      <c r="AK80" s="4"/>
      <c r="AR80" s="4"/>
    </row>
    <row r="81" ht="12.75" customHeight="1">
      <c r="A81" s="20"/>
      <c r="B81" s="48"/>
      <c r="C81" s="25"/>
      <c r="D81" s="19"/>
      <c r="E81" s="19"/>
      <c r="F81" s="19"/>
      <c r="G81" s="40"/>
      <c r="H81" s="41"/>
      <c r="I81" s="40"/>
      <c r="J81" s="41"/>
      <c r="K81" s="40">
        <f t="shared" si="29"/>
        <v>4</v>
      </c>
      <c r="L81" s="42">
        <f t="shared" si="30"/>
        <v>240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C81" s="4"/>
      <c r="AD81" s="4"/>
      <c r="AK81" s="4"/>
      <c r="AR81" s="4"/>
    </row>
    <row r="82" ht="12.75" customHeight="1">
      <c r="A82" s="20"/>
      <c r="B82" s="48"/>
      <c r="C82" s="25"/>
      <c r="D82" s="19"/>
      <c r="E82" s="19"/>
      <c r="F82" s="19"/>
      <c r="G82" s="40"/>
      <c r="H82" s="41"/>
      <c r="I82" s="40"/>
      <c r="J82" s="41"/>
      <c r="K82" s="40">
        <f t="shared" si="29"/>
        <v>6</v>
      </c>
      <c r="L82" s="42">
        <f t="shared" si="30"/>
        <v>420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C82" s="4"/>
      <c r="AD82" s="4"/>
      <c r="AK82" s="4"/>
      <c r="AR82" s="4"/>
    </row>
    <row r="83" ht="12.75" customHeight="1">
      <c r="A83" s="20"/>
      <c r="B83" s="48"/>
      <c r="C83" s="25"/>
      <c r="D83" s="19"/>
      <c r="E83" s="19"/>
      <c r="F83" s="19"/>
      <c r="G83" s="40"/>
      <c r="H83" s="41"/>
      <c r="I83" s="40"/>
      <c r="J83" s="41"/>
      <c r="K83" s="40">
        <f t="shared" si="29"/>
        <v>15</v>
      </c>
      <c r="L83" s="42">
        <f t="shared" si="30"/>
        <v>1125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C83" s="4"/>
      <c r="AD83" s="4"/>
      <c r="AK83" s="4"/>
      <c r="AR83" s="4"/>
    </row>
    <row r="84" ht="12.75" customHeight="1">
      <c r="A84" s="20"/>
      <c r="B84" s="48"/>
      <c r="C84" s="25"/>
      <c r="D84" s="19"/>
      <c r="E84" s="19"/>
      <c r="F84" s="19"/>
      <c r="G84" s="40"/>
      <c r="H84" s="41"/>
      <c r="I84" s="40"/>
      <c r="J84" s="41"/>
      <c r="K84" s="40"/>
      <c r="L84" s="4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C84" s="4"/>
      <c r="AD84" s="4"/>
      <c r="AK84" s="4"/>
      <c r="AR84" s="4"/>
    </row>
    <row r="85" ht="12.75" customHeight="1">
      <c r="A85" s="20"/>
      <c r="B85" s="48"/>
      <c r="C85" s="25"/>
      <c r="D85" s="19"/>
      <c r="E85" s="19"/>
      <c r="F85" s="19"/>
      <c r="G85" s="40"/>
      <c r="H85" s="41"/>
      <c r="I85" s="40"/>
      <c r="J85" s="41"/>
      <c r="K85" s="40"/>
      <c r="L85" s="4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C85" s="4"/>
      <c r="AD85" s="4"/>
      <c r="AK85" s="4"/>
      <c r="AR85" s="4"/>
    </row>
    <row r="86" ht="12.75" customHeight="1">
      <c r="A86" s="20"/>
      <c r="B86" s="48"/>
      <c r="C86" s="25"/>
      <c r="D86" s="19"/>
      <c r="E86" s="19"/>
      <c r="F86" s="19"/>
      <c r="G86" s="40"/>
      <c r="H86" s="41"/>
      <c r="I86" s="40"/>
      <c r="J86" s="41"/>
      <c r="K86" s="40"/>
      <c r="L86" s="4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C86" s="4"/>
      <c r="AD86" s="4"/>
      <c r="AK86" s="4"/>
      <c r="AR86" s="4"/>
    </row>
    <row r="87" ht="12.75" customHeight="1">
      <c r="A87" s="20"/>
      <c r="B87" s="48"/>
      <c r="C87" s="25"/>
      <c r="D87" s="19"/>
      <c r="E87" s="19"/>
      <c r="F87" s="19"/>
      <c r="G87" s="40">
        <f t="shared" ref="G87:G90" si="31">AF37*AG37</f>
        <v>4</v>
      </c>
      <c r="H87" s="41">
        <f t="shared" ref="H87:H90" si="32">AH37*G87</f>
        <v>200</v>
      </c>
      <c r="I87" s="40"/>
      <c r="J87" s="41"/>
      <c r="K87" s="40"/>
      <c r="L87" s="42"/>
      <c r="M87" s="7">
        <f>G87</f>
        <v>4</v>
      </c>
      <c r="N87" s="7">
        <f>G88</f>
        <v>4</v>
      </c>
      <c r="O87" s="7">
        <f>G89+G90</f>
        <v>24</v>
      </c>
      <c r="P87" s="4">
        <v>0.0</v>
      </c>
      <c r="Q87" s="4">
        <v>0.0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C87" s="4"/>
      <c r="AD87" s="4"/>
      <c r="AK87" s="4"/>
      <c r="AR87" s="4"/>
    </row>
    <row r="88" ht="12.75" customHeight="1">
      <c r="A88" s="20"/>
      <c r="B88" s="48"/>
      <c r="C88" s="25"/>
      <c r="D88" s="19"/>
      <c r="E88" s="19"/>
      <c r="F88" s="19"/>
      <c r="G88" s="40">
        <f t="shared" si="31"/>
        <v>4</v>
      </c>
      <c r="H88" s="41">
        <f t="shared" si="32"/>
        <v>240</v>
      </c>
      <c r="I88" s="40"/>
      <c r="J88" s="41"/>
      <c r="K88" s="40"/>
      <c r="L88" s="4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C88" s="4"/>
      <c r="AD88" s="4"/>
      <c r="AK88" s="4"/>
      <c r="AR88" s="4"/>
    </row>
    <row r="89" ht="12.75" customHeight="1">
      <c r="A89" s="20"/>
      <c r="B89" s="48"/>
      <c r="C89" s="25"/>
      <c r="D89" s="19"/>
      <c r="E89" s="19"/>
      <c r="F89" s="19"/>
      <c r="G89" s="40">
        <f t="shared" si="31"/>
        <v>6</v>
      </c>
      <c r="H89" s="41">
        <f t="shared" si="32"/>
        <v>420</v>
      </c>
      <c r="I89" s="40"/>
      <c r="J89" s="41"/>
      <c r="K89" s="40"/>
      <c r="L89" s="4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C89" s="4"/>
      <c r="AD89" s="4"/>
      <c r="AK89" s="4"/>
      <c r="AR89" s="4"/>
    </row>
    <row r="90" ht="12.75" customHeight="1">
      <c r="A90" s="20"/>
      <c r="B90" s="48"/>
      <c r="C90" s="25"/>
      <c r="D90" s="19"/>
      <c r="E90" s="19"/>
      <c r="F90" s="19"/>
      <c r="G90" s="40">
        <f t="shared" si="31"/>
        <v>18</v>
      </c>
      <c r="H90" s="41">
        <f t="shared" si="32"/>
        <v>1350</v>
      </c>
      <c r="I90" s="40"/>
      <c r="J90" s="41"/>
      <c r="K90" s="40"/>
      <c r="L90" s="4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C90" s="4"/>
      <c r="AD90" s="4"/>
      <c r="AK90" s="4"/>
      <c r="AR90" s="4"/>
    </row>
    <row r="91" ht="12.75" customHeight="1">
      <c r="A91" s="20"/>
      <c r="B91" s="48"/>
      <c r="C91" s="25"/>
      <c r="D91" s="19"/>
      <c r="E91" s="19"/>
      <c r="F91" s="19"/>
      <c r="G91" s="40"/>
      <c r="H91" s="41"/>
      <c r="I91" s="40">
        <f t="shared" ref="I91:I99" si="33">AF41*AG41</f>
        <v>6</v>
      </c>
      <c r="J91" s="41">
        <f t="shared" ref="J91:J99" si="34">AH41*I91</f>
        <v>300</v>
      </c>
      <c r="K91" s="40"/>
      <c r="L91" s="42"/>
      <c r="M91" s="4"/>
      <c r="N91" s="4"/>
      <c r="O91" s="4"/>
      <c r="P91" s="4"/>
      <c r="Q91" s="4"/>
      <c r="R91" s="7">
        <f>I91+I99</f>
        <v>13</v>
      </c>
      <c r="S91" s="7">
        <f>I92+I98</f>
        <v>11</v>
      </c>
      <c r="T91" s="7">
        <f>I93+I94+I96+I97</f>
        <v>23</v>
      </c>
      <c r="U91" s="7">
        <f>I95</f>
        <v>4</v>
      </c>
      <c r="V91" s="4">
        <v>0.0</v>
      </c>
      <c r="W91" s="4"/>
      <c r="X91" s="4"/>
      <c r="Y91" s="4"/>
      <c r="Z91" s="4"/>
      <c r="AA91" s="4"/>
      <c r="AC91" s="4"/>
      <c r="AD91" s="4"/>
      <c r="AK91" s="4"/>
      <c r="AR91" s="4"/>
    </row>
    <row r="92" ht="12.75" customHeight="1">
      <c r="A92" s="20"/>
      <c r="B92" s="48"/>
      <c r="C92" s="25"/>
      <c r="D92" s="19"/>
      <c r="E92" s="19"/>
      <c r="F92" s="19"/>
      <c r="G92" s="40"/>
      <c r="H92" s="41"/>
      <c r="I92" s="40">
        <f t="shared" si="33"/>
        <v>5</v>
      </c>
      <c r="J92" s="41">
        <f t="shared" si="34"/>
        <v>300</v>
      </c>
      <c r="K92" s="40"/>
      <c r="L92" s="4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C92" s="4"/>
      <c r="AD92" s="4"/>
      <c r="AK92" s="4"/>
      <c r="AR92" s="4"/>
    </row>
    <row r="93" ht="12.75" customHeight="1">
      <c r="A93" s="20"/>
      <c r="B93" s="48"/>
      <c r="C93" s="25"/>
      <c r="D93" s="19"/>
      <c r="E93" s="19"/>
      <c r="F93" s="19"/>
      <c r="G93" s="40"/>
      <c r="H93" s="41"/>
      <c r="I93" s="40">
        <f t="shared" si="33"/>
        <v>8</v>
      </c>
      <c r="J93" s="41">
        <f t="shared" si="34"/>
        <v>560</v>
      </c>
      <c r="K93" s="40"/>
      <c r="L93" s="4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C93" s="4"/>
      <c r="AD93" s="4"/>
      <c r="AK93" s="4"/>
      <c r="AR93" s="4"/>
    </row>
    <row r="94" ht="12.75" customHeight="1">
      <c r="A94" s="20"/>
      <c r="B94" s="48"/>
      <c r="C94" s="25"/>
      <c r="D94" s="19"/>
      <c r="E94" s="19"/>
      <c r="F94" s="19"/>
      <c r="G94" s="40"/>
      <c r="H94" s="41"/>
      <c r="I94" s="40">
        <f t="shared" si="33"/>
        <v>6</v>
      </c>
      <c r="J94" s="41">
        <f t="shared" si="34"/>
        <v>450</v>
      </c>
      <c r="K94" s="40"/>
      <c r="L94" s="4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C94" s="4"/>
      <c r="AD94" s="4"/>
      <c r="AK94" s="4"/>
      <c r="AR94" s="4"/>
    </row>
    <row r="95" ht="12.75" customHeight="1">
      <c r="A95" s="20"/>
      <c r="B95" s="48"/>
      <c r="C95" s="25"/>
      <c r="D95" s="19"/>
      <c r="E95" s="19"/>
      <c r="F95" s="19"/>
      <c r="G95" s="40"/>
      <c r="H95" s="41"/>
      <c r="I95" s="40">
        <f t="shared" si="33"/>
        <v>4</v>
      </c>
      <c r="J95" s="41">
        <f t="shared" si="34"/>
        <v>320</v>
      </c>
      <c r="K95" s="40"/>
      <c r="L95" s="4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C95" s="4"/>
      <c r="AD95" s="4"/>
      <c r="AK95" s="4"/>
      <c r="AR95" s="4"/>
    </row>
    <row r="96" ht="12.75" customHeight="1">
      <c r="A96" s="20"/>
      <c r="B96" s="48"/>
      <c r="C96" s="25"/>
      <c r="D96" s="19"/>
      <c r="E96" s="19"/>
      <c r="F96" s="19"/>
      <c r="G96" s="40"/>
      <c r="H96" s="41"/>
      <c r="I96" s="40">
        <f t="shared" si="33"/>
        <v>4</v>
      </c>
      <c r="J96" s="41">
        <f t="shared" si="34"/>
        <v>300</v>
      </c>
      <c r="K96" s="40"/>
      <c r="L96" s="4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C96" s="4"/>
      <c r="AD96" s="4"/>
      <c r="AK96" s="4"/>
      <c r="AR96" s="4"/>
    </row>
    <row r="97" ht="12.75" customHeight="1">
      <c r="A97" s="20"/>
      <c r="B97" s="48"/>
      <c r="C97" s="25"/>
      <c r="D97" s="19"/>
      <c r="E97" s="19"/>
      <c r="F97" s="19"/>
      <c r="G97" s="40"/>
      <c r="H97" s="41"/>
      <c r="I97" s="40">
        <f t="shared" si="33"/>
        <v>5</v>
      </c>
      <c r="J97" s="41">
        <f t="shared" si="34"/>
        <v>350</v>
      </c>
      <c r="K97" s="40"/>
      <c r="L97" s="4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C97" s="4"/>
      <c r="AD97" s="4"/>
      <c r="AK97" s="4"/>
      <c r="AR97" s="4"/>
    </row>
    <row r="98" ht="12.75" customHeight="1">
      <c r="A98" s="20"/>
      <c r="B98" s="48"/>
      <c r="C98" s="25"/>
      <c r="D98" s="19"/>
      <c r="E98" s="19"/>
      <c r="F98" s="19"/>
      <c r="G98" s="40"/>
      <c r="H98" s="41"/>
      <c r="I98" s="40">
        <f t="shared" si="33"/>
        <v>6</v>
      </c>
      <c r="J98" s="41">
        <f t="shared" si="34"/>
        <v>360</v>
      </c>
      <c r="K98" s="40"/>
      <c r="L98" s="4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C98" s="4"/>
      <c r="AD98" s="4"/>
      <c r="AK98" s="4"/>
      <c r="AR98" s="4"/>
    </row>
    <row r="99" ht="12.75" customHeight="1">
      <c r="A99" s="20"/>
      <c r="B99" s="48"/>
      <c r="C99" s="25"/>
      <c r="D99" s="19"/>
      <c r="E99" s="19"/>
      <c r="F99" s="19"/>
      <c r="G99" s="40"/>
      <c r="H99" s="41"/>
      <c r="I99" s="40">
        <f t="shared" si="33"/>
        <v>7</v>
      </c>
      <c r="J99" s="41">
        <f t="shared" si="34"/>
        <v>350</v>
      </c>
      <c r="K99" s="40"/>
      <c r="L99" s="4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C99" s="4"/>
      <c r="AD99" s="4"/>
      <c r="AK99" s="4"/>
      <c r="AR99" s="4"/>
    </row>
    <row r="100" ht="12.75" customHeight="1">
      <c r="A100" s="20"/>
      <c r="B100" s="48"/>
      <c r="C100" s="25"/>
      <c r="D100" s="19"/>
      <c r="E100" s="19"/>
      <c r="F100" s="19"/>
      <c r="G100" s="40"/>
      <c r="H100" s="41"/>
      <c r="I100" s="40"/>
      <c r="J100" s="41"/>
      <c r="K100" s="40"/>
      <c r="L100" s="4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C100" s="4"/>
      <c r="AD100" s="4"/>
      <c r="AK100" s="4"/>
      <c r="AR100" s="4"/>
    </row>
    <row r="101" ht="12.75" customHeight="1">
      <c r="A101" s="20"/>
      <c r="B101" s="48"/>
      <c r="C101" s="25"/>
      <c r="D101" s="19"/>
      <c r="E101" s="19"/>
      <c r="F101" s="19"/>
      <c r="G101" s="40"/>
      <c r="H101" s="41"/>
      <c r="I101" s="40"/>
      <c r="J101" s="41"/>
      <c r="K101" s="40"/>
      <c r="L101" s="4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C101" s="4"/>
      <c r="AD101" s="4"/>
      <c r="AK101" s="4"/>
      <c r="AR101" s="4"/>
    </row>
    <row r="102" ht="12.75" customHeight="1">
      <c r="A102" s="20"/>
      <c r="B102" s="48"/>
      <c r="C102" s="25"/>
      <c r="D102" s="19"/>
      <c r="E102" s="19"/>
      <c r="F102" s="19"/>
      <c r="G102" s="40">
        <f t="shared" ref="G102:G104" si="35">AF52*AG52</f>
        <v>3</v>
      </c>
      <c r="H102" s="41">
        <f t="shared" ref="H102:H104" si="36">AH52*G102</f>
        <v>165</v>
      </c>
      <c r="I102" s="40"/>
      <c r="J102" s="41"/>
      <c r="K102" s="40"/>
      <c r="L102" s="42"/>
      <c r="M102" s="7">
        <f>G102</f>
        <v>3</v>
      </c>
      <c r="N102" s="7">
        <f>G103</f>
        <v>3</v>
      </c>
      <c r="O102" s="7">
        <f>G104</f>
        <v>8</v>
      </c>
      <c r="P102" s="4">
        <v>0.0</v>
      </c>
      <c r="Q102" s="4">
        <v>0.0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C102" s="4"/>
      <c r="AD102" s="4"/>
      <c r="AK102" s="4"/>
      <c r="AR102" s="4"/>
    </row>
    <row r="103" ht="12.75" customHeight="1">
      <c r="A103" s="20"/>
      <c r="B103" s="48"/>
      <c r="C103" s="25"/>
      <c r="D103" s="19"/>
      <c r="E103" s="19"/>
      <c r="F103" s="19"/>
      <c r="G103" s="40">
        <f t="shared" si="35"/>
        <v>3</v>
      </c>
      <c r="H103" s="41">
        <f t="shared" si="36"/>
        <v>195</v>
      </c>
      <c r="I103" s="40"/>
      <c r="J103" s="41"/>
      <c r="K103" s="40"/>
      <c r="L103" s="4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C103" s="4"/>
      <c r="AD103" s="4"/>
      <c r="AK103" s="4"/>
      <c r="AR103" s="4"/>
    </row>
    <row r="104" ht="12.75" customHeight="1">
      <c r="A104" s="20"/>
      <c r="B104" s="48"/>
      <c r="C104" s="25"/>
      <c r="D104" s="19"/>
      <c r="E104" s="19"/>
      <c r="F104" s="19"/>
      <c r="G104" s="40">
        <f t="shared" si="35"/>
        <v>8</v>
      </c>
      <c r="H104" s="41">
        <f t="shared" si="36"/>
        <v>600</v>
      </c>
      <c r="I104" s="40"/>
      <c r="J104" s="41"/>
      <c r="K104" s="40"/>
      <c r="L104" s="4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C104" s="4"/>
      <c r="AD104" s="4"/>
      <c r="AK104" s="4"/>
      <c r="AR104" s="4"/>
    </row>
    <row r="105" ht="12.75" customHeight="1">
      <c r="A105" s="20"/>
      <c r="B105" s="48"/>
      <c r="C105" s="25"/>
      <c r="D105" s="19"/>
      <c r="E105" s="19"/>
      <c r="F105" s="19"/>
      <c r="G105" s="40"/>
      <c r="H105" s="41"/>
      <c r="I105" s="40"/>
      <c r="J105" s="41"/>
      <c r="K105" s="40"/>
      <c r="L105" s="4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C105" s="4"/>
      <c r="AD105" s="4"/>
      <c r="AK105" s="4"/>
      <c r="AR105" s="4"/>
    </row>
    <row r="106" ht="12.75" customHeight="1">
      <c r="A106" s="20"/>
      <c r="B106" s="48"/>
      <c r="C106" s="25"/>
      <c r="D106" s="19"/>
      <c r="E106" s="19"/>
      <c r="F106" s="19"/>
      <c r="G106" s="40"/>
      <c r="H106" s="41"/>
      <c r="I106" s="40"/>
      <c r="J106" s="41"/>
      <c r="K106" s="40"/>
      <c r="L106" s="4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C106" s="4"/>
      <c r="AD106" s="4"/>
      <c r="AK106" s="4"/>
      <c r="AR106" s="4"/>
    </row>
    <row r="107" ht="12.75" customHeight="1">
      <c r="A107" s="20"/>
      <c r="B107" s="20"/>
      <c r="C107" s="20"/>
      <c r="D107" s="20"/>
      <c r="E107" s="20"/>
      <c r="F107" s="20"/>
      <c r="G107" s="59">
        <f t="shared" ref="G107:Q107" si="37">SUM(G57:G106)</f>
        <v>93</v>
      </c>
      <c r="H107" s="60">
        <f t="shared" si="37"/>
        <v>6380</v>
      </c>
      <c r="I107" s="59">
        <f t="shared" si="37"/>
        <v>113</v>
      </c>
      <c r="J107" s="60">
        <f t="shared" si="37"/>
        <v>7410</v>
      </c>
      <c r="K107" s="59">
        <f t="shared" si="37"/>
        <v>57</v>
      </c>
      <c r="L107" s="60">
        <f t="shared" si="37"/>
        <v>3785</v>
      </c>
      <c r="M107" s="61">
        <f t="shared" si="37"/>
        <v>15</v>
      </c>
      <c r="N107" s="61">
        <f t="shared" si="37"/>
        <v>18</v>
      </c>
      <c r="O107" s="61">
        <f t="shared" si="37"/>
        <v>50</v>
      </c>
      <c r="P107" s="61">
        <f t="shared" si="37"/>
        <v>10</v>
      </c>
      <c r="Q107" s="61">
        <f t="shared" si="37"/>
        <v>0</v>
      </c>
      <c r="R107" s="61">
        <f t="shared" ref="R107:V107" si="38">SUM(R61:R106)</f>
        <v>23</v>
      </c>
      <c r="S107" s="61">
        <f t="shared" si="38"/>
        <v>25</v>
      </c>
      <c r="T107" s="61">
        <f t="shared" si="38"/>
        <v>49</v>
      </c>
      <c r="U107" s="61">
        <f t="shared" si="38"/>
        <v>16</v>
      </c>
      <c r="V107" s="20">
        <f t="shared" si="38"/>
        <v>0</v>
      </c>
      <c r="W107" s="61">
        <f t="shared" ref="W107:AA107" si="39">SUM(W73:W106)</f>
        <v>8</v>
      </c>
      <c r="X107" s="61">
        <f t="shared" si="39"/>
        <v>12</v>
      </c>
      <c r="Y107" s="61">
        <f t="shared" si="39"/>
        <v>37</v>
      </c>
      <c r="Z107" s="20">
        <f t="shared" si="39"/>
        <v>0</v>
      </c>
      <c r="AA107" s="20">
        <f t="shared" si="39"/>
        <v>0</v>
      </c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</row>
    <row r="108" ht="12.75" customHeight="1">
      <c r="A108" s="20"/>
      <c r="B108" s="48"/>
      <c r="C108" s="25"/>
      <c r="D108" s="19"/>
      <c r="E108" s="19"/>
      <c r="F108" s="19"/>
      <c r="G108" s="40"/>
      <c r="H108" s="41"/>
      <c r="I108" s="40"/>
      <c r="J108" s="41"/>
      <c r="K108" s="40"/>
      <c r="L108" s="4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C108" s="4"/>
      <c r="AD108" s="4"/>
      <c r="AK108" s="4"/>
      <c r="AR108" s="4"/>
    </row>
    <row r="109" ht="12.75" customHeight="1">
      <c r="A109" s="20"/>
      <c r="B109" s="48"/>
      <c r="C109" s="25"/>
      <c r="D109" s="19"/>
      <c r="E109" s="19"/>
      <c r="F109" s="19"/>
      <c r="G109" s="40"/>
      <c r="H109" s="41"/>
      <c r="I109" s="40"/>
      <c r="J109" s="41"/>
      <c r="K109" s="40"/>
      <c r="L109" s="4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C109" s="4"/>
      <c r="AD109" s="4"/>
      <c r="AK109" s="4"/>
      <c r="AR109" s="4"/>
    </row>
    <row r="110" ht="12.75" customHeight="1">
      <c r="A110" s="20"/>
      <c r="B110" s="48"/>
      <c r="C110" s="25"/>
      <c r="D110" s="19"/>
      <c r="E110" s="19"/>
      <c r="F110" s="19"/>
      <c r="G110" s="40">
        <f t="shared" ref="G110:G113" si="40">AM7*AN7</f>
        <v>5</v>
      </c>
      <c r="H110" s="41">
        <f t="shared" ref="H110:H113" si="41">AO7*G110</f>
        <v>250</v>
      </c>
      <c r="I110" s="40"/>
      <c r="J110" s="41"/>
      <c r="K110" s="40"/>
      <c r="L110" s="42"/>
      <c r="M110" s="7">
        <f>G110</f>
        <v>5</v>
      </c>
      <c r="N110" s="7">
        <f>G111</f>
        <v>8</v>
      </c>
      <c r="O110" s="7">
        <f>G112</f>
        <v>6</v>
      </c>
      <c r="P110" s="7">
        <f>G113</f>
        <v>15</v>
      </c>
      <c r="Q110" s="4">
        <v>0.0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C110" s="4"/>
      <c r="AD110" s="4"/>
      <c r="AK110" s="4"/>
      <c r="AR110" s="4"/>
    </row>
    <row r="111" ht="12.75" customHeight="1">
      <c r="A111" s="20"/>
      <c r="B111" s="48"/>
      <c r="C111" s="25"/>
      <c r="D111" s="19"/>
      <c r="E111" s="19"/>
      <c r="F111" s="19"/>
      <c r="G111" s="40">
        <f t="shared" si="40"/>
        <v>8</v>
      </c>
      <c r="H111" s="41">
        <f t="shared" si="41"/>
        <v>480</v>
      </c>
      <c r="I111" s="40"/>
      <c r="J111" s="41"/>
      <c r="K111" s="40"/>
      <c r="L111" s="4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C111" s="4"/>
      <c r="AD111" s="4"/>
      <c r="AK111" s="4"/>
      <c r="AR111" s="4"/>
    </row>
    <row r="112" ht="12.75" customHeight="1">
      <c r="A112" s="20"/>
      <c r="B112" s="48"/>
      <c r="C112" s="25"/>
      <c r="D112" s="19"/>
      <c r="E112" s="19"/>
      <c r="F112" s="19"/>
      <c r="G112" s="40">
        <f t="shared" si="40"/>
        <v>6</v>
      </c>
      <c r="H112" s="41">
        <f t="shared" si="41"/>
        <v>420</v>
      </c>
      <c r="I112" s="40"/>
      <c r="J112" s="41"/>
      <c r="K112" s="40"/>
      <c r="L112" s="4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C112" s="4"/>
      <c r="AD112" s="4"/>
      <c r="AK112" s="4"/>
      <c r="AR112" s="4"/>
    </row>
    <row r="113" ht="12.75" customHeight="1">
      <c r="A113" s="20"/>
      <c r="B113" s="48"/>
      <c r="C113" s="25"/>
      <c r="D113" s="19"/>
      <c r="E113" s="19"/>
      <c r="F113" s="19"/>
      <c r="G113" s="40">
        <f t="shared" si="40"/>
        <v>15</v>
      </c>
      <c r="H113" s="41">
        <f t="shared" si="41"/>
        <v>1200</v>
      </c>
      <c r="I113" s="40"/>
      <c r="J113" s="41"/>
      <c r="K113" s="40"/>
      <c r="L113" s="4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C113" s="4"/>
      <c r="AD113" s="4"/>
      <c r="AK113" s="4"/>
      <c r="AR113" s="4"/>
    </row>
    <row r="114" ht="12.75" customHeight="1">
      <c r="A114" s="20"/>
      <c r="B114" s="48"/>
      <c r="C114" s="25"/>
      <c r="D114" s="19"/>
      <c r="E114" s="19"/>
      <c r="F114" s="19"/>
      <c r="G114" s="40"/>
      <c r="H114" s="41"/>
      <c r="I114" s="40">
        <f t="shared" ref="I114:I117" si="42">AM11*AN11</f>
        <v>5</v>
      </c>
      <c r="J114" s="41">
        <f t="shared" ref="J114:J117" si="43">AO11*I114</f>
        <v>250</v>
      </c>
      <c r="K114" s="40"/>
      <c r="L114" s="42"/>
      <c r="M114" s="4"/>
      <c r="N114" s="4"/>
      <c r="O114" s="4"/>
      <c r="P114" s="4"/>
      <c r="Q114" s="4"/>
      <c r="R114" s="7">
        <f>I114</f>
        <v>5</v>
      </c>
      <c r="S114" s="7">
        <f>I115</f>
        <v>4</v>
      </c>
      <c r="T114" s="7">
        <f>I116</f>
        <v>6</v>
      </c>
      <c r="U114" s="7">
        <f>I117</f>
        <v>15</v>
      </c>
      <c r="V114" s="4">
        <v>0.0</v>
      </c>
      <c r="W114" s="4"/>
      <c r="X114" s="4"/>
      <c r="Y114" s="4"/>
      <c r="Z114" s="4"/>
      <c r="AA114" s="4"/>
      <c r="AC114" s="4"/>
      <c r="AD114" s="4"/>
      <c r="AK114" s="4"/>
      <c r="AR114" s="4"/>
    </row>
    <row r="115" ht="12.75" customHeight="1">
      <c r="A115" s="20"/>
      <c r="B115" s="48"/>
      <c r="C115" s="25"/>
      <c r="D115" s="19"/>
      <c r="E115" s="19"/>
      <c r="F115" s="19"/>
      <c r="G115" s="40"/>
      <c r="H115" s="41"/>
      <c r="I115" s="40">
        <f t="shared" si="42"/>
        <v>4</v>
      </c>
      <c r="J115" s="41">
        <f t="shared" si="43"/>
        <v>240</v>
      </c>
      <c r="K115" s="40"/>
      <c r="L115" s="4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C115" s="4"/>
      <c r="AD115" s="4"/>
      <c r="AK115" s="4"/>
      <c r="AR115" s="4"/>
    </row>
    <row r="116" ht="12.75" customHeight="1">
      <c r="A116" s="20"/>
      <c r="B116" s="48"/>
      <c r="C116" s="25"/>
      <c r="D116" s="19"/>
      <c r="E116" s="19"/>
      <c r="F116" s="19"/>
      <c r="G116" s="40"/>
      <c r="H116" s="41"/>
      <c r="I116" s="40">
        <f t="shared" si="42"/>
        <v>6</v>
      </c>
      <c r="J116" s="41">
        <f t="shared" si="43"/>
        <v>420</v>
      </c>
      <c r="K116" s="40"/>
      <c r="L116" s="4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C116" s="4"/>
      <c r="AD116" s="4"/>
      <c r="AK116" s="4"/>
      <c r="AR116" s="4"/>
    </row>
    <row r="117" ht="12.75" customHeight="1">
      <c r="A117" s="20"/>
      <c r="B117" s="48"/>
      <c r="C117" s="25"/>
      <c r="D117" s="19"/>
      <c r="E117" s="19"/>
      <c r="F117" s="19"/>
      <c r="G117" s="40"/>
      <c r="H117" s="41"/>
      <c r="I117" s="40">
        <f t="shared" si="42"/>
        <v>15</v>
      </c>
      <c r="J117" s="41">
        <f t="shared" si="43"/>
        <v>1200</v>
      </c>
      <c r="K117" s="40"/>
      <c r="L117" s="4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C117" s="4"/>
      <c r="AD117" s="4"/>
      <c r="AK117" s="4"/>
      <c r="AR117" s="4"/>
    </row>
    <row r="118" ht="12.75" customHeight="1">
      <c r="A118" s="20"/>
      <c r="B118" s="48"/>
      <c r="C118" s="25"/>
      <c r="D118" s="19"/>
      <c r="E118" s="19"/>
      <c r="F118" s="19"/>
      <c r="G118" s="40"/>
      <c r="H118" s="41"/>
      <c r="I118" s="40"/>
      <c r="J118" s="41"/>
      <c r="K118" s="40"/>
      <c r="L118" s="4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C118" s="4"/>
      <c r="AD118" s="4"/>
      <c r="AK118" s="4"/>
      <c r="AR118" s="4"/>
    </row>
    <row r="119" ht="12.75" customHeight="1">
      <c r="A119" s="20"/>
      <c r="B119" s="48"/>
      <c r="C119" s="25"/>
      <c r="D119" s="19"/>
      <c r="E119" s="19"/>
      <c r="F119" s="19"/>
      <c r="G119" s="40"/>
      <c r="H119" s="41"/>
      <c r="I119" s="40"/>
      <c r="J119" s="41"/>
      <c r="K119" s="40"/>
      <c r="L119" s="4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C119" s="4"/>
      <c r="AD119" s="4"/>
      <c r="AK119" s="4"/>
      <c r="AR119" s="4"/>
    </row>
    <row r="120" ht="12.75" customHeight="1">
      <c r="A120" s="20"/>
      <c r="B120" s="48"/>
      <c r="C120" s="25"/>
      <c r="D120" s="19"/>
      <c r="E120" s="19"/>
      <c r="F120" s="19"/>
      <c r="G120" s="40">
        <f t="shared" ref="G120:G122" si="44">AM17*AN17</f>
        <v>5</v>
      </c>
      <c r="H120" s="41">
        <f t="shared" ref="H120:H122" si="45">AO17*G120</f>
        <v>250</v>
      </c>
      <c r="I120" s="40"/>
      <c r="J120" s="41"/>
      <c r="K120" s="40"/>
      <c r="L120" s="42"/>
      <c r="M120" s="7">
        <f>G120</f>
        <v>5</v>
      </c>
      <c r="N120" s="7">
        <f>G121</f>
        <v>5</v>
      </c>
      <c r="O120" s="7">
        <f>G122</f>
        <v>25</v>
      </c>
      <c r="P120" s="4">
        <v>0.0</v>
      </c>
      <c r="Q120" s="4">
        <v>0.0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C120" s="4"/>
      <c r="AD120" s="4"/>
      <c r="AK120" s="4"/>
      <c r="AR120" s="4"/>
    </row>
    <row r="121" ht="12.75" customHeight="1">
      <c r="A121" s="20"/>
      <c r="B121" s="48"/>
      <c r="C121" s="25"/>
      <c r="D121" s="19"/>
      <c r="E121" s="19"/>
      <c r="F121" s="19"/>
      <c r="G121" s="40">
        <f t="shared" si="44"/>
        <v>5</v>
      </c>
      <c r="H121" s="41">
        <f t="shared" si="45"/>
        <v>300</v>
      </c>
      <c r="I121" s="40"/>
      <c r="J121" s="41"/>
      <c r="K121" s="40"/>
      <c r="L121" s="4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C121" s="4"/>
      <c r="AD121" s="4"/>
      <c r="AK121" s="4"/>
      <c r="AR121" s="4"/>
    </row>
    <row r="122" ht="12.75" customHeight="1">
      <c r="A122" s="20"/>
      <c r="B122" s="48"/>
      <c r="C122" s="25"/>
      <c r="D122" s="19"/>
      <c r="E122" s="19"/>
      <c r="F122" s="19"/>
      <c r="G122" s="40">
        <f t="shared" si="44"/>
        <v>25</v>
      </c>
      <c r="H122" s="41">
        <f t="shared" si="45"/>
        <v>1750</v>
      </c>
      <c r="I122" s="40"/>
      <c r="J122" s="41"/>
      <c r="K122" s="40"/>
      <c r="L122" s="4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C122" s="4"/>
      <c r="AD122" s="4"/>
      <c r="AK122" s="4"/>
      <c r="AR122" s="4"/>
    </row>
    <row r="123" ht="12.75" customHeight="1">
      <c r="A123" s="20"/>
      <c r="B123" s="48"/>
      <c r="C123" s="25"/>
      <c r="D123" s="19"/>
      <c r="E123" s="19"/>
      <c r="F123" s="19"/>
      <c r="G123" s="40"/>
      <c r="H123" s="41"/>
      <c r="I123" s="40"/>
      <c r="J123" s="41"/>
      <c r="K123" s="40"/>
      <c r="L123" s="4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C123" s="4"/>
      <c r="AD123" s="4"/>
      <c r="AK123" s="4"/>
      <c r="AR123" s="4"/>
    </row>
    <row r="124" ht="12.75" customHeight="1">
      <c r="A124" s="20"/>
      <c r="B124" s="48"/>
      <c r="C124" s="25"/>
      <c r="D124" s="19"/>
      <c r="E124" s="19"/>
      <c r="F124" s="19"/>
      <c r="G124" s="40"/>
      <c r="H124" s="41"/>
      <c r="I124" s="40"/>
      <c r="J124" s="41"/>
      <c r="K124" s="40"/>
      <c r="L124" s="4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C124" s="4"/>
      <c r="AD124" s="4"/>
      <c r="AK124" s="4"/>
      <c r="AR124" s="4"/>
    </row>
    <row r="125" ht="12.75" customHeight="1">
      <c r="A125" s="20"/>
      <c r="B125" s="48"/>
      <c r="C125" s="25"/>
      <c r="D125" s="19"/>
      <c r="E125" s="19"/>
      <c r="F125" s="19"/>
      <c r="G125" s="40"/>
      <c r="H125" s="41"/>
      <c r="I125" s="40"/>
      <c r="J125" s="41"/>
      <c r="K125" s="40"/>
      <c r="L125" s="4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C125" s="4"/>
      <c r="AD125" s="4"/>
      <c r="AK125" s="4"/>
      <c r="AR125" s="4"/>
    </row>
    <row r="126" ht="12.75" customHeight="1">
      <c r="A126" s="20"/>
      <c r="B126" s="48"/>
      <c r="C126" s="25"/>
      <c r="D126" s="19"/>
      <c r="E126" s="19"/>
      <c r="F126" s="19"/>
      <c r="G126" s="40"/>
      <c r="H126" s="41"/>
      <c r="I126" s="40"/>
      <c r="J126" s="41"/>
      <c r="K126" s="40">
        <f t="shared" ref="K126:K129" si="46">AM23*AN23</f>
        <v>4</v>
      </c>
      <c r="L126" s="42">
        <f t="shared" ref="L126:L129" si="47">AO23*K126</f>
        <v>200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7">
        <f>K126</f>
        <v>4</v>
      </c>
      <c r="X126" s="7">
        <f>K127</f>
        <v>4</v>
      </c>
      <c r="Y126" s="7">
        <f>K128+K129</f>
        <v>24</v>
      </c>
      <c r="Z126" s="4">
        <v>0.0</v>
      </c>
      <c r="AA126" s="4">
        <v>0.0</v>
      </c>
      <c r="AC126" s="4"/>
      <c r="AD126" s="4"/>
      <c r="AK126" s="4"/>
      <c r="AR126" s="4"/>
    </row>
    <row r="127" ht="12.75" customHeight="1">
      <c r="A127" s="20"/>
      <c r="B127" s="48"/>
      <c r="C127" s="25"/>
      <c r="D127" s="19"/>
      <c r="E127" s="19"/>
      <c r="F127" s="19"/>
      <c r="G127" s="40"/>
      <c r="H127" s="41"/>
      <c r="I127" s="40"/>
      <c r="J127" s="41"/>
      <c r="K127" s="40">
        <f t="shared" si="46"/>
        <v>4</v>
      </c>
      <c r="L127" s="42">
        <f t="shared" si="47"/>
        <v>240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C127" s="4"/>
      <c r="AD127" s="4"/>
      <c r="AK127" s="4"/>
      <c r="AR127" s="4"/>
    </row>
    <row r="128" ht="12.75" customHeight="1">
      <c r="A128" s="20"/>
      <c r="B128" s="48"/>
      <c r="C128" s="25"/>
      <c r="D128" s="19"/>
      <c r="E128" s="19"/>
      <c r="F128" s="19"/>
      <c r="G128" s="40"/>
      <c r="H128" s="41"/>
      <c r="I128" s="40"/>
      <c r="J128" s="41"/>
      <c r="K128" s="40">
        <f t="shared" si="46"/>
        <v>8</v>
      </c>
      <c r="L128" s="42">
        <f t="shared" si="47"/>
        <v>560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C128" s="4"/>
      <c r="AD128" s="4"/>
      <c r="AK128" s="4"/>
      <c r="AR128" s="4"/>
    </row>
    <row r="129" ht="12.75" customHeight="1">
      <c r="A129" s="20"/>
      <c r="B129" s="48"/>
      <c r="C129" s="25"/>
      <c r="D129" s="19"/>
      <c r="E129" s="19"/>
      <c r="F129" s="19"/>
      <c r="G129" s="40"/>
      <c r="H129" s="41"/>
      <c r="I129" s="40"/>
      <c r="J129" s="41"/>
      <c r="K129" s="40">
        <f t="shared" si="46"/>
        <v>16</v>
      </c>
      <c r="L129" s="42">
        <f t="shared" si="47"/>
        <v>1200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C129" s="4"/>
      <c r="AD129" s="4"/>
      <c r="AK129" s="4"/>
      <c r="AR129" s="4"/>
    </row>
    <row r="130" ht="12.75" customHeight="1">
      <c r="A130" s="20"/>
      <c r="B130" s="48"/>
      <c r="C130" s="25"/>
      <c r="D130" s="19"/>
      <c r="E130" s="19"/>
      <c r="F130" s="19"/>
      <c r="G130" s="40"/>
      <c r="H130" s="41"/>
      <c r="I130" s="40">
        <f t="shared" ref="I130:I140" si="48">AM27*AN27</f>
        <v>6</v>
      </c>
      <c r="J130" s="41">
        <f t="shared" ref="J130:J140" si="49">AO27*I130</f>
        <v>300</v>
      </c>
      <c r="K130" s="40"/>
      <c r="L130" s="42"/>
      <c r="M130" s="4"/>
      <c r="N130" s="4"/>
      <c r="O130" s="4"/>
      <c r="P130" s="4"/>
      <c r="Q130" s="4"/>
      <c r="R130" s="7">
        <f>I130+I139+I140</f>
        <v>21</v>
      </c>
      <c r="S130" s="7">
        <f>I131+I137+I138</f>
        <v>16</v>
      </c>
      <c r="T130" s="7">
        <f>I132+I133+I135+I136</f>
        <v>24</v>
      </c>
      <c r="U130" s="7">
        <f>I134</f>
        <v>4</v>
      </c>
      <c r="V130" s="4">
        <v>0.0</v>
      </c>
      <c r="W130" s="4"/>
      <c r="X130" s="4"/>
      <c r="Y130" s="4"/>
      <c r="Z130" s="4"/>
      <c r="AA130" s="4"/>
      <c r="AC130" s="4"/>
      <c r="AD130" s="4"/>
      <c r="AK130" s="4"/>
      <c r="AR130" s="4"/>
    </row>
    <row r="131" ht="12.75" customHeight="1">
      <c r="A131" s="20"/>
      <c r="B131" s="48"/>
      <c r="C131" s="25"/>
      <c r="D131" s="19"/>
      <c r="E131" s="19"/>
      <c r="F131" s="19"/>
      <c r="G131" s="40"/>
      <c r="H131" s="41"/>
      <c r="I131" s="40">
        <f t="shared" si="48"/>
        <v>5</v>
      </c>
      <c r="J131" s="41">
        <f t="shared" si="49"/>
        <v>300</v>
      </c>
      <c r="K131" s="40"/>
      <c r="L131" s="4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C131" s="4"/>
      <c r="AD131" s="4"/>
      <c r="AK131" s="4"/>
      <c r="AR131" s="4"/>
    </row>
    <row r="132" ht="12.75" customHeight="1">
      <c r="A132" s="20"/>
      <c r="B132" s="48"/>
      <c r="C132" s="25"/>
      <c r="D132" s="19"/>
      <c r="E132" s="19"/>
      <c r="F132" s="19"/>
      <c r="G132" s="40"/>
      <c r="H132" s="41"/>
      <c r="I132" s="40">
        <f t="shared" si="48"/>
        <v>8</v>
      </c>
      <c r="J132" s="41">
        <f t="shared" si="49"/>
        <v>560</v>
      </c>
      <c r="K132" s="40"/>
      <c r="L132" s="4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C132" s="4"/>
      <c r="AD132" s="4"/>
      <c r="AK132" s="4"/>
      <c r="AR132" s="4"/>
    </row>
    <row r="133" ht="12.75" customHeight="1">
      <c r="A133" s="20"/>
      <c r="B133" s="48"/>
      <c r="C133" s="25"/>
      <c r="D133" s="19"/>
      <c r="E133" s="19"/>
      <c r="F133" s="19"/>
      <c r="G133" s="40"/>
      <c r="H133" s="41"/>
      <c r="I133" s="40">
        <f t="shared" si="48"/>
        <v>6</v>
      </c>
      <c r="J133" s="41">
        <f t="shared" si="49"/>
        <v>450</v>
      </c>
      <c r="K133" s="40"/>
      <c r="L133" s="4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C133" s="4"/>
      <c r="AD133" s="4"/>
      <c r="AK133" s="4"/>
      <c r="AR133" s="4"/>
    </row>
    <row r="134" ht="12.75" customHeight="1">
      <c r="A134" s="20"/>
      <c r="B134" s="48"/>
      <c r="C134" s="25"/>
      <c r="D134" s="19"/>
      <c r="E134" s="19"/>
      <c r="F134" s="19"/>
      <c r="G134" s="40"/>
      <c r="H134" s="41"/>
      <c r="I134" s="40">
        <f t="shared" si="48"/>
        <v>4</v>
      </c>
      <c r="J134" s="41">
        <f t="shared" si="49"/>
        <v>320</v>
      </c>
      <c r="K134" s="40"/>
      <c r="L134" s="4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C134" s="4"/>
      <c r="AD134" s="4"/>
      <c r="AK134" s="4"/>
      <c r="AR134" s="4"/>
    </row>
    <row r="135" ht="12.75" customHeight="1">
      <c r="A135" s="20"/>
      <c r="B135" s="48"/>
      <c r="C135" s="25"/>
      <c r="D135" s="19"/>
      <c r="E135" s="19"/>
      <c r="F135" s="19"/>
      <c r="G135" s="40"/>
      <c r="H135" s="41"/>
      <c r="I135" s="40">
        <f t="shared" si="48"/>
        <v>6</v>
      </c>
      <c r="J135" s="41">
        <f t="shared" si="49"/>
        <v>450</v>
      </c>
      <c r="K135" s="40"/>
      <c r="L135" s="4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C135" s="4"/>
      <c r="AD135" s="4"/>
      <c r="AK135" s="4"/>
      <c r="AR135" s="4"/>
    </row>
    <row r="136" ht="12.75" customHeight="1">
      <c r="A136" s="20"/>
      <c r="B136" s="48"/>
      <c r="C136" s="25"/>
      <c r="D136" s="19"/>
      <c r="E136" s="19"/>
      <c r="F136" s="19"/>
      <c r="G136" s="40"/>
      <c r="H136" s="41"/>
      <c r="I136" s="40">
        <f t="shared" si="48"/>
        <v>4</v>
      </c>
      <c r="J136" s="41">
        <f t="shared" si="49"/>
        <v>280</v>
      </c>
      <c r="K136" s="40"/>
      <c r="L136" s="4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C136" s="4"/>
      <c r="AD136" s="4"/>
      <c r="AK136" s="4"/>
      <c r="AR136" s="4"/>
    </row>
    <row r="137" ht="12.75" customHeight="1">
      <c r="A137" s="20"/>
      <c r="B137" s="48"/>
      <c r="C137" s="25"/>
      <c r="D137" s="19"/>
      <c r="E137" s="19"/>
      <c r="F137" s="19"/>
      <c r="G137" s="40"/>
      <c r="H137" s="41"/>
      <c r="I137" s="40">
        <f t="shared" si="48"/>
        <v>5</v>
      </c>
      <c r="J137" s="41">
        <f t="shared" si="49"/>
        <v>325</v>
      </c>
      <c r="K137" s="40"/>
      <c r="L137" s="4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C137" s="4"/>
      <c r="AD137" s="4"/>
      <c r="AK137" s="4"/>
      <c r="AR137" s="4"/>
    </row>
    <row r="138" ht="12.75" customHeight="1">
      <c r="A138" s="20"/>
      <c r="B138" s="48"/>
      <c r="C138" s="25"/>
      <c r="D138" s="19"/>
      <c r="E138" s="19"/>
      <c r="F138" s="19"/>
      <c r="G138" s="40"/>
      <c r="H138" s="41"/>
      <c r="I138" s="40">
        <f t="shared" si="48"/>
        <v>6</v>
      </c>
      <c r="J138" s="41">
        <f t="shared" si="49"/>
        <v>360</v>
      </c>
      <c r="K138" s="40"/>
      <c r="L138" s="4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C138" s="4"/>
      <c r="AD138" s="4"/>
      <c r="AK138" s="4"/>
      <c r="AR138" s="4"/>
    </row>
    <row r="139" ht="12.75" customHeight="1">
      <c r="A139" s="20"/>
      <c r="B139" s="48"/>
      <c r="C139" s="25"/>
      <c r="D139" s="19"/>
      <c r="E139" s="19"/>
      <c r="F139" s="19"/>
      <c r="G139" s="40"/>
      <c r="H139" s="41"/>
      <c r="I139" s="40">
        <f t="shared" si="48"/>
        <v>7</v>
      </c>
      <c r="J139" s="41">
        <f t="shared" si="49"/>
        <v>385</v>
      </c>
      <c r="K139" s="40"/>
      <c r="L139" s="4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C139" s="4"/>
      <c r="AD139" s="4"/>
      <c r="AK139" s="4"/>
      <c r="AR139" s="4"/>
    </row>
    <row r="140" ht="12.75" customHeight="1">
      <c r="A140" s="20"/>
      <c r="B140" s="48"/>
      <c r="C140" s="25"/>
      <c r="D140" s="19"/>
      <c r="E140" s="19"/>
      <c r="F140" s="19"/>
      <c r="G140" s="40"/>
      <c r="H140" s="41"/>
      <c r="I140" s="40">
        <f t="shared" si="48"/>
        <v>8</v>
      </c>
      <c r="J140" s="41">
        <f t="shared" si="49"/>
        <v>400</v>
      </c>
      <c r="K140" s="40"/>
      <c r="L140" s="4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C140" s="4"/>
      <c r="AD140" s="4"/>
      <c r="AK140" s="4"/>
      <c r="AR140" s="4"/>
    </row>
    <row r="141" ht="12.75" customHeight="1">
      <c r="A141" s="20"/>
      <c r="B141" s="48"/>
      <c r="C141" s="25"/>
      <c r="D141" s="19"/>
      <c r="E141" s="19"/>
      <c r="F141" s="19"/>
      <c r="G141" s="40"/>
      <c r="H141" s="41"/>
      <c r="I141" s="40"/>
      <c r="J141" s="41"/>
      <c r="K141" s="40"/>
      <c r="L141" s="4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C141" s="4"/>
      <c r="AD141" s="4"/>
      <c r="AK141" s="4"/>
      <c r="AR141" s="4"/>
    </row>
    <row r="142" ht="12.75" customHeight="1">
      <c r="A142" s="20"/>
      <c r="B142" s="48"/>
      <c r="C142" s="25"/>
      <c r="D142" s="19"/>
      <c r="E142" s="19"/>
      <c r="F142" s="19"/>
      <c r="G142" s="40"/>
      <c r="H142" s="41"/>
      <c r="I142" s="40"/>
      <c r="J142" s="41"/>
      <c r="K142" s="40">
        <f t="shared" ref="K142:K144" si="50">AM39*AN39</f>
        <v>5</v>
      </c>
      <c r="L142" s="42">
        <f t="shared" ref="L142:L144" si="51">AO39*K142</f>
        <v>300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>
        <v>0.0</v>
      </c>
      <c r="X142" s="7">
        <f>K142</f>
        <v>5</v>
      </c>
      <c r="Y142" s="7">
        <f>K143</f>
        <v>10</v>
      </c>
      <c r="Z142" s="7">
        <f>K144</f>
        <v>16</v>
      </c>
      <c r="AA142" s="4">
        <v>0.0</v>
      </c>
      <c r="AC142" s="4"/>
      <c r="AD142" s="4"/>
      <c r="AK142" s="4"/>
      <c r="AR142" s="4"/>
    </row>
    <row r="143" ht="12.75" customHeight="1">
      <c r="A143" s="20"/>
      <c r="B143" s="48"/>
      <c r="C143" s="25"/>
      <c r="D143" s="19"/>
      <c r="E143" s="19"/>
      <c r="F143" s="19"/>
      <c r="G143" s="40"/>
      <c r="H143" s="41"/>
      <c r="I143" s="40"/>
      <c r="J143" s="41"/>
      <c r="K143" s="40">
        <f t="shared" si="50"/>
        <v>10</v>
      </c>
      <c r="L143" s="42">
        <f t="shared" si="51"/>
        <v>700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C143" s="4"/>
      <c r="AD143" s="4"/>
      <c r="AK143" s="4"/>
      <c r="AR143" s="4"/>
    </row>
    <row r="144" ht="12.75" customHeight="1">
      <c r="A144" s="20"/>
      <c r="B144" s="48"/>
      <c r="C144" s="25"/>
      <c r="D144" s="19"/>
      <c r="E144" s="19"/>
      <c r="F144" s="19"/>
      <c r="G144" s="40"/>
      <c r="H144" s="41"/>
      <c r="I144" s="40"/>
      <c r="J144" s="41"/>
      <c r="K144" s="40">
        <f t="shared" si="50"/>
        <v>16</v>
      </c>
      <c r="L144" s="42">
        <f t="shared" si="51"/>
        <v>1280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C144" s="4"/>
      <c r="AD144" s="4"/>
      <c r="AK144" s="4"/>
      <c r="AR144" s="4"/>
    </row>
    <row r="145" ht="12.75" customHeight="1">
      <c r="A145" s="20"/>
      <c r="B145" s="48"/>
      <c r="C145" s="25"/>
      <c r="D145" s="19"/>
      <c r="E145" s="19"/>
      <c r="F145" s="19"/>
      <c r="G145" s="40"/>
      <c r="H145" s="41"/>
      <c r="I145" s="40"/>
      <c r="J145" s="41"/>
      <c r="K145" s="40"/>
      <c r="L145" s="4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C145" s="4"/>
      <c r="AD145" s="4"/>
      <c r="AK145" s="4"/>
      <c r="AR145" s="4"/>
    </row>
    <row r="146" ht="12.75" customHeight="1">
      <c r="A146" s="20"/>
      <c r="B146" s="48"/>
      <c r="C146" s="25"/>
      <c r="D146" s="19"/>
      <c r="E146" s="19"/>
      <c r="F146" s="19"/>
      <c r="G146" s="40"/>
      <c r="H146" s="41"/>
      <c r="I146" s="40"/>
      <c r="J146" s="41"/>
      <c r="K146" s="40"/>
      <c r="L146" s="4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C146" s="4"/>
      <c r="AD146" s="4"/>
      <c r="AK146" s="4"/>
      <c r="AR146" s="4"/>
    </row>
    <row r="147" ht="12.75" customHeight="1">
      <c r="A147" s="20"/>
      <c r="B147" s="48"/>
      <c r="C147" s="25"/>
      <c r="D147" s="19"/>
      <c r="E147" s="19"/>
      <c r="F147" s="19"/>
      <c r="G147" s="40"/>
      <c r="H147" s="41"/>
      <c r="I147" s="40"/>
      <c r="J147" s="41"/>
      <c r="K147" s="40"/>
      <c r="L147" s="4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C147" s="4"/>
      <c r="AD147" s="4"/>
      <c r="AK147" s="4"/>
      <c r="AR147" s="4"/>
    </row>
    <row r="148" ht="12.75" customHeight="1">
      <c r="A148" s="20"/>
      <c r="B148" s="48"/>
      <c r="C148" s="25"/>
      <c r="D148" s="19"/>
      <c r="E148" s="19"/>
      <c r="F148" s="19"/>
      <c r="G148" s="40"/>
      <c r="H148" s="41"/>
      <c r="I148" s="40"/>
      <c r="J148" s="41"/>
      <c r="K148" s="40"/>
      <c r="L148" s="4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C148" s="4"/>
      <c r="AD148" s="4"/>
      <c r="AK148" s="4"/>
      <c r="AR148" s="4"/>
    </row>
    <row r="149" ht="12.75" customHeight="1">
      <c r="A149" s="20"/>
      <c r="B149" s="48"/>
      <c r="C149" s="25"/>
      <c r="D149" s="19"/>
      <c r="E149" s="19"/>
      <c r="F149" s="19"/>
      <c r="G149" s="40"/>
      <c r="H149" s="41"/>
      <c r="I149" s="40">
        <f t="shared" ref="I149:I152" si="52">AM46*AN46</f>
        <v>5</v>
      </c>
      <c r="J149" s="41">
        <f t="shared" ref="J149:J152" si="53">AO46*I149</f>
        <v>250</v>
      </c>
      <c r="K149" s="40"/>
      <c r="L149" s="42"/>
      <c r="M149" s="4"/>
      <c r="N149" s="4"/>
      <c r="O149" s="4"/>
      <c r="P149" s="4"/>
      <c r="Q149" s="4"/>
      <c r="R149" s="7">
        <f>I149</f>
        <v>5</v>
      </c>
      <c r="S149" s="7">
        <f>I150</f>
        <v>4</v>
      </c>
      <c r="T149" s="7">
        <f>I151</f>
        <v>6</v>
      </c>
      <c r="U149" s="7">
        <f>I152</f>
        <v>10</v>
      </c>
      <c r="V149" s="4">
        <v>0.0</v>
      </c>
      <c r="W149" s="4"/>
      <c r="X149" s="4"/>
      <c r="Y149" s="4"/>
      <c r="Z149" s="4"/>
      <c r="AA149" s="4"/>
      <c r="AC149" s="4"/>
      <c r="AD149" s="4"/>
      <c r="AK149" s="4"/>
      <c r="AR149" s="4"/>
    </row>
    <row r="150" ht="12.75" customHeight="1">
      <c r="A150" s="20"/>
      <c r="B150" s="48"/>
      <c r="C150" s="25"/>
      <c r="D150" s="19"/>
      <c r="E150" s="19"/>
      <c r="F150" s="19"/>
      <c r="G150" s="40"/>
      <c r="H150" s="41"/>
      <c r="I150" s="40">
        <f t="shared" si="52"/>
        <v>4</v>
      </c>
      <c r="J150" s="41">
        <f t="shared" si="53"/>
        <v>240</v>
      </c>
      <c r="K150" s="40"/>
      <c r="L150" s="4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C150" s="4"/>
      <c r="AD150" s="4"/>
      <c r="AK150" s="4"/>
      <c r="AR150" s="4"/>
    </row>
    <row r="151" ht="12.75" customHeight="1">
      <c r="A151" s="20"/>
      <c r="B151" s="48"/>
      <c r="C151" s="25"/>
      <c r="D151" s="19"/>
      <c r="E151" s="19"/>
      <c r="F151" s="19"/>
      <c r="G151" s="40"/>
      <c r="H151" s="41"/>
      <c r="I151" s="40">
        <f t="shared" si="52"/>
        <v>6</v>
      </c>
      <c r="J151" s="41">
        <f t="shared" si="53"/>
        <v>420</v>
      </c>
      <c r="K151" s="40"/>
      <c r="L151" s="4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C151" s="4"/>
      <c r="AD151" s="4"/>
      <c r="AK151" s="4"/>
      <c r="AR151" s="4"/>
    </row>
    <row r="152" ht="12.75" customHeight="1">
      <c r="A152" s="20"/>
      <c r="B152" s="48"/>
      <c r="C152" s="25"/>
      <c r="D152" s="19"/>
      <c r="E152" s="19"/>
      <c r="F152" s="19"/>
      <c r="G152" s="40"/>
      <c r="H152" s="41"/>
      <c r="I152" s="40">
        <f t="shared" si="52"/>
        <v>10</v>
      </c>
      <c r="J152" s="41">
        <f t="shared" si="53"/>
        <v>800</v>
      </c>
      <c r="K152" s="40"/>
      <c r="L152" s="4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C152" s="4"/>
      <c r="AD152" s="4"/>
      <c r="AK152" s="4"/>
      <c r="AR152" s="4"/>
    </row>
    <row r="153" ht="12.75" customHeight="1">
      <c r="A153" s="20"/>
      <c r="B153" s="48"/>
      <c r="C153" s="25"/>
      <c r="D153" s="19"/>
      <c r="E153" s="19"/>
      <c r="F153" s="19"/>
      <c r="G153" s="40">
        <f t="shared" ref="G153:G156" si="54">AM50*AN50</f>
        <v>5</v>
      </c>
      <c r="H153" s="41">
        <f t="shared" ref="H153:H156" si="55">AO50*G153</f>
        <v>250</v>
      </c>
      <c r="I153" s="40"/>
      <c r="J153" s="41"/>
      <c r="K153" s="40"/>
      <c r="L153" s="42"/>
      <c r="M153" s="7">
        <f>G153</f>
        <v>5</v>
      </c>
      <c r="N153" s="7">
        <f>G154</f>
        <v>5</v>
      </c>
      <c r="O153" s="7">
        <f>G155+G156</f>
        <v>30</v>
      </c>
      <c r="P153" s="4">
        <v>0.0</v>
      </c>
      <c r="Q153" s="4">
        <v>0.0</v>
      </c>
      <c r="R153" s="4"/>
      <c r="S153" s="4"/>
      <c r="T153" s="4"/>
      <c r="U153" s="4"/>
      <c r="V153" s="4"/>
      <c r="W153" s="4"/>
      <c r="X153" s="4"/>
      <c r="Y153" s="4"/>
      <c r="Z153" s="4"/>
      <c r="AA153" s="4"/>
      <c r="AC153" s="4"/>
      <c r="AD153" s="4"/>
      <c r="AK153" s="4"/>
      <c r="AR153" s="4"/>
    </row>
    <row r="154" ht="12.75" customHeight="1">
      <c r="A154" s="20"/>
      <c r="B154" s="48"/>
      <c r="C154" s="25"/>
      <c r="D154" s="19"/>
      <c r="E154" s="19"/>
      <c r="F154" s="19"/>
      <c r="G154" s="40">
        <f t="shared" si="54"/>
        <v>5</v>
      </c>
      <c r="H154" s="41">
        <f t="shared" si="55"/>
        <v>300</v>
      </c>
      <c r="I154" s="40"/>
      <c r="J154" s="41"/>
      <c r="K154" s="40"/>
      <c r="L154" s="4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C154" s="4"/>
      <c r="AD154" s="4"/>
      <c r="AK154" s="4"/>
      <c r="AR154" s="4"/>
    </row>
    <row r="155" ht="12.75" customHeight="1">
      <c r="A155" s="20"/>
      <c r="B155" s="48"/>
      <c r="C155" s="25"/>
      <c r="D155" s="19"/>
      <c r="E155" s="19"/>
      <c r="F155" s="19"/>
      <c r="G155" s="40">
        <f t="shared" si="54"/>
        <v>10</v>
      </c>
      <c r="H155" s="41">
        <f t="shared" si="55"/>
        <v>700</v>
      </c>
      <c r="I155" s="40"/>
      <c r="J155" s="41"/>
      <c r="K155" s="40"/>
      <c r="L155" s="4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C155" s="4"/>
      <c r="AD155" s="4"/>
      <c r="AK155" s="4"/>
      <c r="AR155" s="4"/>
    </row>
    <row r="156" ht="12.75" customHeight="1">
      <c r="A156" s="20"/>
      <c r="B156" s="48"/>
      <c r="C156" s="25"/>
      <c r="D156" s="19"/>
      <c r="E156" s="19"/>
      <c r="F156" s="19"/>
      <c r="G156" s="40">
        <f t="shared" si="54"/>
        <v>20</v>
      </c>
      <c r="H156" s="41">
        <f t="shared" si="55"/>
        <v>1500</v>
      </c>
      <c r="I156" s="40"/>
      <c r="J156" s="41"/>
      <c r="K156" s="40"/>
      <c r="L156" s="4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C156" s="4"/>
      <c r="AD156" s="4"/>
      <c r="AK156" s="4"/>
      <c r="AR156" s="4"/>
    </row>
    <row r="157" ht="12.75" customHeight="1">
      <c r="A157" s="20"/>
      <c r="B157" s="48"/>
      <c r="C157" s="25"/>
      <c r="D157" s="19"/>
      <c r="E157" s="19"/>
      <c r="F157" s="19"/>
      <c r="G157" s="40"/>
      <c r="H157" s="41"/>
      <c r="I157" s="40">
        <f t="shared" ref="I157:I159" si="56">AM54*AN54</f>
        <v>6</v>
      </c>
      <c r="J157" s="41">
        <f t="shared" ref="J157:J159" si="57">AO54*I157</f>
        <v>300</v>
      </c>
      <c r="K157" s="40"/>
      <c r="L157" s="42"/>
      <c r="M157" s="4"/>
      <c r="N157" s="4"/>
      <c r="O157" s="4"/>
      <c r="P157" s="4"/>
      <c r="Q157" s="4"/>
      <c r="R157" s="7">
        <f>I157</f>
        <v>6</v>
      </c>
      <c r="S157" s="7">
        <f>I158+I159</f>
        <v>36</v>
      </c>
      <c r="T157" s="4">
        <v>0.0</v>
      </c>
      <c r="U157" s="4">
        <v>0.0</v>
      </c>
      <c r="V157" s="4">
        <v>0.0</v>
      </c>
      <c r="W157" s="4"/>
      <c r="X157" s="4"/>
      <c r="Y157" s="4"/>
      <c r="Z157" s="4"/>
      <c r="AA157" s="4"/>
      <c r="AC157" s="4"/>
      <c r="AD157" s="4"/>
      <c r="AK157" s="4"/>
      <c r="AR157" s="4"/>
    </row>
    <row r="158" ht="12.75" customHeight="1">
      <c r="A158" s="20"/>
      <c r="B158" s="48"/>
      <c r="C158" s="25"/>
      <c r="D158" s="19"/>
      <c r="E158" s="19"/>
      <c r="F158" s="19"/>
      <c r="G158" s="40"/>
      <c r="H158" s="41"/>
      <c r="I158" s="40">
        <f t="shared" si="56"/>
        <v>12</v>
      </c>
      <c r="J158" s="41">
        <f t="shared" si="57"/>
        <v>720</v>
      </c>
      <c r="K158" s="40"/>
      <c r="L158" s="4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C158" s="4"/>
      <c r="AD158" s="4"/>
      <c r="AK158" s="4"/>
      <c r="AR158" s="4"/>
    </row>
    <row r="159" ht="12.75" customHeight="1">
      <c r="A159" s="20"/>
      <c r="B159" s="48"/>
      <c r="C159" s="25"/>
      <c r="D159" s="19"/>
      <c r="E159" s="19"/>
      <c r="F159" s="19"/>
      <c r="G159" s="40"/>
      <c r="H159" s="41"/>
      <c r="I159" s="40">
        <f t="shared" si="56"/>
        <v>24</v>
      </c>
      <c r="J159" s="41">
        <f t="shared" si="57"/>
        <v>1560</v>
      </c>
      <c r="K159" s="40"/>
      <c r="L159" s="4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C159" s="4"/>
      <c r="AD159" s="4"/>
      <c r="AK159" s="4"/>
      <c r="AR159" s="4"/>
    </row>
    <row r="160" ht="12.75" customHeight="1">
      <c r="A160" s="20"/>
      <c r="B160" s="48"/>
      <c r="C160" s="25"/>
      <c r="D160" s="19"/>
      <c r="E160" s="19"/>
      <c r="F160" s="19"/>
      <c r="G160" s="40"/>
      <c r="H160" s="41"/>
      <c r="I160" s="40"/>
      <c r="J160" s="41"/>
      <c r="K160" s="40"/>
      <c r="L160" s="4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C160" s="4"/>
      <c r="AD160" s="4"/>
      <c r="AK160" s="4"/>
      <c r="AR160" s="4"/>
    </row>
    <row r="161" ht="12.75" customHeight="1">
      <c r="A161" s="20"/>
      <c r="B161" s="48"/>
      <c r="C161" s="25"/>
      <c r="D161" s="19"/>
      <c r="E161" s="19"/>
      <c r="F161" s="19"/>
      <c r="G161" s="40"/>
      <c r="H161" s="41"/>
      <c r="I161" s="40"/>
      <c r="J161" s="41"/>
      <c r="K161" s="40"/>
      <c r="L161" s="4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C161" s="4"/>
      <c r="AD161" s="4"/>
      <c r="AK161" s="4"/>
      <c r="AR161" s="4"/>
    </row>
    <row r="162" ht="12.75" customHeight="1">
      <c r="A162" s="20"/>
      <c r="B162" s="48"/>
      <c r="C162" s="25"/>
      <c r="D162" s="19"/>
      <c r="E162" s="19"/>
      <c r="F162" s="19"/>
      <c r="G162" s="40"/>
      <c r="H162" s="41"/>
      <c r="I162" s="40"/>
      <c r="J162" s="41"/>
      <c r="K162" s="40"/>
      <c r="L162" s="4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C162" s="4"/>
      <c r="AD162" s="4"/>
      <c r="AK162" s="4"/>
      <c r="AR162" s="4"/>
    </row>
    <row r="163" ht="12.75" customHeight="1">
      <c r="A163" s="20"/>
      <c r="B163" s="20"/>
      <c r="C163" s="20"/>
      <c r="D163" s="20"/>
      <c r="E163" s="20"/>
      <c r="F163" s="20"/>
      <c r="G163" s="59">
        <f t="shared" ref="G163:Q163" si="58">SUM(G110:G162)</f>
        <v>109</v>
      </c>
      <c r="H163" s="60">
        <f t="shared" si="58"/>
        <v>7400</v>
      </c>
      <c r="I163" s="59">
        <f t="shared" si="58"/>
        <v>162</v>
      </c>
      <c r="J163" s="60">
        <f t="shared" si="58"/>
        <v>10530</v>
      </c>
      <c r="K163" s="59">
        <f t="shared" si="58"/>
        <v>63</v>
      </c>
      <c r="L163" s="60">
        <f t="shared" si="58"/>
        <v>4480</v>
      </c>
      <c r="M163" s="61">
        <f t="shared" si="58"/>
        <v>15</v>
      </c>
      <c r="N163" s="61">
        <f t="shared" si="58"/>
        <v>18</v>
      </c>
      <c r="O163" s="61">
        <f t="shared" si="58"/>
        <v>61</v>
      </c>
      <c r="P163" s="61">
        <f t="shared" si="58"/>
        <v>15</v>
      </c>
      <c r="Q163" s="61">
        <f t="shared" si="58"/>
        <v>0</v>
      </c>
      <c r="R163" s="61">
        <f t="shared" ref="R163:V163" si="59">SUM(R114:R162)</f>
        <v>37</v>
      </c>
      <c r="S163" s="61">
        <f t="shared" si="59"/>
        <v>60</v>
      </c>
      <c r="T163" s="61">
        <f t="shared" si="59"/>
        <v>36</v>
      </c>
      <c r="U163" s="61">
        <f t="shared" si="59"/>
        <v>29</v>
      </c>
      <c r="V163" s="20">
        <f t="shared" si="59"/>
        <v>0</v>
      </c>
      <c r="W163" s="61">
        <f t="shared" ref="W163:AA163" si="60">SUM(W126:W162)</f>
        <v>4</v>
      </c>
      <c r="X163" s="61">
        <f t="shared" si="60"/>
        <v>9</v>
      </c>
      <c r="Y163" s="61">
        <f t="shared" si="60"/>
        <v>34</v>
      </c>
      <c r="Z163" s="20">
        <f t="shared" si="60"/>
        <v>16</v>
      </c>
      <c r="AA163" s="20">
        <f t="shared" si="60"/>
        <v>0</v>
      </c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</row>
    <row r="164" ht="12.75" customHeight="1">
      <c r="A164" s="20"/>
      <c r="B164" s="48"/>
      <c r="C164" s="25"/>
      <c r="D164" s="19"/>
      <c r="E164" s="19"/>
      <c r="F164" s="19"/>
      <c r="G164" s="40"/>
      <c r="H164" s="41"/>
      <c r="I164" s="40"/>
      <c r="J164" s="41"/>
      <c r="K164" s="40"/>
      <c r="L164" s="4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C164" s="4"/>
      <c r="AD164" s="4"/>
      <c r="AK164" s="4"/>
      <c r="AR164" s="4"/>
    </row>
    <row r="165" ht="12.75" customHeight="1">
      <c r="A165" s="20"/>
      <c r="B165" s="48"/>
      <c r="C165" s="25"/>
      <c r="D165" s="19"/>
      <c r="E165" s="19"/>
      <c r="F165" s="19"/>
      <c r="G165" s="40"/>
      <c r="H165" s="41"/>
      <c r="I165" s="40"/>
      <c r="J165" s="41"/>
      <c r="K165" s="40"/>
      <c r="L165" s="4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C165" s="4"/>
      <c r="AD165" s="4"/>
      <c r="AK165" s="4"/>
      <c r="AR165" s="4"/>
    </row>
    <row r="166" ht="12.75" customHeight="1">
      <c r="A166" s="20"/>
      <c r="B166" s="48"/>
      <c r="C166" s="25"/>
      <c r="D166" s="19"/>
      <c r="E166" s="19"/>
      <c r="F166" s="19"/>
      <c r="G166" s="40">
        <f t="shared" ref="G166:G170" si="61">AT7*AU7</f>
        <v>5</v>
      </c>
      <c r="H166" s="41">
        <f t="shared" ref="H166:H170" si="62">AV7*G166</f>
        <v>250</v>
      </c>
      <c r="I166" s="40"/>
      <c r="J166" s="41"/>
      <c r="K166" s="40"/>
      <c r="L166" s="42"/>
      <c r="M166" s="7">
        <f>G166</f>
        <v>5</v>
      </c>
      <c r="N166" s="7">
        <f>G167</f>
        <v>4</v>
      </c>
      <c r="O166" s="7">
        <f>G168</f>
        <v>6</v>
      </c>
      <c r="P166" s="7">
        <f>G169+G170</f>
        <v>12</v>
      </c>
      <c r="Q166" s="4">
        <v>0.0</v>
      </c>
      <c r="R166" s="4"/>
      <c r="S166" s="4"/>
      <c r="T166" s="4"/>
      <c r="U166" s="4"/>
      <c r="V166" s="4"/>
      <c r="W166" s="4"/>
      <c r="X166" s="4"/>
      <c r="Y166" s="4"/>
      <c r="Z166" s="4"/>
      <c r="AA166" s="4"/>
      <c r="AC166" s="4"/>
      <c r="AD166" s="4"/>
      <c r="AK166" s="4"/>
      <c r="AR166" s="4"/>
    </row>
    <row r="167" ht="12.75" customHeight="1">
      <c r="A167" s="20"/>
      <c r="B167" s="48"/>
      <c r="C167" s="25"/>
      <c r="D167" s="19"/>
      <c r="E167" s="19"/>
      <c r="F167" s="19"/>
      <c r="G167" s="40">
        <f t="shared" si="61"/>
        <v>4</v>
      </c>
      <c r="H167" s="41">
        <f t="shared" si="62"/>
        <v>240</v>
      </c>
      <c r="I167" s="40"/>
      <c r="J167" s="41"/>
      <c r="K167" s="40"/>
      <c r="L167" s="4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C167" s="4"/>
      <c r="AD167" s="4"/>
      <c r="AK167" s="4"/>
      <c r="AR167" s="4"/>
    </row>
    <row r="168" ht="12.75" customHeight="1">
      <c r="A168" s="20"/>
      <c r="B168" s="48"/>
      <c r="C168" s="25"/>
      <c r="D168" s="19"/>
      <c r="E168" s="19"/>
      <c r="F168" s="19"/>
      <c r="G168" s="40">
        <f t="shared" si="61"/>
        <v>6</v>
      </c>
      <c r="H168" s="41">
        <f t="shared" si="62"/>
        <v>420</v>
      </c>
      <c r="I168" s="40"/>
      <c r="J168" s="41"/>
      <c r="K168" s="40"/>
      <c r="L168" s="4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C168" s="4"/>
      <c r="AD168" s="4"/>
      <c r="AK168" s="4"/>
      <c r="AR168" s="4"/>
    </row>
    <row r="169" ht="12.75" customHeight="1">
      <c r="A169" s="20"/>
      <c r="B169" s="48"/>
      <c r="C169" s="25"/>
      <c r="D169" s="19"/>
      <c r="E169" s="19"/>
      <c r="F169" s="19"/>
      <c r="G169" s="40">
        <f t="shared" si="61"/>
        <v>6</v>
      </c>
      <c r="H169" s="41">
        <f t="shared" si="62"/>
        <v>480</v>
      </c>
      <c r="I169" s="40"/>
      <c r="J169" s="41"/>
      <c r="K169" s="40"/>
      <c r="L169" s="4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C169" s="4"/>
      <c r="AD169" s="4"/>
      <c r="AK169" s="4"/>
      <c r="AR169" s="4"/>
    </row>
    <row r="170" ht="12.75" customHeight="1">
      <c r="A170" s="20"/>
      <c r="B170" s="48"/>
      <c r="C170" s="25"/>
      <c r="D170" s="19"/>
      <c r="E170" s="19"/>
      <c r="F170" s="19"/>
      <c r="G170" s="40">
        <f t="shared" si="61"/>
        <v>6</v>
      </c>
      <c r="H170" s="41">
        <f t="shared" si="62"/>
        <v>510</v>
      </c>
      <c r="I170" s="40"/>
      <c r="J170" s="41"/>
      <c r="K170" s="40"/>
      <c r="L170" s="4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C170" s="4"/>
      <c r="AD170" s="4"/>
      <c r="AK170" s="4"/>
      <c r="AR170" s="4"/>
    </row>
    <row r="171" ht="12.75" customHeight="1">
      <c r="A171" s="20"/>
      <c r="B171" s="48"/>
      <c r="C171" s="25"/>
      <c r="D171" s="19"/>
      <c r="E171" s="19"/>
      <c r="F171" s="19"/>
      <c r="G171" s="40"/>
      <c r="H171" s="41"/>
      <c r="I171" s="40">
        <f t="shared" ref="I171:I174" si="63">AT12*AU12</f>
        <v>5</v>
      </c>
      <c r="J171" s="41">
        <f t="shared" ref="J171:J174" si="64">AV12*I171</f>
        <v>250</v>
      </c>
      <c r="K171" s="40"/>
      <c r="L171" s="42"/>
      <c r="M171" s="4"/>
      <c r="N171" s="4"/>
      <c r="O171" s="4"/>
      <c r="P171" s="4"/>
      <c r="Q171" s="4"/>
      <c r="R171" s="7">
        <f>I171</f>
        <v>5</v>
      </c>
      <c r="S171" s="7">
        <f>I172</f>
        <v>4</v>
      </c>
      <c r="T171" s="7">
        <f>I173</f>
        <v>6</v>
      </c>
      <c r="U171" s="7">
        <f>I174</f>
        <v>15</v>
      </c>
      <c r="V171" s="4">
        <v>0.0</v>
      </c>
      <c r="W171" s="4"/>
      <c r="X171" s="4"/>
      <c r="Y171" s="4"/>
      <c r="Z171" s="4"/>
      <c r="AA171" s="4"/>
      <c r="AC171" s="4"/>
      <c r="AD171" s="4"/>
      <c r="AK171" s="4"/>
      <c r="AR171" s="4"/>
    </row>
    <row r="172" ht="12.75" customHeight="1">
      <c r="A172" s="20"/>
      <c r="B172" s="48"/>
      <c r="C172" s="25"/>
      <c r="D172" s="19"/>
      <c r="E172" s="19"/>
      <c r="F172" s="19"/>
      <c r="G172" s="40"/>
      <c r="H172" s="41"/>
      <c r="I172" s="40">
        <f t="shared" si="63"/>
        <v>4</v>
      </c>
      <c r="J172" s="41">
        <f t="shared" si="64"/>
        <v>240</v>
      </c>
      <c r="K172" s="40"/>
      <c r="L172" s="4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C172" s="4"/>
      <c r="AD172" s="4"/>
      <c r="AK172" s="4"/>
      <c r="AR172" s="4"/>
    </row>
    <row r="173" ht="12.75" customHeight="1">
      <c r="A173" s="20"/>
      <c r="B173" s="48"/>
      <c r="C173" s="25"/>
      <c r="D173" s="19"/>
      <c r="E173" s="19"/>
      <c r="F173" s="19"/>
      <c r="G173" s="40"/>
      <c r="H173" s="41"/>
      <c r="I173" s="40">
        <f t="shared" si="63"/>
        <v>6</v>
      </c>
      <c r="J173" s="41">
        <f t="shared" si="64"/>
        <v>420</v>
      </c>
      <c r="K173" s="40"/>
      <c r="L173" s="4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C173" s="4"/>
      <c r="AD173" s="4"/>
      <c r="AK173" s="4"/>
      <c r="AR173" s="4"/>
    </row>
    <row r="174" ht="12.75" customHeight="1">
      <c r="A174" s="20"/>
      <c r="B174" s="48"/>
      <c r="C174" s="25"/>
      <c r="D174" s="19"/>
      <c r="E174" s="19"/>
      <c r="F174" s="19"/>
      <c r="G174" s="40"/>
      <c r="H174" s="41"/>
      <c r="I174" s="40">
        <f t="shared" si="63"/>
        <v>15</v>
      </c>
      <c r="J174" s="41">
        <f t="shared" si="64"/>
        <v>1200</v>
      </c>
      <c r="K174" s="40"/>
      <c r="L174" s="4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C174" s="4"/>
      <c r="AD174" s="4"/>
      <c r="AK174" s="4"/>
      <c r="AR174" s="4"/>
    </row>
    <row r="175" ht="12.75" customHeight="1">
      <c r="A175" s="20"/>
      <c r="B175" s="48"/>
      <c r="C175" s="25"/>
      <c r="D175" s="19"/>
      <c r="E175" s="19"/>
      <c r="F175" s="19"/>
      <c r="G175" s="40"/>
      <c r="H175" s="41"/>
      <c r="I175" s="40"/>
      <c r="J175" s="41"/>
      <c r="K175" s="40"/>
      <c r="L175" s="4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C175" s="4"/>
      <c r="AD175" s="4"/>
      <c r="AK175" s="4"/>
      <c r="AR175" s="4"/>
    </row>
    <row r="176" ht="12.75" customHeight="1">
      <c r="A176" s="20"/>
      <c r="B176" s="48"/>
      <c r="C176" s="25"/>
      <c r="D176" s="19"/>
      <c r="E176" s="19"/>
      <c r="F176" s="19"/>
      <c r="G176" s="40"/>
      <c r="H176" s="41"/>
      <c r="I176" s="40"/>
      <c r="J176" s="41"/>
      <c r="K176" s="40"/>
      <c r="L176" s="4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C176" s="4"/>
      <c r="AD176" s="4"/>
      <c r="AK176" s="4"/>
      <c r="AR176" s="4"/>
    </row>
    <row r="177" ht="12.75" customHeight="1">
      <c r="A177" s="20"/>
      <c r="B177" s="48"/>
      <c r="C177" s="25"/>
      <c r="D177" s="19"/>
      <c r="E177" s="19"/>
      <c r="F177" s="19"/>
      <c r="G177" s="40">
        <f t="shared" ref="G177:G180" si="65">AT18*AU18</f>
        <v>5</v>
      </c>
      <c r="H177" s="41">
        <f t="shared" ref="H177:H180" si="66">AV18*G177</f>
        <v>250</v>
      </c>
      <c r="I177" s="40"/>
      <c r="J177" s="41"/>
      <c r="K177" s="40"/>
      <c r="L177" s="42"/>
      <c r="M177" s="7">
        <f>G177</f>
        <v>5</v>
      </c>
      <c r="N177" s="7">
        <f>G178</f>
        <v>4</v>
      </c>
      <c r="O177" s="7">
        <f>G179</f>
        <v>6</v>
      </c>
      <c r="P177" s="7">
        <f>G180</f>
        <v>8</v>
      </c>
      <c r="Q177" s="4">
        <v>0.0</v>
      </c>
      <c r="R177" s="4"/>
      <c r="S177" s="4"/>
      <c r="T177" s="4"/>
      <c r="U177" s="4"/>
      <c r="V177" s="4"/>
      <c r="W177" s="4"/>
      <c r="X177" s="4"/>
      <c r="Y177" s="4"/>
      <c r="Z177" s="4"/>
      <c r="AA177" s="4"/>
      <c r="AC177" s="4"/>
      <c r="AD177" s="4"/>
      <c r="AK177" s="4"/>
      <c r="AR177" s="4"/>
    </row>
    <row r="178" ht="12.75" customHeight="1">
      <c r="A178" s="20"/>
      <c r="B178" s="48"/>
      <c r="C178" s="25"/>
      <c r="D178" s="19"/>
      <c r="E178" s="19"/>
      <c r="F178" s="19"/>
      <c r="G178" s="40">
        <f t="shared" si="65"/>
        <v>4</v>
      </c>
      <c r="H178" s="41">
        <f t="shared" si="66"/>
        <v>240</v>
      </c>
      <c r="I178" s="40"/>
      <c r="J178" s="41"/>
      <c r="K178" s="40"/>
      <c r="L178" s="4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C178" s="4"/>
      <c r="AD178" s="4"/>
      <c r="AK178" s="4"/>
      <c r="AR178" s="4"/>
    </row>
    <row r="179" ht="12.75" customHeight="1">
      <c r="A179" s="20"/>
      <c r="B179" s="48"/>
      <c r="C179" s="25"/>
      <c r="D179" s="19"/>
      <c r="E179" s="19"/>
      <c r="F179" s="19"/>
      <c r="G179" s="40">
        <f t="shared" si="65"/>
        <v>6</v>
      </c>
      <c r="H179" s="41">
        <f t="shared" si="66"/>
        <v>420</v>
      </c>
      <c r="I179" s="40"/>
      <c r="J179" s="41"/>
      <c r="K179" s="40"/>
      <c r="L179" s="4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C179" s="4"/>
      <c r="AD179" s="4"/>
      <c r="AK179" s="4"/>
      <c r="AR179" s="4"/>
    </row>
    <row r="180" ht="12.75" customHeight="1">
      <c r="A180" s="20"/>
      <c r="B180" s="48"/>
      <c r="C180" s="25"/>
      <c r="D180" s="19"/>
      <c r="E180" s="19"/>
      <c r="F180" s="19"/>
      <c r="G180" s="40">
        <f t="shared" si="65"/>
        <v>8</v>
      </c>
      <c r="H180" s="41">
        <f t="shared" si="66"/>
        <v>640</v>
      </c>
      <c r="I180" s="40"/>
      <c r="J180" s="41"/>
      <c r="K180" s="40"/>
      <c r="L180" s="4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C180" s="4"/>
      <c r="AD180" s="4"/>
      <c r="AK180" s="4"/>
      <c r="AR180" s="4"/>
    </row>
    <row r="181" ht="12.75" customHeight="1">
      <c r="A181" s="20"/>
      <c r="B181" s="48"/>
      <c r="C181" s="25"/>
      <c r="D181" s="19"/>
      <c r="E181" s="19"/>
      <c r="F181" s="19"/>
      <c r="G181" s="40"/>
      <c r="H181" s="41"/>
      <c r="I181" s="40"/>
      <c r="J181" s="41"/>
      <c r="K181" s="40"/>
      <c r="L181" s="4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C181" s="4"/>
      <c r="AD181" s="4"/>
      <c r="AK181" s="4"/>
      <c r="AR181" s="4"/>
    </row>
    <row r="182" ht="12.75" customHeight="1">
      <c r="A182" s="20"/>
      <c r="B182" s="48"/>
      <c r="C182" s="25"/>
      <c r="D182" s="19"/>
      <c r="E182" s="19"/>
      <c r="F182" s="19"/>
      <c r="G182" s="40"/>
      <c r="H182" s="41"/>
      <c r="I182" s="40"/>
      <c r="J182" s="41"/>
      <c r="K182" s="40"/>
      <c r="L182" s="4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C182" s="4"/>
      <c r="AD182" s="4"/>
      <c r="AK182" s="4"/>
      <c r="AR182" s="4"/>
    </row>
    <row r="183" ht="12.75" customHeight="1">
      <c r="A183" s="20"/>
      <c r="B183" s="48"/>
      <c r="C183" s="25"/>
      <c r="D183" s="19"/>
      <c r="E183" s="19"/>
      <c r="F183" s="19"/>
      <c r="G183" s="40"/>
      <c r="H183" s="41"/>
      <c r="I183" s="40"/>
      <c r="J183" s="41"/>
      <c r="K183" s="40"/>
      <c r="L183" s="4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C183" s="4"/>
      <c r="AD183" s="4"/>
      <c r="AK183" s="4"/>
      <c r="AR183" s="4"/>
    </row>
    <row r="184" ht="12.75" customHeight="1">
      <c r="A184" s="20"/>
      <c r="B184" s="48"/>
      <c r="C184" s="25"/>
      <c r="D184" s="19"/>
      <c r="E184" s="19"/>
      <c r="F184" s="19"/>
      <c r="G184" s="40"/>
      <c r="H184" s="41"/>
      <c r="I184" s="40">
        <f t="shared" ref="I184:I188" si="67">AT25*AU25</f>
        <v>5</v>
      </c>
      <c r="J184" s="41">
        <f t="shared" ref="J184:J188" si="68">AV25*I184</f>
        <v>250</v>
      </c>
      <c r="K184" s="40"/>
      <c r="L184" s="42"/>
      <c r="M184" s="4"/>
      <c r="N184" s="4"/>
      <c r="O184" s="4"/>
      <c r="P184" s="4"/>
      <c r="Q184" s="4"/>
      <c r="R184" s="7">
        <f>I184</f>
        <v>5</v>
      </c>
      <c r="S184" s="7">
        <f>I185</f>
        <v>4</v>
      </c>
      <c r="T184" s="7">
        <f>I186</f>
        <v>6</v>
      </c>
      <c r="U184" s="7">
        <f>I187+I188</f>
        <v>12</v>
      </c>
      <c r="V184" s="4">
        <v>0.0</v>
      </c>
      <c r="W184" s="4"/>
      <c r="X184" s="4"/>
      <c r="Y184" s="4"/>
      <c r="Z184" s="4"/>
      <c r="AA184" s="4"/>
      <c r="AC184" s="4"/>
      <c r="AD184" s="4"/>
      <c r="AK184" s="4"/>
      <c r="AR184" s="4"/>
    </row>
    <row r="185" ht="12.75" customHeight="1">
      <c r="A185" s="20"/>
      <c r="B185" s="48"/>
      <c r="C185" s="25"/>
      <c r="D185" s="19"/>
      <c r="E185" s="19"/>
      <c r="F185" s="19"/>
      <c r="G185" s="40"/>
      <c r="H185" s="41"/>
      <c r="I185" s="40">
        <f t="shared" si="67"/>
        <v>4</v>
      </c>
      <c r="J185" s="41">
        <f t="shared" si="68"/>
        <v>240</v>
      </c>
      <c r="K185" s="40"/>
      <c r="L185" s="4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C185" s="4"/>
      <c r="AD185" s="4"/>
      <c r="AK185" s="4"/>
      <c r="AR185" s="4"/>
    </row>
    <row r="186" ht="12.75" customHeight="1">
      <c r="A186" s="20"/>
      <c r="B186" s="48"/>
      <c r="C186" s="25"/>
      <c r="D186" s="19"/>
      <c r="E186" s="19"/>
      <c r="F186" s="19"/>
      <c r="G186" s="40"/>
      <c r="H186" s="41"/>
      <c r="I186" s="40">
        <f t="shared" si="67"/>
        <v>6</v>
      </c>
      <c r="J186" s="41">
        <f t="shared" si="68"/>
        <v>420</v>
      </c>
      <c r="K186" s="40"/>
      <c r="L186" s="4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C186" s="4"/>
      <c r="AD186" s="4"/>
      <c r="AK186" s="4"/>
      <c r="AR186" s="4"/>
    </row>
    <row r="187" ht="12.75" customHeight="1">
      <c r="A187" s="20"/>
      <c r="B187" s="48"/>
      <c r="C187" s="25"/>
      <c r="D187" s="19"/>
      <c r="E187" s="19"/>
      <c r="F187" s="19"/>
      <c r="G187" s="40"/>
      <c r="H187" s="41"/>
      <c r="I187" s="40">
        <f t="shared" si="67"/>
        <v>6</v>
      </c>
      <c r="J187" s="41">
        <f t="shared" si="68"/>
        <v>480</v>
      </c>
      <c r="K187" s="40"/>
      <c r="L187" s="4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C187" s="4"/>
      <c r="AD187" s="4"/>
      <c r="AK187" s="4"/>
      <c r="AR187" s="4"/>
    </row>
    <row r="188" ht="12.75" customHeight="1">
      <c r="A188" s="20"/>
      <c r="B188" s="48"/>
      <c r="C188" s="25"/>
      <c r="D188" s="19"/>
      <c r="E188" s="19"/>
      <c r="F188" s="19"/>
      <c r="G188" s="40"/>
      <c r="H188" s="41"/>
      <c r="I188" s="40">
        <f t="shared" si="67"/>
        <v>6</v>
      </c>
      <c r="J188" s="41">
        <f t="shared" si="68"/>
        <v>510</v>
      </c>
      <c r="K188" s="40"/>
      <c r="L188" s="4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C188" s="4"/>
      <c r="AD188" s="4"/>
      <c r="AK188" s="4"/>
      <c r="AR188" s="4"/>
    </row>
    <row r="189" ht="12.75" customHeight="1">
      <c r="A189" s="20"/>
      <c r="B189" s="48"/>
      <c r="C189" s="25"/>
      <c r="D189" s="19"/>
      <c r="E189" s="19"/>
      <c r="F189" s="19"/>
      <c r="G189" s="40"/>
      <c r="H189" s="41"/>
      <c r="I189" s="40"/>
      <c r="J189" s="41"/>
      <c r="K189" s="40">
        <f t="shared" ref="K189:K193" si="69">AT30*AU30</f>
        <v>4</v>
      </c>
      <c r="L189" s="42">
        <f t="shared" ref="L189:L193" si="70">AV30*K189</f>
        <v>200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7">
        <f>K189</f>
        <v>4</v>
      </c>
      <c r="X189" s="7">
        <f>K190</f>
        <v>4</v>
      </c>
      <c r="Y189" s="7">
        <f>K191</f>
        <v>6</v>
      </c>
      <c r="Z189" s="7">
        <f>K192+K193</f>
        <v>12</v>
      </c>
      <c r="AA189" s="4">
        <v>0.0</v>
      </c>
      <c r="AC189" s="4"/>
      <c r="AD189" s="4"/>
      <c r="AK189" s="4"/>
      <c r="AR189" s="4"/>
    </row>
    <row r="190" ht="12.75" customHeight="1">
      <c r="A190" s="20"/>
      <c r="B190" s="48"/>
      <c r="C190" s="25"/>
      <c r="D190" s="19"/>
      <c r="E190" s="19"/>
      <c r="F190" s="19"/>
      <c r="G190" s="40"/>
      <c r="H190" s="41"/>
      <c r="I190" s="40"/>
      <c r="J190" s="41"/>
      <c r="K190" s="40">
        <f t="shared" si="69"/>
        <v>4</v>
      </c>
      <c r="L190" s="42">
        <f t="shared" si="70"/>
        <v>240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C190" s="4"/>
      <c r="AD190" s="4"/>
      <c r="AK190" s="4"/>
      <c r="AR190" s="4"/>
    </row>
    <row r="191" ht="12.75" customHeight="1">
      <c r="A191" s="20"/>
      <c r="B191" s="48"/>
      <c r="C191" s="25"/>
      <c r="D191" s="19"/>
      <c r="E191" s="19"/>
      <c r="F191" s="19"/>
      <c r="G191" s="40"/>
      <c r="H191" s="41"/>
      <c r="I191" s="40"/>
      <c r="J191" s="41"/>
      <c r="K191" s="40">
        <f t="shared" si="69"/>
        <v>6</v>
      </c>
      <c r="L191" s="42">
        <f t="shared" si="70"/>
        <v>420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C191" s="4"/>
      <c r="AD191" s="4"/>
      <c r="AK191" s="4"/>
      <c r="AR191" s="4"/>
    </row>
    <row r="192" ht="12.75" customHeight="1">
      <c r="A192" s="20"/>
      <c r="B192" s="48"/>
      <c r="C192" s="25"/>
      <c r="D192" s="19"/>
      <c r="E192" s="19"/>
      <c r="F192" s="19"/>
      <c r="G192" s="40"/>
      <c r="H192" s="41"/>
      <c r="I192" s="40"/>
      <c r="J192" s="41"/>
      <c r="K192" s="40">
        <f t="shared" si="69"/>
        <v>6</v>
      </c>
      <c r="L192" s="42">
        <f t="shared" si="70"/>
        <v>480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C192" s="4"/>
      <c r="AD192" s="4"/>
      <c r="AK192" s="4"/>
      <c r="AR192" s="4"/>
    </row>
    <row r="193" ht="12.75" customHeight="1">
      <c r="A193" s="20"/>
      <c r="B193" s="48"/>
      <c r="C193" s="25"/>
      <c r="D193" s="19"/>
      <c r="E193" s="19"/>
      <c r="F193" s="19"/>
      <c r="G193" s="40"/>
      <c r="H193" s="41"/>
      <c r="I193" s="40"/>
      <c r="J193" s="41"/>
      <c r="K193" s="40">
        <f t="shared" si="69"/>
        <v>6</v>
      </c>
      <c r="L193" s="42">
        <f t="shared" si="70"/>
        <v>510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C193" s="4"/>
      <c r="AD193" s="4"/>
      <c r="AK193" s="4"/>
      <c r="AR193" s="4"/>
    </row>
    <row r="194" ht="12.75" customHeight="1">
      <c r="A194" s="20"/>
      <c r="B194" s="48"/>
      <c r="C194" s="25"/>
      <c r="D194" s="19"/>
      <c r="E194" s="19"/>
      <c r="F194" s="19"/>
      <c r="G194" s="40"/>
      <c r="H194" s="41"/>
      <c r="I194" s="40">
        <f t="shared" ref="I194:I196" si="71">AT35*AU35</f>
        <v>5</v>
      </c>
      <c r="J194" s="41">
        <f t="shared" ref="J194:J196" si="72">AV35*I194</f>
        <v>275</v>
      </c>
      <c r="K194" s="40"/>
      <c r="L194" s="42"/>
      <c r="M194" s="4"/>
      <c r="N194" s="4"/>
      <c r="O194" s="4"/>
      <c r="P194" s="4"/>
      <c r="Q194" s="4"/>
      <c r="R194" s="7">
        <f>I194</f>
        <v>5</v>
      </c>
      <c r="S194" s="7">
        <f>I195</f>
        <v>5</v>
      </c>
      <c r="T194" s="7">
        <f>I196</f>
        <v>16</v>
      </c>
      <c r="U194" s="4">
        <v>0.0</v>
      </c>
      <c r="V194" s="4">
        <v>0.0</v>
      </c>
      <c r="W194" s="4"/>
      <c r="X194" s="4"/>
      <c r="Y194" s="4"/>
      <c r="Z194" s="4"/>
      <c r="AA194" s="4"/>
      <c r="AC194" s="4"/>
      <c r="AD194" s="4"/>
      <c r="AK194" s="4"/>
      <c r="AR194" s="4"/>
    </row>
    <row r="195" ht="12.75" customHeight="1">
      <c r="A195" s="20"/>
      <c r="B195" s="48"/>
      <c r="C195" s="25"/>
      <c r="D195" s="19"/>
      <c r="E195" s="19"/>
      <c r="F195" s="19"/>
      <c r="G195" s="40"/>
      <c r="H195" s="41"/>
      <c r="I195" s="40">
        <f t="shared" si="71"/>
        <v>5</v>
      </c>
      <c r="J195" s="41">
        <f t="shared" si="72"/>
        <v>325</v>
      </c>
      <c r="K195" s="40"/>
      <c r="L195" s="4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C195" s="4"/>
      <c r="AD195" s="4"/>
      <c r="AK195" s="4"/>
      <c r="AR195" s="4"/>
    </row>
    <row r="196" ht="12.75" customHeight="1">
      <c r="A196" s="20"/>
      <c r="B196" s="48"/>
      <c r="C196" s="25"/>
      <c r="D196" s="19"/>
      <c r="E196" s="19"/>
      <c r="F196" s="19"/>
      <c r="G196" s="40"/>
      <c r="H196" s="41"/>
      <c r="I196" s="40">
        <f t="shared" si="71"/>
        <v>16</v>
      </c>
      <c r="J196" s="41">
        <f t="shared" si="72"/>
        <v>1200</v>
      </c>
      <c r="K196" s="40"/>
      <c r="L196" s="4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C196" s="4"/>
      <c r="AD196" s="4"/>
      <c r="AK196" s="4"/>
      <c r="AR196" s="4"/>
    </row>
    <row r="197" ht="12.75" customHeight="1">
      <c r="A197" s="4"/>
      <c r="B197" s="4"/>
      <c r="C197" s="4"/>
      <c r="D197" s="4"/>
      <c r="E197" s="4"/>
      <c r="F197" s="4"/>
      <c r="G197" s="40"/>
      <c r="H197" s="41"/>
      <c r="I197" s="40"/>
      <c r="J197" s="41"/>
      <c r="K197" s="40"/>
      <c r="L197" s="4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</row>
    <row r="198" ht="12.75" customHeight="1">
      <c r="A198" s="20"/>
      <c r="B198" s="48"/>
      <c r="C198" s="25"/>
      <c r="D198" s="19"/>
      <c r="E198" s="19"/>
      <c r="F198" s="19"/>
      <c r="G198" s="40"/>
      <c r="H198" s="41"/>
      <c r="I198" s="40"/>
      <c r="J198" s="41"/>
      <c r="K198" s="40"/>
      <c r="L198" s="4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C198" s="4"/>
      <c r="AD198" s="4"/>
      <c r="AK198" s="4"/>
      <c r="AR198" s="4"/>
    </row>
    <row r="199" ht="12.75" customHeight="1">
      <c r="A199" s="20"/>
      <c r="B199" s="48"/>
      <c r="C199" s="25"/>
      <c r="D199" s="19"/>
      <c r="E199" s="19"/>
      <c r="F199" s="19"/>
      <c r="G199" s="40"/>
      <c r="H199" s="41"/>
      <c r="I199" s="40"/>
      <c r="J199" s="41"/>
      <c r="K199" s="40"/>
      <c r="L199" s="4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C199" s="4"/>
      <c r="AD199" s="4"/>
      <c r="AK199" s="4"/>
      <c r="AR199" s="4"/>
    </row>
    <row r="200" ht="12.75" customHeight="1">
      <c r="A200" s="20"/>
      <c r="B200" s="48"/>
      <c r="C200" s="25"/>
      <c r="D200" s="19"/>
      <c r="E200" s="19"/>
      <c r="F200" s="19"/>
      <c r="G200" s="40"/>
      <c r="H200" s="41"/>
      <c r="I200" s="40"/>
      <c r="J200" s="41"/>
      <c r="K200" s="40"/>
      <c r="L200" s="4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C200" s="4"/>
      <c r="AD200" s="4"/>
      <c r="AK200" s="4"/>
      <c r="AR200" s="4"/>
    </row>
    <row r="201" ht="12.75" customHeight="1">
      <c r="A201" s="20"/>
      <c r="B201" s="48"/>
      <c r="C201" s="25"/>
      <c r="D201" s="19"/>
      <c r="E201" s="19"/>
      <c r="F201" s="19"/>
      <c r="G201" s="40">
        <f t="shared" ref="G201:G204" si="73">AT42*AU42</f>
        <v>5</v>
      </c>
      <c r="H201" s="41">
        <f t="shared" ref="H201:H204" si="74">AV42*G201</f>
        <v>250</v>
      </c>
      <c r="I201" s="40"/>
      <c r="J201" s="41"/>
      <c r="K201" s="40"/>
      <c r="L201" s="42"/>
      <c r="M201" s="7">
        <f>G201</f>
        <v>5</v>
      </c>
      <c r="N201" s="7">
        <f>G202</f>
        <v>4</v>
      </c>
      <c r="O201" s="7">
        <f>G203</f>
        <v>6</v>
      </c>
      <c r="P201" s="7">
        <f>G204</f>
        <v>18</v>
      </c>
      <c r="Q201" s="4">
        <v>0.0</v>
      </c>
      <c r="R201" s="4"/>
      <c r="S201" s="4"/>
      <c r="T201" s="4"/>
      <c r="U201" s="4"/>
      <c r="V201" s="4"/>
      <c r="W201" s="4"/>
      <c r="X201" s="4"/>
      <c r="Y201" s="4"/>
      <c r="Z201" s="4"/>
      <c r="AA201" s="4"/>
      <c r="AC201" s="4"/>
      <c r="AD201" s="4"/>
      <c r="AK201" s="4"/>
      <c r="AR201" s="4"/>
    </row>
    <row r="202" ht="12.75" customHeight="1">
      <c r="A202" s="20"/>
      <c r="B202" s="48"/>
      <c r="C202" s="25"/>
      <c r="D202" s="19"/>
      <c r="E202" s="19"/>
      <c r="F202" s="19"/>
      <c r="G202" s="40">
        <f t="shared" si="73"/>
        <v>4</v>
      </c>
      <c r="H202" s="41">
        <f t="shared" si="74"/>
        <v>240</v>
      </c>
      <c r="I202" s="40"/>
      <c r="J202" s="41"/>
      <c r="K202" s="40"/>
      <c r="L202" s="4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C202" s="4"/>
      <c r="AD202" s="4"/>
      <c r="AK202" s="4"/>
      <c r="AR202" s="4"/>
    </row>
    <row r="203" ht="12.75" customHeight="1">
      <c r="A203" s="20"/>
      <c r="B203" s="48"/>
      <c r="C203" s="25"/>
      <c r="D203" s="19"/>
      <c r="E203" s="19"/>
      <c r="F203" s="19"/>
      <c r="G203" s="40">
        <f t="shared" si="73"/>
        <v>6</v>
      </c>
      <c r="H203" s="41">
        <f t="shared" si="74"/>
        <v>420</v>
      </c>
      <c r="I203" s="40"/>
      <c r="J203" s="41"/>
      <c r="K203" s="40"/>
      <c r="L203" s="4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C203" s="4"/>
      <c r="AD203" s="4"/>
      <c r="AK203" s="4"/>
      <c r="AR203" s="4"/>
    </row>
    <row r="204" ht="12.75" customHeight="1">
      <c r="A204" s="20"/>
      <c r="B204" s="48"/>
      <c r="C204" s="25"/>
      <c r="D204" s="19"/>
      <c r="E204" s="19"/>
      <c r="F204" s="19"/>
      <c r="G204" s="40">
        <f t="shared" si="73"/>
        <v>18</v>
      </c>
      <c r="H204" s="41">
        <f t="shared" si="74"/>
        <v>1440</v>
      </c>
      <c r="I204" s="40"/>
      <c r="J204" s="41"/>
      <c r="K204" s="40"/>
      <c r="L204" s="4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C204" s="4"/>
      <c r="AD204" s="4"/>
      <c r="AK204" s="4"/>
      <c r="AR204" s="4"/>
    </row>
    <row r="205" ht="12.75" customHeight="1">
      <c r="A205" s="20"/>
      <c r="B205" s="48"/>
      <c r="C205" s="25"/>
      <c r="D205" s="19"/>
      <c r="E205" s="19"/>
      <c r="F205" s="19"/>
      <c r="G205" s="40"/>
      <c r="H205" s="41"/>
      <c r="I205" s="40">
        <f t="shared" ref="I205:I207" si="75">AT46*AU46</f>
        <v>5</v>
      </c>
      <c r="J205" s="41">
        <f t="shared" ref="J205:J207" si="76">AV46*I205</f>
        <v>250</v>
      </c>
      <c r="K205" s="40"/>
      <c r="L205" s="42"/>
      <c r="M205" s="4"/>
      <c r="N205" s="4"/>
      <c r="O205" s="4"/>
      <c r="P205" s="4"/>
      <c r="Q205" s="4"/>
      <c r="R205" s="7">
        <f>I205</f>
        <v>5</v>
      </c>
      <c r="S205" s="7">
        <f>I206</f>
        <v>5</v>
      </c>
      <c r="T205" s="7">
        <f>I207</f>
        <v>25</v>
      </c>
      <c r="U205" s="4">
        <v>0.0</v>
      </c>
      <c r="V205" s="4">
        <v>0.0</v>
      </c>
      <c r="W205" s="4"/>
      <c r="X205" s="4"/>
      <c r="Y205" s="4"/>
      <c r="Z205" s="4"/>
      <c r="AA205" s="4"/>
      <c r="AC205" s="4"/>
      <c r="AD205" s="4"/>
      <c r="AK205" s="4"/>
      <c r="AR205" s="4"/>
    </row>
    <row r="206" ht="12.75" customHeight="1">
      <c r="A206" s="20"/>
      <c r="B206" s="48"/>
      <c r="C206" s="25"/>
      <c r="D206" s="19"/>
      <c r="E206" s="19"/>
      <c r="F206" s="19"/>
      <c r="G206" s="40"/>
      <c r="H206" s="41"/>
      <c r="I206" s="40">
        <f t="shared" si="75"/>
        <v>5</v>
      </c>
      <c r="J206" s="41">
        <f t="shared" si="76"/>
        <v>300</v>
      </c>
      <c r="K206" s="40"/>
      <c r="L206" s="4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C206" s="4"/>
      <c r="AD206" s="4"/>
      <c r="AK206" s="4"/>
      <c r="AR206" s="4"/>
    </row>
    <row r="207" ht="12.75" customHeight="1">
      <c r="A207" s="20"/>
      <c r="B207" s="48"/>
      <c r="C207" s="25"/>
      <c r="D207" s="19"/>
      <c r="E207" s="19"/>
      <c r="F207" s="19"/>
      <c r="G207" s="40"/>
      <c r="H207" s="41"/>
      <c r="I207" s="40">
        <f t="shared" si="75"/>
        <v>25</v>
      </c>
      <c r="J207" s="41">
        <f t="shared" si="76"/>
        <v>1750</v>
      </c>
      <c r="K207" s="40"/>
      <c r="L207" s="4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C207" s="4"/>
      <c r="AD207" s="4"/>
      <c r="AK207" s="4"/>
      <c r="AR207" s="4"/>
    </row>
    <row r="208" ht="12.75" customHeight="1">
      <c r="A208" s="20"/>
      <c r="B208" s="48"/>
      <c r="C208" s="25"/>
      <c r="D208" s="19"/>
      <c r="E208" s="19"/>
      <c r="F208" s="19"/>
      <c r="G208" s="40"/>
      <c r="H208" s="41"/>
      <c r="I208" s="40"/>
      <c r="J208" s="41"/>
      <c r="K208" s="40"/>
      <c r="L208" s="4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C208" s="4"/>
      <c r="AD208" s="4"/>
      <c r="AK208" s="4"/>
      <c r="AR208" s="4"/>
    </row>
    <row r="209" ht="12.75" customHeight="1">
      <c r="A209" s="20"/>
      <c r="B209" s="48"/>
      <c r="C209" s="25"/>
      <c r="D209" s="19"/>
      <c r="E209" s="19"/>
      <c r="F209" s="19"/>
      <c r="G209" s="40"/>
      <c r="H209" s="41"/>
      <c r="I209" s="40"/>
      <c r="J209" s="41"/>
      <c r="K209" s="40"/>
      <c r="L209" s="4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C209" s="4"/>
      <c r="AD209" s="4"/>
      <c r="AK209" s="4"/>
      <c r="AR209" s="4"/>
    </row>
    <row r="210" ht="12.75" customHeight="1">
      <c r="A210" s="20"/>
      <c r="B210" s="48"/>
      <c r="C210" s="25"/>
      <c r="D210" s="19"/>
      <c r="E210" s="19"/>
      <c r="F210" s="19"/>
      <c r="G210" s="40"/>
      <c r="H210" s="41"/>
      <c r="I210" s="40"/>
      <c r="J210" s="41"/>
      <c r="K210" s="40"/>
      <c r="L210" s="4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C210" s="4"/>
      <c r="AD210" s="4"/>
      <c r="AK210" s="4"/>
      <c r="AR210" s="4"/>
    </row>
    <row r="211" ht="12.75" customHeight="1">
      <c r="A211" s="20"/>
      <c r="B211" s="48"/>
      <c r="C211" s="25"/>
      <c r="D211" s="19"/>
      <c r="E211" s="19"/>
      <c r="F211" s="19"/>
      <c r="G211" s="40"/>
      <c r="H211" s="41"/>
      <c r="I211" s="40"/>
      <c r="J211" s="41"/>
      <c r="K211" s="40"/>
      <c r="L211" s="4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C211" s="4"/>
      <c r="AD211" s="4"/>
      <c r="AK211" s="4"/>
      <c r="AR211" s="4"/>
    </row>
    <row r="212" ht="12.75" customHeight="1">
      <c r="A212" s="20"/>
      <c r="B212" s="48"/>
      <c r="C212" s="26"/>
      <c r="D212" s="18"/>
      <c r="E212" s="18"/>
      <c r="F212" s="18"/>
      <c r="G212" s="40"/>
      <c r="H212" s="41"/>
      <c r="I212" s="40"/>
      <c r="J212" s="41"/>
      <c r="K212" s="40"/>
      <c r="L212" s="4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C212" s="4"/>
      <c r="AD212" s="4"/>
      <c r="AK212" s="4"/>
      <c r="AR212" s="4"/>
    </row>
    <row r="213" ht="12.75" customHeight="1">
      <c r="A213" s="20"/>
      <c r="B213" s="23"/>
      <c r="C213" s="26"/>
      <c r="D213" s="18"/>
      <c r="E213" s="18"/>
      <c r="F213" s="18"/>
      <c r="G213" s="18">
        <f t="shared" ref="G213:Q213" si="77">SUM(G166:G212)</f>
        <v>83</v>
      </c>
      <c r="H213" s="18">
        <f t="shared" si="77"/>
        <v>5800</v>
      </c>
      <c r="I213" s="18">
        <f t="shared" si="77"/>
        <v>118</v>
      </c>
      <c r="J213" s="18">
        <f t="shared" si="77"/>
        <v>8110</v>
      </c>
      <c r="K213" s="18">
        <f t="shared" si="77"/>
        <v>26</v>
      </c>
      <c r="L213" s="18">
        <f t="shared" si="77"/>
        <v>1850</v>
      </c>
      <c r="M213" s="61">
        <f t="shared" si="77"/>
        <v>15</v>
      </c>
      <c r="N213" s="61">
        <f t="shared" si="77"/>
        <v>12</v>
      </c>
      <c r="O213" s="61">
        <f t="shared" si="77"/>
        <v>18</v>
      </c>
      <c r="P213" s="61">
        <f t="shared" si="77"/>
        <v>38</v>
      </c>
      <c r="Q213" s="61">
        <f t="shared" si="77"/>
        <v>0</v>
      </c>
      <c r="R213" s="61">
        <f t="shared" ref="R213:V213" si="78">SUM(R171:R212)</f>
        <v>20</v>
      </c>
      <c r="S213" s="61">
        <f t="shared" si="78"/>
        <v>18</v>
      </c>
      <c r="T213" s="61">
        <f t="shared" si="78"/>
        <v>53</v>
      </c>
      <c r="U213" s="61">
        <f t="shared" si="78"/>
        <v>27</v>
      </c>
      <c r="V213" s="20">
        <f t="shared" si="78"/>
        <v>0</v>
      </c>
      <c r="W213" s="61">
        <f t="shared" ref="W213:AA213" si="79">SUM(W189:W212)</f>
        <v>4</v>
      </c>
      <c r="X213" s="61">
        <f t="shared" si="79"/>
        <v>4</v>
      </c>
      <c r="Y213" s="61">
        <f t="shared" si="79"/>
        <v>6</v>
      </c>
      <c r="Z213" s="61">
        <f t="shared" si="79"/>
        <v>12</v>
      </c>
      <c r="AA213" s="20">
        <f t="shared" si="79"/>
        <v>0</v>
      </c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</row>
    <row r="214" ht="12.75" customHeight="1">
      <c r="A214" s="20"/>
      <c r="B214" s="48"/>
      <c r="C214" s="25"/>
      <c r="D214" s="19"/>
      <c r="E214" s="19"/>
      <c r="F214" s="19"/>
      <c r="G214" s="19"/>
      <c r="H214" s="19"/>
      <c r="I214" s="19"/>
      <c r="J214" s="19"/>
      <c r="K214" s="19"/>
      <c r="L214" s="1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C214" s="4"/>
      <c r="AD214" s="4"/>
      <c r="AK214" s="4"/>
      <c r="AR214" s="4"/>
    </row>
    <row r="215" ht="12.75" customHeight="1">
      <c r="A215" s="20"/>
      <c r="B215" s="48"/>
      <c r="C215" s="25"/>
      <c r="D215" s="19"/>
      <c r="E215" s="19"/>
      <c r="F215" s="19"/>
      <c r="G215" s="19"/>
      <c r="H215" s="19"/>
      <c r="I215" s="19"/>
      <c r="J215" s="19"/>
      <c r="K215" s="19"/>
      <c r="L215" s="1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C215" s="4"/>
      <c r="AD215" s="4"/>
      <c r="AK215" s="4"/>
      <c r="AR215" s="4"/>
    </row>
    <row r="216" ht="12.75" customHeight="1">
      <c r="A216" s="20"/>
      <c r="B216" s="48"/>
      <c r="C216" s="25"/>
      <c r="D216" s="19"/>
      <c r="E216" s="19"/>
      <c r="F216" s="19"/>
      <c r="G216" s="18">
        <f t="shared" ref="G216:AA216" si="80">SUM(G213+G163+G107+G54)</f>
        <v>359</v>
      </c>
      <c r="H216" s="18">
        <f t="shared" si="80"/>
        <v>24455</v>
      </c>
      <c r="I216" s="18">
        <f t="shared" si="80"/>
        <v>535</v>
      </c>
      <c r="J216" s="18">
        <f t="shared" si="80"/>
        <v>34845</v>
      </c>
      <c r="K216" s="18">
        <f t="shared" si="80"/>
        <v>216</v>
      </c>
      <c r="L216" s="18">
        <f t="shared" si="80"/>
        <v>14795</v>
      </c>
      <c r="M216" s="18">
        <f t="shared" si="80"/>
        <v>55</v>
      </c>
      <c r="N216" s="18">
        <f t="shared" si="80"/>
        <v>66</v>
      </c>
      <c r="O216" s="18">
        <f t="shared" si="80"/>
        <v>175</v>
      </c>
      <c r="P216" s="18">
        <f t="shared" si="80"/>
        <v>63</v>
      </c>
      <c r="Q216" s="18">
        <f t="shared" si="80"/>
        <v>0</v>
      </c>
      <c r="R216" s="18">
        <f t="shared" si="80"/>
        <v>122</v>
      </c>
      <c r="S216" s="18">
        <f t="shared" si="80"/>
        <v>142</v>
      </c>
      <c r="T216" s="18">
        <f t="shared" si="80"/>
        <v>199</v>
      </c>
      <c r="U216" s="18">
        <f t="shared" si="80"/>
        <v>72</v>
      </c>
      <c r="V216" s="18">
        <f t="shared" si="80"/>
        <v>0</v>
      </c>
      <c r="W216" s="18">
        <f t="shared" si="80"/>
        <v>26</v>
      </c>
      <c r="X216" s="18">
        <f t="shared" si="80"/>
        <v>45</v>
      </c>
      <c r="Y216" s="18">
        <f t="shared" si="80"/>
        <v>105</v>
      </c>
      <c r="Z216" s="18">
        <f t="shared" si="80"/>
        <v>40</v>
      </c>
      <c r="AA216" s="18">
        <f t="shared" si="80"/>
        <v>0</v>
      </c>
      <c r="AC216" s="4"/>
      <c r="AD216" s="4"/>
      <c r="AK216" s="4"/>
      <c r="AR216" s="4"/>
    </row>
    <row r="217" ht="12.75" customHeight="1">
      <c r="A217" s="20"/>
      <c r="B217" s="48"/>
      <c r="C217" s="25"/>
      <c r="D217" s="19"/>
      <c r="E217" s="19"/>
      <c r="F217" s="19"/>
      <c r="G217" s="19"/>
      <c r="H217" s="19"/>
      <c r="I217" s="19"/>
      <c r="J217" s="19"/>
      <c r="K217" s="19"/>
      <c r="L217" s="1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C217" s="4"/>
      <c r="AD217" s="4"/>
      <c r="AK217" s="4"/>
      <c r="AR217" s="4"/>
    </row>
    <row r="218" ht="12.75" customHeight="1">
      <c r="A218" s="20"/>
      <c r="B218" s="48"/>
      <c r="C218" s="25"/>
      <c r="D218" s="19"/>
      <c r="E218" s="19"/>
      <c r="F218" s="19"/>
      <c r="G218" s="19"/>
      <c r="H218" s="19"/>
      <c r="I218" s="19"/>
      <c r="J218" s="19"/>
      <c r="K218" s="19"/>
      <c r="L218" s="1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C218" s="4"/>
      <c r="AD218" s="4"/>
      <c r="AK218" s="4"/>
      <c r="AR218" s="4"/>
    </row>
    <row r="219" ht="12.75" customHeight="1">
      <c r="A219" s="20"/>
      <c r="B219" s="48"/>
      <c r="C219" s="25"/>
      <c r="D219" s="19"/>
      <c r="E219" s="19"/>
      <c r="F219" s="19"/>
      <c r="G219" s="19"/>
      <c r="H219" s="19"/>
      <c r="I219" s="19"/>
      <c r="J219" s="19"/>
      <c r="K219" s="19"/>
      <c r="L219" s="1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C219" s="4"/>
      <c r="AD219" s="4"/>
      <c r="AK219" s="4"/>
      <c r="AR219" s="4"/>
    </row>
    <row r="220" ht="12.75" customHeight="1">
      <c r="A220" s="20"/>
      <c r="B220" s="48"/>
      <c r="C220" s="25"/>
      <c r="D220" s="19"/>
      <c r="E220" s="19"/>
      <c r="F220" s="19"/>
      <c r="G220" s="19"/>
      <c r="H220" s="19"/>
      <c r="I220" s="19"/>
      <c r="J220" s="19"/>
      <c r="K220" s="19"/>
      <c r="L220" s="1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C220" s="4"/>
      <c r="AD220" s="4"/>
      <c r="AK220" s="4"/>
      <c r="AR220" s="4"/>
    </row>
    <row r="221" ht="12.75" customHeight="1">
      <c r="A221" s="20"/>
      <c r="B221" s="48"/>
      <c r="C221" s="25"/>
      <c r="D221" s="19"/>
      <c r="E221" s="19"/>
      <c r="F221" s="19"/>
      <c r="G221" s="19"/>
      <c r="H221" s="19"/>
      <c r="I221" s="19"/>
      <c r="J221" s="19"/>
      <c r="K221" s="19"/>
      <c r="L221" s="1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C221" s="4"/>
      <c r="AD221" s="4"/>
      <c r="AK221" s="4"/>
      <c r="AR221" s="4"/>
    </row>
    <row r="222" ht="12.75" customHeight="1">
      <c r="A222" s="20"/>
      <c r="B222" s="48"/>
      <c r="C222" s="25"/>
      <c r="D222" s="19"/>
      <c r="E222" s="19"/>
      <c r="F222" s="19"/>
      <c r="G222" s="19"/>
      <c r="H222" s="19"/>
      <c r="I222" s="19"/>
      <c r="J222" s="19"/>
      <c r="K222" s="19"/>
      <c r="L222" s="1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C222" s="4"/>
      <c r="AD222" s="4"/>
      <c r="AK222" s="4"/>
      <c r="AR222" s="4"/>
    </row>
    <row r="223" ht="12.75" customHeight="1">
      <c r="A223" s="20"/>
      <c r="B223" s="48"/>
      <c r="C223" s="25"/>
      <c r="D223" s="19"/>
      <c r="E223" s="19"/>
      <c r="F223" s="19"/>
      <c r="G223" s="19"/>
      <c r="H223" s="19"/>
      <c r="I223" s="19"/>
      <c r="J223" s="19"/>
      <c r="K223" s="19"/>
      <c r="L223" s="1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C223" s="4"/>
      <c r="AD223" s="4"/>
      <c r="AK223" s="4"/>
      <c r="AR223" s="4"/>
    </row>
    <row r="224" ht="12.75" customHeight="1">
      <c r="A224" s="20"/>
      <c r="B224" s="48"/>
      <c r="C224" s="25"/>
      <c r="D224" s="19"/>
      <c r="E224" s="19"/>
      <c r="F224" s="19"/>
      <c r="G224" s="19"/>
      <c r="H224" s="19"/>
      <c r="I224" s="19"/>
      <c r="J224" s="19"/>
      <c r="K224" s="19"/>
      <c r="L224" s="1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C224" s="4"/>
      <c r="AD224" s="4"/>
      <c r="AK224" s="4"/>
      <c r="AR224" s="4"/>
    </row>
    <row r="225" ht="12.75" customHeight="1">
      <c r="A225" s="20"/>
      <c r="B225" s="48"/>
      <c r="C225" s="25"/>
      <c r="D225" s="19"/>
      <c r="E225" s="19"/>
      <c r="F225" s="19"/>
      <c r="G225" s="19"/>
      <c r="H225" s="19"/>
      <c r="I225" s="19"/>
      <c r="J225" s="19"/>
      <c r="K225" s="19"/>
      <c r="L225" s="1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C225" s="4"/>
      <c r="AD225" s="4"/>
      <c r="AK225" s="4"/>
      <c r="AR225" s="4"/>
    </row>
    <row r="226" ht="12.75" customHeight="1">
      <c r="A226" s="20"/>
      <c r="B226" s="48"/>
      <c r="C226" s="25"/>
      <c r="D226" s="19"/>
      <c r="E226" s="19"/>
      <c r="F226" s="19"/>
      <c r="G226" s="19"/>
      <c r="H226" s="19"/>
      <c r="I226" s="19"/>
      <c r="J226" s="19"/>
      <c r="K226" s="19"/>
      <c r="L226" s="1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C226" s="4"/>
      <c r="AD226" s="4"/>
      <c r="AK226" s="4"/>
      <c r="AR226" s="4"/>
    </row>
    <row r="227" ht="12.75" customHeight="1">
      <c r="A227" s="20"/>
      <c r="B227" s="48"/>
      <c r="C227" s="25"/>
      <c r="D227" s="19"/>
      <c r="E227" s="19"/>
      <c r="F227" s="19"/>
      <c r="G227" s="19"/>
      <c r="H227" s="19"/>
      <c r="I227" s="19"/>
      <c r="J227" s="19"/>
      <c r="K227" s="19"/>
      <c r="L227" s="1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C227" s="4"/>
      <c r="AD227" s="4"/>
      <c r="AK227" s="4"/>
      <c r="AR227" s="4"/>
    </row>
    <row r="228" ht="12.75" customHeight="1">
      <c r="A228" s="20"/>
      <c r="B228" s="48"/>
      <c r="C228" s="25"/>
      <c r="D228" s="19"/>
      <c r="E228" s="19"/>
      <c r="F228" s="19"/>
      <c r="G228" s="19"/>
      <c r="H228" s="19"/>
      <c r="I228" s="19"/>
      <c r="J228" s="19"/>
      <c r="K228" s="19"/>
      <c r="L228" s="1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C228" s="4"/>
      <c r="AD228" s="4"/>
      <c r="AK228" s="4"/>
      <c r="AR228" s="4"/>
    </row>
    <row r="229" ht="12.75" customHeight="1">
      <c r="A229" s="20"/>
      <c r="B229" s="48"/>
      <c r="C229" s="25"/>
      <c r="D229" s="19"/>
      <c r="E229" s="19"/>
      <c r="F229" s="19"/>
      <c r="G229" s="19"/>
      <c r="H229" s="19"/>
      <c r="I229" s="19"/>
      <c r="J229" s="19"/>
      <c r="K229" s="19"/>
      <c r="L229" s="1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C229" s="4"/>
      <c r="AD229" s="4"/>
      <c r="AK229" s="4"/>
      <c r="AR229" s="4"/>
    </row>
    <row r="230" ht="12.75" customHeight="1">
      <c r="A230" s="20"/>
      <c r="B230" s="48"/>
      <c r="C230" s="25"/>
      <c r="D230" s="19"/>
      <c r="E230" s="19"/>
      <c r="F230" s="19"/>
      <c r="G230" s="19"/>
      <c r="H230" s="19"/>
      <c r="I230" s="19"/>
      <c r="J230" s="19"/>
      <c r="K230" s="19"/>
      <c r="L230" s="1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C230" s="4"/>
      <c r="AD230" s="4"/>
      <c r="AK230" s="4"/>
      <c r="AR230" s="4"/>
    </row>
    <row r="231" ht="12.75" customHeight="1">
      <c r="A231" s="20"/>
      <c r="B231" s="48"/>
      <c r="C231" s="25"/>
      <c r="D231" s="19"/>
      <c r="E231" s="19"/>
      <c r="F231" s="19"/>
      <c r="G231" s="19"/>
      <c r="H231" s="19"/>
      <c r="I231" s="19"/>
      <c r="J231" s="19"/>
      <c r="K231" s="19"/>
      <c r="L231" s="1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C231" s="4"/>
      <c r="AD231" s="4"/>
      <c r="AK231" s="4"/>
      <c r="AR231" s="4"/>
    </row>
    <row r="232" ht="12.75" customHeight="1">
      <c r="A232" s="20"/>
      <c r="B232" s="48"/>
      <c r="C232" s="25"/>
      <c r="D232" s="19"/>
      <c r="E232" s="19"/>
      <c r="F232" s="19"/>
      <c r="G232" s="19"/>
      <c r="H232" s="19"/>
      <c r="I232" s="19"/>
      <c r="J232" s="19"/>
      <c r="K232" s="19"/>
      <c r="L232" s="1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C232" s="4"/>
      <c r="AD232" s="4"/>
      <c r="AK232" s="4"/>
      <c r="AR232" s="4"/>
    </row>
    <row r="233" ht="12.75" customHeight="1">
      <c r="A233" s="20"/>
      <c r="B233" s="48"/>
      <c r="C233" s="25"/>
      <c r="D233" s="19"/>
      <c r="E233" s="19"/>
      <c r="F233" s="19"/>
      <c r="G233" s="19"/>
      <c r="H233" s="19"/>
      <c r="I233" s="19"/>
      <c r="J233" s="19"/>
      <c r="K233" s="19"/>
      <c r="L233" s="1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C233" s="4"/>
      <c r="AD233" s="4"/>
      <c r="AK233" s="4"/>
      <c r="AR233" s="4"/>
    </row>
    <row r="234" ht="12.75" customHeight="1">
      <c r="A234" s="20"/>
      <c r="B234" s="48"/>
      <c r="C234" s="25"/>
      <c r="D234" s="19"/>
      <c r="E234" s="19"/>
      <c r="F234" s="19"/>
      <c r="G234" s="19"/>
      <c r="H234" s="19"/>
      <c r="I234" s="19"/>
      <c r="J234" s="19"/>
      <c r="K234" s="19"/>
      <c r="L234" s="1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C234" s="4"/>
      <c r="AD234" s="4"/>
      <c r="AK234" s="4"/>
      <c r="AR234" s="4"/>
    </row>
    <row r="235" ht="12.75" customHeight="1">
      <c r="A235" s="20"/>
      <c r="B235" s="48"/>
      <c r="C235" s="25"/>
      <c r="D235" s="19"/>
      <c r="E235" s="19"/>
      <c r="F235" s="19"/>
      <c r="G235" s="19"/>
      <c r="H235" s="19"/>
      <c r="I235" s="19"/>
      <c r="J235" s="19"/>
      <c r="K235" s="19"/>
      <c r="L235" s="1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C235" s="4"/>
      <c r="AD235" s="4"/>
      <c r="AK235" s="4"/>
      <c r="AR235" s="4"/>
    </row>
    <row r="236" ht="12.75" customHeight="1">
      <c r="A236" s="20"/>
      <c r="B236" s="48"/>
      <c r="C236" s="25"/>
      <c r="D236" s="19"/>
      <c r="E236" s="19"/>
      <c r="F236" s="19"/>
      <c r="G236" s="19"/>
      <c r="H236" s="19"/>
      <c r="I236" s="19"/>
      <c r="J236" s="19"/>
      <c r="K236" s="19"/>
      <c r="L236" s="1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C236" s="4"/>
      <c r="AD236" s="4"/>
      <c r="AK236" s="4"/>
      <c r="AR236" s="4"/>
    </row>
    <row r="237" ht="12.75" customHeight="1">
      <c r="A237" s="20"/>
      <c r="B237" s="48"/>
      <c r="C237" s="25"/>
      <c r="D237" s="19"/>
      <c r="E237" s="19"/>
      <c r="F237" s="19"/>
      <c r="G237" s="19"/>
      <c r="H237" s="19"/>
      <c r="I237" s="19"/>
      <c r="J237" s="19"/>
      <c r="K237" s="19"/>
      <c r="L237" s="1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C237" s="4"/>
      <c r="AD237" s="4"/>
      <c r="AK237" s="4"/>
      <c r="AR237" s="4"/>
    </row>
    <row r="238" ht="12.75" customHeight="1">
      <c r="A238" s="20"/>
      <c r="B238" s="48"/>
      <c r="C238" s="25"/>
      <c r="D238" s="19"/>
      <c r="E238" s="19"/>
      <c r="F238" s="19"/>
      <c r="G238" s="19"/>
      <c r="H238" s="19"/>
      <c r="I238" s="19"/>
      <c r="J238" s="19"/>
      <c r="K238" s="19"/>
      <c r="L238" s="1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C238" s="4"/>
      <c r="AD238" s="4"/>
      <c r="AK238" s="4"/>
      <c r="AR238" s="4"/>
    </row>
    <row r="239" ht="12.75" customHeight="1">
      <c r="A239" s="20"/>
      <c r="B239" s="48"/>
      <c r="C239" s="25"/>
      <c r="D239" s="19"/>
      <c r="E239" s="19"/>
      <c r="F239" s="19"/>
      <c r="G239" s="19"/>
      <c r="H239" s="19"/>
      <c r="I239" s="19"/>
      <c r="J239" s="19"/>
      <c r="K239" s="19"/>
      <c r="L239" s="1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C239" s="4"/>
      <c r="AD239" s="4"/>
      <c r="AK239" s="4"/>
      <c r="AR239" s="4"/>
    </row>
    <row r="240" ht="12.75" customHeight="1">
      <c r="A240" s="20"/>
      <c r="B240" s="48"/>
      <c r="C240" s="25"/>
      <c r="D240" s="19"/>
      <c r="E240" s="19"/>
      <c r="F240" s="19"/>
      <c r="G240" s="19"/>
      <c r="H240" s="19"/>
      <c r="I240" s="19"/>
      <c r="J240" s="19"/>
      <c r="K240" s="19"/>
      <c r="L240" s="1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C240" s="4"/>
      <c r="AD240" s="4"/>
      <c r="AK240" s="4"/>
      <c r="AR240" s="4"/>
    </row>
    <row r="241" ht="12.75" customHeight="1">
      <c r="A241" s="20"/>
      <c r="B241" s="48"/>
      <c r="C241" s="25"/>
      <c r="D241" s="19"/>
      <c r="E241" s="19"/>
      <c r="F241" s="19"/>
      <c r="G241" s="19"/>
      <c r="H241" s="19"/>
      <c r="I241" s="19"/>
      <c r="J241" s="19"/>
      <c r="K241" s="19"/>
      <c r="L241" s="1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C241" s="4"/>
      <c r="AD241" s="4"/>
      <c r="AK241" s="4"/>
      <c r="AR241" s="4"/>
    </row>
    <row r="242" ht="12.75" customHeight="1">
      <c r="A242" s="20"/>
      <c r="B242" s="48"/>
      <c r="C242" s="25"/>
      <c r="D242" s="19"/>
      <c r="E242" s="19"/>
      <c r="F242" s="19"/>
      <c r="G242" s="19"/>
      <c r="H242" s="19"/>
      <c r="I242" s="19"/>
      <c r="J242" s="19"/>
      <c r="K242" s="19"/>
      <c r="L242" s="1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C242" s="4"/>
      <c r="AD242" s="4"/>
      <c r="AK242" s="4"/>
      <c r="AR242" s="4"/>
    </row>
    <row r="243" ht="12.75" customHeight="1">
      <c r="A243" s="20"/>
      <c r="B243" s="48"/>
      <c r="C243" s="25"/>
      <c r="D243" s="19"/>
      <c r="E243" s="19"/>
      <c r="F243" s="19"/>
      <c r="G243" s="19"/>
      <c r="H243" s="19"/>
      <c r="I243" s="19"/>
      <c r="J243" s="19"/>
      <c r="K243" s="19"/>
      <c r="L243" s="1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C243" s="4"/>
      <c r="AD243" s="4"/>
      <c r="AK243" s="4"/>
      <c r="AR243" s="4"/>
    </row>
    <row r="244" ht="12.75" customHeight="1">
      <c r="A244" s="20"/>
      <c r="B244" s="48"/>
      <c r="C244" s="25"/>
      <c r="D244" s="19"/>
      <c r="E244" s="19"/>
      <c r="F244" s="19"/>
      <c r="G244" s="19"/>
      <c r="H244" s="19"/>
      <c r="I244" s="19"/>
      <c r="J244" s="19"/>
      <c r="K244" s="19"/>
      <c r="L244" s="1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C244" s="4"/>
      <c r="AD244" s="4"/>
      <c r="AK244" s="4"/>
      <c r="AR244" s="4"/>
    </row>
    <row r="245" ht="12.75" customHeight="1">
      <c r="A245" s="20"/>
      <c r="B245" s="48"/>
      <c r="C245" s="25"/>
      <c r="D245" s="19"/>
      <c r="E245" s="19"/>
      <c r="F245" s="19"/>
      <c r="G245" s="19"/>
      <c r="H245" s="19"/>
      <c r="I245" s="19"/>
      <c r="J245" s="19"/>
      <c r="K245" s="19"/>
      <c r="L245" s="1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C245" s="4"/>
      <c r="AD245" s="4"/>
      <c r="AK245" s="4"/>
      <c r="AR245" s="4"/>
    </row>
    <row r="246" ht="12.75" customHeight="1">
      <c r="A246" s="20"/>
      <c r="B246" s="48"/>
      <c r="C246" s="25"/>
      <c r="D246" s="19"/>
      <c r="E246" s="19"/>
      <c r="F246" s="19"/>
      <c r="G246" s="19"/>
      <c r="H246" s="19"/>
      <c r="I246" s="19"/>
      <c r="J246" s="19"/>
      <c r="K246" s="19"/>
      <c r="L246" s="1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C246" s="4"/>
      <c r="AD246" s="4"/>
      <c r="AK246" s="4"/>
      <c r="AR246" s="4"/>
    </row>
    <row r="247" ht="12.75" customHeight="1">
      <c r="A247" s="20"/>
      <c r="B247" s="48"/>
      <c r="C247" s="25"/>
      <c r="D247" s="19"/>
      <c r="E247" s="19"/>
      <c r="F247" s="19"/>
      <c r="G247" s="19"/>
      <c r="H247" s="19"/>
      <c r="I247" s="19"/>
      <c r="J247" s="19"/>
      <c r="K247" s="19"/>
      <c r="L247" s="1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C247" s="4"/>
      <c r="AD247" s="4"/>
      <c r="AK247" s="4"/>
      <c r="AR247" s="4"/>
    </row>
    <row r="248" ht="12.75" customHeight="1">
      <c r="A248" s="20"/>
      <c r="B248" s="48"/>
      <c r="C248" s="25"/>
      <c r="D248" s="19"/>
      <c r="E248" s="19"/>
      <c r="F248" s="19"/>
      <c r="G248" s="19"/>
      <c r="H248" s="19"/>
      <c r="I248" s="19"/>
      <c r="J248" s="19"/>
      <c r="K248" s="19"/>
      <c r="L248" s="1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C248" s="4"/>
      <c r="AD248" s="4"/>
      <c r="AK248" s="4"/>
      <c r="AR248" s="4"/>
    </row>
    <row r="249" ht="12.75" customHeight="1">
      <c r="A249" s="20"/>
      <c r="B249" s="48"/>
      <c r="C249" s="25"/>
      <c r="D249" s="19"/>
      <c r="E249" s="19"/>
      <c r="F249" s="19"/>
      <c r="G249" s="19"/>
      <c r="H249" s="19"/>
      <c r="I249" s="19"/>
      <c r="J249" s="19"/>
      <c r="K249" s="19"/>
      <c r="L249" s="1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C249" s="4"/>
      <c r="AD249" s="4"/>
      <c r="AK249" s="4"/>
      <c r="AR249" s="4"/>
    </row>
    <row r="250" ht="12.75" customHeight="1">
      <c r="A250" s="20"/>
      <c r="B250" s="48"/>
      <c r="C250" s="25"/>
      <c r="D250" s="19"/>
      <c r="E250" s="19"/>
      <c r="F250" s="19"/>
      <c r="G250" s="19"/>
      <c r="H250" s="19"/>
      <c r="I250" s="19"/>
      <c r="J250" s="19"/>
      <c r="K250" s="19"/>
      <c r="L250" s="1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C250" s="4"/>
      <c r="AD250" s="4"/>
      <c r="AK250" s="4"/>
      <c r="AR250" s="4"/>
    </row>
    <row r="251" ht="12.75" customHeight="1">
      <c r="A251" s="20"/>
      <c r="B251" s="48"/>
      <c r="C251" s="25"/>
      <c r="D251" s="19"/>
      <c r="E251" s="19"/>
      <c r="F251" s="19"/>
      <c r="G251" s="19"/>
      <c r="H251" s="19"/>
      <c r="I251" s="19"/>
      <c r="J251" s="19"/>
      <c r="K251" s="19"/>
      <c r="L251" s="1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C251" s="4"/>
      <c r="AD251" s="4"/>
      <c r="AK251" s="4"/>
      <c r="AR251" s="4"/>
    </row>
    <row r="252" ht="12.75" customHeight="1">
      <c r="A252" s="20"/>
      <c r="B252" s="48"/>
      <c r="C252" s="25"/>
      <c r="D252" s="19"/>
      <c r="E252" s="19"/>
      <c r="F252" s="19"/>
      <c r="G252" s="19"/>
      <c r="H252" s="19"/>
      <c r="I252" s="19"/>
      <c r="J252" s="19"/>
      <c r="K252" s="19"/>
      <c r="L252" s="1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C252" s="4"/>
      <c r="AD252" s="4"/>
      <c r="AK252" s="4"/>
      <c r="AR252" s="4"/>
    </row>
    <row r="253" ht="12.75" customHeight="1">
      <c r="A253" s="20"/>
      <c r="B253" s="48"/>
      <c r="C253" s="25"/>
      <c r="D253" s="19"/>
      <c r="E253" s="19"/>
      <c r="F253" s="19"/>
      <c r="G253" s="19"/>
      <c r="H253" s="19"/>
      <c r="I253" s="19"/>
      <c r="J253" s="19"/>
      <c r="K253" s="19"/>
      <c r="L253" s="1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C253" s="4"/>
      <c r="AD253" s="4"/>
      <c r="AK253" s="4"/>
      <c r="AR253" s="4"/>
    </row>
    <row r="254" ht="12.75" customHeight="1">
      <c r="A254" s="20"/>
      <c r="B254" s="48"/>
      <c r="C254" s="25"/>
      <c r="D254" s="19"/>
      <c r="E254" s="19"/>
      <c r="F254" s="19"/>
      <c r="G254" s="19"/>
      <c r="H254" s="19"/>
      <c r="I254" s="19"/>
      <c r="J254" s="19"/>
      <c r="K254" s="19"/>
      <c r="L254" s="1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C254" s="4"/>
      <c r="AD254" s="4"/>
      <c r="AK254" s="4"/>
      <c r="AR254" s="4"/>
    </row>
    <row r="255" ht="12.75" customHeight="1">
      <c r="A255" s="20"/>
      <c r="B255" s="48"/>
      <c r="C255" s="25"/>
      <c r="D255" s="19"/>
      <c r="E255" s="19"/>
      <c r="F255" s="19"/>
      <c r="G255" s="19"/>
      <c r="H255" s="19"/>
      <c r="I255" s="19"/>
      <c r="J255" s="19"/>
      <c r="K255" s="19"/>
      <c r="L255" s="1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C255" s="4"/>
      <c r="AD255" s="4"/>
      <c r="AK255" s="4"/>
      <c r="AR255" s="4"/>
    </row>
    <row r="256" ht="12.75" customHeight="1">
      <c r="A256" s="20"/>
      <c r="B256" s="48"/>
      <c r="C256" s="25"/>
      <c r="D256" s="19"/>
      <c r="E256" s="19"/>
      <c r="F256" s="19"/>
      <c r="G256" s="19"/>
      <c r="H256" s="19"/>
      <c r="I256" s="19"/>
      <c r="J256" s="19"/>
      <c r="K256" s="19"/>
      <c r="L256" s="1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C256" s="4"/>
      <c r="AD256" s="4"/>
      <c r="AK256" s="4"/>
      <c r="AR256" s="4"/>
    </row>
    <row r="257" ht="12.75" customHeight="1">
      <c r="A257" s="20"/>
      <c r="B257" s="48"/>
      <c r="C257" s="25"/>
      <c r="D257" s="19"/>
      <c r="E257" s="19"/>
      <c r="F257" s="19"/>
      <c r="G257" s="19"/>
      <c r="H257" s="19"/>
      <c r="I257" s="19"/>
      <c r="J257" s="19"/>
      <c r="K257" s="19"/>
      <c r="L257" s="1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C257" s="4"/>
      <c r="AD257" s="4"/>
      <c r="AK257" s="4"/>
      <c r="AR257" s="4"/>
    </row>
    <row r="258" ht="12.75" customHeight="1">
      <c r="A258" s="20"/>
      <c r="B258" s="48"/>
      <c r="C258" s="25"/>
      <c r="D258" s="19"/>
      <c r="E258" s="19"/>
      <c r="F258" s="19"/>
      <c r="G258" s="19"/>
      <c r="H258" s="19"/>
      <c r="I258" s="19"/>
      <c r="J258" s="19"/>
      <c r="K258" s="19"/>
      <c r="L258" s="1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C258" s="4"/>
      <c r="AD258" s="4"/>
      <c r="AK258" s="4"/>
      <c r="AR258" s="4"/>
    </row>
    <row r="259" ht="12.75" customHeight="1">
      <c r="A259" s="20"/>
      <c r="B259" s="48"/>
      <c r="C259" s="25"/>
      <c r="D259" s="19"/>
      <c r="E259" s="19"/>
      <c r="F259" s="19"/>
      <c r="G259" s="19"/>
      <c r="H259" s="19"/>
      <c r="I259" s="19"/>
      <c r="J259" s="19"/>
      <c r="K259" s="19"/>
      <c r="L259" s="1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C259" s="4"/>
      <c r="AD259" s="4"/>
      <c r="AK259" s="4"/>
      <c r="AR259" s="4"/>
    </row>
    <row r="260" ht="12.75" customHeight="1">
      <c r="A260" s="20"/>
      <c r="B260" s="48"/>
      <c r="C260" s="25"/>
      <c r="D260" s="19"/>
      <c r="E260" s="19"/>
      <c r="F260" s="19"/>
      <c r="G260" s="19"/>
      <c r="H260" s="19"/>
      <c r="I260" s="19"/>
      <c r="J260" s="19"/>
      <c r="K260" s="19"/>
      <c r="L260" s="1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C260" s="4"/>
      <c r="AD260" s="4"/>
      <c r="AK260" s="4"/>
      <c r="AR260" s="4"/>
    </row>
    <row r="261" ht="12.75" customHeight="1">
      <c r="A261" s="20"/>
      <c r="B261" s="48"/>
      <c r="C261" s="25"/>
      <c r="D261" s="19"/>
      <c r="E261" s="19"/>
      <c r="F261" s="19"/>
      <c r="G261" s="19"/>
      <c r="H261" s="19"/>
      <c r="I261" s="19"/>
      <c r="J261" s="19"/>
      <c r="K261" s="19"/>
      <c r="L261" s="1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C261" s="4"/>
      <c r="AD261" s="4"/>
      <c r="AK261" s="4"/>
      <c r="AR261" s="4"/>
    </row>
    <row r="262" ht="12.75" customHeight="1">
      <c r="A262" s="20"/>
      <c r="B262" s="48"/>
      <c r="C262" s="25"/>
      <c r="D262" s="19"/>
      <c r="E262" s="19"/>
      <c r="F262" s="19"/>
      <c r="G262" s="19"/>
      <c r="H262" s="19"/>
      <c r="I262" s="19"/>
      <c r="J262" s="19"/>
      <c r="K262" s="19"/>
      <c r="L262" s="1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C262" s="4"/>
      <c r="AD262" s="4"/>
      <c r="AK262" s="4"/>
      <c r="AR262" s="4"/>
    </row>
    <row r="263" ht="12.75" customHeight="1">
      <c r="A263" s="20"/>
      <c r="B263" s="48"/>
      <c r="C263" s="25"/>
      <c r="D263" s="19"/>
      <c r="E263" s="19"/>
      <c r="F263" s="19"/>
      <c r="G263" s="19"/>
      <c r="H263" s="19"/>
      <c r="I263" s="19"/>
      <c r="J263" s="19"/>
      <c r="K263" s="19"/>
      <c r="L263" s="1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C263" s="4"/>
      <c r="AD263" s="4"/>
      <c r="AK263" s="4"/>
      <c r="AR263" s="4"/>
    </row>
    <row r="264" ht="12.75" customHeight="1">
      <c r="A264" s="20"/>
      <c r="B264" s="48"/>
      <c r="C264" s="25"/>
      <c r="D264" s="19"/>
      <c r="E264" s="19"/>
      <c r="F264" s="19"/>
      <c r="G264" s="19"/>
      <c r="H264" s="19"/>
      <c r="I264" s="19"/>
      <c r="J264" s="19"/>
      <c r="K264" s="19"/>
      <c r="L264" s="1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C264" s="4"/>
      <c r="AD264" s="4"/>
      <c r="AK264" s="4"/>
      <c r="AR264" s="4"/>
    </row>
    <row r="265" ht="12.75" customHeight="1">
      <c r="A265" s="20"/>
      <c r="B265" s="48"/>
      <c r="C265" s="25"/>
      <c r="D265" s="19"/>
      <c r="E265" s="19"/>
      <c r="F265" s="19"/>
      <c r="G265" s="19"/>
      <c r="H265" s="19"/>
      <c r="I265" s="19"/>
      <c r="J265" s="19"/>
      <c r="K265" s="19"/>
      <c r="L265" s="1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C265" s="4"/>
      <c r="AD265" s="4"/>
      <c r="AK265" s="4"/>
      <c r="AR265" s="4"/>
    </row>
    <row r="266" ht="12.75" customHeight="1">
      <c r="A266" s="20"/>
      <c r="B266" s="48"/>
      <c r="C266" s="25"/>
      <c r="D266" s="19"/>
      <c r="E266" s="19"/>
      <c r="F266" s="19"/>
      <c r="G266" s="19"/>
      <c r="H266" s="19"/>
      <c r="I266" s="19"/>
      <c r="J266" s="19"/>
      <c r="K266" s="19"/>
      <c r="L266" s="1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C266" s="4"/>
      <c r="AD266" s="4"/>
      <c r="AK266" s="4"/>
      <c r="AR266" s="4"/>
    </row>
    <row r="267" ht="12.75" customHeight="1">
      <c r="A267" s="20"/>
      <c r="B267" s="48"/>
      <c r="C267" s="25"/>
      <c r="D267" s="19"/>
      <c r="E267" s="19"/>
      <c r="F267" s="19"/>
      <c r="G267" s="19"/>
      <c r="H267" s="19"/>
      <c r="I267" s="19"/>
      <c r="J267" s="19"/>
      <c r="K267" s="19"/>
      <c r="L267" s="1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C267" s="4"/>
      <c r="AD267" s="4"/>
      <c r="AK267" s="4"/>
      <c r="AR267" s="4"/>
    </row>
    <row r="268" ht="12.75" customHeight="1">
      <c r="A268" s="20"/>
      <c r="B268" s="48"/>
      <c r="C268" s="25"/>
      <c r="D268" s="19"/>
      <c r="E268" s="19"/>
      <c r="F268" s="19"/>
      <c r="G268" s="19"/>
      <c r="H268" s="19"/>
      <c r="I268" s="19"/>
      <c r="J268" s="19"/>
      <c r="K268" s="19"/>
      <c r="L268" s="1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C268" s="4"/>
      <c r="AD268" s="4"/>
      <c r="AK268" s="4"/>
      <c r="AR268" s="4"/>
    </row>
    <row r="269" ht="12.75" customHeight="1">
      <c r="A269" s="20"/>
      <c r="B269" s="48"/>
      <c r="C269" s="25"/>
      <c r="D269" s="19"/>
      <c r="E269" s="19"/>
      <c r="F269" s="19"/>
      <c r="G269" s="19"/>
      <c r="H269" s="19"/>
      <c r="I269" s="19"/>
      <c r="J269" s="19"/>
      <c r="K269" s="19"/>
      <c r="L269" s="1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C269" s="4"/>
      <c r="AD269" s="4"/>
      <c r="AK269" s="4"/>
      <c r="AR269" s="4"/>
    </row>
    <row r="270" ht="12.75" customHeight="1">
      <c r="A270" s="20"/>
      <c r="B270" s="48"/>
      <c r="C270" s="25"/>
      <c r="D270" s="19"/>
      <c r="E270" s="19"/>
      <c r="F270" s="19"/>
      <c r="G270" s="19"/>
      <c r="H270" s="19"/>
      <c r="I270" s="19"/>
      <c r="J270" s="19"/>
      <c r="K270" s="19"/>
      <c r="L270" s="1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C270" s="4"/>
      <c r="AD270" s="4"/>
      <c r="AK270" s="4"/>
      <c r="AR270" s="4"/>
    </row>
    <row r="271" ht="12.75" customHeight="1">
      <c r="A271" s="20"/>
      <c r="B271" s="48"/>
      <c r="C271" s="25"/>
      <c r="D271" s="19"/>
      <c r="E271" s="19"/>
      <c r="F271" s="19"/>
      <c r="G271" s="19"/>
      <c r="H271" s="19"/>
      <c r="I271" s="19"/>
      <c r="J271" s="19"/>
      <c r="K271" s="19"/>
      <c r="L271" s="1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C271" s="4"/>
      <c r="AD271" s="4"/>
      <c r="AK271" s="4"/>
      <c r="AR271" s="4"/>
    </row>
    <row r="272" ht="12.75" customHeight="1">
      <c r="A272" s="20"/>
      <c r="B272" s="48"/>
      <c r="C272" s="25"/>
      <c r="D272" s="19"/>
      <c r="E272" s="19"/>
      <c r="F272" s="19"/>
      <c r="G272" s="19"/>
      <c r="H272" s="19"/>
      <c r="I272" s="19"/>
      <c r="J272" s="19"/>
      <c r="K272" s="19"/>
      <c r="L272" s="1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C272" s="4"/>
      <c r="AD272" s="4"/>
      <c r="AK272" s="4"/>
      <c r="AR272" s="4"/>
    </row>
    <row r="273" ht="12.75" customHeight="1">
      <c r="A273" s="20"/>
      <c r="B273" s="48"/>
      <c r="C273" s="25"/>
      <c r="D273" s="19"/>
      <c r="E273" s="19"/>
      <c r="F273" s="19"/>
      <c r="G273" s="19"/>
      <c r="H273" s="19"/>
      <c r="I273" s="19"/>
      <c r="J273" s="19"/>
      <c r="K273" s="19"/>
      <c r="L273" s="1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C273" s="4"/>
      <c r="AD273" s="4"/>
      <c r="AK273" s="4"/>
      <c r="AR273" s="4"/>
    </row>
    <row r="274" ht="12.75" customHeight="1">
      <c r="A274" s="20"/>
      <c r="B274" s="48"/>
      <c r="C274" s="25"/>
      <c r="D274" s="19"/>
      <c r="E274" s="19"/>
      <c r="F274" s="19"/>
      <c r="G274" s="19"/>
      <c r="H274" s="19"/>
      <c r="I274" s="19"/>
      <c r="J274" s="19"/>
      <c r="K274" s="19"/>
      <c r="L274" s="1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C274" s="4"/>
      <c r="AD274" s="4"/>
      <c r="AK274" s="4"/>
      <c r="AR274" s="4"/>
    </row>
    <row r="275" ht="12.75" customHeight="1">
      <c r="A275" s="20"/>
      <c r="B275" s="48"/>
      <c r="C275" s="25"/>
      <c r="D275" s="19"/>
      <c r="E275" s="19"/>
      <c r="F275" s="19"/>
      <c r="G275" s="19"/>
      <c r="H275" s="19"/>
      <c r="I275" s="19"/>
      <c r="J275" s="19"/>
      <c r="K275" s="19"/>
      <c r="L275" s="1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C275" s="4"/>
      <c r="AD275" s="4"/>
      <c r="AK275" s="4"/>
      <c r="AR275" s="4"/>
    </row>
    <row r="276" ht="12.75" customHeight="1">
      <c r="A276" s="20"/>
      <c r="B276" s="48"/>
      <c r="C276" s="25"/>
      <c r="D276" s="19"/>
      <c r="E276" s="19"/>
      <c r="F276" s="19"/>
      <c r="G276" s="19"/>
      <c r="H276" s="19"/>
      <c r="I276" s="19"/>
      <c r="J276" s="19"/>
      <c r="K276" s="19"/>
      <c r="L276" s="1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C276" s="4"/>
      <c r="AD276" s="4"/>
      <c r="AK276" s="4"/>
      <c r="AR276" s="4"/>
    </row>
    <row r="277" ht="12.75" customHeight="1">
      <c r="A277" s="20"/>
      <c r="B277" s="48"/>
      <c r="C277" s="25"/>
      <c r="D277" s="19"/>
      <c r="E277" s="19"/>
      <c r="F277" s="19"/>
      <c r="G277" s="19"/>
      <c r="H277" s="19"/>
      <c r="I277" s="19"/>
      <c r="J277" s="19"/>
      <c r="K277" s="19"/>
      <c r="L277" s="1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C277" s="4"/>
      <c r="AD277" s="4"/>
      <c r="AK277" s="4"/>
      <c r="AR277" s="4"/>
    </row>
    <row r="278" ht="12.75" customHeight="1">
      <c r="A278" s="20"/>
      <c r="B278" s="48"/>
      <c r="C278" s="25"/>
      <c r="D278" s="19"/>
      <c r="E278" s="19"/>
      <c r="F278" s="19"/>
      <c r="G278" s="19"/>
      <c r="H278" s="19"/>
      <c r="I278" s="19"/>
      <c r="J278" s="19"/>
      <c r="K278" s="19"/>
      <c r="L278" s="1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C278" s="4"/>
      <c r="AD278" s="4"/>
      <c r="AK278" s="4"/>
      <c r="AR278" s="4"/>
    </row>
    <row r="279" ht="12.75" customHeight="1">
      <c r="A279" s="20"/>
      <c r="B279" s="48"/>
      <c r="C279" s="25"/>
      <c r="D279" s="19"/>
      <c r="E279" s="19"/>
      <c r="F279" s="19"/>
      <c r="G279" s="19"/>
      <c r="H279" s="19"/>
      <c r="I279" s="19"/>
      <c r="J279" s="19"/>
      <c r="K279" s="19"/>
      <c r="L279" s="1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C279" s="4"/>
      <c r="AD279" s="4"/>
      <c r="AK279" s="4"/>
      <c r="AR279" s="4"/>
    </row>
    <row r="280" ht="12.75" customHeight="1">
      <c r="A280" s="20"/>
      <c r="B280" s="48"/>
      <c r="C280" s="25"/>
      <c r="D280" s="19"/>
      <c r="E280" s="19"/>
      <c r="F280" s="19"/>
      <c r="G280" s="19"/>
      <c r="H280" s="19"/>
      <c r="I280" s="19"/>
      <c r="J280" s="19"/>
      <c r="K280" s="19"/>
      <c r="L280" s="1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C280" s="4"/>
      <c r="AD280" s="4"/>
      <c r="AK280" s="4"/>
      <c r="AR280" s="4"/>
    </row>
    <row r="281" ht="12.75" customHeight="1">
      <c r="A281" s="20"/>
      <c r="B281" s="48"/>
      <c r="C281" s="25"/>
      <c r="D281" s="19"/>
      <c r="E281" s="19"/>
      <c r="F281" s="19"/>
      <c r="G281" s="19"/>
      <c r="H281" s="19"/>
      <c r="I281" s="19"/>
      <c r="J281" s="19"/>
      <c r="K281" s="19"/>
      <c r="L281" s="1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C281" s="4"/>
      <c r="AD281" s="4"/>
      <c r="AK281" s="4"/>
      <c r="AR281" s="4"/>
    </row>
    <row r="282" ht="12.75" customHeight="1">
      <c r="A282" s="20"/>
      <c r="B282" s="48"/>
      <c r="C282" s="25"/>
      <c r="D282" s="19"/>
      <c r="E282" s="19"/>
      <c r="F282" s="19"/>
      <c r="G282" s="19"/>
      <c r="H282" s="19"/>
      <c r="I282" s="19"/>
      <c r="J282" s="19"/>
      <c r="K282" s="19"/>
      <c r="L282" s="1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C282" s="4"/>
      <c r="AD282" s="4"/>
      <c r="AK282" s="4"/>
      <c r="AR282" s="4"/>
    </row>
    <row r="283" ht="12.75" customHeight="1">
      <c r="A283" s="20"/>
      <c r="B283" s="48"/>
      <c r="C283" s="25"/>
      <c r="D283" s="19"/>
      <c r="E283" s="19"/>
      <c r="F283" s="19"/>
      <c r="G283" s="19"/>
      <c r="H283" s="19"/>
      <c r="I283" s="19"/>
      <c r="J283" s="19"/>
      <c r="K283" s="19"/>
      <c r="L283" s="1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C283" s="4"/>
      <c r="AD283" s="4"/>
      <c r="AK283" s="4"/>
      <c r="AR283" s="4"/>
    </row>
    <row r="284" ht="12.75" customHeight="1">
      <c r="A284" s="20"/>
      <c r="B284" s="48"/>
      <c r="C284" s="25"/>
      <c r="D284" s="19"/>
      <c r="E284" s="19"/>
      <c r="F284" s="19"/>
      <c r="G284" s="19"/>
      <c r="H284" s="19"/>
      <c r="I284" s="19"/>
      <c r="J284" s="19"/>
      <c r="K284" s="19"/>
      <c r="L284" s="1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C284" s="4"/>
      <c r="AD284" s="4"/>
      <c r="AK284" s="4"/>
      <c r="AR284" s="4"/>
    </row>
    <row r="285" ht="12.75" customHeight="1">
      <c r="A285" s="20"/>
      <c r="B285" s="48"/>
      <c r="C285" s="25"/>
      <c r="D285" s="19"/>
      <c r="E285" s="19"/>
      <c r="F285" s="19"/>
      <c r="G285" s="19"/>
      <c r="H285" s="19"/>
      <c r="I285" s="19"/>
      <c r="J285" s="19"/>
      <c r="K285" s="19"/>
      <c r="L285" s="1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C285" s="4"/>
      <c r="AD285" s="4"/>
      <c r="AK285" s="4"/>
      <c r="AR285" s="4"/>
    </row>
    <row r="286" ht="12.75" customHeight="1">
      <c r="A286" s="20"/>
      <c r="B286" s="48"/>
      <c r="C286" s="25"/>
      <c r="D286" s="19"/>
      <c r="E286" s="19"/>
      <c r="F286" s="19"/>
      <c r="G286" s="19"/>
      <c r="H286" s="19"/>
      <c r="I286" s="19"/>
      <c r="J286" s="19"/>
      <c r="K286" s="19"/>
      <c r="L286" s="1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C286" s="4"/>
      <c r="AD286" s="4"/>
      <c r="AK286" s="4"/>
      <c r="AR286" s="4"/>
    </row>
    <row r="287" ht="12.75" customHeight="1">
      <c r="A287" s="20"/>
      <c r="B287" s="48"/>
      <c r="C287" s="25"/>
      <c r="D287" s="19"/>
      <c r="E287" s="19"/>
      <c r="F287" s="19"/>
      <c r="G287" s="19"/>
      <c r="H287" s="19"/>
      <c r="I287" s="19"/>
      <c r="J287" s="19"/>
      <c r="K287" s="19"/>
      <c r="L287" s="1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C287" s="4"/>
      <c r="AD287" s="4"/>
      <c r="AK287" s="4"/>
      <c r="AR287" s="4"/>
    </row>
    <row r="288" ht="12.75" customHeight="1">
      <c r="A288" s="20"/>
      <c r="B288" s="48"/>
      <c r="C288" s="25"/>
      <c r="D288" s="19"/>
      <c r="E288" s="19"/>
      <c r="F288" s="19"/>
      <c r="G288" s="19"/>
      <c r="H288" s="19"/>
      <c r="I288" s="19"/>
      <c r="J288" s="19"/>
      <c r="K288" s="19"/>
      <c r="L288" s="1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C288" s="4"/>
      <c r="AD288" s="4"/>
      <c r="AK288" s="4"/>
      <c r="AR288" s="4"/>
    </row>
    <row r="289" ht="12.75" customHeight="1">
      <c r="A289" s="20"/>
      <c r="B289" s="48"/>
      <c r="C289" s="25"/>
      <c r="D289" s="19"/>
      <c r="E289" s="19"/>
      <c r="F289" s="19"/>
      <c r="G289" s="19"/>
      <c r="H289" s="19"/>
      <c r="I289" s="19"/>
      <c r="J289" s="19"/>
      <c r="K289" s="19"/>
      <c r="L289" s="1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C289" s="4"/>
      <c r="AD289" s="4"/>
      <c r="AK289" s="4"/>
      <c r="AR289" s="4"/>
    </row>
    <row r="290" ht="12.75" customHeight="1">
      <c r="A290" s="20"/>
      <c r="B290" s="48"/>
      <c r="C290" s="25"/>
      <c r="D290" s="19"/>
      <c r="E290" s="19"/>
      <c r="F290" s="19"/>
      <c r="G290" s="19"/>
      <c r="H290" s="19"/>
      <c r="I290" s="19"/>
      <c r="J290" s="19"/>
      <c r="K290" s="19"/>
      <c r="L290" s="1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C290" s="4"/>
      <c r="AD290" s="4"/>
      <c r="AK290" s="4"/>
      <c r="AR290" s="4"/>
    </row>
    <row r="291" ht="12.75" customHeight="1">
      <c r="A291" s="20"/>
      <c r="B291" s="48"/>
      <c r="C291" s="25"/>
      <c r="D291" s="19"/>
      <c r="E291" s="19"/>
      <c r="F291" s="19"/>
      <c r="G291" s="19"/>
      <c r="H291" s="19"/>
      <c r="I291" s="19"/>
      <c r="J291" s="19"/>
      <c r="K291" s="19"/>
      <c r="L291" s="1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C291" s="4"/>
      <c r="AD291" s="4"/>
      <c r="AK291" s="4"/>
      <c r="AR291" s="4"/>
    </row>
    <row r="292" ht="12.75" customHeight="1">
      <c r="A292" s="20"/>
      <c r="B292" s="48"/>
      <c r="C292" s="25"/>
      <c r="D292" s="19"/>
      <c r="E292" s="19"/>
      <c r="F292" s="19"/>
      <c r="G292" s="19"/>
      <c r="H292" s="19"/>
      <c r="I292" s="19"/>
      <c r="J292" s="19"/>
      <c r="K292" s="19"/>
      <c r="L292" s="1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C292" s="4"/>
      <c r="AD292" s="4"/>
      <c r="AK292" s="4"/>
      <c r="AR292" s="4"/>
    </row>
    <row r="293" ht="12.75" customHeight="1">
      <c r="A293" s="20"/>
      <c r="B293" s="48"/>
      <c r="C293" s="25"/>
      <c r="D293" s="19"/>
      <c r="E293" s="19"/>
      <c r="F293" s="19"/>
      <c r="G293" s="19"/>
      <c r="H293" s="19"/>
      <c r="I293" s="19"/>
      <c r="J293" s="19"/>
      <c r="K293" s="19"/>
      <c r="L293" s="1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C293" s="4"/>
      <c r="AD293" s="4"/>
      <c r="AK293" s="4"/>
      <c r="AR293" s="4"/>
    </row>
    <row r="294" ht="12.75" customHeight="1">
      <c r="A294" s="20"/>
      <c r="B294" s="48"/>
      <c r="C294" s="25"/>
      <c r="D294" s="19"/>
      <c r="E294" s="19"/>
      <c r="F294" s="19"/>
      <c r="G294" s="19"/>
      <c r="H294" s="19"/>
      <c r="I294" s="19"/>
      <c r="J294" s="19"/>
      <c r="K294" s="19"/>
      <c r="L294" s="1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C294" s="4"/>
      <c r="AD294" s="4"/>
      <c r="AK294" s="4"/>
      <c r="AR294" s="4"/>
    </row>
    <row r="295" ht="12.75" customHeight="1">
      <c r="A295" s="20"/>
      <c r="B295" s="48"/>
      <c r="C295" s="25"/>
      <c r="D295" s="19"/>
      <c r="E295" s="19"/>
      <c r="F295" s="19"/>
      <c r="G295" s="19"/>
      <c r="H295" s="19"/>
      <c r="I295" s="19"/>
      <c r="J295" s="19"/>
      <c r="K295" s="19"/>
      <c r="L295" s="1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C295" s="4"/>
      <c r="AD295" s="4"/>
      <c r="AK295" s="4"/>
      <c r="AR295" s="4"/>
    </row>
    <row r="296" ht="12.75" customHeight="1">
      <c r="A296" s="20"/>
      <c r="B296" s="48"/>
      <c r="C296" s="25"/>
      <c r="D296" s="19"/>
      <c r="E296" s="19"/>
      <c r="F296" s="19"/>
      <c r="G296" s="19"/>
      <c r="H296" s="19"/>
      <c r="I296" s="19"/>
      <c r="J296" s="19"/>
      <c r="K296" s="19"/>
      <c r="L296" s="1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C296" s="4"/>
      <c r="AD296" s="4"/>
      <c r="AK296" s="4"/>
      <c r="AR296" s="4"/>
    </row>
    <row r="297" ht="12.75" customHeight="1">
      <c r="A297" s="20"/>
      <c r="B297" s="48"/>
      <c r="C297" s="25"/>
      <c r="D297" s="19"/>
      <c r="E297" s="19"/>
      <c r="F297" s="19"/>
      <c r="G297" s="19"/>
      <c r="H297" s="19"/>
      <c r="I297" s="19"/>
      <c r="J297" s="19"/>
      <c r="K297" s="19"/>
      <c r="L297" s="1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C297" s="4"/>
      <c r="AD297" s="4"/>
      <c r="AK297" s="4"/>
      <c r="AR297" s="4"/>
    </row>
    <row r="298" ht="12.75" customHeight="1">
      <c r="A298" s="20"/>
      <c r="B298" s="48"/>
      <c r="C298" s="25"/>
      <c r="D298" s="19"/>
      <c r="E298" s="19"/>
      <c r="F298" s="19"/>
      <c r="G298" s="19"/>
      <c r="H298" s="19"/>
      <c r="I298" s="19"/>
      <c r="J298" s="19"/>
      <c r="K298" s="19"/>
      <c r="L298" s="1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C298" s="4"/>
      <c r="AD298" s="4"/>
      <c r="AK298" s="4"/>
      <c r="AR298" s="4"/>
    </row>
    <row r="299" ht="12.75" customHeight="1">
      <c r="A299" s="20"/>
      <c r="B299" s="48"/>
      <c r="C299" s="25"/>
      <c r="D299" s="19"/>
      <c r="E299" s="19"/>
      <c r="F299" s="19"/>
      <c r="G299" s="19"/>
      <c r="H299" s="19"/>
      <c r="I299" s="19"/>
      <c r="J299" s="19"/>
      <c r="K299" s="19"/>
      <c r="L299" s="1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C299" s="4"/>
      <c r="AD299" s="4"/>
      <c r="AK299" s="4"/>
      <c r="AR299" s="4"/>
    </row>
    <row r="300" ht="12.75" customHeight="1">
      <c r="A300" s="20"/>
      <c r="B300" s="48"/>
      <c r="C300" s="25"/>
      <c r="D300" s="19"/>
      <c r="E300" s="19"/>
      <c r="F300" s="19"/>
      <c r="G300" s="19"/>
      <c r="H300" s="19"/>
      <c r="I300" s="19"/>
      <c r="J300" s="19"/>
      <c r="K300" s="19"/>
      <c r="L300" s="1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C300" s="4"/>
      <c r="AD300" s="4"/>
      <c r="AK300" s="4"/>
      <c r="AR300" s="4"/>
    </row>
    <row r="301" ht="12.75" customHeight="1">
      <c r="A301" s="20"/>
      <c r="B301" s="48"/>
      <c r="C301" s="25"/>
      <c r="D301" s="19"/>
      <c r="E301" s="19"/>
      <c r="F301" s="19"/>
      <c r="G301" s="19"/>
      <c r="H301" s="19"/>
      <c r="I301" s="19"/>
      <c r="J301" s="19"/>
      <c r="K301" s="19"/>
      <c r="L301" s="1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C301" s="4"/>
      <c r="AD301" s="4"/>
      <c r="AK301" s="4"/>
      <c r="AR301" s="4"/>
    </row>
    <row r="302" ht="12.75" customHeight="1">
      <c r="A302" s="20"/>
      <c r="B302" s="48"/>
      <c r="C302" s="25"/>
      <c r="D302" s="19"/>
      <c r="E302" s="19"/>
      <c r="F302" s="19"/>
      <c r="G302" s="19"/>
      <c r="H302" s="19"/>
      <c r="I302" s="19"/>
      <c r="J302" s="19"/>
      <c r="K302" s="19"/>
      <c r="L302" s="1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C302" s="4"/>
      <c r="AD302" s="4"/>
      <c r="AK302" s="4"/>
      <c r="AR302" s="4"/>
    </row>
    <row r="303" ht="12.75" customHeight="1">
      <c r="A303" s="20"/>
      <c r="B303" s="48"/>
      <c r="C303" s="25"/>
      <c r="D303" s="19"/>
      <c r="E303" s="19"/>
      <c r="F303" s="19"/>
      <c r="G303" s="19"/>
      <c r="H303" s="19"/>
      <c r="I303" s="19"/>
      <c r="J303" s="19"/>
      <c r="K303" s="19"/>
      <c r="L303" s="1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C303" s="4"/>
      <c r="AD303" s="4"/>
      <c r="AK303" s="4"/>
      <c r="AR303" s="4"/>
    </row>
    <row r="304" ht="12.75" customHeight="1">
      <c r="A304" s="20"/>
      <c r="B304" s="48"/>
      <c r="C304" s="25"/>
      <c r="D304" s="19"/>
      <c r="E304" s="19"/>
      <c r="F304" s="19"/>
      <c r="G304" s="19"/>
      <c r="H304" s="19"/>
      <c r="I304" s="19"/>
      <c r="J304" s="19"/>
      <c r="K304" s="19"/>
      <c r="L304" s="1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C304" s="4"/>
      <c r="AD304" s="4"/>
      <c r="AK304" s="4"/>
      <c r="AR304" s="4"/>
    </row>
    <row r="305" ht="12.75" customHeight="1">
      <c r="A305" s="20"/>
      <c r="B305" s="48"/>
      <c r="C305" s="25"/>
      <c r="D305" s="19"/>
      <c r="E305" s="19"/>
      <c r="F305" s="19"/>
      <c r="G305" s="19"/>
      <c r="H305" s="19"/>
      <c r="I305" s="19"/>
      <c r="J305" s="19"/>
      <c r="K305" s="19"/>
      <c r="L305" s="1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C305" s="4"/>
      <c r="AD305" s="4"/>
      <c r="AK305" s="4"/>
      <c r="AR305" s="4"/>
    </row>
    <row r="306" ht="12.75" customHeight="1">
      <c r="A306" s="20"/>
      <c r="B306" s="48"/>
      <c r="C306" s="25"/>
      <c r="D306" s="19"/>
      <c r="E306" s="19"/>
      <c r="F306" s="19"/>
      <c r="G306" s="19"/>
      <c r="H306" s="19"/>
      <c r="I306" s="19"/>
      <c r="J306" s="19"/>
      <c r="K306" s="19"/>
      <c r="L306" s="1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C306" s="4"/>
      <c r="AD306" s="4"/>
      <c r="AK306" s="4"/>
      <c r="AR306" s="4"/>
    </row>
    <row r="307" ht="12.75" customHeight="1">
      <c r="A307" s="20"/>
      <c r="B307" s="48"/>
      <c r="C307" s="25"/>
      <c r="D307" s="19"/>
      <c r="E307" s="19"/>
      <c r="F307" s="19"/>
      <c r="G307" s="19"/>
      <c r="H307" s="19"/>
      <c r="I307" s="19"/>
      <c r="J307" s="19"/>
      <c r="K307" s="19"/>
      <c r="L307" s="1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C307" s="4"/>
      <c r="AD307" s="4"/>
      <c r="AK307" s="4"/>
      <c r="AR307" s="4"/>
    </row>
    <row r="308" ht="12.75" customHeight="1">
      <c r="A308" s="20"/>
      <c r="B308" s="48"/>
      <c r="C308" s="25"/>
      <c r="D308" s="19"/>
      <c r="E308" s="19"/>
      <c r="F308" s="19"/>
      <c r="G308" s="19"/>
      <c r="H308" s="19"/>
      <c r="I308" s="19"/>
      <c r="J308" s="19"/>
      <c r="K308" s="19"/>
      <c r="L308" s="1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C308" s="4"/>
      <c r="AD308" s="4"/>
      <c r="AK308" s="4"/>
      <c r="AR308" s="4"/>
    </row>
    <row r="309" ht="12.75" customHeight="1">
      <c r="A309" s="20"/>
      <c r="B309" s="48"/>
      <c r="C309" s="25"/>
      <c r="D309" s="19"/>
      <c r="E309" s="19"/>
      <c r="F309" s="19"/>
      <c r="G309" s="19"/>
      <c r="H309" s="19"/>
      <c r="I309" s="19"/>
      <c r="J309" s="19"/>
      <c r="K309" s="19"/>
      <c r="L309" s="1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C309" s="4"/>
      <c r="AD309" s="4"/>
      <c r="AK309" s="4"/>
      <c r="AR309" s="4"/>
    </row>
    <row r="310" ht="12.75" customHeight="1">
      <c r="A310" s="20"/>
      <c r="B310" s="48"/>
      <c r="C310" s="25"/>
      <c r="D310" s="19"/>
      <c r="E310" s="19"/>
      <c r="F310" s="19"/>
      <c r="G310" s="19"/>
      <c r="H310" s="19"/>
      <c r="I310" s="19"/>
      <c r="J310" s="19"/>
      <c r="K310" s="19"/>
      <c r="L310" s="1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C310" s="4"/>
      <c r="AD310" s="4"/>
      <c r="AK310" s="4"/>
      <c r="AR310" s="4"/>
    </row>
    <row r="311" ht="12.75" customHeight="1">
      <c r="A311" s="20"/>
      <c r="B311" s="48"/>
      <c r="C311" s="25"/>
      <c r="D311" s="19"/>
      <c r="E311" s="19"/>
      <c r="F311" s="19"/>
      <c r="G311" s="19"/>
      <c r="H311" s="19"/>
      <c r="I311" s="19"/>
      <c r="J311" s="19"/>
      <c r="K311" s="19"/>
      <c r="L311" s="1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C311" s="4"/>
      <c r="AD311" s="4"/>
      <c r="AK311" s="4"/>
      <c r="AR311" s="4"/>
    </row>
    <row r="312" ht="12.75" customHeight="1">
      <c r="A312" s="20"/>
      <c r="B312" s="48"/>
      <c r="C312" s="25"/>
      <c r="D312" s="19"/>
      <c r="E312" s="19"/>
      <c r="F312" s="19"/>
      <c r="G312" s="19"/>
      <c r="H312" s="19"/>
      <c r="I312" s="19"/>
      <c r="J312" s="19"/>
      <c r="K312" s="19"/>
      <c r="L312" s="1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C312" s="4"/>
      <c r="AD312" s="4"/>
      <c r="AK312" s="4"/>
      <c r="AR312" s="4"/>
    </row>
    <row r="313" ht="12.75" customHeight="1">
      <c r="A313" s="20"/>
      <c r="B313" s="48"/>
      <c r="C313" s="25"/>
      <c r="D313" s="19"/>
      <c r="E313" s="19"/>
      <c r="F313" s="19"/>
      <c r="G313" s="19"/>
      <c r="H313" s="19"/>
      <c r="I313" s="19"/>
      <c r="J313" s="19"/>
      <c r="K313" s="19"/>
      <c r="L313" s="1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C313" s="4"/>
      <c r="AD313" s="4"/>
      <c r="AK313" s="4"/>
      <c r="AR313" s="4"/>
    </row>
    <row r="314" ht="12.75" customHeight="1">
      <c r="A314" s="20"/>
      <c r="B314" s="48"/>
      <c r="C314" s="25"/>
      <c r="D314" s="19"/>
      <c r="E314" s="19"/>
      <c r="F314" s="19"/>
      <c r="G314" s="19"/>
      <c r="H314" s="19"/>
      <c r="I314" s="19"/>
      <c r="J314" s="19"/>
      <c r="K314" s="19"/>
      <c r="L314" s="1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C314" s="4"/>
      <c r="AD314" s="4"/>
      <c r="AK314" s="4"/>
      <c r="AR314" s="4"/>
    </row>
    <row r="315" ht="12.75" customHeight="1">
      <c r="A315" s="20"/>
      <c r="B315" s="48"/>
      <c r="C315" s="25"/>
      <c r="D315" s="19"/>
      <c r="E315" s="19"/>
      <c r="F315" s="19"/>
      <c r="G315" s="19"/>
      <c r="H315" s="19"/>
      <c r="I315" s="19"/>
      <c r="J315" s="19"/>
      <c r="K315" s="19"/>
      <c r="L315" s="1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C315" s="4"/>
      <c r="AD315" s="4"/>
      <c r="AK315" s="4"/>
      <c r="AR315" s="4"/>
    </row>
    <row r="316" ht="12.75" customHeight="1">
      <c r="A316" s="20"/>
      <c r="B316" s="48"/>
      <c r="C316" s="25"/>
      <c r="D316" s="19"/>
      <c r="E316" s="19"/>
      <c r="F316" s="19"/>
      <c r="G316" s="19"/>
      <c r="H316" s="19"/>
      <c r="I316" s="19"/>
      <c r="J316" s="19"/>
      <c r="K316" s="19"/>
      <c r="L316" s="1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C316" s="4"/>
      <c r="AD316" s="4"/>
      <c r="AK316" s="4"/>
      <c r="AR316" s="4"/>
    </row>
    <row r="317" ht="12.75" customHeight="1">
      <c r="A317" s="20"/>
      <c r="B317" s="48"/>
      <c r="C317" s="25"/>
      <c r="D317" s="19"/>
      <c r="E317" s="19"/>
      <c r="F317" s="19"/>
      <c r="G317" s="19"/>
      <c r="H317" s="19"/>
      <c r="I317" s="19"/>
      <c r="J317" s="19"/>
      <c r="K317" s="19"/>
      <c r="L317" s="1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C317" s="4"/>
      <c r="AD317" s="4"/>
      <c r="AK317" s="4"/>
      <c r="AR317" s="4"/>
    </row>
    <row r="318" ht="12.75" customHeight="1">
      <c r="A318" s="20"/>
      <c r="B318" s="48"/>
      <c r="C318" s="25"/>
      <c r="D318" s="19"/>
      <c r="E318" s="19"/>
      <c r="F318" s="19"/>
      <c r="G318" s="19"/>
      <c r="H318" s="19"/>
      <c r="I318" s="19"/>
      <c r="J318" s="19"/>
      <c r="K318" s="19"/>
      <c r="L318" s="1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C318" s="4"/>
      <c r="AD318" s="4"/>
      <c r="AK318" s="4"/>
      <c r="AR318" s="4"/>
    </row>
    <row r="319" ht="12.75" customHeight="1">
      <c r="A319" s="20"/>
      <c r="B319" s="48"/>
      <c r="C319" s="25"/>
      <c r="D319" s="19"/>
      <c r="E319" s="19"/>
      <c r="F319" s="19"/>
      <c r="G319" s="19"/>
      <c r="H319" s="19"/>
      <c r="I319" s="19"/>
      <c r="J319" s="19"/>
      <c r="K319" s="19"/>
      <c r="L319" s="1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C319" s="4"/>
      <c r="AD319" s="4"/>
      <c r="AK319" s="4"/>
      <c r="AR319" s="4"/>
    </row>
    <row r="320" ht="12.75" customHeight="1">
      <c r="A320" s="20"/>
      <c r="B320" s="48"/>
      <c r="C320" s="25"/>
      <c r="D320" s="19"/>
      <c r="E320" s="19"/>
      <c r="F320" s="19"/>
      <c r="G320" s="19"/>
      <c r="H320" s="19"/>
      <c r="I320" s="19"/>
      <c r="J320" s="19"/>
      <c r="K320" s="19"/>
      <c r="L320" s="1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C320" s="4"/>
      <c r="AD320" s="4"/>
      <c r="AK320" s="4"/>
      <c r="AR320" s="4"/>
    </row>
    <row r="321" ht="12.75" customHeight="1">
      <c r="A321" s="20"/>
      <c r="B321" s="48"/>
      <c r="C321" s="25"/>
      <c r="D321" s="19"/>
      <c r="E321" s="19"/>
      <c r="F321" s="19"/>
      <c r="G321" s="19"/>
      <c r="H321" s="19"/>
      <c r="I321" s="19"/>
      <c r="J321" s="19"/>
      <c r="K321" s="19"/>
      <c r="L321" s="1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C321" s="4"/>
      <c r="AD321" s="4"/>
      <c r="AK321" s="4"/>
      <c r="AR321" s="4"/>
    </row>
    <row r="322" ht="12.75" customHeight="1">
      <c r="A322" s="20"/>
      <c r="B322" s="48"/>
      <c r="C322" s="25"/>
      <c r="D322" s="19"/>
      <c r="E322" s="19"/>
      <c r="F322" s="19"/>
      <c r="G322" s="19"/>
      <c r="H322" s="19"/>
      <c r="I322" s="19"/>
      <c r="J322" s="19"/>
      <c r="K322" s="19"/>
      <c r="L322" s="1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C322" s="4"/>
      <c r="AD322" s="4"/>
      <c r="AK322" s="4"/>
      <c r="AR322" s="4"/>
    </row>
    <row r="323" ht="12.75" customHeight="1">
      <c r="A323" s="20"/>
      <c r="B323" s="48"/>
      <c r="C323" s="25"/>
      <c r="D323" s="19"/>
      <c r="E323" s="19"/>
      <c r="F323" s="19"/>
      <c r="G323" s="19"/>
      <c r="H323" s="19"/>
      <c r="I323" s="19"/>
      <c r="J323" s="19"/>
      <c r="K323" s="19"/>
      <c r="L323" s="1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C323" s="4"/>
      <c r="AD323" s="4"/>
      <c r="AK323" s="4"/>
      <c r="AR323" s="4"/>
    </row>
    <row r="324" ht="12.75" customHeight="1">
      <c r="A324" s="20"/>
      <c r="B324" s="48"/>
      <c r="C324" s="25"/>
      <c r="D324" s="19"/>
      <c r="E324" s="19"/>
      <c r="F324" s="19"/>
      <c r="G324" s="19"/>
      <c r="H324" s="19"/>
      <c r="I324" s="19"/>
      <c r="J324" s="19"/>
      <c r="K324" s="19"/>
      <c r="L324" s="1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C324" s="4"/>
      <c r="AD324" s="4"/>
      <c r="AK324" s="4"/>
      <c r="AR324" s="4"/>
    </row>
    <row r="325" ht="12.75" customHeight="1">
      <c r="A325" s="20"/>
      <c r="B325" s="48"/>
      <c r="C325" s="25"/>
      <c r="D325" s="19"/>
      <c r="E325" s="19"/>
      <c r="F325" s="19"/>
      <c r="G325" s="19"/>
      <c r="H325" s="19"/>
      <c r="I325" s="19"/>
      <c r="J325" s="19"/>
      <c r="K325" s="19"/>
      <c r="L325" s="1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C325" s="4"/>
      <c r="AD325" s="4"/>
      <c r="AK325" s="4"/>
      <c r="AR325" s="4"/>
    </row>
    <row r="326" ht="12.75" customHeight="1">
      <c r="A326" s="20"/>
      <c r="B326" s="48"/>
      <c r="C326" s="25"/>
      <c r="D326" s="19"/>
      <c r="E326" s="19"/>
      <c r="F326" s="19"/>
      <c r="G326" s="19"/>
      <c r="H326" s="19"/>
      <c r="I326" s="19"/>
      <c r="J326" s="19"/>
      <c r="K326" s="19"/>
      <c r="L326" s="1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C326" s="4"/>
      <c r="AD326" s="4"/>
      <c r="AK326" s="4"/>
      <c r="AR326" s="4"/>
    </row>
    <row r="327" ht="12.75" customHeight="1">
      <c r="A327" s="20"/>
      <c r="B327" s="48"/>
      <c r="C327" s="25"/>
      <c r="D327" s="19"/>
      <c r="E327" s="19"/>
      <c r="F327" s="19"/>
      <c r="G327" s="19"/>
      <c r="H327" s="19"/>
      <c r="I327" s="19"/>
      <c r="J327" s="19"/>
      <c r="K327" s="19"/>
      <c r="L327" s="1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C327" s="4"/>
      <c r="AD327" s="4"/>
      <c r="AK327" s="4"/>
      <c r="AR327" s="4"/>
    </row>
    <row r="328" ht="12.75" customHeight="1">
      <c r="A328" s="20"/>
      <c r="B328" s="48"/>
      <c r="C328" s="25"/>
      <c r="D328" s="19"/>
      <c r="E328" s="19"/>
      <c r="F328" s="19"/>
      <c r="G328" s="19"/>
      <c r="H328" s="19"/>
      <c r="I328" s="19"/>
      <c r="J328" s="19"/>
      <c r="K328" s="19"/>
      <c r="L328" s="1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C328" s="4"/>
      <c r="AD328" s="4"/>
      <c r="AK328" s="4"/>
      <c r="AR328" s="4"/>
    </row>
    <row r="329" ht="12.75" customHeight="1">
      <c r="A329" s="20"/>
      <c r="B329" s="48"/>
      <c r="C329" s="25"/>
      <c r="D329" s="19"/>
      <c r="E329" s="19"/>
      <c r="F329" s="19"/>
      <c r="G329" s="19"/>
      <c r="H329" s="19"/>
      <c r="I329" s="19"/>
      <c r="J329" s="19"/>
      <c r="K329" s="19"/>
      <c r="L329" s="1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C329" s="4"/>
      <c r="AD329" s="4"/>
      <c r="AK329" s="4"/>
      <c r="AR329" s="4"/>
    </row>
    <row r="330" ht="12.75" customHeight="1">
      <c r="A330" s="20"/>
      <c r="B330" s="48"/>
      <c r="C330" s="25"/>
      <c r="D330" s="19"/>
      <c r="E330" s="19"/>
      <c r="F330" s="19"/>
      <c r="G330" s="19"/>
      <c r="H330" s="19"/>
      <c r="I330" s="19"/>
      <c r="J330" s="19"/>
      <c r="K330" s="19"/>
      <c r="L330" s="1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C330" s="4"/>
      <c r="AD330" s="4"/>
      <c r="AK330" s="4"/>
      <c r="AR330" s="4"/>
    </row>
    <row r="331" ht="12.75" customHeight="1">
      <c r="A331" s="20"/>
      <c r="B331" s="48"/>
      <c r="C331" s="25"/>
      <c r="D331" s="19"/>
      <c r="E331" s="19"/>
      <c r="F331" s="19"/>
      <c r="G331" s="19"/>
      <c r="H331" s="19"/>
      <c r="I331" s="19"/>
      <c r="J331" s="19"/>
      <c r="K331" s="19"/>
      <c r="L331" s="1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C331" s="4"/>
      <c r="AD331" s="4"/>
      <c r="AK331" s="4"/>
      <c r="AR331" s="4"/>
    </row>
    <row r="332" ht="12.75" customHeight="1">
      <c r="A332" s="20"/>
      <c r="B332" s="48"/>
      <c r="C332" s="25"/>
      <c r="D332" s="19"/>
      <c r="E332" s="19"/>
      <c r="F332" s="19"/>
      <c r="G332" s="19"/>
      <c r="H332" s="19"/>
      <c r="I332" s="19"/>
      <c r="J332" s="19"/>
      <c r="K332" s="19"/>
      <c r="L332" s="1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C332" s="4"/>
      <c r="AD332" s="4"/>
      <c r="AK332" s="4"/>
      <c r="AR332" s="4"/>
    </row>
    <row r="333" ht="12.75" customHeight="1">
      <c r="A333" s="20"/>
      <c r="B333" s="48"/>
      <c r="C333" s="25"/>
      <c r="D333" s="19"/>
      <c r="E333" s="19"/>
      <c r="F333" s="19"/>
      <c r="G333" s="19"/>
      <c r="H333" s="19"/>
      <c r="I333" s="19"/>
      <c r="J333" s="19"/>
      <c r="K333" s="19"/>
      <c r="L333" s="1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C333" s="4"/>
      <c r="AD333" s="4"/>
      <c r="AK333" s="4"/>
      <c r="AR333" s="4"/>
    </row>
    <row r="334" ht="12.75" customHeight="1">
      <c r="A334" s="20"/>
      <c r="B334" s="48"/>
      <c r="C334" s="25"/>
      <c r="D334" s="19"/>
      <c r="E334" s="19"/>
      <c r="F334" s="19"/>
      <c r="G334" s="19"/>
      <c r="H334" s="19"/>
      <c r="I334" s="19"/>
      <c r="J334" s="19"/>
      <c r="K334" s="19"/>
      <c r="L334" s="1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C334" s="4"/>
      <c r="AD334" s="4"/>
      <c r="AK334" s="4"/>
      <c r="AR334" s="4"/>
    </row>
    <row r="335" ht="12.75" customHeight="1">
      <c r="A335" s="20"/>
      <c r="B335" s="48"/>
      <c r="C335" s="25"/>
      <c r="D335" s="19"/>
      <c r="E335" s="19"/>
      <c r="F335" s="19"/>
      <c r="G335" s="19"/>
      <c r="H335" s="19"/>
      <c r="I335" s="19"/>
      <c r="J335" s="19"/>
      <c r="K335" s="19"/>
      <c r="L335" s="1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C335" s="4"/>
      <c r="AD335" s="4"/>
      <c r="AK335" s="4"/>
      <c r="AR335" s="4"/>
    </row>
    <row r="336" ht="12.75" customHeight="1">
      <c r="A336" s="20"/>
      <c r="B336" s="48"/>
      <c r="C336" s="25"/>
      <c r="D336" s="19"/>
      <c r="E336" s="19"/>
      <c r="F336" s="19"/>
      <c r="G336" s="19"/>
      <c r="H336" s="19"/>
      <c r="I336" s="19"/>
      <c r="J336" s="19"/>
      <c r="K336" s="19"/>
      <c r="L336" s="1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C336" s="4"/>
      <c r="AD336" s="4"/>
      <c r="AK336" s="4"/>
      <c r="AR336" s="4"/>
    </row>
    <row r="337" ht="12.75" customHeight="1">
      <c r="A337" s="20"/>
      <c r="B337" s="48"/>
      <c r="C337" s="25"/>
      <c r="D337" s="19"/>
      <c r="E337" s="19"/>
      <c r="F337" s="19"/>
      <c r="G337" s="19"/>
      <c r="H337" s="19"/>
      <c r="I337" s="19"/>
      <c r="J337" s="19"/>
      <c r="K337" s="19"/>
      <c r="L337" s="1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C337" s="4"/>
      <c r="AD337" s="4"/>
      <c r="AK337" s="4"/>
      <c r="AR337" s="4"/>
    </row>
    <row r="338" ht="12.75" customHeight="1">
      <c r="A338" s="20"/>
      <c r="B338" s="48"/>
      <c r="C338" s="25"/>
      <c r="D338" s="19"/>
      <c r="E338" s="19"/>
      <c r="F338" s="19"/>
      <c r="G338" s="19"/>
      <c r="H338" s="19"/>
      <c r="I338" s="19"/>
      <c r="J338" s="19"/>
      <c r="K338" s="19"/>
      <c r="L338" s="1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C338" s="4"/>
      <c r="AD338" s="4"/>
      <c r="AK338" s="4"/>
      <c r="AR338" s="4"/>
    </row>
    <row r="339" ht="12.75" customHeight="1">
      <c r="A339" s="20"/>
      <c r="B339" s="48"/>
      <c r="C339" s="25"/>
      <c r="D339" s="19"/>
      <c r="E339" s="19"/>
      <c r="F339" s="19"/>
      <c r="G339" s="19"/>
      <c r="H339" s="19"/>
      <c r="I339" s="19"/>
      <c r="J339" s="19"/>
      <c r="K339" s="19"/>
      <c r="L339" s="1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C339" s="4"/>
      <c r="AD339" s="4"/>
      <c r="AK339" s="4"/>
      <c r="AR339" s="4"/>
    </row>
    <row r="340" ht="12.75" customHeight="1">
      <c r="A340" s="20"/>
      <c r="B340" s="48"/>
      <c r="C340" s="25"/>
      <c r="D340" s="19"/>
      <c r="E340" s="19"/>
      <c r="F340" s="19"/>
      <c r="G340" s="19"/>
      <c r="H340" s="19"/>
      <c r="I340" s="19"/>
      <c r="J340" s="19"/>
      <c r="K340" s="19"/>
      <c r="L340" s="1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C340" s="4"/>
      <c r="AD340" s="4"/>
      <c r="AK340" s="4"/>
      <c r="AR340" s="4"/>
    </row>
    <row r="341" ht="12.75" customHeight="1">
      <c r="A341" s="20"/>
      <c r="B341" s="48"/>
      <c r="C341" s="25"/>
      <c r="D341" s="19"/>
      <c r="E341" s="19"/>
      <c r="F341" s="19"/>
      <c r="G341" s="19"/>
      <c r="H341" s="19"/>
      <c r="I341" s="19"/>
      <c r="J341" s="19"/>
      <c r="K341" s="19"/>
      <c r="L341" s="1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C341" s="4"/>
      <c r="AD341" s="4"/>
      <c r="AK341" s="4"/>
      <c r="AR341" s="4"/>
    </row>
    <row r="342" ht="12.75" customHeight="1">
      <c r="A342" s="20"/>
      <c r="B342" s="48"/>
      <c r="C342" s="25"/>
      <c r="D342" s="19"/>
      <c r="E342" s="19"/>
      <c r="F342" s="19"/>
      <c r="G342" s="19"/>
      <c r="H342" s="19"/>
      <c r="I342" s="19"/>
      <c r="J342" s="19"/>
      <c r="K342" s="19"/>
      <c r="L342" s="1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C342" s="4"/>
      <c r="AD342" s="4"/>
      <c r="AK342" s="4"/>
      <c r="AR342" s="4"/>
    </row>
    <row r="343" ht="12.75" customHeight="1">
      <c r="A343" s="20"/>
      <c r="B343" s="48"/>
      <c r="C343" s="25"/>
      <c r="D343" s="19"/>
      <c r="E343" s="19"/>
      <c r="F343" s="19"/>
      <c r="G343" s="19"/>
      <c r="H343" s="19"/>
      <c r="I343" s="19"/>
      <c r="J343" s="19"/>
      <c r="K343" s="19"/>
      <c r="L343" s="1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C343" s="4"/>
      <c r="AD343" s="4"/>
      <c r="AK343" s="4"/>
      <c r="AR343" s="4"/>
    </row>
    <row r="344" ht="12.75" customHeight="1">
      <c r="A344" s="20"/>
      <c r="B344" s="48"/>
      <c r="C344" s="25"/>
      <c r="D344" s="19"/>
      <c r="E344" s="19"/>
      <c r="F344" s="19"/>
      <c r="G344" s="19"/>
      <c r="H344" s="19"/>
      <c r="I344" s="19"/>
      <c r="J344" s="19"/>
      <c r="K344" s="19"/>
      <c r="L344" s="1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C344" s="4"/>
      <c r="AD344" s="4"/>
      <c r="AK344" s="4"/>
      <c r="AR344" s="4"/>
    </row>
    <row r="345" ht="12.75" customHeight="1">
      <c r="A345" s="20"/>
      <c r="B345" s="48"/>
      <c r="C345" s="25"/>
      <c r="D345" s="19"/>
      <c r="E345" s="19"/>
      <c r="F345" s="19"/>
      <c r="G345" s="19"/>
      <c r="H345" s="19"/>
      <c r="I345" s="19"/>
      <c r="J345" s="19"/>
      <c r="K345" s="19"/>
      <c r="L345" s="1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C345" s="4"/>
      <c r="AD345" s="4"/>
      <c r="AK345" s="4"/>
      <c r="AR345" s="4"/>
    </row>
    <row r="346" ht="12.75" customHeight="1">
      <c r="A346" s="20"/>
      <c r="B346" s="48"/>
      <c r="C346" s="25"/>
      <c r="D346" s="19"/>
      <c r="E346" s="19"/>
      <c r="F346" s="19"/>
      <c r="G346" s="19"/>
      <c r="H346" s="19"/>
      <c r="I346" s="19"/>
      <c r="J346" s="19"/>
      <c r="K346" s="19"/>
      <c r="L346" s="1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C346" s="4"/>
      <c r="AD346" s="4"/>
      <c r="AK346" s="4"/>
      <c r="AR346" s="4"/>
    </row>
    <row r="347" ht="12.75" customHeight="1">
      <c r="A347" s="20"/>
      <c r="B347" s="48"/>
      <c r="C347" s="25"/>
      <c r="D347" s="19"/>
      <c r="E347" s="19"/>
      <c r="F347" s="19"/>
      <c r="G347" s="19"/>
      <c r="H347" s="19"/>
      <c r="I347" s="19"/>
      <c r="J347" s="19"/>
      <c r="K347" s="19"/>
      <c r="L347" s="1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C347" s="4"/>
      <c r="AD347" s="4"/>
      <c r="AK347" s="4"/>
      <c r="AR347" s="4"/>
    </row>
    <row r="348" ht="12.75" customHeight="1">
      <c r="A348" s="20"/>
      <c r="B348" s="48"/>
      <c r="C348" s="25"/>
      <c r="D348" s="19"/>
      <c r="E348" s="19"/>
      <c r="F348" s="19"/>
      <c r="G348" s="19"/>
      <c r="H348" s="19"/>
      <c r="I348" s="19"/>
      <c r="J348" s="19"/>
      <c r="K348" s="19"/>
      <c r="L348" s="1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C348" s="4"/>
      <c r="AD348" s="4"/>
      <c r="AK348" s="4"/>
      <c r="AR348" s="4"/>
    </row>
    <row r="349" ht="12.75" customHeight="1">
      <c r="A349" s="20"/>
      <c r="B349" s="48"/>
      <c r="C349" s="25"/>
      <c r="D349" s="19"/>
      <c r="E349" s="19"/>
      <c r="F349" s="19"/>
      <c r="G349" s="19"/>
      <c r="H349" s="19"/>
      <c r="I349" s="19"/>
      <c r="J349" s="19"/>
      <c r="K349" s="19"/>
      <c r="L349" s="1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C349" s="4"/>
      <c r="AD349" s="4"/>
      <c r="AK349" s="4"/>
      <c r="AR349" s="4"/>
    </row>
    <row r="350" ht="12.75" customHeight="1">
      <c r="A350" s="20"/>
      <c r="B350" s="48"/>
      <c r="C350" s="25"/>
      <c r="D350" s="19"/>
      <c r="E350" s="19"/>
      <c r="F350" s="19"/>
      <c r="G350" s="19"/>
      <c r="H350" s="19"/>
      <c r="I350" s="19"/>
      <c r="J350" s="19"/>
      <c r="K350" s="19"/>
      <c r="L350" s="1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C350" s="4"/>
      <c r="AD350" s="4"/>
      <c r="AK350" s="4"/>
      <c r="AR350" s="4"/>
    </row>
    <row r="351" ht="12.75" customHeight="1">
      <c r="A351" s="20"/>
      <c r="B351" s="48"/>
      <c r="C351" s="25"/>
      <c r="D351" s="19"/>
      <c r="E351" s="19"/>
      <c r="F351" s="19"/>
      <c r="G351" s="19"/>
      <c r="H351" s="19"/>
      <c r="I351" s="19"/>
      <c r="J351" s="19"/>
      <c r="K351" s="19"/>
      <c r="L351" s="1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C351" s="4"/>
      <c r="AD351" s="4"/>
      <c r="AK351" s="4"/>
      <c r="AR351" s="4"/>
    </row>
    <row r="352" ht="12.75" customHeight="1">
      <c r="A352" s="20"/>
      <c r="B352" s="48"/>
      <c r="C352" s="25"/>
      <c r="D352" s="19"/>
      <c r="E352" s="19"/>
      <c r="F352" s="19"/>
      <c r="G352" s="19"/>
      <c r="H352" s="19"/>
      <c r="I352" s="19"/>
      <c r="J352" s="19"/>
      <c r="K352" s="19"/>
      <c r="L352" s="1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C352" s="4"/>
      <c r="AD352" s="4"/>
      <c r="AK352" s="4"/>
      <c r="AR352" s="4"/>
    </row>
    <row r="353" ht="12.75" customHeight="1">
      <c r="A353" s="20"/>
      <c r="B353" s="48"/>
      <c r="C353" s="25"/>
      <c r="D353" s="19"/>
      <c r="E353" s="19"/>
      <c r="F353" s="19"/>
      <c r="G353" s="19"/>
      <c r="H353" s="19"/>
      <c r="I353" s="19"/>
      <c r="J353" s="19"/>
      <c r="K353" s="19"/>
      <c r="L353" s="1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C353" s="4"/>
      <c r="AD353" s="4"/>
      <c r="AK353" s="4"/>
      <c r="AR353" s="4"/>
    </row>
    <row r="354" ht="12.75" customHeight="1">
      <c r="A354" s="20"/>
      <c r="B354" s="48"/>
      <c r="C354" s="25"/>
      <c r="D354" s="19"/>
      <c r="E354" s="19"/>
      <c r="F354" s="19"/>
      <c r="G354" s="19"/>
      <c r="H354" s="19"/>
      <c r="I354" s="19"/>
      <c r="J354" s="19"/>
      <c r="K354" s="19"/>
      <c r="L354" s="1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C354" s="4"/>
      <c r="AD354" s="4"/>
      <c r="AK354" s="4"/>
      <c r="AR354" s="4"/>
    </row>
    <row r="355" ht="12.75" customHeight="1">
      <c r="A355" s="20"/>
      <c r="B355" s="48"/>
      <c r="C355" s="25"/>
      <c r="D355" s="19"/>
      <c r="E355" s="19"/>
      <c r="F355" s="19"/>
      <c r="G355" s="19"/>
      <c r="H355" s="19"/>
      <c r="I355" s="19"/>
      <c r="J355" s="19"/>
      <c r="K355" s="19"/>
      <c r="L355" s="1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C355" s="4"/>
      <c r="AD355" s="4"/>
      <c r="AK355" s="4"/>
      <c r="AR355" s="4"/>
    </row>
    <row r="356" ht="12.75" customHeight="1">
      <c r="A356" s="20"/>
      <c r="B356" s="48"/>
      <c r="C356" s="25"/>
      <c r="D356" s="19"/>
      <c r="E356" s="19"/>
      <c r="F356" s="19"/>
      <c r="G356" s="19"/>
      <c r="H356" s="19"/>
      <c r="I356" s="19"/>
      <c r="J356" s="19"/>
      <c r="K356" s="19"/>
      <c r="L356" s="1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C356" s="4"/>
      <c r="AD356" s="4"/>
      <c r="AK356" s="4"/>
      <c r="AR356" s="4"/>
    </row>
    <row r="357" ht="12.75" customHeight="1">
      <c r="A357" s="20"/>
      <c r="B357" s="48"/>
      <c r="C357" s="25"/>
      <c r="D357" s="19"/>
      <c r="E357" s="19"/>
      <c r="F357" s="19"/>
      <c r="G357" s="19"/>
      <c r="H357" s="19"/>
      <c r="I357" s="19"/>
      <c r="J357" s="19"/>
      <c r="K357" s="19"/>
      <c r="L357" s="1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C357" s="4"/>
      <c r="AD357" s="4"/>
      <c r="AK357" s="4"/>
      <c r="AR357" s="4"/>
    </row>
    <row r="358" ht="12.75" customHeight="1">
      <c r="A358" s="20"/>
      <c r="B358" s="48"/>
      <c r="C358" s="25"/>
      <c r="D358" s="19"/>
      <c r="E358" s="19"/>
      <c r="F358" s="19"/>
      <c r="G358" s="19"/>
      <c r="H358" s="19"/>
      <c r="I358" s="19"/>
      <c r="J358" s="19"/>
      <c r="K358" s="19"/>
      <c r="L358" s="1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C358" s="4"/>
      <c r="AD358" s="4"/>
      <c r="AK358" s="4"/>
      <c r="AR358" s="4"/>
    </row>
    <row r="359" ht="12.75" customHeight="1">
      <c r="A359" s="20"/>
      <c r="B359" s="48"/>
      <c r="C359" s="25"/>
      <c r="D359" s="19"/>
      <c r="E359" s="19"/>
      <c r="F359" s="19"/>
      <c r="G359" s="19"/>
      <c r="H359" s="19"/>
      <c r="I359" s="19"/>
      <c r="J359" s="19"/>
      <c r="K359" s="19"/>
      <c r="L359" s="1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C359" s="4"/>
      <c r="AD359" s="4"/>
      <c r="AK359" s="4"/>
      <c r="AR359" s="4"/>
    </row>
    <row r="360" ht="12.75" customHeight="1">
      <c r="A360" s="20"/>
      <c r="B360" s="48"/>
      <c r="C360" s="25"/>
      <c r="D360" s="19"/>
      <c r="E360" s="19"/>
      <c r="F360" s="19"/>
      <c r="G360" s="19"/>
      <c r="H360" s="19"/>
      <c r="I360" s="19"/>
      <c r="J360" s="19"/>
      <c r="K360" s="19"/>
      <c r="L360" s="1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C360" s="4"/>
      <c r="AD360" s="4"/>
      <c r="AK360" s="4"/>
      <c r="AR360" s="4"/>
    </row>
    <row r="361" ht="12.75" customHeight="1">
      <c r="A361" s="20"/>
      <c r="B361" s="48"/>
      <c r="C361" s="25"/>
      <c r="D361" s="19"/>
      <c r="E361" s="19"/>
      <c r="F361" s="19"/>
      <c r="G361" s="19"/>
      <c r="H361" s="19"/>
      <c r="I361" s="19"/>
      <c r="J361" s="19"/>
      <c r="K361" s="19"/>
      <c r="L361" s="1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C361" s="4"/>
      <c r="AD361" s="4"/>
      <c r="AK361" s="4"/>
      <c r="AR361" s="4"/>
    </row>
    <row r="362" ht="12.75" customHeight="1">
      <c r="A362" s="20"/>
      <c r="B362" s="48"/>
      <c r="C362" s="25"/>
      <c r="D362" s="19"/>
      <c r="E362" s="19"/>
      <c r="F362" s="19"/>
      <c r="G362" s="19"/>
      <c r="H362" s="19"/>
      <c r="I362" s="19"/>
      <c r="J362" s="19"/>
      <c r="K362" s="19"/>
      <c r="L362" s="1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C362" s="4"/>
      <c r="AD362" s="4"/>
      <c r="AK362" s="4"/>
      <c r="AR362" s="4"/>
    </row>
    <row r="363" ht="12.75" customHeight="1">
      <c r="A363" s="20"/>
      <c r="B363" s="48"/>
      <c r="C363" s="25"/>
      <c r="D363" s="19"/>
      <c r="E363" s="19"/>
      <c r="F363" s="19"/>
      <c r="G363" s="19"/>
      <c r="H363" s="19"/>
      <c r="I363" s="19"/>
      <c r="J363" s="19"/>
      <c r="K363" s="19"/>
      <c r="L363" s="1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C363" s="4"/>
      <c r="AD363" s="4"/>
      <c r="AK363" s="4"/>
      <c r="AR363" s="4"/>
    </row>
    <row r="364" ht="12.75" customHeight="1">
      <c r="A364" s="20"/>
      <c r="B364" s="48"/>
      <c r="C364" s="25"/>
      <c r="D364" s="19"/>
      <c r="E364" s="19"/>
      <c r="F364" s="19"/>
      <c r="G364" s="19"/>
      <c r="H364" s="19"/>
      <c r="I364" s="19"/>
      <c r="J364" s="19"/>
      <c r="K364" s="19"/>
      <c r="L364" s="1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C364" s="4"/>
      <c r="AD364" s="4"/>
      <c r="AK364" s="4"/>
      <c r="AR364" s="4"/>
    </row>
    <row r="365" ht="12.75" customHeight="1">
      <c r="A365" s="20"/>
      <c r="B365" s="48"/>
      <c r="C365" s="25"/>
      <c r="D365" s="19"/>
      <c r="E365" s="19"/>
      <c r="F365" s="19"/>
      <c r="G365" s="19"/>
      <c r="H365" s="19"/>
      <c r="I365" s="19"/>
      <c r="J365" s="19"/>
      <c r="K365" s="19"/>
      <c r="L365" s="1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C365" s="4"/>
      <c r="AD365" s="4"/>
      <c r="AK365" s="4"/>
      <c r="AR365" s="4"/>
    </row>
    <row r="366" ht="12.75" customHeight="1">
      <c r="A366" s="20"/>
      <c r="B366" s="48"/>
      <c r="C366" s="25"/>
      <c r="D366" s="19"/>
      <c r="E366" s="19"/>
      <c r="F366" s="19"/>
      <c r="G366" s="19"/>
      <c r="H366" s="19"/>
      <c r="I366" s="19"/>
      <c r="J366" s="19"/>
      <c r="K366" s="19"/>
      <c r="L366" s="1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C366" s="4"/>
      <c r="AD366" s="4"/>
      <c r="AK366" s="4"/>
      <c r="AR366" s="4"/>
    </row>
    <row r="367" ht="12.75" customHeight="1">
      <c r="A367" s="20"/>
      <c r="B367" s="48"/>
      <c r="C367" s="25"/>
      <c r="D367" s="19"/>
      <c r="E367" s="19"/>
      <c r="F367" s="19"/>
      <c r="G367" s="19"/>
      <c r="H367" s="19"/>
      <c r="I367" s="19"/>
      <c r="J367" s="19"/>
      <c r="K367" s="19"/>
      <c r="L367" s="1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C367" s="4"/>
      <c r="AD367" s="4"/>
      <c r="AK367" s="4"/>
      <c r="AR367" s="4"/>
    </row>
    <row r="368" ht="12.75" customHeight="1">
      <c r="A368" s="20"/>
      <c r="B368" s="48"/>
      <c r="C368" s="25"/>
      <c r="D368" s="19"/>
      <c r="E368" s="19"/>
      <c r="F368" s="19"/>
      <c r="G368" s="19"/>
      <c r="H368" s="19"/>
      <c r="I368" s="19"/>
      <c r="J368" s="19"/>
      <c r="K368" s="19"/>
      <c r="L368" s="1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C368" s="4"/>
      <c r="AD368" s="4"/>
      <c r="AK368" s="4"/>
      <c r="AR368" s="4"/>
    </row>
    <row r="369" ht="12.75" customHeight="1">
      <c r="A369" s="20"/>
      <c r="B369" s="48"/>
      <c r="C369" s="25"/>
      <c r="D369" s="19"/>
      <c r="E369" s="19"/>
      <c r="F369" s="19"/>
      <c r="G369" s="19"/>
      <c r="H369" s="19"/>
      <c r="I369" s="19"/>
      <c r="J369" s="19"/>
      <c r="K369" s="19"/>
      <c r="L369" s="1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C369" s="4"/>
      <c r="AD369" s="4"/>
      <c r="AK369" s="4"/>
      <c r="AR369" s="4"/>
    </row>
    <row r="370" ht="12.75" customHeight="1">
      <c r="A370" s="20"/>
      <c r="B370" s="48"/>
      <c r="C370" s="25"/>
      <c r="D370" s="19"/>
      <c r="E370" s="19"/>
      <c r="F370" s="19"/>
      <c r="G370" s="19"/>
      <c r="H370" s="19"/>
      <c r="I370" s="19"/>
      <c r="J370" s="19"/>
      <c r="K370" s="19"/>
      <c r="L370" s="1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C370" s="4"/>
      <c r="AD370" s="4"/>
      <c r="AK370" s="4"/>
      <c r="AR370" s="4"/>
    </row>
    <row r="371" ht="12.75" customHeight="1">
      <c r="A371" s="20"/>
      <c r="B371" s="48"/>
      <c r="C371" s="25"/>
      <c r="D371" s="19"/>
      <c r="E371" s="19"/>
      <c r="F371" s="19"/>
      <c r="G371" s="19"/>
      <c r="H371" s="19"/>
      <c r="I371" s="19"/>
      <c r="J371" s="19"/>
      <c r="K371" s="19"/>
      <c r="L371" s="1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C371" s="4"/>
      <c r="AD371" s="4"/>
      <c r="AK371" s="4"/>
      <c r="AR371" s="4"/>
    </row>
    <row r="372" ht="12.75" customHeight="1">
      <c r="A372" s="20"/>
      <c r="B372" s="48"/>
      <c r="C372" s="25"/>
      <c r="D372" s="19"/>
      <c r="E372" s="19"/>
      <c r="F372" s="19"/>
      <c r="G372" s="19"/>
      <c r="H372" s="19"/>
      <c r="I372" s="19"/>
      <c r="J372" s="19"/>
      <c r="K372" s="19"/>
      <c r="L372" s="1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C372" s="4"/>
      <c r="AD372" s="4"/>
      <c r="AK372" s="4"/>
      <c r="AR372" s="4"/>
    </row>
    <row r="373" ht="12.75" customHeight="1">
      <c r="A373" s="20"/>
      <c r="B373" s="48"/>
      <c r="C373" s="25"/>
      <c r="D373" s="19"/>
      <c r="E373" s="19"/>
      <c r="F373" s="19"/>
      <c r="G373" s="19"/>
      <c r="H373" s="19"/>
      <c r="I373" s="19"/>
      <c r="J373" s="19"/>
      <c r="K373" s="19"/>
      <c r="L373" s="1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C373" s="4"/>
      <c r="AD373" s="4"/>
      <c r="AK373" s="4"/>
      <c r="AR373" s="4"/>
    </row>
    <row r="374" ht="12.75" customHeight="1">
      <c r="A374" s="20"/>
      <c r="B374" s="48"/>
      <c r="C374" s="25"/>
      <c r="D374" s="19"/>
      <c r="E374" s="19"/>
      <c r="F374" s="19"/>
      <c r="G374" s="19"/>
      <c r="H374" s="19"/>
      <c r="I374" s="19"/>
      <c r="J374" s="19"/>
      <c r="K374" s="19"/>
      <c r="L374" s="1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C374" s="4"/>
      <c r="AD374" s="4"/>
      <c r="AK374" s="4"/>
      <c r="AR374" s="4"/>
    </row>
    <row r="375" ht="12.75" customHeight="1">
      <c r="A375" s="20"/>
      <c r="B375" s="48"/>
      <c r="C375" s="25"/>
      <c r="D375" s="19"/>
      <c r="E375" s="19"/>
      <c r="F375" s="19"/>
      <c r="G375" s="19"/>
      <c r="H375" s="19"/>
      <c r="I375" s="19"/>
      <c r="J375" s="19"/>
      <c r="K375" s="19"/>
      <c r="L375" s="1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C375" s="4"/>
      <c r="AD375" s="4"/>
      <c r="AK375" s="4"/>
      <c r="AR375" s="4"/>
    </row>
    <row r="376" ht="12.75" customHeight="1">
      <c r="A376" s="20"/>
      <c r="B376" s="48"/>
      <c r="C376" s="25"/>
      <c r="D376" s="19"/>
      <c r="E376" s="19"/>
      <c r="F376" s="19"/>
      <c r="G376" s="19"/>
      <c r="H376" s="19"/>
      <c r="I376" s="19"/>
      <c r="J376" s="19"/>
      <c r="K376" s="19"/>
      <c r="L376" s="1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C376" s="4"/>
      <c r="AD376" s="4"/>
      <c r="AK376" s="4"/>
      <c r="AR376" s="4"/>
    </row>
    <row r="377" ht="12.75" customHeight="1">
      <c r="A377" s="20"/>
      <c r="B377" s="48"/>
      <c r="C377" s="25"/>
      <c r="D377" s="19"/>
      <c r="E377" s="19"/>
      <c r="F377" s="19"/>
      <c r="G377" s="19"/>
      <c r="H377" s="19"/>
      <c r="I377" s="19"/>
      <c r="J377" s="19"/>
      <c r="K377" s="19"/>
      <c r="L377" s="1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C377" s="4"/>
      <c r="AD377" s="4"/>
      <c r="AK377" s="4"/>
      <c r="AR377" s="4"/>
    </row>
    <row r="378" ht="12.75" customHeight="1">
      <c r="A378" s="20"/>
      <c r="B378" s="48"/>
      <c r="C378" s="25"/>
      <c r="D378" s="19"/>
      <c r="E378" s="19"/>
      <c r="F378" s="19"/>
      <c r="G378" s="19"/>
      <c r="H378" s="19"/>
      <c r="I378" s="19"/>
      <c r="J378" s="19"/>
      <c r="K378" s="19"/>
      <c r="L378" s="1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C378" s="4"/>
      <c r="AD378" s="4"/>
      <c r="AK378" s="4"/>
      <c r="AR378" s="4"/>
    </row>
    <row r="379" ht="12.75" customHeight="1">
      <c r="A379" s="20"/>
      <c r="B379" s="48"/>
      <c r="C379" s="25"/>
      <c r="D379" s="19"/>
      <c r="E379" s="19"/>
      <c r="F379" s="19"/>
      <c r="G379" s="19"/>
      <c r="H379" s="19"/>
      <c r="I379" s="19"/>
      <c r="J379" s="19"/>
      <c r="K379" s="19"/>
      <c r="L379" s="1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C379" s="4"/>
      <c r="AD379" s="4"/>
      <c r="AK379" s="4"/>
      <c r="AR379" s="4"/>
    </row>
    <row r="380" ht="12.75" customHeight="1">
      <c r="A380" s="20"/>
      <c r="B380" s="48"/>
      <c r="C380" s="25"/>
      <c r="D380" s="19"/>
      <c r="E380" s="19"/>
      <c r="F380" s="19"/>
      <c r="G380" s="19"/>
      <c r="H380" s="19"/>
      <c r="I380" s="19"/>
      <c r="J380" s="19"/>
      <c r="K380" s="19"/>
      <c r="L380" s="1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C380" s="4"/>
      <c r="AD380" s="4"/>
      <c r="AK380" s="4"/>
      <c r="AR380" s="4"/>
    </row>
    <row r="381" ht="12.75" customHeight="1">
      <c r="A381" s="20"/>
      <c r="B381" s="48"/>
      <c r="C381" s="25"/>
      <c r="D381" s="19"/>
      <c r="E381" s="19"/>
      <c r="F381" s="19"/>
      <c r="G381" s="19"/>
      <c r="H381" s="19"/>
      <c r="I381" s="19"/>
      <c r="J381" s="19"/>
      <c r="K381" s="19"/>
      <c r="L381" s="1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C381" s="4"/>
      <c r="AD381" s="4"/>
      <c r="AK381" s="4"/>
      <c r="AR381" s="4"/>
    </row>
    <row r="382" ht="12.75" customHeight="1">
      <c r="A382" s="20"/>
      <c r="B382" s="48"/>
      <c r="C382" s="25"/>
      <c r="D382" s="19"/>
      <c r="E382" s="19"/>
      <c r="F382" s="19"/>
      <c r="G382" s="19"/>
      <c r="H382" s="19"/>
      <c r="I382" s="19"/>
      <c r="J382" s="19"/>
      <c r="K382" s="19"/>
      <c r="L382" s="1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C382" s="4"/>
      <c r="AD382" s="4"/>
      <c r="AK382" s="4"/>
      <c r="AR382" s="4"/>
    </row>
    <row r="383" ht="12.75" customHeight="1">
      <c r="A383" s="20"/>
      <c r="B383" s="48"/>
      <c r="C383" s="25"/>
      <c r="D383" s="19"/>
      <c r="E383" s="19"/>
      <c r="F383" s="19"/>
      <c r="G383" s="19"/>
      <c r="H383" s="19"/>
      <c r="I383" s="19"/>
      <c r="J383" s="19"/>
      <c r="K383" s="19"/>
      <c r="L383" s="1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C383" s="4"/>
      <c r="AD383" s="4"/>
      <c r="AK383" s="4"/>
      <c r="AR383" s="4"/>
    </row>
    <row r="384" ht="12.75" customHeight="1">
      <c r="A384" s="20"/>
      <c r="B384" s="48"/>
      <c r="C384" s="25"/>
      <c r="D384" s="19"/>
      <c r="E384" s="19"/>
      <c r="F384" s="19"/>
      <c r="G384" s="19"/>
      <c r="H384" s="19"/>
      <c r="I384" s="19"/>
      <c r="J384" s="19"/>
      <c r="K384" s="19"/>
      <c r="L384" s="1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C384" s="4"/>
      <c r="AD384" s="4"/>
      <c r="AK384" s="4"/>
      <c r="AR384" s="4"/>
    </row>
    <row r="385" ht="12.75" customHeight="1">
      <c r="A385" s="20"/>
      <c r="B385" s="48"/>
      <c r="C385" s="25"/>
      <c r="D385" s="19"/>
      <c r="E385" s="19"/>
      <c r="F385" s="19"/>
      <c r="G385" s="19"/>
      <c r="H385" s="19"/>
      <c r="I385" s="19"/>
      <c r="J385" s="19"/>
      <c r="K385" s="19"/>
      <c r="L385" s="1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C385" s="4"/>
      <c r="AD385" s="4"/>
      <c r="AK385" s="4"/>
      <c r="AR385" s="4"/>
    </row>
    <row r="386" ht="12.75" customHeight="1">
      <c r="A386" s="20"/>
      <c r="B386" s="48"/>
      <c r="C386" s="25"/>
      <c r="D386" s="19"/>
      <c r="E386" s="19"/>
      <c r="F386" s="19"/>
      <c r="G386" s="19"/>
      <c r="H386" s="19"/>
      <c r="I386" s="19"/>
      <c r="J386" s="19"/>
      <c r="K386" s="19"/>
      <c r="L386" s="1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C386" s="4"/>
      <c r="AD386" s="4"/>
      <c r="AK386" s="4"/>
      <c r="AR386" s="4"/>
    </row>
    <row r="387" ht="12.75" customHeight="1">
      <c r="A387" s="20"/>
      <c r="B387" s="48"/>
      <c r="C387" s="25"/>
      <c r="D387" s="19"/>
      <c r="E387" s="19"/>
      <c r="F387" s="19"/>
      <c r="G387" s="19"/>
      <c r="H387" s="19"/>
      <c r="I387" s="19"/>
      <c r="J387" s="19"/>
      <c r="K387" s="19"/>
      <c r="L387" s="1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C387" s="4"/>
      <c r="AD387" s="4"/>
      <c r="AK387" s="4"/>
      <c r="AR387" s="4"/>
    </row>
    <row r="388" ht="12.75" customHeight="1">
      <c r="A388" s="20"/>
      <c r="B388" s="48"/>
      <c r="C388" s="25"/>
      <c r="D388" s="19"/>
      <c r="E388" s="19"/>
      <c r="F388" s="19"/>
      <c r="G388" s="19"/>
      <c r="H388" s="19"/>
      <c r="I388" s="19"/>
      <c r="J388" s="19"/>
      <c r="K388" s="19"/>
      <c r="L388" s="1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C388" s="4"/>
      <c r="AD388" s="4"/>
      <c r="AK388" s="4"/>
      <c r="AR388" s="4"/>
    </row>
    <row r="389" ht="12.75" customHeight="1">
      <c r="A389" s="20"/>
      <c r="B389" s="48"/>
      <c r="C389" s="25"/>
      <c r="D389" s="19"/>
      <c r="E389" s="19"/>
      <c r="F389" s="19"/>
      <c r="G389" s="19"/>
      <c r="H389" s="19"/>
      <c r="I389" s="19"/>
      <c r="J389" s="19"/>
      <c r="K389" s="19"/>
      <c r="L389" s="1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C389" s="4"/>
      <c r="AD389" s="4"/>
      <c r="AK389" s="4"/>
      <c r="AR389" s="4"/>
    </row>
    <row r="390" ht="12.75" customHeight="1">
      <c r="A390" s="20"/>
      <c r="B390" s="48"/>
      <c r="C390" s="25"/>
      <c r="D390" s="19"/>
      <c r="E390" s="19"/>
      <c r="F390" s="19"/>
      <c r="G390" s="19"/>
      <c r="H390" s="19"/>
      <c r="I390" s="19"/>
      <c r="J390" s="19"/>
      <c r="K390" s="19"/>
      <c r="L390" s="1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C390" s="4"/>
      <c r="AD390" s="4"/>
      <c r="AK390" s="4"/>
      <c r="AR390" s="4"/>
    </row>
    <row r="391" ht="12.75" customHeight="1">
      <c r="A391" s="20"/>
      <c r="B391" s="48"/>
      <c r="C391" s="25"/>
      <c r="D391" s="19"/>
      <c r="E391" s="19"/>
      <c r="F391" s="19"/>
      <c r="G391" s="19"/>
      <c r="H391" s="19"/>
      <c r="I391" s="19"/>
      <c r="J391" s="19"/>
      <c r="K391" s="19"/>
      <c r="L391" s="1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C391" s="4"/>
      <c r="AD391" s="4"/>
      <c r="AK391" s="4"/>
      <c r="AR391" s="4"/>
    </row>
    <row r="392" ht="12.75" customHeight="1">
      <c r="A392" s="20"/>
      <c r="B392" s="48"/>
      <c r="C392" s="25"/>
      <c r="D392" s="19"/>
      <c r="E392" s="19"/>
      <c r="F392" s="19"/>
      <c r="G392" s="19"/>
      <c r="H392" s="19"/>
      <c r="I392" s="19"/>
      <c r="J392" s="19"/>
      <c r="K392" s="19"/>
      <c r="L392" s="1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C392" s="4"/>
      <c r="AD392" s="4"/>
      <c r="AK392" s="4"/>
      <c r="AR392" s="4"/>
    </row>
    <row r="393" ht="12.75" customHeight="1">
      <c r="A393" s="20"/>
      <c r="B393" s="48"/>
      <c r="C393" s="25"/>
      <c r="D393" s="19"/>
      <c r="E393" s="19"/>
      <c r="F393" s="19"/>
      <c r="G393" s="19"/>
      <c r="H393" s="19"/>
      <c r="I393" s="19"/>
      <c r="J393" s="19"/>
      <c r="K393" s="19"/>
      <c r="L393" s="1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C393" s="4"/>
      <c r="AD393" s="4"/>
      <c r="AK393" s="4"/>
      <c r="AR393" s="4"/>
    </row>
    <row r="394" ht="12.75" customHeight="1">
      <c r="A394" s="20"/>
      <c r="B394" s="48"/>
      <c r="C394" s="25"/>
      <c r="D394" s="19"/>
      <c r="E394" s="19"/>
      <c r="F394" s="19"/>
      <c r="G394" s="19"/>
      <c r="H394" s="19"/>
      <c r="I394" s="19"/>
      <c r="J394" s="19"/>
      <c r="K394" s="19"/>
      <c r="L394" s="1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C394" s="4"/>
      <c r="AD394" s="4"/>
      <c r="AK394" s="4"/>
      <c r="AR394" s="4"/>
    </row>
    <row r="395" ht="12.75" customHeight="1">
      <c r="A395" s="20"/>
      <c r="B395" s="48"/>
      <c r="C395" s="25"/>
      <c r="D395" s="19"/>
      <c r="E395" s="19"/>
      <c r="F395" s="19"/>
      <c r="G395" s="19"/>
      <c r="H395" s="19"/>
      <c r="I395" s="19"/>
      <c r="J395" s="19"/>
      <c r="K395" s="19"/>
      <c r="L395" s="1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C395" s="4"/>
      <c r="AD395" s="4"/>
      <c r="AK395" s="4"/>
      <c r="AR395" s="4"/>
    </row>
    <row r="396" ht="12.75" customHeight="1">
      <c r="A396" s="20"/>
      <c r="B396" s="48"/>
      <c r="C396" s="25"/>
      <c r="D396" s="19"/>
      <c r="E396" s="19"/>
      <c r="F396" s="19"/>
      <c r="G396" s="19"/>
      <c r="H396" s="19"/>
      <c r="I396" s="19"/>
      <c r="J396" s="19"/>
      <c r="K396" s="19"/>
      <c r="L396" s="1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C396" s="4"/>
      <c r="AD396" s="4"/>
      <c r="AK396" s="4"/>
      <c r="AR396" s="4"/>
    </row>
    <row r="397" ht="12.75" customHeight="1">
      <c r="A397" s="20"/>
      <c r="B397" s="48"/>
      <c r="C397" s="25"/>
      <c r="D397" s="19"/>
      <c r="E397" s="19"/>
      <c r="F397" s="19"/>
      <c r="G397" s="19"/>
      <c r="H397" s="19"/>
      <c r="I397" s="19"/>
      <c r="J397" s="19"/>
      <c r="K397" s="19"/>
      <c r="L397" s="1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C397" s="4"/>
      <c r="AD397" s="4"/>
      <c r="AK397" s="4"/>
      <c r="AR397" s="4"/>
    </row>
    <row r="398" ht="12.75" customHeight="1">
      <c r="A398" s="20"/>
      <c r="B398" s="48"/>
      <c r="C398" s="25"/>
      <c r="D398" s="19"/>
      <c r="E398" s="19"/>
      <c r="F398" s="19"/>
      <c r="G398" s="19"/>
      <c r="H398" s="19"/>
      <c r="I398" s="19"/>
      <c r="J398" s="19"/>
      <c r="K398" s="19"/>
      <c r="L398" s="1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C398" s="4"/>
      <c r="AD398" s="4"/>
      <c r="AK398" s="4"/>
      <c r="AR398" s="4"/>
    </row>
    <row r="399" ht="12.75" customHeight="1">
      <c r="A399" s="20"/>
      <c r="B399" s="48"/>
      <c r="C399" s="25"/>
      <c r="D399" s="19"/>
      <c r="E399" s="19"/>
      <c r="F399" s="19"/>
      <c r="G399" s="19"/>
      <c r="H399" s="19"/>
      <c r="I399" s="19"/>
      <c r="J399" s="19"/>
      <c r="K399" s="19"/>
      <c r="L399" s="1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C399" s="4"/>
      <c r="AD399" s="4"/>
      <c r="AK399" s="4"/>
      <c r="AR399" s="4"/>
    </row>
    <row r="400" ht="12.75" customHeight="1">
      <c r="A400" s="20"/>
      <c r="B400" s="48"/>
      <c r="C400" s="25"/>
      <c r="D400" s="19"/>
      <c r="E400" s="19"/>
      <c r="F400" s="19"/>
      <c r="G400" s="19"/>
      <c r="H400" s="19"/>
      <c r="I400" s="19"/>
      <c r="J400" s="19"/>
      <c r="K400" s="19"/>
      <c r="L400" s="1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C400" s="4"/>
      <c r="AD400" s="4"/>
      <c r="AK400" s="4"/>
      <c r="AR400" s="4"/>
    </row>
    <row r="401" ht="12.75" customHeight="1">
      <c r="A401" s="20"/>
      <c r="B401" s="48"/>
      <c r="C401" s="25"/>
      <c r="D401" s="19"/>
      <c r="E401" s="19"/>
      <c r="F401" s="19"/>
      <c r="G401" s="19"/>
      <c r="H401" s="19"/>
      <c r="I401" s="19"/>
      <c r="J401" s="19"/>
      <c r="K401" s="19"/>
      <c r="L401" s="1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C401" s="4"/>
      <c r="AD401" s="4"/>
      <c r="AK401" s="4"/>
      <c r="AR401" s="4"/>
    </row>
    <row r="402" ht="12.75" customHeight="1">
      <c r="A402" s="20"/>
      <c r="B402" s="48"/>
      <c r="C402" s="25"/>
      <c r="D402" s="19"/>
      <c r="E402" s="19"/>
      <c r="F402" s="19"/>
      <c r="G402" s="19"/>
      <c r="H402" s="19"/>
      <c r="I402" s="19"/>
      <c r="J402" s="19"/>
      <c r="K402" s="19"/>
      <c r="L402" s="1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C402" s="4"/>
      <c r="AD402" s="4"/>
      <c r="AK402" s="4"/>
      <c r="AR402" s="4"/>
    </row>
    <row r="403" ht="12.75" customHeight="1">
      <c r="A403" s="20"/>
      <c r="B403" s="48"/>
      <c r="C403" s="25"/>
      <c r="D403" s="19"/>
      <c r="E403" s="19"/>
      <c r="F403" s="19"/>
      <c r="G403" s="19"/>
      <c r="H403" s="19"/>
      <c r="I403" s="19"/>
      <c r="J403" s="19"/>
      <c r="K403" s="19"/>
      <c r="L403" s="1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C403" s="4"/>
      <c r="AD403" s="4"/>
      <c r="AK403" s="4"/>
      <c r="AR403" s="4"/>
    </row>
    <row r="404" ht="12.75" customHeight="1">
      <c r="A404" s="20"/>
      <c r="B404" s="48"/>
      <c r="C404" s="25"/>
      <c r="D404" s="19"/>
      <c r="E404" s="19"/>
      <c r="F404" s="19"/>
      <c r="G404" s="19"/>
      <c r="H404" s="19"/>
      <c r="I404" s="19"/>
      <c r="J404" s="19"/>
      <c r="K404" s="19"/>
      <c r="L404" s="1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C404" s="4"/>
      <c r="AD404" s="4"/>
      <c r="AK404" s="4"/>
      <c r="AR404" s="4"/>
    </row>
    <row r="405" ht="12.75" customHeight="1">
      <c r="A405" s="20"/>
      <c r="B405" s="48"/>
      <c r="C405" s="25"/>
      <c r="D405" s="19"/>
      <c r="E405" s="19"/>
      <c r="F405" s="19"/>
      <c r="G405" s="19"/>
      <c r="H405" s="19"/>
      <c r="I405" s="19"/>
      <c r="J405" s="19"/>
      <c r="K405" s="19"/>
      <c r="L405" s="1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C405" s="4"/>
      <c r="AD405" s="4"/>
      <c r="AK405" s="4"/>
      <c r="AR405" s="4"/>
    </row>
    <row r="406" ht="12.75" customHeight="1">
      <c r="A406" s="20"/>
      <c r="B406" s="48"/>
      <c r="C406" s="25"/>
      <c r="D406" s="19"/>
      <c r="E406" s="19"/>
      <c r="F406" s="19"/>
      <c r="G406" s="19"/>
      <c r="H406" s="19"/>
      <c r="I406" s="19"/>
      <c r="J406" s="19"/>
      <c r="K406" s="19"/>
      <c r="L406" s="1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C406" s="4"/>
      <c r="AD406" s="4"/>
      <c r="AK406" s="4"/>
      <c r="AR406" s="4"/>
    </row>
    <row r="407" ht="12.75" customHeight="1">
      <c r="A407" s="20"/>
      <c r="B407" s="48"/>
      <c r="C407" s="25"/>
      <c r="D407" s="19"/>
      <c r="E407" s="19"/>
      <c r="F407" s="19"/>
      <c r="G407" s="19"/>
      <c r="H407" s="19"/>
      <c r="I407" s="19"/>
      <c r="J407" s="19"/>
      <c r="K407" s="19"/>
      <c r="L407" s="1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C407" s="4"/>
      <c r="AD407" s="4"/>
      <c r="AK407" s="4"/>
      <c r="AR407" s="4"/>
    </row>
    <row r="408" ht="12.75" customHeight="1">
      <c r="A408" s="20"/>
      <c r="B408" s="48"/>
      <c r="C408" s="25"/>
      <c r="D408" s="19"/>
      <c r="E408" s="19"/>
      <c r="F408" s="19"/>
      <c r="G408" s="19"/>
      <c r="H408" s="19"/>
      <c r="I408" s="19"/>
      <c r="J408" s="19"/>
      <c r="K408" s="19"/>
      <c r="L408" s="1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C408" s="4"/>
      <c r="AD408" s="4"/>
      <c r="AK408" s="4"/>
      <c r="AR408" s="4"/>
    </row>
    <row r="409" ht="12.75" customHeight="1">
      <c r="A409" s="20"/>
      <c r="B409" s="48"/>
      <c r="C409" s="25"/>
      <c r="D409" s="19"/>
      <c r="E409" s="19"/>
      <c r="F409" s="19"/>
      <c r="G409" s="19"/>
      <c r="H409" s="19"/>
      <c r="I409" s="19"/>
      <c r="J409" s="19"/>
      <c r="K409" s="19"/>
      <c r="L409" s="1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C409" s="4"/>
      <c r="AD409" s="4"/>
      <c r="AK409" s="4"/>
      <c r="AR409" s="4"/>
    </row>
    <row r="410" ht="12.75" customHeight="1">
      <c r="A410" s="20"/>
      <c r="B410" s="48"/>
      <c r="C410" s="25"/>
      <c r="D410" s="19"/>
      <c r="E410" s="19"/>
      <c r="F410" s="19"/>
      <c r="G410" s="19"/>
      <c r="H410" s="19"/>
      <c r="I410" s="19"/>
      <c r="J410" s="19"/>
      <c r="K410" s="19"/>
      <c r="L410" s="1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C410" s="4"/>
      <c r="AD410" s="4"/>
      <c r="AK410" s="4"/>
      <c r="AR410" s="4"/>
    </row>
    <row r="411" ht="12.75" customHeight="1">
      <c r="A411" s="20"/>
      <c r="B411" s="48"/>
      <c r="C411" s="25"/>
      <c r="D411" s="19"/>
      <c r="E411" s="19"/>
      <c r="F411" s="19"/>
      <c r="G411" s="19"/>
      <c r="H411" s="19"/>
      <c r="I411" s="19"/>
      <c r="J411" s="19"/>
      <c r="K411" s="19"/>
      <c r="L411" s="1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C411" s="4"/>
      <c r="AD411" s="4"/>
      <c r="AK411" s="4"/>
      <c r="AR411" s="4"/>
    </row>
    <row r="412" ht="12.75" customHeight="1">
      <c r="A412" s="20"/>
      <c r="B412" s="48"/>
      <c r="C412" s="25"/>
      <c r="D412" s="19"/>
      <c r="E412" s="19"/>
      <c r="F412" s="19"/>
      <c r="G412" s="19"/>
      <c r="H412" s="19"/>
      <c r="I412" s="19"/>
      <c r="J412" s="19"/>
      <c r="K412" s="19"/>
      <c r="L412" s="1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C412" s="4"/>
      <c r="AD412" s="4"/>
      <c r="AK412" s="4"/>
      <c r="AR412" s="4"/>
    </row>
    <row r="413" ht="12.75" customHeight="1">
      <c r="A413" s="20"/>
      <c r="B413" s="48"/>
      <c r="C413" s="25"/>
      <c r="D413" s="19"/>
      <c r="E413" s="19"/>
      <c r="F413" s="19"/>
      <c r="G413" s="19"/>
      <c r="H413" s="19"/>
      <c r="I413" s="19"/>
      <c r="J413" s="19"/>
      <c r="K413" s="19"/>
      <c r="L413" s="1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C413" s="4"/>
      <c r="AD413" s="4"/>
      <c r="AK413" s="4"/>
      <c r="AR413" s="4"/>
    </row>
    <row r="414" ht="12.75" customHeight="1">
      <c r="A414" s="20"/>
      <c r="B414" s="48"/>
      <c r="C414" s="25"/>
      <c r="D414" s="19"/>
      <c r="E414" s="19"/>
      <c r="F414" s="19"/>
      <c r="G414" s="19"/>
      <c r="H414" s="19"/>
      <c r="I414" s="19"/>
      <c r="J414" s="19"/>
      <c r="K414" s="19"/>
      <c r="L414" s="1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C414" s="4"/>
      <c r="AD414" s="4"/>
      <c r="AK414" s="4"/>
      <c r="AR414" s="4"/>
    </row>
    <row r="415" ht="12.75" customHeight="1">
      <c r="A415" s="20"/>
      <c r="B415" s="48"/>
      <c r="C415" s="25"/>
      <c r="D415" s="19"/>
      <c r="E415" s="19"/>
      <c r="F415" s="19"/>
      <c r="G415" s="19"/>
      <c r="H415" s="19"/>
      <c r="I415" s="19"/>
      <c r="J415" s="19"/>
      <c r="K415" s="19"/>
      <c r="L415" s="1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C415" s="4"/>
      <c r="AD415" s="4"/>
      <c r="AK415" s="4"/>
      <c r="AR415" s="4"/>
    </row>
    <row r="416" ht="12.75" customHeight="1">
      <c r="A416" s="20"/>
      <c r="B416" s="48"/>
      <c r="C416" s="25"/>
      <c r="D416" s="19"/>
      <c r="E416" s="19"/>
      <c r="F416" s="19"/>
      <c r="G416" s="19"/>
      <c r="H416" s="19"/>
      <c r="I416" s="19"/>
      <c r="J416" s="19"/>
      <c r="K416" s="19"/>
      <c r="L416" s="1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C416" s="4"/>
      <c r="AD416" s="4"/>
      <c r="AK416" s="4"/>
      <c r="AR416" s="4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Q5:AR5"/>
    <mergeCell ref="AQ6:AR6"/>
    <mergeCell ref="AQ24:AR24"/>
    <mergeCell ref="AQ41:AR41"/>
    <mergeCell ref="AJ45:AK45"/>
    <mergeCell ref="AC6:AD6"/>
    <mergeCell ref="AC22:AD22"/>
    <mergeCell ref="AC36:AD36"/>
    <mergeCell ref="A20:B20"/>
    <mergeCell ref="A34:B34"/>
    <mergeCell ref="B2:F3"/>
    <mergeCell ref="A5:B5"/>
    <mergeCell ref="AC5:AD5"/>
    <mergeCell ref="AJ5:AK5"/>
    <mergeCell ref="A6:B6"/>
    <mergeCell ref="AJ6:AK6"/>
    <mergeCell ref="AJ22:AK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2.71"/>
    <col customWidth="1" min="3" max="3" width="11.29"/>
    <col customWidth="1" min="4" max="4" width="6.57"/>
    <col customWidth="1" min="5" max="5" width="8.29"/>
    <col customWidth="1" min="6" max="6" width="9.0"/>
    <col customWidth="1" hidden="1" min="7" max="7" width="6.57"/>
    <col customWidth="1" hidden="1" min="8" max="11" width="8.43"/>
    <col customWidth="1" hidden="1" min="12" max="14" width="8.71"/>
    <col customWidth="1" hidden="1" min="15" max="15" width="8.14"/>
    <col customWidth="1" hidden="1" min="16" max="16" width="9.29"/>
    <col customWidth="1" hidden="1" min="17" max="17" width="9.0"/>
    <col customWidth="1" hidden="1" min="18" max="18" width="8.71"/>
    <col customWidth="1" hidden="1" min="19" max="19" width="8.57"/>
    <col customWidth="1" hidden="1" min="20" max="20" width="8.71"/>
    <col customWidth="1" hidden="1" min="21" max="21" width="8.43"/>
    <col customWidth="1" hidden="1" min="22" max="22" width="8.57"/>
    <col customWidth="1" hidden="1" min="23" max="25" width="8.43"/>
    <col customWidth="1" hidden="1" min="26" max="26" width="8.57"/>
    <col customWidth="1" hidden="1" min="27" max="27" width="8.43"/>
    <col customWidth="1" min="28" max="28" width="2.43"/>
    <col customWidth="1" min="29" max="29" width="3.14"/>
    <col customWidth="1" min="30" max="30" width="22.57"/>
    <col customWidth="1" min="31" max="34" width="8.71"/>
    <col customWidth="1" min="35" max="35" width="2.71"/>
    <col customWidth="1" min="36" max="36" width="2.86"/>
    <col customWidth="1" min="37" max="37" width="21.43"/>
    <col customWidth="1" min="38" max="41" width="8.71"/>
    <col customWidth="1" min="42" max="42" width="2.43"/>
    <col customWidth="1" min="43" max="43" width="3.71"/>
    <col customWidth="1" min="44" max="44" width="21.71"/>
    <col customWidth="1" min="45" max="48" width="8.71"/>
  </cols>
  <sheetData>
    <row r="1" ht="12.75" customHeight="1">
      <c r="A1" s="17"/>
      <c r="B1" s="17" t="s">
        <v>14</v>
      </c>
      <c r="C1" s="17"/>
      <c r="D1" s="18"/>
      <c r="E1" s="17"/>
      <c r="F1" s="17"/>
      <c r="G1" s="19"/>
      <c r="H1" s="19"/>
      <c r="I1" s="19"/>
      <c r="J1" s="19"/>
      <c r="K1" s="19"/>
      <c r="L1" s="1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2.75" customHeight="1">
      <c r="A2" s="20"/>
      <c r="B2" s="21" t="s">
        <v>51</v>
      </c>
      <c r="G2" s="22"/>
      <c r="H2" s="22"/>
      <c r="I2" s="19"/>
      <c r="J2" s="19"/>
      <c r="K2" s="19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2.75" customHeight="1">
      <c r="A3" s="20"/>
      <c r="G3" s="22"/>
      <c r="H3" s="22"/>
      <c r="I3" s="19"/>
      <c r="J3" s="19"/>
      <c r="K3" s="19"/>
      <c r="L3" s="1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2.75" customHeight="1">
      <c r="A4" s="23"/>
      <c r="B4" s="23"/>
      <c r="C4" s="23"/>
      <c r="D4" s="24"/>
      <c r="E4" s="18"/>
      <c r="F4" s="23"/>
      <c r="G4" s="19"/>
      <c r="H4" s="19"/>
      <c r="I4" s="19"/>
      <c r="J4" s="19"/>
      <c r="K4" s="19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2.75" customHeight="1">
      <c r="A5" s="20" t="s">
        <v>16</v>
      </c>
      <c r="C5" s="25"/>
      <c r="D5" s="19"/>
      <c r="E5" s="19"/>
      <c r="F5" s="19"/>
      <c r="G5" s="19"/>
      <c r="H5" s="19"/>
      <c r="I5" s="19"/>
      <c r="J5" s="19"/>
      <c r="K5" s="19"/>
      <c r="L5" s="13"/>
      <c r="M5" s="4" t="s">
        <v>17</v>
      </c>
      <c r="N5" s="4"/>
      <c r="O5" s="4"/>
      <c r="P5" s="4"/>
      <c r="Q5" s="4"/>
      <c r="R5" s="4" t="s">
        <v>18</v>
      </c>
      <c r="S5" s="4"/>
      <c r="T5" s="4"/>
      <c r="U5" s="4"/>
      <c r="V5" s="4"/>
      <c r="W5" s="4" t="s">
        <v>19</v>
      </c>
      <c r="X5" s="4"/>
      <c r="Y5" s="4"/>
      <c r="Z5" s="4"/>
      <c r="AA5" s="4"/>
      <c r="AB5" s="4"/>
      <c r="AC5" s="20" t="s">
        <v>20</v>
      </c>
      <c r="AE5" s="25"/>
      <c r="AF5" s="19"/>
      <c r="AG5" s="19"/>
      <c r="AH5" s="19"/>
      <c r="AJ5" s="20" t="s">
        <v>21</v>
      </c>
      <c r="AL5" s="25"/>
      <c r="AM5" s="19"/>
      <c r="AN5" s="19"/>
      <c r="AO5" s="19"/>
      <c r="AQ5" s="20" t="s">
        <v>22</v>
      </c>
      <c r="AS5" s="25"/>
      <c r="AT5" s="19"/>
      <c r="AU5" s="19"/>
      <c r="AV5" s="19"/>
    </row>
    <row r="6" ht="12.75" customHeight="1">
      <c r="A6" s="20" t="s">
        <v>33</v>
      </c>
      <c r="C6" s="26" t="s">
        <v>24</v>
      </c>
      <c r="D6" s="18" t="s">
        <v>25</v>
      </c>
      <c r="E6" s="18" t="s">
        <v>26</v>
      </c>
      <c r="F6" s="18" t="s">
        <v>27</v>
      </c>
      <c r="G6" s="19"/>
      <c r="H6" s="19"/>
      <c r="I6" s="19"/>
      <c r="J6" s="19"/>
      <c r="K6" s="19"/>
      <c r="L6" s="13"/>
      <c r="M6" s="4" t="s">
        <v>28</v>
      </c>
      <c r="N6" s="4" t="s">
        <v>29</v>
      </c>
      <c r="O6" s="4" t="s">
        <v>30</v>
      </c>
      <c r="P6" s="4" t="s">
        <v>31</v>
      </c>
      <c r="Q6" s="4" t="s">
        <v>32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/>
      <c r="AC6" s="20" t="s">
        <v>33</v>
      </c>
      <c r="AE6" s="26" t="s">
        <v>24</v>
      </c>
      <c r="AF6" s="18" t="s">
        <v>25</v>
      </c>
      <c r="AG6" s="18" t="s">
        <v>26</v>
      </c>
      <c r="AH6" s="18" t="s">
        <v>27</v>
      </c>
      <c r="AJ6" s="20" t="s">
        <v>33</v>
      </c>
      <c r="AL6" s="26" t="s">
        <v>24</v>
      </c>
      <c r="AM6" s="18" t="s">
        <v>25</v>
      </c>
      <c r="AN6" s="18" t="s">
        <v>26</v>
      </c>
      <c r="AO6" s="18" t="s">
        <v>27</v>
      </c>
      <c r="AQ6" s="20" t="s">
        <v>33</v>
      </c>
      <c r="AS6" s="26" t="s">
        <v>24</v>
      </c>
      <c r="AT6" s="18" t="s">
        <v>25</v>
      </c>
      <c r="AU6" s="18" t="s">
        <v>26</v>
      </c>
      <c r="AV6" s="18" t="s">
        <v>27</v>
      </c>
    </row>
    <row r="7" ht="12.75" customHeight="1">
      <c r="A7" s="27">
        <v>1.0</v>
      </c>
      <c r="B7" s="28" t="s">
        <v>5</v>
      </c>
      <c r="C7" s="29">
        <v>0.5</v>
      </c>
      <c r="D7" s="30">
        <v>5.0</v>
      </c>
      <c r="E7" s="30">
        <v>1.0</v>
      </c>
      <c r="F7" s="30">
        <f>Max!$B$4*C7</f>
        <v>50</v>
      </c>
      <c r="G7" s="31"/>
      <c r="H7" s="32"/>
      <c r="I7" s="31">
        <f t="shared" ref="I7:I10" si="1">D7*E7</f>
        <v>5</v>
      </c>
      <c r="J7" s="32">
        <f t="shared" ref="J7:J10" si="2">F7*I7</f>
        <v>250</v>
      </c>
      <c r="K7" s="31"/>
      <c r="L7" s="33"/>
      <c r="M7" s="4"/>
      <c r="N7" s="4"/>
      <c r="O7" s="4"/>
      <c r="P7" s="4"/>
      <c r="Q7" s="4"/>
      <c r="R7" s="7">
        <f>I7</f>
        <v>5</v>
      </c>
      <c r="S7" s="7">
        <f>I8</f>
        <v>4</v>
      </c>
      <c r="T7" s="7">
        <f>I9</f>
        <v>3</v>
      </c>
      <c r="U7" s="7">
        <f>I10</f>
        <v>15</v>
      </c>
      <c r="V7" s="4"/>
      <c r="W7" s="4"/>
      <c r="X7" s="4"/>
      <c r="Y7" s="4"/>
      <c r="Z7" s="4"/>
      <c r="AA7" s="4"/>
      <c r="AB7" s="4"/>
      <c r="AC7" s="34">
        <v>1.0</v>
      </c>
      <c r="AD7" s="35" t="s">
        <v>34</v>
      </c>
      <c r="AE7" s="36">
        <v>0.5</v>
      </c>
      <c r="AF7" s="37">
        <v>5.0</v>
      </c>
      <c r="AG7" s="38">
        <v>1.0</v>
      </c>
      <c r="AH7" s="38">
        <f>Max!$B$3*AE7</f>
        <v>50</v>
      </c>
      <c r="AJ7" s="34">
        <v>1.0</v>
      </c>
      <c r="AK7" s="35" t="s">
        <v>34</v>
      </c>
      <c r="AL7" s="36">
        <v>0.5</v>
      </c>
      <c r="AM7" s="37">
        <v>5.0</v>
      </c>
      <c r="AN7" s="38">
        <v>1.0</v>
      </c>
      <c r="AO7" s="38">
        <f>Max!$B$3*AL7</f>
        <v>50</v>
      </c>
      <c r="AQ7" s="34">
        <v>1.0</v>
      </c>
      <c r="AR7" s="35" t="s">
        <v>34</v>
      </c>
      <c r="AS7" s="36">
        <v>0.5</v>
      </c>
      <c r="AT7" s="37">
        <v>5.0</v>
      </c>
      <c r="AU7" s="38">
        <v>1.0</v>
      </c>
      <c r="AV7" s="38">
        <f>Max!$B$3*AS7</f>
        <v>50</v>
      </c>
    </row>
    <row r="8" ht="12.75" customHeight="1">
      <c r="A8" s="27"/>
      <c r="B8" s="28"/>
      <c r="C8" s="29">
        <v>0.6</v>
      </c>
      <c r="D8" s="39">
        <v>4.0</v>
      </c>
      <c r="E8" s="30">
        <v>1.0</v>
      </c>
      <c r="F8" s="30">
        <f>Max!$B$4*C8</f>
        <v>60</v>
      </c>
      <c r="G8" s="40"/>
      <c r="H8" s="41"/>
      <c r="I8" s="40">
        <f t="shared" si="1"/>
        <v>4</v>
      </c>
      <c r="J8" s="41">
        <f t="shared" si="2"/>
        <v>240</v>
      </c>
      <c r="K8" s="40"/>
      <c r="L8" s="4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34"/>
      <c r="AD8" s="35"/>
      <c r="AE8" s="36">
        <v>0.6</v>
      </c>
      <c r="AF8" s="37">
        <v>4.0</v>
      </c>
      <c r="AG8" s="38">
        <v>2.0</v>
      </c>
      <c r="AH8" s="38">
        <f>Max!$B$3*AE8</f>
        <v>60</v>
      </c>
      <c r="AJ8" s="34"/>
      <c r="AK8" s="35"/>
      <c r="AL8" s="36">
        <v>0.6</v>
      </c>
      <c r="AM8" s="37">
        <v>4.0</v>
      </c>
      <c r="AN8" s="38">
        <v>2.0</v>
      </c>
      <c r="AO8" s="38">
        <f>Max!$B$3*AL8</f>
        <v>60</v>
      </c>
      <c r="AQ8" s="34"/>
      <c r="AR8" s="35"/>
      <c r="AS8" s="36">
        <v>0.6</v>
      </c>
      <c r="AT8" s="37">
        <v>4.0</v>
      </c>
      <c r="AU8" s="38">
        <v>1.0</v>
      </c>
      <c r="AV8" s="38">
        <f>Max!$B$3*AS8</f>
        <v>60</v>
      </c>
    </row>
    <row r="9" ht="12.75" customHeight="1">
      <c r="A9" s="27"/>
      <c r="B9" s="28"/>
      <c r="C9" s="29">
        <v>0.7</v>
      </c>
      <c r="D9" s="39">
        <v>3.0</v>
      </c>
      <c r="E9" s="30">
        <v>1.0</v>
      </c>
      <c r="F9" s="30">
        <f>Max!$B$4*C9</f>
        <v>70</v>
      </c>
      <c r="G9" s="40"/>
      <c r="H9" s="41"/>
      <c r="I9" s="40">
        <f t="shared" si="1"/>
        <v>3</v>
      </c>
      <c r="J9" s="41">
        <f t="shared" si="2"/>
        <v>210</v>
      </c>
      <c r="K9" s="40"/>
      <c r="L9" s="4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34"/>
      <c r="AD9" s="35"/>
      <c r="AE9" s="36">
        <v>0.7</v>
      </c>
      <c r="AF9" s="37">
        <v>3.0</v>
      </c>
      <c r="AG9" s="38">
        <v>2.0</v>
      </c>
      <c r="AH9" s="38">
        <f>Max!$B$3*AE9</f>
        <v>70</v>
      </c>
      <c r="AJ9" s="34"/>
      <c r="AK9" s="35"/>
      <c r="AL9" s="36">
        <v>0.7</v>
      </c>
      <c r="AM9" s="37">
        <v>3.0</v>
      </c>
      <c r="AN9" s="38">
        <v>2.0</v>
      </c>
      <c r="AO9" s="38">
        <f>Max!$B$3*AL9</f>
        <v>70</v>
      </c>
      <c r="AQ9" s="34"/>
      <c r="AR9" s="35"/>
      <c r="AS9" s="36">
        <v>0.7</v>
      </c>
      <c r="AT9" s="37">
        <v>3.0</v>
      </c>
      <c r="AU9" s="38">
        <v>2.0</v>
      </c>
      <c r="AV9" s="38">
        <f>Max!$B$3*AS9</f>
        <v>70</v>
      </c>
    </row>
    <row r="10" ht="12.75" customHeight="1">
      <c r="A10" s="27"/>
      <c r="B10" s="28"/>
      <c r="C10" s="29">
        <v>0.8</v>
      </c>
      <c r="D10" s="30">
        <v>3.0</v>
      </c>
      <c r="E10" s="30">
        <v>5.0</v>
      </c>
      <c r="F10" s="30">
        <f>Max!$B$4*C10</f>
        <v>80</v>
      </c>
      <c r="G10" s="40"/>
      <c r="H10" s="41"/>
      <c r="I10" s="40">
        <f t="shared" si="1"/>
        <v>15</v>
      </c>
      <c r="J10" s="41">
        <f t="shared" si="2"/>
        <v>1200</v>
      </c>
      <c r="K10" s="40"/>
      <c r="L10" s="4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4"/>
      <c r="AD10" s="35"/>
      <c r="AE10" s="36">
        <v>0.8</v>
      </c>
      <c r="AF10" s="37">
        <v>2.0</v>
      </c>
      <c r="AG10" s="38">
        <v>2.0</v>
      </c>
      <c r="AH10" s="38">
        <f>Max!$B$3*AE10</f>
        <v>80</v>
      </c>
      <c r="AJ10" s="34"/>
      <c r="AK10" s="35"/>
      <c r="AL10" s="36">
        <v>0.8</v>
      </c>
      <c r="AM10" s="37">
        <v>3.0</v>
      </c>
      <c r="AN10" s="38">
        <v>5.0</v>
      </c>
      <c r="AO10" s="38">
        <f>Max!$B$3*AL10</f>
        <v>80</v>
      </c>
      <c r="AQ10" s="34"/>
      <c r="AR10" s="35"/>
      <c r="AS10" s="36">
        <v>0.8</v>
      </c>
      <c r="AT10" s="37">
        <v>3.0</v>
      </c>
      <c r="AU10" s="38">
        <v>2.0</v>
      </c>
      <c r="AV10" s="38">
        <f>Max!$B$3*AS10</f>
        <v>80</v>
      </c>
    </row>
    <row r="11" ht="12.75" customHeight="1">
      <c r="A11" s="34">
        <v>2.0</v>
      </c>
      <c r="B11" s="35" t="s">
        <v>34</v>
      </c>
      <c r="C11" s="36">
        <v>0.5</v>
      </c>
      <c r="D11" s="37">
        <v>5.0</v>
      </c>
      <c r="E11" s="38">
        <v>1.0</v>
      </c>
      <c r="F11" s="38">
        <f>Max!$B$3*C11</f>
        <v>50</v>
      </c>
      <c r="G11" s="40">
        <f t="shared" ref="G11:G14" si="3">D11*E11</f>
        <v>5</v>
      </c>
      <c r="H11" s="41">
        <f t="shared" ref="H11:H14" si="4">F11*G11</f>
        <v>250</v>
      </c>
      <c r="I11" s="40"/>
      <c r="J11" s="41"/>
      <c r="K11" s="40"/>
      <c r="L11" s="42"/>
      <c r="M11" s="7">
        <f>G11</f>
        <v>5</v>
      </c>
      <c r="N11" s="7">
        <f>G12</f>
        <v>4</v>
      </c>
      <c r="O11" s="7">
        <f>G13</f>
        <v>6</v>
      </c>
      <c r="P11" s="7">
        <f>G14</f>
        <v>15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34"/>
      <c r="AD11" s="35"/>
      <c r="AE11" s="36">
        <v>0.9</v>
      </c>
      <c r="AF11" s="37">
        <v>1.0</v>
      </c>
      <c r="AG11" s="38">
        <v>3.0</v>
      </c>
      <c r="AH11" s="38">
        <f>Max!$B$3*AE11</f>
        <v>90</v>
      </c>
      <c r="AJ11" s="27">
        <v>2.0</v>
      </c>
      <c r="AK11" s="28" t="s">
        <v>5</v>
      </c>
      <c r="AL11" s="29">
        <v>0.5</v>
      </c>
      <c r="AM11" s="39">
        <v>5.0</v>
      </c>
      <c r="AN11" s="30">
        <v>1.0</v>
      </c>
      <c r="AO11" s="30">
        <f>Max!$B$4*AL11</f>
        <v>50</v>
      </c>
      <c r="AQ11" s="34"/>
      <c r="AR11" s="35"/>
      <c r="AS11" s="36">
        <v>0.85</v>
      </c>
      <c r="AT11" s="37">
        <v>2.0</v>
      </c>
      <c r="AU11" s="38">
        <v>2.0</v>
      </c>
      <c r="AV11" s="38">
        <f>Max!$B$3*AS11</f>
        <v>85</v>
      </c>
    </row>
    <row r="12" ht="12.75" customHeight="1">
      <c r="A12" s="34"/>
      <c r="B12" s="35"/>
      <c r="C12" s="36">
        <v>0.6</v>
      </c>
      <c r="D12" s="38">
        <v>4.0</v>
      </c>
      <c r="E12" s="38">
        <v>1.0</v>
      </c>
      <c r="F12" s="38">
        <f>Max!$B$3*C12</f>
        <v>60</v>
      </c>
      <c r="G12" s="40">
        <f t="shared" si="3"/>
        <v>4</v>
      </c>
      <c r="H12" s="41">
        <f t="shared" si="4"/>
        <v>240</v>
      </c>
      <c r="I12" s="40"/>
      <c r="J12" s="41"/>
      <c r="K12" s="40"/>
      <c r="L12" s="4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27">
        <v>2.0</v>
      </c>
      <c r="AD12" s="28" t="s">
        <v>5</v>
      </c>
      <c r="AE12" s="29">
        <v>0.5</v>
      </c>
      <c r="AF12" s="39">
        <v>5.0</v>
      </c>
      <c r="AG12" s="30">
        <v>1.0</v>
      </c>
      <c r="AH12" s="30">
        <f>Max!$B$4*AE12</f>
        <v>50</v>
      </c>
      <c r="AJ12" s="27"/>
      <c r="AK12" s="28"/>
      <c r="AL12" s="29">
        <v>0.6</v>
      </c>
      <c r="AM12" s="39">
        <v>4.0</v>
      </c>
      <c r="AN12" s="30">
        <v>1.0</v>
      </c>
      <c r="AO12" s="30">
        <f>Max!$B$4*AL12</f>
        <v>60</v>
      </c>
      <c r="AQ12" s="34"/>
      <c r="AR12" s="35"/>
      <c r="AS12" s="36">
        <v>0.9</v>
      </c>
      <c r="AT12" s="37">
        <v>1.0</v>
      </c>
      <c r="AU12" s="38">
        <v>2.0</v>
      </c>
      <c r="AV12" s="38">
        <f>Max!$B$3*AS12</f>
        <v>90</v>
      </c>
    </row>
    <row r="13" ht="12.75" customHeight="1">
      <c r="A13" s="34"/>
      <c r="B13" s="35"/>
      <c r="C13" s="36">
        <v>0.7</v>
      </c>
      <c r="D13" s="38">
        <v>3.0</v>
      </c>
      <c r="E13" s="38">
        <v>2.0</v>
      </c>
      <c r="F13" s="38">
        <f>Max!$B$3*C13</f>
        <v>70</v>
      </c>
      <c r="G13" s="40">
        <f t="shared" si="3"/>
        <v>6</v>
      </c>
      <c r="H13" s="41">
        <f t="shared" si="4"/>
        <v>420</v>
      </c>
      <c r="I13" s="40"/>
      <c r="J13" s="41"/>
      <c r="K13" s="40"/>
      <c r="L13" s="4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27"/>
      <c r="AD13" s="28"/>
      <c r="AE13" s="29">
        <v>0.6</v>
      </c>
      <c r="AF13" s="39">
        <v>4.0</v>
      </c>
      <c r="AG13" s="30">
        <v>1.0</v>
      </c>
      <c r="AH13" s="30">
        <f>Max!$B$4*AE13</f>
        <v>60</v>
      </c>
      <c r="AJ13" s="27"/>
      <c r="AK13" s="28"/>
      <c r="AL13" s="29">
        <v>0.7</v>
      </c>
      <c r="AM13" s="39">
        <v>3.0</v>
      </c>
      <c r="AN13" s="30">
        <v>1.0</v>
      </c>
      <c r="AO13" s="30">
        <f>Max!$B$4*AL13</f>
        <v>70</v>
      </c>
      <c r="AQ13" s="27">
        <v>2.0</v>
      </c>
      <c r="AR13" s="28" t="s">
        <v>5</v>
      </c>
      <c r="AS13" s="29">
        <v>0.5</v>
      </c>
      <c r="AT13" s="39">
        <v>5.0</v>
      </c>
      <c r="AU13" s="30">
        <v>1.0</v>
      </c>
      <c r="AV13" s="30">
        <f>Max!$B$4*AS13</f>
        <v>50</v>
      </c>
    </row>
    <row r="14" ht="12.75" customHeight="1">
      <c r="A14" s="34"/>
      <c r="B14" s="62"/>
      <c r="C14" s="36">
        <v>0.8</v>
      </c>
      <c r="D14" s="38">
        <v>3.0</v>
      </c>
      <c r="E14" s="38">
        <v>5.0</v>
      </c>
      <c r="F14" s="38">
        <f>Max!$B$3*C14</f>
        <v>80</v>
      </c>
      <c r="G14" s="40">
        <f t="shared" si="3"/>
        <v>15</v>
      </c>
      <c r="H14" s="41">
        <f t="shared" si="4"/>
        <v>1200</v>
      </c>
      <c r="I14" s="40"/>
      <c r="J14" s="41"/>
      <c r="K14" s="40"/>
      <c r="L14" s="4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27"/>
      <c r="AD14" s="28"/>
      <c r="AE14" s="29">
        <v>0.7</v>
      </c>
      <c r="AF14" s="39">
        <v>3.0</v>
      </c>
      <c r="AG14" s="30">
        <v>1.0</v>
      </c>
      <c r="AH14" s="30">
        <f>Max!$B$4*AE14</f>
        <v>70</v>
      </c>
      <c r="AJ14" s="27"/>
      <c r="AK14" s="28"/>
      <c r="AL14" s="29">
        <v>0.8</v>
      </c>
      <c r="AM14" s="39">
        <v>3.0</v>
      </c>
      <c r="AN14" s="30">
        <v>2.0</v>
      </c>
      <c r="AO14" s="30">
        <f>Max!$B$4*AL14</f>
        <v>80</v>
      </c>
      <c r="AQ14" s="27"/>
      <c r="AR14" s="28"/>
      <c r="AS14" s="29">
        <v>0.6</v>
      </c>
      <c r="AT14" s="39">
        <v>4.0</v>
      </c>
      <c r="AU14" s="30">
        <v>1.0</v>
      </c>
      <c r="AV14" s="30">
        <f>Max!$B$4*AS14</f>
        <v>60</v>
      </c>
    </row>
    <row r="15" ht="12.75" customHeight="1">
      <c r="A15" s="27">
        <v>3.0</v>
      </c>
      <c r="B15" s="28" t="s">
        <v>52</v>
      </c>
      <c r="C15" s="29">
        <v>0.5</v>
      </c>
      <c r="D15" s="30">
        <v>3.0</v>
      </c>
      <c r="E15" s="30">
        <v>1.0</v>
      </c>
      <c r="F15" s="30">
        <f>Max!$B$4*C15</f>
        <v>50</v>
      </c>
      <c r="G15" s="40"/>
      <c r="H15" s="41"/>
      <c r="I15" s="40">
        <f t="shared" ref="I15:I17" si="5">D15*E15</f>
        <v>3</v>
      </c>
      <c r="J15" s="41">
        <f t="shared" ref="J15:J17" si="6">F15*I15</f>
        <v>150</v>
      </c>
      <c r="K15" s="40"/>
      <c r="L15" s="42"/>
      <c r="M15" s="4"/>
      <c r="N15" s="4"/>
      <c r="O15" s="4"/>
      <c r="P15" s="4"/>
      <c r="Q15" s="4"/>
      <c r="R15" s="7">
        <f>I15</f>
        <v>3</v>
      </c>
      <c r="S15" s="7">
        <f>I16</f>
        <v>3</v>
      </c>
      <c r="T15" s="7">
        <f>I17</f>
        <v>12</v>
      </c>
      <c r="U15" s="4"/>
      <c r="V15" s="4"/>
      <c r="W15" s="4"/>
      <c r="X15" s="4"/>
      <c r="Y15" s="4"/>
      <c r="Z15" s="4"/>
      <c r="AA15" s="4"/>
      <c r="AB15" s="4"/>
      <c r="AC15" s="27"/>
      <c r="AD15" s="28"/>
      <c r="AE15" s="29">
        <v>0.8</v>
      </c>
      <c r="AF15" s="39">
        <v>3.0</v>
      </c>
      <c r="AG15" s="30">
        <v>5.0</v>
      </c>
      <c r="AH15" s="30">
        <f>Max!$B$4*AE15</f>
        <v>80</v>
      </c>
      <c r="AJ15" s="27"/>
      <c r="AK15" s="28"/>
      <c r="AL15" s="29">
        <v>0.85</v>
      </c>
      <c r="AM15" s="39">
        <v>2.0</v>
      </c>
      <c r="AN15" s="30">
        <v>3.0</v>
      </c>
      <c r="AO15" s="30">
        <f>Max!$B$4*AL15</f>
        <v>85</v>
      </c>
      <c r="AQ15" s="27"/>
      <c r="AR15" s="28"/>
      <c r="AS15" s="29">
        <v>0.7</v>
      </c>
      <c r="AT15" s="39">
        <v>3.0</v>
      </c>
      <c r="AU15" s="30">
        <v>1.0</v>
      </c>
      <c r="AV15" s="30">
        <f>Max!$B$4*AS15</f>
        <v>70</v>
      </c>
    </row>
    <row r="16" ht="12.75" customHeight="1">
      <c r="A16" s="27"/>
      <c r="B16" s="28"/>
      <c r="C16" s="29">
        <v>0.6</v>
      </c>
      <c r="D16" s="30">
        <v>3.0</v>
      </c>
      <c r="E16" s="30">
        <v>1.0</v>
      </c>
      <c r="F16" s="30">
        <f>Max!$B$4*C16</f>
        <v>60</v>
      </c>
      <c r="G16" s="40"/>
      <c r="H16" s="41"/>
      <c r="I16" s="40">
        <f t="shared" si="5"/>
        <v>3</v>
      </c>
      <c r="J16" s="41">
        <f t="shared" si="6"/>
        <v>180</v>
      </c>
      <c r="K16" s="40"/>
      <c r="L16" s="4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3">
        <v>3.0</v>
      </c>
      <c r="AD16" s="44" t="s">
        <v>36</v>
      </c>
      <c r="AE16" s="45"/>
      <c r="AF16" s="46">
        <v>10.0</v>
      </c>
      <c r="AG16" s="46">
        <v>5.0</v>
      </c>
      <c r="AH16" s="46"/>
      <c r="AJ16" s="27"/>
      <c r="AK16" s="28"/>
      <c r="AL16" s="29">
        <v>0.8</v>
      </c>
      <c r="AM16" s="39">
        <v>3.0</v>
      </c>
      <c r="AN16" s="30">
        <v>2.0</v>
      </c>
      <c r="AO16" s="30">
        <f>Max!$B$4*AL16</f>
        <v>80</v>
      </c>
      <c r="AQ16" s="27"/>
      <c r="AR16" s="28"/>
      <c r="AS16" s="29">
        <v>0.8</v>
      </c>
      <c r="AT16" s="39">
        <v>2.0</v>
      </c>
      <c r="AU16" s="30">
        <v>5.0</v>
      </c>
      <c r="AV16" s="30">
        <f>Max!$B$4*AS16</f>
        <v>80</v>
      </c>
    </row>
    <row r="17" ht="12.75" customHeight="1">
      <c r="A17" s="27"/>
      <c r="B17" s="28"/>
      <c r="C17" s="29">
        <v>0.7</v>
      </c>
      <c r="D17" s="30">
        <v>3.0</v>
      </c>
      <c r="E17" s="30">
        <v>4.0</v>
      </c>
      <c r="F17" s="30">
        <f>Max!$B$4*C17</f>
        <v>70</v>
      </c>
      <c r="G17" s="40"/>
      <c r="H17" s="41"/>
      <c r="I17" s="40">
        <f t="shared" si="5"/>
        <v>12</v>
      </c>
      <c r="J17" s="41">
        <f t="shared" si="6"/>
        <v>840</v>
      </c>
      <c r="K17" s="40"/>
      <c r="L17" s="4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3">
        <v>4.0</v>
      </c>
      <c r="AD17" s="44" t="s">
        <v>53</v>
      </c>
      <c r="AE17" s="45"/>
      <c r="AF17" s="46">
        <v>10.0</v>
      </c>
      <c r="AG17" s="46">
        <v>5.0</v>
      </c>
      <c r="AH17" s="46"/>
      <c r="AJ17" s="34">
        <v>3.0</v>
      </c>
      <c r="AK17" s="35" t="s">
        <v>34</v>
      </c>
      <c r="AL17" s="36">
        <v>0.5</v>
      </c>
      <c r="AM17" s="37">
        <v>6.0</v>
      </c>
      <c r="AN17" s="38">
        <v>1.0</v>
      </c>
      <c r="AO17" s="38">
        <f>Max!$B$3*AL17</f>
        <v>50</v>
      </c>
      <c r="AQ17" s="43">
        <v>3.0</v>
      </c>
      <c r="AR17" s="44" t="s">
        <v>36</v>
      </c>
      <c r="AS17" s="45"/>
      <c r="AT17" s="47">
        <v>10.0</v>
      </c>
      <c r="AU17" s="46">
        <v>5.0</v>
      </c>
      <c r="AV17" s="46"/>
    </row>
    <row r="18" ht="12.75" customHeight="1">
      <c r="A18" s="43">
        <v>4.0</v>
      </c>
      <c r="B18" s="48" t="s">
        <v>36</v>
      </c>
      <c r="C18" s="45"/>
      <c r="D18" s="47">
        <v>10.0</v>
      </c>
      <c r="E18" s="46">
        <v>5.0</v>
      </c>
      <c r="F18" s="46"/>
      <c r="G18" s="40"/>
      <c r="H18" s="41"/>
      <c r="I18" s="40"/>
      <c r="J18" s="41"/>
      <c r="K18" s="40"/>
      <c r="L18" s="4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34">
        <v>5.0</v>
      </c>
      <c r="AD18" s="35" t="s">
        <v>3</v>
      </c>
      <c r="AE18" s="36">
        <v>0.5</v>
      </c>
      <c r="AF18" s="38">
        <v>5.0</v>
      </c>
      <c r="AG18" s="38">
        <v>1.0</v>
      </c>
      <c r="AH18" s="38">
        <f>Max!$B$3*AE18</f>
        <v>50</v>
      </c>
      <c r="AJ18" s="34"/>
      <c r="AK18" s="35"/>
      <c r="AL18" s="36">
        <v>0.6</v>
      </c>
      <c r="AM18" s="37">
        <v>6.0</v>
      </c>
      <c r="AN18" s="38">
        <v>1.0</v>
      </c>
      <c r="AO18" s="38">
        <f>Max!$B$3*AL18</f>
        <v>60</v>
      </c>
      <c r="AQ18" s="43">
        <v>4.0</v>
      </c>
      <c r="AR18" s="44" t="s">
        <v>39</v>
      </c>
      <c r="AS18" s="45"/>
      <c r="AT18" s="47">
        <v>8.0</v>
      </c>
      <c r="AU18" s="46">
        <v>5.0</v>
      </c>
      <c r="AV18" s="46"/>
    </row>
    <row r="19" ht="12.75" customHeight="1">
      <c r="A19" s="34">
        <v>5.0</v>
      </c>
      <c r="B19" s="35" t="s">
        <v>34</v>
      </c>
      <c r="C19" s="36">
        <v>0.55</v>
      </c>
      <c r="D19" s="37">
        <v>5.0</v>
      </c>
      <c r="E19" s="38">
        <v>1.0</v>
      </c>
      <c r="F19" s="38">
        <f>Max!$B$3*C19</f>
        <v>55</v>
      </c>
      <c r="G19" s="40">
        <f t="shared" ref="G19:G21" si="7">D19*E19</f>
        <v>5</v>
      </c>
      <c r="H19" s="41">
        <f t="shared" ref="H19:H21" si="8">F19*G19</f>
        <v>275</v>
      </c>
      <c r="I19" s="40"/>
      <c r="J19" s="41"/>
      <c r="K19" s="40"/>
      <c r="L19" s="42"/>
      <c r="M19" s="7">
        <f>G19</f>
        <v>5</v>
      </c>
      <c r="N19" s="7">
        <f>G20</f>
        <v>4</v>
      </c>
      <c r="O19" s="7">
        <f>G21</f>
        <v>15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34"/>
      <c r="AD19" s="35"/>
      <c r="AE19" s="36">
        <v>0.6</v>
      </c>
      <c r="AF19" s="38">
        <v>4.0</v>
      </c>
      <c r="AG19" s="38">
        <v>1.0</v>
      </c>
      <c r="AH19" s="38">
        <f>Max!$B$3*AE19</f>
        <v>60</v>
      </c>
      <c r="AJ19" s="34"/>
      <c r="AK19" s="35"/>
      <c r="AL19" s="36">
        <v>0.65</v>
      </c>
      <c r="AM19" s="37">
        <v>6.0</v>
      </c>
      <c r="AN19" s="38">
        <v>4.0</v>
      </c>
      <c r="AO19" s="38">
        <f>Max!$B$3*AL19</f>
        <v>65</v>
      </c>
      <c r="AQ19" s="34">
        <v>5.0</v>
      </c>
      <c r="AR19" s="35" t="s">
        <v>34</v>
      </c>
      <c r="AS19" s="36">
        <v>0.5</v>
      </c>
      <c r="AT19" s="37">
        <v>5.0</v>
      </c>
      <c r="AU19" s="38">
        <v>1.0</v>
      </c>
      <c r="AV19" s="38">
        <f>Max!$B$3*AS19</f>
        <v>50</v>
      </c>
    </row>
    <row r="20" ht="12.75" customHeight="1">
      <c r="A20" s="34"/>
      <c r="B20" s="35"/>
      <c r="C20" s="36">
        <v>0.65</v>
      </c>
      <c r="D20" s="38">
        <v>4.0</v>
      </c>
      <c r="E20" s="38">
        <v>1.0</v>
      </c>
      <c r="F20" s="38">
        <f>Max!$B$3*C20</f>
        <v>65</v>
      </c>
      <c r="G20" s="40">
        <f t="shared" si="7"/>
        <v>4</v>
      </c>
      <c r="H20" s="41">
        <f t="shared" si="8"/>
        <v>260</v>
      </c>
      <c r="I20" s="40"/>
      <c r="J20" s="41"/>
      <c r="K20" s="40"/>
      <c r="L20" s="4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34"/>
      <c r="AD20" s="35"/>
      <c r="AE20" s="36">
        <v>0.7</v>
      </c>
      <c r="AF20" s="38">
        <v>3.0</v>
      </c>
      <c r="AG20" s="38">
        <v>2.0</v>
      </c>
      <c r="AH20" s="38">
        <f>Max!$B$3*AE20</f>
        <v>70</v>
      </c>
      <c r="AJ20" s="43">
        <v>4.0</v>
      </c>
      <c r="AK20" s="44" t="s">
        <v>38</v>
      </c>
      <c r="AL20" s="45"/>
      <c r="AM20" s="47">
        <v>10.0</v>
      </c>
      <c r="AN20" s="46">
        <v>5.0</v>
      </c>
      <c r="AO20" s="46"/>
      <c r="AQ20" s="34"/>
      <c r="AR20" s="35"/>
      <c r="AS20" s="36">
        <v>0.6</v>
      </c>
      <c r="AT20" s="37">
        <v>4.0</v>
      </c>
      <c r="AU20" s="38">
        <v>1.0</v>
      </c>
      <c r="AV20" s="38">
        <f>Max!$B$3*AS20</f>
        <v>60</v>
      </c>
    </row>
    <row r="21" ht="12.75" customHeight="1">
      <c r="A21" s="34"/>
      <c r="B21" s="35"/>
      <c r="C21" s="36">
        <v>0.75</v>
      </c>
      <c r="D21" s="38">
        <v>3.0</v>
      </c>
      <c r="E21" s="38">
        <v>5.0</v>
      </c>
      <c r="F21" s="38">
        <f>Max!$B$3*C21</f>
        <v>75</v>
      </c>
      <c r="G21" s="40">
        <f t="shared" si="7"/>
        <v>15</v>
      </c>
      <c r="H21" s="41">
        <f t="shared" si="8"/>
        <v>1125</v>
      </c>
      <c r="I21" s="40"/>
      <c r="J21" s="41"/>
      <c r="K21" s="40"/>
      <c r="L21" s="4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34"/>
      <c r="AD21" s="35"/>
      <c r="AE21" s="36">
        <v>0.8</v>
      </c>
      <c r="AF21" s="38">
        <v>2.0</v>
      </c>
      <c r="AG21" s="38">
        <v>4.0</v>
      </c>
      <c r="AH21" s="38">
        <f>Max!$B$3*AE21</f>
        <v>80</v>
      </c>
      <c r="AJ21" s="43">
        <v>5.0</v>
      </c>
      <c r="AK21" s="44" t="s">
        <v>40</v>
      </c>
      <c r="AL21" s="45"/>
      <c r="AM21" s="47">
        <v>5.0</v>
      </c>
      <c r="AN21" s="46">
        <v>5.0</v>
      </c>
      <c r="AO21" s="46"/>
      <c r="AQ21" s="34"/>
      <c r="AR21" s="35"/>
      <c r="AS21" s="36">
        <v>0.7</v>
      </c>
      <c r="AT21" s="37">
        <v>3.0</v>
      </c>
      <c r="AU21" s="38">
        <v>2.0</v>
      </c>
      <c r="AV21" s="38">
        <f>Max!$B$3*AS21</f>
        <v>70</v>
      </c>
    </row>
    <row r="22" ht="12.75" customHeight="1">
      <c r="A22" s="49">
        <v>6.0</v>
      </c>
      <c r="B22" s="50" t="s">
        <v>40</v>
      </c>
      <c r="C22" s="51"/>
      <c r="D22" s="52">
        <v>5.0</v>
      </c>
      <c r="E22" s="52">
        <v>5.0</v>
      </c>
      <c r="F22" s="52"/>
      <c r="G22" s="40"/>
      <c r="H22" s="41"/>
      <c r="I22" s="40"/>
      <c r="J22" s="41"/>
      <c r="K22" s="40"/>
      <c r="L22" s="4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9">
        <v>6.0</v>
      </c>
      <c r="AD22" s="50" t="s">
        <v>40</v>
      </c>
      <c r="AE22" s="51"/>
      <c r="AF22" s="53">
        <v>5.0</v>
      </c>
      <c r="AG22" s="52">
        <v>5.0</v>
      </c>
      <c r="AH22" s="52"/>
      <c r="AJ22" s="20"/>
      <c r="AK22" s="48"/>
      <c r="AL22" s="25"/>
      <c r="AM22" s="19"/>
      <c r="AN22" s="19"/>
      <c r="AO22" s="19"/>
      <c r="AQ22" s="34"/>
      <c r="AR22" s="35"/>
      <c r="AS22" s="36">
        <v>0.8</v>
      </c>
      <c r="AT22" s="37">
        <v>2.0</v>
      </c>
      <c r="AU22" s="38">
        <v>4.0</v>
      </c>
      <c r="AV22" s="38">
        <f>Max!$B$3*AS22</f>
        <v>80</v>
      </c>
    </row>
    <row r="23" ht="12.75" customHeight="1">
      <c r="A23" s="20"/>
      <c r="B23" s="48"/>
      <c r="C23" s="25"/>
      <c r="D23" s="19"/>
      <c r="E23" s="19"/>
      <c r="F23" s="19"/>
      <c r="G23" s="40"/>
      <c r="H23" s="41"/>
      <c r="I23" s="40"/>
      <c r="J23" s="41"/>
      <c r="K23" s="40"/>
      <c r="L23" s="4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20"/>
      <c r="AD23" s="48"/>
      <c r="AE23" s="25"/>
      <c r="AF23" s="19"/>
      <c r="AG23" s="19"/>
      <c r="AH23" s="19"/>
      <c r="AJ23" s="20"/>
      <c r="AK23" s="48"/>
      <c r="AL23" s="25"/>
      <c r="AM23" s="19"/>
      <c r="AN23" s="19"/>
      <c r="AO23" s="19"/>
      <c r="AQ23" s="49">
        <v>6.0</v>
      </c>
      <c r="AR23" s="50" t="s">
        <v>40</v>
      </c>
      <c r="AS23" s="51"/>
      <c r="AT23" s="53">
        <v>5.0</v>
      </c>
      <c r="AU23" s="52">
        <v>5.0</v>
      </c>
      <c r="AV23" s="52"/>
    </row>
    <row r="24" ht="12.75" customHeight="1">
      <c r="A24" s="20" t="s">
        <v>41</v>
      </c>
      <c r="C24" s="26" t="s">
        <v>24</v>
      </c>
      <c r="D24" s="18" t="s">
        <v>25</v>
      </c>
      <c r="E24" s="18" t="s">
        <v>26</v>
      </c>
      <c r="F24" s="18" t="s">
        <v>42</v>
      </c>
      <c r="G24" s="40"/>
      <c r="H24" s="41"/>
      <c r="I24" s="40"/>
      <c r="J24" s="41"/>
      <c r="K24" s="40"/>
      <c r="L24" s="4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20" t="s">
        <v>41</v>
      </c>
      <c r="AE24" s="26" t="s">
        <v>24</v>
      </c>
      <c r="AF24" s="18" t="s">
        <v>25</v>
      </c>
      <c r="AG24" s="18" t="s">
        <v>26</v>
      </c>
      <c r="AH24" s="18" t="s">
        <v>42</v>
      </c>
      <c r="AJ24" s="20" t="s">
        <v>41</v>
      </c>
      <c r="AL24" s="26" t="s">
        <v>24</v>
      </c>
      <c r="AM24" s="18" t="s">
        <v>25</v>
      </c>
      <c r="AN24" s="18" t="s">
        <v>26</v>
      </c>
      <c r="AO24" s="18" t="s">
        <v>42</v>
      </c>
      <c r="AQ24" s="20"/>
      <c r="AR24" s="48"/>
      <c r="AS24" s="25"/>
      <c r="AT24" s="19"/>
      <c r="AU24" s="19"/>
      <c r="AV24" s="19"/>
    </row>
    <row r="25" ht="12.75" customHeight="1">
      <c r="A25" s="54">
        <v>1.0</v>
      </c>
      <c r="B25" s="55" t="s">
        <v>6</v>
      </c>
      <c r="C25" s="56">
        <v>0.5</v>
      </c>
      <c r="D25" s="57">
        <v>4.0</v>
      </c>
      <c r="E25" s="57">
        <v>1.0</v>
      </c>
      <c r="F25" s="57">
        <f>Max!$B$5*C25</f>
        <v>50</v>
      </c>
      <c r="G25" s="40"/>
      <c r="H25" s="41"/>
      <c r="I25" s="40"/>
      <c r="J25" s="41"/>
      <c r="K25" s="40">
        <f t="shared" ref="K25:K28" si="9">D25*E25</f>
        <v>4</v>
      </c>
      <c r="L25" s="42">
        <f t="shared" ref="L25:L28" si="10">F25*K25</f>
        <v>200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7">
        <f>K25</f>
        <v>4</v>
      </c>
      <c r="X25" s="7">
        <f>K26</f>
        <v>8</v>
      </c>
      <c r="Y25" s="7">
        <f>K27</f>
        <v>6</v>
      </c>
      <c r="Z25" s="7">
        <f>K28</f>
        <v>15</v>
      </c>
      <c r="AA25" s="4"/>
      <c r="AB25" s="4"/>
      <c r="AC25" s="54">
        <v>1.0</v>
      </c>
      <c r="AD25" s="55" t="s">
        <v>54</v>
      </c>
      <c r="AE25" s="56">
        <v>0.5</v>
      </c>
      <c r="AF25" s="58">
        <v>4.0</v>
      </c>
      <c r="AG25" s="57">
        <v>1.0</v>
      </c>
      <c r="AH25" s="57">
        <f>Max!$B$5*AE25</f>
        <v>50</v>
      </c>
      <c r="AJ25" s="54">
        <v>1.0</v>
      </c>
      <c r="AK25" s="55" t="s">
        <v>6</v>
      </c>
      <c r="AL25" s="56">
        <v>0.5</v>
      </c>
      <c r="AM25" s="58">
        <v>4.0</v>
      </c>
      <c r="AN25" s="57">
        <v>1.0</v>
      </c>
      <c r="AO25" s="57">
        <f>Max!$B$5*AL25</f>
        <v>50</v>
      </c>
      <c r="AQ25" s="20" t="s">
        <v>41</v>
      </c>
      <c r="AS25" s="26" t="s">
        <v>24</v>
      </c>
      <c r="AT25" s="18" t="s">
        <v>25</v>
      </c>
      <c r="AU25" s="18" t="s">
        <v>26</v>
      </c>
      <c r="AV25" s="18" t="s">
        <v>42</v>
      </c>
    </row>
    <row r="26" ht="12.75" customHeight="1">
      <c r="A26" s="54"/>
      <c r="B26" s="55"/>
      <c r="C26" s="56">
        <v>0.6</v>
      </c>
      <c r="D26" s="57">
        <v>4.0</v>
      </c>
      <c r="E26" s="57">
        <v>2.0</v>
      </c>
      <c r="F26" s="57">
        <f>Max!$B$5*C26</f>
        <v>60</v>
      </c>
      <c r="G26" s="40"/>
      <c r="H26" s="41"/>
      <c r="I26" s="40"/>
      <c r="J26" s="41"/>
      <c r="K26" s="40">
        <f t="shared" si="9"/>
        <v>8</v>
      </c>
      <c r="L26" s="42">
        <f t="shared" si="10"/>
        <v>480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4"/>
      <c r="AD26" s="55"/>
      <c r="AE26" s="56">
        <v>0.6</v>
      </c>
      <c r="AF26" s="58">
        <v>4.0</v>
      </c>
      <c r="AG26" s="57">
        <v>2.0</v>
      </c>
      <c r="AH26" s="57">
        <f>Max!$B$5*AE26</f>
        <v>60</v>
      </c>
      <c r="AJ26" s="54"/>
      <c r="AK26" s="55"/>
      <c r="AL26" s="56">
        <v>0.6</v>
      </c>
      <c r="AM26" s="58">
        <v>4.0</v>
      </c>
      <c r="AN26" s="57">
        <v>1.0</v>
      </c>
      <c r="AO26" s="57">
        <f>Max!$B$5*AL26</f>
        <v>60</v>
      </c>
      <c r="AQ26" s="27">
        <v>1.0</v>
      </c>
      <c r="AR26" s="28" t="s">
        <v>5</v>
      </c>
      <c r="AS26" s="29">
        <v>0.55</v>
      </c>
      <c r="AT26" s="39">
        <v>5.0</v>
      </c>
      <c r="AU26" s="30">
        <v>1.0</v>
      </c>
      <c r="AV26" s="30">
        <f>Max!$B$4*AS26</f>
        <v>55</v>
      </c>
    </row>
    <row r="27" ht="12.75" customHeight="1">
      <c r="A27" s="54"/>
      <c r="B27" s="55"/>
      <c r="C27" s="56">
        <v>0.7</v>
      </c>
      <c r="D27" s="57">
        <v>3.0</v>
      </c>
      <c r="E27" s="57">
        <v>2.0</v>
      </c>
      <c r="F27" s="57">
        <f>Max!$B$5*C27</f>
        <v>70</v>
      </c>
      <c r="G27" s="40"/>
      <c r="H27" s="41"/>
      <c r="I27" s="40"/>
      <c r="J27" s="41"/>
      <c r="K27" s="40">
        <f t="shared" si="9"/>
        <v>6</v>
      </c>
      <c r="L27" s="42">
        <f t="shared" si="10"/>
        <v>420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4"/>
      <c r="AD27" s="55"/>
      <c r="AE27" s="56">
        <v>0.7</v>
      </c>
      <c r="AF27" s="58">
        <v>3.0</v>
      </c>
      <c r="AG27" s="57">
        <v>2.0</v>
      </c>
      <c r="AH27" s="57">
        <f>Max!$B$5*AE27</f>
        <v>70</v>
      </c>
      <c r="AJ27" s="54"/>
      <c r="AK27" s="55"/>
      <c r="AL27" s="56">
        <v>0.7</v>
      </c>
      <c r="AM27" s="58">
        <v>3.0</v>
      </c>
      <c r="AN27" s="57">
        <v>2.0</v>
      </c>
      <c r="AO27" s="57">
        <f>Max!$B$5*AL27</f>
        <v>70</v>
      </c>
      <c r="AQ27" s="27"/>
      <c r="AR27" s="28"/>
      <c r="AS27" s="29">
        <v>0.65</v>
      </c>
      <c r="AT27" s="39">
        <v>4.0</v>
      </c>
      <c r="AU27" s="30">
        <v>1.0</v>
      </c>
      <c r="AV27" s="30">
        <f>Max!$B$4*AS27</f>
        <v>65</v>
      </c>
    </row>
    <row r="28" ht="12.75" customHeight="1">
      <c r="A28" s="54"/>
      <c r="B28" s="55"/>
      <c r="C28" s="56">
        <v>0.8</v>
      </c>
      <c r="D28" s="57">
        <v>3.0</v>
      </c>
      <c r="E28" s="57">
        <v>5.0</v>
      </c>
      <c r="F28" s="57">
        <f>Max!$B$5*C28</f>
        <v>80</v>
      </c>
      <c r="G28" s="40"/>
      <c r="H28" s="41"/>
      <c r="I28" s="40"/>
      <c r="J28" s="41"/>
      <c r="K28" s="40">
        <f t="shared" si="9"/>
        <v>15</v>
      </c>
      <c r="L28" s="42">
        <f t="shared" si="10"/>
        <v>1200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4"/>
      <c r="AD28" s="55"/>
      <c r="AE28" s="56">
        <v>0.75</v>
      </c>
      <c r="AF28" s="58">
        <v>3.0</v>
      </c>
      <c r="AG28" s="57">
        <v>4.0</v>
      </c>
      <c r="AH28" s="57">
        <f>Max!$B$5*AE28</f>
        <v>75</v>
      </c>
      <c r="AJ28" s="54"/>
      <c r="AK28" s="55"/>
      <c r="AL28" s="56">
        <v>0.8</v>
      </c>
      <c r="AM28" s="58">
        <v>3.0</v>
      </c>
      <c r="AN28" s="57">
        <v>3.0</v>
      </c>
      <c r="AO28" s="57">
        <f>Max!$B$5*AL28</f>
        <v>80</v>
      </c>
      <c r="AQ28" s="27"/>
      <c r="AR28" s="28"/>
      <c r="AS28" s="29">
        <v>0.75</v>
      </c>
      <c r="AT28" s="39">
        <v>3.0</v>
      </c>
      <c r="AU28" s="30">
        <v>1.0</v>
      </c>
      <c r="AV28" s="30">
        <f>Max!$B$4*AS28</f>
        <v>75</v>
      </c>
    </row>
    <row r="29" ht="12.75" customHeight="1">
      <c r="A29" s="27">
        <v>2.0</v>
      </c>
      <c r="B29" s="28" t="s">
        <v>5</v>
      </c>
      <c r="C29" s="29">
        <v>0.5</v>
      </c>
      <c r="D29" s="30">
        <v>5.0</v>
      </c>
      <c r="E29" s="30">
        <v>1.0</v>
      </c>
      <c r="F29" s="30">
        <f>Max!$B$4*C29</f>
        <v>50</v>
      </c>
      <c r="G29" s="40"/>
      <c r="H29" s="41"/>
      <c r="I29" s="40">
        <f t="shared" ref="I29:I37" si="11">D29*E29</f>
        <v>5</v>
      </c>
      <c r="J29" s="41">
        <f t="shared" ref="J29:J37" si="12">F29*I29</f>
        <v>250</v>
      </c>
      <c r="K29" s="40"/>
      <c r="L29" s="42"/>
      <c r="M29" s="4"/>
      <c r="N29" s="4"/>
      <c r="O29" s="4"/>
      <c r="P29" s="4"/>
      <c r="Q29" s="4"/>
      <c r="R29" s="7">
        <f>I29+I37</f>
        <v>14</v>
      </c>
      <c r="S29" s="7">
        <f>I30+I36</f>
        <v>11</v>
      </c>
      <c r="T29" s="7">
        <f>I31+I35</f>
        <v>8</v>
      </c>
      <c r="U29" s="7">
        <f>I32+I33+I34</f>
        <v>13</v>
      </c>
      <c r="V29" s="4">
        <v>0.0</v>
      </c>
      <c r="W29" s="4"/>
      <c r="X29" s="4"/>
      <c r="Y29" s="4"/>
      <c r="Z29" s="4"/>
      <c r="AA29" s="4"/>
      <c r="AB29" s="4"/>
      <c r="AC29" s="27">
        <v>2.0</v>
      </c>
      <c r="AD29" s="28" t="s">
        <v>5</v>
      </c>
      <c r="AE29" s="29">
        <v>0.55</v>
      </c>
      <c r="AF29" s="39">
        <v>5.0</v>
      </c>
      <c r="AG29" s="30">
        <v>1.0</v>
      </c>
      <c r="AH29" s="30">
        <f>Max!$B$4*AE29</f>
        <v>55</v>
      </c>
      <c r="AJ29" s="54"/>
      <c r="AK29" s="55"/>
      <c r="AL29" s="56">
        <v>0.85</v>
      </c>
      <c r="AM29" s="58">
        <v>2.0</v>
      </c>
      <c r="AN29" s="57">
        <v>3.0</v>
      </c>
      <c r="AO29" s="57">
        <f>Max!$B$5*AL29</f>
        <v>85</v>
      </c>
      <c r="AQ29" s="27"/>
      <c r="AR29" s="28"/>
      <c r="AS29" s="29">
        <v>0.85</v>
      </c>
      <c r="AT29" s="39">
        <v>2.0</v>
      </c>
      <c r="AU29" s="30">
        <v>4.0</v>
      </c>
      <c r="AV29" s="30">
        <f>Max!$B$4*AS29</f>
        <v>85</v>
      </c>
    </row>
    <row r="30" ht="12.75" customHeight="1">
      <c r="A30" s="27"/>
      <c r="B30" s="28"/>
      <c r="C30" s="29">
        <v>0.6</v>
      </c>
      <c r="D30" s="30">
        <v>4.0</v>
      </c>
      <c r="E30" s="30">
        <v>1.0</v>
      </c>
      <c r="F30" s="30">
        <f>Max!$B$4*C30</f>
        <v>60</v>
      </c>
      <c r="G30" s="40"/>
      <c r="H30" s="41"/>
      <c r="I30" s="40">
        <f t="shared" si="11"/>
        <v>4</v>
      </c>
      <c r="J30" s="41">
        <f t="shared" si="12"/>
        <v>240</v>
      </c>
      <c r="K30" s="40"/>
      <c r="L30" s="4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27"/>
      <c r="AD30" s="28"/>
      <c r="AE30" s="29">
        <v>0.65</v>
      </c>
      <c r="AF30" s="39">
        <v>4.0</v>
      </c>
      <c r="AG30" s="30">
        <v>1.0</v>
      </c>
      <c r="AH30" s="30">
        <f>Max!$B$4*AE30</f>
        <v>65</v>
      </c>
      <c r="AJ30" s="27">
        <v>2.0</v>
      </c>
      <c r="AK30" s="28" t="s">
        <v>5</v>
      </c>
      <c r="AL30" s="29">
        <v>0.5</v>
      </c>
      <c r="AM30" s="39">
        <v>5.0</v>
      </c>
      <c r="AN30" s="30">
        <v>1.0</v>
      </c>
      <c r="AO30" s="30">
        <f>Max!$B$4*AL30</f>
        <v>50</v>
      </c>
      <c r="AQ30" s="54">
        <v>2.0</v>
      </c>
      <c r="AR30" s="55" t="s">
        <v>6</v>
      </c>
      <c r="AS30" s="56">
        <v>0.5</v>
      </c>
      <c r="AT30" s="58">
        <v>4.0</v>
      </c>
      <c r="AU30" s="57">
        <v>1.0</v>
      </c>
      <c r="AV30" s="57">
        <f>Max!$B$5*AS30</f>
        <v>50</v>
      </c>
    </row>
    <row r="31" ht="12.75" customHeight="1">
      <c r="A31" s="27"/>
      <c r="B31" s="28"/>
      <c r="C31" s="29">
        <v>0.7</v>
      </c>
      <c r="D31" s="30">
        <v>3.0</v>
      </c>
      <c r="E31" s="30">
        <v>1.0</v>
      </c>
      <c r="F31" s="30">
        <f>Max!$B$4*C31</f>
        <v>70</v>
      </c>
      <c r="G31" s="40"/>
      <c r="H31" s="41"/>
      <c r="I31" s="40">
        <f t="shared" si="11"/>
        <v>3</v>
      </c>
      <c r="J31" s="41">
        <f t="shared" si="12"/>
        <v>210</v>
      </c>
      <c r="K31" s="40"/>
      <c r="L31" s="4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7"/>
      <c r="AD31" s="28"/>
      <c r="AE31" s="29">
        <v>0.75</v>
      </c>
      <c r="AF31" s="39">
        <v>3.0</v>
      </c>
      <c r="AG31" s="30">
        <v>1.0</v>
      </c>
      <c r="AH31" s="30">
        <f>Max!$B$4*AE31</f>
        <v>75</v>
      </c>
      <c r="AJ31" s="27"/>
      <c r="AK31" s="28"/>
      <c r="AL31" s="29">
        <v>0.6</v>
      </c>
      <c r="AM31" s="39">
        <v>4.0</v>
      </c>
      <c r="AN31" s="30">
        <v>1.0</v>
      </c>
      <c r="AO31" s="30">
        <f>Max!$B$4*AL31</f>
        <v>60</v>
      </c>
      <c r="AQ31" s="54"/>
      <c r="AR31" s="55"/>
      <c r="AS31" s="56">
        <v>0.6</v>
      </c>
      <c r="AT31" s="58">
        <v>4.0</v>
      </c>
      <c r="AU31" s="57">
        <v>1.0</v>
      </c>
      <c r="AV31" s="57">
        <f>Max!$B$5*AS31</f>
        <v>60</v>
      </c>
    </row>
    <row r="32" ht="12.75" customHeight="1">
      <c r="A32" s="27"/>
      <c r="B32" s="28"/>
      <c r="C32" s="29">
        <v>0.8</v>
      </c>
      <c r="D32" s="30">
        <v>3.0</v>
      </c>
      <c r="E32" s="30">
        <v>2.0</v>
      </c>
      <c r="F32" s="30">
        <f>Max!$B$4*C32</f>
        <v>80</v>
      </c>
      <c r="G32" s="40"/>
      <c r="H32" s="41"/>
      <c r="I32" s="40">
        <f t="shared" si="11"/>
        <v>6</v>
      </c>
      <c r="J32" s="41">
        <f t="shared" si="12"/>
        <v>480</v>
      </c>
      <c r="K32" s="40"/>
      <c r="L32" s="4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27"/>
      <c r="AD32" s="28"/>
      <c r="AE32" s="29">
        <v>0.8</v>
      </c>
      <c r="AF32" s="39">
        <v>2.0</v>
      </c>
      <c r="AG32" s="30">
        <v>2.0</v>
      </c>
      <c r="AH32" s="30">
        <f>Max!$B$4*AE32</f>
        <v>80</v>
      </c>
      <c r="AJ32" s="27"/>
      <c r="AK32" s="28"/>
      <c r="AL32" s="29">
        <v>0.7</v>
      </c>
      <c r="AM32" s="39">
        <v>3.0</v>
      </c>
      <c r="AN32" s="30">
        <v>1.0</v>
      </c>
      <c r="AO32" s="30">
        <f>Max!$B$4*AL32</f>
        <v>70</v>
      </c>
      <c r="AQ32" s="54"/>
      <c r="AR32" s="55"/>
      <c r="AS32" s="56">
        <v>0.7</v>
      </c>
      <c r="AT32" s="58">
        <v>3.0</v>
      </c>
      <c r="AU32" s="57">
        <v>2.0</v>
      </c>
      <c r="AV32" s="57">
        <f>Max!$B$5*AS32</f>
        <v>70</v>
      </c>
    </row>
    <row r="33" ht="12.75" customHeight="1">
      <c r="A33" s="27"/>
      <c r="B33" s="28"/>
      <c r="C33" s="29">
        <v>0.85</v>
      </c>
      <c r="D33" s="30">
        <v>2.0</v>
      </c>
      <c r="E33" s="30">
        <v>2.0</v>
      </c>
      <c r="F33" s="30">
        <f>Max!$B$4*C33</f>
        <v>85</v>
      </c>
      <c r="G33" s="40"/>
      <c r="H33" s="41"/>
      <c r="I33" s="40">
        <f t="shared" si="11"/>
        <v>4</v>
      </c>
      <c r="J33" s="41">
        <f t="shared" si="12"/>
        <v>340</v>
      </c>
      <c r="K33" s="40"/>
      <c r="L33" s="4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27"/>
      <c r="AD33" s="28"/>
      <c r="AE33" s="29">
        <v>0.85</v>
      </c>
      <c r="AF33" s="39">
        <v>1.0</v>
      </c>
      <c r="AG33" s="30">
        <v>2.0</v>
      </c>
      <c r="AH33" s="30">
        <f>Max!$B$4*AE33</f>
        <v>85</v>
      </c>
      <c r="AJ33" s="27"/>
      <c r="AK33" s="28"/>
      <c r="AL33" s="29">
        <v>0.8</v>
      </c>
      <c r="AM33" s="39">
        <v>2.0</v>
      </c>
      <c r="AN33" s="30">
        <v>5.0</v>
      </c>
      <c r="AO33" s="30">
        <f>Max!$B$4*AL33</f>
        <v>80</v>
      </c>
      <c r="AQ33" s="54"/>
      <c r="AR33" s="55"/>
      <c r="AS33" s="56">
        <v>0.8</v>
      </c>
      <c r="AT33" s="58">
        <v>3.0</v>
      </c>
      <c r="AU33" s="57">
        <v>2.0</v>
      </c>
      <c r="AV33" s="57">
        <f>Max!$B$5*AS33</f>
        <v>80</v>
      </c>
    </row>
    <row r="34" ht="12.75" customHeight="1">
      <c r="A34" s="27"/>
      <c r="B34" s="28"/>
      <c r="C34" s="29">
        <v>0.8</v>
      </c>
      <c r="D34" s="30">
        <v>3.0</v>
      </c>
      <c r="E34" s="30">
        <v>1.0</v>
      </c>
      <c r="F34" s="30">
        <f>Max!$B$4*C34</f>
        <v>80</v>
      </c>
      <c r="G34" s="40"/>
      <c r="H34" s="41"/>
      <c r="I34" s="40">
        <f t="shared" si="11"/>
        <v>3</v>
      </c>
      <c r="J34" s="41">
        <f t="shared" si="12"/>
        <v>240</v>
      </c>
      <c r="K34" s="40"/>
      <c r="L34" s="4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27"/>
      <c r="AD34" s="28"/>
      <c r="AE34" s="29">
        <v>0.75</v>
      </c>
      <c r="AF34" s="39">
        <v>3.0</v>
      </c>
      <c r="AG34" s="30">
        <v>1.0</v>
      </c>
      <c r="AH34" s="30">
        <f>Max!$B$4*AE34</f>
        <v>75</v>
      </c>
      <c r="AJ34" s="43">
        <v>3.0</v>
      </c>
      <c r="AK34" s="44" t="s">
        <v>36</v>
      </c>
      <c r="AL34" s="45"/>
      <c r="AM34" s="46">
        <v>10.0</v>
      </c>
      <c r="AN34" s="46">
        <v>5.0</v>
      </c>
      <c r="AO34" s="46"/>
      <c r="AQ34" s="54"/>
      <c r="AR34" s="55"/>
      <c r="AS34" s="56">
        <v>0.85</v>
      </c>
      <c r="AT34" s="58">
        <v>2.0</v>
      </c>
      <c r="AU34" s="57">
        <v>3.0</v>
      </c>
      <c r="AV34" s="57">
        <f>Max!$B$5*AS34</f>
        <v>85</v>
      </c>
    </row>
    <row r="35" ht="12.75" customHeight="1">
      <c r="A35" s="27"/>
      <c r="B35" s="28"/>
      <c r="C35" s="29">
        <v>0.7</v>
      </c>
      <c r="D35" s="30">
        <v>5.0</v>
      </c>
      <c r="E35" s="30">
        <v>1.0</v>
      </c>
      <c r="F35" s="30">
        <f>Max!$B$4*C35</f>
        <v>70</v>
      </c>
      <c r="G35" s="40"/>
      <c r="H35" s="41"/>
      <c r="I35" s="40">
        <f t="shared" si="11"/>
        <v>5</v>
      </c>
      <c r="J35" s="41">
        <f t="shared" si="12"/>
        <v>350</v>
      </c>
      <c r="K35" s="40"/>
      <c r="L35" s="4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27"/>
      <c r="AD35" s="28"/>
      <c r="AE35" s="29">
        <v>0.65</v>
      </c>
      <c r="AF35" s="39">
        <v>5.0</v>
      </c>
      <c r="AG35" s="30">
        <v>1.0</v>
      </c>
      <c r="AH35" s="30">
        <f>Max!$B$4*AE35</f>
        <v>65</v>
      </c>
      <c r="AJ35" s="54">
        <v>4.0</v>
      </c>
      <c r="AK35" s="55" t="s">
        <v>46</v>
      </c>
      <c r="AL35" s="56">
        <v>0.65</v>
      </c>
      <c r="AM35" s="58">
        <v>5.0</v>
      </c>
      <c r="AN35" s="57">
        <v>1.0</v>
      </c>
      <c r="AO35" s="57">
        <f>Max!$B$5*AL35</f>
        <v>65</v>
      </c>
      <c r="AQ35" s="27">
        <v>3.0</v>
      </c>
      <c r="AR35" s="28" t="s">
        <v>5</v>
      </c>
      <c r="AS35" s="29">
        <v>0.5</v>
      </c>
      <c r="AT35" s="39">
        <v>3.0</v>
      </c>
      <c r="AU35" s="30">
        <v>1.0</v>
      </c>
      <c r="AV35" s="30">
        <f>Max!$B$4*AS35</f>
        <v>50</v>
      </c>
    </row>
    <row r="36" ht="12.75" customHeight="1">
      <c r="A36" s="27"/>
      <c r="B36" s="28"/>
      <c r="C36" s="29">
        <v>0.6</v>
      </c>
      <c r="D36" s="30">
        <v>7.0</v>
      </c>
      <c r="E36" s="30">
        <v>1.0</v>
      </c>
      <c r="F36" s="30">
        <f>Max!$B$4*C36</f>
        <v>60</v>
      </c>
      <c r="G36" s="40"/>
      <c r="H36" s="41"/>
      <c r="I36" s="40">
        <f t="shared" si="11"/>
        <v>7</v>
      </c>
      <c r="J36" s="41">
        <f t="shared" si="12"/>
        <v>420</v>
      </c>
      <c r="K36" s="40"/>
      <c r="L36" s="4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27"/>
      <c r="AD36" s="28"/>
      <c r="AE36" s="29">
        <v>0.55</v>
      </c>
      <c r="AF36" s="39">
        <v>7.0</v>
      </c>
      <c r="AG36" s="30">
        <v>1.0</v>
      </c>
      <c r="AH36" s="30">
        <f>Max!$B$4*AE36</f>
        <v>55</v>
      </c>
      <c r="AJ36" s="54"/>
      <c r="AK36" s="55"/>
      <c r="AL36" s="56">
        <v>0.75</v>
      </c>
      <c r="AM36" s="58">
        <v>5.0</v>
      </c>
      <c r="AN36" s="57">
        <v>2.0</v>
      </c>
      <c r="AO36" s="57">
        <f>Max!$B$5*AL36</f>
        <v>75</v>
      </c>
      <c r="AQ36" s="27"/>
      <c r="AR36" s="28"/>
      <c r="AS36" s="29">
        <v>0.6</v>
      </c>
      <c r="AT36" s="39">
        <v>3.0</v>
      </c>
      <c r="AU36" s="30">
        <v>1.0</v>
      </c>
      <c r="AV36" s="30">
        <f>Max!$B$4*AS36</f>
        <v>60</v>
      </c>
    </row>
    <row r="37" ht="12.75" customHeight="1">
      <c r="A37" s="27"/>
      <c r="B37" s="28"/>
      <c r="C37" s="29">
        <v>0.5</v>
      </c>
      <c r="D37" s="39">
        <v>9.0</v>
      </c>
      <c r="E37" s="30">
        <v>1.0</v>
      </c>
      <c r="F37" s="30">
        <f>Max!$B$4*C37</f>
        <v>50</v>
      </c>
      <c r="G37" s="40"/>
      <c r="H37" s="41"/>
      <c r="I37" s="40">
        <f t="shared" si="11"/>
        <v>9</v>
      </c>
      <c r="J37" s="41">
        <f t="shared" si="12"/>
        <v>450</v>
      </c>
      <c r="K37" s="40"/>
      <c r="L37" s="4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3">
        <v>3.0</v>
      </c>
      <c r="AD37" s="44" t="s">
        <v>36</v>
      </c>
      <c r="AE37" s="45"/>
      <c r="AF37" s="46">
        <v>10.0</v>
      </c>
      <c r="AG37" s="46">
        <v>5.0</v>
      </c>
      <c r="AH37" s="46"/>
      <c r="AJ37" s="54"/>
      <c r="AK37" s="55"/>
      <c r="AL37" s="56">
        <v>0.85</v>
      </c>
      <c r="AM37" s="58">
        <v>4.0</v>
      </c>
      <c r="AN37" s="57">
        <v>4.0</v>
      </c>
      <c r="AO37" s="57">
        <f>Max!$B$5*AL37</f>
        <v>85</v>
      </c>
      <c r="AQ37" s="27"/>
      <c r="AR37" s="28"/>
      <c r="AS37" s="29">
        <v>0.7</v>
      </c>
      <c r="AT37" s="39">
        <v>3.0</v>
      </c>
      <c r="AU37" s="30">
        <v>1.0</v>
      </c>
      <c r="AV37" s="30">
        <f>Max!$B$4*AS37</f>
        <v>70</v>
      </c>
    </row>
    <row r="38" ht="12.75" customHeight="1">
      <c r="A38" s="43">
        <v>3.0</v>
      </c>
      <c r="B38" s="44" t="s">
        <v>38</v>
      </c>
      <c r="C38" s="45"/>
      <c r="D38" s="46">
        <v>4.0</v>
      </c>
      <c r="E38" s="46">
        <v>6.0</v>
      </c>
      <c r="F38" s="46"/>
      <c r="G38" s="40"/>
      <c r="H38" s="41"/>
      <c r="I38" s="40"/>
      <c r="J38" s="41"/>
      <c r="K38" s="40"/>
      <c r="L38" s="4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4">
        <v>4.0</v>
      </c>
      <c r="AD38" s="55" t="s">
        <v>6</v>
      </c>
      <c r="AE38" s="56">
        <v>0.5</v>
      </c>
      <c r="AF38" s="58">
        <v>4.0</v>
      </c>
      <c r="AG38" s="57">
        <v>1.0</v>
      </c>
      <c r="AH38" s="57">
        <f>Max!$B$5*AE38</f>
        <v>50</v>
      </c>
      <c r="AJ38" s="43">
        <v>5.0</v>
      </c>
      <c r="AK38" s="44" t="s">
        <v>47</v>
      </c>
      <c r="AL38" s="45"/>
      <c r="AM38" s="47">
        <v>5.0</v>
      </c>
      <c r="AN38" s="46">
        <v>5.0</v>
      </c>
      <c r="AO38" s="46"/>
      <c r="AQ38" s="27"/>
      <c r="AR38" s="28"/>
      <c r="AS38" s="29">
        <v>0.8</v>
      </c>
      <c r="AT38" s="39">
        <v>2.0</v>
      </c>
      <c r="AU38" s="30">
        <v>3.0</v>
      </c>
      <c r="AV38" s="30">
        <f>Max!$B$4*AS38</f>
        <v>80</v>
      </c>
    </row>
    <row r="39" ht="12.75" customHeight="1">
      <c r="A39" s="54">
        <v>4.0</v>
      </c>
      <c r="B39" s="55" t="s">
        <v>46</v>
      </c>
      <c r="C39" s="56">
        <v>0.6</v>
      </c>
      <c r="D39" s="57">
        <v>5.0</v>
      </c>
      <c r="E39" s="57">
        <v>1.0</v>
      </c>
      <c r="F39" s="57">
        <f>Max!$B$5*C39</f>
        <v>60</v>
      </c>
      <c r="G39" s="40"/>
      <c r="H39" s="41"/>
      <c r="I39" s="40"/>
      <c r="J39" s="41"/>
      <c r="K39" s="40">
        <f t="shared" ref="K39:K42" si="13">D39*E39</f>
        <v>5</v>
      </c>
      <c r="L39" s="42">
        <f t="shared" ref="L39:L42" si="14">F39*K39</f>
        <v>300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>
        <f>K39</f>
        <v>5</v>
      </c>
      <c r="Y39" s="7">
        <f>K40</f>
        <v>8</v>
      </c>
      <c r="Z39" s="7">
        <f>K41</f>
        <v>9</v>
      </c>
      <c r="AA39" s="7">
        <f>K42</f>
        <v>8</v>
      </c>
      <c r="AB39" s="4"/>
      <c r="AC39" s="54"/>
      <c r="AD39" s="55"/>
      <c r="AE39" s="56">
        <v>0.6</v>
      </c>
      <c r="AF39" s="58">
        <v>4.0</v>
      </c>
      <c r="AG39" s="57">
        <v>1.0</v>
      </c>
      <c r="AH39" s="57">
        <f>Max!$B$5*AE39</f>
        <v>60</v>
      </c>
      <c r="AJ39" s="43">
        <v>6.0</v>
      </c>
      <c r="AK39" s="44" t="s">
        <v>43</v>
      </c>
      <c r="AL39" s="45"/>
      <c r="AM39" s="47">
        <v>10.0</v>
      </c>
      <c r="AN39" s="46">
        <v>3.0</v>
      </c>
      <c r="AO39" s="46"/>
      <c r="AQ39" s="43">
        <v>4.0</v>
      </c>
      <c r="AR39" s="44" t="s">
        <v>36</v>
      </c>
      <c r="AS39" s="45"/>
      <c r="AT39" s="47">
        <v>10.0</v>
      </c>
      <c r="AU39" s="46">
        <v>5.0</v>
      </c>
      <c r="AV39" s="46"/>
    </row>
    <row r="40" ht="12.75" customHeight="1">
      <c r="A40" s="54"/>
      <c r="B40" s="55"/>
      <c r="C40" s="56">
        <v>0.7</v>
      </c>
      <c r="D40" s="57">
        <v>4.0</v>
      </c>
      <c r="E40" s="57">
        <v>2.0</v>
      </c>
      <c r="F40" s="57">
        <f>Max!$B$5*C40</f>
        <v>70</v>
      </c>
      <c r="G40" s="40"/>
      <c r="H40" s="41"/>
      <c r="I40" s="40"/>
      <c r="J40" s="41"/>
      <c r="K40" s="40">
        <f t="shared" si="13"/>
        <v>8</v>
      </c>
      <c r="L40" s="42">
        <f t="shared" si="14"/>
        <v>560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4"/>
      <c r="AD40" s="55"/>
      <c r="AE40" s="56">
        <v>0.7</v>
      </c>
      <c r="AF40" s="58">
        <v>3.0</v>
      </c>
      <c r="AG40" s="57">
        <v>2.0</v>
      </c>
      <c r="AH40" s="57">
        <f>Max!$B$5*AE40</f>
        <v>70</v>
      </c>
      <c r="AJ40" s="20"/>
      <c r="AK40" s="48"/>
      <c r="AL40" s="25"/>
      <c r="AM40" s="19"/>
      <c r="AN40" s="19"/>
      <c r="AO40" s="19"/>
      <c r="AQ40" s="43">
        <v>5.0</v>
      </c>
      <c r="AR40" s="44" t="s">
        <v>47</v>
      </c>
      <c r="AS40" s="45"/>
      <c r="AT40" s="47">
        <v>5.0</v>
      </c>
      <c r="AU40" s="46">
        <v>5.0</v>
      </c>
      <c r="AV40" s="46"/>
    </row>
    <row r="41" ht="12.75" customHeight="1">
      <c r="A41" s="54"/>
      <c r="B41" s="55"/>
      <c r="C41" s="56">
        <v>0.8</v>
      </c>
      <c r="D41" s="58">
        <v>3.0</v>
      </c>
      <c r="E41" s="57">
        <v>3.0</v>
      </c>
      <c r="F41" s="57">
        <f>Max!$B$5*C41</f>
        <v>80</v>
      </c>
      <c r="G41" s="40"/>
      <c r="H41" s="41"/>
      <c r="I41" s="40"/>
      <c r="J41" s="41"/>
      <c r="K41" s="40">
        <f t="shared" si="13"/>
        <v>9</v>
      </c>
      <c r="L41" s="42">
        <f t="shared" si="14"/>
        <v>720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4"/>
      <c r="AD41" s="55"/>
      <c r="AE41" s="56">
        <v>0.8</v>
      </c>
      <c r="AF41" s="58">
        <v>3.0</v>
      </c>
      <c r="AG41" s="57">
        <v>5.0</v>
      </c>
      <c r="AH41" s="57">
        <f>Max!$B$5*AE41</f>
        <v>80</v>
      </c>
      <c r="AJ41" s="20" t="s">
        <v>48</v>
      </c>
      <c r="AL41" s="26" t="s">
        <v>24</v>
      </c>
      <c r="AM41" s="18" t="s">
        <v>25</v>
      </c>
      <c r="AN41" s="18" t="s">
        <v>26</v>
      </c>
      <c r="AO41" s="18" t="s">
        <v>42</v>
      </c>
      <c r="AQ41" s="20"/>
      <c r="AR41" s="48"/>
      <c r="AS41" s="25"/>
      <c r="AT41" s="19"/>
      <c r="AU41" s="19"/>
      <c r="AV41" s="19"/>
    </row>
    <row r="42" ht="12.75" customHeight="1">
      <c r="A42" s="54"/>
      <c r="B42" s="55"/>
      <c r="C42" s="56">
        <v>0.9</v>
      </c>
      <c r="D42" s="57">
        <v>2.0</v>
      </c>
      <c r="E42" s="57">
        <v>4.0</v>
      </c>
      <c r="F42" s="57">
        <f>Max!$B$5*C42</f>
        <v>90</v>
      </c>
      <c r="G42" s="40"/>
      <c r="H42" s="41"/>
      <c r="I42" s="40"/>
      <c r="J42" s="41"/>
      <c r="K42" s="40">
        <f t="shared" si="13"/>
        <v>8</v>
      </c>
      <c r="L42" s="42">
        <f t="shared" si="14"/>
        <v>720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3">
        <v>5.0</v>
      </c>
      <c r="AD42" s="44" t="s">
        <v>47</v>
      </c>
      <c r="AE42" s="45"/>
      <c r="AF42" s="47">
        <v>5.0</v>
      </c>
      <c r="AG42" s="46">
        <v>5.0</v>
      </c>
      <c r="AH42" s="46"/>
      <c r="AJ42" s="27">
        <v>1.0</v>
      </c>
      <c r="AK42" s="28" t="s">
        <v>5</v>
      </c>
      <c r="AL42" s="29">
        <v>0.5</v>
      </c>
      <c r="AM42" s="39">
        <v>5.0</v>
      </c>
      <c r="AN42" s="30">
        <v>1.0</v>
      </c>
      <c r="AO42" s="30">
        <f>Max!$B$4*AL42</f>
        <v>50</v>
      </c>
      <c r="AQ42" s="20" t="s">
        <v>48</v>
      </c>
      <c r="AS42" s="26" t="s">
        <v>24</v>
      </c>
      <c r="AT42" s="18" t="s">
        <v>25</v>
      </c>
      <c r="AU42" s="18" t="s">
        <v>26</v>
      </c>
      <c r="AV42" s="18" t="s">
        <v>42</v>
      </c>
    </row>
    <row r="43" ht="12.75" customHeight="1">
      <c r="A43" s="43">
        <v>5.0</v>
      </c>
      <c r="B43" s="44" t="s">
        <v>47</v>
      </c>
      <c r="C43" s="45"/>
      <c r="D43" s="47">
        <v>5.0</v>
      </c>
      <c r="E43" s="46">
        <v>5.0</v>
      </c>
      <c r="F43" s="46"/>
      <c r="G43" s="40"/>
      <c r="H43" s="41"/>
      <c r="I43" s="40"/>
      <c r="J43" s="41"/>
      <c r="K43" s="40"/>
      <c r="L43" s="4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20"/>
      <c r="AD43" s="48"/>
      <c r="AE43" s="25"/>
      <c r="AF43" s="19"/>
      <c r="AG43" s="19"/>
      <c r="AH43" s="19"/>
      <c r="AJ43" s="27"/>
      <c r="AK43" s="28"/>
      <c r="AL43" s="29">
        <v>0.6</v>
      </c>
      <c r="AM43" s="39">
        <v>4.0</v>
      </c>
      <c r="AN43" s="30">
        <v>1.0</v>
      </c>
      <c r="AO43" s="30">
        <f>Max!$B$4*AL43</f>
        <v>60</v>
      </c>
      <c r="AQ43" s="34">
        <v>1.0</v>
      </c>
      <c r="AR43" s="35" t="s">
        <v>34</v>
      </c>
      <c r="AS43" s="36">
        <v>0.5</v>
      </c>
      <c r="AT43" s="37">
        <v>5.0</v>
      </c>
      <c r="AU43" s="38">
        <v>1.0</v>
      </c>
      <c r="AV43" s="38">
        <f>Max!$B$3*AS43</f>
        <v>50</v>
      </c>
    </row>
    <row r="44" ht="12.75" customHeight="1">
      <c r="A44" s="43">
        <v>6.0</v>
      </c>
      <c r="B44" s="44" t="s">
        <v>43</v>
      </c>
      <c r="C44" s="45"/>
      <c r="D44" s="46">
        <v>10.0</v>
      </c>
      <c r="E44" s="46">
        <v>3.0</v>
      </c>
      <c r="F44" s="46"/>
      <c r="G44" s="40"/>
      <c r="H44" s="41"/>
      <c r="I44" s="40"/>
      <c r="J44" s="41"/>
      <c r="K44" s="40"/>
      <c r="L44" s="4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20" t="s">
        <v>48</v>
      </c>
      <c r="AE44" s="26" t="s">
        <v>24</v>
      </c>
      <c r="AF44" s="18" t="s">
        <v>25</v>
      </c>
      <c r="AG44" s="18" t="s">
        <v>26</v>
      </c>
      <c r="AH44" s="18" t="s">
        <v>42</v>
      </c>
      <c r="AJ44" s="27"/>
      <c r="AK44" s="28"/>
      <c r="AL44" s="29">
        <v>0.7</v>
      </c>
      <c r="AM44" s="39">
        <v>3.0</v>
      </c>
      <c r="AN44" s="30">
        <v>1.0</v>
      </c>
      <c r="AO44" s="30">
        <f>Max!$B$4*AL44</f>
        <v>70</v>
      </c>
      <c r="AQ44" s="34"/>
      <c r="AR44" s="35"/>
      <c r="AS44" s="36">
        <v>0.6</v>
      </c>
      <c r="AT44" s="37">
        <v>4.0</v>
      </c>
      <c r="AU44" s="38">
        <v>1.0</v>
      </c>
      <c r="AV44" s="38">
        <f>Max!$B$3*AS44</f>
        <v>60</v>
      </c>
    </row>
    <row r="45" ht="12.75" customHeight="1">
      <c r="A45" s="20"/>
      <c r="B45" s="48"/>
      <c r="C45" s="25"/>
      <c r="D45" s="19"/>
      <c r="E45" s="19"/>
      <c r="F45" s="19"/>
      <c r="G45" s="40"/>
      <c r="H45" s="41"/>
      <c r="I45" s="40"/>
      <c r="J45" s="41"/>
      <c r="K45" s="40"/>
      <c r="L45" s="4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34">
        <v>1.0</v>
      </c>
      <c r="AD45" s="35" t="s">
        <v>34</v>
      </c>
      <c r="AE45" s="36">
        <v>0.5</v>
      </c>
      <c r="AF45" s="37">
        <v>5.0</v>
      </c>
      <c r="AG45" s="38">
        <v>1.0</v>
      </c>
      <c r="AH45" s="38">
        <f>Max!$B$3*AE45</f>
        <v>50</v>
      </c>
      <c r="AJ45" s="27"/>
      <c r="AK45" s="28"/>
      <c r="AL45" s="29">
        <v>0.8</v>
      </c>
      <c r="AM45" s="39">
        <v>3.0</v>
      </c>
      <c r="AN45" s="30">
        <v>4.0</v>
      </c>
      <c r="AO45" s="30">
        <f>Max!$B$4*AL45</f>
        <v>80</v>
      </c>
      <c r="AQ45" s="34"/>
      <c r="AR45" s="35"/>
      <c r="AS45" s="36">
        <v>0.7</v>
      </c>
      <c r="AT45" s="37">
        <v>3.0</v>
      </c>
      <c r="AU45" s="38">
        <v>2.0</v>
      </c>
      <c r="AV45" s="38">
        <f>Max!$B$3*AS45</f>
        <v>70</v>
      </c>
    </row>
    <row r="46" ht="12.75" customHeight="1">
      <c r="A46" s="20" t="s">
        <v>48</v>
      </c>
      <c r="C46" s="26" t="s">
        <v>24</v>
      </c>
      <c r="D46" s="18" t="s">
        <v>25</v>
      </c>
      <c r="E46" s="18" t="s">
        <v>26</v>
      </c>
      <c r="F46" s="18" t="s">
        <v>42</v>
      </c>
      <c r="G46" s="40"/>
      <c r="H46" s="41"/>
      <c r="I46" s="40"/>
      <c r="J46" s="41"/>
      <c r="K46" s="40"/>
      <c r="L46" s="4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34"/>
      <c r="AD46" s="35"/>
      <c r="AE46" s="36">
        <v>0.6</v>
      </c>
      <c r="AF46" s="37">
        <v>5.0</v>
      </c>
      <c r="AG46" s="38">
        <v>1.0</v>
      </c>
      <c r="AH46" s="38">
        <f>Max!$B$3*AE46</f>
        <v>60</v>
      </c>
      <c r="AJ46" s="34">
        <v>2.0</v>
      </c>
      <c r="AK46" s="35" t="s">
        <v>34</v>
      </c>
      <c r="AL46" s="36">
        <v>0.5</v>
      </c>
      <c r="AM46" s="37">
        <v>5.0</v>
      </c>
      <c r="AN46" s="38">
        <v>1.0</v>
      </c>
      <c r="AO46" s="38">
        <f>Max!$B$3*AL46</f>
        <v>50</v>
      </c>
      <c r="AQ46" s="34"/>
      <c r="AR46" s="35"/>
      <c r="AS46" s="36">
        <v>0.8</v>
      </c>
      <c r="AT46" s="37">
        <v>3.0</v>
      </c>
      <c r="AU46" s="38">
        <v>6.0</v>
      </c>
      <c r="AV46" s="38">
        <f>Max!$B$3*AS46</f>
        <v>80</v>
      </c>
    </row>
    <row r="47" ht="12.75" customHeight="1">
      <c r="A47" s="34">
        <v>1.0</v>
      </c>
      <c r="B47" s="35" t="s">
        <v>34</v>
      </c>
      <c r="C47" s="36">
        <v>0.5</v>
      </c>
      <c r="D47" s="37">
        <v>5.0</v>
      </c>
      <c r="E47" s="38">
        <v>1.0</v>
      </c>
      <c r="F47" s="38">
        <f>Max!$B$3*C47</f>
        <v>50</v>
      </c>
      <c r="G47" s="40">
        <f t="shared" ref="G47:G50" si="15">D47*E47</f>
        <v>5</v>
      </c>
      <c r="H47" s="41">
        <f t="shared" ref="H47:H50" si="16">F47*G47</f>
        <v>250</v>
      </c>
      <c r="I47" s="40"/>
      <c r="J47" s="41"/>
      <c r="K47" s="40"/>
      <c r="L47" s="42"/>
      <c r="M47" s="7">
        <f>G47</f>
        <v>5</v>
      </c>
      <c r="N47" s="7">
        <f>G48</f>
        <v>8</v>
      </c>
      <c r="O47" s="7">
        <f>G49</f>
        <v>6</v>
      </c>
      <c r="P47" s="7">
        <f>G50</f>
        <v>15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34"/>
      <c r="AD47" s="35"/>
      <c r="AE47" s="36">
        <v>0.7</v>
      </c>
      <c r="AF47" s="37">
        <v>3.0</v>
      </c>
      <c r="AG47" s="38">
        <v>1.0</v>
      </c>
      <c r="AH47" s="38">
        <f>Max!$B$3*AE47</f>
        <v>70</v>
      </c>
      <c r="AJ47" s="34"/>
      <c r="AK47" s="35"/>
      <c r="AL47" s="36">
        <v>0.6</v>
      </c>
      <c r="AM47" s="37">
        <v>4.0</v>
      </c>
      <c r="AN47" s="38">
        <v>1.0</v>
      </c>
      <c r="AO47" s="38">
        <f>Max!$B$3*AL47</f>
        <v>60</v>
      </c>
      <c r="AQ47" s="27">
        <v>2.0</v>
      </c>
      <c r="AR47" s="28" t="s">
        <v>5</v>
      </c>
      <c r="AS47" s="29">
        <v>0.55</v>
      </c>
      <c r="AT47" s="39">
        <v>4.0</v>
      </c>
      <c r="AU47" s="30">
        <v>1.0</v>
      </c>
      <c r="AV47" s="30">
        <f>Max!$B$4*AS47</f>
        <v>55</v>
      </c>
    </row>
    <row r="48" ht="12.75" customHeight="1">
      <c r="A48" s="34"/>
      <c r="B48" s="35"/>
      <c r="C48" s="36">
        <v>0.6</v>
      </c>
      <c r="D48" s="37">
        <v>4.0</v>
      </c>
      <c r="E48" s="38">
        <v>2.0</v>
      </c>
      <c r="F48" s="38">
        <f>Max!$B$3*C48</f>
        <v>60</v>
      </c>
      <c r="G48" s="40">
        <f t="shared" si="15"/>
        <v>8</v>
      </c>
      <c r="H48" s="41">
        <f t="shared" si="16"/>
        <v>480</v>
      </c>
      <c r="I48" s="40"/>
      <c r="J48" s="41"/>
      <c r="K48" s="40"/>
      <c r="L48" s="4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34"/>
      <c r="AD48" s="35"/>
      <c r="AE48" s="36">
        <v>0.7</v>
      </c>
      <c r="AF48" s="37">
        <v>5.0</v>
      </c>
      <c r="AG48" s="38">
        <v>1.0</v>
      </c>
      <c r="AH48" s="38">
        <f>Max!$B$3*AE48</f>
        <v>70</v>
      </c>
      <c r="AJ48" s="34"/>
      <c r="AK48" s="35"/>
      <c r="AL48" s="36">
        <v>0.7</v>
      </c>
      <c r="AM48" s="37">
        <v>3.0</v>
      </c>
      <c r="AN48" s="38">
        <v>2.0</v>
      </c>
      <c r="AO48" s="38">
        <f>Max!$B$3*AL48</f>
        <v>70</v>
      </c>
      <c r="AQ48" s="27"/>
      <c r="AR48" s="28"/>
      <c r="AS48" s="29">
        <v>0.65</v>
      </c>
      <c r="AT48" s="39">
        <v>4.0</v>
      </c>
      <c r="AU48" s="30">
        <v>1.0</v>
      </c>
      <c r="AV48" s="30">
        <f>Max!$B$4*AS48</f>
        <v>65</v>
      </c>
    </row>
    <row r="49" ht="12.75" customHeight="1">
      <c r="A49" s="34"/>
      <c r="B49" s="35"/>
      <c r="C49" s="36">
        <v>0.7</v>
      </c>
      <c r="D49" s="37">
        <v>3.0</v>
      </c>
      <c r="E49" s="38">
        <v>2.0</v>
      </c>
      <c r="F49" s="38">
        <f>Max!$B$3*C49</f>
        <v>70</v>
      </c>
      <c r="G49" s="40">
        <f t="shared" si="15"/>
        <v>6</v>
      </c>
      <c r="H49" s="41">
        <f t="shared" si="16"/>
        <v>420</v>
      </c>
      <c r="I49" s="40"/>
      <c r="J49" s="41"/>
      <c r="K49" s="40"/>
      <c r="L49" s="4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34"/>
      <c r="AD49" s="35"/>
      <c r="AE49" s="36">
        <v>0.7</v>
      </c>
      <c r="AF49" s="37">
        <v>7.0</v>
      </c>
      <c r="AG49" s="38">
        <v>1.0</v>
      </c>
      <c r="AH49" s="38">
        <f>Max!$B$3*AE49</f>
        <v>70</v>
      </c>
      <c r="AJ49" s="34"/>
      <c r="AK49" s="35"/>
      <c r="AL49" s="36">
        <v>0.8</v>
      </c>
      <c r="AM49" s="37">
        <v>3.0</v>
      </c>
      <c r="AN49" s="38">
        <v>2.0</v>
      </c>
      <c r="AO49" s="38">
        <f>Max!$B$3*AL49</f>
        <v>80</v>
      </c>
      <c r="AQ49" s="27"/>
      <c r="AR49" s="28"/>
      <c r="AS49" s="29">
        <v>0.75</v>
      </c>
      <c r="AT49" s="39">
        <v>4.0</v>
      </c>
      <c r="AU49" s="30">
        <v>4.0</v>
      </c>
      <c r="AV49" s="30">
        <f>Max!$B$4*AS49</f>
        <v>75</v>
      </c>
    </row>
    <row r="50" ht="12.75" customHeight="1">
      <c r="A50" s="34"/>
      <c r="B50" s="35"/>
      <c r="C50" s="36">
        <v>0.8</v>
      </c>
      <c r="D50" s="37">
        <v>3.0</v>
      </c>
      <c r="E50" s="38">
        <v>5.0</v>
      </c>
      <c r="F50" s="38">
        <f>Max!$B$3*C50</f>
        <v>80</v>
      </c>
      <c r="G50" s="40">
        <f t="shared" si="15"/>
        <v>15</v>
      </c>
      <c r="H50" s="41">
        <f t="shared" si="16"/>
        <v>1200</v>
      </c>
      <c r="I50" s="40"/>
      <c r="J50" s="41"/>
      <c r="K50" s="40"/>
      <c r="L50" s="4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34"/>
      <c r="AD50" s="35"/>
      <c r="AE50" s="36">
        <v>0.7</v>
      </c>
      <c r="AF50" s="37">
        <v>6.0</v>
      </c>
      <c r="AG50" s="38">
        <v>1.0</v>
      </c>
      <c r="AH50" s="38">
        <f>Max!$B$3*AE50</f>
        <v>70</v>
      </c>
      <c r="AJ50" s="34"/>
      <c r="AK50" s="35"/>
      <c r="AL50" s="36">
        <v>0.85</v>
      </c>
      <c r="AM50" s="37">
        <v>2.0</v>
      </c>
      <c r="AN50" s="38">
        <v>3.0</v>
      </c>
      <c r="AO50" s="38">
        <f>Max!$B$3*AL50</f>
        <v>85</v>
      </c>
      <c r="AQ50" s="43">
        <v>3.0</v>
      </c>
      <c r="AR50" s="44" t="s">
        <v>36</v>
      </c>
      <c r="AS50" s="45"/>
      <c r="AT50" s="47">
        <v>10.0</v>
      </c>
      <c r="AU50" s="46">
        <v>5.0</v>
      </c>
      <c r="AV50" s="46"/>
    </row>
    <row r="51" ht="12.75" customHeight="1">
      <c r="A51" s="27">
        <v>2.0</v>
      </c>
      <c r="B51" s="28" t="s">
        <v>5</v>
      </c>
      <c r="C51" s="29">
        <v>0.5</v>
      </c>
      <c r="D51" s="30">
        <v>5.0</v>
      </c>
      <c r="E51" s="30">
        <v>1.0</v>
      </c>
      <c r="F51" s="30">
        <f>Max!$B$4*C51</f>
        <v>50</v>
      </c>
      <c r="G51" s="40"/>
      <c r="H51" s="41"/>
      <c r="I51" s="40">
        <f t="shared" ref="I51:I54" si="17">D51*E51</f>
        <v>5</v>
      </c>
      <c r="J51" s="41">
        <f t="shared" ref="J51:J54" si="18">F51*I51</f>
        <v>250</v>
      </c>
      <c r="K51" s="40"/>
      <c r="L51" s="42"/>
      <c r="M51" s="4"/>
      <c r="N51" s="4"/>
      <c r="O51" s="4"/>
      <c r="P51" s="4"/>
      <c r="Q51" s="4"/>
      <c r="R51" s="7">
        <f>I51</f>
        <v>5</v>
      </c>
      <c r="S51" s="7">
        <f>I52</f>
        <v>4</v>
      </c>
      <c r="T51" s="7">
        <f>I53</f>
        <v>3</v>
      </c>
      <c r="U51" s="7">
        <f>I54</f>
        <v>10</v>
      </c>
      <c r="V51" s="4"/>
      <c r="W51" s="4"/>
      <c r="X51" s="4"/>
      <c r="Y51" s="4"/>
      <c r="Z51" s="4"/>
      <c r="AA51" s="4"/>
      <c r="AB51" s="4"/>
      <c r="AC51" s="34"/>
      <c r="AD51" s="35"/>
      <c r="AE51" s="36">
        <v>0.7</v>
      </c>
      <c r="AF51" s="37">
        <v>4.0</v>
      </c>
      <c r="AG51" s="38">
        <v>1.0</v>
      </c>
      <c r="AH51" s="38">
        <f>Max!$B$3*AE51</f>
        <v>70</v>
      </c>
      <c r="AJ51" s="34"/>
      <c r="AK51" s="35"/>
      <c r="AL51" s="36">
        <v>0.8</v>
      </c>
      <c r="AM51" s="37">
        <v>3.0</v>
      </c>
      <c r="AN51" s="38">
        <v>3.0</v>
      </c>
      <c r="AO51" s="38">
        <f>Max!$B$3*AL51</f>
        <v>80</v>
      </c>
      <c r="AQ51" s="43">
        <v>4.0</v>
      </c>
      <c r="AR51" s="44" t="s">
        <v>39</v>
      </c>
      <c r="AS51" s="45"/>
      <c r="AT51" s="47">
        <v>8.0</v>
      </c>
      <c r="AU51" s="46">
        <v>5.0</v>
      </c>
      <c r="AV51" s="46"/>
    </row>
    <row r="52" ht="12.75" customHeight="1">
      <c r="A52" s="27"/>
      <c r="B52" s="28"/>
      <c r="C52" s="29">
        <v>0.6</v>
      </c>
      <c r="D52" s="30">
        <v>4.0</v>
      </c>
      <c r="E52" s="30">
        <v>1.0</v>
      </c>
      <c r="F52" s="30">
        <f>Max!$B$4*C52</f>
        <v>60</v>
      </c>
      <c r="G52" s="40"/>
      <c r="H52" s="41"/>
      <c r="I52" s="40">
        <f t="shared" si="17"/>
        <v>4</v>
      </c>
      <c r="J52" s="41">
        <f t="shared" si="18"/>
        <v>240</v>
      </c>
      <c r="K52" s="40"/>
      <c r="L52" s="4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27">
        <v>2.0</v>
      </c>
      <c r="AD52" s="28" t="s">
        <v>5</v>
      </c>
      <c r="AE52" s="29">
        <v>0.55</v>
      </c>
      <c r="AF52" s="39">
        <v>4.0</v>
      </c>
      <c r="AG52" s="30">
        <v>1.0</v>
      </c>
      <c r="AH52" s="30">
        <f>Max!$B$4*AE52</f>
        <v>55</v>
      </c>
      <c r="AJ52" s="27">
        <v>3.0</v>
      </c>
      <c r="AK52" s="28" t="s">
        <v>5</v>
      </c>
      <c r="AL52" s="29">
        <v>0.5</v>
      </c>
      <c r="AM52" s="39">
        <v>6.0</v>
      </c>
      <c r="AN52" s="30">
        <v>1.0</v>
      </c>
      <c r="AO52" s="30">
        <f>Max!$B$4*AL52</f>
        <v>50</v>
      </c>
      <c r="AQ52" s="43">
        <v>5.0</v>
      </c>
      <c r="AR52" s="44" t="s">
        <v>40</v>
      </c>
      <c r="AS52" s="45"/>
      <c r="AT52" s="47">
        <v>5.0</v>
      </c>
      <c r="AU52" s="46">
        <v>5.0</v>
      </c>
      <c r="AV52" s="46"/>
    </row>
    <row r="53" ht="12.75" customHeight="1">
      <c r="A53" s="27"/>
      <c r="B53" s="28"/>
      <c r="C53" s="29">
        <v>0.7</v>
      </c>
      <c r="D53" s="30">
        <v>3.0</v>
      </c>
      <c r="E53" s="30">
        <v>1.0</v>
      </c>
      <c r="F53" s="30">
        <f>Max!$B$4*C53</f>
        <v>70</v>
      </c>
      <c r="G53" s="40"/>
      <c r="H53" s="41"/>
      <c r="I53" s="40">
        <f t="shared" si="17"/>
        <v>3</v>
      </c>
      <c r="J53" s="41">
        <f t="shared" si="18"/>
        <v>210</v>
      </c>
      <c r="K53" s="40"/>
      <c r="L53" s="4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27"/>
      <c r="AD53" s="28"/>
      <c r="AE53" s="29">
        <v>0.65</v>
      </c>
      <c r="AF53" s="39">
        <v>4.0</v>
      </c>
      <c r="AG53" s="30">
        <v>1.0</v>
      </c>
      <c r="AH53" s="30">
        <f>Max!$B$4*AE53</f>
        <v>65</v>
      </c>
      <c r="AJ53" s="27"/>
      <c r="AK53" s="28"/>
      <c r="AL53" s="29">
        <v>0.6</v>
      </c>
      <c r="AM53" s="39">
        <v>6.0</v>
      </c>
      <c r="AN53" s="30">
        <v>1.0</v>
      </c>
      <c r="AO53" s="30">
        <f>Max!$B$4*AL53</f>
        <v>60</v>
      </c>
      <c r="AQ53" s="49">
        <v>6.0</v>
      </c>
      <c r="AR53" s="50" t="s">
        <v>43</v>
      </c>
      <c r="AS53" s="51"/>
      <c r="AT53" s="53">
        <v>10.0</v>
      </c>
      <c r="AU53" s="52">
        <v>3.0</v>
      </c>
      <c r="AV53" s="52"/>
    </row>
    <row r="54" ht="12.75" customHeight="1">
      <c r="A54" s="27"/>
      <c r="B54" s="28"/>
      <c r="C54" s="29">
        <v>0.8</v>
      </c>
      <c r="D54" s="30">
        <v>2.0</v>
      </c>
      <c r="E54" s="30">
        <v>5.0</v>
      </c>
      <c r="F54" s="30">
        <f>Max!$B$4*C54</f>
        <v>80</v>
      </c>
      <c r="G54" s="40"/>
      <c r="H54" s="41"/>
      <c r="I54" s="40">
        <f t="shared" si="17"/>
        <v>10</v>
      </c>
      <c r="J54" s="41">
        <f t="shared" si="18"/>
        <v>800</v>
      </c>
      <c r="K54" s="40"/>
      <c r="L54" s="4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27"/>
      <c r="AD54" s="28"/>
      <c r="AE54" s="29">
        <v>0.75</v>
      </c>
      <c r="AF54" s="39">
        <v>3.0</v>
      </c>
      <c r="AG54" s="30">
        <v>5.0</v>
      </c>
      <c r="AH54" s="30">
        <f>Max!$B$4*AE54</f>
        <v>75</v>
      </c>
      <c r="AJ54" s="27"/>
      <c r="AK54" s="28"/>
      <c r="AL54" s="29">
        <v>0.7</v>
      </c>
      <c r="AM54" s="39">
        <v>6.0</v>
      </c>
      <c r="AN54" s="30">
        <v>4.0</v>
      </c>
      <c r="AO54" s="30">
        <f>Max!$B$4*AL54</f>
        <v>70</v>
      </c>
    </row>
    <row r="55" ht="12.75" customHeight="1">
      <c r="A55" s="43">
        <v>3.0</v>
      </c>
      <c r="B55" s="44" t="s">
        <v>39</v>
      </c>
      <c r="C55" s="45"/>
      <c r="D55" s="47">
        <v>6.0</v>
      </c>
      <c r="E55" s="46">
        <v>5.0</v>
      </c>
      <c r="F55" s="46"/>
      <c r="G55" s="40"/>
      <c r="H55" s="41"/>
      <c r="I55" s="40"/>
      <c r="J55" s="41"/>
      <c r="K55" s="40"/>
      <c r="L55" s="4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3">
        <v>3.0</v>
      </c>
      <c r="AD55" s="44" t="s">
        <v>39</v>
      </c>
      <c r="AE55" s="45"/>
      <c r="AF55" s="47">
        <v>8.0</v>
      </c>
      <c r="AG55" s="46">
        <v>5.0</v>
      </c>
      <c r="AH55" s="46"/>
      <c r="AI55" s="4"/>
      <c r="AJ55" s="43">
        <v>4.0</v>
      </c>
      <c r="AK55" s="44" t="s">
        <v>36</v>
      </c>
      <c r="AL55" s="45"/>
      <c r="AM55" s="47">
        <v>10.0</v>
      </c>
      <c r="AN55" s="46">
        <v>5.0</v>
      </c>
      <c r="AO55" s="46"/>
      <c r="AP55" s="4"/>
      <c r="AQ55" s="4"/>
      <c r="AR55" s="4"/>
      <c r="AS55" s="4"/>
      <c r="AT55" s="4"/>
      <c r="AU55" s="4"/>
      <c r="AV55" s="4"/>
    </row>
    <row r="56" ht="12.75" customHeight="1">
      <c r="A56" s="34">
        <v>4.0</v>
      </c>
      <c r="B56" s="35" t="s">
        <v>34</v>
      </c>
      <c r="C56" s="36">
        <v>0.5</v>
      </c>
      <c r="D56" s="37">
        <v>5.0</v>
      </c>
      <c r="E56" s="38">
        <v>1.0</v>
      </c>
      <c r="F56" s="38">
        <f>Max!$B$3*C56</f>
        <v>50</v>
      </c>
      <c r="G56" s="40">
        <f t="shared" ref="G56:G58" si="19">D56*E56</f>
        <v>5</v>
      </c>
      <c r="H56" s="41">
        <f t="shared" ref="H56:H58" si="20">F56*G56</f>
        <v>250</v>
      </c>
      <c r="I56" s="40"/>
      <c r="J56" s="41"/>
      <c r="K56" s="40"/>
      <c r="L56" s="42"/>
      <c r="M56" s="7">
        <f>G56</f>
        <v>5</v>
      </c>
      <c r="N56" s="7">
        <f>G57</f>
        <v>10</v>
      </c>
      <c r="O56" s="7">
        <f>G58</f>
        <v>16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3">
        <v>4.0</v>
      </c>
      <c r="AD56" s="44" t="s">
        <v>55</v>
      </c>
      <c r="AE56" s="45"/>
      <c r="AF56" s="47">
        <v>6.0</v>
      </c>
      <c r="AG56" s="46">
        <v>5.0</v>
      </c>
      <c r="AH56" s="46"/>
      <c r="AJ56" s="49">
        <v>5.0</v>
      </c>
      <c r="AK56" s="50" t="s">
        <v>40</v>
      </c>
      <c r="AL56" s="51"/>
      <c r="AM56" s="53">
        <v>5.0</v>
      </c>
      <c r="AN56" s="52">
        <v>5.0</v>
      </c>
      <c r="AO56" s="52"/>
    </row>
    <row r="57" ht="12.75" customHeight="1">
      <c r="A57" s="34"/>
      <c r="B57" s="35"/>
      <c r="C57" s="36">
        <v>0.6</v>
      </c>
      <c r="D57" s="37">
        <v>5.0</v>
      </c>
      <c r="E57" s="38">
        <v>2.0</v>
      </c>
      <c r="F57" s="38">
        <f>Max!$B$3*C57</f>
        <v>60</v>
      </c>
      <c r="G57" s="40">
        <f t="shared" si="19"/>
        <v>10</v>
      </c>
      <c r="H57" s="41">
        <f t="shared" si="20"/>
        <v>600</v>
      </c>
      <c r="I57" s="40"/>
      <c r="J57" s="41"/>
      <c r="K57" s="40"/>
      <c r="L57" s="4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9">
        <v>5.0</v>
      </c>
      <c r="AD57" s="50" t="s">
        <v>40</v>
      </c>
      <c r="AE57" s="51"/>
      <c r="AF57" s="53">
        <v>6.0</v>
      </c>
      <c r="AG57" s="52">
        <v>5.0</v>
      </c>
      <c r="AH57" s="52"/>
      <c r="AJ57" s="20"/>
      <c r="AK57" s="48"/>
      <c r="AL57" s="26"/>
      <c r="AM57" s="18"/>
      <c r="AN57" s="18"/>
      <c r="AO57" s="18"/>
    </row>
    <row r="58" ht="12.75" customHeight="1">
      <c r="A58" s="34"/>
      <c r="B58" s="35"/>
      <c r="C58" s="36">
        <v>0.7</v>
      </c>
      <c r="D58" s="37">
        <v>4.0</v>
      </c>
      <c r="E58" s="38">
        <v>4.0</v>
      </c>
      <c r="F58" s="38">
        <f>Max!$B$3*C58</f>
        <v>70</v>
      </c>
      <c r="G58" s="40">
        <f t="shared" si="19"/>
        <v>16</v>
      </c>
      <c r="H58" s="41">
        <f t="shared" si="20"/>
        <v>1120</v>
      </c>
      <c r="I58" s="40"/>
      <c r="J58" s="41"/>
      <c r="K58" s="40"/>
      <c r="L58" s="4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20"/>
      <c r="AD58" s="48"/>
      <c r="AE58" s="26"/>
      <c r="AF58" s="18"/>
      <c r="AG58" s="18"/>
      <c r="AH58" s="18"/>
      <c r="AJ58" s="20"/>
      <c r="AK58" s="48"/>
      <c r="AL58" s="25"/>
      <c r="AM58" s="19"/>
      <c r="AN58" s="19"/>
      <c r="AO58" s="19"/>
    </row>
    <row r="59" ht="12.75" customHeight="1">
      <c r="A59" s="43">
        <v>5.0</v>
      </c>
      <c r="B59" s="44" t="s">
        <v>49</v>
      </c>
      <c r="C59" s="45"/>
      <c r="D59" s="46">
        <v>10.0</v>
      </c>
      <c r="E59" s="46">
        <v>5.0</v>
      </c>
      <c r="F59" s="46"/>
      <c r="G59" s="40"/>
      <c r="H59" s="41"/>
      <c r="I59" s="40"/>
      <c r="J59" s="41"/>
      <c r="K59" s="40"/>
      <c r="L59" s="4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20"/>
      <c r="AD59" s="48"/>
      <c r="AE59" s="25"/>
      <c r="AF59" s="19"/>
      <c r="AG59" s="19"/>
      <c r="AH59" s="19"/>
    </row>
    <row r="60" ht="12.75" customHeight="1">
      <c r="A60" s="49">
        <v>6.0</v>
      </c>
      <c r="B60" s="50" t="s">
        <v>40</v>
      </c>
      <c r="C60" s="51"/>
      <c r="D60" s="53">
        <v>5.0</v>
      </c>
      <c r="E60" s="52">
        <v>5.0</v>
      </c>
      <c r="F60" s="52"/>
      <c r="G60" s="40"/>
      <c r="H60" s="41"/>
      <c r="I60" s="40"/>
      <c r="J60" s="41"/>
      <c r="K60" s="40"/>
      <c r="L60" s="4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2.75" customHeight="1">
      <c r="A61" s="20"/>
      <c r="B61" s="48"/>
      <c r="C61" s="26"/>
      <c r="D61" s="18"/>
      <c r="E61" s="18"/>
      <c r="F61" s="18"/>
      <c r="G61" s="40"/>
      <c r="H61" s="41"/>
      <c r="I61" s="40"/>
      <c r="J61" s="41"/>
      <c r="K61" s="40"/>
      <c r="L61" s="4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2.75" customHeight="1">
      <c r="A62" s="20"/>
      <c r="B62" s="48"/>
      <c r="C62" s="25"/>
      <c r="D62" s="19"/>
      <c r="E62" s="19"/>
      <c r="F62" s="19"/>
      <c r="G62" s="59">
        <f t="shared" ref="G62:L62" si="21">SUM(G7:G61)</f>
        <v>119</v>
      </c>
      <c r="H62" s="60">
        <f t="shared" si="21"/>
        <v>8090</v>
      </c>
      <c r="I62" s="59">
        <f t="shared" si="21"/>
        <v>113</v>
      </c>
      <c r="J62" s="60">
        <f t="shared" si="21"/>
        <v>7550</v>
      </c>
      <c r="K62" s="59">
        <f t="shared" si="21"/>
        <v>63</v>
      </c>
      <c r="L62" s="60">
        <f t="shared" si="21"/>
        <v>4600</v>
      </c>
      <c r="M62" s="7">
        <f t="shared" ref="M62:P62" si="22">SUM(M11:M61)</f>
        <v>20</v>
      </c>
      <c r="N62" s="7">
        <f t="shared" si="22"/>
        <v>26</v>
      </c>
      <c r="O62" s="7">
        <f t="shared" si="22"/>
        <v>43</v>
      </c>
      <c r="P62" s="7">
        <f t="shared" si="22"/>
        <v>30</v>
      </c>
      <c r="Q62" s="4"/>
      <c r="R62" s="7">
        <f t="shared" ref="R62:U62" si="23">SUM(R7:R61)</f>
        <v>27</v>
      </c>
      <c r="S62" s="7">
        <f t="shared" si="23"/>
        <v>22</v>
      </c>
      <c r="T62" s="7">
        <f t="shared" si="23"/>
        <v>26</v>
      </c>
      <c r="U62" s="7">
        <f t="shared" si="23"/>
        <v>38</v>
      </c>
      <c r="V62" s="4"/>
      <c r="W62" s="7">
        <f t="shared" ref="W62:AA62" si="24">SUM(W25:W61)</f>
        <v>4</v>
      </c>
      <c r="X62" s="7">
        <f t="shared" si="24"/>
        <v>13</v>
      </c>
      <c r="Y62" s="7">
        <f t="shared" si="24"/>
        <v>14</v>
      </c>
      <c r="Z62" s="7">
        <f t="shared" si="24"/>
        <v>24</v>
      </c>
      <c r="AA62" s="7">
        <f t="shared" si="24"/>
        <v>8</v>
      </c>
      <c r="AB62" s="4"/>
    </row>
    <row r="63" ht="12.75" customHeight="1">
      <c r="A63" s="20"/>
      <c r="B63" s="48"/>
      <c r="C63" s="25"/>
      <c r="D63" s="19"/>
      <c r="E63" s="19"/>
      <c r="F63" s="19"/>
      <c r="G63" s="40"/>
      <c r="H63" s="41"/>
      <c r="I63" s="40"/>
      <c r="J63" s="41"/>
      <c r="K63" s="40"/>
      <c r="L63" s="42"/>
      <c r="M63" s="4" t="s">
        <v>28</v>
      </c>
      <c r="N63" s="4" t="s">
        <v>29</v>
      </c>
      <c r="O63" s="4" t="s">
        <v>30</v>
      </c>
      <c r="P63" s="4" t="s">
        <v>31</v>
      </c>
      <c r="Q63" s="4" t="s">
        <v>32</v>
      </c>
      <c r="R63" s="4" t="s">
        <v>28</v>
      </c>
      <c r="S63" s="4" t="s">
        <v>29</v>
      </c>
      <c r="T63" s="4" t="s">
        <v>30</v>
      </c>
      <c r="U63" s="4" t="s">
        <v>31</v>
      </c>
      <c r="V63" s="4" t="s">
        <v>32</v>
      </c>
      <c r="W63" s="4" t="s">
        <v>28</v>
      </c>
      <c r="X63" s="4" t="s">
        <v>29</v>
      </c>
      <c r="Y63" s="4" t="s">
        <v>30</v>
      </c>
      <c r="Z63" s="4" t="s">
        <v>31</v>
      </c>
      <c r="AA63" s="4" t="s">
        <v>32</v>
      </c>
      <c r="AB63" s="4"/>
    </row>
    <row r="64" ht="12.75" customHeight="1">
      <c r="A64" s="20"/>
      <c r="B64" s="48"/>
      <c r="C64" s="25"/>
      <c r="D64" s="19"/>
      <c r="E64" s="19"/>
      <c r="F64" s="19"/>
      <c r="G64" s="40"/>
      <c r="H64" s="41"/>
      <c r="I64" s="40"/>
      <c r="J64" s="41"/>
      <c r="K64" s="40"/>
      <c r="L64" s="4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2.75" customHeight="1">
      <c r="A65" s="20"/>
      <c r="B65" s="48"/>
      <c r="C65" s="25"/>
      <c r="D65" s="19"/>
      <c r="E65" s="19"/>
      <c r="F65" s="19"/>
      <c r="G65" s="40">
        <f t="shared" ref="G65:G69" si="25">AF7*AG7</f>
        <v>5</v>
      </c>
      <c r="H65" s="41">
        <f t="shared" ref="H65:H69" si="26">AH7*G65</f>
        <v>250</v>
      </c>
      <c r="I65" s="40"/>
      <c r="J65" s="41"/>
      <c r="K65" s="40"/>
      <c r="L65" s="42"/>
      <c r="M65" s="7">
        <f>G65</f>
        <v>5</v>
      </c>
      <c r="N65" s="7">
        <f>G66</f>
        <v>8</v>
      </c>
      <c r="O65" s="7">
        <f>G67</f>
        <v>6</v>
      </c>
      <c r="P65" s="7">
        <f>G68</f>
        <v>4</v>
      </c>
      <c r="Q65" s="7">
        <f>G69</f>
        <v>3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2.75" customHeight="1">
      <c r="A66" s="20"/>
      <c r="B66" s="48"/>
      <c r="C66" s="25"/>
      <c r="D66" s="19"/>
      <c r="E66" s="19"/>
      <c r="F66" s="19"/>
      <c r="G66" s="40">
        <f t="shared" si="25"/>
        <v>8</v>
      </c>
      <c r="H66" s="41">
        <f t="shared" si="26"/>
        <v>480</v>
      </c>
      <c r="I66" s="40"/>
      <c r="J66" s="41"/>
      <c r="K66" s="40"/>
      <c r="L66" s="4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2.75" customHeight="1">
      <c r="A67" s="20"/>
      <c r="B67" s="48"/>
      <c r="C67" s="25"/>
      <c r="D67" s="19"/>
      <c r="E67" s="19"/>
      <c r="F67" s="19"/>
      <c r="G67" s="40">
        <f t="shared" si="25"/>
        <v>6</v>
      </c>
      <c r="H67" s="41">
        <f t="shared" si="26"/>
        <v>420</v>
      </c>
      <c r="I67" s="40"/>
      <c r="J67" s="41"/>
      <c r="K67" s="40"/>
      <c r="L67" s="4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2.75" customHeight="1">
      <c r="A68" s="20"/>
      <c r="B68" s="48"/>
      <c r="C68" s="25"/>
      <c r="D68" s="19"/>
      <c r="E68" s="19"/>
      <c r="F68" s="19"/>
      <c r="G68" s="40">
        <f t="shared" si="25"/>
        <v>4</v>
      </c>
      <c r="H68" s="41">
        <f t="shared" si="26"/>
        <v>320</v>
      </c>
      <c r="I68" s="40"/>
      <c r="J68" s="41"/>
      <c r="K68" s="40"/>
      <c r="L68" s="4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2.75" customHeight="1">
      <c r="A69" s="20"/>
      <c r="B69" s="48"/>
      <c r="C69" s="25"/>
      <c r="D69" s="19"/>
      <c r="E69" s="19"/>
      <c r="F69" s="19"/>
      <c r="G69" s="40">
        <f t="shared" si="25"/>
        <v>3</v>
      </c>
      <c r="H69" s="41">
        <f t="shared" si="26"/>
        <v>270</v>
      </c>
      <c r="I69" s="40"/>
      <c r="J69" s="41"/>
      <c r="K69" s="40"/>
      <c r="L69" s="4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2.75" customHeight="1">
      <c r="A70" s="20"/>
      <c r="B70" s="48"/>
      <c r="C70" s="25"/>
      <c r="D70" s="19"/>
      <c r="E70" s="19"/>
      <c r="F70" s="19"/>
      <c r="G70" s="40"/>
      <c r="H70" s="41"/>
      <c r="I70" s="40">
        <f t="shared" ref="I70:I73" si="27">AF12*AG12</f>
        <v>5</v>
      </c>
      <c r="J70" s="41">
        <f t="shared" ref="J70:J73" si="28">AH12*I70</f>
        <v>250</v>
      </c>
      <c r="K70" s="40"/>
      <c r="L70" s="42"/>
      <c r="M70" s="4"/>
      <c r="N70" s="4"/>
      <c r="O70" s="4"/>
      <c r="P70" s="4"/>
      <c r="Q70" s="4"/>
      <c r="R70" s="7">
        <f>I70</f>
        <v>5</v>
      </c>
      <c r="S70" s="7">
        <f>I71</f>
        <v>4</v>
      </c>
      <c r="T70" s="7">
        <f>I72</f>
        <v>3</v>
      </c>
      <c r="U70" s="7">
        <f>I73</f>
        <v>15</v>
      </c>
      <c r="V70" s="4"/>
      <c r="W70" s="4"/>
      <c r="X70" s="4"/>
      <c r="Y70" s="4"/>
      <c r="Z70" s="4"/>
      <c r="AA70" s="4"/>
      <c r="AB70" s="4"/>
    </row>
    <row r="71" ht="12.75" customHeight="1">
      <c r="A71" s="20"/>
      <c r="B71" s="48"/>
      <c r="C71" s="25"/>
      <c r="D71" s="19"/>
      <c r="E71" s="19"/>
      <c r="F71" s="19"/>
      <c r="G71" s="40"/>
      <c r="H71" s="41"/>
      <c r="I71" s="40">
        <f t="shared" si="27"/>
        <v>4</v>
      </c>
      <c r="J71" s="41">
        <f t="shared" si="28"/>
        <v>240</v>
      </c>
      <c r="K71" s="40"/>
      <c r="L71" s="4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2.75" customHeight="1">
      <c r="A72" s="20"/>
      <c r="B72" s="48"/>
      <c r="C72" s="25"/>
      <c r="D72" s="19"/>
      <c r="E72" s="19"/>
      <c r="F72" s="19"/>
      <c r="G72" s="40"/>
      <c r="H72" s="41"/>
      <c r="I72" s="40">
        <f t="shared" si="27"/>
        <v>3</v>
      </c>
      <c r="J72" s="41">
        <f t="shared" si="28"/>
        <v>210</v>
      </c>
      <c r="K72" s="40"/>
      <c r="L72" s="4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2.75" customHeight="1">
      <c r="A73" s="20"/>
      <c r="B73" s="48"/>
      <c r="C73" s="25"/>
      <c r="D73" s="19"/>
      <c r="E73" s="19"/>
      <c r="F73" s="19"/>
      <c r="G73" s="40"/>
      <c r="H73" s="41"/>
      <c r="I73" s="40">
        <f t="shared" si="27"/>
        <v>15</v>
      </c>
      <c r="J73" s="41">
        <f t="shared" si="28"/>
        <v>1200</v>
      </c>
      <c r="K73" s="40"/>
      <c r="L73" s="4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2.75" customHeight="1">
      <c r="A74" s="20"/>
      <c r="B74" s="48"/>
      <c r="C74" s="25"/>
      <c r="D74" s="19"/>
      <c r="E74" s="19"/>
      <c r="F74" s="19"/>
      <c r="G74" s="40"/>
      <c r="H74" s="41"/>
      <c r="I74" s="40"/>
      <c r="J74" s="41"/>
      <c r="K74" s="40"/>
      <c r="L74" s="4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2.75" customHeight="1">
      <c r="A75" s="20"/>
      <c r="B75" s="48"/>
      <c r="C75" s="25"/>
      <c r="D75" s="19"/>
      <c r="E75" s="19"/>
      <c r="F75" s="19"/>
      <c r="G75" s="40"/>
      <c r="H75" s="41"/>
      <c r="I75" s="40"/>
      <c r="J75" s="41"/>
      <c r="K75" s="40"/>
      <c r="L75" s="4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2.75" customHeight="1">
      <c r="A76" s="20"/>
      <c r="B76" s="48"/>
      <c r="C76" s="25"/>
      <c r="D76" s="19"/>
      <c r="E76" s="19"/>
      <c r="F76" s="19"/>
      <c r="G76" s="40">
        <f t="shared" ref="G76:G79" si="29">AF18*AG18</f>
        <v>5</v>
      </c>
      <c r="H76" s="41">
        <f t="shared" ref="H76:H79" si="30">AH18*G76</f>
        <v>250</v>
      </c>
      <c r="I76" s="40"/>
      <c r="J76" s="41"/>
      <c r="K76" s="40"/>
      <c r="L76" s="42"/>
      <c r="M76" s="7">
        <f>G76</f>
        <v>5</v>
      </c>
      <c r="N76" s="7">
        <f>G77</f>
        <v>4</v>
      </c>
      <c r="O76" s="7">
        <f>G78</f>
        <v>6</v>
      </c>
      <c r="P76" s="7">
        <f>G79</f>
        <v>8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2.75" customHeight="1">
      <c r="A77" s="20"/>
      <c r="B77" s="48"/>
      <c r="C77" s="25"/>
      <c r="D77" s="19"/>
      <c r="E77" s="19"/>
      <c r="F77" s="19"/>
      <c r="G77" s="40">
        <f t="shared" si="29"/>
        <v>4</v>
      </c>
      <c r="H77" s="41">
        <f t="shared" si="30"/>
        <v>240</v>
      </c>
      <c r="I77" s="40"/>
      <c r="J77" s="41"/>
      <c r="K77" s="40"/>
      <c r="L77" s="4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2.75" customHeight="1">
      <c r="A78" s="20"/>
      <c r="B78" s="48"/>
      <c r="C78" s="25"/>
      <c r="D78" s="19"/>
      <c r="E78" s="19"/>
      <c r="F78" s="19"/>
      <c r="G78" s="40">
        <f t="shared" si="29"/>
        <v>6</v>
      </c>
      <c r="H78" s="41">
        <f t="shared" si="30"/>
        <v>420</v>
      </c>
      <c r="I78" s="40"/>
      <c r="J78" s="41"/>
      <c r="K78" s="40"/>
      <c r="L78" s="4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2.75" customHeight="1">
      <c r="A79" s="20"/>
      <c r="B79" s="48"/>
      <c r="C79" s="25"/>
      <c r="D79" s="19"/>
      <c r="E79" s="19"/>
      <c r="F79" s="19"/>
      <c r="G79" s="40">
        <f t="shared" si="29"/>
        <v>8</v>
      </c>
      <c r="H79" s="41">
        <f t="shared" si="30"/>
        <v>640</v>
      </c>
      <c r="I79" s="40"/>
      <c r="J79" s="41"/>
      <c r="K79" s="40"/>
      <c r="L79" s="4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2.75" customHeight="1">
      <c r="A80" s="20"/>
      <c r="B80" s="48"/>
      <c r="C80" s="25"/>
      <c r="D80" s="19"/>
      <c r="E80" s="19"/>
      <c r="F80" s="19"/>
      <c r="G80" s="40"/>
      <c r="H80" s="41"/>
      <c r="I80" s="40"/>
      <c r="J80" s="41"/>
      <c r="K80" s="40"/>
      <c r="L80" s="4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2.75" customHeight="1">
      <c r="A81" s="20"/>
      <c r="B81" s="48"/>
      <c r="C81" s="25"/>
      <c r="D81" s="19"/>
      <c r="E81" s="19"/>
      <c r="F81" s="19"/>
      <c r="G81" s="40"/>
      <c r="H81" s="41"/>
      <c r="I81" s="40"/>
      <c r="J81" s="41"/>
      <c r="K81" s="40"/>
      <c r="L81" s="4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2.75" customHeight="1">
      <c r="A82" s="20"/>
      <c r="B82" s="48"/>
      <c r="C82" s="25"/>
      <c r="D82" s="19"/>
      <c r="E82" s="19"/>
      <c r="F82" s="19"/>
      <c r="G82" s="40"/>
      <c r="H82" s="41"/>
      <c r="I82" s="40"/>
      <c r="J82" s="41"/>
      <c r="K82" s="40"/>
      <c r="L82" s="4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2.75" customHeight="1">
      <c r="A83" s="20"/>
      <c r="B83" s="48"/>
      <c r="C83" s="25"/>
      <c r="D83" s="19"/>
      <c r="E83" s="19"/>
      <c r="F83" s="19"/>
      <c r="G83" s="40"/>
      <c r="H83" s="41"/>
      <c r="I83" s="40"/>
      <c r="J83" s="41"/>
      <c r="K83" s="40">
        <f t="shared" ref="K83:K86" si="31">AF25*AG25</f>
        <v>4</v>
      </c>
      <c r="L83" s="42">
        <f t="shared" ref="L83:L86" si="32">AH25*K83</f>
        <v>200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7">
        <f>K83</f>
        <v>4</v>
      </c>
      <c r="X83" s="7">
        <f>K84</f>
        <v>8</v>
      </c>
      <c r="Y83" s="7">
        <f>K85+K86</f>
        <v>18</v>
      </c>
      <c r="Z83" s="4"/>
      <c r="AA83" s="4"/>
      <c r="AB83" s="4"/>
    </row>
    <row r="84" ht="12.75" customHeight="1">
      <c r="A84" s="20"/>
      <c r="B84" s="48"/>
      <c r="C84" s="25"/>
      <c r="D84" s="19"/>
      <c r="E84" s="19"/>
      <c r="F84" s="19"/>
      <c r="G84" s="40"/>
      <c r="H84" s="41"/>
      <c r="I84" s="40"/>
      <c r="J84" s="41"/>
      <c r="K84" s="40">
        <f t="shared" si="31"/>
        <v>8</v>
      </c>
      <c r="L84" s="42">
        <f t="shared" si="32"/>
        <v>480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2.75" customHeight="1">
      <c r="A85" s="20"/>
      <c r="B85" s="48"/>
      <c r="C85" s="25"/>
      <c r="D85" s="19"/>
      <c r="E85" s="19"/>
      <c r="F85" s="19"/>
      <c r="G85" s="40"/>
      <c r="H85" s="41"/>
      <c r="I85" s="40"/>
      <c r="J85" s="41"/>
      <c r="K85" s="40">
        <f t="shared" si="31"/>
        <v>6</v>
      </c>
      <c r="L85" s="42">
        <f t="shared" si="32"/>
        <v>420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2.75" customHeight="1">
      <c r="A86" s="20"/>
      <c r="B86" s="48"/>
      <c r="C86" s="25"/>
      <c r="D86" s="19"/>
      <c r="E86" s="19"/>
      <c r="F86" s="19"/>
      <c r="G86" s="40"/>
      <c r="H86" s="41"/>
      <c r="I86" s="40"/>
      <c r="J86" s="41"/>
      <c r="K86" s="40">
        <f t="shared" si="31"/>
        <v>12</v>
      </c>
      <c r="L86" s="42">
        <f t="shared" si="32"/>
        <v>900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2.75" customHeight="1">
      <c r="A87" s="20"/>
      <c r="B87" s="48"/>
      <c r="C87" s="25"/>
      <c r="D87" s="19"/>
      <c r="E87" s="19"/>
      <c r="F87" s="19"/>
      <c r="G87" s="40"/>
      <c r="H87" s="41"/>
      <c r="I87" s="40">
        <f t="shared" ref="I87:I94" si="33">AF29*AG29</f>
        <v>5</v>
      </c>
      <c r="J87" s="41">
        <f t="shared" ref="J87:J94" si="34">AH29*I87</f>
        <v>275</v>
      </c>
      <c r="K87" s="40"/>
      <c r="L87" s="42"/>
      <c r="M87" s="4"/>
      <c r="N87" s="4"/>
      <c r="O87" s="4"/>
      <c r="P87" s="4"/>
      <c r="Q87" s="4"/>
      <c r="R87" s="7">
        <f>I87+I94</f>
        <v>12</v>
      </c>
      <c r="S87" s="7">
        <f>I88+I93</f>
        <v>9</v>
      </c>
      <c r="T87" s="7">
        <f>I89+I92</f>
        <v>6</v>
      </c>
      <c r="U87" s="7">
        <f>I90+I91</f>
        <v>6</v>
      </c>
      <c r="V87" s="4"/>
      <c r="W87" s="4"/>
      <c r="X87" s="4"/>
      <c r="Y87" s="4"/>
      <c r="Z87" s="4"/>
      <c r="AA87" s="4"/>
      <c r="AB87" s="4"/>
    </row>
    <row r="88" ht="12.75" customHeight="1">
      <c r="A88" s="20"/>
      <c r="B88" s="48"/>
      <c r="C88" s="25"/>
      <c r="D88" s="19"/>
      <c r="E88" s="19"/>
      <c r="F88" s="19"/>
      <c r="G88" s="40"/>
      <c r="H88" s="41"/>
      <c r="I88" s="40">
        <f t="shared" si="33"/>
        <v>4</v>
      </c>
      <c r="J88" s="41">
        <f t="shared" si="34"/>
        <v>260</v>
      </c>
      <c r="K88" s="40"/>
      <c r="L88" s="4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2.75" customHeight="1">
      <c r="A89" s="20"/>
      <c r="B89" s="48"/>
      <c r="C89" s="25"/>
      <c r="D89" s="19"/>
      <c r="E89" s="19"/>
      <c r="F89" s="19"/>
      <c r="G89" s="40"/>
      <c r="H89" s="41"/>
      <c r="I89" s="40">
        <f t="shared" si="33"/>
        <v>3</v>
      </c>
      <c r="J89" s="41">
        <f t="shared" si="34"/>
        <v>225</v>
      </c>
      <c r="K89" s="40"/>
      <c r="L89" s="4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2.75" customHeight="1">
      <c r="A90" s="20"/>
      <c r="B90" s="48"/>
      <c r="C90" s="25"/>
      <c r="D90" s="19"/>
      <c r="E90" s="19"/>
      <c r="F90" s="19"/>
      <c r="G90" s="40"/>
      <c r="H90" s="41"/>
      <c r="I90" s="40">
        <f t="shared" si="33"/>
        <v>4</v>
      </c>
      <c r="J90" s="41">
        <f t="shared" si="34"/>
        <v>320</v>
      </c>
      <c r="K90" s="40"/>
      <c r="L90" s="4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2.75" customHeight="1">
      <c r="A91" s="20"/>
      <c r="B91" s="48"/>
      <c r="C91" s="25"/>
      <c r="D91" s="19"/>
      <c r="E91" s="19"/>
      <c r="F91" s="19"/>
      <c r="G91" s="40"/>
      <c r="H91" s="41"/>
      <c r="I91" s="40">
        <f t="shared" si="33"/>
        <v>2</v>
      </c>
      <c r="J91" s="41">
        <f t="shared" si="34"/>
        <v>170</v>
      </c>
      <c r="K91" s="40"/>
      <c r="L91" s="4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2.75" customHeight="1">
      <c r="A92" s="20"/>
      <c r="B92" s="48"/>
      <c r="C92" s="25"/>
      <c r="D92" s="19"/>
      <c r="E92" s="19"/>
      <c r="F92" s="19"/>
      <c r="G92" s="40"/>
      <c r="H92" s="41"/>
      <c r="I92" s="40">
        <f t="shared" si="33"/>
        <v>3</v>
      </c>
      <c r="J92" s="41">
        <f t="shared" si="34"/>
        <v>225</v>
      </c>
      <c r="K92" s="40"/>
      <c r="L92" s="4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2.75" customHeight="1">
      <c r="A93" s="20"/>
      <c r="B93" s="48"/>
      <c r="C93" s="25"/>
      <c r="D93" s="19"/>
      <c r="E93" s="19"/>
      <c r="F93" s="19"/>
      <c r="G93" s="40"/>
      <c r="H93" s="41"/>
      <c r="I93" s="40">
        <f t="shared" si="33"/>
        <v>5</v>
      </c>
      <c r="J93" s="41">
        <f t="shared" si="34"/>
        <v>325</v>
      </c>
      <c r="K93" s="40"/>
      <c r="L93" s="4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2.75" customHeight="1">
      <c r="A94" s="20"/>
      <c r="B94" s="48"/>
      <c r="C94" s="25"/>
      <c r="D94" s="19"/>
      <c r="E94" s="19"/>
      <c r="F94" s="19"/>
      <c r="G94" s="40"/>
      <c r="H94" s="41"/>
      <c r="I94" s="40">
        <f t="shared" si="33"/>
        <v>7</v>
      </c>
      <c r="J94" s="41">
        <f t="shared" si="34"/>
        <v>385</v>
      </c>
      <c r="K94" s="40"/>
      <c r="L94" s="4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2.75" customHeight="1">
      <c r="A95" s="20"/>
      <c r="B95" s="48"/>
      <c r="C95" s="25"/>
      <c r="D95" s="19"/>
      <c r="E95" s="19"/>
      <c r="F95" s="19"/>
      <c r="G95" s="40"/>
      <c r="H95" s="41"/>
      <c r="I95" s="40"/>
      <c r="J95" s="41"/>
      <c r="K95" s="40"/>
      <c r="L95" s="4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2.75" customHeight="1">
      <c r="A96" s="20"/>
      <c r="B96" s="48"/>
      <c r="C96" s="25"/>
      <c r="D96" s="19"/>
      <c r="E96" s="19"/>
      <c r="F96" s="19"/>
      <c r="G96" s="40"/>
      <c r="H96" s="41"/>
      <c r="I96" s="40"/>
      <c r="J96" s="41"/>
      <c r="K96" s="40">
        <f t="shared" ref="K96:K99" si="35">AF38*AG38</f>
        <v>4</v>
      </c>
      <c r="L96" s="42">
        <f t="shared" ref="L96:L99" si="36">AH38*K96</f>
        <v>200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7">
        <f>K96</f>
        <v>4</v>
      </c>
      <c r="X96" s="7">
        <f>K97</f>
        <v>4</v>
      </c>
      <c r="Y96" s="7">
        <f>K98</f>
        <v>6</v>
      </c>
      <c r="Z96" s="7">
        <f>K99</f>
        <v>15</v>
      </c>
      <c r="AA96" s="4"/>
      <c r="AB96" s="4"/>
    </row>
    <row r="97" ht="12.75" customHeight="1">
      <c r="A97" s="20"/>
      <c r="B97" s="48"/>
      <c r="C97" s="25"/>
      <c r="D97" s="19"/>
      <c r="E97" s="19"/>
      <c r="F97" s="19"/>
      <c r="G97" s="40"/>
      <c r="H97" s="41"/>
      <c r="I97" s="40"/>
      <c r="J97" s="41"/>
      <c r="K97" s="40">
        <f t="shared" si="35"/>
        <v>4</v>
      </c>
      <c r="L97" s="42">
        <f t="shared" si="36"/>
        <v>240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2.75" customHeight="1">
      <c r="A98" s="20"/>
      <c r="B98" s="48"/>
      <c r="C98" s="25"/>
      <c r="D98" s="19"/>
      <c r="E98" s="19"/>
      <c r="F98" s="19"/>
      <c r="G98" s="40"/>
      <c r="H98" s="41"/>
      <c r="I98" s="40"/>
      <c r="J98" s="41"/>
      <c r="K98" s="40">
        <f t="shared" si="35"/>
        <v>6</v>
      </c>
      <c r="L98" s="42">
        <f t="shared" si="36"/>
        <v>420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2.75" customHeight="1">
      <c r="A99" s="20"/>
      <c r="B99" s="48"/>
      <c r="C99" s="25"/>
      <c r="D99" s="19"/>
      <c r="E99" s="19"/>
      <c r="F99" s="19"/>
      <c r="G99" s="40"/>
      <c r="H99" s="41"/>
      <c r="I99" s="40"/>
      <c r="J99" s="41"/>
      <c r="K99" s="40">
        <f t="shared" si="35"/>
        <v>15</v>
      </c>
      <c r="L99" s="42">
        <f t="shared" si="36"/>
        <v>1200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2.75" customHeight="1">
      <c r="A100" s="20"/>
      <c r="B100" s="48"/>
      <c r="C100" s="25"/>
      <c r="D100" s="19"/>
      <c r="E100" s="19"/>
      <c r="F100" s="19"/>
      <c r="G100" s="40"/>
      <c r="H100" s="41"/>
      <c r="I100" s="40"/>
      <c r="J100" s="41"/>
      <c r="K100" s="40"/>
      <c r="L100" s="4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2.75" customHeight="1">
      <c r="A101" s="20"/>
      <c r="B101" s="48"/>
      <c r="C101" s="25"/>
      <c r="D101" s="19"/>
      <c r="E101" s="19"/>
      <c r="F101" s="19"/>
      <c r="G101" s="40"/>
      <c r="H101" s="41"/>
      <c r="I101" s="40"/>
      <c r="J101" s="41"/>
      <c r="K101" s="40"/>
      <c r="L101" s="4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2.75" customHeight="1">
      <c r="A102" s="20"/>
      <c r="B102" s="48"/>
      <c r="C102" s="25"/>
      <c r="D102" s="19"/>
      <c r="E102" s="19"/>
      <c r="F102" s="19"/>
      <c r="G102" s="40"/>
      <c r="H102" s="41"/>
      <c r="I102" s="40"/>
      <c r="J102" s="41"/>
      <c r="K102" s="40"/>
      <c r="L102" s="4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2.75" customHeight="1">
      <c r="A103" s="20"/>
      <c r="B103" s="48"/>
      <c r="C103" s="25"/>
      <c r="D103" s="19"/>
      <c r="E103" s="19"/>
      <c r="F103" s="19"/>
      <c r="G103" s="40">
        <f t="shared" ref="G103:G109" si="37">AF45*AG45</f>
        <v>5</v>
      </c>
      <c r="H103" s="41">
        <f t="shared" ref="H103:H109" si="38">AH45*G103</f>
        <v>250</v>
      </c>
      <c r="I103" s="40"/>
      <c r="J103" s="41"/>
      <c r="K103" s="40"/>
      <c r="L103" s="42"/>
      <c r="M103" s="7">
        <f>G103</f>
        <v>5</v>
      </c>
      <c r="N103" s="7">
        <f>G104</f>
        <v>5</v>
      </c>
      <c r="O103" s="7">
        <f>G109+G108+G107+G106+G105</f>
        <v>25</v>
      </c>
      <c r="P103" s="4">
        <v>0.0</v>
      </c>
      <c r="Q103" s="4">
        <v>0.0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2.75" customHeight="1">
      <c r="A104" s="20"/>
      <c r="B104" s="48"/>
      <c r="C104" s="25"/>
      <c r="D104" s="19"/>
      <c r="E104" s="19"/>
      <c r="F104" s="19"/>
      <c r="G104" s="40">
        <f t="shared" si="37"/>
        <v>5</v>
      </c>
      <c r="H104" s="41">
        <f t="shared" si="38"/>
        <v>300</v>
      </c>
      <c r="I104" s="40"/>
      <c r="J104" s="41"/>
      <c r="K104" s="40"/>
      <c r="L104" s="4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2.75" customHeight="1">
      <c r="A105" s="20"/>
      <c r="B105" s="48"/>
      <c r="C105" s="25"/>
      <c r="D105" s="19"/>
      <c r="E105" s="19"/>
      <c r="F105" s="19"/>
      <c r="G105" s="40">
        <f t="shared" si="37"/>
        <v>3</v>
      </c>
      <c r="H105" s="41">
        <f t="shared" si="38"/>
        <v>210</v>
      </c>
      <c r="I105" s="40"/>
      <c r="J105" s="41"/>
      <c r="K105" s="40"/>
      <c r="L105" s="4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2.75" customHeight="1">
      <c r="A106" s="20"/>
      <c r="B106" s="48"/>
      <c r="C106" s="25"/>
      <c r="D106" s="19"/>
      <c r="E106" s="19"/>
      <c r="F106" s="19"/>
      <c r="G106" s="40">
        <f t="shared" si="37"/>
        <v>5</v>
      </c>
      <c r="H106" s="41">
        <f t="shared" si="38"/>
        <v>350</v>
      </c>
      <c r="I106" s="40"/>
      <c r="J106" s="41"/>
      <c r="K106" s="40"/>
      <c r="L106" s="4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2.75" customHeight="1">
      <c r="A107" s="20"/>
      <c r="B107" s="48"/>
      <c r="C107" s="25"/>
      <c r="D107" s="19"/>
      <c r="E107" s="19"/>
      <c r="F107" s="19"/>
      <c r="G107" s="40">
        <f t="shared" si="37"/>
        <v>7</v>
      </c>
      <c r="H107" s="41">
        <f t="shared" si="38"/>
        <v>490</v>
      </c>
      <c r="I107" s="40"/>
      <c r="J107" s="41"/>
      <c r="K107" s="40"/>
      <c r="L107" s="4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2.75" customHeight="1">
      <c r="A108" s="20"/>
      <c r="B108" s="48"/>
      <c r="C108" s="25"/>
      <c r="D108" s="19"/>
      <c r="E108" s="19"/>
      <c r="F108" s="19"/>
      <c r="G108" s="40">
        <f t="shared" si="37"/>
        <v>6</v>
      </c>
      <c r="H108" s="41">
        <f t="shared" si="38"/>
        <v>420</v>
      </c>
      <c r="I108" s="40"/>
      <c r="J108" s="41"/>
      <c r="K108" s="40"/>
      <c r="L108" s="4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2.75" customHeight="1">
      <c r="A109" s="20"/>
      <c r="B109" s="48"/>
      <c r="C109" s="25"/>
      <c r="D109" s="19"/>
      <c r="E109" s="19"/>
      <c r="F109" s="19"/>
      <c r="G109" s="40">
        <f t="shared" si="37"/>
        <v>4</v>
      </c>
      <c r="H109" s="41">
        <f t="shared" si="38"/>
        <v>280</v>
      </c>
      <c r="I109" s="40"/>
      <c r="J109" s="41"/>
      <c r="K109" s="40"/>
      <c r="L109" s="4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2.75" customHeight="1">
      <c r="A110" s="20"/>
      <c r="B110" s="48"/>
      <c r="C110" s="25"/>
      <c r="D110" s="19"/>
      <c r="E110" s="19"/>
      <c r="F110" s="19"/>
      <c r="G110" s="40"/>
      <c r="H110" s="41"/>
      <c r="I110" s="40">
        <f t="shared" ref="I110:I112" si="39">AF52*AG52</f>
        <v>4</v>
      </c>
      <c r="J110" s="41">
        <f t="shared" ref="J110:J112" si="40">AH52*I110</f>
        <v>220</v>
      </c>
      <c r="K110" s="40"/>
      <c r="L110" s="42"/>
      <c r="M110" s="4"/>
      <c r="N110" s="4"/>
      <c r="O110" s="4"/>
      <c r="P110" s="4"/>
      <c r="Q110" s="4"/>
      <c r="R110" s="7">
        <f>I110</f>
        <v>4</v>
      </c>
      <c r="S110" s="7">
        <f>I111</f>
        <v>4</v>
      </c>
      <c r="T110" s="7">
        <f>I112</f>
        <v>15</v>
      </c>
      <c r="U110" s="4"/>
      <c r="V110" s="4"/>
      <c r="W110" s="4"/>
      <c r="X110" s="4"/>
      <c r="Y110" s="4"/>
      <c r="Z110" s="4"/>
      <c r="AA110" s="4"/>
      <c r="AB110" s="4"/>
    </row>
    <row r="111" ht="12.75" customHeight="1">
      <c r="A111" s="20"/>
      <c r="B111" s="48"/>
      <c r="C111" s="25"/>
      <c r="D111" s="19"/>
      <c r="E111" s="19"/>
      <c r="F111" s="19"/>
      <c r="G111" s="40"/>
      <c r="H111" s="41"/>
      <c r="I111" s="40">
        <f t="shared" si="39"/>
        <v>4</v>
      </c>
      <c r="J111" s="41">
        <f t="shared" si="40"/>
        <v>260</v>
      </c>
      <c r="K111" s="40"/>
      <c r="L111" s="4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2.75" customHeight="1">
      <c r="A112" s="20"/>
      <c r="B112" s="48"/>
      <c r="C112" s="25"/>
      <c r="D112" s="19"/>
      <c r="E112" s="19"/>
      <c r="F112" s="19"/>
      <c r="G112" s="40"/>
      <c r="H112" s="41"/>
      <c r="I112" s="40">
        <f t="shared" si="39"/>
        <v>15</v>
      </c>
      <c r="J112" s="41">
        <f t="shared" si="40"/>
        <v>1125</v>
      </c>
      <c r="K112" s="40"/>
      <c r="L112" s="4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2.75" customHeight="1">
      <c r="A113" s="20"/>
      <c r="B113" s="48"/>
      <c r="C113" s="25"/>
      <c r="D113" s="19"/>
      <c r="E113" s="19"/>
      <c r="F113" s="19"/>
      <c r="G113" s="40"/>
      <c r="H113" s="41"/>
      <c r="I113" s="40"/>
      <c r="J113" s="41"/>
      <c r="K113" s="40"/>
      <c r="L113" s="4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2.75" customHeight="1">
      <c r="A114" s="20"/>
      <c r="B114" s="48"/>
      <c r="C114" s="25"/>
      <c r="D114" s="19"/>
      <c r="E114" s="19"/>
      <c r="F114" s="19"/>
      <c r="G114" s="40"/>
      <c r="H114" s="41"/>
      <c r="I114" s="40"/>
      <c r="J114" s="41"/>
      <c r="K114" s="40"/>
      <c r="L114" s="4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2.75" customHeight="1">
      <c r="A115" s="20"/>
      <c r="B115" s="48"/>
      <c r="C115" s="25"/>
      <c r="D115" s="19"/>
      <c r="E115" s="19"/>
      <c r="F115" s="19"/>
      <c r="G115" s="40"/>
      <c r="H115" s="41"/>
      <c r="I115" s="40"/>
      <c r="J115" s="41"/>
      <c r="K115" s="40"/>
      <c r="L115" s="4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2.75" customHeight="1">
      <c r="A116" s="20"/>
      <c r="B116" s="48"/>
      <c r="C116" s="25"/>
      <c r="D116" s="19"/>
      <c r="E116" s="19"/>
      <c r="F116" s="19"/>
      <c r="G116" s="40"/>
      <c r="H116" s="41"/>
      <c r="I116" s="40"/>
      <c r="J116" s="41"/>
      <c r="K116" s="40"/>
      <c r="L116" s="4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2.75" customHeight="1">
      <c r="A117" s="20"/>
      <c r="B117" s="48"/>
      <c r="C117" s="25"/>
      <c r="D117" s="19"/>
      <c r="E117" s="19"/>
      <c r="F117" s="19"/>
      <c r="G117" s="59">
        <f t="shared" ref="G117:Q117" si="41">SUM(G65:G116)</f>
        <v>84</v>
      </c>
      <c r="H117" s="60">
        <f t="shared" si="41"/>
        <v>5590</v>
      </c>
      <c r="I117" s="59">
        <f t="shared" si="41"/>
        <v>83</v>
      </c>
      <c r="J117" s="60">
        <f t="shared" si="41"/>
        <v>5690</v>
      </c>
      <c r="K117" s="59">
        <f t="shared" si="41"/>
        <v>59</v>
      </c>
      <c r="L117" s="60">
        <f t="shared" si="41"/>
        <v>4060</v>
      </c>
      <c r="M117" s="7">
        <f t="shared" si="41"/>
        <v>15</v>
      </c>
      <c r="N117" s="7">
        <f t="shared" si="41"/>
        <v>17</v>
      </c>
      <c r="O117" s="7">
        <f t="shared" si="41"/>
        <v>37</v>
      </c>
      <c r="P117" s="7">
        <f t="shared" si="41"/>
        <v>12</v>
      </c>
      <c r="Q117" s="7">
        <f t="shared" si="41"/>
        <v>3</v>
      </c>
      <c r="R117" s="7">
        <f t="shared" ref="R117:U117" si="42">SUM(R70:R116)</f>
        <v>21</v>
      </c>
      <c r="S117" s="7">
        <f t="shared" si="42"/>
        <v>17</v>
      </c>
      <c r="T117" s="7">
        <f t="shared" si="42"/>
        <v>24</v>
      </c>
      <c r="U117" s="7">
        <f t="shared" si="42"/>
        <v>21</v>
      </c>
      <c r="V117" s="4"/>
      <c r="W117" s="7">
        <f t="shared" ref="W117:Z117" si="43">SUM(W83:W116)</f>
        <v>8</v>
      </c>
      <c r="X117" s="7">
        <f t="shared" si="43"/>
        <v>12</v>
      </c>
      <c r="Y117" s="7">
        <f t="shared" si="43"/>
        <v>24</v>
      </c>
      <c r="Z117" s="4">
        <f t="shared" si="43"/>
        <v>15</v>
      </c>
      <c r="AA117" s="4"/>
      <c r="AB117" s="4"/>
    </row>
    <row r="118" ht="12.75" customHeight="1">
      <c r="A118" s="20"/>
      <c r="B118" s="48"/>
      <c r="C118" s="25"/>
      <c r="D118" s="19"/>
      <c r="E118" s="19"/>
      <c r="F118" s="19"/>
      <c r="G118" s="40"/>
      <c r="H118" s="41"/>
      <c r="I118" s="40"/>
      <c r="J118" s="41"/>
      <c r="K118" s="40"/>
      <c r="L118" s="42"/>
      <c r="M118" s="4" t="s">
        <v>28</v>
      </c>
      <c r="N118" s="4" t="s">
        <v>29</v>
      </c>
      <c r="O118" s="4" t="s">
        <v>30</v>
      </c>
      <c r="P118" s="4" t="s">
        <v>31</v>
      </c>
      <c r="Q118" s="4" t="s">
        <v>32</v>
      </c>
      <c r="R118" s="4" t="s">
        <v>28</v>
      </c>
      <c r="S118" s="4" t="s">
        <v>29</v>
      </c>
      <c r="T118" s="4" t="s">
        <v>30</v>
      </c>
      <c r="U118" s="4" t="s">
        <v>31</v>
      </c>
      <c r="V118" s="4" t="s">
        <v>32</v>
      </c>
      <c r="W118" s="4" t="s">
        <v>28</v>
      </c>
      <c r="X118" s="4" t="s">
        <v>29</v>
      </c>
      <c r="Y118" s="4" t="s">
        <v>30</v>
      </c>
      <c r="Z118" s="4" t="s">
        <v>31</v>
      </c>
      <c r="AA118" s="4" t="s">
        <v>32</v>
      </c>
      <c r="AB118" s="4"/>
    </row>
    <row r="119" ht="12.75" customHeight="1">
      <c r="A119" s="20"/>
      <c r="B119" s="48"/>
      <c r="C119" s="25"/>
      <c r="D119" s="19"/>
      <c r="E119" s="19"/>
      <c r="F119" s="19"/>
      <c r="G119" s="40"/>
      <c r="H119" s="41"/>
      <c r="I119" s="40"/>
      <c r="J119" s="41"/>
      <c r="K119" s="40"/>
      <c r="L119" s="4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2.75" customHeight="1">
      <c r="A120" s="20"/>
      <c r="B120" s="48"/>
      <c r="C120" s="25"/>
      <c r="D120" s="19"/>
      <c r="E120" s="19"/>
      <c r="F120" s="19"/>
      <c r="G120" s="40">
        <f t="shared" ref="G120:G123" si="44">AM7*AN7</f>
        <v>5</v>
      </c>
      <c r="H120" s="41">
        <f t="shared" ref="H120:H123" si="45">AO7*G120</f>
        <v>250</v>
      </c>
      <c r="I120" s="40"/>
      <c r="J120" s="41"/>
      <c r="K120" s="40"/>
      <c r="L120" s="42"/>
      <c r="M120" s="7">
        <f>G120</f>
        <v>5</v>
      </c>
      <c r="N120" s="7">
        <f>G121</f>
        <v>8</v>
      </c>
      <c r="O120" s="7">
        <f>G122</f>
        <v>6</v>
      </c>
      <c r="P120" s="7">
        <f>G123</f>
        <v>15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2.75" customHeight="1">
      <c r="A121" s="20"/>
      <c r="B121" s="48"/>
      <c r="C121" s="25"/>
      <c r="D121" s="19"/>
      <c r="E121" s="19"/>
      <c r="F121" s="19"/>
      <c r="G121" s="40">
        <f t="shared" si="44"/>
        <v>8</v>
      </c>
      <c r="H121" s="41">
        <f t="shared" si="45"/>
        <v>480</v>
      </c>
      <c r="I121" s="40"/>
      <c r="J121" s="41"/>
      <c r="K121" s="40"/>
      <c r="L121" s="4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2.75" customHeight="1">
      <c r="A122" s="20"/>
      <c r="B122" s="48"/>
      <c r="C122" s="25"/>
      <c r="D122" s="19"/>
      <c r="E122" s="19"/>
      <c r="F122" s="19"/>
      <c r="G122" s="40">
        <f t="shared" si="44"/>
        <v>6</v>
      </c>
      <c r="H122" s="41">
        <f t="shared" si="45"/>
        <v>420</v>
      </c>
      <c r="I122" s="40"/>
      <c r="J122" s="41"/>
      <c r="K122" s="40"/>
      <c r="L122" s="4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2.75" customHeight="1">
      <c r="A123" s="20"/>
      <c r="B123" s="48"/>
      <c r="C123" s="25"/>
      <c r="D123" s="19"/>
      <c r="E123" s="19"/>
      <c r="F123" s="19"/>
      <c r="G123" s="40">
        <f t="shared" si="44"/>
        <v>15</v>
      </c>
      <c r="H123" s="41">
        <f t="shared" si="45"/>
        <v>1200</v>
      </c>
      <c r="I123" s="40"/>
      <c r="J123" s="41"/>
      <c r="K123" s="40"/>
      <c r="L123" s="4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2.75" customHeight="1">
      <c r="A124" s="20"/>
      <c r="B124" s="48"/>
      <c r="C124" s="25"/>
      <c r="D124" s="19"/>
      <c r="E124" s="19"/>
      <c r="F124" s="19"/>
      <c r="G124" s="40"/>
      <c r="H124" s="41"/>
      <c r="I124" s="40">
        <f t="shared" ref="I124:I129" si="46">AM11*AN11</f>
        <v>5</v>
      </c>
      <c r="J124" s="41">
        <f t="shared" ref="J124:J129" si="47">AO11*I124</f>
        <v>250</v>
      </c>
      <c r="K124" s="40"/>
      <c r="L124" s="42"/>
      <c r="M124" s="4"/>
      <c r="N124" s="4"/>
      <c r="O124" s="4"/>
      <c r="P124" s="4"/>
      <c r="Q124" s="4"/>
      <c r="R124" s="7">
        <f>I124</f>
        <v>5</v>
      </c>
      <c r="S124" s="7">
        <f>I125</f>
        <v>4</v>
      </c>
      <c r="T124" s="7">
        <f>I126</f>
        <v>3</v>
      </c>
      <c r="U124" s="7">
        <f>I129+I128+I127</f>
        <v>18</v>
      </c>
      <c r="V124" s="4"/>
      <c r="W124" s="4"/>
      <c r="X124" s="4"/>
      <c r="Y124" s="4"/>
      <c r="Z124" s="4"/>
      <c r="AA124" s="4"/>
      <c r="AB124" s="4"/>
    </row>
    <row r="125" ht="12.75" customHeight="1">
      <c r="A125" s="20"/>
      <c r="B125" s="48"/>
      <c r="C125" s="25"/>
      <c r="D125" s="19"/>
      <c r="E125" s="19"/>
      <c r="F125" s="19"/>
      <c r="G125" s="40"/>
      <c r="H125" s="41"/>
      <c r="I125" s="40">
        <f t="shared" si="46"/>
        <v>4</v>
      </c>
      <c r="J125" s="41">
        <f t="shared" si="47"/>
        <v>240</v>
      </c>
      <c r="K125" s="40"/>
      <c r="L125" s="4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2.75" customHeight="1">
      <c r="A126" s="20"/>
      <c r="B126" s="48"/>
      <c r="C126" s="25"/>
      <c r="D126" s="19"/>
      <c r="E126" s="19"/>
      <c r="F126" s="19"/>
      <c r="G126" s="40"/>
      <c r="H126" s="41"/>
      <c r="I126" s="40">
        <f t="shared" si="46"/>
        <v>3</v>
      </c>
      <c r="J126" s="41">
        <f t="shared" si="47"/>
        <v>210</v>
      </c>
      <c r="K126" s="40"/>
      <c r="L126" s="4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2.75" customHeight="1">
      <c r="A127" s="20"/>
      <c r="B127" s="48"/>
      <c r="C127" s="25"/>
      <c r="D127" s="19"/>
      <c r="E127" s="19"/>
      <c r="F127" s="19"/>
      <c r="G127" s="40"/>
      <c r="H127" s="41"/>
      <c r="I127" s="40">
        <f t="shared" si="46"/>
        <v>6</v>
      </c>
      <c r="J127" s="41">
        <f t="shared" si="47"/>
        <v>480</v>
      </c>
      <c r="K127" s="40"/>
      <c r="L127" s="4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2.75" customHeight="1">
      <c r="A128" s="20"/>
      <c r="B128" s="48"/>
      <c r="C128" s="25"/>
      <c r="D128" s="19"/>
      <c r="E128" s="19"/>
      <c r="F128" s="19"/>
      <c r="G128" s="40"/>
      <c r="H128" s="41"/>
      <c r="I128" s="40">
        <f t="shared" si="46"/>
        <v>6</v>
      </c>
      <c r="J128" s="41">
        <f t="shared" si="47"/>
        <v>510</v>
      </c>
      <c r="K128" s="40"/>
      <c r="L128" s="4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2.75" customHeight="1">
      <c r="A129" s="20"/>
      <c r="B129" s="48"/>
      <c r="C129" s="25"/>
      <c r="D129" s="19"/>
      <c r="E129" s="19"/>
      <c r="F129" s="19"/>
      <c r="G129" s="40"/>
      <c r="H129" s="41"/>
      <c r="I129" s="40">
        <f t="shared" si="46"/>
        <v>6</v>
      </c>
      <c r="J129" s="41">
        <f t="shared" si="47"/>
        <v>480</v>
      </c>
      <c r="K129" s="40"/>
      <c r="L129" s="4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2.75" customHeight="1">
      <c r="A130" s="20"/>
      <c r="B130" s="48"/>
      <c r="C130" s="25"/>
      <c r="D130" s="19"/>
      <c r="E130" s="19"/>
      <c r="F130" s="19"/>
      <c r="G130" s="40">
        <f t="shared" ref="G130:G132" si="48">AM17*AN17</f>
        <v>6</v>
      </c>
      <c r="H130" s="41">
        <f t="shared" ref="H130:H132" si="49">AO17*G130</f>
        <v>300</v>
      </c>
      <c r="I130" s="40"/>
      <c r="J130" s="41"/>
      <c r="K130" s="40"/>
      <c r="L130" s="42"/>
      <c r="M130" s="7">
        <f>G130</f>
        <v>6</v>
      </c>
      <c r="N130" s="7">
        <f>G131</f>
        <v>6</v>
      </c>
      <c r="O130" s="7">
        <f>G132</f>
        <v>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2.75" customHeight="1">
      <c r="A131" s="20"/>
      <c r="B131" s="48"/>
      <c r="C131" s="25"/>
      <c r="D131" s="19"/>
      <c r="E131" s="19"/>
      <c r="F131" s="19"/>
      <c r="G131" s="40">
        <f t="shared" si="48"/>
        <v>6</v>
      </c>
      <c r="H131" s="41">
        <f t="shared" si="49"/>
        <v>360</v>
      </c>
      <c r="I131" s="40"/>
      <c r="J131" s="41"/>
      <c r="K131" s="40"/>
      <c r="L131" s="4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2.75" customHeight="1">
      <c r="A132" s="20"/>
      <c r="B132" s="48"/>
      <c r="C132" s="25"/>
      <c r="D132" s="19"/>
      <c r="E132" s="19"/>
      <c r="F132" s="19"/>
      <c r="G132" s="40">
        <f t="shared" si="48"/>
        <v>24</v>
      </c>
      <c r="H132" s="41">
        <f t="shared" si="49"/>
        <v>1560</v>
      </c>
      <c r="I132" s="40"/>
      <c r="J132" s="41"/>
      <c r="K132" s="40"/>
      <c r="L132" s="4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2.75" customHeight="1">
      <c r="A133" s="20"/>
      <c r="B133" s="48"/>
      <c r="C133" s="25"/>
      <c r="D133" s="19"/>
      <c r="E133" s="19"/>
      <c r="F133" s="19"/>
      <c r="G133" s="40"/>
      <c r="H133" s="41"/>
      <c r="I133" s="40"/>
      <c r="J133" s="41"/>
      <c r="K133" s="40"/>
      <c r="L133" s="4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2.75" customHeight="1">
      <c r="A134" s="20"/>
      <c r="B134" s="48"/>
      <c r="C134" s="25"/>
      <c r="D134" s="19"/>
      <c r="E134" s="19"/>
      <c r="F134" s="19"/>
      <c r="G134" s="40"/>
      <c r="H134" s="41"/>
      <c r="I134" s="40"/>
      <c r="J134" s="41"/>
      <c r="K134" s="40"/>
      <c r="L134" s="4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2.75" customHeight="1">
      <c r="A135" s="20"/>
      <c r="B135" s="48"/>
      <c r="C135" s="25"/>
      <c r="D135" s="19"/>
      <c r="E135" s="19"/>
      <c r="F135" s="19"/>
      <c r="G135" s="40"/>
      <c r="H135" s="41"/>
      <c r="I135" s="40"/>
      <c r="J135" s="41"/>
      <c r="K135" s="40"/>
      <c r="L135" s="4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2.75" customHeight="1">
      <c r="A136" s="20"/>
      <c r="B136" s="48"/>
      <c r="C136" s="25"/>
      <c r="D136" s="19"/>
      <c r="E136" s="19"/>
      <c r="F136" s="19"/>
      <c r="G136" s="40"/>
      <c r="H136" s="41"/>
      <c r="I136" s="40"/>
      <c r="J136" s="41"/>
      <c r="K136" s="40"/>
      <c r="L136" s="4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2.75" customHeight="1">
      <c r="A137" s="20"/>
      <c r="B137" s="48"/>
      <c r="C137" s="25"/>
      <c r="D137" s="19"/>
      <c r="E137" s="19"/>
      <c r="F137" s="19"/>
      <c r="G137" s="40"/>
      <c r="H137" s="41"/>
      <c r="I137" s="40"/>
      <c r="J137" s="41"/>
      <c r="K137" s="40"/>
      <c r="L137" s="4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2.75" customHeight="1">
      <c r="A138" s="20"/>
      <c r="B138" s="48"/>
      <c r="C138" s="25"/>
      <c r="D138" s="19"/>
      <c r="E138" s="19"/>
      <c r="F138" s="19"/>
      <c r="G138" s="40"/>
      <c r="H138" s="41"/>
      <c r="I138" s="40"/>
      <c r="J138" s="41"/>
      <c r="K138" s="40">
        <f t="shared" ref="K138:K142" si="50">AM25*AN25</f>
        <v>4</v>
      </c>
      <c r="L138" s="42">
        <f t="shared" ref="L138:L142" si="51">AO25*K138</f>
        <v>200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7">
        <f>K138</f>
        <v>4</v>
      </c>
      <c r="X138" s="7">
        <f>K139</f>
        <v>4</v>
      </c>
      <c r="Y138" s="7">
        <f>K140</f>
        <v>6</v>
      </c>
      <c r="Z138" s="7">
        <f>K141+K142</f>
        <v>15</v>
      </c>
      <c r="AA138" s="4"/>
      <c r="AB138" s="4"/>
    </row>
    <row r="139" ht="12.75" customHeight="1">
      <c r="A139" s="20"/>
      <c r="B139" s="48"/>
      <c r="C139" s="25"/>
      <c r="D139" s="19"/>
      <c r="E139" s="19"/>
      <c r="F139" s="19"/>
      <c r="G139" s="40"/>
      <c r="H139" s="41"/>
      <c r="I139" s="40"/>
      <c r="J139" s="41"/>
      <c r="K139" s="40">
        <f t="shared" si="50"/>
        <v>4</v>
      </c>
      <c r="L139" s="42">
        <f t="shared" si="51"/>
        <v>240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2.75" customHeight="1">
      <c r="A140" s="20"/>
      <c r="B140" s="48"/>
      <c r="C140" s="25"/>
      <c r="D140" s="19"/>
      <c r="E140" s="19"/>
      <c r="F140" s="19"/>
      <c r="G140" s="40"/>
      <c r="H140" s="41"/>
      <c r="I140" s="40"/>
      <c r="J140" s="41"/>
      <c r="K140" s="40">
        <f t="shared" si="50"/>
        <v>6</v>
      </c>
      <c r="L140" s="42">
        <f t="shared" si="51"/>
        <v>420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2.75" customHeight="1">
      <c r="A141" s="20"/>
      <c r="B141" s="48"/>
      <c r="C141" s="25"/>
      <c r="D141" s="19"/>
      <c r="E141" s="19"/>
      <c r="F141" s="19"/>
      <c r="G141" s="40"/>
      <c r="H141" s="41"/>
      <c r="I141" s="40"/>
      <c r="J141" s="41"/>
      <c r="K141" s="40">
        <f t="shared" si="50"/>
        <v>9</v>
      </c>
      <c r="L141" s="42">
        <f t="shared" si="51"/>
        <v>720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2.75" customHeight="1">
      <c r="A142" s="20"/>
      <c r="B142" s="48"/>
      <c r="C142" s="25"/>
      <c r="D142" s="19"/>
      <c r="E142" s="19"/>
      <c r="F142" s="19"/>
      <c r="G142" s="40"/>
      <c r="H142" s="41"/>
      <c r="I142" s="40"/>
      <c r="J142" s="41"/>
      <c r="K142" s="40">
        <f t="shared" si="50"/>
        <v>6</v>
      </c>
      <c r="L142" s="42">
        <f t="shared" si="51"/>
        <v>510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2.75" customHeight="1">
      <c r="A143" s="20"/>
      <c r="B143" s="48"/>
      <c r="C143" s="25"/>
      <c r="D143" s="19"/>
      <c r="E143" s="19"/>
      <c r="F143" s="19"/>
      <c r="G143" s="40"/>
      <c r="H143" s="41"/>
      <c r="I143" s="40">
        <f t="shared" ref="I143:I146" si="52">AM30*AN30</f>
        <v>5</v>
      </c>
      <c r="J143" s="41">
        <f t="shared" ref="J143:J146" si="53">AO30*I143</f>
        <v>250</v>
      </c>
      <c r="K143" s="40"/>
      <c r="L143" s="42"/>
      <c r="M143" s="4"/>
      <c r="N143" s="4"/>
      <c r="O143" s="4"/>
      <c r="P143" s="4"/>
      <c r="Q143" s="4"/>
      <c r="R143" s="7">
        <f>I143</f>
        <v>5</v>
      </c>
      <c r="S143" s="7">
        <f>I144</f>
        <v>4</v>
      </c>
      <c r="T143" s="7">
        <f>I145</f>
        <v>3</v>
      </c>
      <c r="U143" s="7">
        <f>I146</f>
        <v>10</v>
      </c>
      <c r="V143" s="4"/>
      <c r="W143" s="4"/>
      <c r="X143" s="4"/>
      <c r="Y143" s="4"/>
      <c r="Z143" s="4"/>
      <c r="AA143" s="4"/>
      <c r="AB143" s="4"/>
    </row>
    <row r="144" ht="12.75" customHeight="1">
      <c r="A144" s="20"/>
      <c r="B144" s="48"/>
      <c r="C144" s="25"/>
      <c r="D144" s="19"/>
      <c r="E144" s="19"/>
      <c r="F144" s="19"/>
      <c r="G144" s="40"/>
      <c r="H144" s="41"/>
      <c r="I144" s="40">
        <f t="shared" si="52"/>
        <v>4</v>
      </c>
      <c r="J144" s="41">
        <f t="shared" si="53"/>
        <v>240</v>
      </c>
      <c r="K144" s="40"/>
      <c r="L144" s="4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2.75" customHeight="1">
      <c r="A145" s="20"/>
      <c r="B145" s="48"/>
      <c r="C145" s="25"/>
      <c r="D145" s="19"/>
      <c r="E145" s="19"/>
      <c r="F145" s="19"/>
      <c r="G145" s="40"/>
      <c r="H145" s="41"/>
      <c r="I145" s="40">
        <f t="shared" si="52"/>
        <v>3</v>
      </c>
      <c r="J145" s="41">
        <f t="shared" si="53"/>
        <v>210</v>
      </c>
      <c r="K145" s="40"/>
      <c r="L145" s="4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2.75" customHeight="1">
      <c r="A146" s="20"/>
      <c r="B146" s="48"/>
      <c r="C146" s="25"/>
      <c r="D146" s="19"/>
      <c r="E146" s="19"/>
      <c r="F146" s="19"/>
      <c r="G146" s="40"/>
      <c r="H146" s="41"/>
      <c r="I146" s="40">
        <f t="shared" si="52"/>
        <v>10</v>
      </c>
      <c r="J146" s="41">
        <f t="shared" si="53"/>
        <v>800</v>
      </c>
      <c r="K146" s="40"/>
      <c r="L146" s="4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2.75" customHeight="1">
      <c r="A147" s="20"/>
      <c r="B147" s="48"/>
      <c r="C147" s="25"/>
      <c r="D147" s="19"/>
      <c r="E147" s="19"/>
      <c r="F147" s="19"/>
      <c r="G147" s="40"/>
      <c r="H147" s="41"/>
      <c r="I147" s="40"/>
      <c r="J147" s="41"/>
      <c r="K147" s="40"/>
      <c r="L147" s="4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2.75" customHeight="1">
      <c r="A148" s="20"/>
      <c r="B148" s="48"/>
      <c r="C148" s="25"/>
      <c r="D148" s="19"/>
      <c r="E148" s="19"/>
      <c r="F148" s="19"/>
      <c r="G148" s="40"/>
      <c r="H148" s="41"/>
      <c r="I148" s="40"/>
      <c r="J148" s="41"/>
      <c r="K148" s="40">
        <f t="shared" ref="K148:K150" si="54">AM35*AN35</f>
        <v>5</v>
      </c>
      <c r="L148" s="42">
        <f t="shared" ref="L148:L150" si="55">AO35*K148</f>
        <v>325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7">
        <f>K148</f>
        <v>5</v>
      </c>
      <c r="Y148" s="7">
        <f>K149</f>
        <v>10</v>
      </c>
      <c r="Z148" s="7">
        <f>K150</f>
        <v>16</v>
      </c>
      <c r="AA148" s="4"/>
      <c r="AB148" s="4"/>
    </row>
    <row r="149" ht="12.75" customHeight="1">
      <c r="A149" s="20"/>
      <c r="B149" s="48"/>
      <c r="C149" s="25"/>
      <c r="D149" s="19"/>
      <c r="E149" s="19"/>
      <c r="F149" s="19"/>
      <c r="G149" s="40"/>
      <c r="H149" s="41"/>
      <c r="I149" s="40"/>
      <c r="J149" s="41"/>
      <c r="K149" s="40">
        <f t="shared" si="54"/>
        <v>10</v>
      </c>
      <c r="L149" s="42">
        <f t="shared" si="55"/>
        <v>750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2.75" customHeight="1">
      <c r="A150" s="20"/>
      <c r="B150" s="48"/>
      <c r="C150" s="25"/>
      <c r="D150" s="19"/>
      <c r="E150" s="19"/>
      <c r="F150" s="19"/>
      <c r="G150" s="40"/>
      <c r="H150" s="41"/>
      <c r="I150" s="40"/>
      <c r="J150" s="41"/>
      <c r="K150" s="40">
        <f t="shared" si="54"/>
        <v>16</v>
      </c>
      <c r="L150" s="42">
        <f t="shared" si="55"/>
        <v>1360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2.75" customHeight="1">
      <c r="A151" s="20"/>
      <c r="B151" s="48"/>
      <c r="C151" s="25"/>
      <c r="D151" s="19"/>
      <c r="E151" s="19"/>
      <c r="F151" s="19"/>
      <c r="G151" s="40"/>
      <c r="H151" s="41"/>
      <c r="I151" s="40"/>
      <c r="J151" s="41"/>
      <c r="K151" s="40"/>
      <c r="L151" s="4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2.75" customHeight="1">
      <c r="A152" s="20"/>
      <c r="B152" s="48"/>
      <c r="C152" s="25"/>
      <c r="D152" s="19"/>
      <c r="E152" s="19"/>
      <c r="F152" s="19"/>
      <c r="G152" s="40"/>
      <c r="H152" s="41"/>
      <c r="I152" s="40"/>
      <c r="J152" s="41"/>
      <c r="K152" s="40"/>
      <c r="L152" s="4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2.75" customHeight="1">
      <c r="A153" s="20"/>
      <c r="B153" s="48"/>
      <c r="C153" s="25"/>
      <c r="D153" s="19"/>
      <c r="E153" s="19"/>
      <c r="F153" s="19"/>
      <c r="G153" s="40"/>
      <c r="H153" s="41"/>
      <c r="I153" s="40"/>
      <c r="J153" s="41"/>
      <c r="K153" s="40"/>
      <c r="L153" s="4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2.75" customHeight="1">
      <c r="A154" s="20"/>
      <c r="B154" s="48"/>
      <c r="C154" s="25"/>
      <c r="D154" s="19"/>
      <c r="E154" s="19"/>
      <c r="F154" s="19"/>
      <c r="G154" s="40"/>
      <c r="H154" s="41"/>
      <c r="I154" s="40"/>
      <c r="J154" s="41"/>
      <c r="K154" s="40"/>
      <c r="L154" s="4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2.75" customHeight="1">
      <c r="A155" s="20"/>
      <c r="B155" s="48"/>
      <c r="C155" s="25"/>
      <c r="D155" s="19"/>
      <c r="E155" s="19"/>
      <c r="F155" s="19"/>
      <c r="G155" s="40"/>
      <c r="H155" s="41"/>
      <c r="I155" s="40">
        <f t="shared" ref="I155:I158" si="56">AM42*AN42</f>
        <v>5</v>
      </c>
      <c r="J155" s="41">
        <f t="shared" ref="J155:J158" si="57">AO42*I155</f>
        <v>250</v>
      </c>
      <c r="K155" s="40"/>
      <c r="L155" s="42"/>
      <c r="M155" s="4"/>
      <c r="N155" s="4"/>
      <c r="O155" s="4"/>
      <c r="P155" s="4"/>
      <c r="Q155" s="4"/>
      <c r="R155" s="7">
        <f>I155</f>
        <v>5</v>
      </c>
      <c r="S155" s="7">
        <f>I156</f>
        <v>4</v>
      </c>
      <c r="T155" s="7">
        <f>I157</f>
        <v>3</v>
      </c>
      <c r="U155" s="7">
        <f>I158</f>
        <v>12</v>
      </c>
      <c r="V155" s="4"/>
      <c r="W155" s="4"/>
      <c r="X155" s="4"/>
      <c r="Y155" s="4"/>
      <c r="Z155" s="4"/>
      <c r="AA155" s="4"/>
      <c r="AB155" s="4"/>
    </row>
    <row r="156" ht="12.75" customHeight="1">
      <c r="A156" s="20"/>
      <c r="B156" s="48"/>
      <c r="C156" s="25"/>
      <c r="D156" s="19"/>
      <c r="E156" s="19"/>
      <c r="F156" s="19"/>
      <c r="G156" s="40"/>
      <c r="H156" s="41"/>
      <c r="I156" s="40">
        <f t="shared" si="56"/>
        <v>4</v>
      </c>
      <c r="J156" s="41">
        <f t="shared" si="57"/>
        <v>240</v>
      </c>
      <c r="K156" s="40"/>
      <c r="L156" s="4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2.75" customHeight="1">
      <c r="A157" s="20"/>
      <c r="B157" s="48"/>
      <c r="C157" s="25"/>
      <c r="D157" s="19"/>
      <c r="E157" s="19"/>
      <c r="F157" s="19"/>
      <c r="G157" s="40"/>
      <c r="H157" s="41"/>
      <c r="I157" s="40">
        <f t="shared" si="56"/>
        <v>3</v>
      </c>
      <c r="J157" s="41">
        <f t="shared" si="57"/>
        <v>210</v>
      </c>
      <c r="K157" s="40"/>
      <c r="L157" s="4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2.75" customHeight="1">
      <c r="A158" s="20"/>
      <c r="B158" s="48"/>
      <c r="C158" s="25"/>
      <c r="D158" s="19"/>
      <c r="E158" s="19"/>
      <c r="F158" s="19"/>
      <c r="G158" s="40"/>
      <c r="H158" s="41"/>
      <c r="I158" s="40">
        <f t="shared" si="56"/>
        <v>12</v>
      </c>
      <c r="J158" s="41">
        <f t="shared" si="57"/>
        <v>960</v>
      </c>
      <c r="K158" s="40"/>
      <c r="L158" s="4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2.75" customHeight="1">
      <c r="A159" s="20"/>
      <c r="B159" s="48"/>
      <c r="C159" s="25"/>
      <c r="D159" s="19"/>
      <c r="E159" s="19"/>
      <c r="F159" s="19"/>
      <c r="G159" s="40">
        <f t="shared" ref="G159:G164" si="58">AM46*AN46</f>
        <v>5</v>
      </c>
      <c r="H159" s="41">
        <f t="shared" ref="H159:H164" si="59">AO46*G159</f>
        <v>250</v>
      </c>
      <c r="I159" s="40"/>
      <c r="J159" s="41"/>
      <c r="K159" s="40"/>
      <c r="L159" s="42"/>
      <c r="M159" s="7">
        <f>G159</f>
        <v>5</v>
      </c>
      <c r="N159" s="7">
        <f>G160</f>
        <v>4</v>
      </c>
      <c r="O159" s="7">
        <f>G161</f>
        <v>6</v>
      </c>
      <c r="P159" s="7">
        <f>G162+G163+G164</f>
        <v>21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2.75" customHeight="1">
      <c r="A160" s="20"/>
      <c r="B160" s="48"/>
      <c r="C160" s="25"/>
      <c r="D160" s="19"/>
      <c r="E160" s="19"/>
      <c r="F160" s="19"/>
      <c r="G160" s="40">
        <f t="shared" si="58"/>
        <v>4</v>
      </c>
      <c r="H160" s="41">
        <f t="shared" si="59"/>
        <v>240</v>
      </c>
      <c r="I160" s="40"/>
      <c r="J160" s="41"/>
      <c r="K160" s="40"/>
      <c r="L160" s="42"/>
      <c r="M160" s="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2.75" customHeight="1">
      <c r="A161" s="20"/>
      <c r="B161" s="48"/>
      <c r="C161" s="25"/>
      <c r="D161" s="19"/>
      <c r="E161" s="19"/>
      <c r="F161" s="19"/>
      <c r="G161" s="40">
        <f t="shared" si="58"/>
        <v>6</v>
      </c>
      <c r="H161" s="41">
        <f t="shared" si="59"/>
        <v>420</v>
      </c>
      <c r="I161" s="40"/>
      <c r="J161" s="41"/>
      <c r="K161" s="40"/>
      <c r="L161" s="42"/>
      <c r="M161" s="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2.75" customHeight="1">
      <c r="A162" s="20"/>
      <c r="B162" s="48"/>
      <c r="C162" s="25"/>
      <c r="D162" s="19"/>
      <c r="E162" s="19"/>
      <c r="F162" s="19"/>
      <c r="G162" s="40">
        <f t="shared" si="58"/>
        <v>6</v>
      </c>
      <c r="H162" s="41">
        <f t="shared" si="59"/>
        <v>480</v>
      </c>
      <c r="I162" s="40"/>
      <c r="J162" s="41"/>
      <c r="K162" s="40"/>
      <c r="L162" s="4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2.75" customHeight="1">
      <c r="A163" s="20"/>
      <c r="B163" s="48"/>
      <c r="C163" s="25"/>
      <c r="D163" s="19"/>
      <c r="E163" s="19"/>
      <c r="F163" s="19"/>
      <c r="G163" s="40">
        <f t="shared" si="58"/>
        <v>6</v>
      </c>
      <c r="H163" s="41">
        <f t="shared" si="59"/>
        <v>510</v>
      </c>
      <c r="I163" s="40"/>
      <c r="J163" s="41"/>
      <c r="K163" s="40"/>
      <c r="L163" s="4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2.75" customHeight="1">
      <c r="A164" s="20"/>
      <c r="B164" s="48"/>
      <c r="C164" s="25"/>
      <c r="D164" s="19"/>
      <c r="E164" s="19"/>
      <c r="F164" s="19"/>
      <c r="G164" s="40">
        <f t="shared" si="58"/>
        <v>9</v>
      </c>
      <c r="H164" s="41">
        <f t="shared" si="59"/>
        <v>720</v>
      </c>
      <c r="I164" s="40"/>
      <c r="J164" s="41"/>
      <c r="K164" s="40"/>
      <c r="L164" s="4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2.75" customHeight="1">
      <c r="A165" s="20"/>
      <c r="B165" s="48"/>
      <c r="C165" s="25"/>
      <c r="D165" s="19"/>
      <c r="E165" s="19"/>
      <c r="F165" s="19"/>
      <c r="G165" s="40"/>
      <c r="H165" s="41"/>
      <c r="I165" s="40">
        <f t="shared" ref="I165:I167" si="60">AM52*AN52</f>
        <v>6</v>
      </c>
      <c r="J165" s="41">
        <f t="shared" ref="J165:J167" si="61">AO52*I165</f>
        <v>300</v>
      </c>
      <c r="K165" s="40"/>
      <c r="L165" s="42"/>
      <c r="M165" s="4"/>
      <c r="N165" s="4"/>
      <c r="O165" s="4"/>
      <c r="P165" s="4"/>
      <c r="Q165" s="4"/>
      <c r="R165" s="7">
        <f>I165</f>
        <v>6</v>
      </c>
      <c r="S165" s="7">
        <f>I166</f>
        <v>6</v>
      </c>
      <c r="T165" s="7">
        <f>I167</f>
        <v>24</v>
      </c>
      <c r="U165" s="4"/>
      <c r="V165" s="4"/>
      <c r="W165" s="4"/>
      <c r="X165" s="4"/>
      <c r="Y165" s="4"/>
      <c r="Z165" s="4"/>
      <c r="AA165" s="4"/>
      <c r="AB165" s="4"/>
    </row>
    <row r="166" ht="12.75" customHeight="1">
      <c r="A166" s="20"/>
      <c r="B166" s="48"/>
      <c r="C166" s="25"/>
      <c r="D166" s="19"/>
      <c r="E166" s="19"/>
      <c r="F166" s="19"/>
      <c r="G166" s="40"/>
      <c r="H166" s="41"/>
      <c r="I166" s="40">
        <f t="shared" si="60"/>
        <v>6</v>
      </c>
      <c r="J166" s="41">
        <f t="shared" si="61"/>
        <v>360</v>
      </c>
      <c r="K166" s="40"/>
      <c r="L166" s="4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2.75" customHeight="1">
      <c r="A167" s="20"/>
      <c r="B167" s="48"/>
      <c r="C167" s="25"/>
      <c r="D167" s="19"/>
      <c r="E167" s="19"/>
      <c r="F167" s="19"/>
      <c r="G167" s="40"/>
      <c r="H167" s="41"/>
      <c r="I167" s="40">
        <f t="shared" si="60"/>
        <v>24</v>
      </c>
      <c r="J167" s="41">
        <f t="shared" si="61"/>
        <v>1680</v>
      </c>
      <c r="K167" s="40"/>
      <c r="L167" s="4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2.75" customHeight="1">
      <c r="A168" s="20"/>
      <c r="B168" s="48"/>
      <c r="C168" s="25"/>
      <c r="D168" s="19"/>
      <c r="E168" s="19"/>
      <c r="F168" s="19"/>
      <c r="G168" s="40"/>
      <c r="H168" s="41"/>
      <c r="I168" s="40"/>
      <c r="J168" s="41"/>
      <c r="K168" s="40"/>
      <c r="L168" s="4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2.75" customHeight="1">
      <c r="A169" s="20"/>
      <c r="B169" s="48"/>
      <c r="C169" s="25"/>
      <c r="D169" s="19"/>
      <c r="E169" s="19"/>
      <c r="F169" s="19"/>
      <c r="G169" s="40"/>
      <c r="H169" s="41"/>
      <c r="I169" s="40"/>
      <c r="J169" s="41"/>
      <c r="K169" s="40"/>
      <c r="L169" s="4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2.75" customHeight="1">
      <c r="A170" s="20"/>
      <c r="B170" s="48"/>
      <c r="C170" s="25"/>
      <c r="D170" s="19"/>
      <c r="E170" s="19"/>
      <c r="F170" s="19"/>
      <c r="G170" s="40"/>
      <c r="H170" s="41"/>
      <c r="I170" s="40"/>
      <c r="J170" s="41"/>
      <c r="K170" s="40"/>
      <c r="L170" s="4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2.75" customHeight="1">
      <c r="A171" s="20"/>
      <c r="B171" s="48"/>
      <c r="C171" s="25"/>
      <c r="D171" s="19"/>
      <c r="E171" s="19"/>
      <c r="F171" s="19"/>
      <c r="G171" s="59">
        <f t="shared" ref="G171:P171" si="62">SUM(G120:G170)</f>
        <v>106</v>
      </c>
      <c r="H171" s="60">
        <f t="shared" si="62"/>
        <v>7190</v>
      </c>
      <c r="I171" s="59">
        <f t="shared" si="62"/>
        <v>112</v>
      </c>
      <c r="J171" s="60">
        <f t="shared" si="62"/>
        <v>7670</v>
      </c>
      <c r="K171" s="59">
        <f t="shared" si="62"/>
        <v>60</v>
      </c>
      <c r="L171" s="60">
        <f t="shared" si="62"/>
        <v>4525</v>
      </c>
      <c r="M171" s="7">
        <f t="shared" si="62"/>
        <v>16</v>
      </c>
      <c r="N171" s="7">
        <f t="shared" si="62"/>
        <v>18</v>
      </c>
      <c r="O171" s="7">
        <f t="shared" si="62"/>
        <v>36</v>
      </c>
      <c r="P171" s="7">
        <f t="shared" si="62"/>
        <v>36</v>
      </c>
      <c r="Q171" s="4"/>
      <c r="R171" s="7">
        <f t="shared" ref="R171:U171" si="63">SUM(R124:R170)</f>
        <v>21</v>
      </c>
      <c r="S171" s="7">
        <f t="shared" si="63"/>
        <v>18</v>
      </c>
      <c r="T171" s="7">
        <f t="shared" si="63"/>
        <v>33</v>
      </c>
      <c r="U171" s="7">
        <f t="shared" si="63"/>
        <v>40</v>
      </c>
      <c r="V171" s="4"/>
      <c r="W171" s="7">
        <f t="shared" ref="W171:Z171" si="64">SUM(W138:W170)</f>
        <v>4</v>
      </c>
      <c r="X171" s="7">
        <f t="shared" si="64"/>
        <v>9</v>
      </c>
      <c r="Y171" s="7">
        <f t="shared" si="64"/>
        <v>16</v>
      </c>
      <c r="Z171" s="7">
        <f t="shared" si="64"/>
        <v>31</v>
      </c>
      <c r="AA171" s="4"/>
      <c r="AB171" s="4"/>
    </row>
    <row r="172" ht="12.75" customHeight="1">
      <c r="A172" s="20"/>
      <c r="B172" s="48"/>
      <c r="C172" s="25"/>
      <c r="D172" s="19"/>
      <c r="E172" s="19"/>
      <c r="F172" s="19"/>
      <c r="G172" s="40"/>
      <c r="H172" s="41"/>
      <c r="I172" s="40"/>
      <c r="J172" s="41"/>
      <c r="K172" s="40"/>
      <c r="L172" s="42"/>
      <c r="M172" s="4" t="s">
        <v>28</v>
      </c>
      <c r="N172" s="4" t="s">
        <v>29</v>
      </c>
      <c r="O172" s="4" t="s">
        <v>30</v>
      </c>
      <c r="P172" s="4" t="s">
        <v>31</v>
      </c>
      <c r="Q172" s="4" t="s">
        <v>32</v>
      </c>
      <c r="R172" s="4" t="s">
        <v>28</v>
      </c>
      <c r="S172" s="4" t="s">
        <v>29</v>
      </c>
      <c r="T172" s="4" t="s">
        <v>30</v>
      </c>
      <c r="U172" s="4" t="s">
        <v>31</v>
      </c>
      <c r="V172" s="4" t="s">
        <v>32</v>
      </c>
      <c r="W172" s="4" t="s">
        <v>28</v>
      </c>
      <c r="X172" s="4" t="s">
        <v>29</v>
      </c>
      <c r="Y172" s="4" t="s">
        <v>30</v>
      </c>
      <c r="Z172" s="4" t="s">
        <v>31</v>
      </c>
      <c r="AA172" s="4" t="s">
        <v>32</v>
      </c>
      <c r="AB172" s="4"/>
    </row>
    <row r="173" ht="12.75" customHeight="1">
      <c r="A173" s="20"/>
      <c r="B173" s="48"/>
      <c r="C173" s="25"/>
      <c r="D173" s="19"/>
      <c r="E173" s="19"/>
      <c r="F173" s="19"/>
      <c r="G173" s="40"/>
      <c r="H173" s="41"/>
      <c r="I173" s="40"/>
      <c r="J173" s="41"/>
      <c r="K173" s="40"/>
      <c r="L173" s="4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2.75" customHeight="1">
      <c r="A174" s="20"/>
      <c r="B174" s="48"/>
      <c r="C174" s="25"/>
      <c r="D174" s="19"/>
      <c r="E174" s="19"/>
      <c r="F174" s="19"/>
      <c r="G174" s="40">
        <f t="shared" ref="G174:G179" si="65">AT7*AU7</f>
        <v>5</v>
      </c>
      <c r="H174" s="41">
        <f t="shared" ref="H174:H179" si="66">AV7*G174</f>
        <v>250</v>
      </c>
      <c r="I174" s="40"/>
      <c r="J174" s="41"/>
      <c r="K174" s="40"/>
      <c r="L174" s="42"/>
      <c r="M174" s="7">
        <f>G174</f>
        <v>5</v>
      </c>
      <c r="N174" s="4">
        <f>AT8</f>
        <v>4</v>
      </c>
      <c r="O174" s="7">
        <f>G176</f>
        <v>6</v>
      </c>
      <c r="P174" s="7">
        <f>G177+G178</f>
        <v>10</v>
      </c>
      <c r="Q174" s="7">
        <f>G179</f>
        <v>2</v>
      </c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2.75" customHeight="1">
      <c r="A175" s="20"/>
      <c r="B175" s="48"/>
      <c r="C175" s="25"/>
      <c r="D175" s="19"/>
      <c r="E175" s="19"/>
      <c r="F175" s="19"/>
      <c r="G175" s="40">
        <f t="shared" si="65"/>
        <v>4</v>
      </c>
      <c r="H175" s="41">
        <f t="shared" si="66"/>
        <v>240</v>
      </c>
      <c r="I175" s="40"/>
      <c r="J175" s="41"/>
      <c r="K175" s="40"/>
      <c r="L175" s="4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2.75" customHeight="1">
      <c r="A176" s="20"/>
      <c r="B176" s="48"/>
      <c r="C176" s="25"/>
      <c r="D176" s="19"/>
      <c r="E176" s="19"/>
      <c r="F176" s="19"/>
      <c r="G176" s="40">
        <f t="shared" si="65"/>
        <v>6</v>
      </c>
      <c r="H176" s="41">
        <f t="shared" si="66"/>
        <v>420</v>
      </c>
      <c r="I176" s="40"/>
      <c r="J176" s="41"/>
      <c r="K176" s="40"/>
      <c r="L176" s="4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2.75" customHeight="1">
      <c r="A177" s="20"/>
      <c r="B177" s="48"/>
      <c r="C177" s="25"/>
      <c r="D177" s="19"/>
      <c r="E177" s="19"/>
      <c r="F177" s="19"/>
      <c r="G177" s="40">
        <f t="shared" si="65"/>
        <v>6</v>
      </c>
      <c r="H177" s="41">
        <f t="shared" si="66"/>
        <v>480</v>
      </c>
      <c r="I177" s="40"/>
      <c r="J177" s="41"/>
      <c r="K177" s="40"/>
      <c r="L177" s="4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2.75" customHeight="1">
      <c r="A178" s="20"/>
      <c r="B178" s="48"/>
      <c r="C178" s="25"/>
      <c r="D178" s="19"/>
      <c r="E178" s="19"/>
      <c r="F178" s="19"/>
      <c r="G178" s="40">
        <f t="shared" si="65"/>
        <v>4</v>
      </c>
      <c r="H178" s="41">
        <f t="shared" si="66"/>
        <v>340</v>
      </c>
      <c r="I178" s="40"/>
      <c r="J178" s="41"/>
      <c r="K178" s="40"/>
      <c r="L178" s="4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2.75" customHeight="1">
      <c r="A179" s="20"/>
      <c r="B179" s="48"/>
      <c r="C179" s="25"/>
      <c r="D179" s="19"/>
      <c r="E179" s="19"/>
      <c r="F179" s="19"/>
      <c r="G179" s="40">
        <f t="shared" si="65"/>
        <v>2</v>
      </c>
      <c r="H179" s="41">
        <f t="shared" si="66"/>
        <v>180</v>
      </c>
      <c r="I179" s="40"/>
      <c r="J179" s="41"/>
      <c r="K179" s="40"/>
      <c r="L179" s="4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2.75" customHeight="1">
      <c r="A180" s="20"/>
      <c r="B180" s="48"/>
      <c r="C180" s="25"/>
      <c r="D180" s="19"/>
      <c r="E180" s="19"/>
      <c r="F180" s="19"/>
      <c r="G180" s="40"/>
      <c r="H180" s="41"/>
      <c r="I180" s="40">
        <f t="shared" ref="I180:I183" si="67">AT13*AU13</f>
        <v>5</v>
      </c>
      <c r="J180" s="41">
        <f t="shared" ref="J180:J183" si="68">AV13*I180</f>
        <v>250</v>
      </c>
      <c r="K180" s="40"/>
      <c r="L180" s="42"/>
      <c r="M180" s="4"/>
      <c r="N180" s="4"/>
      <c r="O180" s="4"/>
      <c r="P180" s="4"/>
      <c r="Q180" s="4"/>
      <c r="R180" s="7">
        <f>I180</f>
        <v>5</v>
      </c>
      <c r="S180" s="7">
        <f>I181</f>
        <v>4</v>
      </c>
      <c r="T180" s="7">
        <f>I182</f>
        <v>3</v>
      </c>
      <c r="U180" s="7">
        <f>I183</f>
        <v>10</v>
      </c>
      <c r="V180" s="4"/>
      <c r="W180" s="4"/>
      <c r="X180" s="4"/>
      <c r="Y180" s="4"/>
      <c r="Z180" s="4"/>
      <c r="AA180" s="4"/>
      <c r="AB180" s="4"/>
    </row>
    <row r="181" ht="12.75" customHeight="1">
      <c r="A181" s="20"/>
      <c r="B181" s="48"/>
      <c r="C181" s="25"/>
      <c r="D181" s="19"/>
      <c r="E181" s="19"/>
      <c r="F181" s="19"/>
      <c r="G181" s="40"/>
      <c r="H181" s="41"/>
      <c r="I181" s="40">
        <f t="shared" si="67"/>
        <v>4</v>
      </c>
      <c r="J181" s="41">
        <f t="shared" si="68"/>
        <v>240</v>
      </c>
      <c r="K181" s="40"/>
      <c r="L181" s="4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2.75" customHeight="1">
      <c r="A182" s="20"/>
      <c r="B182" s="48"/>
      <c r="C182" s="25"/>
      <c r="D182" s="19"/>
      <c r="E182" s="19"/>
      <c r="F182" s="19"/>
      <c r="G182" s="40"/>
      <c r="H182" s="41"/>
      <c r="I182" s="40">
        <f t="shared" si="67"/>
        <v>3</v>
      </c>
      <c r="J182" s="41">
        <f t="shared" si="68"/>
        <v>210</v>
      </c>
      <c r="K182" s="40"/>
      <c r="L182" s="4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2.75" customHeight="1">
      <c r="A183" s="20"/>
      <c r="B183" s="48"/>
      <c r="C183" s="25"/>
      <c r="D183" s="19"/>
      <c r="E183" s="19"/>
      <c r="F183" s="19"/>
      <c r="G183" s="40"/>
      <c r="H183" s="41"/>
      <c r="I183" s="40">
        <f t="shared" si="67"/>
        <v>10</v>
      </c>
      <c r="J183" s="41">
        <f t="shared" si="68"/>
        <v>800</v>
      </c>
      <c r="K183" s="40"/>
      <c r="L183" s="4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2.75" customHeight="1">
      <c r="A184" s="20"/>
      <c r="B184" s="48"/>
      <c r="C184" s="25"/>
      <c r="D184" s="19"/>
      <c r="E184" s="19"/>
      <c r="F184" s="19"/>
      <c r="G184" s="40"/>
      <c r="H184" s="41"/>
      <c r="I184" s="40"/>
      <c r="J184" s="41"/>
      <c r="K184" s="40"/>
      <c r="L184" s="4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2.75" customHeight="1">
      <c r="A185" s="20"/>
      <c r="B185" s="48"/>
      <c r="C185" s="25"/>
      <c r="D185" s="19"/>
      <c r="E185" s="19"/>
      <c r="F185" s="19"/>
      <c r="G185" s="40"/>
      <c r="H185" s="41"/>
      <c r="I185" s="40"/>
      <c r="J185" s="41"/>
      <c r="K185" s="40"/>
      <c r="L185" s="4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2.75" customHeight="1">
      <c r="A186" s="20"/>
      <c r="B186" s="48"/>
      <c r="C186" s="25"/>
      <c r="D186" s="19"/>
      <c r="E186" s="19"/>
      <c r="F186" s="19"/>
      <c r="G186" s="40">
        <f t="shared" ref="G186:G189" si="69">AT19*AU19</f>
        <v>5</v>
      </c>
      <c r="H186" s="41">
        <f t="shared" ref="H186:H189" si="70">AV19*G186</f>
        <v>250</v>
      </c>
      <c r="I186" s="40"/>
      <c r="J186" s="41"/>
      <c r="K186" s="40"/>
      <c r="L186" s="42"/>
      <c r="M186" s="7">
        <f>G186</f>
        <v>5</v>
      </c>
      <c r="N186" s="7">
        <f>G187</f>
        <v>4</v>
      </c>
      <c r="O186" s="7">
        <f>G188</f>
        <v>6</v>
      </c>
      <c r="P186" s="7">
        <f>G189</f>
        <v>8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2.75" customHeight="1">
      <c r="A187" s="20"/>
      <c r="B187" s="48"/>
      <c r="C187" s="25"/>
      <c r="D187" s="19"/>
      <c r="E187" s="19"/>
      <c r="F187" s="19"/>
      <c r="G187" s="40">
        <f t="shared" si="69"/>
        <v>4</v>
      </c>
      <c r="H187" s="41">
        <f t="shared" si="70"/>
        <v>240</v>
      </c>
      <c r="I187" s="40"/>
      <c r="J187" s="41"/>
      <c r="K187" s="40"/>
      <c r="L187" s="4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2.75" customHeight="1">
      <c r="A188" s="20"/>
      <c r="B188" s="48"/>
      <c r="C188" s="25"/>
      <c r="D188" s="19"/>
      <c r="E188" s="19"/>
      <c r="F188" s="19"/>
      <c r="G188" s="40">
        <f t="shared" si="69"/>
        <v>6</v>
      </c>
      <c r="H188" s="41">
        <f t="shared" si="70"/>
        <v>420</v>
      </c>
      <c r="I188" s="40"/>
      <c r="J188" s="41"/>
      <c r="K188" s="40"/>
      <c r="L188" s="4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2.75" customHeight="1">
      <c r="A189" s="20"/>
      <c r="B189" s="48"/>
      <c r="C189" s="25"/>
      <c r="D189" s="19"/>
      <c r="E189" s="19"/>
      <c r="F189" s="19"/>
      <c r="G189" s="40">
        <f t="shared" si="69"/>
        <v>8</v>
      </c>
      <c r="H189" s="41">
        <f t="shared" si="70"/>
        <v>640</v>
      </c>
      <c r="I189" s="40"/>
      <c r="J189" s="41"/>
      <c r="K189" s="40"/>
      <c r="L189" s="4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2.75" customHeight="1">
      <c r="A190" s="20"/>
      <c r="B190" s="48"/>
      <c r="C190" s="25"/>
      <c r="D190" s="19"/>
      <c r="E190" s="19"/>
      <c r="F190" s="19"/>
      <c r="G190" s="40"/>
      <c r="H190" s="41"/>
      <c r="I190" s="40"/>
      <c r="J190" s="41"/>
      <c r="K190" s="40"/>
      <c r="L190" s="4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2.75" customHeight="1">
      <c r="A191" s="20"/>
      <c r="B191" s="48"/>
      <c r="C191" s="25"/>
      <c r="D191" s="19"/>
      <c r="E191" s="19"/>
      <c r="F191" s="19"/>
      <c r="G191" s="40"/>
      <c r="H191" s="41"/>
      <c r="I191" s="40"/>
      <c r="J191" s="41"/>
      <c r="K191" s="40"/>
      <c r="L191" s="4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2.75" customHeight="1">
      <c r="A192" s="20"/>
      <c r="B192" s="48"/>
      <c r="C192" s="25"/>
      <c r="D192" s="19"/>
      <c r="E192" s="19"/>
      <c r="F192" s="19"/>
      <c r="G192" s="40"/>
      <c r="H192" s="41"/>
      <c r="I192" s="40"/>
      <c r="J192" s="41"/>
      <c r="K192" s="40"/>
      <c r="L192" s="4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2.75" customHeight="1">
      <c r="A193" s="20"/>
      <c r="B193" s="48"/>
      <c r="C193" s="25"/>
      <c r="D193" s="19"/>
      <c r="E193" s="19"/>
      <c r="F193" s="19"/>
      <c r="G193" s="40"/>
      <c r="H193" s="41"/>
      <c r="I193" s="40">
        <f t="shared" ref="I193:I196" si="71">AT26*AU26</f>
        <v>5</v>
      </c>
      <c r="J193" s="41">
        <f t="shared" ref="J193:J196" si="72">AV26*I193</f>
        <v>275</v>
      </c>
      <c r="K193" s="40"/>
      <c r="L193" s="42"/>
      <c r="M193" s="4"/>
      <c r="N193" s="4"/>
      <c r="O193" s="4"/>
      <c r="P193" s="4"/>
      <c r="Q193" s="4"/>
      <c r="R193" s="7">
        <f>I193</f>
        <v>5</v>
      </c>
      <c r="S193" s="7">
        <f>I194</f>
        <v>4</v>
      </c>
      <c r="T193" s="7">
        <f>I195</f>
        <v>3</v>
      </c>
      <c r="U193" s="7">
        <f>I196</f>
        <v>8</v>
      </c>
      <c r="V193" s="4"/>
      <c r="W193" s="4"/>
      <c r="X193" s="4"/>
      <c r="Y193" s="4"/>
      <c r="Z193" s="4"/>
      <c r="AA193" s="4"/>
      <c r="AB193" s="4"/>
    </row>
    <row r="194" ht="12.75" customHeight="1">
      <c r="A194" s="20"/>
      <c r="B194" s="48"/>
      <c r="C194" s="25"/>
      <c r="D194" s="19"/>
      <c r="E194" s="19"/>
      <c r="F194" s="19"/>
      <c r="G194" s="40"/>
      <c r="H194" s="41"/>
      <c r="I194" s="40">
        <f t="shared" si="71"/>
        <v>4</v>
      </c>
      <c r="J194" s="41">
        <f t="shared" si="72"/>
        <v>260</v>
      </c>
      <c r="K194" s="40"/>
      <c r="L194" s="4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2.75" customHeight="1">
      <c r="A195" s="20"/>
      <c r="B195" s="48"/>
      <c r="C195" s="25"/>
      <c r="D195" s="19"/>
      <c r="E195" s="19"/>
      <c r="F195" s="19"/>
      <c r="G195" s="40"/>
      <c r="H195" s="41"/>
      <c r="I195" s="40">
        <f t="shared" si="71"/>
        <v>3</v>
      </c>
      <c r="J195" s="41">
        <f t="shared" si="72"/>
        <v>225</v>
      </c>
      <c r="K195" s="40"/>
      <c r="L195" s="4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2.75" customHeight="1">
      <c r="A196" s="20"/>
      <c r="B196" s="48"/>
      <c r="C196" s="25"/>
      <c r="D196" s="19"/>
      <c r="E196" s="19"/>
      <c r="F196" s="19"/>
      <c r="G196" s="40"/>
      <c r="H196" s="41"/>
      <c r="I196" s="40">
        <f t="shared" si="71"/>
        <v>8</v>
      </c>
      <c r="J196" s="41">
        <f t="shared" si="72"/>
        <v>680</v>
      </c>
      <c r="K196" s="40"/>
      <c r="L196" s="4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2.75" customHeight="1">
      <c r="A197" s="20"/>
      <c r="B197" s="48"/>
      <c r="C197" s="25"/>
      <c r="D197" s="19"/>
      <c r="E197" s="19"/>
      <c r="F197" s="19"/>
      <c r="G197" s="40"/>
      <c r="H197" s="41"/>
      <c r="I197" s="40"/>
      <c r="J197" s="41"/>
      <c r="K197" s="40">
        <f t="shared" ref="K197:K201" si="73">AT30*AU30</f>
        <v>4</v>
      </c>
      <c r="L197" s="42">
        <f t="shared" ref="L197:L201" si="74">AV30*K197</f>
        <v>200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7">
        <f>K197</f>
        <v>4</v>
      </c>
      <c r="X197" s="7">
        <f>K198</f>
        <v>4</v>
      </c>
      <c r="Y197" s="7">
        <f>K199</f>
        <v>6</v>
      </c>
      <c r="Z197" s="7">
        <f>K200+K201</f>
        <v>12</v>
      </c>
      <c r="AA197" s="4"/>
      <c r="AB197" s="4"/>
    </row>
    <row r="198" ht="12.75" customHeight="1">
      <c r="A198" s="20"/>
      <c r="B198" s="48"/>
      <c r="C198" s="25"/>
      <c r="D198" s="19"/>
      <c r="E198" s="19"/>
      <c r="F198" s="19"/>
      <c r="G198" s="40"/>
      <c r="H198" s="41"/>
      <c r="I198" s="40"/>
      <c r="J198" s="41"/>
      <c r="K198" s="40">
        <f t="shared" si="73"/>
        <v>4</v>
      </c>
      <c r="L198" s="42">
        <f t="shared" si="74"/>
        <v>240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2.75" customHeight="1">
      <c r="A199" s="20"/>
      <c r="B199" s="48"/>
      <c r="C199" s="25"/>
      <c r="D199" s="19"/>
      <c r="E199" s="19"/>
      <c r="F199" s="19"/>
      <c r="G199" s="40"/>
      <c r="H199" s="41"/>
      <c r="I199" s="40"/>
      <c r="J199" s="41"/>
      <c r="K199" s="40">
        <f t="shared" si="73"/>
        <v>6</v>
      </c>
      <c r="L199" s="42">
        <f t="shared" si="74"/>
        <v>420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2.75" customHeight="1">
      <c r="A200" s="20"/>
      <c r="B200" s="48"/>
      <c r="C200" s="25"/>
      <c r="D200" s="19"/>
      <c r="E200" s="19"/>
      <c r="F200" s="19"/>
      <c r="G200" s="40"/>
      <c r="H200" s="41"/>
      <c r="I200" s="40"/>
      <c r="J200" s="41"/>
      <c r="K200" s="40">
        <f t="shared" si="73"/>
        <v>6</v>
      </c>
      <c r="L200" s="42">
        <f t="shared" si="74"/>
        <v>480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2.75" customHeight="1">
      <c r="A201" s="20"/>
      <c r="B201" s="48"/>
      <c r="C201" s="25"/>
      <c r="D201" s="19"/>
      <c r="E201" s="19"/>
      <c r="F201" s="19"/>
      <c r="G201" s="40"/>
      <c r="H201" s="41"/>
      <c r="I201" s="40"/>
      <c r="J201" s="41"/>
      <c r="K201" s="40">
        <f t="shared" si="73"/>
        <v>6</v>
      </c>
      <c r="L201" s="42">
        <f t="shared" si="74"/>
        <v>510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2.75" customHeight="1">
      <c r="A202" s="20"/>
      <c r="B202" s="48"/>
      <c r="C202" s="25"/>
      <c r="D202" s="19"/>
      <c r="E202" s="19"/>
      <c r="F202" s="19"/>
      <c r="G202" s="40"/>
      <c r="H202" s="41"/>
      <c r="I202" s="40">
        <f t="shared" ref="I202:I205" si="75">AT35*AU35</f>
        <v>3</v>
      </c>
      <c r="J202" s="41">
        <f t="shared" ref="J202:J205" si="76">AV35*I202</f>
        <v>150</v>
      </c>
      <c r="K202" s="40"/>
      <c r="L202" s="42"/>
      <c r="M202" s="4"/>
      <c r="N202" s="4"/>
      <c r="O202" s="4"/>
      <c r="P202" s="4"/>
      <c r="Q202" s="4"/>
      <c r="R202" s="7">
        <f>I202</f>
        <v>3</v>
      </c>
      <c r="S202" s="7">
        <f>I203</f>
        <v>3</v>
      </c>
      <c r="T202" s="7">
        <f>I204</f>
        <v>3</v>
      </c>
      <c r="U202" s="7">
        <f>I205</f>
        <v>6</v>
      </c>
      <c r="V202" s="4"/>
      <c r="W202" s="4"/>
      <c r="X202" s="4"/>
      <c r="Y202" s="4"/>
      <c r="Z202" s="4"/>
      <c r="AA202" s="4"/>
      <c r="AB202" s="4"/>
    </row>
    <row r="203" ht="12.75" customHeight="1">
      <c r="A203" s="20"/>
      <c r="B203" s="48"/>
      <c r="C203" s="25"/>
      <c r="D203" s="19"/>
      <c r="E203" s="19"/>
      <c r="F203" s="19"/>
      <c r="G203" s="40"/>
      <c r="H203" s="41"/>
      <c r="I203" s="40">
        <f t="shared" si="75"/>
        <v>3</v>
      </c>
      <c r="J203" s="41">
        <f t="shared" si="76"/>
        <v>180</v>
      </c>
      <c r="K203" s="40"/>
      <c r="L203" s="4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2.75" customHeight="1">
      <c r="A204" s="20"/>
      <c r="B204" s="48"/>
      <c r="C204" s="25"/>
      <c r="D204" s="19"/>
      <c r="E204" s="19"/>
      <c r="F204" s="19"/>
      <c r="G204" s="40"/>
      <c r="H204" s="41"/>
      <c r="I204" s="40">
        <f t="shared" si="75"/>
        <v>3</v>
      </c>
      <c r="J204" s="41">
        <f t="shared" si="76"/>
        <v>210</v>
      </c>
      <c r="K204" s="40"/>
      <c r="L204" s="4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2.75" customHeight="1">
      <c r="A205" s="20"/>
      <c r="B205" s="48"/>
      <c r="C205" s="25"/>
      <c r="D205" s="19"/>
      <c r="E205" s="19"/>
      <c r="F205" s="19"/>
      <c r="G205" s="40"/>
      <c r="H205" s="41"/>
      <c r="I205" s="40">
        <f t="shared" si="75"/>
        <v>6</v>
      </c>
      <c r="J205" s="41">
        <f t="shared" si="76"/>
        <v>480</v>
      </c>
      <c r="K205" s="40"/>
      <c r="L205" s="4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2.75" customHeight="1">
      <c r="A206" s="4"/>
      <c r="B206" s="4"/>
      <c r="C206" s="4"/>
      <c r="D206" s="4"/>
      <c r="E206" s="4"/>
      <c r="F206" s="4"/>
      <c r="G206" s="40"/>
      <c r="H206" s="41"/>
      <c r="I206" s="40"/>
      <c r="J206" s="41"/>
      <c r="K206" s="40"/>
      <c r="L206" s="4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</row>
    <row r="207" ht="12.75" customHeight="1">
      <c r="A207" s="20"/>
      <c r="B207" s="48"/>
      <c r="C207" s="25"/>
      <c r="D207" s="19"/>
      <c r="E207" s="19"/>
      <c r="F207" s="19"/>
      <c r="G207" s="40"/>
      <c r="H207" s="41"/>
      <c r="I207" s="40"/>
      <c r="J207" s="41"/>
      <c r="K207" s="40"/>
      <c r="L207" s="4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2.75" customHeight="1">
      <c r="A208" s="20"/>
      <c r="B208" s="48"/>
      <c r="C208" s="25"/>
      <c r="D208" s="19"/>
      <c r="E208" s="19"/>
      <c r="F208" s="19"/>
      <c r="G208" s="40"/>
      <c r="H208" s="41"/>
      <c r="I208" s="40"/>
      <c r="J208" s="41"/>
      <c r="K208" s="40"/>
      <c r="L208" s="4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2.75" customHeight="1">
      <c r="A209" s="20"/>
      <c r="B209" s="48"/>
      <c r="C209" s="25"/>
      <c r="D209" s="19"/>
      <c r="E209" s="19"/>
      <c r="F209" s="19"/>
      <c r="G209" s="40"/>
      <c r="H209" s="41"/>
      <c r="I209" s="40"/>
      <c r="J209" s="41"/>
      <c r="K209" s="40"/>
      <c r="L209" s="4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2.75" customHeight="1">
      <c r="A210" s="20"/>
      <c r="B210" s="48"/>
      <c r="C210" s="25"/>
      <c r="D210" s="19"/>
      <c r="E210" s="19"/>
      <c r="F210" s="19"/>
      <c r="G210" s="40">
        <f t="shared" ref="G210:G213" si="77">AT43*AU43</f>
        <v>5</v>
      </c>
      <c r="H210" s="41">
        <f t="shared" ref="H210:H213" si="78">AV43*G210</f>
        <v>250</v>
      </c>
      <c r="I210" s="40"/>
      <c r="J210" s="41"/>
      <c r="K210" s="40"/>
      <c r="L210" s="42"/>
      <c r="M210" s="7">
        <f>G210</f>
        <v>5</v>
      </c>
      <c r="N210" s="7">
        <f>G211</f>
        <v>4</v>
      </c>
      <c r="O210" s="7">
        <f>G212</f>
        <v>6</v>
      </c>
      <c r="P210" s="7">
        <f>G213</f>
        <v>18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2.75" customHeight="1">
      <c r="A211" s="20"/>
      <c r="B211" s="48"/>
      <c r="C211" s="25"/>
      <c r="D211" s="19"/>
      <c r="E211" s="19"/>
      <c r="F211" s="19"/>
      <c r="G211" s="40">
        <f t="shared" si="77"/>
        <v>4</v>
      </c>
      <c r="H211" s="41">
        <f t="shared" si="78"/>
        <v>240</v>
      </c>
      <c r="I211" s="40"/>
      <c r="J211" s="41"/>
      <c r="K211" s="40"/>
      <c r="L211" s="4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2.75" customHeight="1">
      <c r="A212" s="20"/>
      <c r="B212" s="48"/>
      <c r="C212" s="25"/>
      <c r="D212" s="19"/>
      <c r="E212" s="19"/>
      <c r="F212" s="19"/>
      <c r="G212" s="40">
        <f t="shared" si="77"/>
        <v>6</v>
      </c>
      <c r="H212" s="41">
        <f t="shared" si="78"/>
        <v>420</v>
      </c>
      <c r="I212" s="40"/>
      <c r="J212" s="41"/>
      <c r="K212" s="40"/>
      <c r="L212" s="4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2.75" customHeight="1">
      <c r="A213" s="20"/>
      <c r="B213" s="48"/>
      <c r="C213" s="25"/>
      <c r="D213" s="19"/>
      <c r="E213" s="19"/>
      <c r="F213" s="19"/>
      <c r="G213" s="40">
        <f t="shared" si="77"/>
        <v>18</v>
      </c>
      <c r="H213" s="41">
        <f t="shared" si="78"/>
        <v>1440</v>
      </c>
      <c r="I213" s="40"/>
      <c r="J213" s="41"/>
      <c r="K213" s="40"/>
      <c r="L213" s="4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2.75" customHeight="1">
      <c r="A214" s="20"/>
      <c r="B214" s="48"/>
      <c r="C214" s="25"/>
      <c r="D214" s="19"/>
      <c r="E214" s="19"/>
      <c r="F214" s="19"/>
      <c r="G214" s="40"/>
      <c r="H214" s="41"/>
      <c r="I214" s="40">
        <f t="shared" ref="I214:I216" si="79">AT47*AU47</f>
        <v>4</v>
      </c>
      <c r="J214" s="41">
        <f t="shared" ref="J214:J216" si="80">AV47*I214</f>
        <v>220</v>
      </c>
      <c r="K214" s="40"/>
      <c r="L214" s="42"/>
      <c r="M214" s="4"/>
      <c r="N214" s="4"/>
      <c r="O214" s="4"/>
      <c r="P214" s="4"/>
      <c r="Q214" s="4"/>
      <c r="R214" s="7">
        <f>I214</f>
        <v>4</v>
      </c>
      <c r="S214" s="7">
        <f>I215</f>
        <v>4</v>
      </c>
      <c r="T214" s="7">
        <f>I216</f>
        <v>16</v>
      </c>
      <c r="U214" s="4"/>
      <c r="V214" s="4"/>
      <c r="W214" s="4"/>
      <c r="X214" s="4"/>
      <c r="Y214" s="4"/>
      <c r="Z214" s="4"/>
      <c r="AA214" s="4"/>
      <c r="AB214" s="4"/>
    </row>
    <row r="215" ht="12.75" customHeight="1">
      <c r="A215" s="20"/>
      <c r="B215" s="48"/>
      <c r="C215" s="25"/>
      <c r="D215" s="19"/>
      <c r="E215" s="19"/>
      <c r="F215" s="19"/>
      <c r="G215" s="40"/>
      <c r="H215" s="41"/>
      <c r="I215" s="40">
        <f t="shared" si="79"/>
        <v>4</v>
      </c>
      <c r="J215" s="41">
        <f t="shared" si="80"/>
        <v>260</v>
      </c>
      <c r="K215" s="40"/>
      <c r="L215" s="4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2.75" customHeight="1">
      <c r="A216" s="20"/>
      <c r="B216" s="48"/>
      <c r="C216" s="25"/>
      <c r="D216" s="19"/>
      <c r="E216" s="19"/>
      <c r="F216" s="19"/>
      <c r="G216" s="40"/>
      <c r="H216" s="41"/>
      <c r="I216" s="40">
        <f t="shared" si="79"/>
        <v>16</v>
      </c>
      <c r="J216" s="41">
        <f t="shared" si="80"/>
        <v>1200</v>
      </c>
      <c r="K216" s="40"/>
      <c r="L216" s="4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2.75" customHeight="1">
      <c r="A217" s="20"/>
      <c r="B217" s="48"/>
      <c r="C217" s="25"/>
      <c r="D217" s="19"/>
      <c r="E217" s="19"/>
      <c r="F217" s="19"/>
      <c r="G217" s="40"/>
      <c r="H217" s="41"/>
      <c r="I217" s="40"/>
      <c r="J217" s="41"/>
      <c r="K217" s="40"/>
      <c r="L217" s="4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2.75" customHeight="1">
      <c r="A218" s="20"/>
      <c r="B218" s="48"/>
      <c r="C218" s="25"/>
      <c r="D218" s="19"/>
      <c r="E218" s="19"/>
      <c r="F218" s="19"/>
      <c r="G218" s="40"/>
      <c r="H218" s="41"/>
      <c r="I218" s="40"/>
      <c r="J218" s="41"/>
      <c r="K218" s="40"/>
      <c r="L218" s="4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2.75" customHeight="1">
      <c r="A219" s="20"/>
      <c r="B219" s="48"/>
      <c r="C219" s="25"/>
      <c r="D219" s="19"/>
      <c r="E219" s="19"/>
      <c r="F219" s="19"/>
      <c r="G219" s="40"/>
      <c r="H219" s="41"/>
      <c r="I219" s="40"/>
      <c r="J219" s="41"/>
      <c r="K219" s="40"/>
      <c r="L219" s="4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2.75" customHeight="1">
      <c r="A220" s="20"/>
      <c r="B220" s="48"/>
      <c r="C220" s="25"/>
      <c r="D220" s="19"/>
      <c r="E220" s="19"/>
      <c r="F220" s="19"/>
      <c r="G220" s="40"/>
      <c r="H220" s="41"/>
      <c r="I220" s="40"/>
      <c r="J220" s="41"/>
      <c r="K220" s="40"/>
      <c r="L220" s="4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2.75" customHeight="1">
      <c r="A221" s="20"/>
      <c r="B221" s="48"/>
      <c r="C221" s="26"/>
      <c r="D221" s="18"/>
      <c r="E221" s="18"/>
      <c r="F221" s="18"/>
      <c r="G221" s="40"/>
      <c r="H221" s="41"/>
      <c r="I221" s="40"/>
      <c r="J221" s="41"/>
      <c r="K221" s="40"/>
      <c r="L221" s="4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2.75" customHeight="1">
      <c r="A222" s="20"/>
      <c r="B222" s="48"/>
      <c r="C222" s="25"/>
      <c r="D222" s="19"/>
      <c r="E222" s="19"/>
      <c r="F222" s="19"/>
      <c r="G222" s="18">
        <f t="shared" ref="G222:Q222" si="81">SUM(G174:G221)</f>
        <v>83</v>
      </c>
      <c r="H222" s="18">
        <f t="shared" si="81"/>
        <v>5810</v>
      </c>
      <c r="I222" s="18">
        <f t="shared" si="81"/>
        <v>81</v>
      </c>
      <c r="J222" s="18">
        <f t="shared" si="81"/>
        <v>5640</v>
      </c>
      <c r="K222" s="18">
        <f t="shared" si="81"/>
        <v>26</v>
      </c>
      <c r="L222" s="18">
        <f t="shared" si="81"/>
        <v>1850</v>
      </c>
      <c r="M222" s="7">
        <f t="shared" si="81"/>
        <v>15</v>
      </c>
      <c r="N222" s="18">
        <f t="shared" si="81"/>
        <v>12</v>
      </c>
      <c r="O222" s="7">
        <f t="shared" si="81"/>
        <v>18</v>
      </c>
      <c r="P222" s="7">
        <f t="shared" si="81"/>
        <v>36</v>
      </c>
      <c r="Q222" s="7">
        <f t="shared" si="81"/>
        <v>2</v>
      </c>
      <c r="R222" s="7">
        <f t="shared" ref="R222:U222" si="82">SUM(R180:R221)</f>
        <v>17</v>
      </c>
      <c r="S222" s="7">
        <f t="shared" si="82"/>
        <v>15</v>
      </c>
      <c r="T222" s="7">
        <f t="shared" si="82"/>
        <v>25</v>
      </c>
      <c r="U222" s="7">
        <f t="shared" si="82"/>
        <v>24</v>
      </c>
      <c r="V222" s="4"/>
      <c r="W222" s="7">
        <f t="shared" ref="W222:Z222" si="83">SUM(W197:W221)</f>
        <v>4</v>
      </c>
      <c r="X222" s="7">
        <f t="shared" si="83"/>
        <v>4</v>
      </c>
      <c r="Y222" s="7">
        <f t="shared" si="83"/>
        <v>6</v>
      </c>
      <c r="Z222" s="7">
        <f t="shared" si="83"/>
        <v>12</v>
      </c>
      <c r="AA222" s="4"/>
      <c r="AB222" s="4"/>
    </row>
    <row r="223" ht="12.75" customHeight="1">
      <c r="A223" s="20"/>
      <c r="B223" s="48"/>
      <c r="C223" s="25"/>
      <c r="D223" s="19"/>
      <c r="E223" s="19"/>
      <c r="F223" s="19"/>
      <c r="G223" s="19"/>
      <c r="H223" s="19"/>
      <c r="I223" s="19"/>
      <c r="J223" s="19"/>
      <c r="K223" s="19"/>
      <c r="L223" s="13"/>
      <c r="M223" s="4" t="s">
        <v>28</v>
      </c>
      <c r="N223" s="4" t="s">
        <v>29</v>
      </c>
      <c r="O223" s="4" t="s">
        <v>30</v>
      </c>
      <c r="P223" s="4" t="s">
        <v>31</v>
      </c>
      <c r="Q223" s="4" t="s">
        <v>32</v>
      </c>
      <c r="R223" s="4" t="s">
        <v>28</v>
      </c>
      <c r="S223" s="4" t="s">
        <v>29</v>
      </c>
      <c r="T223" s="4" t="s">
        <v>30</v>
      </c>
      <c r="U223" s="4" t="s">
        <v>31</v>
      </c>
      <c r="V223" s="4" t="s">
        <v>32</v>
      </c>
      <c r="W223" s="4" t="s">
        <v>28</v>
      </c>
      <c r="X223" s="4" t="s">
        <v>29</v>
      </c>
      <c r="Y223" s="4" t="s">
        <v>30</v>
      </c>
      <c r="Z223" s="4" t="s">
        <v>31</v>
      </c>
      <c r="AA223" s="4" t="s">
        <v>32</v>
      </c>
      <c r="AB223" s="4"/>
    </row>
    <row r="224" ht="12.75" customHeight="1">
      <c r="A224" s="20"/>
      <c r="B224" s="48"/>
      <c r="C224" s="25"/>
      <c r="D224" s="19"/>
      <c r="E224" s="19"/>
      <c r="F224" s="19"/>
      <c r="G224" s="19"/>
      <c r="H224" s="19"/>
      <c r="I224" s="19"/>
      <c r="J224" s="19"/>
      <c r="K224" s="19"/>
      <c r="L224" s="1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2.75" customHeight="1">
      <c r="A225" s="20"/>
      <c r="B225" s="48"/>
      <c r="C225" s="25"/>
      <c r="D225" s="19"/>
      <c r="E225" s="19"/>
      <c r="F225" s="19"/>
      <c r="G225" s="18">
        <f t="shared" ref="G225:L225" si="84">SUM(G222+G171+G117+G62)</f>
        <v>392</v>
      </c>
      <c r="H225" s="18">
        <f t="shared" si="84"/>
        <v>26680</v>
      </c>
      <c r="I225" s="18">
        <f t="shared" si="84"/>
        <v>389</v>
      </c>
      <c r="J225" s="18">
        <f t="shared" si="84"/>
        <v>26550</v>
      </c>
      <c r="K225" s="18">
        <f t="shared" si="84"/>
        <v>208</v>
      </c>
      <c r="L225" s="18">
        <f t="shared" si="84"/>
        <v>15035</v>
      </c>
      <c r="M225" s="7">
        <f t="shared" ref="M225:AA225" si="85">M222+M171+M117+M62</f>
        <v>66</v>
      </c>
      <c r="N225" s="7">
        <f t="shared" si="85"/>
        <v>73</v>
      </c>
      <c r="O225" s="7">
        <f t="shared" si="85"/>
        <v>134</v>
      </c>
      <c r="P225" s="7">
        <f t="shared" si="85"/>
        <v>114</v>
      </c>
      <c r="Q225" s="7">
        <f t="shared" si="85"/>
        <v>5</v>
      </c>
      <c r="R225" s="7">
        <f t="shared" si="85"/>
        <v>86</v>
      </c>
      <c r="S225" s="7">
        <f t="shared" si="85"/>
        <v>72</v>
      </c>
      <c r="T225" s="7">
        <f t="shared" si="85"/>
        <v>108</v>
      </c>
      <c r="U225" s="7">
        <f t="shared" si="85"/>
        <v>123</v>
      </c>
      <c r="V225" s="7">
        <f t="shared" si="85"/>
        <v>0</v>
      </c>
      <c r="W225" s="7">
        <f t="shared" si="85"/>
        <v>20</v>
      </c>
      <c r="X225" s="7">
        <f t="shared" si="85"/>
        <v>38</v>
      </c>
      <c r="Y225" s="7">
        <f t="shared" si="85"/>
        <v>60</v>
      </c>
      <c r="Z225" s="7">
        <f t="shared" si="85"/>
        <v>82</v>
      </c>
      <c r="AA225" s="7">
        <f t="shared" si="85"/>
        <v>8</v>
      </c>
      <c r="AB225" s="4"/>
    </row>
    <row r="226" ht="12.75" customHeight="1">
      <c r="A226" s="20"/>
      <c r="B226" s="48"/>
      <c r="C226" s="25"/>
      <c r="D226" s="19"/>
      <c r="E226" s="19"/>
      <c r="F226" s="19"/>
      <c r="G226" s="19"/>
      <c r="H226" s="19"/>
      <c r="I226" s="19"/>
      <c r="J226" s="19"/>
      <c r="K226" s="19"/>
      <c r="L226" s="1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2.75" customHeight="1">
      <c r="A227" s="20"/>
      <c r="B227" s="48"/>
      <c r="C227" s="25"/>
      <c r="D227" s="19"/>
      <c r="E227" s="19"/>
      <c r="F227" s="19"/>
      <c r="G227" s="19"/>
      <c r="H227" s="19"/>
      <c r="I227" s="19"/>
      <c r="J227" s="19"/>
      <c r="K227" s="19"/>
      <c r="L227" s="1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2.75" customHeight="1">
      <c r="A228" s="20"/>
      <c r="B228" s="48"/>
      <c r="C228" s="25"/>
      <c r="D228" s="19"/>
      <c r="E228" s="19"/>
      <c r="F228" s="19"/>
      <c r="G228" s="19"/>
      <c r="H228" s="19"/>
      <c r="I228" s="19"/>
      <c r="J228" s="19"/>
      <c r="K228" s="19"/>
      <c r="L228" s="1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2.75" customHeight="1">
      <c r="A229" s="20"/>
      <c r="B229" s="48"/>
      <c r="C229" s="25"/>
      <c r="D229" s="19"/>
      <c r="E229" s="19"/>
      <c r="F229" s="19"/>
      <c r="G229" s="19"/>
      <c r="H229" s="19"/>
      <c r="I229" s="19"/>
      <c r="J229" s="19"/>
      <c r="K229" s="19"/>
      <c r="L229" s="1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2.75" customHeight="1">
      <c r="A230" s="20"/>
      <c r="B230" s="48"/>
      <c r="C230" s="25"/>
      <c r="D230" s="19"/>
      <c r="E230" s="19"/>
      <c r="F230" s="19"/>
      <c r="G230" s="19"/>
      <c r="H230" s="19"/>
      <c r="I230" s="19"/>
      <c r="J230" s="19"/>
      <c r="K230" s="19"/>
      <c r="L230" s="1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2.75" customHeight="1">
      <c r="A231" s="20"/>
      <c r="B231" s="48"/>
      <c r="C231" s="25"/>
      <c r="D231" s="19"/>
      <c r="E231" s="19"/>
      <c r="F231" s="19"/>
      <c r="G231" s="19"/>
      <c r="H231" s="19"/>
      <c r="I231" s="19"/>
      <c r="J231" s="19"/>
      <c r="K231" s="19"/>
      <c r="L231" s="1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2.75" customHeight="1">
      <c r="A232" s="20"/>
      <c r="B232" s="48"/>
      <c r="C232" s="25"/>
      <c r="D232" s="19"/>
      <c r="E232" s="19"/>
      <c r="F232" s="19"/>
      <c r="G232" s="19"/>
      <c r="H232" s="19"/>
      <c r="I232" s="19"/>
      <c r="J232" s="19"/>
      <c r="K232" s="19"/>
      <c r="L232" s="1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2.75" customHeight="1">
      <c r="A233" s="20"/>
      <c r="B233" s="48"/>
      <c r="C233" s="25"/>
      <c r="D233" s="19"/>
      <c r="E233" s="19"/>
      <c r="F233" s="19"/>
      <c r="G233" s="19"/>
      <c r="H233" s="19"/>
      <c r="I233" s="19"/>
      <c r="J233" s="19"/>
      <c r="K233" s="19"/>
      <c r="L233" s="1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2.75" customHeight="1">
      <c r="A234" s="20"/>
      <c r="B234" s="48"/>
      <c r="C234" s="25"/>
      <c r="D234" s="19"/>
      <c r="E234" s="19"/>
      <c r="F234" s="19"/>
      <c r="G234" s="19"/>
      <c r="H234" s="19"/>
      <c r="I234" s="19"/>
      <c r="J234" s="19"/>
      <c r="K234" s="19"/>
      <c r="L234" s="1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2.75" customHeight="1">
      <c r="A235" s="20"/>
      <c r="B235" s="48"/>
      <c r="C235" s="25"/>
      <c r="D235" s="19"/>
      <c r="E235" s="19"/>
      <c r="F235" s="19"/>
      <c r="G235" s="19"/>
      <c r="H235" s="19"/>
      <c r="I235" s="19"/>
      <c r="J235" s="19"/>
      <c r="K235" s="19"/>
      <c r="L235" s="1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2.75" customHeight="1">
      <c r="A236" s="20"/>
      <c r="B236" s="48"/>
      <c r="C236" s="25"/>
      <c r="D236" s="19"/>
      <c r="E236" s="19"/>
      <c r="F236" s="19"/>
      <c r="G236" s="19"/>
      <c r="H236" s="19"/>
      <c r="I236" s="19"/>
      <c r="J236" s="19"/>
      <c r="K236" s="19"/>
      <c r="L236" s="1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2.75" customHeight="1">
      <c r="A237" s="20"/>
      <c r="B237" s="48"/>
      <c r="C237" s="25"/>
      <c r="D237" s="19"/>
      <c r="E237" s="19"/>
      <c r="F237" s="19"/>
      <c r="G237" s="19"/>
      <c r="H237" s="19"/>
      <c r="I237" s="19"/>
      <c r="J237" s="19"/>
      <c r="K237" s="19"/>
      <c r="L237" s="1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2.75" customHeight="1">
      <c r="A238" s="20"/>
      <c r="B238" s="48"/>
      <c r="C238" s="25"/>
      <c r="D238" s="19"/>
      <c r="E238" s="19"/>
      <c r="F238" s="19"/>
      <c r="G238" s="19"/>
      <c r="H238" s="19"/>
      <c r="I238" s="19"/>
      <c r="J238" s="19"/>
      <c r="K238" s="19"/>
      <c r="L238" s="1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2.75" customHeight="1">
      <c r="A239" s="20"/>
      <c r="B239" s="48"/>
      <c r="C239" s="25"/>
      <c r="D239" s="19"/>
      <c r="E239" s="19"/>
      <c r="F239" s="19"/>
      <c r="G239" s="19"/>
      <c r="H239" s="19"/>
      <c r="I239" s="19"/>
      <c r="J239" s="19"/>
      <c r="K239" s="19"/>
      <c r="L239" s="1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2.75" customHeight="1">
      <c r="A240" s="20"/>
      <c r="B240" s="48"/>
      <c r="C240" s="25"/>
      <c r="D240" s="19"/>
      <c r="E240" s="19"/>
      <c r="F240" s="19"/>
      <c r="G240" s="19"/>
      <c r="H240" s="19"/>
      <c r="I240" s="19"/>
      <c r="J240" s="19"/>
      <c r="K240" s="19"/>
      <c r="L240" s="1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2.75" customHeight="1">
      <c r="A241" s="20"/>
      <c r="B241" s="48"/>
      <c r="C241" s="25"/>
      <c r="D241" s="19"/>
      <c r="E241" s="19"/>
      <c r="F241" s="19"/>
      <c r="G241" s="19"/>
      <c r="H241" s="19"/>
      <c r="I241" s="19"/>
      <c r="J241" s="19"/>
      <c r="K241" s="19"/>
      <c r="L241" s="1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2.75" customHeight="1">
      <c r="A242" s="20"/>
      <c r="B242" s="48"/>
      <c r="C242" s="25"/>
      <c r="D242" s="19"/>
      <c r="E242" s="19"/>
      <c r="F242" s="19"/>
      <c r="G242" s="19"/>
      <c r="H242" s="19"/>
      <c r="I242" s="19"/>
      <c r="J242" s="19"/>
      <c r="K242" s="19"/>
      <c r="L242" s="1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2.75" customHeight="1">
      <c r="A243" s="20"/>
      <c r="B243" s="48"/>
      <c r="C243" s="25"/>
      <c r="D243" s="19"/>
      <c r="E243" s="19"/>
      <c r="F243" s="19"/>
      <c r="G243" s="19"/>
      <c r="H243" s="19"/>
      <c r="I243" s="19"/>
      <c r="J243" s="19"/>
      <c r="K243" s="19"/>
      <c r="L243" s="1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2.75" customHeight="1">
      <c r="A244" s="20"/>
      <c r="B244" s="48"/>
      <c r="C244" s="25"/>
      <c r="D244" s="19"/>
      <c r="E244" s="19"/>
      <c r="F244" s="19"/>
      <c r="G244" s="19"/>
      <c r="H244" s="19"/>
      <c r="I244" s="19"/>
      <c r="J244" s="19"/>
      <c r="K244" s="19"/>
      <c r="L244" s="1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2.75" customHeight="1">
      <c r="A245" s="20"/>
      <c r="B245" s="48"/>
      <c r="C245" s="25"/>
      <c r="D245" s="19"/>
      <c r="E245" s="19"/>
      <c r="F245" s="19"/>
      <c r="G245" s="19"/>
      <c r="H245" s="19"/>
      <c r="I245" s="19"/>
      <c r="J245" s="19"/>
      <c r="K245" s="19"/>
      <c r="L245" s="1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2.75" customHeight="1">
      <c r="A246" s="20"/>
      <c r="B246" s="48"/>
      <c r="C246" s="25"/>
      <c r="D246" s="19"/>
      <c r="E246" s="19"/>
      <c r="F246" s="19"/>
      <c r="G246" s="19"/>
      <c r="H246" s="19"/>
      <c r="I246" s="19"/>
      <c r="J246" s="19"/>
      <c r="K246" s="19"/>
      <c r="L246" s="1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2.75" customHeight="1">
      <c r="A247" s="20"/>
      <c r="B247" s="48"/>
      <c r="C247" s="25"/>
      <c r="D247" s="19"/>
      <c r="E247" s="19"/>
      <c r="F247" s="19"/>
      <c r="G247" s="19"/>
      <c r="H247" s="19"/>
      <c r="I247" s="19"/>
      <c r="J247" s="19"/>
      <c r="K247" s="19"/>
      <c r="L247" s="1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2.75" customHeight="1">
      <c r="A248" s="20"/>
      <c r="B248" s="48"/>
      <c r="C248" s="25"/>
      <c r="D248" s="19"/>
      <c r="E248" s="19"/>
      <c r="F248" s="19"/>
      <c r="G248" s="19"/>
      <c r="H248" s="19"/>
      <c r="I248" s="19"/>
      <c r="J248" s="19"/>
      <c r="K248" s="19"/>
      <c r="L248" s="1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2.75" customHeight="1">
      <c r="A249" s="20"/>
      <c r="B249" s="48"/>
      <c r="C249" s="25"/>
      <c r="D249" s="19"/>
      <c r="E249" s="19"/>
      <c r="F249" s="19"/>
      <c r="G249" s="19"/>
      <c r="H249" s="19"/>
      <c r="I249" s="19"/>
      <c r="J249" s="19"/>
      <c r="K249" s="19"/>
      <c r="L249" s="1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2.75" customHeight="1">
      <c r="A250" s="20"/>
      <c r="B250" s="48"/>
      <c r="C250" s="25"/>
      <c r="D250" s="19"/>
      <c r="E250" s="19"/>
      <c r="F250" s="19"/>
      <c r="G250" s="19"/>
      <c r="H250" s="19"/>
      <c r="I250" s="19"/>
      <c r="J250" s="19"/>
      <c r="K250" s="19"/>
      <c r="L250" s="1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2.75" customHeight="1">
      <c r="A251" s="20"/>
      <c r="B251" s="48"/>
      <c r="C251" s="25"/>
      <c r="D251" s="19"/>
      <c r="E251" s="19"/>
      <c r="F251" s="19"/>
      <c r="G251" s="19"/>
      <c r="H251" s="19"/>
      <c r="I251" s="19"/>
      <c r="J251" s="19"/>
      <c r="K251" s="19"/>
      <c r="L251" s="1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2.75" customHeight="1">
      <c r="A252" s="20"/>
      <c r="B252" s="48"/>
      <c r="C252" s="25"/>
      <c r="D252" s="19"/>
      <c r="E252" s="19"/>
      <c r="F252" s="19"/>
      <c r="G252" s="19"/>
      <c r="H252" s="19"/>
      <c r="I252" s="19"/>
      <c r="J252" s="19"/>
      <c r="K252" s="19"/>
      <c r="L252" s="1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2.75" customHeight="1">
      <c r="A253" s="20"/>
      <c r="B253" s="48"/>
      <c r="C253" s="25"/>
      <c r="D253" s="19"/>
      <c r="E253" s="19"/>
      <c r="F253" s="19"/>
      <c r="G253" s="19"/>
      <c r="H253" s="19"/>
      <c r="I253" s="19"/>
      <c r="J253" s="19"/>
      <c r="K253" s="19"/>
      <c r="L253" s="1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2.75" customHeight="1">
      <c r="A254" s="20"/>
      <c r="B254" s="48"/>
      <c r="C254" s="25"/>
      <c r="D254" s="19"/>
      <c r="E254" s="19"/>
      <c r="F254" s="19"/>
      <c r="G254" s="19"/>
      <c r="H254" s="19"/>
      <c r="I254" s="19"/>
      <c r="J254" s="19"/>
      <c r="K254" s="19"/>
      <c r="L254" s="1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2.75" customHeight="1">
      <c r="A255" s="20"/>
      <c r="B255" s="48"/>
      <c r="C255" s="25"/>
      <c r="D255" s="19"/>
      <c r="E255" s="19"/>
      <c r="F255" s="19"/>
      <c r="G255" s="19"/>
      <c r="H255" s="19"/>
      <c r="I255" s="19"/>
      <c r="J255" s="19"/>
      <c r="K255" s="19"/>
      <c r="L255" s="1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2.75" customHeight="1">
      <c r="A256" s="20"/>
      <c r="B256" s="48"/>
      <c r="C256" s="25"/>
      <c r="D256" s="19"/>
      <c r="E256" s="19"/>
      <c r="F256" s="19"/>
      <c r="G256" s="19"/>
      <c r="H256" s="19"/>
      <c r="I256" s="19"/>
      <c r="J256" s="19"/>
      <c r="K256" s="19"/>
      <c r="L256" s="1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2.75" customHeight="1">
      <c r="A257" s="20"/>
      <c r="B257" s="48"/>
      <c r="C257" s="25"/>
      <c r="D257" s="19"/>
      <c r="E257" s="19"/>
      <c r="F257" s="19"/>
      <c r="G257" s="19"/>
      <c r="H257" s="19"/>
      <c r="I257" s="19"/>
      <c r="J257" s="19"/>
      <c r="K257" s="19"/>
      <c r="L257" s="1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2.75" customHeight="1">
      <c r="A258" s="20"/>
      <c r="B258" s="48"/>
      <c r="C258" s="25"/>
      <c r="D258" s="19"/>
      <c r="E258" s="19"/>
      <c r="F258" s="19"/>
      <c r="G258" s="19"/>
      <c r="H258" s="19"/>
      <c r="I258" s="19"/>
      <c r="J258" s="19"/>
      <c r="K258" s="19"/>
      <c r="L258" s="1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2.75" customHeight="1">
      <c r="A259" s="20"/>
      <c r="B259" s="48"/>
      <c r="C259" s="25"/>
      <c r="D259" s="19"/>
      <c r="E259" s="19"/>
      <c r="F259" s="19"/>
      <c r="G259" s="19"/>
      <c r="H259" s="19"/>
      <c r="I259" s="19"/>
      <c r="J259" s="19"/>
      <c r="K259" s="19"/>
      <c r="L259" s="1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2.75" customHeight="1">
      <c r="A260" s="20"/>
      <c r="B260" s="48"/>
      <c r="C260" s="25"/>
      <c r="D260" s="19"/>
      <c r="E260" s="19"/>
      <c r="F260" s="19"/>
      <c r="G260" s="19"/>
      <c r="H260" s="19"/>
      <c r="I260" s="19"/>
      <c r="J260" s="19"/>
      <c r="K260" s="19"/>
      <c r="L260" s="1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2.75" customHeight="1">
      <c r="A261" s="20"/>
      <c r="B261" s="48"/>
      <c r="C261" s="25"/>
      <c r="D261" s="19"/>
      <c r="E261" s="19"/>
      <c r="F261" s="19"/>
      <c r="G261" s="19"/>
      <c r="H261" s="19"/>
      <c r="I261" s="19"/>
      <c r="J261" s="19"/>
      <c r="K261" s="19"/>
      <c r="L261" s="1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2.75" customHeight="1">
      <c r="A262" s="20"/>
      <c r="B262" s="48"/>
      <c r="C262" s="25"/>
      <c r="D262" s="19"/>
      <c r="E262" s="19"/>
      <c r="F262" s="19"/>
      <c r="G262" s="19"/>
      <c r="H262" s="19"/>
      <c r="I262" s="19"/>
      <c r="J262" s="19"/>
      <c r="K262" s="19"/>
      <c r="L262" s="1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2.75" customHeight="1">
      <c r="A263" s="20"/>
      <c r="B263" s="48"/>
      <c r="C263" s="25"/>
      <c r="D263" s="19"/>
      <c r="E263" s="19"/>
      <c r="F263" s="19"/>
      <c r="G263" s="19"/>
      <c r="H263" s="19"/>
      <c r="I263" s="19"/>
      <c r="J263" s="19"/>
      <c r="K263" s="19"/>
      <c r="L263" s="1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2.75" customHeight="1">
      <c r="A264" s="20"/>
      <c r="B264" s="48"/>
      <c r="C264" s="25"/>
      <c r="D264" s="19"/>
      <c r="E264" s="19"/>
      <c r="F264" s="19"/>
      <c r="G264" s="19"/>
      <c r="H264" s="19"/>
      <c r="I264" s="19"/>
      <c r="J264" s="19"/>
      <c r="K264" s="19"/>
      <c r="L264" s="1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2.75" customHeight="1">
      <c r="A265" s="20"/>
      <c r="B265" s="48"/>
      <c r="C265" s="25"/>
      <c r="D265" s="19"/>
      <c r="E265" s="19"/>
      <c r="F265" s="19"/>
      <c r="G265" s="19"/>
      <c r="H265" s="19"/>
      <c r="I265" s="19"/>
      <c r="J265" s="19"/>
      <c r="K265" s="19"/>
      <c r="L265" s="1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2.75" customHeight="1">
      <c r="A266" s="20"/>
      <c r="B266" s="48"/>
      <c r="C266" s="25"/>
      <c r="D266" s="19"/>
      <c r="E266" s="19"/>
      <c r="F266" s="19"/>
      <c r="G266" s="19"/>
      <c r="H266" s="19"/>
      <c r="I266" s="19"/>
      <c r="J266" s="19"/>
      <c r="K266" s="19"/>
      <c r="L266" s="1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2.75" customHeight="1">
      <c r="A267" s="20"/>
      <c r="B267" s="48"/>
      <c r="C267" s="25"/>
      <c r="D267" s="19"/>
      <c r="E267" s="19"/>
      <c r="F267" s="19"/>
      <c r="G267" s="19"/>
      <c r="H267" s="19"/>
      <c r="I267" s="19"/>
      <c r="J267" s="19"/>
      <c r="K267" s="19"/>
      <c r="L267" s="1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2.75" customHeight="1">
      <c r="A268" s="20"/>
      <c r="B268" s="48"/>
      <c r="C268" s="25"/>
      <c r="D268" s="19"/>
      <c r="E268" s="19"/>
      <c r="F268" s="19"/>
      <c r="G268" s="19"/>
      <c r="H268" s="19"/>
      <c r="I268" s="19"/>
      <c r="J268" s="19"/>
      <c r="K268" s="19"/>
      <c r="L268" s="1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2.75" customHeight="1">
      <c r="A269" s="20"/>
      <c r="B269" s="48"/>
      <c r="C269" s="25"/>
      <c r="D269" s="19"/>
      <c r="E269" s="19"/>
      <c r="F269" s="19"/>
      <c r="G269" s="19"/>
      <c r="H269" s="19"/>
      <c r="I269" s="19"/>
      <c r="J269" s="19"/>
      <c r="K269" s="19"/>
      <c r="L269" s="1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2.75" customHeight="1">
      <c r="A270" s="20"/>
      <c r="B270" s="48"/>
      <c r="C270" s="25"/>
      <c r="D270" s="19"/>
      <c r="E270" s="19"/>
      <c r="F270" s="19"/>
      <c r="G270" s="19"/>
      <c r="H270" s="19"/>
      <c r="I270" s="19"/>
      <c r="J270" s="19"/>
      <c r="K270" s="19"/>
      <c r="L270" s="1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2.75" customHeight="1">
      <c r="A271" s="20"/>
      <c r="B271" s="48"/>
      <c r="C271" s="25"/>
      <c r="D271" s="19"/>
      <c r="E271" s="19"/>
      <c r="F271" s="19"/>
      <c r="G271" s="19"/>
      <c r="H271" s="19"/>
      <c r="I271" s="19"/>
      <c r="J271" s="19"/>
      <c r="K271" s="19"/>
      <c r="L271" s="1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2.75" customHeight="1">
      <c r="A272" s="20"/>
      <c r="B272" s="48"/>
      <c r="C272" s="25"/>
      <c r="D272" s="19"/>
      <c r="E272" s="19"/>
      <c r="F272" s="19"/>
      <c r="G272" s="19"/>
      <c r="H272" s="19"/>
      <c r="I272" s="19"/>
      <c r="J272" s="19"/>
      <c r="K272" s="19"/>
      <c r="L272" s="1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2.75" customHeight="1">
      <c r="A273" s="20"/>
      <c r="B273" s="48"/>
      <c r="C273" s="25"/>
      <c r="D273" s="19"/>
      <c r="E273" s="19"/>
      <c r="F273" s="19"/>
      <c r="G273" s="19"/>
      <c r="H273" s="19"/>
      <c r="I273" s="19"/>
      <c r="J273" s="19"/>
      <c r="K273" s="19"/>
      <c r="L273" s="1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2.75" customHeight="1">
      <c r="A274" s="20"/>
      <c r="B274" s="48"/>
      <c r="C274" s="25"/>
      <c r="D274" s="19"/>
      <c r="E274" s="19"/>
      <c r="F274" s="19"/>
      <c r="G274" s="19"/>
      <c r="H274" s="19"/>
      <c r="I274" s="19"/>
      <c r="J274" s="19"/>
      <c r="K274" s="19"/>
      <c r="L274" s="1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2.75" customHeight="1">
      <c r="A275" s="20"/>
      <c r="B275" s="48"/>
      <c r="C275" s="25"/>
      <c r="D275" s="19"/>
      <c r="E275" s="19"/>
      <c r="F275" s="19"/>
      <c r="G275" s="19"/>
      <c r="H275" s="19"/>
      <c r="I275" s="19"/>
      <c r="J275" s="19"/>
      <c r="K275" s="19"/>
      <c r="L275" s="1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2.75" customHeight="1">
      <c r="A276" s="20"/>
      <c r="B276" s="48"/>
      <c r="C276" s="25"/>
      <c r="D276" s="19"/>
      <c r="E276" s="19"/>
      <c r="F276" s="19"/>
      <c r="G276" s="19"/>
      <c r="H276" s="19"/>
      <c r="I276" s="19"/>
      <c r="J276" s="19"/>
      <c r="K276" s="19"/>
      <c r="L276" s="1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2.75" customHeight="1">
      <c r="A277" s="20"/>
      <c r="B277" s="48"/>
      <c r="C277" s="25"/>
      <c r="D277" s="19"/>
      <c r="E277" s="19"/>
      <c r="F277" s="19"/>
      <c r="G277" s="19"/>
      <c r="H277" s="19"/>
      <c r="I277" s="19"/>
      <c r="J277" s="19"/>
      <c r="K277" s="19"/>
      <c r="L277" s="1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2.75" customHeight="1">
      <c r="A278" s="20"/>
      <c r="B278" s="48"/>
      <c r="C278" s="25"/>
      <c r="D278" s="19"/>
      <c r="E278" s="19"/>
      <c r="F278" s="19"/>
      <c r="G278" s="19"/>
      <c r="H278" s="19"/>
      <c r="I278" s="19"/>
      <c r="J278" s="19"/>
      <c r="K278" s="19"/>
      <c r="L278" s="1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2.75" customHeight="1">
      <c r="A279" s="20"/>
      <c r="B279" s="48"/>
      <c r="C279" s="25"/>
      <c r="D279" s="19"/>
      <c r="E279" s="19"/>
      <c r="F279" s="19"/>
      <c r="G279" s="19"/>
      <c r="H279" s="19"/>
      <c r="I279" s="19"/>
      <c r="J279" s="19"/>
      <c r="K279" s="19"/>
      <c r="L279" s="1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2.75" customHeight="1">
      <c r="A280" s="20"/>
      <c r="B280" s="48"/>
      <c r="C280" s="25"/>
      <c r="D280" s="19"/>
      <c r="E280" s="19"/>
      <c r="F280" s="19"/>
      <c r="G280" s="19"/>
      <c r="H280" s="19"/>
      <c r="I280" s="19"/>
      <c r="J280" s="19"/>
      <c r="K280" s="19"/>
      <c r="L280" s="1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2.75" customHeight="1">
      <c r="A281" s="20"/>
      <c r="B281" s="48"/>
      <c r="C281" s="25"/>
      <c r="D281" s="19"/>
      <c r="E281" s="19"/>
      <c r="F281" s="19"/>
      <c r="G281" s="19"/>
      <c r="H281" s="19"/>
      <c r="I281" s="19"/>
      <c r="J281" s="19"/>
      <c r="K281" s="19"/>
      <c r="L281" s="1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2.75" customHeight="1">
      <c r="A282" s="20"/>
      <c r="B282" s="48"/>
      <c r="C282" s="25"/>
      <c r="D282" s="19"/>
      <c r="E282" s="19"/>
      <c r="F282" s="19"/>
      <c r="G282" s="19"/>
      <c r="H282" s="19"/>
      <c r="I282" s="19"/>
      <c r="J282" s="19"/>
      <c r="K282" s="19"/>
      <c r="L282" s="1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2.75" customHeight="1">
      <c r="A283" s="20"/>
      <c r="B283" s="48"/>
      <c r="C283" s="25"/>
      <c r="D283" s="19"/>
      <c r="E283" s="19"/>
      <c r="F283" s="19"/>
      <c r="G283" s="19"/>
      <c r="H283" s="19"/>
      <c r="I283" s="19"/>
      <c r="J283" s="19"/>
      <c r="K283" s="19"/>
      <c r="L283" s="1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2.75" customHeight="1">
      <c r="A284" s="20"/>
      <c r="B284" s="48"/>
      <c r="C284" s="25"/>
      <c r="D284" s="19"/>
      <c r="E284" s="19"/>
      <c r="F284" s="19"/>
      <c r="G284" s="19"/>
      <c r="H284" s="19"/>
      <c r="I284" s="19"/>
      <c r="J284" s="19"/>
      <c r="K284" s="19"/>
      <c r="L284" s="1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2.75" customHeight="1">
      <c r="A285" s="20"/>
      <c r="B285" s="48"/>
      <c r="C285" s="25"/>
      <c r="D285" s="19"/>
      <c r="E285" s="19"/>
      <c r="F285" s="19"/>
      <c r="G285" s="19"/>
      <c r="H285" s="19"/>
      <c r="I285" s="19"/>
      <c r="J285" s="19"/>
      <c r="K285" s="19"/>
      <c r="L285" s="1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2.75" customHeight="1">
      <c r="A286" s="20"/>
      <c r="B286" s="48"/>
      <c r="C286" s="25"/>
      <c r="D286" s="19"/>
      <c r="E286" s="19"/>
      <c r="F286" s="19"/>
      <c r="G286" s="19"/>
      <c r="H286" s="19"/>
      <c r="I286" s="19"/>
      <c r="J286" s="19"/>
      <c r="K286" s="19"/>
      <c r="L286" s="1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2.75" customHeight="1">
      <c r="A287" s="20"/>
      <c r="B287" s="48"/>
      <c r="C287" s="25"/>
      <c r="D287" s="19"/>
      <c r="E287" s="19"/>
      <c r="F287" s="19"/>
      <c r="G287" s="19"/>
      <c r="H287" s="19"/>
      <c r="I287" s="19"/>
      <c r="J287" s="19"/>
      <c r="K287" s="19"/>
      <c r="L287" s="1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2.75" customHeight="1">
      <c r="A288" s="20"/>
      <c r="B288" s="48"/>
      <c r="C288" s="25"/>
      <c r="D288" s="19"/>
      <c r="E288" s="19"/>
      <c r="F288" s="19"/>
      <c r="G288" s="19"/>
      <c r="H288" s="19"/>
      <c r="I288" s="19"/>
      <c r="J288" s="19"/>
      <c r="K288" s="19"/>
      <c r="L288" s="1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2.75" customHeight="1">
      <c r="A289" s="20"/>
      <c r="B289" s="48"/>
      <c r="C289" s="25"/>
      <c r="D289" s="19"/>
      <c r="E289" s="19"/>
      <c r="F289" s="19"/>
      <c r="G289" s="19"/>
      <c r="H289" s="19"/>
      <c r="I289" s="19"/>
      <c r="J289" s="19"/>
      <c r="K289" s="19"/>
      <c r="L289" s="1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2.75" customHeight="1">
      <c r="A290" s="20"/>
      <c r="B290" s="48"/>
      <c r="C290" s="25"/>
      <c r="D290" s="19"/>
      <c r="E290" s="19"/>
      <c r="F290" s="19"/>
      <c r="G290" s="19"/>
      <c r="H290" s="19"/>
      <c r="I290" s="19"/>
      <c r="J290" s="19"/>
      <c r="K290" s="19"/>
      <c r="L290" s="1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2.75" customHeight="1">
      <c r="A291" s="20"/>
      <c r="B291" s="48"/>
      <c r="C291" s="25"/>
      <c r="D291" s="19"/>
      <c r="E291" s="19"/>
      <c r="F291" s="19"/>
      <c r="G291" s="19"/>
      <c r="H291" s="19"/>
      <c r="I291" s="19"/>
      <c r="J291" s="19"/>
      <c r="K291" s="19"/>
      <c r="L291" s="1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2.75" customHeight="1">
      <c r="A292" s="20"/>
      <c r="B292" s="48"/>
      <c r="C292" s="25"/>
      <c r="D292" s="19"/>
      <c r="E292" s="19"/>
      <c r="F292" s="19"/>
      <c r="G292" s="19"/>
      <c r="H292" s="19"/>
      <c r="I292" s="19"/>
      <c r="J292" s="19"/>
      <c r="K292" s="19"/>
      <c r="L292" s="1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2.75" customHeight="1">
      <c r="A293" s="20"/>
      <c r="B293" s="48"/>
      <c r="C293" s="25"/>
      <c r="D293" s="19"/>
      <c r="E293" s="19"/>
      <c r="F293" s="19"/>
      <c r="G293" s="19"/>
      <c r="H293" s="19"/>
      <c r="I293" s="19"/>
      <c r="J293" s="19"/>
      <c r="K293" s="19"/>
      <c r="L293" s="1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2.75" customHeight="1">
      <c r="A294" s="20"/>
      <c r="B294" s="48"/>
      <c r="C294" s="25"/>
      <c r="D294" s="19"/>
      <c r="E294" s="19"/>
      <c r="F294" s="19"/>
      <c r="G294" s="19"/>
      <c r="H294" s="19"/>
      <c r="I294" s="19"/>
      <c r="J294" s="19"/>
      <c r="K294" s="19"/>
      <c r="L294" s="1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2.75" customHeight="1">
      <c r="A295" s="20"/>
      <c r="B295" s="48"/>
      <c r="C295" s="25"/>
      <c r="D295" s="19"/>
      <c r="E295" s="19"/>
      <c r="F295" s="19"/>
      <c r="G295" s="19"/>
      <c r="H295" s="19"/>
      <c r="I295" s="19"/>
      <c r="J295" s="19"/>
      <c r="K295" s="19"/>
      <c r="L295" s="1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2.75" customHeight="1">
      <c r="A296" s="20"/>
      <c r="B296" s="48"/>
      <c r="C296" s="25"/>
      <c r="D296" s="19"/>
      <c r="E296" s="19"/>
      <c r="F296" s="19"/>
      <c r="G296" s="19"/>
      <c r="H296" s="19"/>
      <c r="I296" s="19"/>
      <c r="J296" s="19"/>
      <c r="K296" s="19"/>
      <c r="L296" s="1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2.75" customHeight="1">
      <c r="A297" s="20"/>
      <c r="B297" s="48"/>
      <c r="C297" s="25"/>
      <c r="D297" s="19"/>
      <c r="E297" s="19"/>
      <c r="F297" s="19"/>
      <c r="G297" s="19"/>
      <c r="H297" s="19"/>
      <c r="I297" s="19"/>
      <c r="J297" s="19"/>
      <c r="K297" s="19"/>
      <c r="L297" s="1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2.75" customHeight="1">
      <c r="A298" s="20"/>
      <c r="B298" s="48"/>
      <c r="C298" s="25"/>
      <c r="D298" s="19"/>
      <c r="E298" s="19"/>
      <c r="F298" s="19"/>
      <c r="G298" s="19"/>
      <c r="H298" s="19"/>
      <c r="I298" s="19"/>
      <c r="J298" s="19"/>
      <c r="K298" s="19"/>
      <c r="L298" s="1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2.75" customHeight="1">
      <c r="A299" s="20"/>
      <c r="B299" s="48"/>
      <c r="C299" s="25"/>
      <c r="D299" s="19"/>
      <c r="E299" s="19"/>
      <c r="F299" s="19"/>
      <c r="G299" s="19"/>
      <c r="H299" s="19"/>
      <c r="I299" s="19"/>
      <c r="J299" s="19"/>
      <c r="K299" s="19"/>
      <c r="L299" s="1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2.75" customHeight="1">
      <c r="A300" s="20"/>
      <c r="B300" s="48"/>
      <c r="C300" s="25"/>
      <c r="D300" s="19"/>
      <c r="E300" s="19"/>
      <c r="F300" s="19"/>
      <c r="G300" s="19"/>
      <c r="H300" s="19"/>
      <c r="I300" s="19"/>
      <c r="J300" s="19"/>
      <c r="K300" s="19"/>
      <c r="L300" s="1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2.75" customHeight="1">
      <c r="A301" s="20"/>
      <c r="B301" s="48"/>
      <c r="C301" s="25"/>
      <c r="D301" s="19"/>
      <c r="E301" s="19"/>
      <c r="F301" s="19"/>
      <c r="G301" s="19"/>
      <c r="H301" s="19"/>
      <c r="I301" s="19"/>
      <c r="J301" s="19"/>
      <c r="K301" s="19"/>
      <c r="L301" s="1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2.75" customHeight="1">
      <c r="A302" s="20"/>
      <c r="B302" s="48"/>
      <c r="C302" s="25"/>
      <c r="D302" s="19"/>
      <c r="E302" s="19"/>
      <c r="F302" s="19"/>
      <c r="G302" s="19"/>
      <c r="H302" s="19"/>
      <c r="I302" s="19"/>
      <c r="J302" s="19"/>
      <c r="K302" s="19"/>
      <c r="L302" s="1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2.75" customHeight="1">
      <c r="A303" s="20"/>
      <c r="B303" s="48"/>
      <c r="C303" s="25"/>
      <c r="D303" s="19"/>
      <c r="E303" s="19"/>
      <c r="F303" s="19"/>
      <c r="G303" s="19"/>
      <c r="H303" s="19"/>
      <c r="I303" s="19"/>
      <c r="J303" s="19"/>
      <c r="K303" s="19"/>
      <c r="L303" s="1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2.75" customHeight="1">
      <c r="A304" s="20"/>
      <c r="B304" s="48"/>
      <c r="C304" s="25"/>
      <c r="D304" s="19"/>
      <c r="E304" s="19"/>
      <c r="F304" s="19"/>
      <c r="G304" s="19"/>
      <c r="H304" s="19"/>
      <c r="I304" s="19"/>
      <c r="J304" s="19"/>
      <c r="K304" s="19"/>
      <c r="L304" s="1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2.75" customHeight="1">
      <c r="A305" s="20"/>
      <c r="B305" s="48"/>
      <c r="C305" s="25"/>
      <c r="D305" s="19"/>
      <c r="E305" s="19"/>
      <c r="F305" s="19"/>
      <c r="G305" s="19"/>
      <c r="H305" s="19"/>
      <c r="I305" s="19"/>
      <c r="J305" s="19"/>
      <c r="K305" s="19"/>
      <c r="L305" s="1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2.75" customHeight="1">
      <c r="A306" s="20"/>
      <c r="B306" s="48"/>
      <c r="C306" s="25"/>
      <c r="D306" s="19"/>
      <c r="E306" s="19"/>
      <c r="F306" s="19"/>
      <c r="G306" s="19"/>
      <c r="H306" s="19"/>
      <c r="I306" s="19"/>
      <c r="J306" s="19"/>
      <c r="K306" s="19"/>
      <c r="L306" s="1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2.75" customHeight="1">
      <c r="A307" s="20"/>
      <c r="B307" s="48"/>
      <c r="C307" s="25"/>
      <c r="D307" s="19"/>
      <c r="E307" s="19"/>
      <c r="F307" s="19"/>
      <c r="G307" s="19"/>
      <c r="H307" s="19"/>
      <c r="I307" s="19"/>
      <c r="J307" s="19"/>
      <c r="K307" s="19"/>
      <c r="L307" s="1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2.75" customHeight="1">
      <c r="A308" s="20"/>
      <c r="B308" s="48"/>
      <c r="C308" s="25"/>
      <c r="D308" s="19"/>
      <c r="E308" s="19"/>
      <c r="F308" s="19"/>
      <c r="G308" s="19"/>
      <c r="H308" s="19"/>
      <c r="I308" s="19"/>
      <c r="J308" s="19"/>
      <c r="K308" s="19"/>
      <c r="L308" s="1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2.75" customHeight="1">
      <c r="A309" s="20"/>
      <c r="B309" s="48"/>
      <c r="C309" s="25"/>
      <c r="D309" s="19"/>
      <c r="E309" s="19"/>
      <c r="F309" s="19"/>
      <c r="G309" s="19"/>
      <c r="H309" s="19"/>
      <c r="I309" s="19"/>
      <c r="J309" s="19"/>
      <c r="K309" s="19"/>
      <c r="L309" s="1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2.75" customHeight="1">
      <c r="A310" s="20"/>
      <c r="B310" s="48"/>
      <c r="C310" s="25"/>
      <c r="D310" s="19"/>
      <c r="E310" s="19"/>
      <c r="F310" s="19"/>
      <c r="G310" s="19"/>
      <c r="H310" s="19"/>
      <c r="I310" s="19"/>
      <c r="J310" s="19"/>
      <c r="K310" s="19"/>
      <c r="L310" s="1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2.75" customHeight="1">
      <c r="A311" s="20"/>
      <c r="B311" s="48"/>
      <c r="C311" s="25"/>
      <c r="D311" s="19"/>
      <c r="E311" s="19"/>
      <c r="F311" s="19"/>
      <c r="G311" s="19"/>
      <c r="H311" s="19"/>
      <c r="I311" s="19"/>
      <c r="J311" s="19"/>
      <c r="K311" s="19"/>
      <c r="L311" s="1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2.75" customHeight="1">
      <c r="A312" s="20"/>
      <c r="B312" s="48"/>
      <c r="C312" s="25"/>
      <c r="D312" s="19"/>
      <c r="E312" s="19"/>
      <c r="F312" s="19"/>
      <c r="G312" s="19"/>
      <c r="H312" s="19"/>
      <c r="I312" s="19"/>
      <c r="J312" s="19"/>
      <c r="K312" s="19"/>
      <c r="L312" s="1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2.75" customHeight="1">
      <c r="A313" s="20"/>
      <c r="B313" s="48"/>
      <c r="C313" s="25"/>
      <c r="D313" s="19"/>
      <c r="E313" s="19"/>
      <c r="F313" s="19"/>
      <c r="G313" s="19"/>
      <c r="H313" s="19"/>
      <c r="I313" s="19"/>
      <c r="J313" s="19"/>
      <c r="K313" s="19"/>
      <c r="L313" s="1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2.75" customHeight="1">
      <c r="A314" s="20"/>
      <c r="B314" s="48"/>
      <c r="C314" s="25"/>
      <c r="D314" s="19"/>
      <c r="E314" s="19"/>
      <c r="F314" s="19"/>
      <c r="G314" s="19"/>
      <c r="H314" s="19"/>
      <c r="I314" s="19"/>
      <c r="J314" s="19"/>
      <c r="K314" s="19"/>
      <c r="L314" s="1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2.75" customHeight="1">
      <c r="A315" s="20"/>
      <c r="B315" s="48"/>
      <c r="C315" s="25"/>
      <c r="D315" s="19"/>
      <c r="E315" s="19"/>
      <c r="F315" s="19"/>
      <c r="G315" s="19"/>
      <c r="H315" s="19"/>
      <c r="I315" s="19"/>
      <c r="J315" s="19"/>
      <c r="K315" s="19"/>
      <c r="L315" s="1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2.75" customHeight="1">
      <c r="A316" s="20"/>
      <c r="B316" s="48"/>
      <c r="C316" s="25"/>
      <c r="D316" s="19"/>
      <c r="E316" s="19"/>
      <c r="F316" s="19"/>
      <c r="G316" s="19"/>
      <c r="H316" s="19"/>
      <c r="I316" s="19"/>
      <c r="J316" s="19"/>
      <c r="K316" s="19"/>
      <c r="L316" s="1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2.75" customHeight="1">
      <c r="A317" s="20"/>
      <c r="B317" s="48"/>
      <c r="C317" s="25"/>
      <c r="D317" s="19"/>
      <c r="E317" s="19"/>
      <c r="F317" s="19"/>
      <c r="G317" s="19"/>
      <c r="H317" s="19"/>
      <c r="I317" s="19"/>
      <c r="J317" s="19"/>
      <c r="K317" s="19"/>
      <c r="L317" s="1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2.75" customHeight="1">
      <c r="A318" s="20"/>
      <c r="B318" s="48"/>
      <c r="C318" s="25"/>
      <c r="D318" s="19"/>
      <c r="E318" s="19"/>
      <c r="F318" s="19"/>
      <c r="G318" s="19"/>
      <c r="H318" s="19"/>
      <c r="I318" s="19"/>
      <c r="J318" s="19"/>
      <c r="K318" s="19"/>
      <c r="L318" s="1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2.75" customHeight="1">
      <c r="A319" s="20"/>
      <c r="B319" s="48"/>
      <c r="C319" s="25"/>
      <c r="D319" s="19"/>
      <c r="E319" s="19"/>
      <c r="F319" s="19"/>
      <c r="G319" s="19"/>
      <c r="H319" s="19"/>
      <c r="I319" s="19"/>
      <c r="J319" s="19"/>
      <c r="K319" s="19"/>
      <c r="L319" s="1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2.75" customHeight="1">
      <c r="A320" s="20"/>
      <c r="B320" s="48"/>
      <c r="C320" s="25"/>
      <c r="D320" s="19"/>
      <c r="E320" s="19"/>
      <c r="F320" s="19"/>
      <c r="G320" s="19"/>
      <c r="H320" s="19"/>
      <c r="I320" s="19"/>
      <c r="J320" s="19"/>
      <c r="K320" s="19"/>
      <c r="L320" s="1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2.75" customHeight="1">
      <c r="A321" s="20"/>
      <c r="B321" s="48"/>
      <c r="C321" s="25"/>
      <c r="D321" s="19"/>
      <c r="E321" s="19"/>
      <c r="F321" s="19"/>
      <c r="G321" s="19"/>
      <c r="H321" s="19"/>
      <c r="I321" s="19"/>
      <c r="J321" s="19"/>
      <c r="K321" s="19"/>
      <c r="L321" s="1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2.75" customHeight="1">
      <c r="A322" s="20"/>
      <c r="B322" s="48"/>
      <c r="C322" s="25"/>
      <c r="D322" s="19"/>
      <c r="E322" s="19"/>
      <c r="F322" s="19"/>
      <c r="G322" s="19"/>
      <c r="H322" s="19"/>
      <c r="I322" s="19"/>
      <c r="J322" s="19"/>
      <c r="K322" s="19"/>
      <c r="L322" s="1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2.75" customHeight="1">
      <c r="A323" s="20"/>
      <c r="B323" s="48"/>
      <c r="C323" s="25"/>
      <c r="D323" s="19"/>
      <c r="E323" s="19"/>
      <c r="F323" s="19"/>
      <c r="G323" s="19"/>
      <c r="H323" s="19"/>
      <c r="I323" s="19"/>
      <c r="J323" s="19"/>
      <c r="K323" s="19"/>
      <c r="L323" s="1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2.75" customHeight="1">
      <c r="A324" s="20"/>
      <c r="B324" s="48"/>
      <c r="C324" s="25"/>
      <c r="D324" s="19"/>
      <c r="E324" s="19"/>
      <c r="F324" s="19"/>
      <c r="G324" s="19"/>
      <c r="H324" s="19"/>
      <c r="I324" s="19"/>
      <c r="J324" s="19"/>
      <c r="K324" s="19"/>
      <c r="L324" s="1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2.75" customHeight="1">
      <c r="A325" s="20"/>
      <c r="B325" s="48"/>
      <c r="C325" s="25"/>
      <c r="D325" s="19"/>
      <c r="E325" s="19"/>
      <c r="F325" s="19"/>
      <c r="G325" s="19"/>
      <c r="H325" s="19"/>
      <c r="I325" s="19"/>
      <c r="J325" s="19"/>
      <c r="K325" s="19"/>
      <c r="L325" s="1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2.75" customHeight="1">
      <c r="A326" s="20"/>
      <c r="B326" s="48"/>
      <c r="C326" s="25"/>
      <c r="D326" s="19"/>
      <c r="E326" s="19"/>
      <c r="F326" s="19"/>
      <c r="G326" s="19"/>
      <c r="H326" s="19"/>
      <c r="I326" s="19"/>
      <c r="J326" s="19"/>
      <c r="K326" s="19"/>
      <c r="L326" s="1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2.75" customHeight="1">
      <c r="A327" s="20"/>
      <c r="B327" s="48"/>
      <c r="C327" s="25"/>
      <c r="D327" s="19"/>
      <c r="E327" s="19"/>
      <c r="F327" s="19"/>
      <c r="G327" s="19"/>
      <c r="H327" s="19"/>
      <c r="I327" s="19"/>
      <c r="J327" s="19"/>
      <c r="K327" s="19"/>
      <c r="L327" s="1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2.75" customHeight="1">
      <c r="A328" s="20"/>
      <c r="B328" s="48"/>
      <c r="C328" s="25"/>
      <c r="D328" s="19"/>
      <c r="E328" s="19"/>
      <c r="F328" s="19"/>
      <c r="G328" s="19"/>
      <c r="H328" s="19"/>
      <c r="I328" s="19"/>
      <c r="J328" s="19"/>
      <c r="K328" s="19"/>
      <c r="L328" s="1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2.75" customHeight="1">
      <c r="A329" s="20"/>
      <c r="B329" s="48"/>
      <c r="C329" s="25"/>
      <c r="D329" s="19"/>
      <c r="E329" s="19"/>
      <c r="F329" s="19"/>
      <c r="G329" s="19"/>
      <c r="H329" s="19"/>
      <c r="I329" s="19"/>
      <c r="J329" s="19"/>
      <c r="K329" s="19"/>
      <c r="L329" s="1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2.75" customHeight="1">
      <c r="A330" s="20"/>
      <c r="B330" s="48"/>
      <c r="C330" s="25"/>
      <c r="D330" s="19"/>
      <c r="E330" s="19"/>
      <c r="F330" s="19"/>
      <c r="G330" s="19"/>
      <c r="H330" s="19"/>
      <c r="I330" s="19"/>
      <c r="J330" s="19"/>
      <c r="K330" s="19"/>
      <c r="L330" s="1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2.75" customHeight="1">
      <c r="A331" s="20"/>
      <c r="B331" s="48"/>
      <c r="C331" s="25"/>
      <c r="D331" s="19"/>
      <c r="E331" s="19"/>
      <c r="F331" s="19"/>
      <c r="G331" s="19"/>
      <c r="H331" s="19"/>
      <c r="I331" s="19"/>
      <c r="J331" s="19"/>
      <c r="K331" s="19"/>
      <c r="L331" s="1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2.75" customHeight="1">
      <c r="A332" s="20"/>
      <c r="B332" s="48"/>
      <c r="C332" s="25"/>
      <c r="D332" s="19"/>
      <c r="E332" s="19"/>
      <c r="F332" s="19"/>
      <c r="G332" s="19"/>
      <c r="H332" s="19"/>
      <c r="I332" s="19"/>
      <c r="J332" s="19"/>
      <c r="K332" s="19"/>
      <c r="L332" s="1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2.75" customHeight="1">
      <c r="A333" s="20"/>
      <c r="B333" s="48"/>
      <c r="C333" s="25"/>
      <c r="D333" s="19"/>
      <c r="E333" s="19"/>
      <c r="F333" s="19"/>
      <c r="G333" s="19"/>
      <c r="H333" s="19"/>
      <c r="I333" s="19"/>
      <c r="J333" s="19"/>
      <c r="K333" s="19"/>
      <c r="L333" s="1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2.75" customHeight="1">
      <c r="A334" s="20"/>
      <c r="B334" s="48"/>
      <c r="C334" s="25"/>
      <c r="D334" s="19"/>
      <c r="E334" s="19"/>
      <c r="F334" s="19"/>
      <c r="G334" s="19"/>
      <c r="H334" s="19"/>
      <c r="I334" s="19"/>
      <c r="J334" s="19"/>
      <c r="K334" s="19"/>
      <c r="L334" s="1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2.75" customHeight="1">
      <c r="A335" s="20"/>
      <c r="B335" s="48"/>
      <c r="C335" s="25"/>
      <c r="D335" s="19"/>
      <c r="E335" s="19"/>
      <c r="F335" s="19"/>
      <c r="G335" s="19"/>
      <c r="H335" s="19"/>
      <c r="I335" s="19"/>
      <c r="J335" s="19"/>
      <c r="K335" s="19"/>
      <c r="L335" s="1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2.75" customHeight="1">
      <c r="A336" s="20"/>
      <c r="B336" s="48"/>
      <c r="C336" s="25"/>
      <c r="D336" s="19"/>
      <c r="E336" s="19"/>
      <c r="F336" s="19"/>
      <c r="G336" s="19"/>
      <c r="H336" s="19"/>
      <c r="I336" s="19"/>
      <c r="J336" s="19"/>
      <c r="K336" s="19"/>
      <c r="L336" s="1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2.75" customHeight="1">
      <c r="A337" s="20"/>
      <c r="B337" s="48"/>
      <c r="C337" s="25"/>
      <c r="D337" s="19"/>
      <c r="E337" s="19"/>
      <c r="F337" s="19"/>
      <c r="G337" s="19"/>
      <c r="H337" s="19"/>
      <c r="I337" s="19"/>
      <c r="J337" s="19"/>
      <c r="K337" s="19"/>
      <c r="L337" s="1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2.75" customHeight="1">
      <c r="A338" s="20"/>
      <c r="B338" s="48"/>
      <c r="C338" s="25"/>
      <c r="D338" s="19"/>
      <c r="E338" s="19"/>
      <c r="F338" s="19"/>
      <c r="G338" s="19"/>
      <c r="H338" s="19"/>
      <c r="I338" s="19"/>
      <c r="J338" s="19"/>
      <c r="K338" s="19"/>
      <c r="L338" s="1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2.75" customHeight="1">
      <c r="A339" s="20"/>
      <c r="B339" s="48"/>
      <c r="C339" s="25"/>
      <c r="D339" s="19"/>
      <c r="E339" s="19"/>
      <c r="F339" s="19"/>
      <c r="G339" s="19"/>
      <c r="H339" s="19"/>
      <c r="I339" s="19"/>
      <c r="J339" s="19"/>
      <c r="K339" s="19"/>
      <c r="L339" s="1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2.75" customHeight="1">
      <c r="A340" s="20"/>
      <c r="B340" s="48"/>
      <c r="C340" s="25"/>
      <c r="D340" s="19"/>
      <c r="E340" s="19"/>
      <c r="F340" s="19"/>
      <c r="G340" s="19"/>
      <c r="H340" s="19"/>
      <c r="I340" s="19"/>
      <c r="J340" s="19"/>
      <c r="K340" s="19"/>
      <c r="L340" s="1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2.75" customHeight="1">
      <c r="A341" s="20"/>
      <c r="B341" s="48"/>
      <c r="C341" s="25"/>
      <c r="D341" s="19"/>
      <c r="E341" s="19"/>
      <c r="F341" s="19"/>
      <c r="G341" s="19"/>
      <c r="H341" s="19"/>
      <c r="I341" s="19"/>
      <c r="J341" s="19"/>
      <c r="K341" s="19"/>
      <c r="L341" s="1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2.75" customHeight="1">
      <c r="A342" s="20"/>
      <c r="B342" s="48"/>
      <c r="C342" s="25"/>
      <c r="D342" s="19"/>
      <c r="E342" s="19"/>
      <c r="F342" s="19"/>
      <c r="G342" s="19"/>
      <c r="H342" s="19"/>
      <c r="I342" s="19"/>
      <c r="J342" s="19"/>
      <c r="K342" s="19"/>
      <c r="L342" s="1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2.75" customHeight="1">
      <c r="A343" s="20"/>
      <c r="B343" s="48"/>
      <c r="C343" s="25"/>
      <c r="D343" s="19"/>
      <c r="E343" s="19"/>
      <c r="F343" s="19"/>
      <c r="G343" s="19"/>
      <c r="H343" s="19"/>
      <c r="I343" s="19"/>
      <c r="J343" s="19"/>
      <c r="K343" s="19"/>
      <c r="L343" s="1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2.75" customHeight="1">
      <c r="A344" s="20"/>
      <c r="B344" s="48"/>
      <c r="C344" s="25"/>
      <c r="D344" s="19"/>
      <c r="E344" s="19"/>
      <c r="F344" s="19"/>
      <c r="G344" s="19"/>
      <c r="H344" s="19"/>
      <c r="I344" s="19"/>
      <c r="J344" s="19"/>
      <c r="K344" s="19"/>
      <c r="L344" s="1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2.75" customHeight="1">
      <c r="A345" s="20"/>
      <c r="B345" s="48"/>
      <c r="C345" s="25"/>
      <c r="D345" s="19"/>
      <c r="E345" s="19"/>
      <c r="F345" s="19"/>
      <c r="G345" s="19"/>
      <c r="H345" s="19"/>
      <c r="I345" s="19"/>
      <c r="J345" s="19"/>
      <c r="K345" s="19"/>
      <c r="L345" s="1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2.75" customHeight="1">
      <c r="A346" s="20"/>
      <c r="B346" s="48"/>
      <c r="C346" s="25"/>
      <c r="D346" s="19"/>
      <c r="E346" s="19"/>
      <c r="F346" s="19"/>
      <c r="G346" s="19"/>
      <c r="H346" s="19"/>
      <c r="I346" s="19"/>
      <c r="J346" s="19"/>
      <c r="K346" s="19"/>
      <c r="L346" s="1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2.75" customHeight="1">
      <c r="A347" s="20"/>
      <c r="B347" s="48"/>
      <c r="C347" s="25"/>
      <c r="D347" s="19"/>
      <c r="E347" s="19"/>
      <c r="F347" s="19"/>
      <c r="G347" s="19"/>
      <c r="H347" s="19"/>
      <c r="I347" s="19"/>
      <c r="J347" s="19"/>
      <c r="K347" s="19"/>
      <c r="L347" s="1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2.75" customHeight="1">
      <c r="A348" s="20"/>
      <c r="B348" s="48"/>
      <c r="C348" s="25"/>
      <c r="D348" s="19"/>
      <c r="E348" s="19"/>
      <c r="F348" s="19"/>
      <c r="G348" s="19"/>
      <c r="H348" s="19"/>
      <c r="I348" s="19"/>
      <c r="J348" s="19"/>
      <c r="K348" s="19"/>
      <c r="L348" s="1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2.75" customHeight="1">
      <c r="A349" s="20"/>
      <c r="B349" s="48"/>
      <c r="C349" s="25"/>
      <c r="D349" s="19"/>
      <c r="E349" s="19"/>
      <c r="F349" s="19"/>
      <c r="G349" s="19"/>
      <c r="H349" s="19"/>
      <c r="I349" s="19"/>
      <c r="J349" s="19"/>
      <c r="K349" s="19"/>
      <c r="L349" s="1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2.75" customHeight="1">
      <c r="A350" s="20"/>
      <c r="B350" s="48"/>
      <c r="C350" s="25"/>
      <c r="D350" s="19"/>
      <c r="E350" s="19"/>
      <c r="F350" s="19"/>
      <c r="G350" s="19"/>
      <c r="H350" s="19"/>
      <c r="I350" s="19"/>
      <c r="J350" s="19"/>
      <c r="K350" s="19"/>
      <c r="L350" s="1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2.75" customHeight="1">
      <c r="A351" s="20"/>
      <c r="B351" s="48"/>
      <c r="C351" s="25"/>
      <c r="D351" s="19"/>
      <c r="E351" s="19"/>
      <c r="F351" s="19"/>
      <c r="G351" s="19"/>
      <c r="H351" s="19"/>
      <c r="I351" s="19"/>
      <c r="J351" s="19"/>
      <c r="K351" s="19"/>
      <c r="L351" s="1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2.75" customHeight="1">
      <c r="A352" s="20"/>
      <c r="B352" s="48"/>
      <c r="C352" s="25"/>
      <c r="D352" s="19"/>
      <c r="E352" s="19"/>
      <c r="F352" s="19"/>
      <c r="G352" s="19"/>
      <c r="H352" s="19"/>
      <c r="I352" s="19"/>
      <c r="J352" s="19"/>
      <c r="K352" s="19"/>
      <c r="L352" s="1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2.75" customHeight="1">
      <c r="A353" s="20"/>
      <c r="B353" s="48"/>
      <c r="C353" s="25"/>
      <c r="D353" s="19"/>
      <c r="E353" s="19"/>
      <c r="F353" s="19"/>
      <c r="G353" s="19"/>
      <c r="H353" s="19"/>
      <c r="I353" s="19"/>
      <c r="J353" s="19"/>
      <c r="K353" s="19"/>
      <c r="L353" s="1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2.75" customHeight="1">
      <c r="A354" s="20"/>
      <c r="B354" s="48"/>
      <c r="C354" s="25"/>
      <c r="D354" s="19"/>
      <c r="E354" s="19"/>
      <c r="F354" s="19"/>
      <c r="G354" s="19"/>
      <c r="H354" s="19"/>
      <c r="I354" s="19"/>
      <c r="J354" s="19"/>
      <c r="K354" s="19"/>
      <c r="L354" s="1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2.75" customHeight="1">
      <c r="A355" s="20"/>
      <c r="B355" s="48"/>
      <c r="C355" s="25"/>
      <c r="D355" s="19"/>
      <c r="E355" s="19"/>
      <c r="F355" s="19"/>
      <c r="G355" s="19"/>
      <c r="H355" s="19"/>
      <c r="I355" s="19"/>
      <c r="J355" s="19"/>
      <c r="K355" s="19"/>
      <c r="L355" s="1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2.75" customHeight="1">
      <c r="A356" s="20"/>
      <c r="B356" s="48"/>
      <c r="C356" s="25"/>
      <c r="D356" s="19"/>
      <c r="E356" s="19"/>
      <c r="F356" s="19"/>
      <c r="G356" s="19"/>
      <c r="H356" s="19"/>
      <c r="I356" s="19"/>
      <c r="J356" s="19"/>
      <c r="K356" s="19"/>
      <c r="L356" s="1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2.75" customHeight="1">
      <c r="A357" s="20"/>
      <c r="B357" s="48"/>
      <c r="C357" s="25"/>
      <c r="D357" s="19"/>
      <c r="E357" s="19"/>
      <c r="F357" s="19"/>
      <c r="G357" s="19"/>
      <c r="H357" s="19"/>
      <c r="I357" s="19"/>
      <c r="J357" s="19"/>
      <c r="K357" s="19"/>
      <c r="L357" s="1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2.75" customHeight="1">
      <c r="A358" s="20"/>
      <c r="B358" s="48"/>
      <c r="C358" s="25"/>
      <c r="D358" s="19"/>
      <c r="E358" s="19"/>
      <c r="F358" s="19"/>
      <c r="G358" s="19"/>
      <c r="H358" s="19"/>
      <c r="I358" s="19"/>
      <c r="J358" s="19"/>
      <c r="K358" s="19"/>
      <c r="L358" s="1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2.75" customHeight="1">
      <c r="A359" s="20"/>
      <c r="B359" s="48"/>
      <c r="C359" s="25"/>
      <c r="D359" s="19"/>
      <c r="E359" s="19"/>
      <c r="F359" s="19"/>
      <c r="G359" s="19"/>
      <c r="H359" s="19"/>
      <c r="I359" s="19"/>
      <c r="J359" s="19"/>
      <c r="K359" s="19"/>
      <c r="L359" s="1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2.75" customHeight="1">
      <c r="A360" s="20"/>
      <c r="B360" s="48"/>
      <c r="C360" s="25"/>
      <c r="D360" s="19"/>
      <c r="E360" s="19"/>
      <c r="F360" s="19"/>
      <c r="G360" s="19"/>
      <c r="H360" s="19"/>
      <c r="I360" s="19"/>
      <c r="J360" s="19"/>
      <c r="K360" s="19"/>
      <c r="L360" s="1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2.75" customHeight="1">
      <c r="A361" s="20"/>
      <c r="B361" s="48"/>
      <c r="C361" s="25"/>
      <c r="D361" s="19"/>
      <c r="E361" s="19"/>
      <c r="F361" s="19"/>
      <c r="G361" s="19"/>
      <c r="H361" s="19"/>
      <c r="I361" s="19"/>
      <c r="J361" s="19"/>
      <c r="K361" s="19"/>
      <c r="L361" s="1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2.75" customHeight="1">
      <c r="A362" s="20"/>
      <c r="B362" s="48"/>
      <c r="C362" s="25"/>
      <c r="D362" s="19"/>
      <c r="E362" s="19"/>
      <c r="F362" s="19"/>
      <c r="G362" s="19"/>
      <c r="H362" s="19"/>
      <c r="I362" s="19"/>
      <c r="J362" s="19"/>
      <c r="K362" s="19"/>
      <c r="L362" s="1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2.75" customHeight="1">
      <c r="A363" s="20"/>
      <c r="B363" s="48"/>
      <c r="C363" s="25"/>
      <c r="D363" s="19"/>
      <c r="E363" s="19"/>
      <c r="F363" s="19"/>
      <c r="G363" s="19"/>
      <c r="H363" s="19"/>
      <c r="I363" s="19"/>
      <c r="J363" s="19"/>
      <c r="K363" s="19"/>
      <c r="L363" s="1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2.75" customHeight="1">
      <c r="A364" s="20"/>
      <c r="B364" s="48"/>
      <c r="C364" s="25"/>
      <c r="D364" s="19"/>
      <c r="E364" s="19"/>
      <c r="F364" s="19"/>
      <c r="G364" s="19"/>
      <c r="H364" s="19"/>
      <c r="I364" s="19"/>
      <c r="J364" s="19"/>
      <c r="K364" s="19"/>
      <c r="L364" s="1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2.75" customHeight="1">
      <c r="A365" s="20"/>
      <c r="B365" s="48"/>
      <c r="C365" s="25"/>
      <c r="D365" s="19"/>
      <c r="E365" s="19"/>
      <c r="F365" s="19"/>
      <c r="G365" s="19"/>
      <c r="H365" s="19"/>
      <c r="I365" s="19"/>
      <c r="J365" s="19"/>
      <c r="K365" s="19"/>
      <c r="L365" s="1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2.75" customHeight="1">
      <c r="A366" s="20"/>
      <c r="B366" s="48"/>
      <c r="C366" s="25"/>
      <c r="D366" s="19"/>
      <c r="E366" s="19"/>
      <c r="F366" s="19"/>
      <c r="G366" s="19"/>
      <c r="H366" s="19"/>
      <c r="I366" s="19"/>
      <c r="J366" s="19"/>
      <c r="K366" s="19"/>
      <c r="L366" s="1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2.75" customHeight="1">
      <c r="A367" s="20"/>
      <c r="B367" s="48"/>
      <c r="C367" s="25"/>
      <c r="D367" s="19"/>
      <c r="E367" s="19"/>
      <c r="F367" s="19"/>
      <c r="G367" s="19"/>
      <c r="H367" s="19"/>
      <c r="I367" s="19"/>
      <c r="J367" s="19"/>
      <c r="K367" s="19"/>
      <c r="L367" s="1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2.75" customHeight="1">
      <c r="A368" s="20"/>
      <c r="B368" s="48"/>
      <c r="C368" s="25"/>
      <c r="D368" s="19"/>
      <c r="E368" s="19"/>
      <c r="F368" s="19"/>
      <c r="G368" s="19"/>
      <c r="H368" s="19"/>
      <c r="I368" s="19"/>
      <c r="J368" s="19"/>
      <c r="K368" s="19"/>
      <c r="L368" s="1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2.75" customHeight="1">
      <c r="A369" s="20"/>
      <c r="B369" s="48"/>
      <c r="C369" s="25"/>
      <c r="D369" s="19"/>
      <c r="E369" s="19"/>
      <c r="F369" s="19"/>
      <c r="G369" s="19"/>
      <c r="H369" s="19"/>
      <c r="I369" s="19"/>
      <c r="J369" s="19"/>
      <c r="K369" s="19"/>
      <c r="L369" s="1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2.75" customHeight="1">
      <c r="A370" s="20"/>
      <c r="B370" s="48"/>
      <c r="C370" s="25"/>
      <c r="D370" s="19"/>
      <c r="E370" s="19"/>
      <c r="F370" s="19"/>
      <c r="G370" s="19"/>
      <c r="H370" s="19"/>
      <c r="I370" s="19"/>
      <c r="J370" s="19"/>
      <c r="K370" s="19"/>
      <c r="L370" s="1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2.75" customHeight="1">
      <c r="A371" s="20"/>
      <c r="B371" s="48"/>
      <c r="C371" s="25"/>
      <c r="D371" s="19"/>
      <c r="E371" s="19"/>
      <c r="F371" s="19"/>
      <c r="G371" s="19"/>
      <c r="H371" s="19"/>
      <c r="I371" s="19"/>
      <c r="J371" s="19"/>
      <c r="K371" s="19"/>
      <c r="L371" s="1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2.75" customHeight="1">
      <c r="A372" s="20"/>
      <c r="B372" s="48"/>
      <c r="C372" s="25"/>
      <c r="D372" s="19"/>
      <c r="E372" s="19"/>
      <c r="F372" s="19"/>
      <c r="G372" s="19"/>
      <c r="H372" s="19"/>
      <c r="I372" s="19"/>
      <c r="J372" s="19"/>
      <c r="K372" s="19"/>
      <c r="L372" s="1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2.75" customHeight="1">
      <c r="A373" s="20"/>
      <c r="B373" s="48"/>
      <c r="C373" s="25"/>
      <c r="D373" s="19"/>
      <c r="E373" s="19"/>
      <c r="F373" s="19"/>
      <c r="G373" s="19"/>
      <c r="H373" s="19"/>
      <c r="I373" s="19"/>
      <c r="J373" s="19"/>
      <c r="K373" s="19"/>
      <c r="L373" s="1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2.75" customHeight="1">
      <c r="A374" s="20"/>
      <c r="B374" s="48"/>
      <c r="C374" s="25"/>
      <c r="D374" s="19"/>
      <c r="E374" s="19"/>
      <c r="F374" s="19"/>
      <c r="G374" s="19"/>
      <c r="H374" s="19"/>
      <c r="I374" s="19"/>
      <c r="J374" s="19"/>
      <c r="K374" s="19"/>
      <c r="L374" s="1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2.75" customHeight="1">
      <c r="A375" s="20"/>
      <c r="B375" s="48"/>
      <c r="C375" s="25"/>
      <c r="D375" s="19"/>
      <c r="E375" s="19"/>
      <c r="F375" s="19"/>
      <c r="G375" s="19"/>
      <c r="H375" s="19"/>
      <c r="I375" s="19"/>
      <c r="J375" s="19"/>
      <c r="K375" s="19"/>
      <c r="L375" s="1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2.75" customHeight="1">
      <c r="A376" s="20"/>
      <c r="B376" s="48"/>
      <c r="C376" s="25"/>
      <c r="D376" s="19"/>
      <c r="E376" s="19"/>
      <c r="F376" s="19"/>
      <c r="G376" s="19"/>
      <c r="H376" s="19"/>
      <c r="I376" s="19"/>
      <c r="J376" s="19"/>
      <c r="K376" s="19"/>
      <c r="L376" s="1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2.75" customHeight="1">
      <c r="A377" s="20"/>
      <c r="B377" s="48"/>
      <c r="C377" s="25"/>
      <c r="D377" s="19"/>
      <c r="E377" s="19"/>
      <c r="F377" s="19"/>
      <c r="G377" s="19"/>
      <c r="H377" s="19"/>
      <c r="I377" s="19"/>
      <c r="J377" s="19"/>
      <c r="K377" s="19"/>
      <c r="L377" s="1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2.75" customHeight="1">
      <c r="A378" s="20"/>
      <c r="B378" s="48"/>
      <c r="C378" s="25"/>
      <c r="D378" s="19"/>
      <c r="E378" s="19"/>
      <c r="F378" s="19"/>
      <c r="G378" s="19"/>
      <c r="H378" s="19"/>
      <c r="I378" s="19"/>
      <c r="J378" s="19"/>
      <c r="K378" s="19"/>
      <c r="L378" s="1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2.75" customHeight="1">
      <c r="A379" s="20"/>
      <c r="B379" s="48"/>
      <c r="C379" s="25"/>
      <c r="D379" s="19"/>
      <c r="E379" s="19"/>
      <c r="F379" s="19"/>
      <c r="G379" s="19"/>
      <c r="H379" s="19"/>
      <c r="I379" s="19"/>
      <c r="J379" s="19"/>
      <c r="K379" s="19"/>
      <c r="L379" s="1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2.75" customHeight="1">
      <c r="A380" s="20"/>
      <c r="B380" s="48"/>
      <c r="C380" s="25"/>
      <c r="D380" s="19"/>
      <c r="E380" s="19"/>
      <c r="F380" s="19"/>
      <c r="G380" s="19"/>
      <c r="H380" s="19"/>
      <c r="I380" s="19"/>
      <c r="J380" s="19"/>
      <c r="K380" s="19"/>
      <c r="L380" s="1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2.75" customHeight="1">
      <c r="A381" s="20"/>
      <c r="B381" s="48"/>
      <c r="C381" s="25"/>
      <c r="D381" s="19"/>
      <c r="E381" s="19"/>
      <c r="F381" s="19"/>
      <c r="G381" s="19"/>
      <c r="H381" s="19"/>
      <c r="I381" s="19"/>
      <c r="J381" s="19"/>
      <c r="K381" s="19"/>
      <c r="L381" s="1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2.75" customHeight="1">
      <c r="A382" s="20"/>
      <c r="B382" s="48"/>
      <c r="C382" s="25"/>
      <c r="D382" s="19"/>
      <c r="E382" s="19"/>
      <c r="F382" s="19"/>
      <c r="G382" s="19"/>
      <c r="H382" s="19"/>
      <c r="I382" s="19"/>
      <c r="J382" s="19"/>
      <c r="K382" s="19"/>
      <c r="L382" s="1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2.75" customHeight="1">
      <c r="A383" s="20"/>
      <c r="B383" s="48"/>
      <c r="C383" s="25"/>
      <c r="D383" s="19"/>
      <c r="E383" s="19"/>
      <c r="F383" s="19"/>
      <c r="G383" s="19"/>
      <c r="H383" s="19"/>
      <c r="I383" s="19"/>
      <c r="J383" s="19"/>
      <c r="K383" s="19"/>
      <c r="L383" s="1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2.75" customHeight="1">
      <c r="A384" s="20"/>
      <c r="B384" s="48"/>
      <c r="C384" s="25"/>
      <c r="D384" s="19"/>
      <c r="E384" s="19"/>
      <c r="F384" s="19"/>
      <c r="G384" s="19"/>
      <c r="H384" s="19"/>
      <c r="I384" s="19"/>
      <c r="J384" s="19"/>
      <c r="K384" s="19"/>
      <c r="L384" s="1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2.75" customHeight="1">
      <c r="A385" s="20"/>
      <c r="B385" s="48"/>
      <c r="C385" s="25"/>
      <c r="D385" s="19"/>
      <c r="E385" s="19"/>
      <c r="F385" s="19"/>
      <c r="G385" s="19"/>
      <c r="H385" s="19"/>
      <c r="I385" s="19"/>
      <c r="J385" s="19"/>
      <c r="K385" s="19"/>
      <c r="L385" s="1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2.75" customHeight="1">
      <c r="A386" s="20"/>
      <c r="B386" s="48"/>
      <c r="C386" s="25"/>
      <c r="D386" s="19"/>
      <c r="E386" s="19"/>
      <c r="F386" s="19"/>
      <c r="G386" s="19"/>
      <c r="H386" s="19"/>
      <c r="I386" s="19"/>
      <c r="J386" s="19"/>
      <c r="K386" s="19"/>
      <c r="L386" s="1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2.75" customHeight="1">
      <c r="A387" s="20"/>
      <c r="B387" s="48"/>
      <c r="C387" s="25"/>
      <c r="D387" s="19"/>
      <c r="E387" s="19"/>
      <c r="F387" s="19"/>
      <c r="G387" s="19"/>
      <c r="H387" s="19"/>
      <c r="I387" s="19"/>
      <c r="J387" s="19"/>
      <c r="K387" s="19"/>
      <c r="L387" s="1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2.75" customHeight="1">
      <c r="A388" s="20"/>
      <c r="B388" s="48"/>
      <c r="C388" s="25"/>
      <c r="D388" s="19"/>
      <c r="E388" s="19"/>
      <c r="F388" s="19"/>
      <c r="G388" s="19"/>
      <c r="H388" s="19"/>
      <c r="I388" s="19"/>
      <c r="J388" s="19"/>
      <c r="K388" s="19"/>
      <c r="L388" s="1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2.75" customHeight="1">
      <c r="A389" s="20"/>
      <c r="B389" s="48"/>
      <c r="C389" s="25"/>
      <c r="D389" s="19"/>
      <c r="E389" s="19"/>
      <c r="F389" s="19"/>
      <c r="G389" s="19"/>
      <c r="H389" s="19"/>
      <c r="I389" s="19"/>
      <c r="J389" s="19"/>
      <c r="K389" s="19"/>
      <c r="L389" s="1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2.75" customHeight="1">
      <c r="A390" s="20"/>
      <c r="B390" s="48"/>
      <c r="C390" s="25"/>
      <c r="D390" s="19"/>
      <c r="E390" s="19"/>
      <c r="F390" s="19"/>
      <c r="G390" s="19"/>
      <c r="H390" s="19"/>
      <c r="I390" s="19"/>
      <c r="J390" s="19"/>
      <c r="K390" s="19"/>
      <c r="L390" s="1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2.75" customHeight="1">
      <c r="A391" s="20"/>
      <c r="B391" s="48"/>
      <c r="C391" s="25"/>
      <c r="D391" s="19"/>
      <c r="E391" s="19"/>
      <c r="F391" s="19"/>
      <c r="G391" s="19"/>
      <c r="H391" s="19"/>
      <c r="I391" s="19"/>
      <c r="J391" s="19"/>
      <c r="K391" s="19"/>
      <c r="L391" s="1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2.75" customHeight="1">
      <c r="A392" s="20"/>
      <c r="B392" s="48"/>
      <c r="C392" s="25"/>
      <c r="D392" s="19"/>
      <c r="E392" s="19"/>
      <c r="F392" s="19"/>
      <c r="G392" s="19"/>
      <c r="H392" s="19"/>
      <c r="I392" s="19"/>
      <c r="J392" s="19"/>
      <c r="K392" s="19"/>
      <c r="L392" s="1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2.75" customHeight="1">
      <c r="A393" s="20"/>
      <c r="B393" s="48"/>
      <c r="C393" s="25"/>
      <c r="D393" s="19"/>
      <c r="E393" s="19"/>
      <c r="F393" s="19"/>
      <c r="G393" s="19"/>
      <c r="H393" s="19"/>
      <c r="I393" s="19"/>
      <c r="J393" s="19"/>
      <c r="K393" s="19"/>
      <c r="L393" s="1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2.75" customHeight="1">
      <c r="A394" s="20"/>
      <c r="B394" s="48"/>
      <c r="C394" s="25"/>
      <c r="D394" s="19"/>
      <c r="E394" s="19"/>
      <c r="F394" s="19"/>
      <c r="G394" s="19"/>
      <c r="H394" s="19"/>
      <c r="I394" s="19"/>
      <c r="J394" s="19"/>
      <c r="K394" s="19"/>
      <c r="L394" s="1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2.75" customHeight="1">
      <c r="A395" s="20"/>
      <c r="B395" s="48"/>
      <c r="C395" s="25"/>
      <c r="D395" s="19"/>
      <c r="E395" s="19"/>
      <c r="F395" s="19"/>
      <c r="G395" s="19"/>
      <c r="H395" s="19"/>
      <c r="I395" s="19"/>
      <c r="J395" s="19"/>
      <c r="K395" s="19"/>
      <c r="L395" s="1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2.75" customHeight="1">
      <c r="A396" s="20"/>
      <c r="B396" s="48"/>
      <c r="C396" s="25"/>
      <c r="D396" s="19"/>
      <c r="E396" s="19"/>
      <c r="F396" s="19"/>
      <c r="G396" s="19"/>
      <c r="H396" s="19"/>
      <c r="I396" s="19"/>
      <c r="J396" s="19"/>
      <c r="K396" s="19"/>
      <c r="L396" s="1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2.75" customHeight="1">
      <c r="A397" s="20"/>
      <c r="B397" s="48"/>
      <c r="C397" s="25"/>
      <c r="D397" s="19"/>
      <c r="E397" s="19"/>
      <c r="F397" s="19"/>
      <c r="G397" s="19"/>
      <c r="H397" s="19"/>
      <c r="I397" s="19"/>
      <c r="J397" s="19"/>
      <c r="K397" s="19"/>
      <c r="L397" s="1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2.75" customHeight="1">
      <c r="A398" s="20"/>
      <c r="B398" s="48"/>
      <c r="C398" s="25"/>
      <c r="D398" s="19"/>
      <c r="E398" s="19"/>
      <c r="F398" s="19"/>
      <c r="G398" s="19"/>
      <c r="H398" s="19"/>
      <c r="I398" s="19"/>
      <c r="J398" s="19"/>
      <c r="K398" s="19"/>
      <c r="L398" s="1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2.75" customHeight="1">
      <c r="A399" s="20"/>
      <c r="B399" s="48"/>
      <c r="C399" s="25"/>
      <c r="D399" s="19"/>
      <c r="E399" s="19"/>
      <c r="F399" s="19"/>
      <c r="G399" s="19"/>
      <c r="H399" s="19"/>
      <c r="I399" s="19"/>
      <c r="J399" s="19"/>
      <c r="K399" s="19"/>
      <c r="L399" s="1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2.75" customHeight="1">
      <c r="A400" s="20"/>
      <c r="B400" s="48"/>
      <c r="C400" s="25"/>
      <c r="D400" s="19"/>
      <c r="E400" s="19"/>
      <c r="F400" s="19"/>
      <c r="G400" s="19"/>
      <c r="H400" s="19"/>
      <c r="I400" s="19"/>
      <c r="J400" s="19"/>
      <c r="K400" s="19"/>
      <c r="L400" s="1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2.75" customHeight="1">
      <c r="A401" s="20"/>
      <c r="B401" s="48"/>
      <c r="C401" s="25"/>
      <c r="D401" s="19"/>
      <c r="E401" s="19"/>
      <c r="F401" s="19"/>
      <c r="G401" s="19"/>
      <c r="H401" s="19"/>
      <c r="I401" s="19"/>
      <c r="J401" s="19"/>
      <c r="K401" s="19"/>
      <c r="L401" s="1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2.75" customHeight="1">
      <c r="A402" s="20"/>
      <c r="B402" s="48"/>
      <c r="C402" s="25"/>
      <c r="D402" s="19"/>
      <c r="E402" s="19"/>
      <c r="F402" s="19"/>
      <c r="G402" s="19"/>
      <c r="H402" s="19"/>
      <c r="I402" s="19"/>
      <c r="J402" s="19"/>
      <c r="K402" s="19"/>
      <c r="L402" s="1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2.75" customHeight="1">
      <c r="A403" s="20"/>
      <c r="B403" s="48"/>
      <c r="C403" s="25"/>
      <c r="D403" s="19"/>
      <c r="E403" s="19"/>
      <c r="F403" s="19"/>
      <c r="G403" s="19"/>
      <c r="H403" s="19"/>
      <c r="I403" s="19"/>
      <c r="J403" s="19"/>
      <c r="K403" s="19"/>
      <c r="L403" s="1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2.75" customHeight="1">
      <c r="A404" s="20"/>
      <c r="B404" s="48"/>
      <c r="C404" s="25"/>
      <c r="D404" s="19"/>
      <c r="E404" s="19"/>
      <c r="F404" s="19"/>
      <c r="G404" s="19"/>
      <c r="H404" s="19"/>
      <c r="I404" s="19"/>
      <c r="J404" s="19"/>
      <c r="K404" s="19"/>
      <c r="L404" s="1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2.75" customHeight="1">
      <c r="A405" s="20"/>
      <c r="B405" s="48"/>
      <c r="C405" s="25"/>
      <c r="D405" s="19"/>
      <c r="E405" s="19"/>
      <c r="F405" s="19"/>
      <c r="G405" s="19"/>
      <c r="H405" s="19"/>
      <c r="I405" s="19"/>
      <c r="J405" s="19"/>
      <c r="K405" s="19"/>
      <c r="L405" s="1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2.75" customHeight="1">
      <c r="A406" s="20"/>
      <c r="B406" s="48"/>
      <c r="C406" s="25"/>
      <c r="D406" s="19"/>
      <c r="E406" s="19"/>
      <c r="F406" s="19"/>
      <c r="G406" s="19"/>
      <c r="H406" s="19"/>
      <c r="I406" s="19"/>
      <c r="J406" s="19"/>
      <c r="K406" s="19"/>
      <c r="L406" s="1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2.75" customHeight="1">
      <c r="A407" s="20"/>
      <c r="B407" s="48"/>
      <c r="C407" s="25"/>
      <c r="D407" s="19"/>
      <c r="E407" s="19"/>
      <c r="F407" s="19"/>
      <c r="G407" s="19"/>
      <c r="H407" s="19"/>
      <c r="I407" s="19"/>
      <c r="J407" s="19"/>
      <c r="K407" s="19"/>
      <c r="L407" s="1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2.75" customHeight="1">
      <c r="A408" s="20"/>
      <c r="B408" s="48"/>
      <c r="C408" s="25"/>
      <c r="D408" s="19"/>
      <c r="E408" s="19"/>
      <c r="F408" s="19"/>
      <c r="G408" s="19"/>
      <c r="H408" s="19"/>
      <c r="I408" s="19"/>
      <c r="J408" s="19"/>
      <c r="K408" s="19"/>
      <c r="L408" s="1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2.75" customHeight="1">
      <c r="A409" s="20"/>
      <c r="B409" s="48"/>
      <c r="C409" s="25"/>
      <c r="D409" s="19"/>
      <c r="E409" s="19"/>
      <c r="F409" s="19"/>
      <c r="G409" s="19"/>
      <c r="H409" s="19"/>
      <c r="I409" s="19"/>
      <c r="J409" s="19"/>
      <c r="K409" s="19"/>
      <c r="L409" s="1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2.75" customHeight="1">
      <c r="A410" s="20"/>
      <c r="B410" s="48"/>
      <c r="C410" s="25"/>
      <c r="D410" s="19"/>
      <c r="E410" s="19"/>
      <c r="F410" s="19"/>
      <c r="G410" s="19"/>
      <c r="H410" s="19"/>
      <c r="I410" s="19"/>
      <c r="J410" s="19"/>
      <c r="K410" s="19"/>
      <c r="L410" s="1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2.75" customHeight="1">
      <c r="A411" s="20"/>
      <c r="B411" s="48"/>
      <c r="C411" s="25"/>
      <c r="D411" s="19"/>
      <c r="E411" s="19"/>
      <c r="F411" s="19"/>
      <c r="G411" s="19"/>
      <c r="H411" s="19"/>
      <c r="I411" s="19"/>
      <c r="J411" s="19"/>
      <c r="K411" s="19"/>
      <c r="L411" s="1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2.75" customHeight="1">
      <c r="A412" s="20"/>
      <c r="B412" s="48"/>
      <c r="C412" s="25"/>
      <c r="D412" s="19"/>
      <c r="E412" s="19"/>
      <c r="F412" s="19"/>
      <c r="G412" s="19"/>
      <c r="H412" s="19"/>
      <c r="I412" s="19"/>
      <c r="J412" s="19"/>
      <c r="K412" s="19"/>
      <c r="L412" s="1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2.75" customHeight="1">
      <c r="A413" s="20"/>
      <c r="B413" s="48"/>
      <c r="C413" s="25"/>
      <c r="D413" s="19"/>
      <c r="E413" s="19"/>
      <c r="F413" s="19"/>
      <c r="G413" s="19"/>
      <c r="H413" s="19"/>
      <c r="I413" s="19"/>
      <c r="J413" s="19"/>
      <c r="K413" s="19"/>
      <c r="L413" s="1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2.75" customHeight="1">
      <c r="A414" s="20"/>
      <c r="B414" s="48"/>
      <c r="C414" s="25"/>
      <c r="D414" s="19"/>
      <c r="E414" s="19"/>
      <c r="F414" s="19"/>
      <c r="G414" s="19"/>
      <c r="H414" s="19"/>
      <c r="I414" s="19"/>
      <c r="J414" s="19"/>
      <c r="K414" s="19"/>
      <c r="L414" s="1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2.75" customHeight="1">
      <c r="A415" s="20"/>
      <c r="B415" s="48"/>
      <c r="C415" s="25"/>
      <c r="D415" s="19"/>
      <c r="E415" s="19"/>
      <c r="F415" s="19"/>
      <c r="G415" s="19"/>
      <c r="H415" s="19"/>
      <c r="I415" s="19"/>
      <c r="J415" s="19"/>
      <c r="K415" s="19"/>
      <c r="L415" s="1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2.75" customHeight="1">
      <c r="A416" s="20"/>
      <c r="B416" s="48"/>
      <c r="C416" s="25"/>
      <c r="D416" s="19"/>
      <c r="E416" s="19"/>
      <c r="F416" s="19"/>
      <c r="G416" s="19"/>
      <c r="H416" s="19"/>
      <c r="I416" s="19"/>
      <c r="J416" s="19"/>
      <c r="K416" s="19"/>
      <c r="L416" s="1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2.75" customHeight="1">
      <c r="A417" s="20"/>
      <c r="B417" s="48"/>
      <c r="C417" s="25"/>
      <c r="D417" s="19"/>
      <c r="E417" s="19"/>
      <c r="F417" s="19"/>
      <c r="G417" s="19"/>
      <c r="H417" s="19"/>
      <c r="I417" s="19"/>
      <c r="J417" s="19"/>
      <c r="K417" s="19"/>
      <c r="L417" s="1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2.75" customHeight="1">
      <c r="A418" s="20"/>
      <c r="B418" s="48"/>
      <c r="C418" s="25"/>
      <c r="D418" s="19"/>
      <c r="E418" s="19"/>
      <c r="F418" s="19"/>
      <c r="G418" s="19"/>
      <c r="H418" s="19"/>
      <c r="I418" s="19"/>
      <c r="J418" s="19"/>
      <c r="K418" s="19"/>
      <c r="L418" s="1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2.75" customHeight="1">
      <c r="A419" s="20"/>
      <c r="B419" s="48"/>
      <c r="C419" s="25"/>
      <c r="D419" s="19"/>
      <c r="E419" s="19"/>
      <c r="F419" s="19"/>
      <c r="G419" s="19"/>
      <c r="H419" s="19"/>
      <c r="I419" s="19"/>
      <c r="J419" s="19"/>
      <c r="K419" s="19"/>
      <c r="L419" s="1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2.75" customHeight="1">
      <c r="A420" s="20"/>
      <c r="B420" s="48"/>
      <c r="C420" s="25"/>
      <c r="D420" s="19"/>
      <c r="E420" s="19"/>
      <c r="F420" s="19"/>
      <c r="G420" s="19"/>
      <c r="H420" s="19"/>
      <c r="I420" s="19"/>
      <c r="J420" s="19"/>
      <c r="K420" s="19"/>
      <c r="L420" s="1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2.75" customHeight="1">
      <c r="A421" s="20"/>
      <c r="B421" s="48"/>
      <c r="C421" s="25"/>
      <c r="D421" s="19"/>
      <c r="E421" s="19"/>
      <c r="F421" s="19"/>
      <c r="G421" s="19"/>
      <c r="H421" s="19"/>
      <c r="I421" s="19"/>
      <c r="J421" s="19"/>
      <c r="K421" s="19"/>
      <c r="L421" s="1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2.75" customHeight="1">
      <c r="A422" s="20"/>
      <c r="B422" s="48"/>
      <c r="C422" s="25"/>
      <c r="D422" s="19"/>
      <c r="E422" s="19"/>
      <c r="F422" s="19"/>
      <c r="G422" s="19"/>
      <c r="H422" s="19"/>
      <c r="I422" s="19"/>
      <c r="J422" s="19"/>
      <c r="K422" s="19"/>
      <c r="L422" s="1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2.75" customHeight="1">
      <c r="A423" s="20"/>
      <c r="B423" s="48"/>
      <c r="C423" s="25"/>
      <c r="D423" s="19"/>
      <c r="E423" s="19"/>
      <c r="F423" s="19"/>
      <c r="G423" s="19"/>
      <c r="H423" s="19"/>
      <c r="I423" s="19"/>
      <c r="J423" s="19"/>
      <c r="K423" s="19"/>
      <c r="L423" s="1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2.75" customHeight="1">
      <c r="A424" s="20"/>
      <c r="B424" s="48"/>
      <c r="C424" s="25"/>
      <c r="D424" s="19"/>
      <c r="E424" s="19"/>
      <c r="F424" s="19"/>
      <c r="G424" s="19"/>
      <c r="H424" s="19"/>
      <c r="I424" s="19"/>
      <c r="J424" s="19"/>
      <c r="K424" s="19"/>
      <c r="L424" s="1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2.75" customHeight="1">
      <c r="A425" s="20"/>
      <c r="B425" s="48"/>
      <c r="C425" s="25"/>
      <c r="D425" s="19"/>
      <c r="E425" s="19"/>
      <c r="F425" s="19"/>
      <c r="G425" s="19"/>
      <c r="H425" s="19"/>
      <c r="I425" s="19"/>
      <c r="J425" s="19"/>
      <c r="K425" s="19"/>
      <c r="L425" s="1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Q5:AR5"/>
    <mergeCell ref="AQ6:AR6"/>
    <mergeCell ref="AQ25:AR25"/>
    <mergeCell ref="AJ41:AK41"/>
    <mergeCell ref="AQ42:AR42"/>
    <mergeCell ref="AC44:AD44"/>
    <mergeCell ref="A24:B24"/>
    <mergeCell ref="AC24:AD24"/>
    <mergeCell ref="AJ24:AK24"/>
    <mergeCell ref="A46:B46"/>
    <mergeCell ref="B2:F3"/>
    <mergeCell ref="A5:B5"/>
    <mergeCell ref="AC5:AD5"/>
    <mergeCell ref="AJ5:AK5"/>
    <mergeCell ref="A6:B6"/>
    <mergeCell ref="AC6:AD6"/>
    <mergeCell ref="AJ6:AK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1.86"/>
    <col customWidth="1" min="3" max="3" width="11.29"/>
    <col customWidth="1" min="4" max="4" width="10.71"/>
    <col customWidth="1" min="5" max="5" width="9.14"/>
    <col customWidth="1" min="6" max="6" width="12.0"/>
    <col customWidth="1" hidden="1" min="7" max="7" width="0.14"/>
    <col customWidth="1" hidden="1" min="8" max="9" width="8.86"/>
    <col customWidth="1" hidden="1" min="10" max="10" width="6.57"/>
    <col customWidth="1" hidden="1" min="11" max="12" width="9.29"/>
    <col customWidth="1" hidden="1" min="13" max="13" width="0.14"/>
    <col customWidth="1" hidden="1" min="14" max="14" width="9.43"/>
    <col customWidth="1" hidden="1" min="15" max="16" width="9.29"/>
    <col customWidth="1" hidden="1" min="17" max="17" width="8.86"/>
    <col customWidth="1" hidden="1" min="18" max="27" width="8.71"/>
    <col customWidth="1" min="28" max="28" width="2.57"/>
    <col customWidth="1" min="29" max="29" width="3.43"/>
    <col customWidth="1" min="30" max="30" width="21.86"/>
    <col customWidth="1" min="31" max="34" width="8.71"/>
    <col customWidth="1" min="35" max="35" width="2.86"/>
    <col customWidth="1" min="36" max="36" width="3.43"/>
    <col customWidth="1" min="37" max="37" width="21.71"/>
    <col customWidth="1" min="38" max="41" width="8.71"/>
    <col customWidth="1" min="42" max="42" width="2.57"/>
    <col customWidth="1" min="43" max="43" width="3.71"/>
    <col customWidth="1" min="44" max="44" width="21.57"/>
    <col customWidth="1" min="45" max="48" width="8.71"/>
  </cols>
  <sheetData>
    <row r="1" ht="12.75" customHeight="1">
      <c r="A1" s="20"/>
      <c r="B1" s="17" t="s">
        <v>14</v>
      </c>
      <c r="C1" s="63"/>
      <c r="D1" s="63"/>
      <c r="E1" s="63"/>
      <c r="F1" s="63"/>
      <c r="G1" s="13"/>
      <c r="H1" s="13"/>
      <c r="I1" s="13"/>
      <c r="J1" s="13"/>
      <c r="K1" s="13"/>
      <c r="L1" s="1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20"/>
      <c r="B2" s="21" t="s">
        <v>56</v>
      </c>
      <c r="G2" s="64"/>
      <c r="H2" s="64"/>
      <c r="I2" s="13"/>
      <c r="J2" s="13"/>
      <c r="K2" s="13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20"/>
      <c r="G3" s="64"/>
      <c r="H3" s="64"/>
      <c r="I3" s="13"/>
      <c r="J3" s="13"/>
      <c r="K3" s="13"/>
      <c r="L3" s="1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2.75" customHeight="1">
      <c r="A4" s="23"/>
      <c r="B4" s="23"/>
      <c r="C4" s="23"/>
      <c r="D4" s="65"/>
      <c r="E4" s="23"/>
      <c r="F4" s="23"/>
      <c r="G4" s="13"/>
      <c r="H4" s="13"/>
      <c r="I4" s="13"/>
      <c r="J4" s="13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20" t="s">
        <v>16</v>
      </c>
      <c r="C5" s="25"/>
      <c r="D5" s="66"/>
      <c r="E5" s="13"/>
      <c r="F5" s="19"/>
      <c r="G5" s="13"/>
      <c r="H5" s="13"/>
      <c r="I5" s="13"/>
      <c r="J5" s="13"/>
      <c r="K5" s="13"/>
      <c r="L5" s="13"/>
      <c r="M5" s="4" t="s">
        <v>17</v>
      </c>
      <c r="N5" s="4"/>
      <c r="O5" s="4"/>
      <c r="P5" s="4"/>
      <c r="Q5" s="4"/>
      <c r="R5" s="4" t="s">
        <v>18</v>
      </c>
      <c r="S5" s="4"/>
      <c r="T5" s="4"/>
      <c r="U5" s="4"/>
      <c r="V5" s="4"/>
      <c r="W5" s="4" t="s">
        <v>19</v>
      </c>
      <c r="X5" s="4"/>
      <c r="Y5" s="4"/>
      <c r="Z5" s="4"/>
      <c r="AA5" s="4"/>
      <c r="AC5" s="20" t="s">
        <v>20</v>
      </c>
      <c r="AE5" s="25"/>
      <c r="AF5" s="66"/>
      <c r="AG5" s="13"/>
      <c r="AH5" s="19"/>
      <c r="AJ5" s="20" t="s">
        <v>21</v>
      </c>
      <c r="AL5" s="25"/>
      <c r="AM5" s="66"/>
      <c r="AN5" s="13"/>
      <c r="AO5" s="19"/>
      <c r="AQ5" s="20" t="s">
        <v>22</v>
      </c>
      <c r="AS5" s="25"/>
      <c r="AT5" s="66"/>
      <c r="AU5" s="13"/>
      <c r="AV5" s="19"/>
    </row>
    <row r="6" ht="12.75" customHeight="1">
      <c r="A6" s="20" t="s">
        <v>33</v>
      </c>
      <c r="C6" s="26" t="s">
        <v>24</v>
      </c>
      <c r="D6" s="67" t="s">
        <v>25</v>
      </c>
      <c r="E6" s="17" t="s">
        <v>26</v>
      </c>
      <c r="F6" s="18" t="s">
        <v>27</v>
      </c>
      <c r="G6" s="13"/>
      <c r="H6" s="13"/>
      <c r="I6" s="13"/>
      <c r="J6" s="13"/>
      <c r="K6" s="13"/>
      <c r="L6" s="13"/>
      <c r="M6" s="4" t="s">
        <v>28</v>
      </c>
      <c r="N6" s="4" t="s">
        <v>29</v>
      </c>
      <c r="O6" s="4" t="s">
        <v>30</v>
      </c>
      <c r="P6" s="4" t="s">
        <v>31</v>
      </c>
      <c r="Q6" s="4" t="s">
        <v>32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C6" s="20" t="s">
        <v>57</v>
      </c>
      <c r="AE6" s="26" t="s">
        <v>24</v>
      </c>
      <c r="AF6" s="67" t="s">
        <v>25</v>
      </c>
      <c r="AG6" s="17" t="s">
        <v>26</v>
      </c>
      <c r="AH6" s="18" t="s">
        <v>27</v>
      </c>
      <c r="AJ6" s="20" t="s">
        <v>33</v>
      </c>
      <c r="AL6" s="26" t="s">
        <v>24</v>
      </c>
      <c r="AM6" s="67" t="s">
        <v>25</v>
      </c>
      <c r="AN6" s="17" t="s">
        <v>26</v>
      </c>
      <c r="AO6" s="18" t="s">
        <v>27</v>
      </c>
      <c r="AQ6" s="20" t="s">
        <v>33</v>
      </c>
      <c r="AS6" s="26" t="s">
        <v>24</v>
      </c>
      <c r="AT6" s="67" t="s">
        <v>25</v>
      </c>
      <c r="AU6" s="17" t="s">
        <v>26</v>
      </c>
      <c r="AV6" s="18" t="s">
        <v>27</v>
      </c>
    </row>
    <row r="7" ht="12.75" customHeight="1">
      <c r="A7" s="34">
        <v>1.0</v>
      </c>
      <c r="B7" s="35" t="s">
        <v>34</v>
      </c>
      <c r="C7" s="36">
        <v>0.5</v>
      </c>
      <c r="D7" s="37">
        <v>3.0</v>
      </c>
      <c r="E7" s="37">
        <v>1.0</v>
      </c>
      <c r="F7" s="38">
        <f>Max!$B$3*C7</f>
        <v>50</v>
      </c>
      <c r="G7" s="66">
        <f t="shared" ref="G7:G10" si="1">D7*E7</f>
        <v>3</v>
      </c>
      <c r="H7" s="66">
        <f t="shared" ref="H7:H10" si="2">G7*F7</f>
        <v>150</v>
      </c>
      <c r="I7" s="13"/>
      <c r="J7" s="13"/>
      <c r="K7" s="13"/>
      <c r="L7" s="13"/>
      <c r="M7" s="68">
        <f>G7</f>
        <v>3</v>
      </c>
      <c r="N7" s="68">
        <f>G8</f>
        <v>3</v>
      </c>
      <c r="O7" s="68">
        <f>G9+G10</f>
        <v>12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C7" s="34">
        <v>1.0</v>
      </c>
      <c r="AD7" s="35" t="s">
        <v>35</v>
      </c>
      <c r="AE7" s="36">
        <v>0.5</v>
      </c>
      <c r="AF7" s="37">
        <v>3.0</v>
      </c>
      <c r="AG7" s="37">
        <v>1.0</v>
      </c>
      <c r="AH7" s="38">
        <f>Max!$B$3*AE7</f>
        <v>50</v>
      </c>
      <c r="AJ7" s="34">
        <v>1.0</v>
      </c>
      <c r="AK7" s="35" t="s">
        <v>34</v>
      </c>
      <c r="AL7" s="36">
        <v>0.5</v>
      </c>
      <c r="AM7" s="37">
        <v>3.0</v>
      </c>
      <c r="AN7" s="37">
        <v>1.0</v>
      </c>
      <c r="AO7" s="38">
        <f>Max!$B$3*AL7</f>
        <v>50</v>
      </c>
      <c r="AQ7" s="27">
        <v>1.0</v>
      </c>
      <c r="AR7" s="28" t="s">
        <v>5</v>
      </c>
      <c r="AS7" s="29">
        <v>0.5</v>
      </c>
      <c r="AT7" s="39">
        <v>3.0</v>
      </c>
      <c r="AU7" s="39">
        <v>1.0</v>
      </c>
      <c r="AV7" s="30">
        <f>Max!$B$4*AS7</f>
        <v>50</v>
      </c>
    </row>
    <row r="8" ht="12.75" customHeight="1">
      <c r="A8" s="34"/>
      <c r="B8" s="35"/>
      <c r="C8" s="36">
        <v>0.6</v>
      </c>
      <c r="D8" s="37">
        <v>3.0</v>
      </c>
      <c r="E8" s="37">
        <v>1.0</v>
      </c>
      <c r="F8" s="38">
        <f>Max!$B$3*C8</f>
        <v>60</v>
      </c>
      <c r="G8" s="66">
        <f t="shared" si="1"/>
        <v>3</v>
      </c>
      <c r="H8" s="66">
        <f t="shared" si="2"/>
        <v>180</v>
      </c>
      <c r="I8" s="13"/>
      <c r="J8" s="13"/>
      <c r="K8" s="13"/>
      <c r="L8" s="1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C8" s="34"/>
      <c r="AD8" s="35"/>
      <c r="AE8" s="36">
        <v>0.6</v>
      </c>
      <c r="AF8" s="37">
        <v>3.0</v>
      </c>
      <c r="AG8" s="37">
        <v>2.0</v>
      </c>
      <c r="AH8" s="38">
        <f>Max!$B$3*AE8</f>
        <v>60</v>
      </c>
      <c r="AJ8" s="34"/>
      <c r="AK8" s="35"/>
      <c r="AL8" s="36">
        <v>0.6</v>
      </c>
      <c r="AM8" s="37">
        <v>3.0</v>
      </c>
      <c r="AN8" s="37">
        <v>1.0</v>
      </c>
      <c r="AO8" s="38">
        <f>Max!$B$3*AL8</f>
        <v>60</v>
      </c>
      <c r="AQ8" s="27"/>
      <c r="AR8" s="28"/>
      <c r="AS8" s="29">
        <v>0.6</v>
      </c>
      <c r="AT8" s="39">
        <v>3.0</v>
      </c>
      <c r="AU8" s="39">
        <v>2.0</v>
      </c>
      <c r="AV8" s="30">
        <f>Max!$B$4*AS8</f>
        <v>60</v>
      </c>
    </row>
    <row r="9" ht="12.75" customHeight="1">
      <c r="A9" s="34"/>
      <c r="B9" s="35"/>
      <c r="C9" s="36">
        <v>0.7</v>
      </c>
      <c r="D9" s="37">
        <v>3.0</v>
      </c>
      <c r="E9" s="37">
        <v>2.0</v>
      </c>
      <c r="F9" s="38">
        <f>Max!$B$3*C9</f>
        <v>70</v>
      </c>
      <c r="G9" s="66">
        <f t="shared" si="1"/>
        <v>6</v>
      </c>
      <c r="H9" s="66">
        <f t="shared" si="2"/>
        <v>420</v>
      </c>
      <c r="I9" s="13"/>
      <c r="J9" s="13"/>
      <c r="K9" s="13"/>
      <c r="L9" s="1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C9" s="34"/>
      <c r="AD9" s="35"/>
      <c r="AE9" s="36">
        <v>0.7</v>
      </c>
      <c r="AF9" s="37">
        <v>3.0</v>
      </c>
      <c r="AG9" s="37">
        <v>2.0</v>
      </c>
      <c r="AH9" s="38">
        <f>Max!$B$3*AE9</f>
        <v>70</v>
      </c>
      <c r="AJ9" s="34"/>
      <c r="AK9" s="35"/>
      <c r="AL9" s="36">
        <v>0.7</v>
      </c>
      <c r="AM9" s="37">
        <v>3.0</v>
      </c>
      <c r="AN9" s="37">
        <v>2.0</v>
      </c>
      <c r="AO9" s="38">
        <f>Max!$B$3*AL9</f>
        <v>70</v>
      </c>
      <c r="AQ9" s="27"/>
      <c r="AR9" s="28"/>
      <c r="AS9" s="29">
        <v>0.7</v>
      </c>
      <c r="AT9" s="39">
        <v>2.0</v>
      </c>
      <c r="AU9" s="39">
        <v>2.0</v>
      </c>
      <c r="AV9" s="30">
        <f>Max!$B$4*AS9</f>
        <v>70</v>
      </c>
    </row>
    <row r="10" ht="12.75" customHeight="1">
      <c r="A10" s="34"/>
      <c r="B10" s="35"/>
      <c r="C10" s="36">
        <v>0.75</v>
      </c>
      <c r="D10" s="37">
        <v>2.0</v>
      </c>
      <c r="E10" s="37">
        <v>3.0</v>
      </c>
      <c r="F10" s="38">
        <f>Max!$B$3*C10</f>
        <v>75</v>
      </c>
      <c r="G10" s="66">
        <f t="shared" si="1"/>
        <v>6</v>
      </c>
      <c r="H10" s="66">
        <f t="shared" si="2"/>
        <v>450</v>
      </c>
      <c r="I10" s="13"/>
      <c r="J10" s="13"/>
      <c r="K10" s="13"/>
      <c r="L10" s="1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C10" s="34"/>
      <c r="AD10" s="35"/>
      <c r="AE10" s="36">
        <v>0.8</v>
      </c>
      <c r="AF10" s="37">
        <v>2.0</v>
      </c>
      <c r="AG10" s="37">
        <v>4.0</v>
      </c>
      <c r="AH10" s="38">
        <f>Max!$B$3*AE10</f>
        <v>80</v>
      </c>
      <c r="AJ10" s="34"/>
      <c r="AK10" s="35"/>
      <c r="AL10" s="36">
        <v>0.8</v>
      </c>
      <c r="AM10" s="37">
        <v>2.0</v>
      </c>
      <c r="AN10" s="37">
        <v>5.0</v>
      </c>
      <c r="AO10" s="38">
        <f>Max!$B$3*AL10</f>
        <v>80</v>
      </c>
      <c r="AQ10" s="27"/>
      <c r="AR10" s="28"/>
      <c r="AS10" s="29">
        <v>0.75</v>
      </c>
      <c r="AT10" s="39">
        <v>1.0</v>
      </c>
      <c r="AU10" s="39">
        <v>4.0</v>
      </c>
      <c r="AV10" s="30">
        <f>Max!$B$4*AS10</f>
        <v>75</v>
      </c>
    </row>
    <row r="11" ht="12.75" customHeight="1">
      <c r="A11" s="27">
        <v>2.0</v>
      </c>
      <c r="B11" s="28" t="s">
        <v>5</v>
      </c>
      <c r="C11" s="29">
        <v>0.5</v>
      </c>
      <c r="D11" s="39">
        <v>3.0</v>
      </c>
      <c r="E11" s="39">
        <v>1.0</v>
      </c>
      <c r="F11" s="30">
        <f>Max!$B$4*C11</f>
        <v>50</v>
      </c>
      <c r="G11" s="13"/>
      <c r="H11" s="13"/>
      <c r="I11" s="66">
        <f t="shared" ref="I11:I14" si="3">D11*E11</f>
        <v>3</v>
      </c>
      <c r="J11" s="66">
        <f t="shared" ref="J11:J14" si="4">I11*F11</f>
        <v>150</v>
      </c>
      <c r="K11" s="13"/>
      <c r="L11" s="13"/>
      <c r="M11" s="4"/>
      <c r="N11" s="4"/>
      <c r="O11" s="4"/>
      <c r="P11" s="4"/>
      <c r="Q11" s="4"/>
      <c r="R11" s="68">
        <f>I11</f>
        <v>3</v>
      </c>
      <c r="S11" s="68">
        <f>I12</f>
        <v>3</v>
      </c>
      <c r="T11" s="68">
        <f>I13+I14</f>
        <v>12</v>
      </c>
      <c r="U11" s="4"/>
      <c r="V11" s="4"/>
      <c r="W11" s="4"/>
      <c r="X11" s="4"/>
      <c r="Y11" s="4"/>
      <c r="Z11" s="4"/>
      <c r="AA11" s="4"/>
      <c r="AC11" s="27">
        <v>2.0</v>
      </c>
      <c r="AD11" s="28" t="s">
        <v>5</v>
      </c>
      <c r="AE11" s="29">
        <v>0.5</v>
      </c>
      <c r="AF11" s="39">
        <v>3.0</v>
      </c>
      <c r="AG11" s="39">
        <v>1.0</v>
      </c>
      <c r="AH11" s="30">
        <f>Max!$B$4*AE11</f>
        <v>50</v>
      </c>
      <c r="AJ11" s="27">
        <v>2.0</v>
      </c>
      <c r="AK11" s="28" t="s">
        <v>5</v>
      </c>
      <c r="AL11" s="29">
        <v>0.5</v>
      </c>
      <c r="AM11" s="39">
        <v>3.0</v>
      </c>
      <c r="AN11" s="39">
        <v>1.0</v>
      </c>
      <c r="AO11" s="30">
        <f>Max!$B$4*AL11</f>
        <v>50</v>
      </c>
      <c r="AQ11" s="54">
        <v>1.0</v>
      </c>
      <c r="AR11" s="55" t="s">
        <v>6</v>
      </c>
      <c r="AS11" s="56">
        <v>0.5</v>
      </c>
      <c r="AT11" s="58">
        <v>3.0</v>
      </c>
      <c r="AU11" s="58">
        <v>1.0</v>
      </c>
      <c r="AV11" s="57">
        <f>Max!$B$5*AS11</f>
        <v>50</v>
      </c>
    </row>
    <row r="12" ht="12.75" customHeight="1">
      <c r="A12" s="27"/>
      <c r="B12" s="28"/>
      <c r="C12" s="29">
        <v>0.6</v>
      </c>
      <c r="D12" s="39">
        <v>3.0</v>
      </c>
      <c r="E12" s="39">
        <v>1.0</v>
      </c>
      <c r="F12" s="30">
        <f>Max!$B$4*C12</f>
        <v>60</v>
      </c>
      <c r="G12" s="13"/>
      <c r="H12" s="13"/>
      <c r="I12" s="66">
        <f t="shared" si="3"/>
        <v>3</v>
      </c>
      <c r="J12" s="66">
        <f t="shared" si="4"/>
        <v>180</v>
      </c>
      <c r="K12" s="13"/>
      <c r="L12" s="1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C12" s="27"/>
      <c r="AD12" s="28"/>
      <c r="AE12" s="29">
        <v>0.6</v>
      </c>
      <c r="AF12" s="39">
        <v>3.0</v>
      </c>
      <c r="AG12" s="39">
        <v>1.0</v>
      </c>
      <c r="AH12" s="30">
        <f>Max!$B$4*AE12</f>
        <v>60</v>
      </c>
      <c r="AJ12" s="27"/>
      <c r="AK12" s="28"/>
      <c r="AL12" s="29">
        <v>0.6</v>
      </c>
      <c r="AM12" s="39">
        <v>3.0</v>
      </c>
      <c r="AN12" s="39">
        <v>1.0</v>
      </c>
      <c r="AO12" s="30">
        <f>Max!$B$4*AL12</f>
        <v>60</v>
      </c>
      <c r="AQ12" s="54"/>
      <c r="AR12" s="55"/>
      <c r="AS12" s="56">
        <v>0.6</v>
      </c>
      <c r="AT12" s="58">
        <v>2.0</v>
      </c>
      <c r="AU12" s="58">
        <v>2.0</v>
      </c>
      <c r="AV12" s="57">
        <f>Max!$B$5*AS12</f>
        <v>60</v>
      </c>
    </row>
    <row r="13" ht="12.75" customHeight="1">
      <c r="A13" s="27"/>
      <c r="B13" s="28"/>
      <c r="C13" s="29">
        <v>0.7</v>
      </c>
      <c r="D13" s="39">
        <v>3.0</v>
      </c>
      <c r="E13" s="39">
        <v>2.0</v>
      </c>
      <c r="F13" s="30">
        <f>Max!$B$4*C13</f>
        <v>70</v>
      </c>
      <c r="G13" s="13"/>
      <c r="H13" s="13"/>
      <c r="I13" s="66">
        <f t="shared" si="3"/>
        <v>6</v>
      </c>
      <c r="J13" s="66">
        <f t="shared" si="4"/>
        <v>420</v>
      </c>
      <c r="K13" s="13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C13" s="27"/>
      <c r="AD13" s="28"/>
      <c r="AE13" s="29">
        <v>0.7</v>
      </c>
      <c r="AF13" s="39">
        <v>3.0</v>
      </c>
      <c r="AG13" s="39">
        <v>2.0</v>
      </c>
      <c r="AH13" s="30">
        <f>Max!$B$4*AE13</f>
        <v>70</v>
      </c>
      <c r="AJ13" s="27"/>
      <c r="AK13" s="28"/>
      <c r="AL13" s="29">
        <v>0.7</v>
      </c>
      <c r="AM13" s="39">
        <v>3.0</v>
      </c>
      <c r="AN13" s="39">
        <v>2.0</v>
      </c>
      <c r="AO13" s="30">
        <f>Max!$B$4*AL13</f>
        <v>70</v>
      </c>
      <c r="AQ13" s="54"/>
      <c r="AR13" s="55"/>
      <c r="AS13" s="56">
        <v>0.7</v>
      </c>
      <c r="AT13" s="58">
        <v>2.0</v>
      </c>
      <c r="AU13" s="58">
        <v>4.0</v>
      </c>
      <c r="AV13" s="57">
        <f>Max!$B$5*AS13</f>
        <v>70</v>
      </c>
    </row>
    <row r="14" ht="12.75" customHeight="1">
      <c r="A14" s="27"/>
      <c r="B14" s="28"/>
      <c r="C14" s="29">
        <v>0.75</v>
      </c>
      <c r="D14" s="39">
        <v>2.0</v>
      </c>
      <c r="E14" s="39">
        <v>3.0</v>
      </c>
      <c r="F14" s="30">
        <f>Max!$B$4*C14</f>
        <v>75</v>
      </c>
      <c r="G14" s="13"/>
      <c r="H14" s="13"/>
      <c r="I14" s="66">
        <f t="shared" si="3"/>
        <v>6</v>
      </c>
      <c r="J14" s="66">
        <f t="shared" si="4"/>
        <v>450</v>
      </c>
      <c r="K14" s="13"/>
      <c r="L14" s="1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C14" s="27"/>
      <c r="AD14" s="28"/>
      <c r="AE14" s="29">
        <v>0.8</v>
      </c>
      <c r="AF14" s="39">
        <v>3.0</v>
      </c>
      <c r="AG14" s="39">
        <v>5.0</v>
      </c>
      <c r="AH14" s="30">
        <f>Max!$B$4*AE14</f>
        <v>80</v>
      </c>
      <c r="AJ14" s="27"/>
      <c r="AK14" s="28"/>
      <c r="AL14" s="29">
        <v>0.8</v>
      </c>
      <c r="AM14" s="39">
        <v>2.0</v>
      </c>
      <c r="AN14" s="39">
        <v>3.0</v>
      </c>
      <c r="AO14" s="30">
        <f>Max!$B$4*AL14</f>
        <v>80</v>
      </c>
      <c r="AQ14" s="43">
        <v>3.0</v>
      </c>
      <c r="AR14" s="44" t="s">
        <v>43</v>
      </c>
      <c r="AS14" s="45"/>
      <c r="AT14" s="47">
        <v>8.0</v>
      </c>
      <c r="AU14" s="47">
        <v>2.0</v>
      </c>
      <c r="AV14" s="46"/>
    </row>
    <row r="15" ht="12.75" customHeight="1">
      <c r="A15" s="49">
        <v>3.0</v>
      </c>
      <c r="B15" s="50" t="s">
        <v>43</v>
      </c>
      <c r="C15" s="51"/>
      <c r="D15" s="53">
        <v>10.0</v>
      </c>
      <c r="E15" s="53">
        <v>3.0</v>
      </c>
      <c r="F15" s="52"/>
      <c r="G15" s="13"/>
      <c r="H15" s="13"/>
      <c r="I15" s="13"/>
      <c r="J15" s="13"/>
      <c r="K15" s="13"/>
      <c r="L15" s="1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C15" s="43">
        <v>3.0</v>
      </c>
      <c r="AD15" s="44" t="s">
        <v>38</v>
      </c>
      <c r="AE15" s="45"/>
      <c r="AF15" s="47">
        <v>8.0</v>
      </c>
      <c r="AG15" s="47">
        <v>4.0</v>
      </c>
      <c r="AH15" s="46"/>
      <c r="AJ15" s="27"/>
      <c r="AK15" s="28"/>
      <c r="AL15" s="29">
        <v>0.85</v>
      </c>
      <c r="AM15" s="39">
        <v>1.0</v>
      </c>
      <c r="AN15" s="39">
        <v>3.0</v>
      </c>
      <c r="AO15" s="30">
        <f>Max!$B$4*AL15</f>
        <v>85</v>
      </c>
      <c r="AQ15" s="20"/>
      <c r="AR15" s="48"/>
      <c r="AS15" s="25"/>
      <c r="AT15" s="66"/>
      <c r="AU15" s="13"/>
      <c r="AV15" s="19"/>
    </row>
    <row r="16" ht="12.75" customHeight="1">
      <c r="A16" s="20"/>
      <c r="B16" s="48"/>
      <c r="C16" s="25"/>
      <c r="D16" s="66"/>
      <c r="E16" s="13"/>
      <c r="F16" s="19"/>
      <c r="G16" s="13"/>
      <c r="H16" s="13"/>
      <c r="I16" s="13"/>
      <c r="J16" s="13"/>
      <c r="K16" s="13"/>
      <c r="L16" s="1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 s="34">
        <v>4.0</v>
      </c>
      <c r="AD16" s="35" t="s">
        <v>35</v>
      </c>
      <c r="AE16" s="36">
        <v>0.55</v>
      </c>
      <c r="AF16" s="37">
        <v>3.0</v>
      </c>
      <c r="AG16" s="37">
        <v>1.0</v>
      </c>
      <c r="AH16" s="38">
        <f>Max!$B$3*AE16</f>
        <v>55</v>
      </c>
      <c r="AJ16" s="43">
        <v>3.0</v>
      </c>
      <c r="AK16" s="44" t="s">
        <v>36</v>
      </c>
      <c r="AL16" s="45"/>
      <c r="AM16" s="47">
        <v>8.0</v>
      </c>
      <c r="AN16" s="47">
        <v>4.0</v>
      </c>
      <c r="AO16" s="46"/>
      <c r="AQ16" s="20" t="s">
        <v>41</v>
      </c>
      <c r="AS16" s="26" t="s">
        <v>24</v>
      </c>
      <c r="AT16" s="67" t="s">
        <v>25</v>
      </c>
      <c r="AU16" s="17" t="s">
        <v>26</v>
      </c>
      <c r="AV16" s="18" t="s">
        <v>42</v>
      </c>
    </row>
    <row r="17" ht="12.75" customHeight="1">
      <c r="A17" s="20" t="s">
        <v>41</v>
      </c>
      <c r="C17" s="26" t="s">
        <v>24</v>
      </c>
      <c r="D17" s="67" t="s">
        <v>25</v>
      </c>
      <c r="E17" s="17" t="s">
        <v>26</v>
      </c>
      <c r="F17" s="18" t="s">
        <v>42</v>
      </c>
      <c r="G17" s="13"/>
      <c r="H17" s="13"/>
      <c r="I17" s="13"/>
      <c r="J17" s="13"/>
      <c r="K17" s="13"/>
      <c r="L17" s="1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C17" s="34"/>
      <c r="AD17" s="35"/>
      <c r="AE17" s="36">
        <v>0.65</v>
      </c>
      <c r="AF17" s="37">
        <v>3.0</v>
      </c>
      <c r="AG17" s="37">
        <v>2.0</v>
      </c>
      <c r="AH17" s="38">
        <f>Max!$B$3*AE17</f>
        <v>65</v>
      </c>
      <c r="AJ17" s="49">
        <v>4.0</v>
      </c>
      <c r="AK17" s="44" t="s">
        <v>43</v>
      </c>
      <c r="AL17" s="51"/>
      <c r="AM17" s="53">
        <v>4.0</v>
      </c>
      <c r="AN17" s="53">
        <v>5.0</v>
      </c>
      <c r="AO17" s="52"/>
      <c r="AQ17" s="34">
        <v>1.0</v>
      </c>
      <c r="AR17" s="35" t="s">
        <v>34</v>
      </c>
      <c r="AS17" s="36">
        <v>0.5</v>
      </c>
      <c r="AT17" s="37">
        <v>3.0</v>
      </c>
      <c r="AU17" s="37">
        <v>1.0</v>
      </c>
      <c r="AV17" s="38">
        <f>Max!$B$3*AS17</f>
        <v>50</v>
      </c>
    </row>
    <row r="18" ht="12.75" customHeight="1">
      <c r="A18" s="34">
        <v>1.0</v>
      </c>
      <c r="B18" s="35" t="s">
        <v>34</v>
      </c>
      <c r="C18" s="36">
        <v>0.5</v>
      </c>
      <c r="D18" s="37">
        <v>3.0</v>
      </c>
      <c r="E18" s="37">
        <v>1.0</v>
      </c>
      <c r="F18" s="38">
        <f>Max!$B$3*C18</f>
        <v>50</v>
      </c>
      <c r="G18" s="66">
        <f t="shared" ref="G18:G22" si="5">D18*E18</f>
        <v>3</v>
      </c>
      <c r="H18" s="66">
        <f t="shared" ref="H18:H22" si="6">G18*F18</f>
        <v>150</v>
      </c>
      <c r="I18" s="13"/>
      <c r="J18" s="13"/>
      <c r="K18" s="13"/>
      <c r="L18" s="13"/>
      <c r="M18" s="68">
        <f>G18</f>
        <v>3</v>
      </c>
      <c r="N18" s="68">
        <f>G19</f>
        <v>6</v>
      </c>
      <c r="O18" s="68">
        <f>G20</f>
        <v>4</v>
      </c>
      <c r="P18" s="68">
        <f>G21</f>
        <v>2</v>
      </c>
      <c r="Q18" s="68">
        <f>G22+G23</f>
        <v>3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C18" s="34"/>
      <c r="AD18" s="35"/>
      <c r="AE18" s="36">
        <v>0.75</v>
      </c>
      <c r="AF18" s="37">
        <v>3.0</v>
      </c>
      <c r="AG18" s="37">
        <v>4.0</v>
      </c>
      <c r="AH18" s="38">
        <f>Max!$B$3*AE18</f>
        <v>75</v>
      </c>
      <c r="AJ18" s="20"/>
      <c r="AK18" s="48"/>
      <c r="AL18" s="25"/>
      <c r="AM18" s="66"/>
      <c r="AN18" s="13"/>
      <c r="AO18" s="19"/>
      <c r="AQ18" s="34"/>
      <c r="AR18" s="35"/>
      <c r="AS18" s="36">
        <v>0.6</v>
      </c>
      <c r="AT18" s="37">
        <v>3.0</v>
      </c>
      <c r="AU18" s="37">
        <v>2.0</v>
      </c>
      <c r="AV18" s="38">
        <f>Max!$B$3*AS18</f>
        <v>60</v>
      </c>
    </row>
    <row r="19" ht="12.75" customHeight="1">
      <c r="A19" s="34"/>
      <c r="B19" s="35"/>
      <c r="C19" s="36">
        <v>0.6</v>
      </c>
      <c r="D19" s="37">
        <v>3.0</v>
      </c>
      <c r="E19" s="37">
        <v>2.0</v>
      </c>
      <c r="F19" s="38">
        <f>Max!$B$3*C19</f>
        <v>60</v>
      </c>
      <c r="G19" s="66">
        <f t="shared" si="5"/>
        <v>6</v>
      </c>
      <c r="H19" s="66">
        <f t="shared" si="6"/>
        <v>360</v>
      </c>
      <c r="I19" s="13"/>
      <c r="J19" s="13"/>
      <c r="K19" s="13"/>
      <c r="L19" s="1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C19" s="20"/>
      <c r="AD19" s="48"/>
      <c r="AE19" s="25"/>
      <c r="AF19" s="66"/>
      <c r="AG19" s="13"/>
      <c r="AH19" s="19"/>
      <c r="AJ19" s="20" t="s">
        <v>41</v>
      </c>
      <c r="AL19" s="26" t="s">
        <v>24</v>
      </c>
      <c r="AM19" s="67" t="s">
        <v>25</v>
      </c>
      <c r="AN19" s="17" t="s">
        <v>26</v>
      </c>
      <c r="AO19" s="18" t="s">
        <v>42</v>
      </c>
      <c r="AQ19" s="34"/>
      <c r="AR19" s="35"/>
      <c r="AS19" s="36">
        <v>0.7</v>
      </c>
      <c r="AT19" s="37">
        <v>2.0</v>
      </c>
      <c r="AU19" s="37">
        <v>3.0</v>
      </c>
      <c r="AV19" s="38">
        <f>Max!$B$3*AS19</f>
        <v>70</v>
      </c>
    </row>
    <row r="20" ht="12.75" customHeight="1">
      <c r="A20" s="34"/>
      <c r="B20" s="35"/>
      <c r="C20" s="36">
        <v>0.7</v>
      </c>
      <c r="D20" s="37">
        <v>2.0</v>
      </c>
      <c r="E20" s="37">
        <v>2.0</v>
      </c>
      <c r="F20" s="38">
        <f>Max!$B$3*C20</f>
        <v>70</v>
      </c>
      <c r="G20" s="66">
        <f t="shared" si="5"/>
        <v>4</v>
      </c>
      <c r="H20" s="66">
        <f t="shared" si="6"/>
        <v>280</v>
      </c>
      <c r="I20" s="13"/>
      <c r="J20" s="13"/>
      <c r="K20" s="13"/>
      <c r="L20" s="1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C20" s="20" t="s">
        <v>41</v>
      </c>
      <c r="AE20" s="26" t="s">
        <v>24</v>
      </c>
      <c r="AF20" s="67" t="s">
        <v>25</v>
      </c>
      <c r="AG20" s="17" t="s">
        <v>26</v>
      </c>
      <c r="AH20" s="18" t="s">
        <v>42</v>
      </c>
      <c r="AJ20" s="27">
        <v>1.0</v>
      </c>
      <c r="AK20" s="28" t="s">
        <v>5</v>
      </c>
      <c r="AL20" s="29">
        <v>0.5</v>
      </c>
      <c r="AM20" s="39">
        <v>3.0</v>
      </c>
      <c r="AN20" s="39">
        <v>1.0</v>
      </c>
      <c r="AO20" s="30">
        <f>Max!$B$4*AL20</f>
        <v>50</v>
      </c>
      <c r="AQ20" s="27">
        <v>2.0</v>
      </c>
      <c r="AR20" s="28" t="s">
        <v>5</v>
      </c>
      <c r="AS20" s="29">
        <v>0.5</v>
      </c>
      <c r="AT20" s="39">
        <v>3.0</v>
      </c>
      <c r="AU20" s="39">
        <v>1.0</v>
      </c>
      <c r="AV20" s="30">
        <f>Max!$B$4*AS20</f>
        <v>50</v>
      </c>
    </row>
    <row r="21" ht="12.75" customHeight="1">
      <c r="A21" s="34"/>
      <c r="B21" s="35"/>
      <c r="C21" s="36">
        <v>0.8</v>
      </c>
      <c r="D21" s="37">
        <v>2.0</v>
      </c>
      <c r="E21" s="37">
        <v>1.0</v>
      </c>
      <c r="F21" s="38">
        <f>Max!$B$3*C21</f>
        <v>80</v>
      </c>
      <c r="G21" s="66">
        <f t="shared" si="5"/>
        <v>2</v>
      </c>
      <c r="H21" s="66">
        <f t="shared" si="6"/>
        <v>160</v>
      </c>
      <c r="I21" s="13"/>
      <c r="J21" s="13"/>
      <c r="K21" s="13"/>
      <c r="L21" s="1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C21" s="54">
        <v>1.0</v>
      </c>
      <c r="AD21" s="55" t="s">
        <v>54</v>
      </c>
      <c r="AE21" s="56">
        <v>0.5</v>
      </c>
      <c r="AF21" s="58">
        <v>3.0</v>
      </c>
      <c r="AG21" s="58">
        <v>1.0</v>
      </c>
      <c r="AH21" s="57">
        <f>Max!$B$5*AE21</f>
        <v>50</v>
      </c>
      <c r="AJ21" s="27"/>
      <c r="AK21" s="28"/>
      <c r="AL21" s="29">
        <v>0.6</v>
      </c>
      <c r="AM21" s="39">
        <v>3.0</v>
      </c>
      <c r="AN21" s="39">
        <v>1.0</v>
      </c>
      <c r="AO21" s="30">
        <f>Max!$B$4*AL21</f>
        <v>60</v>
      </c>
      <c r="AQ21" s="27"/>
      <c r="AR21" s="28"/>
      <c r="AS21" s="29">
        <v>0.6</v>
      </c>
      <c r="AT21" s="39">
        <v>3.0</v>
      </c>
      <c r="AU21" s="39">
        <v>2.0</v>
      </c>
      <c r="AV21" s="30">
        <f>Max!$B$4*AS21</f>
        <v>60</v>
      </c>
    </row>
    <row r="22" ht="12.75" customHeight="1">
      <c r="A22" s="34"/>
      <c r="B22" s="35"/>
      <c r="C22" s="36">
        <v>0.9</v>
      </c>
      <c r="D22" s="37">
        <v>1.0</v>
      </c>
      <c r="E22" s="37">
        <v>1.0</v>
      </c>
      <c r="F22" s="38">
        <f>Max!$B$3*C22</f>
        <v>90</v>
      </c>
      <c r="G22" s="66">
        <f t="shared" si="5"/>
        <v>1</v>
      </c>
      <c r="H22" s="66">
        <f t="shared" si="6"/>
        <v>90</v>
      </c>
      <c r="I22" s="13"/>
      <c r="J22" s="13"/>
      <c r="K22" s="13"/>
      <c r="L22" s="1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C22" s="54"/>
      <c r="AD22" s="55"/>
      <c r="AE22" s="56">
        <v>0.6</v>
      </c>
      <c r="AF22" s="58">
        <v>2.0</v>
      </c>
      <c r="AG22" s="58">
        <v>2.0</v>
      </c>
      <c r="AH22" s="57">
        <f>Max!$B$5*AE22</f>
        <v>60</v>
      </c>
      <c r="AJ22" s="27"/>
      <c r="AK22" s="28"/>
      <c r="AL22" s="29">
        <v>0.7</v>
      </c>
      <c r="AM22" s="39">
        <v>3.0</v>
      </c>
      <c r="AN22" s="39">
        <v>2.0</v>
      </c>
      <c r="AO22" s="30">
        <f>Max!$B$4*AL22</f>
        <v>70</v>
      </c>
      <c r="AQ22" s="27"/>
      <c r="AR22" s="28"/>
      <c r="AS22" s="29">
        <v>0.7</v>
      </c>
      <c r="AT22" s="39">
        <v>2.0</v>
      </c>
      <c r="AU22" s="39">
        <v>3.0</v>
      </c>
      <c r="AV22" s="30">
        <f>Max!$B$4*AS22</f>
        <v>70</v>
      </c>
    </row>
    <row r="23" ht="12.75" customHeight="1">
      <c r="A23" s="34"/>
      <c r="B23" s="35"/>
      <c r="C23" s="36" t="s">
        <v>58</v>
      </c>
      <c r="D23" s="37">
        <v>1.0</v>
      </c>
      <c r="E23" s="69" t="s">
        <v>59</v>
      </c>
      <c r="F23" s="37" t="str">
        <f>Max!$B$3*MID(C23,1,1)&amp;"-"&amp;Max!$B$3*MID(C23,6,7)</f>
        <v>100-105</v>
      </c>
      <c r="G23" s="13">
        <f>2</f>
        <v>2</v>
      </c>
      <c r="H23" s="13">
        <f>Max!B3*2*1</f>
        <v>200</v>
      </c>
      <c r="I23" s="13"/>
      <c r="J23" s="13"/>
      <c r="K23" s="13"/>
      <c r="L23" s="1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C23" s="54"/>
      <c r="AD23" s="55"/>
      <c r="AE23" s="56">
        <v>0.65</v>
      </c>
      <c r="AF23" s="58">
        <v>2.0</v>
      </c>
      <c r="AG23" s="58">
        <v>2.0</v>
      </c>
      <c r="AH23" s="57">
        <f>Max!$B$5*AE23</f>
        <v>65</v>
      </c>
      <c r="AJ23" s="27"/>
      <c r="AK23" s="28"/>
      <c r="AL23" s="29">
        <v>0.8</v>
      </c>
      <c r="AM23" s="39">
        <v>2.0</v>
      </c>
      <c r="AN23" s="39">
        <v>5.0</v>
      </c>
      <c r="AO23" s="30">
        <f>Max!$B$4*AL23</f>
        <v>80</v>
      </c>
      <c r="AQ23" s="20"/>
      <c r="AR23" s="48"/>
      <c r="AS23" s="25"/>
      <c r="AT23" s="66"/>
      <c r="AU23" s="13"/>
      <c r="AV23" s="19"/>
    </row>
    <row r="24" ht="12.75" customHeight="1">
      <c r="A24" s="27">
        <v>2.0</v>
      </c>
      <c r="B24" s="28" t="s">
        <v>5</v>
      </c>
      <c r="C24" s="29">
        <v>0.5</v>
      </c>
      <c r="D24" s="39">
        <v>3.0</v>
      </c>
      <c r="E24" s="39">
        <v>1.0</v>
      </c>
      <c r="F24" s="30">
        <f>Max!$B$4*C24</f>
        <v>50</v>
      </c>
      <c r="G24" s="13"/>
      <c r="H24" s="13"/>
      <c r="I24" s="66">
        <f t="shared" ref="I24:I28" si="7">D24*E24</f>
        <v>3</v>
      </c>
      <c r="J24" s="66">
        <f t="shared" ref="J24:J28" si="8">I24*F24</f>
        <v>150</v>
      </c>
      <c r="K24" s="13"/>
      <c r="L24" s="13"/>
      <c r="M24" s="4"/>
      <c r="N24" s="4"/>
      <c r="O24" s="4"/>
      <c r="P24" s="4"/>
      <c r="Q24" s="4"/>
      <c r="R24" s="68">
        <f>I24</f>
        <v>3</v>
      </c>
      <c r="S24" s="68">
        <f>I25</f>
        <v>3</v>
      </c>
      <c r="T24" s="68">
        <f>I26</f>
        <v>4</v>
      </c>
      <c r="U24" s="68">
        <f>I27</f>
        <v>2</v>
      </c>
      <c r="V24" s="68">
        <f>I28+I29</f>
        <v>3</v>
      </c>
      <c r="W24" s="4"/>
      <c r="X24" s="4"/>
      <c r="Y24" s="4"/>
      <c r="Z24" s="4"/>
      <c r="AA24" s="4"/>
      <c r="AC24" s="54"/>
      <c r="AD24" s="55"/>
      <c r="AE24" s="56">
        <v>0.7</v>
      </c>
      <c r="AF24" s="58">
        <v>1.0</v>
      </c>
      <c r="AG24" s="58">
        <v>3.0</v>
      </c>
      <c r="AH24" s="57">
        <f>Max!$B$5*AE24</f>
        <v>70</v>
      </c>
      <c r="AJ24" s="43">
        <v>2.0</v>
      </c>
      <c r="AK24" s="44" t="s">
        <v>36</v>
      </c>
      <c r="AL24" s="45"/>
      <c r="AM24" s="47">
        <v>8.0</v>
      </c>
      <c r="AN24" s="47">
        <v>4.0</v>
      </c>
      <c r="AO24" s="46"/>
      <c r="AQ24" s="20" t="s">
        <v>60</v>
      </c>
      <c r="AS24" s="26"/>
      <c r="AT24" s="67"/>
      <c r="AU24" s="17"/>
      <c r="AV24" s="18"/>
    </row>
    <row r="25" ht="12.75" customHeight="1">
      <c r="A25" s="27"/>
      <c r="B25" s="28"/>
      <c r="C25" s="29">
        <v>0.6</v>
      </c>
      <c r="D25" s="39">
        <v>3.0</v>
      </c>
      <c r="E25" s="39">
        <v>1.0</v>
      </c>
      <c r="F25" s="30">
        <f>Max!$B$4*C25</f>
        <v>60</v>
      </c>
      <c r="G25" s="13"/>
      <c r="H25" s="13"/>
      <c r="I25" s="66">
        <f t="shared" si="7"/>
        <v>3</v>
      </c>
      <c r="J25" s="66">
        <f t="shared" si="8"/>
        <v>180</v>
      </c>
      <c r="K25" s="13"/>
      <c r="L25" s="1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C25" s="27">
        <v>2.0</v>
      </c>
      <c r="AD25" s="28" t="s">
        <v>5</v>
      </c>
      <c r="AE25" s="29">
        <v>0.5</v>
      </c>
      <c r="AF25" s="39">
        <v>3.0</v>
      </c>
      <c r="AG25" s="39">
        <v>1.0</v>
      </c>
      <c r="AH25" s="30">
        <f>Max!$B$4*AE25</f>
        <v>50</v>
      </c>
      <c r="AJ25" s="54">
        <v>3.0</v>
      </c>
      <c r="AK25" s="55" t="s">
        <v>6</v>
      </c>
      <c r="AL25" s="56">
        <v>0.5</v>
      </c>
      <c r="AM25" s="58">
        <v>3.0</v>
      </c>
      <c r="AN25" s="58">
        <v>1.0</v>
      </c>
      <c r="AO25" s="57">
        <f>Max!$B$5*AL25</f>
        <v>50</v>
      </c>
      <c r="AQ25" s="20"/>
      <c r="AR25" s="48" t="s">
        <v>61</v>
      </c>
      <c r="AS25" s="25"/>
      <c r="AT25" s="66"/>
      <c r="AU25" s="13"/>
      <c r="AV25" s="19"/>
    </row>
    <row r="26" ht="12.75" customHeight="1">
      <c r="A26" s="27"/>
      <c r="B26" s="28"/>
      <c r="C26" s="29">
        <v>0.7</v>
      </c>
      <c r="D26" s="39">
        <v>2.0</v>
      </c>
      <c r="E26" s="39">
        <v>2.0</v>
      </c>
      <c r="F26" s="30">
        <f>Max!$B$4*C26</f>
        <v>70</v>
      </c>
      <c r="G26" s="13"/>
      <c r="H26" s="13"/>
      <c r="I26" s="66">
        <f t="shared" si="7"/>
        <v>4</v>
      </c>
      <c r="J26" s="66">
        <f t="shared" si="8"/>
        <v>280</v>
      </c>
      <c r="K26" s="13"/>
      <c r="L26" s="1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C26" s="27"/>
      <c r="AD26" s="28"/>
      <c r="AE26" s="29">
        <v>0.6</v>
      </c>
      <c r="AF26" s="39">
        <v>3.0</v>
      </c>
      <c r="AG26" s="39">
        <v>1.0</v>
      </c>
      <c r="AH26" s="30">
        <f>Max!$B$4*AE26</f>
        <v>60</v>
      </c>
      <c r="AJ26" s="54"/>
      <c r="AK26" s="55"/>
      <c r="AL26" s="56">
        <v>0.6</v>
      </c>
      <c r="AM26" s="58">
        <v>3.0</v>
      </c>
      <c r="AN26" s="58">
        <v>2.0</v>
      </c>
      <c r="AO26" s="57">
        <f>Max!$B$5*AL26</f>
        <v>60</v>
      </c>
    </row>
    <row r="27" ht="12.75" customHeight="1">
      <c r="A27" s="27"/>
      <c r="B27" s="28"/>
      <c r="C27" s="29">
        <v>0.8</v>
      </c>
      <c r="D27" s="39">
        <v>2.0</v>
      </c>
      <c r="E27" s="39">
        <v>1.0</v>
      </c>
      <c r="F27" s="30">
        <f>Max!$B$4*C27</f>
        <v>80</v>
      </c>
      <c r="G27" s="13"/>
      <c r="H27" s="13"/>
      <c r="I27" s="66">
        <f t="shared" si="7"/>
        <v>2</v>
      </c>
      <c r="J27" s="66">
        <f t="shared" si="8"/>
        <v>160</v>
      </c>
      <c r="K27" s="13"/>
      <c r="L27" s="1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C27" s="27"/>
      <c r="AD27" s="28"/>
      <c r="AE27" s="29">
        <v>0.7</v>
      </c>
      <c r="AF27" s="39">
        <v>3.0</v>
      </c>
      <c r="AG27" s="39">
        <v>2.0</v>
      </c>
      <c r="AH27" s="30">
        <f>Max!$B$4*AE27</f>
        <v>70</v>
      </c>
      <c r="AJ27" s="54"/>
      <c r="AK27" s="55"/>
      <c r="AL27" s="56">
        <v>0.7</v>
      </c>
      <c r="AM27" s="58">
        <v>3.0</v>
      </c>
      <c r="AN27" s="58">
        <v>2.0</v>
      </c>
      <c r="AO27" s="57">
        <f>Max!$B$5*AL27</f>
        <v>70</v>
      </c>
    </row>
    <row r="28" ht="12.75" customHeight="1">
      <c r="A28" s="27"/>
      <c r="B28" s="28"/>
      <c r="C28" s="29">
        <v>0.9</v>
      </c>
      <c r="D28" s="39">
        <v>1.0</v>
      </c>
      <c r="E28" s="39">
        <v>1.0</v>
      </c>
      <c r="F28" s="30">
        <f>Max!$B$4*C28</f>
        <v>90</v>
      </c>
      <c r="G28" s="13"/>
      <c r="H28" s="13"/>
      <c r="I28" s="66">
        <f t="shared" si="7"/>
        <v>1</v>
      </c>
      <c r="J28" s="66">
        <f t="shared" si="8"/>
        <v>90</v>
      </c>
      <c r="K28" s="13"/>
      <c r="L28" s="1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27"/>
      <c r="AD28" s="28"/>
      <c r="AE28" s="29">
        <v>0.8</v>
      </c>
      <c r="AF28" s="39">
        <v>3.0</v>
      </c>
      <c r="AG28" s="39">
        <v>2.0</v>
      </c>
      <c r="AH28" s="30">
        <f>Max!$B$4*AE28</f>
        <v>80</v>
      </c>
      <c r="AJ28" s="54"/>
      <c r="AK28" s="55"/>
      <c r="AL28" s="56">
        <v>0.75</v>
      </c>
      <c r="AM28" s="58">
        <v>2.0</v>
      </c>
      <c r="AN28" s="58">
        <v>5.0</v>
      </c>
      <c r="AO28" s="57">
        <f>Max!$B$5*AL28</f>
        <v>75</v>
      </c>
    </row>
    <row r="29" ht="12.75" customHeight="1">
      <c r="A29" s="27"/>
      <c r="B29" s="28"/>
      <c r="C29" s="29" t="s">
        <v>58</v>
      </c>
      <c r="D29" s="39">
        <v>1.0</v>
      </c>
      <c r="E29" s="70" t="s">
        <v>59</v>
      </c>
      <c r="F29" s="39" t="str">
        <f>Max!$B$4*MID(C29,1,1)&amp;"-"&amp;Max!$B$4*MID(C29,6,7)</f>
        <v>100-105</v>
      </c>
      <c r="G29" s="13"/>
      <c r="H29" s="13"/>
      <c r="I29" s="13">
        <f>2</f>
        <v>2</v>
      </c>
      <c r="J29" s="13">
        <f>2*1*Max!B4</f>
        <v>200</v>
      </c>
      <c r="K29" s="13"/>
      <c r="L29" s="1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C29" s="27"/>
      <c r="AD29" s="28"/>
      <c r="AE29" s="29">
        <v>0.85</v>
      </c>
      <c r="AF29" s="39">
        <v>2.0</v>
      </c>
      <c r="AG29" s="39">
        <v>3.0</v>
      </c>
      <c r="AH29" s="30">
        <f>Max!$B$4*AE29</f>
        <v>85</v>
      </c>
      <c r="AJ29" s="43">
        <v>4.0</v>
      </c>
      <c r="AK29" s="44" t="s">
        <v>40</v>
      </c>
      <c r="AL29" s="45"/>
      <c r="AM29" s="47">
        <v>5.0</v>
      </c>
      <c r="AN29" s="47">
        <v>4.0</v>
      </c>
      <c r="AO29" s="46"/>
    </row>
    <row r="30" ht="12.75" customHeight="1">
      <c r="A30" s="54">
        <v>3.0</v>
      </c>
      <c r="B30" s="55" t="s">
        <v>62</v>
      </c>
      <c r="C30" s="56">
        <v>0.5</v>
      </c>
      <c r="D30" s="58">
        <v>3.0</v>
      </c>
      <c r="E30" s="58">
        <v>1.0</v>
      </c>
      <c r="F30" s="57">
        <f>Max!$B$5*C30</f>
        <v>50</v>
      </c>
      <c r="G30" s="13"/>
      <c r="H30" s="13"/>
      <c r="I30" s="13"/>
      <c r="J30" s="13"/>
      <c r="K30" s="66">
        <f t="shared" ref="K30:K34" si="9">D30*E30</f>
        <v>3</v>
      </c>
      <c r="L30" s="66">
        <f t="shared" ref="L30:L34" si="10">K30*F30</f>
        <v>150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8">
        <f>K30</f>
        <v>3</v>
      </c>
      <c r="X30" s="68">
        <f>K31</f>
        <v>2</v>
      </c>
      <c r="Y30" s="68">
        <f>K32</f>
        <v>4</v>
      </c>
      <c r="Z30" s="68">
        <f>K33</f>
        <v>1</v>
      </c>
      <c r="AA30" s="68">
        <f>K34+K35</f>
        <v>3</v>
      </c>
      <c r="AC30" s="43">
        <v>3.0</v>
      </c>
      <c r="AD30" s="44" t="s">
        <v>36</v>
      </c>
      <c r="AE30" s="45"/>
      <c r="AF30" s="47">
        <v>10.0</v>
      </c>
      <c r="AG30" s="47">
        <v>5.0</v>
      </c>
      <c r="AH30" s="46"/>
      <c r="AJ30" s="20"/>
      <c r="AK30" s="48"/>
      <c r="AL30" s="25"/>
      <c r="AM30" s="66"/>
      <c r="AN30" s="13"/>
      <c r="AO30" s="19"/>
    </row>
    <row r="31" ht="12.75" customHeight="1">
      <c r="A31" s="54"/>
      <c r="B31" s="55"/>
      <c r="C31" s="56">
        <v>0.6</v>
      </c>
      <c r="D31" s="58">
        <v>2.0</v>
      </c>
      <c r="E31" s="58">
        <v>1.0</v>
      </c>
      <c r="F31" s="57">
        <f>Max!$B$5*C31</f>
        <v>60</v>
      </c>
      <c r="G31" s="13"/>
      <c r="H31" s="13"/>
      <c r="I31" s="13"/>
      <c r="J31" s="13"/>
      <c r="K31" s="66">
        <f t="shared" si="9"/>
        <v>2</v>
      </c>
      <c r="L31" s="66">
        <f t="shared" si="10"/>
        <v>120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C31" s="54">
        <v>4.0</v>
      </c>
      <c r="AD31" s="55" t="s">
        <v>6</v>
      </c>
      <c r="AE31" s="56">
        <v>0.5</v>
      </c>
      <c r="AF31" s="58">
        <v>3.0</v>
      </c>
      <c r="AG31" s="58">
        <v>1.0</v>
      </c>
      <c r="AH31" s="57">
        <f>Max!$B$5*AE31</f>
        <v>50</v>
      </c>
      <c r="AJ31" s="20" t="s">
        <v>48</v>
      </c>
      <c r="AL31" s="26" t="s">
        <v>24</v>
      </c>
      <c r="AM31" s="67" t="s">
        <v>25</v>
      </c>
      <c r="AN31" s="17" t="s">
        <v>26</v>
      </c>
      <c r="AO31" s="18" t="s">
        <v>42</v>
      </c>
    </row>
    <row r="32" ht="12.75" customHeight="1">
      <c r="A32" s="54"/>
      <c r="B32" s="55"/>
      <c r="C32" s="56">
        <v>0.7</v>
      </c>
      <c r="D32" s="58">
        <v>2.0</v>
      </c>
      <c r="E32" s="58">
        <v>2.0</v>
      </c>
      <c r="F32" s="57">
        <f>Max!$B$5*C32</f>
        <v>70</v>
      </c>
      <c r="G32" s="13"/>
      <c r="H32" s="13"/>
      <c r="I32" s="13"/>
      <c r="J32" s="13"/>
      <c r="K32" s="66">
        <f t="shared" si="9"/>
        <v>4</v>
      </c>
      <c r="L32" s="66">
        <f t="shared" si="10"/>
        <v>280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54"/>
      <c r="AD32" s="55"/>
      <c r="AE32" s="56">
        <v>0.6</v>
      </c>
      <c r="AF32" s="58">
        <v>3.0</v>
      </c>
      <c r="AG32" s="58">
        <v>1.0</v>
      </c>
      <c r="AH32" s="57">
        <f>Max!$B$5*AE32</f>
        <v>60</v>
      </c>
      <c r="AJ32" s="34">
        <v>1.0</v>
      </c>
      <c r="AK32" s="35" t="s">
        <v>34</v>
      </c>
      <c r="AL32" s="36">
        <v>0.5</v>
      </c>
      <c r="AM32" s="37">
        <v>3.0</v>
      </c>
      <c r="AN32" s="37">
        <v>1.0</v>
      </c>
      <c r="AO32" s="38">
        <f>Max!$B$3*AL32</f>
        <v>50</v>
      </c>
    </row>
    <row r="33" ht="12.75" customHeight="1">
      <c r="A33" s="54"/>
      <c r="B33" s="55"/>
      <c r="C33" s="56">
        <v>0.8</v>
      </c>
      <c r="D33" s="58">
        <v>1.0</v>
      </c>
      <c r="E33" s="58">
        <v>1.0</v>
      </c>
      <c r="F33" s="57">
        <f>Max!$B$5*C33</f>
        <v>80</v>
      </c>
      <c r="G33" s="13"/>
      <c r="H33" s="13"/>
      <c r="I33" s="13"/>
      <c r="J33" s="13"/>
      <c r="K33" s="66">
        <f t="shared" si="9"/>
        <v>1</v>
      </c>
      <c r="L33" s="66">
        <f t="shared" si="10"/>
        <v>80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54"/>
      <c r="AD33" s="55"/>
      <c r="AE33" s="56">
        <v>0.7</v>
      </c>
      <c r="AF33" s="58">
        <v>3.0</v>
      </c>
      <c r="AG33" s="58">
        <v>2.0</v>
      </c>
      <c r="AH33" s="57">
        <f>Max!$B$5*AE33</f>
        <v>70</v>
      </c>
      <c r="AJ33" s="34"/>
      <c r="AK33" s="35"/>
      <c r="AL33" s="36">
        <v>0.6</v>
      </c>
      <c r="AM33" s="37">
        <v>3.0</v>
      </c>
      <c r="AN33" s="37">
        <v>2.0</v>
      </c>
      <c r="AO33" s="38">
        <f>Max!$B$3*AL33</f>
        <v>60</v>
      </c>
    </row>
    <row r="34" ht="12.75" customHeight="1">
      <c r="A34" s="54"/>
      <c r="B34" s="55"/>
      <c r="C34" s="56">
        <v>0.9</v>
      </c>
      <c r="D34" s="58">
        <v>1.0</v>
      </c>
      <c r="E34" s="58">
        <v>1.0</v>
      </c>
      <c r="F34" s="57">
        <f>Max!$B$5*C34</f>
        <v>90</v>
      </c>
      <c r="G34" s="13"/>
      <c r="H34" s="13"/>
      <c r="I34" s="13"/>
      <c r="J34" s="13"/>
      <c r="K34" s="66">
        <f t="shared" si="9"/>
        <v>1</v>
      </c>
      <c r="L34" s="66">
        <f t="shared" si="10"/>
        <v>90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C34" s="54"/>
      <c r="AD34" s="55"/>
      <c r="AE34" s="56">
        <v>0.8</v>
      </c>
      <c r="AF34" s="58">
        <v>3.0</v>
      </c>
      <c r="AG34" s="58">
        <v>5.0</v>
      </c>
      <c r="AH34" s="57">
        <f>Max!$B$5*AE34</f>
        <v>80</v>
      </c>
      <c r="AJ34" s="34"/>
      <c r="AK34" s="35"/>
      <c r="AL34" s="36">
        <v>0.7</v>
      </c>
      <c r="AM34" s="37">
        <v>2.0</v>
      </c>
      <c r="AN34" s="37">
        <v>2.0</v>
      </c>
      <c r="AO34" s="38">
        <f>Max!$B$3*AL34</f>
        <v>70</v>
      </c>
    </row>
    <row r="35" ht="12.75" customHeight="1">
      <c r="A35" s="54"/>
      <c r="B35" s="55"/>
      <c r="C35" s="56" t="s">
        <v>58</v>
      </c>
      <c r="D35" s="58">
        <v>1.0</v>
      </c>
      <c r="E35" s="71" t="s">
        <v>59</v>
      </c>
      <c r="F35" s="58" t="str">
        <f>Max!$B$5*MID(C35,1,1)&amp;"-"&amp;Max!$B$5*MID(C35,6,7)</f>
        <v>100-105</v>
      </c>
      <c r="G35" s="13"/>
      <c r="H35" s="13"/>
      <c r="I35" s="13"/>
      <c r="J35" s="13"/>
      <c r="K35" s="13">
        <f>2</f>
        <v>2</v>
      </c>
      <c r="L35" s="13">
        <f>2*1*Max!B5</f>
        <v>200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C35" s="43">
        <v>5.0</v>
      </c>
      <c r="AD35" s="44" t="s">
        <v>43</v>
      </c>
      <c r="AE35" s="45"/>
      <c r="AF35" s="47">
        <v>10.0</v>
      </c>
      <c r="AG35" s="47">
        <v>3.0</v>
      </c>
      <c r="AH35" s="46"/>
      <c r="AJ35" s="34"/>
      <c r="AK35" s="35"/>
      <c r="AL35" s="36">
        <v>0.75</v>
      </c>
      <c r="AM35" s="37">
        <v>2.0</v>
      </c>
      <c r="AN35" s="37">
        <v>3.0</v>
      </c>
      <c r="AO35" s="38">
        <f>Max!$B$3*AL35</f>
        <v>75</v>
      </c>
    </row>
    <row r="36" ht="12.75" customHeight="1">
      <c r="A36" s="20"/>
      <c r="B36" s="48"/>
      <c r="C36" s="25"/>
      <c r="D36" s="66"/>
      <c r="E36" s="13"/>
      <c r="F36" s="19"/>
      <c r="G36" s="13"/>
      <c r="H36" s="13"/>
      <c r="I36" s="13"/>
      <c r="J36" s="13"/>
      <c r="K36" s="13"/>
      <c r="L36" s="1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C36" s="20"/>
      <c r="AD36" s="48"/>
      <c r="AE36" s="25"/>
      <c r="AF36" s="66"/>
      <c r="AG36" s="13"/>
      <c r="AH36" s="19"/>
      <c r="AJ36" s="27">
        <v>2.0</v>
      </c>
      <c r="AK36" s="28" t="s">
        <v>5</v>
      </c>
      <c r="AL36" s="29">
        <v>0.5</v>
      </c>
      <c r="AM36" s="39">
        <v>3.0</v>
      </c>
      <c r="AN36" s="39">
        <v>1.0</v>
      </c>
      <c r="AO36" s="30">
        <f>Max!$B$4*AL36</f>
        <v>50</v>
      </c>
    </row>
    <row r="37" ht="12.75" customHeight="1">
      <c r="A37" s="20" t="s">
        <v>48</v>
      </c>
      <c r="C37" s="26" t="s">
        <v>24</v>
      </c>
      <c r="D37" s="67" t="s">
        <v>25</v>
      </c>
      <c r="E37" s="17" t="s">
        <v>26</v>
      </c>
      <c r="F37" s="18" t="s">
        <v>42</v>
      </c>
      <c r="G37" s="13"/>
      <c r="H37" s="13"/>
      <c r="I37" s="13"/>
      <c r="J37" s="13"/>
      <c r="K37" s="13"/>
      <c r="L37" s="1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C37" s="20" t="s">
        <v>48</v>
      </c>
      <c r="AE37" s="26" t="s">
        <v>24</v>
      </c>
      <c r="AF37" s="67" t="s">
        <v>25</v>
      </c>
      <c r="AG37" s="17" t="s">
        <v>26</v>
      </c>
      <c r="AH37" s="18" t="s">
        <v>42</v>
      </c>
      <c r="AJ37" s="27"/>
      <c r="AK37" s="28"/>
      <c r="AL37" s="29">
        <v>0.6</v>
      </c>
      <c r="AM37" s="39">
        <v>3.0</v>
      </c>
      <c r="AN37" s="39">
        <v>1.0</v>
      </c>
      <c r="AO37" s="30">
        <f>Max!$B$4*AL37</f>
        <v>60</v>
      </c>
    </row>
    <row r="38" ht="12.75" customHeight="1">
      <c r="A38" s="34">
        <v>1.0</v>
      </c>
      <c r="B38" s="35" t="s">
        <v>63</v>
      </c>
      <c r="C38" s="36">
        <v>0.5</v>
      </c>
      <c r="D38" s="37">
        <v>3.0</v>
      </c>
      <c r="E38" s="37">
        <v>1.0</v>
      </c>
      <c r="F38" s="38">
        <f>Max!$B$3*C38</f>
        <v>50</v>
      </c>
      <c r="G38" s="66">
        <f t="shared" ref="G38:G41" si="11">D38*E38</f>
        <v>3</v>
      </c>
      <c r="H38" s="66">
        <f t="shared" ref="H38:H41" si="12">G38*F38</f>
        <v>150</v>
      </c>
      <c r="I38" s="13"/>
      <c r="J38" s="13"/>
      <c r="K38" s="13"/>
      <c r="L38" s="13"/>
      <c r="M38" s="68">
        <f>G38</f>
        <v>3</v>
      </c>
      <c r="N38" s="68">
        <f>G39</f>
        <v>6</v>
      </c>
      <c r="O38" s="68">
        <f>G40+G41</f>
        <v>14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C38" s="27">
        <v>1.0</v>
      </c>
      <c r="AD38" s="28" t="s">
        <v>5</v>
      </c>
      <c r="AE38" s="29">
        <v>0.5</v>
      </c>
      <c r="AF38" s="39">
        <v>3.0</v>
      </c>
      <c r="AG38" s="39">
        <v>1.0</v>
      </c>
      <c r="AH38" s="30">
        <f>Max!$B$4*AE38</f>
        <v>50</v>
      </c>
      <c r="AJ38" s="27"/>
      <c r="AK38" s="28"/>
      <c r="AL38" s="29">
        <v>0.7</v>
      </c>
      <c r="AM38" s="39">
        <v>3.0</v>
      </c>
      <c r="AN38" s="39">
        <v>2.0</v>
      </c>
      <c r="AO38" s="30">
        <f>Max!$B$4*AL38</f>
        <v>70</v>
      </c>
    </row>
    <row r="39" ht="12.75" customHeight="1">
      <c r="A39" s="34"/>
      <c r="B39" s="35"/>
      <c r="C39" s="36">
        <v>0.6</v>
      </c>
      <c r="D39" s="37">
        <v>3.0</v>
      </c>
      <c r="E39" s="37">
        <v>2.0</v>
      </c>
      <c r="F39" s="38">
        <f>Max!$B$3*C39</f>
        <v>60</v>
      </c>
      <c r="G39" s="66">
        <f t="shared" si="11"/>
        <v>6</v>
      </c>
      <c r="H39" s="66">
        <f t="shared" si="12"/>
        <v>360</v>
      </c>
      <c r="I39" s="13"/>
      <c r="J39" s="13"/>
      <c r="K39" s="13"/>
      <c r="L39" s="1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C39" s="27"/>
      <c r="AD39" s="28"/>
      <c r="AE39" s="29">
        <v>0.6</v>
      </c>
      <c r="AF39" s="39">
        <v>3.0</v>
      </c>
      <c r="AG39" s="39">
        <v>1.0</v>
      </c>
      <c r="AH39" s="30">
        <f>Max!$B$4*AE39</f>
        <v>60</v>
      </c>
      <c r="AJ39" s="27"/>
      <c r="AK39" s="28"/>
      <c r="AL39" s="29">
        <v>0.75</v>
      </c>
      <c r="AM39" s="39">
        <v>2.0</v>
      </c>
      <c r="AN39" s="39">
        <v>4.0</v>
      </c>
      <c r="AO39" s="30">
        <f>Max!$B$4*AL39</f>
        <v>75</v>
      </c>
    </row>
    <row r="40" ht="12.75" customHeight="1">
      <c r="A40" s="34"/>
      <c r="B40" s="35"/>
      <c r="C40" s="36">
        <v>0.7</v>
      </c>
      <c r="D40" s="37">
        <v>3.0</v>
      </c>
      <c r="E40" s="37">
        <v>2.0</v>
      </c>
      <c r="F40" s="38">
        <f>Max!$B$3*C40</f>
        <v>70</v>
      </c>
      <c r="G40" s="66">
        <f t="shared" si="11"/>
        <v>6</v>
      </c>
      <c r="H40" s="66">
        <f t="shared" si="12"/>
        <v>420</v>
      </c>
      <c r="I40" s="13"/>
      <c r="J40" s="13"/>
      <c r="K40" s="13"/>
      <c r="L40" s="1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C40" s="27"/>
      <c r="AD40" s="28"/>
      <c r="AE40" s="29">
        <v>0.7</v>
      </c>
      <c r="AF40" s="39">
        <v>3.0</v>
      </c>
      <c r="AG40" s="39">
        <v>2.0</v>
      </c>
      <c r="AH40" s="30">
        <f>Max!$B$4*AE40</f>
        <v>70</v>
      </c>
      <c r="AJ40" s="43">
        <v>3.0</v>
      </c>
      <c r="AK40" s="44" t="s">
        <v>43</v>
      </c>
      <c r="AL40" s="45"/>
      <c r="AM40" s="47">
        <v>8.0</v>
      </c>
      <c r="AN40" s="47">
        <v>3.0</v>
      </c>
      <c r="AO40" s="46"/>
    </row>
    <row r="41" ht="12.75" customHeight="1">
      <c r="A41" s="34"/>
      <c r="B41" s="35"/>
      <c r="C41" s="36">
        <v>0.75</v>
      </c>
      <c r="D41" s="37">
        <v>2.0</v>
      </c>
      <c r="E41" s="37">
        <v>4.0</v>
      </c>
      <c r="F41" s="38">
        <f>Max!$B$3*C41</f>
        <v>75</v>
      </c>
      <c r="G41" s="66">
        <f t="shared" si="11"/>
        <v>8</v>
      </c>
      <c r="H41" s="66">
        <f t="shared" si="12"/>
        <v>600</v>
      </c>
      <c r="I41" s="13"/>
      <c r="J41" s="13"/>
      <c r="K41" s="13"/>
      <c r="L41" s="1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C41" s="27"/>
      <c r="AD41" s="28"/>
      <c r="AE41" s="29">
        <v>0.8</v>
      </c>
      <c r="AF41" s="39">
        <v>3.0</v>
      </c>
      <c r="AG41" s="39">
        <v>5.0</v>
      </c>
      <c r="AH41" s="30">
        <f>Max!$B$4*AE41</f>
        <v>80</v>
      </c>
      <c r="AJ41" s="20"/>
      <c r="AK41" s="48"/>
      <c r="AL41" s="25"/>
      <c r="AM41" s="66"/>
      <c r="AN41" s="13"/>
      <c r="AO41" s="19"/>
    </row>
    <row r="42" ht="12.75" customHeight="1">
      <c r="A42" s="27">
        <v>2.0</v>
      </c>
      <c r="B42" s="28" t="s">
        <v>5</v>
      </c>
      <c r="C42" s="29">
        <v>0.55</v>
      </c>
      <c r="D42" s="39">
        <v>3.0</v>
      </c>
      <c r="E42" s="39">
        <v>1.0</v>
      </c>
      <c r="F42" s="30">
        <f>Max!$B$4*C42</f>
        <v>55</v>
      </c>
      <c r="G42" s="13"/>
      <c r="H42" s="13"/>
      <c r="I42" s="66">
        <f t="shared" ref="I42:I44" si="13">D42*E42</f>
        <v>3</v>
      </c>
      <c r="J42" s="66">
        <f t="shared" ref="J42:J44" si="14">I42*F42</f>
        <v>165</v>
      </c>
      <c r="K42" s="13"/>
      <c r="L42" s="13"/>
      <c r="M42" s="4"/>
      <c r="N42" s="4"/>
      <c r="O42" s="4"/>
      <c r="P42" s="4"/>
      <c r="Q42" s="4"/>
      <c r="R42" s="68">
        <f>I42</f>
        <v>3</v>
      </c>
      <c r="S42" s="68">
        <f>I43</f>
        <v>6</v>
      </c>
      <c r="T42" s="68">
        <f>I44</f>
        <v>18</v>
      </c>
      <c r="U42" s="4"/>
      <c r="V42" s="4"/>
      <c r="W42" s="4"/>
      <c r="X42" s="4"/>
      <c r="Y42" s="4"/>
      <c r="Z42" s="4"/>
      <c r="AA42" s="4"/>
      <c r="AC42" s="34">
        <v>2.0</v>
      </c>
      <c r="AD42" s="35" t="s">
        <v>34</v>
      </c>
      <c r="AE42" s="36">
        <v>0.5</v>
      </c>
      <c r="AF42" s="37">
        <v>3.0</v>
      </c>
      <c r="AG42" s="37">
        <v>1.0</v>
      </c>
      <c r="AH42" s="38">
        <f>Max!$B$3*AE42</f>
        <v>50</v>
      </c>
    </row>
    <row r="43" ht="12.75" customHeight="1">
      <c r="A43" s="27"/>
      <c r="B43" s="28"/>
      <c r="C43" s="29">
        <v>0.65</v>
      </c>
      <c r="D43" s="39">
        <v>3.0</v>
      </c>
      <c r="E43" s="39">
        <v>2.0</v>
      </c>
      <c r="F43" s="30">
        <f>Max!$B$4*C43</f>
        <v>65</v>
      </c>
      <c r="G43" s="13"/>
      <c r="H43" s="13"/>
      <c r="I43" s="66">
        <f t="shared" si="13"/>
        <v>6</v>
      </c>
      <c r="J43" s="66">
        <f t="shared" si="14"/>
        <v>390</v>
      </c>
      <c r="K43" s="13"/>
      <c r="L43" s="1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C43" s="34"/>
      <c r="AD43" s="35"/>
      <c r="AE43" s="36">
        <v>0.6</v>
      </c>
      <c r="AF43" s="37">
        <v>3.0</v>
      </c>
      <c r="AG43" s="37">
        <v>2.0</v>
      </c>
      <c r="AH43" s="38">
        <f>Max!$B$3*AE43</f>
        <v>60</v>
      </c>
    </row>
    <row r="44" ht="12.75" customHeight="1">
      <c r="A44" s="27"/>
      <c r="B44" s="28"/>
      <c r="C44" s="29">
        <v>0.75</v>
      </c>
      <c r="D44" s="39">
        <v>3.0</v>
      </c>
      <c r="E44" s="39">
        <v>6.0</v>
      </c>
      <c r="F44" s="30">
        <f>Max!$B$4*C44</f>
        <v>75</v>
      </c>
      <c r="G44" s="13"/>
      <c r="H44" s="13"/>
      <c r="I44" s="66">
        <f t="shared" si="13"/>
        <v>18</v>
      </c>
      <c r="J44" s="66">
        <f t="shared" si="14"/>
        <v>1350</v>
      </c>
      <c r="K44" s="13"/>
      <c r="L44" s="1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C44" s="34"/>
      <c r="AD44" s="35"/>
      <c r="AE44" s="36">
        <v>0.7</v>
      </c>
      <c r="AF44" s="37">
        <v>3.0</v>
      </c>
      <c r="AG44" s="37">
        <v>2.0</v>
      </c>
      <c r="AH44" s="38">
        <f>Max!$B$3*AE44</f>
        <v>70</v>
      </c>
    </row>
    <row r="45" ht="12.75" customHeight="1">
      <c r="A45" s="43">
        <v>3.0</v>
      </c>
      <c r="B45" s="44" t="s">
        <v>38</v>
      </c>
      <c r="C45" s="45"/>
      <c r="D45" s="72">
        <v>10.0</v>
      </c>
      <c r="E45" s="47">
        <v>5.0</v>
      </c>
      <c r="F45" s="46"/>
      <c r="G45" s="13"/>
      <c r="H45" s="13"/>
      <c r="I45" s="13"/>
      <c r="J45" s="13"/>
      <c r="K45" s="13"/>
      <c r="L45" s="1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34"/>
      <c r="AD45" s="35"/>
      <c r="AE45" s="36">
        <v>0.8</v>
      </c>
      <c r="AF45" s="37">
        <v>3.0</v>
      </c>
      <c r="AG45" s="37">
        <v>6.0</v>
      </c>
      <c r="AH45" s="38">
        <f>Max!$B$3*AE45</f>
        <v>80</v>
      </c>
    </row>
    <row r="46" ht="12.75" customHeight="1">
      <c r="A46" s="43">
        <v>4.0</v>
      </c>
      <c r="B46" s="44" t="s">
        <v>40</v>
      </c>
      <c r="C46" s="45"/>
      <c r="D46" s="47">
        <v>5.0</v>
      </c>
      <c r="E46" s="47">
        <v>5.0</v>
      </c>
      <c r="F46" s="46"/>
      <c r="G46" s="13"/>
      <c r="H46" s="13"/>
      <c r="I46" s="13"/>
      <c r="J46" s="13"/>
      <c r="K46" s="13"/>
      <c r="L46" s="1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C46" s="27">
        <v>3.0</v>
      </c>
      <c r="AD46" s="28" t="s">
        <v>5</v>
      </c>
      <c r="AE46" s="29">
        <v>0.5</v>
      </c>
      <c r="AF46" s="39">
        <v>4.0</v>
      </c>
      <c r="AG46" s="39">
        <v>1.0</v>
      </c>
      <c r="AH46" s="30">
        <f>Max!$B$4*AE46</f>
        <v>50</v>
      </c>
    </row>
    <row r="47" ht="12.75" customHeight="1">
      <c r="A47" s="43">
        <v>5.0</v>
      </c>
      <c r="B47" s="44" t="s">
        <v>43</v>
      </c>
      <c r="C47" s="45"/>
      <c r="D47" s="47">
        <v>10.0</v>
      </c>
      <c r="E47" s="47">
        <v>3.0</v>
      </c>
      <c r="F47" s="46"/>
      <c r="G47" s="13"/>
      <c r="H47" s="13"/>
      <c r="I47" s="13"/>
      <c r="J47" s="13"/>
      <c r="K47" s="13"/>
      <c r="L47" s="1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C47" s="27"/>
      <c r="AD47" s="28"/>
      <c r="AE47" s="29">
        <v>0.6</v>
      </c>
      <c r="AF47" s="39">
        <v>4.0</v>
      </c>
      <c r="AG47" s="39">
        <v>1.0</v>
      </c>
      <c r="AH47" s="30">
        <f>Max!$B$4*AE47</f>
        <v>60</v>
      </c>
    </row>
    <row r="48" ht="12.75" customHeight="1">
      <c r="A48" s="20"/>
      <c r="B48" s="48"/>
      <c r="C48" s="25"/>
      <c r="D48" s="66"/>
      <c r="E48" s="13"/>
      <c r="F48" s="19"/>
      <c r="G48" s="67">
        <f t="shared" ref="G48:Q48" si="15">SUM(G7:G47)</f>
        <v>59</v>
      </c>
      <c r="H48" s="67">
        <f t="shared" si="15"/>
        <v>3970</v>
      </c>
      <c r="I48" s="67">
        <f t="shared" si="15"/>
        <v>60</v>
      </c>
      <c r="J48" s="67">
        <f t="shared" si="15"/>
        <v>4165</v>
      </c>
      <c r="K48" s="67">
        <f t="shared" si="15"/>
        <v>13</v>
      </c>
      <c r="L48" s="67">
        <f t="shared" si="15"/>
        <v>920</v>
      </c>
      <c r="M48" s="68">
        <f t="shared" si="15"/>
        <v>9</v>
      </c>
      <c r="N48" s="68">
        <f t="shared" si="15"/>
        <v>15</v>
      </c>
      <c r="O48" s="68">
        <f t="shared" si="15"/>
        <v>30</v>
      </c>
      <c r="P48" s="68">
        <f t="shared" si="15"/>
        <v>2</v>
      </c>
      <c r="Q48" s="68">
        <f t="shared" si="15"/>
        <v>3</v>
      </c>
      <c r="R48" s="68">
        <f t="shared" ref="R48:V48" si="16">SUM(R11:R47)</f>
        <v>9</v>
      </c>
      <c r="S48" s="68">
        <f t="shared" si="16"/>
        <v>12</v>
      </c>
      <c r="T48" s="68">
        <f t="shared" si="16"/>
        <v>34</v>
      </c>
      <c r="U48" s="4">
        <f t="shared" si="16"/>
        <v>2</v>
      </c>
      <c r="V48" s="68">
        <f t="shared" si="16"/>
        <v>3</v>
      </c>
      <c r="W48" s="68">
        <f t="shared" ref="W48:AA48" si="17">SUM(W30:W47)</f>
        <v>3</v>
      </c>
      <c r="X48" s="68">
        <f t="shared" si="17"/>
        <v>2</v>
      </c>
      <c r="Y48" s="68">
        <f t="shared" si="17"/>
        <v>4</v>
      </c>
      <c r="Z48" s="68">
        <f t="shared" si="17"/>
        <v>1</v>
      </c>
      <c r="AA48" s="68">
        <f t="shared" si="17"/>
        <v>3</v>
      </c>
      <c r="AC48" s="27"/>
      <c r="AD48" s="28"/>
      <c r="AE48" s="29">
        <v>0.7</v>
      </c>
      <c r="AF48" s="39">
        <v>4.0</v>
      </c>
      <c r="AG48" s="39">
        <v>4.0</v>
      </c>
      <c r="AH48" s="30">
        <f>Max!$B$4*AE48</f>
        <v>70</v>
      </c>
    </row>
    <row r="49" ht="12.75" customHeight="1">
      <c r="A49" s="20"/>
      <c r="B49" s="48"/>
      <c r="C49" s="25"/>
      <c r="D49" s="66"/>
      <c r="E49" s="13"/>
      <c r="F49" s="19"/>
      <c r="G49" s="13"/>
      <c r="H49" s="13"/>
      <c r="I49" s="13"/>
      <c r="J49" s="13"/>
      <c r="K49" s="13"/>
      <c r="L49" s="13"/>
      <c r="M49" s="4" t="s">
        <v>28</v>
      </c>
      <c r="N49" s="4" t="s">
        <v>29</v>
      </c>
      <c r="O49" s="4" t="s">
        <v>30</v>
      </c>
      <c r="P49" s="4" t="s">
        <v>31</v>
      </c>
      <c r="Q49" s="4" t="s">
        <v>32</v>
      </c>
      <c r="R49" s="4" t="s">
        <v>28</v>
      </c>
      <c r="S49" s="4" t="s">
        <v>29</v>
      </c>
      <c r="T49" s="4" t="s">
        <v>30</v>
      </c>
      <c r="U49" s="4" t="s">
        <v>31</v>
      </c>
      <c r="V49" s="4" t="s">
        <v>32</v>
      </c>
      <c r="W49" s="4" t="s">
        <v>28</v>
      </c>
      <c r="X49" s="4" t="s">
        <v>29</v>
      </c>
      <c r="Y49" s="4" t="s">
        <v>30</v>
      </c>
      <c r="Z49" s="4" t="s">
        <v>31</v>
      </c>
      <c r="AA49" s="4" t="s">
        <v>32</v>
      </c>
      <c r="AC49" s="43">
        <v>4.0</v>
      </c>
      <c r="AD49" s="44" t="s">
        <v>36</v>
      </c>
      <c r="AE49" s="45"/>
      <c r="AF49" s="72">
        <v>10.0</v>
      </c>
      <c r="AG49" s="47">
        <v>5.0</v>
      </c>
      <c r="AH49" s="46"/>
    </row>
    <row r="50" ht="12.75" customHeight="1">
      <c r="A50" s="20"/>
      <c r="B50" s="48"/>
      <c r="C50" s="25"/>
      <c r="D50" s="66"/>
      <c r="E50" s="13"/>
      <c r="F50" s="19"/>
      <c r="G50" s="13"/>
      <c r="H50" s="13"/>
      <c r="I50" s="13"/>
      <c r="J50" s="13"/>
      <c r="K50" s="13"/>
      <c r="L50" s="1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9">
        <v>5.0</v>
      </c>
      <c r="AD50" s="50" t="s">
        <v>40</v>
      </c>
      <c r="AE50" s="51"/>
      <c r="AF50" s="53">
        <v>5.0</v>
      </c>
      <c r="AG50" s="53">
        <v>5.0</v>
      </c>
      <c r="AH50" s="52"/>
    </row>
    <row r="51" ht="12.75" customHeight="1">
      <c r="A51" s="20"/>
      <c r="B51" s="48"/>
      <c r="C51" s="25"/>
      <c r="D51" s="66"/>
      <c r="E51" s="13"/>
      <c r="F51" s="19"/>
      <c r="G51" s="66">
        <f t="shared" ref="G51:G54" si="18">AF7*AG7</f>
        <v>3</v>
      </c>
      <c r="H51" s="66">
        <f t="shared" ref="H51:H54" si="19">G51*AH7</f>
        <v>150</v>
      </c>
      <c r="I51" s="13"/>
      <c r="J51" s="13"/>
      <c r="K51" s="13"/>
      <c r="L51" s="13"/>
      <c r="M51" s="68">
        <f>G51</f>
        <v>3</v>
      </c>
      <c r="N51" s="68">
        <f>G52</f>
        <v>6</v>
      </c>
      <c r="O51" s="68">
        <f>G53</f>
        <v>6</v>
      </c>
      <c r="P51" s="68">
        <f>G54</f>
        <v>8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C51" s="20"/>
      <c r="AD51" s="48"/>
      <c r="AE51" s="25"/>
      <c r="AF51" s="66"/>
      <c r="AG51" s="13"/>
      <c r="AH51" s="19"/>
    </row>
    <row r="52" ht="12.75" customHeight="1">
      <c r="A52" s="20"/>
      <c r="B52" s="48"/>
      <c r="C52" s="25"/>
      <c r="D52" s="66"/>
      <c r="E52" s="13"/>
      <c r="F52" s="19"/>
      <c r="G52" s="66">
        <f t="shared" si="18"/>
        <v>6</v>
      </c>
      <c r="H52" s="66">
        <f t="shared" si="19"/>
        <v>360</v>
      </c>
      <c r="I52" s="13"/>
      <c r="J52" s="13"/>
      <c r="K52" s="13"/>
      <c r="L52" s="1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2.75" customHeight="1">
      <c r="A53" s="20"/>
      <c r="B53" s="48"/>
      <c r="C53" s="25"/>
      <c r="D53" s="66"/>
      <c r="E53" s="13"/>
      <c r="F53" s="19"/>
      <c r="G53" s="66">
        <f t="shared" si="18"/>
        <v>6</v>
      </c>
      <c r="H53" s="66">
        <f t="shared" si="19"/>
        <v>420</v>
      </c>
      <c r="I53" s="13"/>
      <c r="J53" s="13"/>
      <c r="K53" s="13"/>
      <c r="L53" s="1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2.75" customHeight="1">
      <c r="A54" s="20"/>
      <c r="B54" s="48"/>
      <c r="C54" s="25"/>
      <c r="D54" s="66"/>
      <c r="E54" s="13"/>
      <c r="F54" s="19"/>
      <c r="G54" s="66">
        <f t="shared" si="18"/>
        <v>8</v>
      </c>
      <c r="H54" s="66">
        <f t="shared" si="19"/>
        <v>640</v>
      </c>
      <c r="I54" s="13"/>
      <c r="J54" s="13"/>
      <c r="K54" s="13"/>
      <c r="L54" s="1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2.75" customHeight="1">
      <c r="A55" s="20"/>
      <c r="B55" s="48"/>
      <c r="C55" s="25"/>
      <c r="D55" s="66"/>
      <c r="E55" s="13"/>
      <c r="F55" s="19"/>
      <c r="G55" s="13"/>
      <c r="H55" s="13"/>
      <c r="I55" s="66">
        <f t="shared" ref="I55:I58" si="20">AF11*AG11</f>
        <v>3</v>
      </c>
      <c r="J55" s="66">
        <f t="shared" ref="J55:J58" si="21">I55*AH11</f>
        <v>150</v>
      </c>
      <c r="K55" s="13"/>
      <c r="L55" s="13"/>
      <c r="M55" s="4"/>
      <c r="N55" s="4"/>
      <c r="O55" s="4"/>
      <c r="P55" s="4"/>
      <c r="Q55" s="4"/>
      <c r="R55" s="68">
        <f>I55</f>
        <v>3</v>
      </c>
      <c r="S55" s="68">
        <f>I56</f>
        <v>3</v>
      </c>
      <c r="T55" s="68">
        <f>I57</f>
        <v>6</v>
      </c>
      <c r="U55" s="68">
        <f>I58</f>
        <v>15</v>
      </c>
      <c r="V55" s="4"/>
      <c r="W55" s="4"/>
      <c r="X55" s="4"/>
      <c r="Y55" s="4"/>
      <c r="Z55" s="4"/>
      <c r="AA55" s="4"/>
    </row>
    <row r="56" ht="12.75" customHeight="1">
      <c r="A56" s="20"/>
      <c r="B56" s="48"/>
      <c r="C56" s="25"/>
      <c r="D56" s="66"/>
      <c r="E56" s="13"/>
      <c r="F56" s="19"/>
      <c r="G56" s="13"/>
      <c r="H56" s="13"/>
      <c r="I56" s="66">
        <f t="shared" si="20"/>
        <v>3</v>
      </c>
      <c r="J56" s="66">
        <f t="shared" si="21"/>
        <v>180</v>
      </c>
      <c r="K56" s="13"/>
      <c r="L56" s="1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2.75" customHeight="1">
      <c r="A57" s="20"/>
      <c r="B57" s="48"/>
      <c r="C57" s="25"/>
      <c r="D57" s="66"/>
      <c r="E57" s="13"/>
      <c r="F57" s="19"/>
      <c r="G57" s="13"/>
      <c r="H57" s="13"/>
      <c r="I57" s="66">
        <f t="shared" si="20"/>
        <v>6</v>
      </c>
      <c r="J57" s="66">
        <f t="shared" si="21"/>
        <v>420</v>
      </c>
      <c r="K57" s="13"/>
      <c r="L57" s="1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2.75" customHeight="1">
      <c r="A58" s="20"/>
      <c r="B58" s="48"/>
      <c r="C58" s="25"/>
      <c r="D58" s="66"/>
      <c r="E58" s="13"/>
      <c r="F58" s="19"/>
      <c r="G58" s="13"/>
      <c r="H58" s="13"/>
      <c r="I58" s="66">
        <f t="shared" si="20"/>
        <v>15</v>
      </c>
      <c r="J58" s="66">
        <f t="shared" si="21"/>
        <v>1200</v>
      </c>
      <c r="K58" s="13"/>
      <c r="L58" s="1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2.75" customHeight="1">
      <c r="A59" s="20"/>
      <c r="B59" s="48"/>
      <c r="C59" s="25"/>
      <c r="D59" s="66"/>
      <c r="E59" s="13"/>
      <c r="F59" s="19"/>
      <c r="G59" s="13"/>
      <c r="H59" s="13"/>
      <c r="I59" s="13"/>
      <c r="J59" s="13"/>
      <c r="K59" s="13"/>
      <c r="L59" s="1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2.75" customHeight="1">
      <c r="A60" s="20"/>
      <c r="B60" s="48"/>
      <c r="C60" s="25"/>
      <c r="D60" s="66"/>
      <c r="E60" s="13"/>
      <c r="F60" s="19"/>
      <c r="G60" s="66">
        <f t="shared" ref="G60:G62" si="22">AF16*AG16</f>
        <v>3</v>
      </c>
      <c r="H60" s="66">
        <f t="shared" ref="H60:H62" si="23">G60*AH16</f>
        <v>165</v>
      </c>
      <c r="I60" s="13"/>
      <c r="J60" s="13"/>
      <c r="K60" s="13"/>
      <c r="L60" s="13"/>
      <c r="M60" s="68">
        <f>G60</f>
        <v>3</v>
      </c>
      <c r="N60" s="68">
        <f>G61</f>
        <v>6</v>
      </c>
      <c r="O60" s="68">
        <f>G62</f>
        <v>12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2.75" customHeight="1">
      <c r="A61" s="20"/>
      <c r="B61" s="48"/>
      <c r="C61" s="25"/>
      <c r="D61" s="66"/>
      <c r="E61" s="13"/>
      <c r="F61" s="19"/>
      <c r="G61" s="66">
        <f t="shared" si="22"/>
        <v>6</v>
      </c>
      <c r="H61" s="66">
        <f t="shared" si="23"/>
        <v>390</v>
      </c>
      <c r="I61" s="13"/>
      <c r="J61" s="13"/>
      <c r="K61" s="13"/>
      <c r="L61" s="1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2.75" customHeight="1">
      <c r="A62" s="20"/>
      <c r="B62" s="48"/>
      <c r="C62" s="25"/>
      <c r="D62" s="66"/>
      <c r="E62" s="13"/>
      <c r="F62" s="19"/>
      <c r="G62" s="66">
        <f t="shared" si="22"/>
        <v>12</v>
      </c>
      <c r="H62" s="66">
        <f t="shared" si="23"/>
        <v>900</v>
      </c>
      <c r="I62" s="13"/>
      <c r="J62" s="13"/>
      <c r="K62" s="13"/>
      <c r="L62" s="1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2.75" customHeight="1">
      <c r="A63" s="20"/>
      <c r="B63" s="48"/>
      <c r="C63" s="25"/>
      <c r="D63" s="66"/>
      <c r="E63" s="13"/>
      <c r="F63" s="19"/>
      <c r="G63" s="13"/>
      <c r="H63" s="13"/>
      <c r="I63" s="13"/>
      <c r="J63" s="13"/>
      <c r="K63" s="13"/>
      <c r="L63" s="1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2.75" customHeight="1">
      <c r="A64" s="20"/>
      <c r="B64" s="48"/>
      <c r="C64" s="25"/>
      <c r="D64" s="66"/>
      <c r="E64" s="13"/>
      <c r="F64" s="19"/>
      <c r="G64" s="13"/>
      <c r="H64" s="13"/>
      <c r="I64" s="13"/>
      <c r="J64" s="13"/>
      <c r="K64" s="13"/>
      <c r="L64" s="1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2.75" customHeight="1">
      <c r="A65" s="20"/>
      <c r="B65" s="48"/>
      <c r="C65" s="25"/>
      <c r="D65" s="66"/>
      <c r="E65" s="13"/>
      <c r="F65" s="19"/>
      <c r="G65" s="13"/>
      <c r="H65" s="13"/>
      <c r="I65" s="13"/>
      <c r="J65" s="13"/>
      <c r="K65" s="66">
        <f t="shared" ref="K65:K68" si="24">AF21*AG21</f>
        <v>3</v>
      </c>
      <c r="L65" s="66">
        <f t="shared" ref="L65:L68" si="25">K65*AH21</f>
        <v>150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8">
        <f>K65</f>
        <v>3</v>
      </c>
      <c r="X65" s="7">
        <f>(K66+K67)</f>
        <v>8</v>
      </c>
      <c r="Y65" s="68">
        <f>K68</f>
        <v>3</v>
      </c>
      <c r="Z65" s="4"/>
      <c r="AA65" s="4"/>
    </row>
    <row r="66" ht="12.75" customHeight="1">
      <c r="A66" s="20"/>
      <c r="B66" s="48"/>
      <c r="C66" s="25"/>
      <c r="D66" s="66"/>
      <c r="E66" s="13"/>
      <c r="F66" s="19"/>
      <c r="G66" s="13"/>
      <c r="H66" s="13"/>
      <c r="I66" s="13"/>
      <c r="J66" s="13"/>
      <c r="K66" s="66">
        <f t="shared" si="24"/>
        <v>4</v>
      </c>
      <c r="L66" s="66">
        <f t="shared" si="25"/>
        <v>240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2.75" customHeight="1">
      <c r="A67" s="20"/>
      <c r="B67" s="48"/>
      <c r="C67" s="25"/>
      <c r="D67" s="66"/>
      <c r="E67" s="13"/>
      <c r="F67" s="19"/>
      <c r="G67" s="13"/>
      <c r="H67" s="13"/>
      <c r="I67" s="13"/>
      <c r="J67" s="13"/>
      <c r="K67" s="66">
        <f t="shared" si="24"/>
        <v>4</v>
      </c>
      <c r="L67" s="66">
        <f t="shared" si="25"/>
        <v>260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.75" customHeight="1">
      <c r="A68" s="20"/>
      <c r="B68" s="48"/>
      <c r="C68" s="25"/>
      <c r="D68" s="66"/>
      <c r="E68" s="13"/>
      <c r="F68" s="19"/>
      <c r="G68" s="13"/>
      <c r="H68" s="13"/>
      <c r="I68" s="13"/>
      <c r="J68" s="13"/>
      <c r="K68" s="66">
        <f t="shared" si="24"/>
        <v>3</v>
      </c>
      <c r="L68" s="66">
        <f t="shared" si="25"/>
        <v>210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2.75" customHeight="1">
      <c r="A69" s="20"/>
      <c r="B69" s="48"/>
      <c r="C69" s="25"/>
      <c r="D69" s="66"/>
      <c r="E69" s="13"/>
      <c r="F69" s="19"/>
      <c r="G69" s="13"/>
      <c r="H69" s="13"/>
      <c r="I69" s="66">
        <f t="shared" ref="I69:I73" si="26">AF25*AG25</f>
        <v>3</v>
      </c>
      <c r="J69" s="66">
        <f t="shared" ref="J69:J73" si="27">I69*AH25</f>
        <v>150</v>
      </c>
      <c r="K69" s="13"/>
      <c r="L69" s="13"/>
      <c r="M69" s="4"/>
      <c r="N69" s="4"/>
      <c r="O69" s="4"/>
      <c r="P69" s="4"/>
      <c r="Q69" s="4"/>
      <c r="R69" s="68">
        <f>I69</f>
        <v>3</v>
      </c>
      <c r="S69" s="68">
        <f>I70</f>
        <v>3</v>
      </c>
      <c r="T69" s="68">
        <f>I71</f>
        <v>6</v>
      </c>
      <c r="U69" s="68">
        <f>I72+I73</f>
        <v>12</v>
      </c>
      <c r="V69" s="4"/>
      <c r="W69" s="4"/>
      <c r="X69" s="4"/>
      <c r="Y69" s="4"/>
      <c r="Z69" s="4"/>
      <c r="AA69" s="4"/>
    </row>
    <row r="70" ht="12.75" customHeight="1">
      <c r="A70" s="20"/>
      <c r="B70" s="48"/>
      <c r="C70" s="25"/>
      <c r="D70" s="66"/>
      <c r="E70" s="13"/>
      <c r="F70" s="19"/>
      <c r="G70" s="13"/>
      <c r="H70" s="13"/>
      <c r="I70" s="66">
        <f t="shared" si="26"/>
        <v>3</v>
      </c>
      <c r="J70" s="66">
        <f t="shared" si="27"/>
        <v>180</v>
      </c>
      <c r="K70" s="13"/>
      <c r="L70" s="1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2.75" customHeight="1">
      <c r="A71" s="20"/>
      <c r="B71" s="48"/>
      <c r="C71" s="25"/>
      <c r="D71" s="66"/>
      <c r="E71" s="13"/>
      <c r="F71" s="19"/>
      <c r="G71" s="13"/>
      <c r="H71" s="13"/>
      <c r="I71" s="66">
        <f t="shared" si="26"/>
        <v>6</v>
      </c>
      <c r="J71" s="66">
        <f t="shared" si="27"/>
        <v>420</v>
      </c>
      <c r="K71" s="13"/>
      <c r="L71" s="1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2.75" customHeight="1">
      <c r="A72" s="20"/>
      <c r="B72" s="48"/>
      <c r="C72" s="25"/>
      <c r="D72" s="66"/>
      <c r="E72" s="13"/>
      <c r="F72" s="19"/>
      <c r="G72" s="13"/>
      <c r="H72" s="13"/>
      <c r="I72" s="66">
        <f t="shared" si="26"/>
        <v>6</v>
      </c>
      <c r="J72" s="66">
        <f t="shared" si="27"/>
        <v>480</v>
      </c>
      <c r="K72" s="13"/>
      <c r="L72" s="1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2.75" customHeight="1">
      <c r="A73" s="20"/>
      <c r="B73" s="48"/>
      <c r="C73" s="25"/>
      <c r="D73" s="66"/>
      <c r="E73" s="13"/>
      <c r="F73" s="19"/>
      <c r="G73" s="13"/>
      <c r="H73" s="13"/>
      <c r="I73" s="66">
        <f t="shared" si="26"/>
        <v>6</v>
      </c>
      <c r="J73" s="66">
        <f t="shared" si="27"/>
        <v>510</v>
      </c>
      <c r="K73" s="13"/>
      <c r="L73" s="1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.75" customHeight="1">
      <c r="A74" s="20"/>
      <c r="B74" s="48"/>
      <c r="C74" s="25"/>
      <c r="D74" s="66"/>
      <c r="E74" s="13"/>
      <c r="F74" s="19"/>
      <c r="G74" s="13"/>
      <c r="H74" s="13"/>
      <c r="I74" s="13"/>
      <c r="J74" s="13"/>
      <c r="K74" s="13"/>
      <c r="L74" s="1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.75" customHeight="1">
      <c r="A75" s="20"/>
      <c r="B75" s="48"/>
      <c r="C75" s="25"/>
      <c r="D75" s="66"/>
      <c r="E75" s="13"/>
      <c r="F75" s="19"/>
      <c r="G75" s="13"/>
      <c r="H75" s="13"/>
      <c r="I75" s="13"/>
      <c r="J75" s="13"/>
      <c r="K75" s="66">
        <f t="shared" ref="K75:K78" si="28">AF31*AG31</f>
        <v>3</v>
      </c>
      <c r="L75" s="66">
        <f t="shared" ref="L75:L78" si="29">K75*AH31</f>
        <v>150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68">
        <f>K75</f>
        <v>3</v>
      </c>
      <c r="X75" s="68">
        <f>K76</f>
        <v>3</v>
      </c>
      <c r="Y75" s="68">
        <f>K77</f>
        <v>6</v>
      </c>
      <c r="Z75" s="68">
        <f>K78</f>
        <v>15</v>
      </c>
      <c r="AA75" s="4"/>
    </row>
    <row r="76" ht="12.75" customHeight="1">
      <c r="A76" s="20"/>
      <c r="B76" s="48"/>
      <c r="C76" s="25"/>
      <c r="D76" s="66"/>
      <c r="E76" s="13"/>
      <c r="F76" s="19"/>
      <c r="G76" s="13"/>
      <c r="H76" s="13"/>
      <c r="I76" s="13"/>
      <c r="J76" s="13"/>
      <c r="K76" s="66">
        <f t="shared" si="28"/>
        <v>3</v>
      </c>
      <c r="L76" s="66">
        <f t="shared" si="29"/>
        <v>180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.75" customHeight="1">
      <c r="A77" s="20"/>
      <c r="B77" s="48"/>
      <c r="C77" s="25"/>
      <c r="D77" s="66"/>
      <c r="E77" s="13"/>
      <c r="F77" s="19"/>
      <c r="G77" s="13"/>
      <c r="H77" s="13"/>
      <c r="I77" s="13"/>
      <c r="J77" s="13"/>
      <c r="K77" s="66">
        <f t="shared" si="28"/>
        <v>6</v>
      </c>
      <c r="L77" s="66">
        <f t="shared" si="29"/>
        <v>420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20"/>
      <c r="B78" s="48"/>
      <c r="C78" s="25"/>
      <c r="D78" s="66"/>
      <c r="E78" s="13"/>
      <c r="F78" s="19"/>
      <c r="G78" s="13"/>
      <c r="H78" s="13"/>
      <c r="I78" s="13"/>
      <c r="J78" s="13"/>
      <c r="K78" s="66">
        <f t="shared" si="28"/>
        <v>15</v>
      </c>
      <c r="L78" s="66">
        <f t="shared" si="29"/>
        <v>1200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.75" customHeight="1">
      <c r="A79" s="20"/>
      <c r="B79" s="48"/>
      <c r="C79" s="25"/>
      <c r="D79" s="66"/>
      <c r="E79" s="13"/>
      <c r="F79" s="19"/>
      <c r="G79" s="13"/>
      <c r="H79" s="13"/>
      <c r="I79" s="13"/>
      <c r="J79" s="13"/>
      <c r="K79" s="13"/>
      <c r="L79" s="1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.75" customHeight="1">
      <c r="A80" s="20"/>
      <c r="B80" s="48"/>
      <c r="C80" s="25"/>
      <c r="D80" s="66"/>
      <c r="E80" s="13"/>
      <c r="F80" s="19"/>
      <c r="G80" s="13"/>
      <c r="H80" s="13"/>
      <c r="I80" s="13"/>
      <c r="J80" s="13"/>
      <c r="K80" s="13"/>
      <c r="L80" s="1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.75" customHeight="1">
      <c r="A81" s="20"/>
      <c r="B81" s="48"/>
      <c r="C81" s="25"/>
      <c r="D81" s="66"/>
      <c r="E81" s="13"/>
      <c r="F81" s="19"/>
      <c r="G81" s="13"/>
      <c r="H81" s="13"/>
      <c r="I81" s="13"/>
      <c r="J81" s="13"/>
      <c r="K81" s="13"/>
      <c r="L81" s="1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2.75" customHeight="1">
      <c r="A82" s="20"/>
      <c r="B82" s="48"/>
      <c r="C82" s="25"/>
      <c r="D82" s="66"/>
      <c r="E82" s="13"/>
      <c r="F82" s="19"/>
      <c r="G82" s="13"/>
      <c r="H82" s="13"/>
      <c r="I82" s="66">
        <f t="shared" ref="I82:I85" si="30">AF38*AG38</f>
        <v>3</v>
      </c>
      <c r="J82" s="66">
        <f t="shared" ref="J82:J85" si="31">I82*AH38</f>
        <v>150</v>
      </c>
      <c r="K82" s="13"/>
      <c r="L82" s="13"/>
      <c r="M82" s="4"/>
      <c r="N82" s="4"/>
      <c r="O82" s="4"/>
      <c r="P82" s="4"/>
      <c r="Q82" s="4"/>
      <c r="R82" s="68">
        <f>I82</f>
        <v>3</v>
      </c>
      <c r="S82" s="68">
        <f>I83</f>
        <v>3</v>
      </c>
      <c r="T82" s="68">
        <f>I84</f>
        <v>6</v>
      </c>
      <c r="U82" s="68">
        <f>I85</f>
        <v>15</v>
      </c>
      <c r="V82" s="4"/>
      <c r="W82" s="4"/>
      <c r="X82" s="4"/>
      <c r="Y82" s="4"/>
      <c r="Z82" s="4"/>
      <c r="AA82" s="4"/>
    </row>
    <row r="83" ht="12.75" customHeight="1">
      <c r="A83" s="20"/>
      <c r="B83" s="48"/>
      <c r="C83" s="25"/>
      <c r="D83" s="66"/>
      <c r="E83" s="13"/>
      <c r="F83" s="19"/>
      <c r="G83" s="13"/>
      <c r="H83" s="13"/>
      <c r="I83" s="66">
        <f t="shared" si="30"/>
        <v>3</v>
      </c>
      <c r="J83" s="66">
        <f t="shared" si="31"/>
        <v>180</v>
      </c>
      <c r="K83" s="13"/>
      <c r="L83" s="1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2.75" customHeight="1">
      <c r="A84" s="20"/>
      <c r="B84" s="48"/>
      <c r="C84" s="25"/>
      <c r="D84" s="66"/>
      <c r="E84" s="13"/>
      <c r="F84" s="19"/>
      <c r="G84" s="13"/>
      <c r="H84" s="13"/>
      <c r="I84" s="66">
        <f t="shared" si="30"/>
        <v>6</v>
      </c>
      <c r="J84" s="66">
        <f t="shared" si="31"/>
        <v>420</v>
      </c>
      <c r="K84" s="13"/>
      <c r="L84" s="1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.75" customHeight="1">
      <c r="A85" s="20"/>
      <c r="B85" s="48"/>
      <c r="C85" s="25"/>
      <c r="D85" s="66"/>
      <c r="E85" s="13"/>
      <c r="F85" s="19"/>
      <c r="G85" s="13"/>
      <c r="H85" s="13"/>
      <c r="I85" s="66">
        <f t="shared" si="30"/>
        <v>15</v>
      </c>
      <c r="J85" s="66">
        <f t="shared" si="31"/>
        <v>1200</v>
      </c>
      <c r="K85" s="13"/>
      <c r="L85" s="1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.75" customHeight="1">
      <c r="A86" s="20"/>
      <c r="B86" s="48"/>
      <c r="C86" s="25"/>
      <c r="D86" s="66"/>
      <c r="E86" s="13"/>
      <c r="F86" s="19"/>
      <c r="G86" s="66">
        <f t="shared" ref="G86:G89" si="32">AF42*AG42</f>
        <v>3</v>
      </c>
      <c r="H86" s="66">
        <f t="shared" ref="H86:H89" si="33">G86*AH42</f>
        <v>150</v>
      </c>
      <c r="I86" s="13"/>
      <c r="J86" s="13"/>
      <c r="K86" s="13"/>
      <c r="L86" s="13"/>
      <c r="M86" s="68">
        <f>G86</f>
        <v>3</v>
      </c>
      <c r="N86" s="68">
        <f>G87</f>
        <v>6</v>
      </c>
      <c r="O86" s="68">
        <f>G88</f>
        <v>6</v>
      </c>
      <c r="P86" s="68">
        <f>G89</f>
        <v>18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.75" customHeight="1">
      <c r="A87" s="20"/>
      <c r="B87" s="48"/>
      <c r="C87" s="25"/>
      <c r="D87" s="66"/>
      <c r="E87" s="13"/>
      <c r="F87" s="19"/>
      <c r="G87" s="66">
        <f t="shared" si="32"/>
        <v>6</v>
      </c>
      <c r="H87" s="66">
        <f t="shared" si="33"/>
        <v>360</v>
      </c>
      <c r="I87" s="13"/>
      <c r="J87" s="13"/>
      <c r="K87" s="13"/>
      <c r="L87" s="1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.75" customHeight="1">
      <c r="A88" s="20"/>
      <c r="B88" s="48"/>
      <c r="C88" s="25"/>
      <c r="D88" s="66"/>
      <c r="E88" s="13"/>
      <c r="F88" s="19"/>
      <c r="G88" s="66">
        <f t="shared" si="32"/>
        <v>6</v>
      </c>
      <c r="H88" s="66">
        <f t="shared" si="33"/>
        <v>420</v>
      </c>
      <c r="I88" s="13"/>
      <c r="J88" s="13"/>
      <c r="K88" s="13"/>
      <c r="L88" s="1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.75" customHeight="1">
      <c r="A89" s="20"/>
      <c r="B89" s="48"/>
      <c r="C89" s="25"/>
      <c r="D89" s="66"/>
      <c r="E89" s="13"/>
      <c r="F89" s="19"/>
      <c r="G89" s="66">
        <f t="shared" si="32"/>
        <v>18</v>
      </c>
      <c r="H89" s="66">
        <f t="shared" si="33"/>
        <v>1440</v>
      </c>
      <c r="I89" s="13"/>
      <c r="J89" s="13"/>
      <c r="K89" s="13"/>
      <c r="L89" s="1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2.75" customHeight="1">
      <c r="A90" s="20"/>
      <c r="B90" s="48"/>
      <c r="C90" s="25"/>
      <c r="D90" s="66"/>
      <c r="E90" s="13"/>
      <c r="F90" s="19"/>
      <c r="G90" s="13"/>
      <c r="H90" s="13"/>
      <c r="I90" s="66">
        <f t="shared" ref="I90:I92" si="34">AF46*AG46</f>
        <v>4</v>
      </c>
      <c r="J90" s="66">
        <f t="shared" ref="J90:J92" si="35">I90*AH46</f>
        <v>200</v>
      </c>
      <c r="K90" s="13"/>
      <c r="L90" s="13"/>
      <c r="M90" s="4"/>
      <c r="N90" s="4"/>
      <c r="O90" s="4"/>
      <c r="P90" s="4"/>
      <c r="Q90" s="4"/>
      <c r="R90" s="68">
        <f>I90</f>
        <v>4</v>
      </c>
      <c r="S90" s="68">
        <f>I91</f>
        <v>4</v>
      </c>
      <c r="T90" s="68">
        <f>I92</f>
        <v>16</v>
      </c>
      <c r="U90" s="4"/>
      <c r="V90" s="4"/>
      <c r="W90" s="4"/>
      <c r="X90" s="4"/>
      <c r="Y90" s="4"/>
      <c r="Z90" s="4"/>
      <c r="AA90" s="4"/>
    </row>
    <row r="91" ht="12.75" customHeight="1">
      <c r="A91" s="20"/>
      <c r="B91" s="48"/>
      <c r="C91" s="25"/>
      <c r="D91" s="66"/>
      <c r="E91" s="13"/>
      <c r="F91" s="19"/>
      <c r="G91" s="13"/>
      <c r="H91" s="13"/>
      <c r="I91" s="66">
        <f t="shared" si="34"/>
        <v>4</v>
      </c>
      <c r="J91" s="66">
        <f t="shared" si="35"/>
        <v>240</v>
      </c>
      <c r="K91" s="13"/>
      <c r="L91" s="1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20"/>
      <c r="B92" s="48"/>
      <c r="C92" s="25"/>
      <c r="D92" s="66"/>
      <c r="E92" s="13"/>
      <c r="F92" s="19"/>
      <c r="G92" s="13"/>
      <c r="H92" s="13"/>
      <c r="I92" s="66">
        <f t="shared" si="34"/>
        <v>16</v>
      </c>
      <c r="J92" s="66">
        <f t="shared" si="35"/>
        <v>1120</v>
      </c>
      <c r="K92" s="13"/>
      <c r="L92" s="1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20"/>
      <c r="B93" s="48"/>
      <c r="C93" s="25"/>
      <c r="D93" s="66"/>
      <c r="E93" s="13"/>
      <c r="F93" s="19"/>
      <c r="G93" s="13"/>
      <c r="H93" s="13"/>
      <c r="I93" s="13"/>
      <c r="J93" s="13"/>
      <c r="K93" s="13"/>
      <c r="L93" s="1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20"/>
      <c r="B94" s="48"/>
      <c r="C94" s="25"/>
      <c r="D94" s="66"/>
      <c r="E94" s="13"/>
      <c r="F94" s="19"/>
      <c r="G94" s="13"/>
      <c r="H94" s="13"/>
      <c r="I94" s="13"/>
      <c r="J94" s="13"/>
      <c r="K94" s="13"/>
      <c r="L94" s="1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20"/>
      <c r="B95" s="48"/>
      <c r="C95" s="25"/>
      <c r="D95" s="66"/>
      <c r="E95" s="13"/>
      <c r="F95" s="19"/>
      <c r="G95" s="67">
        <f t="shared" ref="G95:P95" si="36">SUM(G51:G94)</f>
        <v>77</v>
      </c>
      <c r="H95" s="67">
        <f t="shared" si="36"/>
        <v>5395</v>
      </c>
      <c r="I95" s="67">
        <f t="shared" si="36"/>
        <v>102</v>
      </c>
      <c r="J95" s="67">
        <f t="shared" si="36"/>
        <v>7200</v>
      </c>
      <c r="K95" s="67">
        <f t="shared" si="36"/>
        <v>41</v>
      </c>
      <c r="L95" s="67">
        <f t="shared" si="36"/>
        <v>2810</v>
      </c>
      <c r="M95" s="68">
        <f t="shared" si="36"/>
        <v>9</v>
      </c>
      <c r="N95" s="68">
        <f t="shared" si="36"/>
        <v>18</v>
      </c>
      <c r="O95" s="68">
        <f t="shared" si="36"/>
        <v>24</v>
      </c>
      <c r="P95" s="68">
        <f t="shared" si="36"/>
        <v>26</v>
      </c>
      <c r="Q95" s="4"/>
      <c r="R95" s="68">
        <f t="shared" ref="R95:U95" si="37">SUM(R55:R94)</f>
        <v>13</v>
      </c>
      <c r="S95" s="68">
        <f t="shared" si="37"/>
        <v>13</v>
      </c>
      <c r="T95" s="68">
        <f t="shared" si="37"/>
        <v>34</v>
      </c>
      <c r="U95" s="68">
        <f t="shared" si="37"/>
        <v>42</v>
      </c>
      <c r="V95" s="4"/>
      <c r="W95" s="68">
        <f t="shared" ref="W95:Z95" si="38">SUM(W65:W94)</f>
        <v>6</v>
      </c>
      <c r="X95" s="7">
        <f t="shared" si="38"/>
        <v>11</v>
      </c>
      <c r="Y95" s="68">
        <f t="shared" si="38"/>
        <v>9</v>
      </c>
      <c r="Z95" s="4">
        <f t="shared" si="38"/>
        <v>15</v>
      </c>
      <c r="AA95" s="4"/>
    </row>
    <row r="96" ht="12.75" customHeight="1">
      <c r="A96" s="20"/>
      <c r="B96" s="48"/>
      <c r="C96" s="25"/>
      <c r="D96" s="66"/>
      <c r="E96" s="13"/>
      <c r="F96" s="19"/>
      <c r="G96" s="13"/>
      <c r="H96" s="13"/>
      <c r="I96" s="13"/>
      <c r="J96" s="13"/>
      <c r="K96" s="13"/>
      <c r="L96" s="13"/>
      <c r="M96" s="4" t="s">
        <v>28</v>
      </c>
      <c r="N96" s="4" t="s">
        <v>29</v>
      </c>
      <c r="O96" s="4" t="s">
        <v>30</v>
      </c>
      <c r="P96" s="4" t="s">
        <v>31</v>
      </c>
      <c r="Q96" s="4" t="s">
        <v>32</v>
      </c>
      <c r="R96" s="4" t="s">
        <v>28</v>
      </c>
      <c r="S96" s="4" t="s">
        <v>29</v>
      </c>
      <c r="T96" s="4" t="s">
        <v>30</v>
      </c>
      <c r="U96" s="4" t="s">
        <v>31</v>
      </c>
      <c r="V96" s="4" t="s">
        <v>32</v>
      </c>
      <c r="W96" s="4" t="s">
        <v>28</v>
      </c>
      <c r="X96" s="4" t="s">
        <v>29</v>
      </c>
      <c r="Y96" s="4" t="s">
        <v>30</v>
      </c>
      <c r="Z96" s="4" t="s">
        <v>31</v>
      </c>
      <c r="AA96" s="4" t="s">
        <v>32</v>
      </c>
    </row>
    <row r="97" ht="12.75" customHeight="1">
      <c r="A97" s="20"/>
      <c r="B97" s="48"/>
      <c r="C97" s="25"/>
      <c r="D97" s="66"/>
      <c r="E97" s="13"/>
      <c r="F97" s="19"/>
      <c r="G97" s="13"/>
      <c r="H97" s="13"/>
      <c r="I97" s="13"/>
      <c r="J97" s="13"/>
      <c r="K97" s="13"/>
      <c r="L97" s="1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20"/>
      <c r="B98" s="48"/>
      <c r="C98" s="25"/>
      <c r="D98" s="66"/>
      <c r="E98" s="13"/>
      <c r="F98" s="19"/>
      <c r="G98" s="66">
        <f t="shared" ref="G98:G101" si="39">AM7*AN7</f>
        <v>3</v>
      </c>
      <c r="H98" s="66">
        <f t="shared" ref="H98:H101" si="40">G98*AO7</f>
        <v>150</v>
      </c>
      <c r="I98" s="13"/>
      <c r="J98" s="13"/>
      <c r="K98" s="13"/>
      <c r="L98" s="13"/>
      <c r="M98" s="68">
        <f>G98</f>
        <v>3</v>
      </c>
      <c r="N98" s="68">
        <f>G99</f>
        <v>3</v>
      </c>
      <c r="O98" s="68">
        <f>G100</f>
        <v>6</v>
      </c>
      <c r="P98" s="68">
        <f>G101</f>
        <v>10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20"/>
      <c r="B99" s="48"/>
      <c r="C99" s="25"/>
      <c r="D99" s="66"/>
      <c r="E99" s="13"/>
      <c r="F99" s="19"/>
      <c r="G99" s="66">
        <f t="shared" si="39"/>
        <v>3</v>
      </c>
      <c r="H99" s="66">
        <f t="shared" si="40"/>
        <v>180</v>
      </c>
      <c r="I99" s="13"/>
      <c r="J99" s="13"/>
      <c r="K99" s="13"/>
      <c r="L99" s="1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.75" customHeight="1">
      <c r="A100" s="20"/>
      <c r="B100" s="48"/>
      <c r="C100" s="25"/>
      <c r="D100" s="66"/>
      <c r="E100" s="13"/>
      <c r="F100" s="19"/>
      <c r="G100" s="66">
        <f t="shared" si="39"/>
        <v>6</v>
      </c>
      <c r="H100" s="66">
        <f t="shared" si="40"/>
        <v>420</v>
      </c>
      <c r="I100" s="13"/>
      <c r="J100" s="13"/>
      <c r="K100" s="13"/>
      <c r="L100" s="1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.75" customHeight="1">
      <c r="A101" s="20"/>
      <c r="B101" s="48"/>
      <c r="C101" s="25"/>
      <c r="D101" s="66"/>
      <c r="E101" s="13"/>
      <c r="F101" s="19"/>
      <c r="G101" s="66">
        <f t="shared" si="39"/>
        <v>10</v>
      </c>
      <c r="H101" s="66">
        <f t="shared" si="40"/>
        <v>800</v>
      </c>
      <c r="I101" s="13"/>
      <c r="J101" s="13"/>
      <c r="K101" s="13"/>
      <c r="L101" s="1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20"/>
      <c r="B102" s="48"/>
      <c r="C102" s="25"/>
      <c r="D102" s="66"/>
      <c r="E102" s="13"/>
      <c r="F102" s="19"/>
      <c r="G102" s="13"/>
      <c r="H102" s="13"/>
      <c r="I102" s="66">
        <f t="shared" ref="I102:I106" si="41">AM11*AN11</f>
        <v>3</v>
      </c>
      <c r="J102" s="66">
        <f t="shared" ref="J102:J106" si="42">I102*AO11</f>
        <v>150</v>
      </c>
      <c r="K102" s="13"/>
      <c r="L102" s="13"/>
      <c r="M102" s="4"/>
      <c r="N102" s="4"/>
      <c r="O102" s="4"/>
      <c r="P102" s="4"/>
      <c r="Q102" s="4"/>
      <c r="R102" s="68">
        <f>I102</f>
        <v>3</v>
      </c>
      <c r="S102" s="68">
        <f>I103</f>
        <v>3</v>
      </c>
      <c r="T102" s="68">
        <f>I104</f>
        <v>6</v>
      </c>
      <c r="U102" s="68">
        <f>I105+I106</f>
        <v>9</v>
      </c>
      <c r="V102" s="4"/>
      <c r="W102" s="4"/>
      <c r="X102" s="4"/>
      <c r="Y102" s="4"/>
      <c r="Z102" s="4"/>
      <c r="AA102" s="4"/>
    </row>
    <row r="103" ht="12.75" customHeight="1">
      <c r="A103" s="20"/>
      <c r="B103" s="48"/>
      <c r="C103" s="25"/>
      <c r="D103" s="66"/>
      <c r="E103" s="13"/>
      <c r="F103" s="19"/>
      <c r="G103" s="13"/>
      <c r="H103" s="13"/>
      <c r="I103" s="66">
        <f t="shared" si="41"/>
        <v>3</v>
      </c>
      <c r="J103" s="66">
        <f t="shared" si="42"/>
        <v>180</v>
      </c>
      <c r="K103" s="13"/>
      <c r="L103" s="1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20"/>
      <c r="B104" s="48"/>
      <c r="C104" s="25"/>
      <c r="D104" s="66"/>
      <c r="E104" s="13"/>
      <c r="F104" s="19"/>
      <c r="G104" s="13"/>
      <c r="H104" s="13"/>
      <c r="I104" s="66">
        <f t="shared" si="41"/>
        <v>6</v>
      </c>
      <c r="J104" s="66">
        <f t="shared" si="42"/>
        <v>420</v>
      </c>
      <c r="K104" s="13"/>
      <c r="L104" s="1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20"/>
      <c r="B105" s="48"/>
      <c r="C105" s="25"/>
      <c r="D105" s="66"/>
      <c r="E105" s="13"/>
      <c r="F105" s="19"/>
      <c r="G105" s="13"/>
      <c r="H105" s="13"/>
      <c r="I105" s="66">
        <f t="shared" si="41"/>
        <v>6</v>
      </c>
      <c r="J105" s="66">
        <f t="shared" si="42"/>
        <v>480</v>
      </c>
      <c r="K105" s="13"/>
      <c r="L105" s="1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20"/>
      <c r="B106" s="48"/>
      <c r="C106" s="25"/>
      <c r="D106" s="66"/>
      <c r="E106" s="13"/>
      <c r="F106" s="19"/>
      <c r="G106" s="13"/>
      <c r="H106" s="13"/>
      <c r="I106" s="66">
        <f t="shared" si="41"/>
        <v>3</v>
      </c>
      <c r="J106" s="66">
        <f t="shared" si="42"/>
        <v>255</v>
      </c>
      <c r="K106" s="13"/>
      <c r="L106" s="1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20"/>
      <c r="B107" s="48"/>
      <c r="C107" s="25"/>
      <c r="D107" s="66"/>
      <c r="E107" s="13"/>
      <c r="F107" s="19"/>
      <c r="G107" s="13"/>
      <c r="H107" s="13"/>
      <c r="I107" s="13"/>
      <c r="J107" s="13"/>
      <c r="K107" s="13"/>
      <c r="L107" s="1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20"/>
      <c r="B108" s="48"/>
      <c r="C108" s="25"/>
      <c r="D108" s="66"/>
      <c r="E108" s="13"/>
      <c r="F108" s="19"/>
      <c r="G108" s="13"/>
      <c r="H108" s="13"/>
      <c r="I108" s="13"/>
      <c r="J108" s="13"/>
      <c r="K108" s="13"/>
      <c r="L108" s="1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20"/>
      <c r="B109" s="48"/>
      <c r="C109" s="25"/>
      <c r="D109" s="66"/>
      <c r="E109" s="13"/>
      <c r="F109" s="19"/>
      <c r="G109" s="13"/>
      <c r="H109" s="13"/>
      <c r="I109" s="13"/>
      <c r="J109" s="13"/>
      <c r="K109" s="13"/>
      <c r="L109" s="1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20"/>
      <c r="B110" s="48"/>
      <c r="C110" s="25"/>
      <c r="D110" s="66"/>
      <c r="E110" s="13"/>
      <c r="F110" s="19"/>
      <c r="G110" s="13"/>
      <c r="H110" s="13"/>
      <c r="I110" s="13"/>
      <c r="J110" s="13"/>
      <c r="K110" s="13"/>
      <c r="L110" s="1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.75" customHeight="1">
      <c r="A111" s="20"/>
      <c r="B111" s="48"/>
      <c r="C111" s="25"/>
      <c r="D111" s="66"/>
      <c r="E111" s="13"/>
      <c r="F111" s="19"/>
      <c r="G111" s="13"/>
      <c r="H111" s="13"/>
      <c r="I111" s="66">
        <f t="shared" ref="I111:I114" si="43">AM20*AN20</f>
        <v>3</v>
      </c>
      <c r="J111" s="66">
        <f t="shared" ref="J111:J114" si="44">I111*AO20</f>
        <v>150</v>
      </c>
      <c r="K111" s="13"/>
      <c r="L111" s="13"/>
      <c r="M111" s="4"/>
      <c r="N111" s="4"/>
      <c r="O111" s="4"/>
      <c r="P111" s="4"/>
      <c r="Q111" s="4"/>
      <c r="R111" s="68">
        <f>I111</f>
        <v>3</v>
      </c>
      <c r="S111" s="68">
        <f>I112</f>
        <v>3</v>
      </c>
      <c r="T111" s="68">
        <f>I113</f>
        <v>6</v>
      </c>
      <c r="U111" s="68">
        <f>I114</f>
        <v>10</v>
      </c>
      <c r="V111" s="4"/>
      <c r="W111" s="4"/>
      <c r="X111" s="4"/>
      <c r="Y111" s="4"/>
      <c r="Z111" s="4"/>
      <c r="AA111" s="4"/>
    </row>
    <row r="112" ht="12.75" customHeight="1">
      <c r="A112" s="20"/>
      <c r="B112" s="48"/>
      <c r="C112" s="25"/>
      <c r="D112" s="66"/>
      <c r="E112" s="13"/>
      <c r="F112" s="19"/>
      <c r="G112" s="13"/>
      <c r="H112" s="13"/>
      <c r="I112" s="66">
        <f t="shared" si="43"/>
        <v>3</v>
      </c>
      <c r="J112" s="66">
        <f t="shared" si="44"/>
        <v>180</v>
      </c>
      <c r="K112" s="13"/>
      <c r="L112" s="1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.75" customHeight="1">
      <c r="A113" s="20"/>
      <c r="B113" s="48"/>
      <c r="C113" s="25"/>
      <c r="D113" s="66"/>
      <c r="E113" s="13"/>
      <c r="F113" s="19"/>
      <c r="G113" s="13"/>
      <c r="H113" s="13"/>
      <c r="I113" s="66">
        <f t="shared" si="43"/>
        <v>6</v>
      </c>
      <c r="J113" s="66">
        <f t="shared" si="44"/>
        <v>420</v>
      </c>
      <c r="K113" s="13"/>
      <c r="L113" s="1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.75" customHeight="1">
      <c r="A114" s="20"/>
      <c r="B114" s="48"/>
      <c r="C114" s="25"/>
      <c r="D114" s="66"/>
      <c r="E114" s="13"/>
      <c r="F114" s="19"/>
      <c r="G114" s="13"/>
      <c r="H114" s="13"/>
      <c r="I114" s="66">
        <f t="shared" si="43"/>
        <v>10</v>
      </c>
      <c r="J114" s="66">
        <f t="shared" si="44"/>
        <v>800</v>
      </c>
      <c r="K114" s="13"/>
      <c r="L114" s="1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20"/>
      <c r="B115" s="48"/>
      <c r="C115" s="25"/>
      <c r="D115" s="66"/>
      <c r="E115" s="13"/>
      <c r="F115" s="19"/>
      <c r="G115" s="13"/>
      <c r="H115" s="13"/>
      <c r="I115" s="13"/>
      <c r="J115" s="13"/>
      <c r="K115" s="13"/>
      <c r="L115" s="1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20"/>
      <c r="B116" s="48"/>
      <c r="C116" s="25"/>
      <c r="D116" s="66"/>
      <c r="E116" s="13"/>
      <c r="F116" s="19"/>
      <c r="G116" s="13"/>
      <c r="H116" s="13"/>
      <c r="I116" s="13"/>
      <c r="J116" s="13"/>
      <c r="K116" s="66">
        <f t="shared" ref="K116:K119" si="45">AM25*AN25</f>
        <v>3</v>
      </c>
      <c r="L116" s="66">
        <f t="shared" ref="L116:L119" si="46">K116*AO25</f>
        <v>150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68">
        <f>K116</f>
        <v>3</v>
      </c>
      <c r="X116" s="68">
        <f>K117</f>
        <v>6</v>
      </c>
      <c r="Y116" s="68">
        <f>K118+K119</f>
        <v>16</v>
      </c>
      <c r="Z116" s="4"/>
      <c r="AA116" s="4"/>
    </row>
    <row r="117" ht="12.75" customHeight="1">
      <c r="A117" s="20"/>
      <c r="B117" s="48"/>
      <c r="C117" s="25"/>
      <c r="D117" s="66"/>
      <c r="E117" s="13"/>
      <c r="F117" s="19"/>
      <c r="G117" s="13"/>
      <c r="H117" s="13"/>
      <c r="I117" s="13"/>
      <c r="J117" s="13"/>
      <c r="K117" s="66">
        <f t="shared" si="45"/>
        <v>6</v>
      </c>
      <c r="L117" s="66">
        <f t="shared" si="46"/>
        <v>360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20"/>
      <c r="B118" s="48"/>
      <c r="C118" s="25"/>
      <c r="D118" s="66"/>
      <c r="E118" s="13"/>
      <c r="F118" s="19"/>
      <c r="G118" s="13"/>
      <c r="H118" s="13"/>
      <c r="I118" s="13"/>
      <c r="J118" s="13"/>
      <c r="K118" s="66">
        <f t="shared" si="45"/>
        <v>6</v>
      </c>
      <c r="L118" s="66">
        <f t="shared" si="46"/>
        <v>420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20"/>
      <c r="B119" s="48"/>
      <c r="C119" s="25"/>
      <c r="D119" s="66"/>
      <c r="E119" s="13"/>
      <c r="F119" s="19"/>
      <c r="G119" s="13"/>
      <c r="H119" s="13"/>
      <c r="I119" s="13"/>
      <c r="J119" s="13"/>
      <c r="K119" s="66">
        <f t="shared" si="45"/>
        <v>10</v>
      </c>
      <c r="L119" s="66">
        <f t="shared" si="46"/>
        <v>750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20"/>
      <c r="B120" s="48"/>
      <c r="C120" s="25"/>
      <c r="D120" s="66"/>
      <c r="E120" s="13"/>
      <c r="F120" s="19"/>
      <c r="G120" s="13"/>
      <c r="H120" s="13"/>
      <c r="I120" s="13"/>
      <c r="J120" s="13"/>
      <c r="K120" s="13"/>
      <c r="L120" s="1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20"/>
      <c r="B121" s="48"/>
      <c r="C121" s="25"/>
      <c r="D121" s="66"/>
      <c r="E121" s="13"/>
      <c r="F121" s="19"/>
      <c r="G121" s="13"/>
      <c r="H121" s="13"/>
      <c r="I121" s="13"/>
      <c r="J121" s="13"/>
      <c r="K121" s="13"/>
      <c r="L121" s="1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20"/>
      <c r="B122" s="48"/>
      <c r="C122" s="25"/>
      <c r="D122" s="66"/>
      <c r="E122" s="13"/>
      <c r="F122" s="19"/>
      <c r="G122" s="13"/>
      <c r="H122" s="13"/>
      <c r="I122" s="13"/>
      <c r="J122" s="13"/>
      <c r="K122" s="13"/>
      <c r="L122" s="1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20"/>
      <c r="B123" s="48"/>
      <c r="C123" s="25"/>
      <c r="D123" s="66"/>
      <c r="E123" s="13"/>
      <c r="F123" s="19"/>
      <c r="G123" s="66">
        <f t="shared" ref="G123:G126" si="47">AM32*AN32</f>
        <v>3</v>
      </c>
      <c r="H123" s="66">
        <f t="shared" ref="H123:H126" si="48">G123*AO32</f>
        <v>150</v>
      </c>
      <c r="I123" s="13"/>
      <c r="J123" s="13"/>
      <c r="K123" s="13"/>
      <c r="L123" s="13"/>
      <c r="M123" s="68">
        <f>G123</f>
        <v>3</v>
      </c>
      <c r="N123" s="68">
        <f>G124</f>
        <v>6</v>
      </c>
      <c r="O123" s="68">
        <f>G125+G126</f>
        <v>10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20"/>
      <c r="B124" s="48"/>
      <c r="C124" s="25"/>
      <c r="D124" s="66"/>
      <c r="E124" s="13"/>
      <c r="F124" s="19"/>
      <c r="G124" s="66">
        <f t="shared" si="47"/>
        <v>6</v>
      </c>
      <c r="H124" s="66">
        <f t="shared" si="48"/>
        <v>360</v>
      </c>
      <c r="I124" s="13"/>
      <c r="J124" s="13"/>
      <c r="K124" s="13"/>
      <c r="L124" s="1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20"/>
      <c r="B125" s="48"/>
      <c r="C125" s="25"/>
      <c r="D125" s="66"/>
      <c r="E125" s="13"/>
      <c r="F125" s="19"/>
      <c r="G125" s="66">
        <f t="shared" si="47"/>
        <v>4</v>
      </c>
      <c r="H125" s="66">
        <f t="shared" si="48"/>
        <v>280</v>
      </c>
      <c r="I125" s="13"/>
      <c r="J125" s="13"/>
      <c r="K125" s="13"/>
      <c r="L125" s="1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20"/>
      <c r="B126" s="48"/>
      <c r="C126" s="25"/>
      <c r="D126" s="66"/>
      <c r="E126" s="13"/>
      <c r="F126" s="19"/>
      <c r="G126" s="66">
        <f t="shared" si="47"/>
        <v>6</v>
      </c>
      <c r="H126" s="66">
        <f t="shared" si="48"/>
        <v>450</v>
      </c>
      <c r="I126" s="13"/>
      <c r="J126" s="13"/>
      <c r="K126" s="13"/>
      <c r="L126" s="1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20"/>
      <c r="B127" s="48"/>
      <c r="C127" s="25"/>
      <c r="D127" s="66"/>
      <c r="E127" s="13"/>
      <c r="F127" s="19"/>
      <c r="G127" s="13"/>
      <c r="H127" s="13"/>
      <c r="I127" s="66">
        <f t="shared" ref="I127:I130" si="49">AM36*AN36</f>
        <v>3</v>
      </c>
      <c r="J127" s="66">
        <f t="shared" ref="J127:J130" si="50">I127*AO36</f>
        <v>150</v>
      </c>
      <c r="K127" s="13"/>
      <c r="L127" s="13"/>
      <c r="M127" s="4"/>
      <c r="N127" s="4"/>
      <c r="O127" s="4"/>
      <c r="P127" s="4"/>
      <c r="Q127" s="4"/>
      <c r="R127" s="68">
        <f>I127</f>
        <v>3</v>
      </c>
      <c r="S127" s="68">
        <f>I128</f>
        <v>3</v>
      </c>
      <c r="T127" s="68">
        <f>I129+I130</f>
        <v>14</v>
      </c>
      <c r="U127" s="4"/>
      <c r="V127" s="4"/>
      <c r="W127" s="4"/>
      <c r="X127" s="4"/>
      <c r="Y127" s="4"/>
      <c r="Z127" s="4"/>
      <c r="AA127" s="4"/>
    </row>
    <row r="128" ht="12.75" customHeight="1">
      <c r="A128" s="20"/>
      <c r="B128" s="48"/>
      <c r="C128" s="25"/>
      <c r="D128" s="66"/>
      <c r="E128" s="13"/>
      <c r="F128" s="19"/>
      <c r="G128" s="13"/>
      <c r="H128" s="13"/>
      <c r="I128" s="66">
        <f t="shared" si="49"/>
        <v>3</v>
      </c>
      <c r="J128" s="66">
        <f t="shared" si="50"/>
        <v>180</v>
      </c>
      <c r="K128" s="13"/>
      <c r="L128" s="1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.75" customHeight="1">
      <c r="A129" s="20"/>
      <c r="B129" s="48"/>
      <c r="C129" s="25"/>
      <c r="D129" s="66"/>
      <c r="E129" s="13"/>
      <c r="F129" s="19"/>
      <c r="G129" s="13"/>
      <c r="H129" s="13"/>
      <c r="I129" s="66">
        <f t="shared" si="49"/>
        <v>6</v>
      </c>
      <c r="J129" s="66">
        <f t="shared" si="50"/>
        <v>420</v>
      </c>
      <c r="K129" s="13"/>
      <c r="L129" s="1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20"/>
      <c r="B130" s="48"/>
      <c r="C130" s="25"/>
      <c r="D130" s="66"/>
      <c r="E130" s="13"/>
      <c r="F130" s="19"/>
      <c r="G130" s="13"/>
      <c r="H130" s="13"/>
      <c r="I130" s="66">
        <f t="shared" si="49"/>
        <v>8</v>
      </c>
      <c r="J130" s="66">
        <f t="shared" si="50"/>
        <v>600</v>
      </c>
      <c r="K130" s="13"/>
      <c r="L130" s="1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20"/>
      <c r="B131" s="48"/>
      <c r="C131" s="25"/>
      <c r="D131" s="66"/>
      <c r="E131" s="13"/>
      <c r="F131" s="19"/>
      <c r="G131" s="13"/>
      <c r="H131" s="13"/>
      <c r="I131" s="13"/>
      <c r="J131" s="13"/>
      <c r="K131" s="13"/>
      <c r="L131" s="1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20"/>
      <c r="B132" s="48"/>
      <c r="C132" s="25"/>
      <c r="D132" s="66"/>
      <c r="E132" s="13"/>
      <c r="F132" s="19"/>
      <c r="G132" s="67">
        <f t="shared" ref="G132:P132" si="51">SUM(G98:G131)</f>
        <v>41</v>
      </c>
      <c r="H132" s="67">
        <f t="shared" si="51"/>
        <v>2790</v>
      </c>
      <c r="I132" s="17">
        <f t="shared" si="51"/>
        <v>63</v>
      </c>
      <c r="J132" s="17">
        <f t="shared" si="51"/>
        <v>4385</v>
      </c>
      <c r="K132" s="17">
        <f t="shared" si="51"/>
        <v>25</v>
      </c>
      <c r="L132" s="17">
        <f t="shared" si="51"/>
        <v>1680</v>
      </c>
      <c r="M132" s="68">
        <f t="shared" si="51"/>
        <v>6</v>
      </c>
      <c r="N132" s="68">
        <f t="shared" si="51"/>
        <v>9</v>
      </c>
      <c r="O132" s="68">
        <f t="shared" si="51"/>
        <v>16</v>
      </c>
      <c r="P132" s="68">
        <f t="shared" si="51"/>
        <v>10</v>
      </c>
      <c r="Q132" s="4"/>
      <c r="R132" s="68">
        <f t="shared" ref="R132:U132" si="52">SUM(R102:R131)</f>
        <v>9</v>
      </c>
      <c r="S132" s="68">
        <f t="shared" si="52"/>
        <v>9</v>
      </c>
      <c r="T132" s="68">
        <f t="shared" si="52"/>
        <v>26</v>
      </c>
      <c r="U132" s="68">
        <f t="shared" si="52"/>
        <v>19</v>
      </c>
      <c r="V132" s="4"/>
      <c r="W132" s="68">
        <f t="shared" ref="W132:Y132" si="53">SUM(W116:W131)</f>
        <v>3</v>
      </c>
      <c r="X132" s="68">
        <f t="shared" si="53"/>
        <v>6</v>
      </c>
      <c r="Y132" s="68">
        <f t="shared" si="53"/>
        <v>16</v>
      </c>
      <c r="Z132" s="4"/>
      <c r="AA132" s="4"/>
    </row>
    <row r="133" ht="12.75" customHeight="1">
      <c r="A133" s="20"/>
      <c r="B133" s="48"/>
      <c r="C133" s="25"/>
      <c r="D133" s="66"/>
      <c r="E133" s="13"/>
      <c r="F133" s="19"/>
      <c r="G133" s="13"/>
      <c r="H133" s="13"/>
      <c r="I133" s="13"/>
      <c r="J133" s="13"/>
      <c r="K133" s="13"/>
      <c r="L133" s="13"/>
      <c r="M133" s="4" t="s">
        <v>28</v>
      </c>
      <c r="N133" s="4" t="s">
        <v>29</v>
      </c>
      <c r="O133" s="4" t="s">
        <v>30</v>
      </c>
      <c r="P133" s="4" t="s">
        <v>31</v>
      </c>
      <c r="Q133" s="4" t="s">
        <v>32</v>
      </c>
      <c r="R133" s="4" t="s">
        <v>28</v>
      </c>
      <c r="S133" s="4" t="s">
        <v>29</v>
      </c>
      <c r="T133" s="4" t="s">
        <v>30</v>
      </c>
      <c r="U133" s="4" t="s">
        <v>31</v>
      </c>
      <c r="V133" s="4" t="s">
        <v>32</v>
      </c>
      <c r="W133" s="4" t="s">
        <v>28</v>
      </c>
      <c r="X133" s="4" t="s">
        <v>29</v>
      </c>
      <c r="Y133" s="4" t="s">
        <v>30</v>
      </c>
      <c r="Z133" s="4" t="s">
        <v>31</v>
      </c>
      <c r="AA133" s="4" t="s">
        <v>32</v>
      </c>
    </row>
    <row r="134" ht="12.75" customHeight="1">
      <c r="A134" s="20"/>
      <c r="B134" s="48"/>
      <c r="C134" s="25"/>
      <c r="D134" s="66"/>
      <c r="E134" s="13"/>
      <c r="F134" s="19"/>
      <c r="G134" s="13"/>
      <c r="H134" s="13"/>
      <c r="I134" s="13"/>
      <c r="J134" s="13"/>
      <c r="K134" s="13"/>
      <c r="L134" s="1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20"/>
      <c r="B135" s="48"/>
      <c r="C135" s="25"/>
      <c r="D135" s="66"/>
      <c r="E135" s="13"/>
      <c r="F135" s="19"/>
      <c r="G135" s="13"/>
      <c r="H135" s="13"/>
      <c r="I135" s="66">
        <f t="shared" ref="I135:I138" si="54">AT7*AU7</f>
        <v>3</v>
      </c>
      <c r="J135" s="66">
        <f t="shared" ref="J135:J138" si="55">I135*AV7</f>
        <v>150</v>
      </c>
      <c r="K135" s="13"/>
      <c r="L135" s="13"/>
      <c r="M135" s="4"/>
      <c r="N135" s="4"/>
      <c r="O135" s="4"/>
      <c r="P135" s="4"/>
      <c r="Q135" s="4"/>
      <c r="R135" s="68">
        <f>I135</f>
        <v>3</v>
      </c>
      <c r="S135" s="68">
        <f>I136</f>
        <v>6</v>
      </c>
      <c r="T135" s="68">
        <f>I137+I138</f>
        <v>8</v>
      </c>
      <c r="U135" s="4"/>
      <c r="V135" s="4"/>
      <c r="W135" s="4"/>
      <c r="X135" s="4"/>
      <c r="Y135" s="4"/>
      <c r="Z135" s="4"/>
      <c r="AA135" s="4"/>
    </row>
    <row r="136" ht="12.75" customHeight="1">
      <c r="A136" s="20"/>
      <c r="B136" s="48"/>
      <c r="C136" s="25"/>
      <c r="D136" s="66"/>
      <c r="E136" s="13"/>
      <c r="F136" s="19"/>
      <c r="G136" s="13"/>
      <c r="H136" s="13"/>
      <c r="I136" s="66">
        <f t="shared" si="54"/>
        <v>6</v>
      </c>
      <c r="J136" s="66">
        <f t="shared" si="55"/>
        <v>360</v>
      </c>
      <c r="K136" s="13"/>
      <c r="L136" s="1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20"/>
      <c r="B137" s="48"/>
      <c r="C137" s="25"/>
      <c r="D137" s="66"/>
      <c r="E137" s="13"/>
      <c r="F137" s="19"/>
      <c r="G137" s="13"/>
      <c r="H137" s="13"/>
      <c r="I137" s="66">
        <f t="shared" si="54"/>
        <v>4</v>
      </c>
      <c r="J137" s="66">
        <f t="shared" si="55"/>
        <v>280</v>
      </c>
      <c r="K137" s="13"/>
      <c r="L137" s="1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20"/>
      <c r="B138" s="48"/>
      <c r="C138" s="25"/>
      <c r="D138" s="66"/>
      <c r="E138" s="13"/>
      <c r="F138" s="19"/>
      <c r="G138" s="13"/>
      <c r="H138" s="13"/>
      <c r="I138" s="66">
        <f t="shared" si="54"/>
        <v>4</v>
      </c>
      <c r="J138" s="66">
        <f t="shared" si="55"/>
        <v>300</v>
      </c>
      <c r="K138" s="13"/>
      <c r="L138" s="1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20"/>
      <c r="B139" s="48"/>
      <c r="C139" s="25"/>
      <c r="D139" s="66"/>
      <c r="E139" s="13"/>
      <c r="F139" s="19"/>
      <c r="G139" s="13"/>
      <c r="H139" s="13"/>
      <c r="I139" s="13"/>
      <c r="J139" s="13"/>
      <c r="K139" s="66">
        <f t="shared" ref="K139:K141" si="56">AT11*AU11</f>
        <v>3</v>
      </c>
      <c r="L139" s="66">
        <f t="shared" ref="L139:L141" si="57">K139*AV11</f>
        <v>150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8">
        <f>K139</f>
        <v>3</v>
      </c>
      <c r="X139" s="68">
        <f>K140</f>
        <v>4</v>
      </c>
      <c r="Y139" s="68">
        <f>K141</f>
        <v>8</v>
      </c>
      <c r="Z139" s="4"/>
      <c r="AA139" s="4"/>
    </row>
    <row r="140" ht="12.75" customHeight="1">
      <c r="A140" s="20"/>
      <c r="B140" s="48"/>
      <c r="C140" s="25"/>
      <c r="D140" s="66"/>
      <c r="E140" s="13"/>
      <c r="F140" s="19"/>
      <c r="G140" s="13"/>
      <c r="H140" s="13"/>
      <c r="I140" s="13"/>
      <c r="J140" s="13"/>
      <c r="K140" s="66">
        <f t="shared" si="56"/>
        <v>4</v>
      </c>
      <c r="L140" s="66">
        <f t="shared" si="57"/>
        <v>240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.75" customHeight="1">
      <c r="A141" s="20"/>
      <c r="B141" s="48"/>
      <c r="C141" s="25"/>
      <c r="D141" s="66"/>
      <c r="E141" s="13"/>
      <c r="F141" s="19"/>
      <c r="G141" s="13"/>
      <c r="H141" s="13"/>
      <c r="I141" s="13"/>
      <c r="J141" s="13"/>
      <c r="K141" s="66">
        <f t="shared" si="56"/>
        <v>8</v>
      </c>
      <c r="L141" s="66">
        <f t="shared" si="57"/>
        <v>560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20"/>
      <c r="B142" s="48"/>
      <c r="C142" s="25"/>
      <c r="D142" s="66"/>
      <c r="E142" s="13"/>
      <c r="F142" s="19"/>
      <c r="G142" s="13"/>
      <c r="H142" s="13"/>
      <c r="I142" s="13"/>
      <c r="J142" s="13"/>
      <c r="K142" s="13"/>
      <c r="L142" s="1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20"/>
      <c r="B143" s="48"/>
      <c r="C143" s="25"/>
      <c r="D143" s="66"/>
      <c r="E143" s="13"/>
      <c r="F143" s="19"/>
      <c r="G143" s="13"/>
      <c r="H143" s="13"/>
      <c r="I143" s="13"/>
      <c r="J143" s="13"/>
      <c r="K143" s="13"/>
      <c r="L143" s="1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20"/>
      <c r="B144" s="48"/>
      <c r="C144" s="25"/>
      <c r="D144" s="66"/>
      <c r="E144" s="13"/>
      <c r="F144" s="19"/>
      <c r="G144" s="13"/>
      <c r="H144" s="13"/>
      <c r="I144" s="13"/>
      <c r="J144" s="13"/>
      <c r="K144" s="13"/>
      <c r="L144" s="1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20"/>
      <c r="B145" s="48"/>
      <c r="C145" s="25"/>
      <c r="D145" s="66"/>
      <c r="E145" s="13"/>
      <c r="F145" s="19"/>
      <c r="G145" s="66">
        <f t="shared" ref="G145:G147" si="58">AT17*AU17</f>
        <v>3</v>
      </c>
      <c r="H145" s="66">
        <f t="shared" ref="H145:H147" si="59">G145*AV17</f>
        <v>150</v>
      </c>
      <c r="I145" s="13"/>
      <c r="J145" s="13"/>
      <c r="K145" s="13"/>
      <c r="L145" s="13"/>
      <c r="M145" s="68">
        <f>G145</f>
        <v>3</v>
      </c>
      <c r="N145" s="68">
        <f>G146</f>
        <v>6</v>
      </c>
      <c r="O145" s="68">
        <f>G147</f>
        <v>6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20"/>
      <c r="B146" s="48"/>
      <c r="C146" s="25"/>
      <c r="D146" s="66"/>
      <c r="E146" s="13"/>
      <c r="F146" s="19"/>
      <c r="G146" s="66">
        <f t="shared" si="58"/>
        <v>6</v>
      </c>
      <c r="H146" s="66">
        <f t="shared" si="59"/>
        <v>360</v>
      </c>
      <c r="I146" s="13"/>
      <c r="J146" s="13"/>
      <c r="K146" s="13"/>
      <c r="L146" s="1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20"/>
      <c r="B147" s="48"/>
      <c r="C147" s="25"/>
      <c r="D147" s="66"/>
      <c r="E147" s="13"/>
      <c r="F147" s="19"/>
      <c r="G147" s="66">
        <f t="shared" si="58"/>
        <v>6</v>
      </c>
      <c r="H147" s="66">
        <f t="shared" si="59"/>
        <v>420</v>
      </c>
      <c r="I147" s="13"/>
      <c r="J147" s="13"/>
      <c r="K147" s="13"/>
      <c r="L147" s="1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20"/>
      <c r="B148" s="48"/>
      <c r="C148" s="25"/>
      <c r="D148" s="66"/>
      <c r="E148" s="13"/>
      <c r="F148" s="19"/>
      <c r="G148" s="13"/>
      <c r="H148" s="13"/>
      <c r="I148" s="66">
        <f t="shared" ref="I148:I150" si="60">AT20*AU20</f>
        <v>3</v>
      </c>
      <c r="J148" s="66">
        <f t="shared" ref="J148:J150" si="61">I148*AV20</f>
        <v>150</v>
      </c>
      <c r="K148" s="13"/>
      <c r="L148" s="13"/>
      <c r="M148" s="4"/>
      <c r="N148" s="4"/>
      <c r="O148" s="4"/>
      <c r="P148" s="4"/>
      <c r="Q148" s="4"/>
      <c r="R148" s="68">
        <f>I148</f>
        <v>3</v>
      </c>
      <c r="S148" s="68">
        <f>I149</f>
        <v>6</v>
      </c>
      <c r="T148" s="68">
        <f>I150</f>
        <v>6</v>
      </c>
      <c r="U148" s="4"/>
      <c r="V148" s="4"/>
      <c r="W148" s="4"/>
      <c r="X148" s="4"/>
      <c r="Y148" s="4"/>
      <c r="Z148" s="4"/>
      <c r="AA148" s="4"/>
    </row>
    <row r="149" ht="12.75" customHeight="1">
      <c r="A149" s="20"/>
      <c r="B149" s="48"/>
      <c r="C149" s="25"/>
      <c r="D149" s="66"/>
      <c r="E149" s="13"/>
      <c r="F149" s="19"/>
      <c r="G149" s="13"/>
      <c r="H149" s="13"/>
      <c r="I149" s="66">
        <f t="shared" si="60"/>
        <v>6</v>
      </c>
      <c r="J149" s="66">
        <f t="shared" si="61"/>
        <v>360</v>
      </c>
      <c r="K149" s="13"/>
      <c r="L149" s="1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.75" customHeight="1">
      <c r="A150" s="20"/>
      <c r="B150" s="48"/>
      <c r="C150" s="25"/>
      <c r="D150" s="66"/>
      <c r="E150" s="13"/>
      <c r="F150" s="19"/>
      <c r="G150" s="13"/>
      <c r="H150" s="13"/>
      <c r="I150" s="66">
        <f t="shared" si="60"/>
        <v>6</v>
      </c>
      <c r="J150" s="66">
        <f t="shared" si="61"/>
        <v>420</v>
      </c>
      <c r="K150" s="13"/>
      <c r="L150" s="1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.75" customHeight="1">
      <c r="A151" s="20"/>
      <c r="B151" s="48"/>
      <c r="C151" s="25"/>
      <c r="D151" s="66"/>
      <c r="E151" s="13"/>
      <c r="F151" s="19"/>
      <c r="G151" s="13"/>
      <c r="H151" s="13"/>
      <c r="I151" s="13"/>
      <c r="J151" s="13"/>
      <c r="K151" s="13"/>
      <c r="L151" s="1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.75" customHeight="1">
      <c r="A152" s="20"/>
      <c r="B152" s="48"/>
      <c r="C152" s="25"/>
      <c r="D152" s="66"/>
      <c r="E152" s="13"/>
      <c r="F152" s="19"/>
      <c r="G152" s="13"/>
      <c r="H152" s="13"/>
      <c r="I152" s="13"/>
      <c r="J152" s="13"/>
      <c r="K152" s="13"/>
      <c r="L152" s="1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20"/>
      <c r="B153" s="48"/>
      <c r="C153" s="25"/>
      <c r="D153" s="66"/>
      <c r="E153" s="13"/>
      <c r="F153" s="19"/>
      <c r="G153" s="13"/>
      <c r="H153" s="13"/>
      <c r="I153" s="13"/>
      <c r="J153" s="13"/>
      <c r="K153" s="13"/>
      <c r="L153" s="1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20"/>
      <c r="B154" s="48"/>
      <c r="C154" s="25"/>
      <c r="D154" s="66"/>
      <c r="E154" s="13"/>
      <c r="F154" s="19"/>
      <c r="G154" s="17">
        <f t="shared" ref="G154:L154" si="62">SUM(G135:G153)</f>
        <v>15</v>
      </c>
      <c r="H154" s="17">
        <f t="shared" si="62"/>
        <v>930</v>
      </c>
      <c r="I154" s="67">
        <f t="shared" si="62"/>
        <v>32</v>
      </c>
      <c r="J154" s="67">
        <f t="shared" si="62"/>
        <v>2020</v>
      </c>
      <c r="K154" s="17">
        <f t="shared" si="62"/>
        <v>15</v>
      </c>
      <c r="L154" s="17">
        <f t="shared" si="62"/>
        <v>950</v>
      </c>
      <c r="M154" s="68">
        <f t="shared" ref="M154:O154" si="63">SUM(M145:M153)</f>
        <v>3</v>
      </c>
      <c r="N154" s="68">
        <f t="shared" si="63"/>
        <v>6</v>
      </c>
      <c r="O154" s="68">
        <f t="shared" si="63"/>
        <v>6</v>
      </c>
      <c r="P154" s="4"/>
      <c r="Q154" s="4"/>
      <c r="R154" s="68">
        <f t="shared" ref="R154:T154" si="64">SUM(R135:R153)</f>
        <v>6</v>
      </c>
      <c r="S154" s="68">
        <f t="shared" si="64"/>
        <v>12</v>
      </c>
      <c r="T154" s="68">
        <f t="shared" si="64"/>
        <v>14</v>
      </c>
      <c r="U154" s="4"/>
      <c r="V154" s="4"/>
      <c r="W154" s="68">
        <f t="shared" ref="W154:Y154" si="65">SUM(W139:W153)</f>
        <v>3</v>
      </c>
      <c r="X154" s="68">
        <f t="shared" si="65"/>
        <v>4</v>
      </c>
      <c r="Y154" s="68">
        <f t="shared" si="65"/>
        <v>8</v>
      </c>
      <c r="Z154" s="4"/>
      <c r="AA154" s="4"/>
    </row>
    <row r="155" ht="12.75" customHeight="1">
      <c r="A155" s="20"/>
      <c r="B155" s="48"/>
      <c r="C155" s="25"/>
      <c r="D155" s="66"/>
      <c r="E155" s="13"/>
      <c r="F155" s="19"/>
      <c r="G155" s="13"/>
      <c r="H155" s="13"/>
      <c r="I155" s="13"/>
      <c r="J155" s="13"/>
      <c r="K155" s="13"/>
      <c r="L155" s="13"/>
      <c r="M155" s="4" t="s">
        <v>28</v>
      </c>
      <c r="N155" s="4" t="s">
        <v>29</v>
      </c>
      <c r="O155" s="4" t="s">
        <v>30</v>
      </c>
      <c r="P155" s="4" t="s">
        <v>31</v>
      </c>
      <c r="Q155" s="4" t="s">
        <v>32</v>
      </c>
      <c r="R155" s="4" t="s">
        <v>28</v>
      </c>
      <c r="S155" s="4" t="s">
        <v>29</v>
      </c>
      <c r="T155" s="4" t="s">
        <v>30</v>
      </c>
      <c r="U155" s="4" t="s">
        <v>31</v>
      </c>
      <c r="V155" s="4" t="s">
        <v>32</v>
      </c>
      <c r="W155" s="4" t="s">
        <v>28</v>
      </c>
      <c r="X155" s="4" t="s">
        <v>29</v>
      </c>
      <c r="Y155" s="4" t="s">
        <v>30</v>
      </c>
      <c r="Z155" s="4" t="s">
        <v>31</v>
      </c>
      <c r="AA155" s="4" t="s">
        <v>32</v>
      </c>
    </row>
    <row r="156" ht="12.75" customHeight="1">
      <c r="A156" s="20"/>
      <c r="B156" s="48"/>
      <c r="C156" s="25"/>
      <c r="D156" s="66"/>
      <c r="E156" s="13"/>
      <c r="F156" s="19"/>
      <c r="G156" s="67">
        <f t="shared" ref="G156:L156" si="66">SUM(G154,G132,G95,G48)</f>
        <v>192</v>
      </c>
      <c r="H156" s="67">
        <f t="shared" si="66"/>
        <v>13085</v>
      </c>
      <c r="I156" s="67">
        <f t="shared" si="66"/>
        <v>257</v>
      </c>
      <c r="J156" s="67">
        <f t="shared" si="66"/>
        <v>17770</v>
      </c>
      <c r="K156" s="67">
        <f t="shared" si="66"/>
        <v>94</v>
      </c>
      <c r="L156" s="67">
        <f t="shared" si="66"/>
        <v>6360</v>
      </c>
      <c r="M156" s="7">
        <f t="shared" ref="M156:AA156" si="67">(M154+M132+M95+M48)</f>
        <v>27</v>
      </c>
      <c r="N156" s="7">
        <f t="shared" si="67"/>
        <v>48</v>
      </c>
      <c r="O156" s="7">
        <f t="shared" si="67"/>
        <v>76</v>
      </c>
      <c r="P156" s="7">
        <f t="shared" si="67"/>
        <v>38</v>
      </c>
      <c r="Q156" s="7">
        <f t="shared" si="67"/>
        <v>3</v>
      </c>
      <c r="R156" s="7">
        <f t="shared" si="67"/>
        <v>37</v>
      </c>
      <c r="S156" s="7">
        <f t="shared" si="67"/>
        <v>46</v>
      </c>
      <c r="T156" s="7">
        <f t="shared" si="67"/>
        <v>108</v>
      </c>
      <c r="U156" s="7">
        <f t="shared" si="67"/>
        <v>63</v>
      </c>
      <c r="V156" s="7">
        <f t="shared" si="67"/>
        <v>3</v>
      </c>
      <c r="W156" s="7">
        <f t="shared" si="67"/>
        <v>15</v>
      </c>
      <c r="X156" s="7">
        <f t="shared" si="67"/>
        <v>23</v>
      </c>
      <c r="Y156" s="7">
        <f t="shared" si="67"/>
        <v>37</v>
      </c>
      <c r="Z156" s="7">
        <f t="shared" si="67"/>
        <v>16</v>
      </c>
      <c r="AA156" s="7">
        <f t="shared" si="67"/>
        <v>3</v>
      </c>
    </row>
    <row r="157" ht="12.75" customHeight="1">
      <c r="A157" s="20"/>
      <c r="B157" s="48"/>
      <c r="C157" s="25"/>
      <c r="D157" s="66"/>
      <c r="E157" s="13"/>
      <c r="F157" s="19"/>
      <c r="G157" s="13"/>
      <c r="H157" s="13"/>
      <c r="I157" s="13"/>
      <c r="J157" s="13"/>
      <c r="K157" s="13"/>
      <c r="L157" s="1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.75" customHeight="1">
      <c r="A158" s="20"/>
      <c r="B158" s="48"/>
      <c r="C158" s="25"/>
      <c r="D158" s="66"/>
      <c r="E158" s="13"/>
      <c r="F158" s="19"/>
      <c r="G158" s="13"/>
      <c r="H158" s="13"/>
      <c r="I158" s="13"/>
      <c r="J158" s="13"/>
      <c r="K158" s="13"/>
      <c r="L158" s="1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.75" customHeight="1">
      <c r="A159" s="20"/>
      <c r="B159" s="48"/>
      <c r="C159" s="25"/>
      <c r="D159" s="66"/>
      <c r="E159" s="13"/>
      <c r="F159" s="19"/>
      <c r="G159" s="13"/>
      <c r="H159" s="13"/>
      <c r="I159" s="13"/>
      <c r="J159" s="13"/>
      <c r="K159" s="13"/>
      <c r="L159" s="1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.75" customHeight="1">
      <c r="A160" s="20"/>
      <c r="B160" s="48"/>
      <c r="C160" s="25"/>
      <c r="D160" s="66"/>
      <c r="E160" s="13"/>
      <c r="F160" s="19"/>
      <c r="G160" s="13"/>
      <c r="H160" s="13"/>
      <c r="I160" s="13"/>
      <c r="J160" s="13"/>
      <c r="K160" s="13"/>
      <c r="L160" s="1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.75" customHeight="1">
      <c r="A161" s="20"/>
      <c r="B161" s="48"/>
      <c r="C161" s="25"/>
      <c r="D161" s="66"/>
      <c r="E161" s="13"/>
      <c r="F161" s="19"/>
      <c r="G161" s="13"/>
      <c r="H161" s="13"/>
      <c r="I161" s="13"/>
      <c r="J161" s="13"/>
      <c r="K161" s="13"/>
      <c r="L161" s="1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.75" customHeight="1">
      <c r="A162" s="20"/>
      <c r="B162" s="48"/>
      <c r="C162" s="25"/>
      <c r="D162" s="66"/>
      <c r="E162" s="13"/>
      <c r="F162" s="19"/>
      <c r="G162" s="13"/>
      <c r="H162" s="13"/>
      <c r="I162" s="13"/>
      <c r="J162" s="13"/>
      <c r="K162" s="13"/>
      <c r="L162" s="1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.75" customHeight="1">
      <c r="A163" s="20"/>
      <c r="B163" s="48"/>
      <c r="C163" s="25"/>
      <c r="D163" s="66"/>
      <c r="E163" s="13"/>
      <c r="F163" s="19"/>
      <c r="G163" s="13"/>
      <c r="H163" s="13"/>
      <c r="I163" s="13"/>
      <c r="J163" s="13"/>
      <c r="K163" s="13"/>
      <c r="L163" s="1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20"/>
      <c r="B164" s="48"/>
      <c r="C164" s="25"/>
      <c r="D164" s="66"/>
      <c r="E164" s="13"/>
      <c r="F164" s="19"/>
      <c r="G164" s="13"/>
      <c r="H164" s="13"/>
      <c r="I164" s="13"/>
      <c r="J164" s="13"/>
      <c r="K164" s="13"/>
      <c r="L164" s="1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20"/>
      <c r="B165" s="48"/>
      <c r="C165" s="25"/>
      <c r="D165" s="66"/>
      <c r="E165" s="13"/>
      <c r="F165" s="19"/>
      <c r="G165" s="13"/>
      <c r="H165" s="13"/>
      <c r="I165" s="13"/>
      <c r="J165" s="13"/>
      <c r="K165" s="13"/>
      <c r="L165" s="1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20"/>
      <c r="B166" s="48"/>
      <c r="C166" s="25"/>
      <c r="D166" s="66"/>
      <c r="E166" s="13"/>
      <c r="F166" s="19"/>
      <c r="G166" s="13"/>
      <c r="H166" s="13"/>
      <c r="I166" s="13"/>
      <c r="J166" s="13"/>
      <c r="K166" s="13"/>
      <c r="L166" s="1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20"/>
      <c r="B167" s="48"/>
      <c r="C167" s="25"/>
      <c r="D167" s="66"/>
      <c r="E167" s="13"/>
      <c r="F167" s="19"/>
      <c r="G167" s="13"/>
      <c r="H167" s="13"/>
      <c r="I167" s="13"/>
      <c r="J167" s="13"/>
      <c r="K167" s="13"/>
      <c r="L167" s="1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20"/>
      <c r="B168" s="48"/>
      <c r="C168" s="25"/>
      <c r="D168" s="66"/>
      <c r="E168" s="13"/>
      <c r="F168" s="19"/>
      <c r="G168" s="13"/>
      <c r="H168" s="13"/>
      <c r="I168" s="13"/>
      <c r="J168" s="13"/>
      <c r="K168" s="13"/>
      <c r="L168" s="1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.75" customHeight="1">
      <c r="A169" s="20"/>
      <c r="B169" s="48"/>
      <c r="C169" s="25"/>
      <c r="D169" s="66"/>
      <c r="E169" s="13"/>
      <c r="F169" s="19"/>
      <c r="G169" s="13"/>
      <c r="H169" s="13"/>
      <c r="I169" s="13"/>
      <c r="J169" s="13"/>
      <c r="K169" s="13"/>
      <c r="L169" s="1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.75" customHeight="1">
      <c r="A170" s="20"/>
      <c r="B170" s="48"/>
      <c r="C170" s="25"/>
      <c r="D170" s="66"/>
      <c r="E170" s="13"/>
      <c r="F170" s="19"/>
      <c r="G170" s="13"/>
      <c r="H170" s="13"/>
      <c r="I170" s="13"/>
      <c r="J170" s="13"/>
      <c r="K170" s="13"/>
      <c r="L170" s="1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.75" customHeight="1">
      <c r="A171" s="20"/>
      <c r="B171" s="48"/>
      <c r="C171" s="25"/>
      <c r="D171" s="66"/>
      <c r="E171" s="13"/>
      <c r="F171" s="19"/>
      <c r="G171" s="13"/>
      <c r="H171" s="13"/>
      <c r="I171" s="13"/>
      <c r="J171" s="13"/>
      <c r="K171" s="13"/>
      <c r="L171" s="1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.75" customHeight="1">
      <c r="A172" s="20"/>
      <c r="B172" s="48"/>
      <c r="C172" s="25"/>
      <c r="D172" s="66"/>
      <c r="E172" s="13"/>
      <c r="F172" s="19"/>
      <c r="G172" s="13"/>
      <c r="H172" s="13"/>
      <c r="I172" s="13"/>
      <c r="J172" s="13"/>
      <c r="K172" s="13"/>
      <c r="L172" s="1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20"/>
      <c r="B173" s="48"/>
      <c r="C173" s="25"/>
      <c r="D173" s="66"/>
      <c r="E173" s="13"/>
      <c r="F173" s="19"/>
      <c r="G173" s="13"/>
      <c r="H173" s="13"/>
      <c r="I173" s="13"/>
      <c r="J173" s="13"/>
      <c r="K173" s="13"/>
      <c r="L173" s="1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20"/>
      <c r="B174" s="48"/>
      <c r="C174" s="25"/>
      <c r="D174" s="66"/>
      <c r="E174" s="13"/>
      <c r="F174" s="19"/>
      <c r="G174" s="13"/>
      <c r="H174" s="13"/>
      <c r="I174" s="13"/>
      <c r="J174" s="13"/>
      <c r="K174" s="13"/>
      <c r="L174" s="1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20"/>
      <c r="B175" s="48"/>
      <c r="C175" s="25"/>
      <c r="D175" s="66"/>
      <c r="E175" s="13"/>
      <c r="F175" s="19"/>
      <c r="G175" s="13"/>
      <c r="H175" s="13"/>
      <c r="I175" s="13"/>
      <c r="J175" s="13"/>
      <c r="K175" s="13"/>
      <c r="L175" s="1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20"/>
      <c r="B176" s="48"/>
      <c r="C176" s="25"/>
      <c r="D176" s="66"/>
      <c r="E176" s="13"/>
      <c r="F176" s="19"/>
      <c r="G176" s="13"/>
      <c r="H176" s="13"/>
      <c r="I176" s="13"/>
      <c r="J176" s="13"/>
      <c r="K176" s="13"/>
      <c r="L176" s="1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20"/>
      <c r="B177" s="48"/>
      <c r="C177" s="25"/>
      <c r="D177" s="66"/>
      <c r="E177" s="13"/>
      <c r="F177" s="19"/>
      <c r="G177" s="13"/>
      <c r="H177" s="13"/>
      <c r="I177" s="13"/>
      <c r="J177" s="13"/>
      <c r="K177" s="13"/>
      <c r="L177" s="1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.75" customHeight="1">
      <c r="A178" s="20"/>
      <c r="B178" s="48"/>
      <c r="C178" s="25"/>
      <c r="D178" s="66"/>
      <c r="E178" s="13"/>
      <c r="F178" s="19"/>
      <c r="G178" s="13"/>
      <c r="H178" s="13"/>
      <c r="I178" s="13"/>
      <c r="J178" s="13"/>
      <c r="K178" s="13"/>
      <c r="L178" s="1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.75" customHeight="1">
      <c r="A179" s="20"/>
      <c r="B179" s="48"/>
      <c r="C179" s="25"/>
      <c r="D179" s="66"/>
      <c r="E179" s="13"/>
      <c r="F179" s="19"/>
      <c r="G179" s="13"/>
      <c r="H179" s="13"/>
      <c r="I179" s="13"/>
      <c r="J179" s="13"/>
      <c r="K179" s="13"/>
      <c r="L179" s="1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20"/>
      <c r="B180" s="48"/>
      <c r="C180" s="25"/>
      <c r="D180" s="66"/>
      <c r="E180" s="13"/>
      <c r="F180" s="19"/>
      <c r="G180" s="13"/>
      <c r="H180" s="13"/>
      <c r="I180" s="13"/>
      <c r="J180" s="13"/>
      <c r="K180" s="13"/>
      <c r="L180" s="1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20"/>
      <c r="B181" s="48"/>
      <c r="C181" s="25"/>
      <c r="D181" s="66"/>
      <c r="E181" s="13"/>
      <c r="F181" s="19"/>
      <c r="G181" s="13"/>
      <c r="H181" s="13"/>
      <c r="I181" s="13"/>
      <c r="J181" s="13"/>
      <c r="K181" s="13"/>
      <c r="L181" s="1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20"/>
      <c r="B182" s="48"/>
      <c r="C182" s="25"/>
      <c r="D182" s="66"/>
      <c r="E182" s="13"/>
      <c r="F182" s="19"/>
      <c r="G182" s="13"/>
      <c r="H182" s="13"/>
      <c r="I182" s="13"/>
      <c r="J182" s="13"/>
      <c r="K182" s="13"/>
      <c r="L182" s="1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20"/>
      <c r="B183" s="48"/>
      <c r="C183" s="25"/>
      <c r="D183" s="66"/>
      <c r="E183" s="13"/>
      <c r="F183" s="19"/>
      <c r="G183" s="13"/>
      <c r="H183" s="13"/>
      <c r="I183" s="13"/>
      <c r="J183" s="13"/>
      <c r="K183" s="13"/>
      <c r="L183" s="1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20"/>
      <c r="B184" s="48"/>
      <c r="C184" s="25"/>
      <c r="D184" s="66"/>
      <c r="E184" s="13"/>
      <c r="F184" s="19"/>
      <c r="G184" s="13"/>
      <c r="H184" s="13"/>
      <c r="I184" s="13"/>
      <c r="J184" s="13"/>
      <c r="K184" s="13"/>
      <c r="L184" s="1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20"/>
      <c r="B185" s="48"/>
      <c r="C185" s="25"/>
      <c r="D185" s="66"/>
      <c r="E185" s="13"/>
      <c r="F185" s="19"/>
      <c r="G185" s="13"/>
      <c r="H185" s="13"/>
      <c r="I185" s="13"/>
      <c r="J185" s="13"/>
      <c r="K185" s="13"/>
      <c r="L185" s="1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20"/>
      <c r="B186" s="48"/>
      <c r="C186" s="25"/>
      <c r="D186" s="66"/>
      <c r="E186" s="13"/>
      <c r="F186" s="19"/>
      <c r="G186" s="13"/>
      <c r="H186" s="13"/>
      <c r="I186" s="13"/>
      <c r="J186" s="13"/>
      <c r="K186" s="13"/>
      <c r="L186" s="1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20"/>
      <c r="B187" s="48"/>
      <c r="C187" s="25"/>
      <c r="D187" s="66"/>
      <c r="E187" s="13"/>
      <c r="F187" s="19"/>
      <c r="G187" s="13"/>
      <c r="H187" s="13"/>
      <c r="I187" s="13"/>
      <c r="J187" s="13"/>
      <c r="K187" s="13"/>
      <c r="L187" s="1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20"/>
      <c r="B188" s="48"/>
      <c r="C188" s="25"/>
      <c r="D188" s="66"/>
      <c r="E188" s="13"/>
      <c r="F188" s="19"/>
      <c r="G188" s="13"/>
      <c r="H188" s="13"/>
      <c r="I188" s="13"/>
      <c r="J188" s="13"/>
      <c r="K188" s="13"/>
      <c r="L188" s="1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.75" customHeight="1">
      <c r="A189" s="20"/>
      <c r="B189" s="48"/>
      <c r="C189" s="25"/>
      <c r="D189" s="66"/>
      <c r="E189" s="13"/>
      <c r="F189" s="19"/>
      <c r="G189" s="13"/>
      <c r="H189" s="13"/>
      <c r="I189" s="13"/>
      <c r="J189" s="13"/>
      <c r="K189" s="13"/>
      <c r="L189" s="1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.75" customHeight="1">
      <c r="A190" s="20"/>
      <c r="B190" s="48"/>
      <c r="C190" s="25"/>
      <c r="D190" s="66"/>
      <c r="E190" s="13"/>
      <c r="F190" s="19"/>
      <c r="G190" s="13"/>
      <c r="H190" s="13"/>
      <c r="I190" s="13"/>
      <c r="J190" s="13"/>
      <c r="K190" s="13"/>
      <c r="L190" s="1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20"/>
      <c r="B191" s="48"/>
      <c r="C191" s="25"/>
      <c r="D191" s="66"/>
      <c r="E191" s="13"/>
      <c r="F191" s="19"/>
      <c r="G191" s="13"/>
      <c r="H191" s="13"/>
      <c r="I191" s="13"/>
      <c r="J191" s="13"/>
      <c r="K191" s="13"/>
      <c r="L191" s="1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20"/>
      <c r="B192" s="48"/>
      <c r="C192" s="25"/>
      <c r="D192" s="66"/>
      <c r="E192" s="13"/>
      <c r="F192" s="19"/>
      <c r="G192" s="13"/>
      <c r="H192" s="13"/>
      <c r="I192" s="13"/>
      <c r="J192" s="13"/>
      <c r="K192" s="13"/>
      <c r="L192" s="1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20"/>
      <c r="B193" s="48"/>
      <c r="C193" s="25"/>
      <c r="D193" s="66"/>
      <c r="E193" s="13"/>
      <c r="F193" s="19"/>
      <c r="G193" s="13"/>
      <c r="H193" s="13"/>
      <c r="I193" s="13"/>
      <c r="J193" s="13"/>
      <c r="K193" s="13"/>
      <c r="L193" s="1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20"/>
      <c r="B194" s="48"/>
      <c r="C194" s="25"/>
      <c r="D194" s="66"/>
      <c r="E194" s="13"/>
      <c r="F194" s="19"/>
      <c r="G194" s="13"/>
      <c r="H194" s="13"/>
      <c r="I194" s="13"/>
      <c r="J194" s="13"/>
      <c r="K194" s="13"/>
      <c r="L194" s="1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20"/>
      <c r="B195" s="48"/>
      <c r="C195" s="25"/>
      <c r="D195" s="66"/>
      <c r="E195" s="13"/>
      <c r="F195" s="19"/>
      <c r="G195" s="13"/>
      <c r="H195" s="13"/>
      <c r="I195" s="13"/>
      <c r="J195" s="13"/>
      <c r="K195" s="13"/>
      <c r="L195" s="1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20"/>
      <c r="B196" s="48"/>
      <c r="C196" s="25"/>
      <c r="D196" s="66"/>
      <c r="E196" s="13"/>
      <c r="F196" s="19"/>
      <c r="G196" s="13"/>
      <c r="H196" s="13"/>
      <c r="I196" s="13"/>
      <c r="J196" s="13"/>
      <c r="K196" s="13"/>
      <c r="L196" s="1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.75" customHeight="1">
      <c r="A197" s="20"/>
      <c r="B197" s="48"/>
      <c r="C197" s="25"/>
      <c r="D197" s="66"/>
      <c r="E197" s="13"/>
      <c r="F197" s="19"/>
      <c r="G197" s="13"/>
      <c r="H197" s="13"/>
      <c r="I197" s="13"/>
      <c r="J197" s="13"/>
      <c r="K197" s="13"/>
      <c r="L197" s="1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.75" customHeight="1">
      <c r="A198" s="20"/>
      <c r="B198" s="48"/>
      <c r="C198" s="25"/>
      <c r="D198" s="66"/>
      <c r="E198" s="13"/>
      <c r="F198" s="19"/>
      <c r="G198" s="13"/>
      <c r="H198" s="13"/>
      <c r="I198" s="13"/>
      <c r="J198" s="13"/>
      <c r="K198" s="13"/>
      <c r="L198" s="1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.75" customHeight="1">
      <c r="A199" s="20"/>
      <c r="B199" s="48"/>
      <c r="C199" s="25"/>
      <c r="D199" s="66"/>
      <c r="E199" s="13"/>
      <c r="F199" s="19"/>
      <c r="G199" s="13"/>
      <c r="H199" s="13"/>
      <c r="I199" s="13"/>
      <c r="J199" s="13"/>
      <c r="K199" s="13"/>
      <c r="L199" s="1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.75" customHeight="1">
      <c r="A200" s="20"/>
      <c r="B200" s="48"/>
      <c r="C200" s="25"/>
      <c r="D200" s="66"/>
      <c r="E200" s="13"/>
      <c r="F200" s="19"/>
      <c r="G200" s="13"/>
      <c r="H200" s="13"/>
      <c r="I200" s="13"/>
      <c r="J200" s="13"/>
      <c r="K200" s="13"/>
      <c r="L200" s="1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.75" customHeight="1">
      <c r="A201" s="20"/>
      <c r="B201" s="48"/>
      <c r="C201" s="25"/>
      <c r="D201" s="66"/>
      <c r="E201" s="13"/>
      <c r="F201" s="19"/>
      <c r="G201" s="13"/>
      <c r="H201" s="13"/>
      <c r="I201" s="13"/>
      <c r="J201" s="13"/>
      <c r="K201" s="13"/>
      <c r="L201" s="1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.75" customHeight="1">
      <c r="A202" s="20"/>
      <c r="B202" s="48"/>
      <c r="C202" s="25"/>
      <c r="D202" s="66"/>
      <c r="E202" s="13"/>
      <c r="F202" s="19"/>
      <c r="G202" s="13"/>
      <c r="H202" s="13"/>
      <c r="I202" s="13"/>
      <c r="J202" s="13"/>
      <c r="K202" s="13"/>
      <c r="L202" s="1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20"/>
      <c r="B203" s="48"/>
      <c r="C203" s="25"/>
      <c r="D203" s="66"/>
      <c r="E203" s="13"/>
      <c r="F203" s="19"/>
      <c r="G203" s="13"/>
      <c r="H203" s="13"/>
      <c r="I203" s="13"/>
      <c r="J203" s="13"/>
      <c r="K203" s="13"/>
      <c r="L203" s="1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20"/>
      <c r="B204" s="48"/>
      <c r="C204" s="25"/>
      <c r="D204" s="66"/>
      <c r="E204" s="13"/>
      <c r="F204" s="19"/>
      <c r="G204" s="13"/>
      <c r="H204" s="13"/>
      <c r="I204" s="13"/>
      <c r="J204" s="13"/>
      <c r="K204" s="13"/>
      <c r="L204" s="1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20"/>
      <c r="B205" s="48"/>
      <c r="C205" s="25"/>
      <c r="D205" s="66"/>
      <c r="E205" s="13"/>
      <c r="F205" s="19"/>
      <c r="G205" s="13"/>
      <c r="H205" s="13"/>
      <c r="I205" s="13"/>
      <c r="J205" s="13"/>
      <c r="K205" s="13"/>
      <c r="L205" s="1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20"/>
      <c r="B206" s="48"/>
      <c r="C206" s="25"/>
      <c r="D206" s="66"/>
      <c r="E206" s="13"/>
      <c r="F206" s="19"/>
      <c r="G206" s="13"/>
      <c r="H206" s="13"/>
      <c r="I206" s="13"/>
      <c r="J206" s="13"/>
      <c r="K206" s="13"/>
      <c r="L206" s="1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20"/>
      <c r="B207" s="48"/>
      <c r="C207" s="25"/>
      <c r="D207" s="66"/>
      <c r="E207" s="13"/>
      <c r="F207" s="19"/>
      <c r="G207" s="13"/>
      <c r="H207" s="13"/>
      <c r="I207" s="13"/>
      <c r="J207" s="13"/>
      <c r="K207" s="13"/>
      <c r="L207" s="1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20"/>
      <c r="B208" s="48"/>
      <c r="C208" s="25"/>
      <c r="D208" s="66"/>
      <c r="E208" s="13"/>
      <c r="F208" s="19"/>
      <c r="G208" s="13"/>
      <c r="H208" s="13"/>
      <c r="I208" s="13"/>
      <c r="J208" s="13"/>
      <c r="K208" s="13"/>
      <c r="L208" s="1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20"/>
      <c r="B209" s="48"/>
      <c r="C209" s="25"/>
      <c r="D209" s="66"/>
      <c r="E209" s="13"/>
      <c r="F209" s="19"/>
      <c r="G209" s="13"/>
      <c r="H209" s="13"/>
      <c r="I209" s="13"/>
      <c r="J209" s="13"/>
      <c r="K209" s="13"/>
      <c r="L209" s="1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20"/>
      <c r="B210" s="48"/>
      <c r="C210" s="25"/>
      <c r="D210" s="66"/>
      <c r="E210" s="13"/>
      <c r="F210" s="19"/>
      <c r="G210" s="13"/>
      <c r="H210" s="13"/>
      <c r="I210" s="13"/>
      <c r="J210" s="13"/>
      <c r="K210" s="13"/>
      <c r="L210" s="1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20"/>
      <c r="B211" s="48"/>
      <c r="C211" s="25"/>
      <c r="D211" s="66"/>
      <c r="E211" s="13"/>
      <c r="F211" s="19"/>
      <c r="G211" s="13"/>
      <c r="H211" s="13"/>
      <c r="I211" s="13"/>
      <c r="J211" s="13"/>
      <c r="K211" s="13"/>
      <c r="L211" s="1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20"/>
      <c r="B212" s="48"/>
      <c r="C212" s="25"/>
      <c r="D212" s="66"/>
      <c r="E212" s="13"/>
      <c r="F212" s="19"/>
      <c r="G212" s="13"/>
      <c r="H212" s="13"/>
      <c r="I212" s="13"/>
      <c r="J212" s="13"/>
      <c r="K212" s="13"/>
      <c r="L212" s="1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20"/>
      <c r="B213" s="48"/>
      <c r="C213" s="25"/>
      <c r="D213" s="66"/>
      <c r="E213" s="13"/>
      <c r="F213" s="19"/>
      <c r="G213" s="13"/>
      <c r="H213" s="13"/>
      <c r="I213" s="13"/>
      <c r="J213" s="13"/>
      <c r="K213" s="13"/>
      <c r="L213" s="1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20"/>
      <c r="B214" s="48"/>
      <c r="C214" s="25"/>
      <c r="D214" s="66"/>
      <c r="E214" s="13"/>
      <c r="F214" s="19"/>
      <c r="G214" s="13"/>
      <c r="H214" s="13"/>
      <c r="I214" s="13"/>
      <c r="J214" s="13"/>
      <c r="K214" s="13"/>
      <c r="L214" s="1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20"/>
      <c r="B215" s="48"/>
      <c r="C215" s="25"/>
      <c r="D215" s="66"/>
      <c r="E215" s="13"/>
      <c r="F215" s="19"/>
      <c r="G215" s="13"/>
      <c r="H215" s="13"/>
      <c r="I215" s="13"/>
      <c r="J215" s="13"/>
      <c r="K215" s="13"/>
      <c r="L215" s="1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20"/>
      <c r="B216" s="48"/>
      <c r="C216" s="25"/>
      <c r="D216" s="66"/>
      <c r="E216" s="13"/>
      <c r="F216" s="19"/>
      <c r="G216" s="13"/>
      <c r="H216" s="13"/>
      <c r="I216" s="13"/>
      <c r="J216" s="13"/>
      <c r="K216" s="13"/>
      <c r="L216" s="1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20"/>
      <c r="B217" s="48"/>
      <c r="C217" s="25"/>
      <c r="D217" s="66"/>
      <c r="E217" s="13"/>
      <c r="F217" s="19"/>
      <c r="G217" s="13"/>
      <c r="H217" s="13"/>
      <c r="I217" s="13"/>
      <c r="J217" s="13"/>
      <c r="K217" s="13"/>
      <c r="L217" s="1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20"/>
      <c r="B218" s="48"/>
      <c r="C218" s="25"/>
      <c r="D218" s="66"/>
      <c r="E218" s="13"/>
      <c r="F218" s="19"/>
      <c r="G218" s="13"/>
      <c r="H218" s="13"/>
      <c r="I218" s="13"/>
      <c r="J218" s="13"/>
      <c r="K218" s="13"/>
      <c r="L218" s="1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20"/>
      <c r="B219" s="48"/>
      <c r="C219" s="25"/>
      <c r="D219" s="66"/>
      <c r="E219" s="13"/>
      <c r="F219" s="19"/>
      <c r="G219" s="13"/>
      <c r="H219" s="13"/>
      <c r="I219" s="13"/>
      <c r="J219" s="13"/>
      <c r="K219" s="13"/>
      <c r="L219" s="1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20"/>
      <c r="B220" s="48"/>
      <c r="C220" s="25"/>
      <c r="D220" s="66"/>
      <c r="E220" s="13"/>
      <c r="F220" s="19"/>
      <c r="G220" s="13"/>
      <c r="H220" s="13"/>
      <c r="I220" s="13"/>
      <c r="J220" s="13"/>
      <c r="K220" s="13"/>
      <c r="L220" s="1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20"/>
      <c r="B221" s="48"/>
      <c r="C221" s="25"/>
      <c r="D221" s="66"/>
      <c r="E221" s="13"/>
      <c r="F221" s="19"/>
      <c r="G221" s="13"/>
      <c r="H221" s="13"/>
      <c r="I221" s="13"/>
      <c r="J221" s="13"/>
      <c r="K221" s="13"/>
      <c r="L221" s="1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20"/>
      <c r="B222" s="48"/>
      <c r="C222" s="25"/>
      <c r="D222" s="66"/>
      <c r="E222" s="13"/>
      <c r="F222" s="19"/>
      <c r="G222" s="13"/>
      <c r="H222" s="13"/>
      <c r="I222" s="13"/>
      <c r="J222" s="13"/>
      <c r="K222" s="13"/>
      <c r="L222" s="1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20"/>
      <c r="B223" s="48"/>
      <c r="C223" s="25"/>
      <c r="D223" s="66"/>
      <c r="E223" s="13"/>
      <c r="F223" s="19"/>
      <c r="G223" s="13"/>
      <c r="H223" s="13"/>
      <c r="I223" s="13"/>
      <c r="J223" s="13"/>
      <c r="K223" s="13"/>
      <c r="L223" s="1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20"/>
      <c r="B224" s="48"/>
      <c r="C224" s="25"/>
      <c r="D224" s="66"/>
      <c r="E224" s="13"/>
      <c r="F224" s="19"/>
      <c r="G224" s="13"/>
      <c r="H224" s="13"/>
      <c r="I224" s="13"/>
      <c r="J224" s="13"/>
      <c r="K224" s="13"/>
      <c r="L224" s="1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20"/>
      <c r="B225" s="48"/>
      <c r="C225" s="25"/>
      <c r="D225" s="66"/>
      <c r="E225" s="13"/>
      <c r="F225" s="19"/>
      <c r="G225" s="13"/>
      <c r="H225" s="13"/>
      <c r="I225" s="13"/>
      <c r="J225" s="13"/>
      <c r="K225" s="13"/>
      <c r="L225" s="1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75" customHeight="1">
      <c r="A226" s="20"/>
      <c r="B226" s="48"/>
      <c r="C226" s="25"/>
      <c r="D226" s="66"/>
      <c r="E226" s="13"/>
      <c r="F226" s="19"/>
      <c r="G226" s="13"/>
      <c r="H226" s="13"/>
      <c r="I226" s="13"/>
      <c r="J226" s="13"/>
      <c r="K226" s="13"/>
      <c r="L226" s="1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75" customHeight="1">
      <c r="A227" s="20"/>
      <c r="B227" s="48"/>
      <c r="C227" s="25"/>
      <c r="D227" s="66"/>
      <c r="E227" s="13"/>
      <c r="F227" s="19"/>
      <c r="G227" s="13"/>
      <c r="H227" s="13"/>
      <c r="I227" s="13"/>
      <c r="J227" s="13"/>
      <c r="K227" s="13"/>
      <c r="L227" s="1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75" customHeight="1">
      <c r="A228" s="20"/>
      <c r="B228" s="48"/>
      <c r="C228" s="25"/>
      <c r="D228" s="66"/>
      <c r="E228" s="13"/>
      <c r="F228" s="19"/>
      <c r="G228" s="13"/>
      <c r="H228" s="13"/>
      <c r="I228" s="13"/>
      <c r="J228" s="13"/>
      <c r="K228" s="13"/>
      <c r="L228" s="1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75" customHeight="1">
      <c r="A229" s="20"/>
      <c r="B229" s="48"/>
      <c r="C229" s="25"/>
      <c r="D229" s="66"/>
      <c r="E229" s="13"/>
      <c r="F229" s="19"/>
      <c r="G229" s="13"/>
      <c r="H229" s="13"/>
      <c r="I229" s="13"/>
      <c r="J229" s="13"/>
      <c r="K229" s="13"/>
      <c r="L229" s="1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75" customHeight="1">
      <c r="A230" s="20"/>
      <c r="B230" s="48"/>
      <c r="C230" s="25"/>
      <c r="D230" s="66"/>
      <c r="E230" s="13"/>
      <c r="F230" s="19"/>
      <c r="G230" s="13"/>
      <c r="H230" s="13"/>
      <c r="I230" s="13"/>
      <c r="J230" s="13"/>
      <c r="K230" s="13"/>
      <c r="L230" s="1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75" customHeight="1">
      <c r="A231" s="20"/>
      <c r="B231" s="48"/>
      <c r="C231" s="25"/>
      <c r="D231" s="66"/>
      <c r="E231" s="13"/>
      <c r="F231" s="19"/>
      <c r="G231" s="13"/>
      <c r="H231" s="13"/>
      <c r="I231" s="13"/>
      <c r="J231" s="13"/>
      <c r="K231" s="13"/>
      <c r="L231" s="1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75" customHeight="1">
      <c r="A232" s="20"/>
      <c r="B232" s="48"/>
      <c r="C232" s="25"/>
      <c r="D232" s="66"/>
      <c r="E232" s="13"/>
      <c r="F232" s="19"/>
      <c r="G232" s="13"/>
      <c r="H232" s="13"/>
      <c r="I232" s="13"/>
      <c r="J232" s="13"/>
      <c r="K232" s="13"/>
      <c r="L232" s="1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.75" customHeight="1">
      <c r="A233" s="20"/>
      <c r="B233" s="48"/>
      <c r="C233" s="25"/>
      <c r="D233" s="66"/>
      <c r="E233" s="13"/>
      <c r="F233" s="19"/>
      <c r="G233" s="13"/>
      <c r="H233" s="13"/>
      <c r="I233" s="13"/>
      <c r="J233" s="13"/>
      <c r="K233" s="13"/>
      <c r="L233" s="1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.75" customHeight="1">
      <c r="A234" s="20"/>
      <c r="B234" s="48"/>
      <c r="C234" s="25"/>
      <c r="D234" s="66"/>
      <c r="E234" s="13"/>
      <c r="F234" s="19"/>
      <c r="G234" s="13"/>
      <c r="H234" s="13"/>
      <c r="I234" s="13"/>
      <c r="J234" s="13"/>
      <c r="K234" s="13"/>
      <c r="L234" s="1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.75" customHeight="1">
      <c r="A235" s="20"/>
      <c r="B235" s="48"/>
      <c r="C235" s="25"/>
      <c r="D235" s="66"/>
      <c r="E235" s="13"/>
      <c r="F235" s="19"/>
      <c r="G235" s="13"/>
      <c r="H235" s="13"/>
      <c r="I235" s="13"/>
      <c r="J235" s="13"/>
      <c r="K235" s="13"/>
      <c r="L235" s="1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.75" customHeight="1">
      <c r="A236" s="20"/>
      <c r="B236" s="48"/>
      <c r="C236" s="25"/>
      <c r="D236" s="66"/>
      <c r="E236" s="13"/>
      <c r="F236" s="19"/>
      <c r="G236" s="13"/>
      <c r="H236" s="13"/>
      <c r="I236" s="13"/>
      <c r="J236" s="13"/>
      <c r="K236" s="13"/>
      <c r="L236" s="1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.75" customHeight="1">
      <c r="A237" s="20"/>
      <c r="B237" s="48"/>
      <c r="C237" s="25"/>
      <c r="D237" s="66"/>
      <c r="E237" s="13"/>
      <c r="F237" s="19"/>
      <c r="G237" s="13"/>
      <c r="H237" s="13"/>
      <c r="I237" s="13"/>
      <c r="J237" s="13"/>
      <c r="K237" s="13"/>
      <c r="L237" s="1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.75" customHeight="1">
      <c r="A238" s="20"/>
      <c r="B238" s="48"/>
      <c r="C238" s="25"/>
      <c r="D238" s="66"/>
      <c r="E238" s="13"/>
      <c r="F238" s="19"/>
      <c r="G238" s="13"/>
      <c r="H238" s="13"/>
      <c r="I238" s="13"/>
      <c r="J238" s="13"/>
      <c r="K238" s="13"/>
      <c r="L238" s="1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.75" customHeight="1">
      <c r="A239" s="20"/>
      <c r="B239" s="48"/>
      <c r="C239" s="25"/>
      <c r="D239" s="66"/>
      <c r="E239" s="13"/>
      <c r="F239" s="19"/>
      <c r="G239" s="13"/>
      <c r="H239" s="13"/>
      <c r="I239" s="13"/>
      <c r="J239" s="13"/>
      <c r="K239" s="13"/>
      <c r="L239" s="1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.75" customHeight="1">
      <c r="A240" s="20"/>
      <c r="B240" s="48"/>
      <c r="C240" s="25"/>
      <c r="D240" s="66"/>
      <c r="E240" s="13"/>
      <c r="F240" s="19"/>
      <c r="G240" s="13"/>
      <c r="H240" s="13"/>
      <c r="I240" s="13"/>
      <c r="J240" s="13"/>
      <c r="K240" s="13"/>
      <c r="L240" s="1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.75" customHeight="1">
      <c r="A241" s="20"/>
      <c r="B241" s="48"/>
      <c r="C241" s="25"/>
      <c r="D241" s="66"/>
      <c r="E241" s="13"/>
      <c r="F241" s="19"/>
      <c r="G241" s="13"/>
      <c r="H241" s="13"/>
      <c r="I241" s="13"/>
      <c r="J241" s="13"/>
      <c r="K241" s="13"/>
      <c r="L241" s="1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.75" customHeight="1">
      <c r="A242" s="20"/>
      <c r="B242" s="48"/>
      <c r="C242" s="25"/>
      <c r="D242" s="66"/>
      <c r="E242" s="13"/>
      <c r="F242" s="19"/>
      <c r="G242" s="13"/>
      <c r="H242" s="13"/>
      <c r="I242" s="13"/>
      <c r="J242" s="13"/>
      <c r="K242" s="13"/>
      <c r="L242" s="1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.75" customHeight="1">
      <c r="A243" s="20"/>
      <c r="B243" s="48"/>
      <c r="C243" s="25"/>
      <c r="D243" s="66"/>
      <c r="E243" s="13"/>
      <c r="F243" s="19"/>
      <c r="G243" s="13"/>
      <c r="H243" s="13"/>
      <c r="I243" s="13"/>
      <c r="J243" s="13"/>
      <c r="K243" s="13"/>
      <c r="L243" s="1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.75" customHeight="1">
      <c r="A244" s="20"/>
      <c r="B244" s="48"/>
      <c r="C244" s="25"/>
      <c r="D244" s="66"/>
      <c r="E244" s="13"/>
      <c r="F244" s="19"/>
      <c r="G244" s="13"/>
      <c r="H244" s="13"/>
      <c r="I244" s="13"/>
      <c r="J244" s="13"/>
      <c r="K244" s="13"/>
      <c r="L244" s="1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.75" customHeight="1">
      <c r="A245" s="20"/>
      <c r="B245" s="48"/>
      <c r="C245" s="25"/>
      <c r="D245" s="66"/>
      <c r="E245" s="13"/>
      <c r="F245" s="19"/>
      <c r="G245" s="13"/>
      <c r="H245" s="13"/>
      <c r="I245" s="13"/>
      <c r="J245" s="13"/>
      <c r="K245" s="13"/>
      <c r="L245" s="1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.75" customHeight="1">
      <c r="A246" s="20"/>
      <c r="B246" s="48"/>
      <c r="C246" s="25"/>
      <c r="D246" s="66"/>
      <c r="E246" s="13"/>
      <c r="F246" s="19"/>
      <c r="G246" s="13"/>
      <c r="H246" s="13"/>
      <c r="I246" s="13"/>
      <c r="J246" s="13"/>
      <c r="K246" s="13"/>
      <c r="L246" s="1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.75" customHeight="1">
      <c r="A247" s="20"/>
      <c r="B247" s="48"/>
      <c r="C247" s="25"/>
      <c r="D247" s="66"/>
      <c r="E247" s="13"/>
      <c r="F247" s="19"/>
      <c r="G247" s="13"/>
      <c r="H247" s="13"/>
      <c r="I247" s="13"/>
      <c r="J247" s="13"/>
      <c r="K247" s="13"/>
      <c r="L247" s="1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.75" customHeight="1">
      <c r="A248" s="20"/>
      <c r="B248" s="48"/>
      <c r="C248" s="25"/>
      <c r="D248" s="66"/>
      <c r="E248" s="13"/>
      <c r="F248" s="19"/>
      <c r="G248" s="13"/>
      <c r="H248" s="13"/>
      <c r="I248" s="13"/>
      <c r="J248" s="13"/>
      <c r="K248" s="13"/>
      <c r="L248" s="1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.75" customHeight="1">
      <c r="A249" s="20"/>
      <c r="B249" s="48"/>
      <c r="C249" s="25"/>
      <c r="D249" s="66"/>
      <c r="E249" s="13"/>
      <c r="F249" s="19"/>
      <c r="G249" s="13"/>
      <c r="H249" s="13"/>
      <c r="I249" s="13"/>
      <c r="J249" s="13"/>
      <c r="K249" s="13"/>
      <c r="L249" s="1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.75" customHeight="1">
      <c r="A250" s="20"/>
      <c r="B250" s="48"/>
      <c r="C250" s="25"/>
      <c r="D250" s="66"/>
      <c r="E250" s="13"/>
      <c r="F250" s="19"/>
      <c r="G250" s="13"/>
      <c r="H250" s="13"/>
      <c r="I250" s="13"/>
      <c r="J250" s="13"/>
      <c r="K250" s="13"/>
      <c r="L250" s="1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.75" customHeight="1">
      <c r="A251" s="20"/>
      <c r="B251" s="48"/>
      <c r="C251" s="25"/>
      <c r="D251" s="66"/>
      <c r="E251" s="13"/>
      <c r="F251" s="19"/>
      <c r="G251" s="13"/>
      <c r="H251" s="13"/>
      <c r="I251" s="13"/>
      <c r="J251" s="13"/>
      <c r="K251" s="13"/>
      <c r="L251" s="1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.75" customHeight="1">
      <c r="A252" s="20"/>
      <c r="B252" s="48"/>
      <c r="C252" s="25"/>
      <c r="D252" s="66"/>
      <c r="E252" s="13"/>
      <c r="F252" s="19"/>
      <c r="G252" s="13"/>
      <c r="H252" s="13"/>
      <c r="I252" s="13"/>
      <c r="J252" s="13"/>
      <c r="K252" s="13"/>
      <c r="L252" s="1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.75" customHeight="1">
      <c r="A253" s="20"/>
      <c r="B253" s="48"/>
      <c r="C253" s="25"/>
      <c r="D253" s="66"/>
      <c r="E253" s="13"/>
      <c r="F253" s="19"/>
      <c r="G253" s="13"/>
      <c r="H253" s="13"/>
      <c r="I253" s="13"/>
      <c r="J253" s="13"/>
      <c r="K253" s="13"/>
      <c r="L253" s="1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.75" customHeight="1">
      <c r="A254" s="20"/>
      <c r="B254" s="48"/>
      <c r="C254" s="25"/>
      <c r="D254" s="66"/>
      <c r="E254" s="13"/>
      <c r="F254" s="19"/>
      <c r="G254" s="13"/>
      <c r="H254" s="13"/>
      <c r="I254" s="13"/>
      <c r="J254" s="13"/>
      <c r="K254" s="13"/>
      <c r="L254" s="1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.75" customHeight="1">
      <c r="A255" s="20"/>
      <c r="B255" s="48"/>
      <c r="C255" s="25"/>
      <c r="D255" s="66"/>
      <c r="E255" s="13"/>
      <c r="F255" s="19"/>
      <c r="G255" s="13"/>
      <c r="H255" s="13"/>
      <c r="I255" s="13"/>
      <c r="J255" s="13"/>
      <c r="K255" s="13"/>
      <c r="L255" s="1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.75" customHeight="1">
      <c r="A256" s="20"/>
      <c r="B256" s="48"/>
      <c r="C256" s="25"/>
      <c r="D256" s="66"/>
      <c r="E256" s="13"/>
      <c r="F256" s="19"/>
      <c r="G256" s="13"/>
      <c r="H256" s="13"/>
      <c r="I256" s="13"/>
      <c r="J256" s="13"/>
      <c r="K256" s="13"/>
      <c r="L256" s="1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.75" customHeight="1">
      <c r="A257" s="20"/>
      <c r="B257" s="48"/>
      <c r="C257" s="25"/>
      <c r="D257" s="66"/>
      <c r="E257" s="13"/>
      <c r="F257" s="19"/>
      <c r="G257" s="13"/>
      <c r="H257" s="13"/>
      <c r="I257" s="13"/>
      <c r="J257" s="13"/>
      <c r="K257" s="13"/>
      <c r="L257" s="1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.75" customHeight="1">
      <c r="A258" s="20"/>
      <c r="B258" s="48"/>
      <c r="C258" s="25"/>
      <c r="D258" s="66"/>
      <c r="E258" s="13"/>
      <c r="F258" s="19"/>
      <c r="G258" s="13"/>
      <c r="H258" s="13"/>
      <c r="I258" s="13"/>
      <c r="J258" s="13"/>
      <c r="K258" s="13"/>
      <c r="L258" s="1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.75" customHeight="1">
      <c r="A259" s="20"/>
      <c r="B259" s="48"/>
      <c r="C259" s="25"/>
      <c r="D259" s="66"/>
      <c r="E259" s="13"/>
      <c r="F259" s="19"/>
      <c r="G259" s="13"/>
      <c r="H259" s="13"/>
      <c r="I259" s="13"/>
      <c r="J259" s="13"/>
      <c r="K259" s="13"/>
      <c r="L259" s="1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.75" customHeight="1">
      <c r="A260" s="20"/>
      <c r="B260" s="48"/>
      <c r="C260" s="25"/>
      <c r="D260" s="66"/>
      <c r="E260" s="13"/>
      <c r="F260" s="19"/>
      <c r="G260" s="13"/>
      <c r="H260" s="13"/>
      <c r="I260" s="13"/>
      <c r="J260" s="13"/>
      <c r="K260" s="13"/>
      <c r="L260" s="1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.75" customHeight="1">
      <c r="A261" s="20"/>
      <c r="B261" s="48"/>
      <c r="C261" s="25"/>
      <c r="D261" s="66"/>
      <c r="E261" s="13"/>
      <c r="F261" s="19"/>
      <c r="G261" s="13"/>
      <c r="H261" s="13"/>
      <c r="I261" s="13"/>
      <c r="J261" s="13"/>
      <c r="K261" s="13"/>
      <c r="L261" s="1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.75" customHeight="1">
      <c r="A262" s="20"/>
      <c r="B262" s="48"/>
      <c r="C262" s="25"/>
      <c r="D262" s="66"/>
      <c r="E262" s="13"/>
      <c r="F262" s="19"/>
      <c r="G262" s="13"/>
      <c r="H262" s="13"/>
      <c r="I262" s="13"/>
      <c r="J262" s="13"/>
      <c r="K262" s="13"/>
      <c r="L262" s="1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.75" customHeight="1">
      <c r="A263" s="20"/>
      <c r="B263" s="48"/>
      <c r="C263" s="25"/>
      <c r="D263" s="66"/>
      <c r="E263" s="13"/>
      <c r="F263" s="19"/>
      <c r="G263" s="13"/>
      <c r="H263" s="13"/>
      <c r="I263" s="13"/>
      <c r="J263" s="13"/>
      <c r="K263" s="13"/>
      <c r="L263" s="1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.75" customHeight="1">
      <c r="A264" s="20"/>
      <c r="B264" s="48"/>
      <c r="C264" s="25"/>
      <c r="D264" s="66"/>
      <c r="E264" s="13"/>
      <c r="F264" s="19"/>
      <c r="G264" s="13"/>
      <c r="H264" s="13"/>
      <c r="I264" s="13"/>
      <c r="J264" s="13"/>
      <c r="K264" s="13"/>
      <c r="L264" s="1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.75" customHeight="1">
      <c r="A265" s="20"/>
      <c r="B265" s="48"/>
      <c r="C265" s="25"/>
      <c r="D265" s="66"/>
      <c r="E265" s="13"/>
      <c r="F265" s="19"/>
      <c r="G265" s="13"/>
      <c r="H265" s="13"/>
      <c r="I265" s="13"/>
      <c r="J265" s="13"/>
      <c r="K265" s="13"/>
      <c r="L265" s="1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.75" customHeight="1">
      <c r="A266" s="20"/>
      <c r="B266" s="48"/>
      <c r="C266" s="25"/>
      <c r="D266" s="66"/>
      <c r="E266" s="13"/>
      <c r="F266" s="19"/>
      <c r="G266" s="13"/>
      <c r="H266" s="13"/>
      <c r="I266" s="13"/>
      <c r="J266" s="13"/>
      <c r="K266" s="13"/>
      <c r="L266" s="1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.75" customHeight="1">
      <c r="A267" s="20"/>
      <c r="B267" s="48"/>
      <c r="C267" s="25"/>
      <c r="D267" s="66"/>
      <c r="E267" s="13"/>
      <c r="F267" s="19"/>
      <c r="G267" s="13"/>
      <c r="H267" s="13"/>
      <c r="I267" s="13"/>
      <c r="J267" s="13"/>
      <c r="K267" s="13"/>
      <c r="L267" s="1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.75" customHeight="1">
      <c r="A268" s="20"/>
      <c r="B268" s="48"/>
      <c r="C268" s="25"/>
      <c r="D268" s="66"/>
      <c r="E268" s="13"/>
      <c r="F268" s="19"/>
      <c r="G268" s="13"/>
      <c r="H268" s="13"/>
      <c r="I268" s="13"/>
      <c r="J268" s="13"/>
      <c r="K268" s="13"/>
      <c r="L268" s="1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.75" customHeight="1">
      <c r="A269" s="20"/>
      <c r="B269" s="48"/>
      <c r="C269" s="25"/>
      <c r="D269" s="66"/>
      <c r="E269" s="13"/>
      <c r="F269" s="19"/>
      <c r="G269" s="13"/>
      <c r="H269" s="13"/>
      <c r="I269" s="13"/>
      <c r="J269" s="13"/>
      <c r="K269" s="13"/>
      <c r="L269" s="1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.75" customHeight="1">
      <c r="A270" s="20"/>
      <c r="B270" s="48"/>
      <c r="C270" s="25"/>
      <c r="D270" s="66"/>
      <c r="E270" s="13"/>
      <c r="F270" s="19"/>
      <c r="G270" s="13"/>
      <c r="H270" s="13"/>
      <c r="I270" s="13"/>
      <c r="J270" s="13"/>
      <c r="K270" s="13"/>
      <c r="L270" s="1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.75" customHeight="1">
      <c r="A271" s="20"/>
      <c r="B271" s="48"/>
      <c r="C271" s="25"/>
      <c r="D271" s="66"/>
      <c r="E271" s="13"/>
      <c r="F271" s="19"/>
      <c r="G271" s="13"/>
      <c r="H271" s="13"/>
      <c r="I271" s="13"/>
      <c r="J271" s="13"/>
      <c r="K271" s="13"/>
      <c r="L271" s="1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.75" customHeight="1">
      <c r="A272" s="20"/>
      <c r="B272" s="48"/>
      <c r="C272" s="25"/>
      <c r="D272" s="66"/>
      <c r="E272" s="13"/>
      <c r="F272" s="19"/>
      <c r="G272" s="13"/>
      <c r="H272" s="13"/>
      <c r="I272" s="13"/>
      <c r="J272" s="13"/>
      <c r="K272" s="13"/>
      <c r="L272" s="1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.75" customHeight="1">
      <c r="A273" s="20"/>
      <c r="B273" s="48"/>
      <c r="C273" s="25"/>
      <c r="D273" s="66"/>
      <c r="E273" s="13"/>
      <c r="F273" s="19"/>
      <c r="G273" s="13"/>
      <c r="H273" s="13"/>
      <c r="I273" s="13"/>
      <c r="J273" s="13"/>
      <c r="K273" s="13"/>
      <c r="L273" s="1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.75" customHeight="1">
      <c r="A274" s="20"/>
      <c r="B274" s="48"/>
      <c r="C274" s="25"/>
      <c r="D274" s="66"/>
      <c r="E274" s="13"/>
      <c r="F274" s="19"/>
      <c r="G274" s="13"/>
      <c r="H274" s="13"/>
      <c r="I274" s="13"/>
      <c r="J274" s="13"/>
      <c r="K274" s="13"/>
      <c r="L274" s="1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.75" customHeight="1">
      <c r="A275" s="20"/>
      <c r="B275" s="48"/>
      <c r="C275" s="25"/>
      <c r="D275" s="66"/>
      <c r="E275" s="13"/>
      <c r="F275" s="19"/>
      <c r="G275" s="13"/>
      <c r="H275" s="13"/>
      <c r="I275" s="13"/>
      <c r="J275" s="13"/>
      <c r="K275" s="13"/>
      <c r="L275" s="1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.75" customHeight="1">
      <c r="A276" s="20"/>
      <c r="B276" s="48"/>
      <c r="C276" s="25"/>
      <c r="D276" s="66"/>
      <c r="E276" s="13"/>
      <c r="F276" s="19"/>
      <c r="G276" s="13"/>
      <c r="H276" s="13"/>
      <c r="I276" s="13"/>
      <c r="J276" s="13"/>
      <c r="K276" s="13"/>
      <c r="L276" s="1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.75" customHeight="1">
      <c r="A277" s="20"/>
      <c r="B277" s="48"/>
      <c r="C277" s="25"/>
      <c r="D277" s="66"/>
      <c r="E277" s="13"/>
      <c r="F277" s="19"/>
      <c r="G277" s="13"/>
      <c r="H277" s="13"/>
      <c r="I277" s="13"/>
      <c r="J277" s="13"/>
      <c r="K277" s="13"/>
      <c r="L277" s="1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.75" customHeight="1">
      <c r="A278" s="20"/>
      <c r="B278" s="48"/>
      <c r="C278" s="25"/>
      <c r="D278" s="66"/>
      <c r="E278" s="13"/>
      <c r="F278" s="19"/>
      <c r="G278" s="13"/>
      <c r="H278" s="13"/>
      <c r="I278" s="13"/>
      <c r="J278" s="13"/>
      <c r="K278" s="13"/>
      <c r="L278" s="1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.75" customHeight="1">
      <c r="A279" s="20"/>
      <c r="B279" s="48"/>
      <c r="C279" s="25"/>
      <c r="D279" s="66"/>
      <c r="E279" s="13"/>
      <c r="F279" s="19"/>
      <c r="G279" s="13"/>
      <c r="H279" s="13"/>
      <c r="I279" s="13"/>
      <c r="J279" s="13"/>
      <c r="K279" s="13"/>
      <c r="L279" s="1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.75" customHeight="1">
      <c r="A280" s="20"/>
      <c r="B280" s="48"/>
      <c r="C280" s="25"/>
      <c r="D280" s="66"/>
      <c r="E280" s="13"/>
      <c r="F280" s="19"/>
      <c r="G280" s="13"/>
      <c r="H280" s="13"/>
      <c r="I280" s="13"/>
      <c r="J280" s="13"/>
      <c r="K280" s="13"/>
      <c r="L280" s="1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.75" customHeight="1">
      <c r="A281" s="20"/>
      <c r="B281" s="48"/>
      <c r="C281" s="25"/>
      <c r="D281" s="66"/>
      <c r="E281" s="13"/>
      <c r="F281" s="19"/>
      <c r="G281" s="13"/>
      <c r="H281" s="13"/>
      <c r="I281" s="13"/>
      <c r="J281" s="13"/>
      <c r="K281" s="13"/>
      <c r="L281" s="1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.75" customHeight="1">
      <c r="A282" s="20"/>
      <c r="B282" s="48"/>
      <c r="C282" s="25"/>
      <c r="D282" s="66"/>
      <c r="E282" s="13"/>
      <c r="F282" s="19"/>
      <c r="G282" s="13"/>
      <c r="H282" s="13"/>
      <c r="I282" s="13"/>
      <c r="J282" s="13"/>
      <c r="K282" s="13"/>
      <c r="L282" s="1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.75" customHeight="1">
      <c r="A283" s="20"/>
      <c r="B283" s="48"/>
      <c r="C283" s="25"/>
      <c r="D283" s="66"/>
      <c r="E283" s="13"/>
      <c r="F283" s="19"/>
      <c r="G283" s="13"/>
      <c r="H283" s="13"/>
      <c r="I283" s="13"/>
      <c r="J283" s="13"/>
      <c r="K283" s="13"/>
      <c r="L283" s="1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.75" customHeight="1">
      <c r="A284" s="20"/>
      <c r="B284" s="48"/>
      <c r="C284" s="25"/>
      <c r="D284" s="66"/>
      <c r="E284" s="13"/>
      <c r="F284" s="19"/>
      <c r="G284" s="13"/>
      <c r="H284" s="13"/>
      <c r="I284" s="13"/>
      <c r="J284" s="13"/>
      <c r="K284" s="13"/>
      <c r="L284" s="1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.75" customHeight="1">
      <c r="A285" s="20"/>
      <c r="B285" s="48"/>
      <c r="C285" s="25"/>
      <c r="D285" s="66"/>
      <c r="E285" s="13"/>
      <c r="F285" s="19"/>
      <c r="G285" s="13"/>
      <c r="H285" s="13"/>
      <c r="I285" s="13"/>
      <c r="J285" s="13"/>
      <c r="K285" s="13"/>
      <c r="L285" s="1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.75" customHeight="1">
      <c r="A286" s="20"/>
      <c r="B286" s="48"/>
      <c r="C286" s="25"/>
      <c r="D286" s="66"/>
      <c r="E286" s="13"/>
      <c r="F286" s="19"/>
      <c r="G286" s="13"/>
      <c r="H286" s="13"/>
      <c r="I286" s="13"/>
      <c r="J286" s="13"/>
      <c r="K286" s="13"/>
      <c r="L286" s="1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.75" customHeight="1">
      <c r="A287" s="20"/>
      <c r="B287" s="48"/>
      <c r="C287" s="25"/>
      <c r="D287" s="66"/>
      <c r="E287" s="13"/>
      <c r="F287" s="19"/>
      <c r="G287" s="13"/>
      <c r="H287" s="13"/>
      <c r="I287" s="13"/>
      <c r="J287" s="13"/>
      <c r="K287" s="13"/>
      <c r="L287" s="1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.75" customHeight="1">
      <c r="A288" s="20"/>
      <c r="B288" s="48"/>
      <c r="C288" s="25"/>
      <c r="D288" s="66"/>
      <c r="E288" s="13"/>
      <c r="F288" s="19"/>
      <c r="G288" s="13"/>
      <c r="H288" s="13"/>
      <c r="I288" s="13"/>
      <c r="J288" s="13"/>
      <c r="K288" s="13"/>
      <c r="L288" s="1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.75" customHeight="1">
      <c r="A289" s="20"/>
      <c r="B289" s="48"/>
      <c r="C289" s="25"/>
      <c r="D289" s="66"/>
      <c r="E289" s="13"/>
      <c r="F289" s="19"/>
      <c r="G289" s="13"/>
      <c r="H289" s="13"/>
      <c r="I289" s="13"/>
      <c r="J289" s="13"/>
      <c r="K289" s="13"/>
      <c r="L289" s="1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.75" customHeight="1">
      <c r="A290" s="20"/>
      <c r="B290" s="48"/>
      <c r="C290" s="25"/>
      <c r="D290" s="66"/>
      <c r="E290" s="13"/>
      <c r="F290" s="19"/>
      <c r="G290" s="13"/>
      <c r="H290" s="13"/>
      <c r="I290" s="13"/>
      <c r="J290" s="13"/>
      <c r="K290" s="13"/>
      <c r="L290" s="1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.75" customHeight="1">
      <c r="A291" s="20"/>
      <c r="B291" s="48"/>
      <c r="C291" s="25"/>
      <c r="D291" s="66"/>
      <c r="E291" s="13"/>
      <c r="F291" s="19"/>
      <c r="G291" s="13"/>
      <c r="H291" s="13"/>
      <c r="I291" s="13"/>
      <c r="J291" s="13"/>
      <c r="K291" s="13"/>
      <c r="L291" s="1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.75" customHeight="1">
      <c r="A292" s="20"/>
      <c r="B292" s="48"/>
      <c r="C292" s="25"/>
      <c r="D292" s="66"/>
      <c r="E292" s="13"/>
      <c r="F292" s="19"/>
      <c r="G292" s="13"/>
      <c r="H292" s="13"/>
      <c r="I292" s="13"/>
      <c r="J292" s="13"/>
      <c r="K292" s="13"/>
      <c r="L292" s="1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.75" customHeight="1">
      <c r="A293" s="20"/>
      <c r="B293" s="48"/>
      <c r="C293" s="25"/>
      <c r="D293" s="66"/>
      <c r="E293" s="13"/>
      <c r="F293" s="19"/>
      <c r="G293" s="13"/>
      <c r="H293" s="13"/>
      <c r="I293" s="13"/>
      <c r="J293" s="13"/>
      <c r="K293" s="13"/>
      <c r="L293" s="1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.75" customHeight="1">
      <c r="A294" s="20"/>
      <c r="B294" s="48"/>
      <c r="C294" s="25"/>
      <c r="D294" s="66"/>
      <c r="E294" s="13"/>
      <c r="F294" s="19"/>
      <c r="G294" s="13"/>
      <c r="H294" s="13"/>
      <c r="I294" s="13"/>
      <c r="J294" s="13"/>
      <c r="K294" s="13"/>
      <c r="L294" s="1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.75" customHeight="1">
      <c r="A295" s="20"/>
      <c r="B295" s="48"/>
      <c r="C295" s="25"/>
      <c r="D295" s="66"/>
      <c r="E295" s="13"/>
      <c r="F295" s="19"/>
      <c r="G295" s="13"/>
      <c r="H295" s="13"/>
      <c r="I295" s="13"/>
      <c r="J295" s="13"/>
      <c r="K295" s="13"/>
      <c r="L295" s="1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.75" customHeight="1">
      <c r="A296" s="20"/>
      <c r="B296" s="48"/>
      <c r="C296" s="25"/>
      <c r="D296" s="66"/>
      <c r="E296" s="13"/>
      <c r="F296" s="19"/>
      <c r="G296" s="13"/>
      <c r="H296" s="13"/>
      <c r="I296" s="13"/>
      <c r="J296" s="13"/>
      <c r="K296" s="13"/>
      <c r="L296" s="1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.75" customHeight="1">
      <c r="A297" s="20"/>
      <c r="B297" s="48"/>
      <c r="C297" s="25"/>
      <c r="D297" s="66"/>
      <c r="E297" s="13"/>
      <c r="F297" s="19"/>
      <c r="G297" s="13"/>
      <c r="H297" s="13"/>
      <c r="I297" s="13"/>
      <c r="J297" s="13"/>
      <c r="K297" s="13"/>
      <c r="L297" s="1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.75" customHeight="1">
      <c r="A298" s="20"/>
      <c r="B298" s="48"/>
      <c r="C298" s="25"/>
      <c r="D298" s="66"/>
      <c r="E298" s="13"/>
      <c r="F298" s="19"/>
      <c r="G298" s="13"/>
      <c r="H298" s="13"/>
      <c r="I298" s="13"/>
      <c r="J298" s="13"/>
      <c r="K298" s="13"/>
      <c r="L298" s="1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.75" customHeight="1">
      <c r="A299" s="20"/>
      <c r="B299" s="48"/>
      <c r="C299" s="25"/>
      <c r="D299" s="66"/>
      <c r="E299" s="13"/>
      <c r="F299" s="19"/>
      <c r="G299" s="13"/>
      <c r="H299" s="13"/>
      <c r="I299" s="13"/>
      <c r="J299" s="13"/>
      <c r="K299" s="13"/>
      <c r="L299" s="1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.75" customHeight="1">
      <c r="A300" s="20"/>
      <c r="B300" s="48"/>
      <c r="C300" s="25"/>
      <c r="D300" s="66"/>
      <c r="E300" s="13"/>
      <c r="F300" s="19"/>
      <c r="G300" s="13"/>
      <c r="H300" s="13"/>
      <c r="I300" s="13"/>
      <c r="J300" s="13"/>
      <c r="K300" s="13"/>
      <c r="L300" s="1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.75" customHeight="1">
      <c r="A301" s="20"/>
      <c r="B301" s="48"/>
      <c r="C301" s="25"/>
      <c r="D301" s="66"/>
      <c r="E301" s="13"/>
      <c r="F301" s="19"/>
      <c r="G301" s="13"/>
      <c r="H301" s="13"/>
      <c r="I301" s="13"/>
      <c r="J301" s="13"/>
      <c r="K301" s="13"/>
      <c r="L301" s="1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.75" customHeight="1">
      <c r="A302" s="20"/>
      <c r="B302" s="48"/>
      <c r="C302" s="25"/>
      <c r="D302" s="66"/>
      <c r="E302" s="13"/>
      <c r="F302" s="19"/>
      <c r="G302" s="13"/>
      <c r="H302" s="13"/>
      <c r="I302" s="13"/>
      <c r="J302" s="13"/>
      <c r="K302" s="13"/>
      <c r="L302" s="1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.75" customHeight="1">
      <c r="A303" s="20"/>
      <c r="B303" s="48"/>
      <c r="C303" s="25"/>
      <c r="D303" s="66"/>
      <c r="E303" s="13"/>
      <c r="F303" s="19"/>
      <c r="G303" s="13"/>
      <c r="H303" s="13"/>
      <c r="I303" s="13"/>
      <c r="J303" s="13"/>
      <c r="K303" s="13"/>
      <c r="L303" s="1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.75" customHeight="1">
      <c r="A304" s="20"/>
      <c r="B304" s="48"/>
      <c r="C304" s="25"/>
      <c r="D304" s="66"/>
      <c r="E304" s="13"/>
      <c r="F304" s="19"/>
      <c r="G304" s="13"/>
      <c r="H304" s="13"/>
      <c r="I304" s="13"/>
      <c r="J304" s="13"/>
      <c r="K304" s="13"/>
      <c r="L304" s="1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.75" customHeight="1">
      <c r="A305" s="20"/>
      <c r="B305" s="48"/>
      <c r="C305" s="25"/>
      <c r="D305" s="66"/>
      <c r="E305" s="13"/>
      <c r="F305" s="19"/>
      <c r="G305" s="13"/>
      <c r="H305" s="13"/>
      <c r="I305" s="13"/>
      <c r="J305" s="13"/>
      <c r="K305" s="13"/>
      <c r="L305" s="1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.75" customHeight="1">
      <c r="A306" s="20"/>
      <c r="B306" s="48"/>
      <c r="C306" s="25"/>
      <c r="D306" s="66"/>
      <c r="E306" s="13"/>
      <c r="F306" s="19"/>
      <c r="G306" s="13"/>
      <c r="H306" s="13"/>
      <c r="I306" s="13"/>
      <c r="J306" s="13"/>
      <c r="K306" s="13"/>
      <c r="L306" s="1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.75" customHeight="1">
      <c r="A307" s="20"/>
      <c r="B307" s="48"/>
      <c r="C307" s="25"/>
      <c r="D307" s="66"/>
      <c r="E307" s="13"/>
      <c r="F307" s="19"/>
      <c r="G307" s="13"/>
      <c r="H307" s="13"/>
      <c r="I307" s="13"/>
      <c r="J307" s="13"/>
      <c r="K307" s="13"/>
      <c r="L307" s="1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.75" customHeight="1">
      <c r="A308" s="20"/>
      <c r="B308" s="48"/>
      <c r="C308" s="25"/>
      <c r="D308" s="66"/>
      <c r="E308" s="13"/>
      <c r="F308" s="19"/>
      <c r="G308" s="13"/>
      <c r="H308" s="13"/>
      <c r="I308" s="13"/>
      <c r="J308" s="13"/>
      <c r="K308" s="13"/>
      <c r="L308" s="1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.75" customHeight="1">
      <c r="A309" s="20"/>
      <c r="B309" s="48"/>
      <c r="C309" s="25"/>
      <c r="D309" s="66"/>
      <c r="E309" s="13"/>
      <c r="F309" s="19"/>
      <c r="G309" s="13"/>
      <c r="H309" s="13"/>
      <c r="I309" s="13"/>
      <c r="J309" s="13"/>
      <c r="K309" s="13"/>
      <c r="L309" s="1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.75" customHeight="1">
      <c r="A310" s="20"/>
      <c r="B310" s="48"/>
      <c r="C310" s="25"/>
      <c r="D310" s="66"/>
      <c r="E310" s="13"/>
      <c r="F310" s="19"/>
      <c r="G310" s="13"/>
      <c r="H310" s="13"/>
      <c r="I310" s="13"/>
      <c r="J310" s="13"/>
      <c r="K310" s="13"/>
      <c r="L310" s="1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.75" customHeight="1">
      <c r="A311" s="20"/>
      <c r="B311" s="48"/>
      <c r="C311" s="25"/>
      <c r="D311" s="66"/>
      <c r="E311" s="13"/>
      <c r="F311" s="19"/>
      <c r="G311" s="13"/>
      <c r="H311" s="13"/>
      <c r="I311" s="13"/>
      <c r="J311" s="13"/>
      <c r="K311" s="13"/>
      <c r="L311" s="1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.75" customHeight="1">
      <c r="A312" s="20"/>
      <c r="B312" s="48"/>
      <c r="C312" s="25"/>
      <c r="D312" s="66"/>
      <c r="E312" s="13"/>
      <c r="F312" s="19"/>
      <c r="G312" s="13"/>
      <c r="H312" s="13"/>
      <c r="I312" s="13"/>
      <c r="J312" s="13"/>
      <c r="K312" s="13"/>
      <c r="L312" s="1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.75" customHeight="1">
      <c r="A313" s="20"/>
      <c r="B313" s="48"/>
      <c r="C313" s="25"/>
      <c r="D313" s="66"/>
      <c r="E313" s="13"/>
      <c r="F313" s="19"/>
      <c r="G313" s="13"/>
      <c r="H313" s="13"/>
      <c r="I313" s="13"/>
      <c r="J313" s="13"/>
      <c r="K313" s="13"/>
      <c r="L313" s="1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.75" customHeight="1">
      <c r="A314" s="20"/>
      <c r="B314" s="48"/>
      <c r="C314" s="25"/>
      <c r="D314" s="66"/>
      <c r="E314" s="13"/>
      <c r="F314" s="19"/>
      <c r="G314" s="13"/>
      <c r="H314" s="13"/>
      <c r="I314" s="13"/>
      <c r="J314" s="13"/>
      <c r="K314" s="13"/>
      <c r="L314" s="1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.75" customHeight="1">
      <c r="A315" s="20"/>
      <c r="B315" s="48"/>
      <c r="C315" s="25"/>
      <c r="D315" s="66"/>
      <c r="E315" s="13"/>
      <c r="F315" s="19"/>
      <c r="G315" s="13"/>
      <c r="H315" s="13"/>
      <c r="I315" s="13"/>
      <c r="J315" s="13"/>
      <c r="K315" s="13"/>
      <c r="L315" s="1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.75" customHeight="1">
      <c r="A316" s="20"/>
      <c r="B316" s="48"/>
      <c r="C316" s="25"/>
      <c r="D316" s="66"/>
      <c r="E316" s="13"/>
      <c r="F316" s="19"/>
      <c r="G316" s="13"/>
      <c r="H316" s="13"/>
      <c r="I316" s="13"/>
      <c r="J316" s="13"/>
      <c r="K316" s="13"/>
      <c r="L316" s="1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.75" customHeight="1">
      <c r="A317" s="20"/>
      <c r="B317" s="48"/>
      <c r="C317" s="25"/>
      <c r="D317" s="66"/>
      <c r="E317" s="13"/>
      <c r="F317" s="19"/>
      <c r="G317" s="13"/>
      <c r="H317" s="13"/>
      <c r="I317" s="13"/>
      <c r="J317" s="13"/>
      <c r="K317" s="13"/>
      <c r="L317" s="1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.75" customHeight="1">
      <c r="A318" s="20"/>
      <c r="B318" s="48"/>
      <c r="C318" s="25"/>
      <c r="D318" s="66"/>
      <c r="E318" s="13"/>
      <c r="F318" s="19"/>
      <c r="G318" s="13"/>
      <c r="H318" s="13"/>
      <c r="I318" s="13"/>
      <c r="J318" s="13"/>
      <c r="K318" s="13"/>
      <c r="L318" s="1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.75" customHeight="1">
      <c r="A319" s="20"/>
      <c r="B319" s="48"/>
      <c r="C319" s="25"/>
      <c r="D319" s="66"/>
      <c r="E319" s="13"/>
      <c r="F319" s="19"/>
      <c r="G319" s="13"/>
      <c r="H319" s="13"/>
      <c r="I319" s="13"/>
      <c r="J319" s="13"/>
      <c r="K319" s="13"/>
      <c r="L319" s="1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.75" customHeight="1">
      <c r="A320" s="20"/>
      <c r="B320" s="48"/>
      <c r="C320" s="25"/>
      <c r="D320" s="66"/>
      <c r="E320" s="13"/>
      <c r="F320" s="19"/>
      <c r="G320" s="13"/>
      <c r="H320" s="13"/>
      <c r="I320" s="13"/>
      <c r="J320" s="13"/>
      <c r="K320" s="13"/>
      <c r="L320" s="1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.75" customHeight="1">
      <c r="A321" s="20"/>
      <c r="B321" s="48"/>
      <c r="C321" s="25"/>
      <c r="D321" s="66"/>
      <c r="E321" s="13"/>
      <c r="F321" s="19"/>
      <c r="G321" s="13"/>
      <c r="H321" s="13"/>
      <c r="I321" s="13"/>
      <c r="J321" s="13"/>
      <c r="K321" s="13"/>
      <c r="L321" s="1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.75" customHeight="1">
      <c r="A322" s="20"/>
      <c r="B322" s="48"/>
      <c r="C322" s="25"/>
      <c r="D322" s="66"/>
      <c r="E322" s="13"/>
      <c r="F322" s="19"/>
      <c r="G322" s="13"/>
      <c r="H322" s="13"/>
      <c r="I322" s="13"/>
      <c r="J322" s="13"/>
      <c r="K322" s="13"/>
      <c r="L322" s="1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.75" customHeight="1">
      <c r="A323" s="20"/>
      <c r="B323" s="48"/>
      <c r="C323" s="25"/>
      <c r="D323" s="66"/>
      <c r="E323" s="13"/>
      <c r="F323" s="19"/>
      <c r="G323" s="13"/>
      <c r="H323" s="13"/>
      <c r="I323" s="13"/>
      <c r="J323" s="13"/>
      <c r="K323" s="13"/>
      <c r="L323" s="1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.75" customHeight="1">
      <c r="A324" s="20"/>
      <c r="B324" s="48"/>
      <c r="C324" s="25"/>
      <c r="D324" s="66"/>
      <c r="E324" s="13"/>
      <c r="F324" s="19"/>
      <c r="G324" s="13"/>
      <c r="H324" s="13"/>
      <c r="I324" s="13"/>
      <c r="J324" s="13"/>
      <c r="K324" s="13"/>
      <c r="L324" s="1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.75" customHeight="1">
      <c r="A325" s="20"/>
      <c r="B325" s="48"/>
      <c r="C325" s="25"/>
      <c r="D325" s="66"/>
      <c r="E325" s="13"/>
      <c r="F325" s="19"/>
      <c r="G325" s="13"/>
      <c r="H325" s="13"/>
      <c r="I325" s="13"/>
      <c r="J325" s="13"/>
      <c r="K325" s="13"/>
      <c r="L325" s="1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.75" customHeight="1">
      <c r="A326" s="20"/>
      <c r="B326" s="48"/>
      <c r="C326" s="25"/>
      <c r="D326" s="66"/>
      <c r="E326" s="13"/>
      <c r="F326" s="19"/>
      <c r="G326" s="13"/>
      <c r="H326" s="13"/>
      <c r="I326" s="13"/>
      <c r="J326" s="13"/>
      <c r="K326" s="13"/>
      <c r="L326" s="1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.75" customHeight="1">
      <c r="A327" s="20"/>
      <c r="B327" s="48"/>
      <c r="C327" s="25"/>
      <c r="D327" s="66"/>
      <c r="E327" s="13"/>
      <c r="F327" s="19"/>
      <c r="G327" s="13"/>
      <c r="H327" s="13"/>
      <c r="I327" s="13"/>
      <c r="J327" s="13"/>
      <c r="K327" s="13"/>
      <c r="L327" s="1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.75" customHeight="1">
      <c r="A328" s="20"/>
      <c r="B328" s="48"/>
      <c r="C328" s="25"/>
      <c r="D328" s="66"/>
      <c r="E328" s="13"/>
      <c r="F328" s="19"/>
      <c r="G328" s="13"/>
      <c r="H328" s="13"/>
      <c r="I328" s="13"/>
      <c r="J328" s="13"/>
      <c r="K328" s="13"/>
      <c r="L328" s="1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.75" customHeight="1">
      <c r="A329" s="20"/>
      <c r="B329" s="48"/>
      <c r="C329" s="25"/>
      <c r="D329" s="66"/>
      <c r="E329" s="13"/>
      <c r="F329" s="19"/>
      <c r="G329" s="13"/>
      <c r="H329" s="13"/>
      <c r="I329" s="13"/>
      <c r="J329" s="13"/>
      <c r="K329" s="13"/>
      <c r="L329" s="1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.75" customHeight="1">
      <c r="A330" s="20"/>
      <c r="B330" s="48"/>
      <c r="C330" s="25"/>
      <c r="D330" s="66"/>
      <c r="E330" s="13"/>
      <c r="F330" s="19"/>
      <c r="G330" s="13"/>
      <c r="H330" s="13"/>
      <c r="I330" s="13"/>
      <c r="J330" s="13"/>
      <c r="K330" s="13"/>
      <c r="L330" s="1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.75" customHeight="1">
      <c r="A331" s="20"/>
      <c r="B331" s="48"/>
      <c r="C331" s="25"/>
      <c r="D331" s="66"/>
      <c r="E331" s="13"/>
      <c r="F331" s="19"/>
      <c r="G331" s="13"/>
      <c r="H331" s="13"/>
      <c r="I331" s="13"/>
      <c r="J331" s="13"/>
      <c r="K331" s="13"/>
      <c r="L331" s="1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.75" customHeight="1">
      <c r="A332" s="20"/>
      <c r="B332" s="48"/>
      <c r="C332" s="25"/>
      <c r="D332" s="66"/>
      <c r="E332" s="13"/>
      <c r="F332" s="19"/>
      <c r="G332" s="13"/>
      <c r="H332" s="13"/>
      <c r="I332" s="13"/>
      <c r="J332" s="13"/>
      <c r="K332" s="13"/>
      <c r="L332" s="1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.75" customHeight="1">
      <c r="A333" s="20"/>
      <c r="B333" s="48"/>
      <c r="C333" s="25"/>
      <c r="D333" s="66"/>
      <c r="E333" s="13"/>
      <c r="F333" s="19"/>
      <c r="G333" s="13"/>
      <c r="H333" s="13"/>
      <c r="I333" s="13"/>
      <c r="J333" s="13"/>
      <c r="K333" s="13"/>
      <c r="L333" s="1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.75" customHeight="1">
      <c r="A334" s="20"/>
      <c r="B334" s="48"/>
      <c r="C334" s="25"/>
      <c r="D334" s="66"/>
      <c r="E334" s="13"/>
      <c r="F334" s="19"/>
      <c r="G334" s="13"/>
      <c r="H334" s="13"/>
      <c r="I334" s="13"/>
      <c r="J334" s="13"/>
      <c r="K334" s="13"/>
      <c r="L334" s="1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2.75" customHeight="1">
      <c r="A335" s="20"/>
      <c r="B335" s="48"/>
      <c r="C335" s="25"/>
      <c r="D335" s="66"/>
      <c r="E335" s="13"/>
      <c r="F335" s="19"/>
      <c r="G335" s="13"/>
      <c r="H335" s="13"/>
      <c r="I335" s="13"/>
      <c r="J335" s="13"/>
      <c r="K335" s="13"/>
      <c r="L335" s="1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2.75" customHeight="1">
      <c r="A336" s="20"/>
      <c r="B336" s="48"/>
      <c r="C336" s="25"/>
      <c r="D336" s="66"/>
      <c r="E336" s="13"/>
      <c r="F336" s="19"/>
      <c r="G336" s="13"/>
      <c r="H336" s="13"/>
      <c r="I336" s="13"/>
      <c r="J336" s="13"/>
      <c r="K336" s="13"/>
      <c r="L336" s="1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2.75" customHeight="1">
      <c r="A337" s="20"/>
      <c r="B337" s="48"/>
      <c r="C337" s="25"/>
      <c r="D337" s="66"/>
      <c r="E337" s="13"/>
      <c r="F337" s="19"/>
      <c r="G337" s="13"/>
      <c r="H337" s="13"/>
      <c r="I337" s="13"/>
      <c r="J337" s="13"/>
      <c r="K337" s="13"/>
      <c r="L337" s="1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2.75" customHeight="1">
      <c r="A338" s="20"/>
      <c r="B338" s="48"/>
      <c r="C338" s="25"/>
      <c r="D338" s="66"/>
      <c r="E338" s="13"/>
      <c r="F338" s="19"/>
      <c r="G338" s="13"/>
      <c r="H338" s="13"/>
      <c r="I338" s="13"/>
      <c r="J338" s="13"/>
      <c r="K338" s="13"/>
      <c r="L338" s="1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2.75" customHeight="1">
      <c r="A339" s="20"/>
      <c r="B339" s="48"/>
      <c r="C339" s="25"/>
      <c r="D339" s="66"/>
      <c r="E339" s="13"/>
      <c r="F339" s="19"/>
      <c r="G339" s="13"/>
      <c r="H339" s="13"/>
      <c r="I339" s="13"/>
      <c r="J339" s="13"/>
      <c r="K339" s="13"/>
      <c r="L339" s="1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2.75" customHeight="1">
      <c r="A340" s="20"/>
      <c r="B340" s="48"/>
      <c r="C340" s="25"/>
      <c r="D340" s="66"/>
      <c r="E340" s="13"/>
      <c r="F340" s="19"/>
      <c r="G340" s="13"/>
      <c r="H340" s="13"/>
      <c r="I340" s="13"/>
      <c r="J340" s="13"/>
      <c r="K340" s="13"/>
      <c r="L340" s="1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2.75" customHeight="1">
      <c r="A341" s="20"/>
      <c r="B341" s="48"/>
      <c r="C341" s="25"/>
      <c r="D341" s="66"/>
      <c r="E341" s="13"/>
      <c r="F341" s="19"/>
      <c r="G341" s="13"/>
      <c r="H341" s="13"/>
      <c r="I341" s="13"/>
      <c r="J341" s="13"/>
      <c r="K341" s="13"/>
      <c r="L341" s="1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2.75" customHeight="1">
      <c r="A342" s="20"/>
      <c r="B342" s="48"/>
      <c r="C342" s="25"/>
      <c r="D342" s="66"/>
      <c r="E342" s="13"/>
      <c r="F342" s="19"/>
      <c r="G342" s="13"/>
      <c r="H342" s="13"/>
      <c r="I342" s="13"/>
      <c r="J342" s="13"/>
      <c r="K342" s="13"/>
      <c r="L342" s="1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2.75" customHeight="1">
      <c r="A343" s="20"/>
      <c r="B343" s="48"/>
      <c r="C343" s="25"/>
      <c r="D343" s="66"/>
      <c r="E343" s="13"/>
      <c r="F343" s="19"/>
      <c r="G343" s="13"/>
      <c r="H343" s="13"/>
      <c r="I343" s="13"/>
      <c r="J343" s="13"/>
      <c r="K343" s="13"/>
      <c r="L343" s="1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2.75" customHeight="1">
      <c r="A344" s="20"/>
      <c r="B344" s="48"/>
      <c r="C344" s="25"/>
      <c r="D344" s="66"/>
      <c r="E344" s="13"/>
      <c r="F344" s="19"/>
      <c r="G344" s="13"/>
      <c r="H344" s="13"/>
      <c r="I344" s="13"/>
      <c r="J344" s="13"/>
      <c r="K344" s="13"/>
      <c r="L344" s="1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2.75" customHeight="1">
      <c r="A345" s="20"/>
      <c r="B345" s="48"/>
      <c r="C345" s="25"/>
      <c r="D345" s="66"/>
      <c r="E345" s="13"/>
      <c r="F345" s="19"/>
      <c r="G345" s="13"/>
      <c r="H345" s="13"/>
      <c r="I345" s="13"/>
      <c r="J345" s="13"/>
      <c r="K345" s="13"/>
      <c r="L345" s="1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2.75" customHeight="1">
      <c r="A346" s="20"/>
      <c r="B346" s="48"/>
      <c r="C346" s="25"/>
      <c r="D346" s="66"/>
      <c r="E346" s="13"/>
      <c r="F346" s="19"/>
      <c r="G346" s="13"/>
      <c r="H346" s="13"/>
      <c r="I346" s="13"/>
      <c r="J346" s="13"/>
      <c r="K346" s="13"/>
      <c r="L346" s="1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2.75" customHeight="1">
      <c r="A347" s="20"/>
      <c r="B347" s="48"/>
      <c r="C347" s="25"/>
      <c r="D347" s="66"/>
      <c r="E347" s="13"/>
      <c r="F347" s="19"/>
      <c r="G347" s="13"/>
      <c r="H347" s="13"/>
      <c r="I347" s="13"/>
      <c r="J347" s="13"/>
      <c r="K347" s="13"/>
      <c r="L347" s="1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2.75" customHeight="1">
      <c r="A348" s="20"/>
      <c r="B348" s="48"/>
      <c r="C348" s="25"/>
      <c r="D348" s="66"/>
      <c r="E348" s="13"/>
      <c r="F348" s="19"/>
      <c r="G348" s="13"/>
      <c r="H348" s="13"/>
      <c r="I348" s="13"/>
      <c r="J348" s="13"/>
      <c r="K348" s="13"/>
      <c r="L348" s="1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2.75" customHeight="1">
      <c r="A349" s="20"/>
      <c r="B349" s="48"/>
      <c r="C349" s="25"/>
      <c r="D349" s="66"/>
      <c r="E349" s="13"/>
      <c r="F349" s="19"/>
      <c r="G349" s="13"/>
      <c r="H349" s="13"/>
      <c r="I349" s="13"/>
      <c r="J349" s="13"/>
      <c r="K349" s="13"/>
      <c r="L349" s="1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2.75" customHeight="1">
      <c r="A350" s="20"/>
      <c r="B350" s="48"/>
      <c r="C350" s="25"/>
      <c r="D350" s="66"/>
      <c r="E350" s="13"/>
      <c r="F350" s="19"/>
      <c r="G350" s="13"/>
      <c r="H350" s="13"/>
      <c r="I350" s="13"/>
      <c r="J350" s="13"/>
      <c r="K350" s="13"/>
      <c r="L350" s="1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2.75" customHeight="1">
      <c r="A351" s="20"/>
      <c r="B351" s="48"/>
      <c r="C351" s="25"/>
      <c r="D351" s="66"/>
      <c r="E351" s="13"/>
      <c r="F351" s="19"/>
      <c r="G351" s="13"/>
      <c r="H351" s="13"/>
      <c r="I351" s="13"/>
      <c r="J351" s="13"/>
      <c r="K351" s="13"/>
      <c r="L351" s="1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2.75" customHeight="1">
      <c r="A352" s="20"/>
      <c r="B352" s="48"/>
      <c r="C352" s="25"/>
      <c r="D352" s="66"/>
      <c r="E352" s="13"/>
      <c r="F352" s="19"/>
      <c r="G352" s="13"/>
      <c r="H352" s="13"/>
      <c r="I352" s="13"/>
      <c r="J352" s="13"/>
      <c r="K352" s="13"/>
      <c r="L352" s="1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2.75" customHeight="1">
      <c r="A353" s="20"/>
      <c r="B353" s="48"/>
      <c r="C353" s="25"/>
      <c r="D353" s="66"/>
      <c r="E353" s="13"/>
      <c r="F353" s="19"/>
      <c r="G353" s="13"/>
      <c r="H353" s="13"/>
      <c r="I353" s="13"/>
      <c r="J353" s="13"/>
      <c r="K353" s="13"/>
      <c r="L353" s="1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2.75" customHeight="1">
      <c r="A354" s="20"/>
      <c r="B354" s="48"/>
      <c r="C354" s="25"/>
      <c r="D354" s="66"/>
      <c r="E354" s="13"/>
      <c r="F354" s="19"/>
      <c r="G354" s="13"/>
      <c r="H354" s="13"/>
      <c r="I354" s="13"/>
      <c r="J354" s="13"/>
      <c r="K354" s="13"/>
      <c r="L354" s="1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2.75" customHeight="1">
      <c r="A355" s="20"/>
      <c r="B355" s="48"/>
      <c r="C355" s="25"/>
      <c r="D355" s="66"/>
      <c r="E355" s="13"/>
      <c r="F355" s="19"/>
      <c r="G355" s="13"/>
      <c r="H355" s="13"/>
      <c r="I355" s="13"/>
      <c r="J355" s="13"/>
      <c r="K355" s="13"/>
      <c r="L355" s="1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2.75" customHeight="1">
      <c r="A356" s="20"/>
      <c r="B356" s="48"/>
      <c r="C356" s="25"/>
      <c r="D356" s="66"/>
      <c r="E356" s="13"/>
      <c r="F356" s="19"/>
      <c r="G356" s="13"/>
      <c r="H356" s="13"/>
      <c r="I356" s="13"/>
      <c r="J356" s="13"/>
      <c r="K356" s="13"/>
      <c r="L356" s="1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Q5:AR5"/>
    <mergeCell ref="AQ6:AR6"/>
    <mergeCell ref="AQ16:AR16"/>
    <mergeCell ref="AQ24:AR24"/>
    <mergeCell ref="AJ6:AK6"/>
    <mergeCell ref="AJ19:AK19"/>
    <mergeCell ref="AC20:AD20"/>
    <mergeCell ref="AJ31:AK31"/>
    <mergeCell ref="A37:B37"/>
    <mergeCell ref="AC37:AD37"/>
    <mergeCell ref="B2:F3"/>
    <mergeCell ref="A5:B5"/>
    <mergeCell ref="AC5:AD5"/>
    <mergeCell ref="AJ5:AK5"/>
    <mergeCell ref="A6:B6"/>
    <mergeCell ref="AC6:AD6"/>
    <mergeCell ref="A17:B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9.86"/>
    <col customWidth="1" min="5" max="5" width="10.0"/>
    <col customWidth="1" min="6" max="6" width="0.43"/>
    <col customWidth="1" hidden="1" min="7" max="7" width="7.57"/>
    <col customWidth="1" hidden="1" min="8" max="8" width="8.43"/>
    <col customWidth="1" hidden="1" min="9" max="9" width="9.0"/>
    <col customWidth="1" hidden="1" min="10" max="10" width="0.43"/>
    <col customWidth="1" min="11" max="12" width="9.86"/>
    <col customWidth="1" min="13" max="13" width="10.43"/>
    <col customWidth="1" min="14" max="15" width="9.86"/>
    <col customWidth="1" min="16" max="16" width="0.14"/>
    <col customWidth="1" hidden="1" min="17" max="19" width="8.71"/>
    <col customWidth="1" min="20" max="20" width="4.0"/>
    <col customWidth="1" min="21" max="29" width="8.71"/>
    <col customWidth="1" min="30" max="30" width="7.29"/>
    <col customWidth="1" min="31" max="31" width="8.57"/>
    <col customWidth="1" min="32" max="32" width="10.29"/>
    <col customWidth="1" min="33" max="45" width="8.71"/>
    <col customWidth="1" min="46" max="46" width="17.29"/>
  </cols>
  <sheetData>
    <row r="1" ht="12.75" customHeight="1">
      <c r="A1" s="20" t="s">
        <v>64</v>
      </c>
      <c r="B1" s="7"/>
      <c r="C1" s="7"/>
      <c r="D1" s="7"/>
      <c r="E1" s="7"/>
      <c r="F1" s="7"/>
      <c r="G1" s="7"/>
      <c r="H1" s="7"/>
      <c r="I1" s="7"/>
      <c r="J1" s="7"/>
      <c r="K1" s="7"/>
      <c r="L1" s="4"/>
      <c r="M1" s="73"/>
      <c r="N1" s="73"/>
      <c r="O1" s="73"/>
      <c r="P1" s="4"/>
      <c r="Q1" s="4"/>
      <c r="R1" s="4"/>
      <c r="S1" s="4"/>
      <c r="T1" s="4"/>
      <c r="AD1" s="4"/>
      <c r="AE1" s="4"/>
      <c r="AF1" s="4"/>
    </row>
    <row r="2" ht="12.75" customHeight="1">
      <c r="A2" s="20"/>
      <c r="B2" s="7"/>
      <c r="C2" s="7"/>
      <c r="D2" s="7"/>
      <c r="E2" s="7"/>
      <c r="F2" s="7"/>
      <c r="G2" s="7"/>
      <c r="H2" s="7"/>
      <c r="I2" s="7"/>
      <c r="J2" s="7"/>
      <c r="K2" s="7"/>
      <c r="L2" s="4"/>
      <c r="M2" s="73"/>
      <c r="N2" s="73"/>
      <c r="O2" s="73"/>
      <c r="P2" s="4"/>
      <c r="Q2" s="4"/>
      <c r="R2" s="4"/>
      <c r="S2" s="4"/>
      <c r="T2" s="4"/>
      <c r="AD2" s="4"/>
      <c r="AE2" s="4"/>
      <c r="AF2" s="4"/>
    </row>
    <row r="3" ht="12.75" customHeight="1">
      <c r="A3" s="17"/>
      <c r="B3" s="74" t="s">
        <v>65</v>
      </c>
      <c r="C3" s="2"/>
      <c r="D3" s="2"/>
      <c r="E3" s="2"/>
      <c r="F3" s="2"/>
      <c r="G3" s="2"/>
      <c r="H3" s="2"/>
      <c r="I3" s="2"/>
      <c r="J3" s="2"/>
      <c r="K3" s="3"/>
      <c r="L3" s="4"/>
      <c r="M3" s="75"/>
      <c r="N3" s="75"/>
      <c r="O3" s="75"/>
      <c r="P3" s="4"/>
      <c r="Q3" s="4"/>
      <c r="R3" s="4"/>
      <c r="S3" s="4"/>
      <c r="T3" s="4"/>
      <c r="U3" s="76" t="s">
        <v>66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N3" s="77" t="s">
        <v>67</v>
      </c>
      <c r="AO3" s="77"/>
      <c r="AP3" s="77"/>
      <c r="AQ3" s="77"/>
      <c r="AR3" s="77"/>
      <c r="AS3" s="77"/>
    </row>
    <row r="4" ht="12.75" customHeight="1">
      <c r="A4" s="17"/>
      <c r="B4" s="19"/>
      <c r="C4" s="19"/>
      <c r="D4" s="19"/>
      <c r="E4" s="19"/>
      <c r="F4" s="19"/>
      <c r="G4" s="19"/>
      <c r="H4" s="19"/>
      <c r="I4" s="19"/>
      <c r="J4" s="19"/>
      <c r="K4" s="19"/>
      <c r="L4" s="4"/>
      <c r="M4" s="75"/>
      <c r="N4" s="75"/>
      <c r="O4" s="75"/>
      <c r="P4" s="4"/>
      <c r="Q4" s="4"/>
      <c r="R4" s="4"/>
      <c r="S4" s="4"/>
      <c r="T4" s="4"/>
      <c r="AD4" s="4"/>
      <c r="AE4" s="4"/>
      <c r="AF4" s="4"/>
    </row>
    <row r="5" ht="12.75" customHeight="1">
      <c r="A5" s="17"/>
      <c r="B5" s="19"/>
      <c r="C5" s="19"/>
      <c r="D5" s="19"/>
      <c r="E5" s="19"/>
      <c r="F5" s="19"/>
      <c r="G5" s="19"/>
      <c r="H5" s="19"/>
      <c r="I5" s="19"/>
      <c r="J5" s="19"/>
      <c r="K5" s="19"/>
      <c r="L5" s="4"/>
      <c r="M5" s="75"/>
      <c r="N5" s="75"/>
      <c r="O5" s="75"/>
      <c r="P5" s="4"/>
      <c r="Q5" s="4"/>
      <c r="R5" s="4"/>
      <c r="S5" s="4"/>
      <c r="T5" s="4"/>
      <c r="AD5" s="4"/>
      <c r="AE5" s="4"/>
      <c r="AF5" s="4"/>
    </row>
    <row r="6" ht="12.75" customHeight="1">
      <c r="A6" s="17"/>
      <c r="B6" s="19"/>
      <c r="C6" s="19"/>
      <c r="D6" s="19"/>
      <c r="E6" s="19"/>
      <c r="F6" s="19"/>
      <c r="G6" s="19"/>
      <c r="H6" s="19"/>
      <c r="I6" s="19"/>
      <c r="J6" s="19"/>
      <c r="K6" s="19"/>
      <c r="L6" s="4"/>
      <c r="M6" s="75"/>
      <c r="N6" s="75"/>
      <c r="O6" s="75"/>
      <c r="P6" s="4"/>
      <c r="Q6" s="4"/>
      <c r="R6" s="4"/>
      <c r="S6" s="4"/>
      <c r="T6" s="4"/>
      <c r="AD6" s="4"/>
      <c r="AE6" s="4"/>
      <c r="AF6" s="4"/>
    </row>
    <row r="7" ht="12.75" customHeight="1">
      <c r="A7" s="17"/>
      <c r="B7" s="19"/>
      <c r="C7" s="19"/>
      <c r="D7" s="19"/>
      <c r="E7" s="19"/>
      <c r="F7" s="19"/>
      <c r="G7" s="19"/>
      <c r="H7" s="19"/>
      <c r="I7" s="19"/>
      <c r="J7" s="19"/>
      <c r="K7" s="19"/>
      <c r="L7" s="4"/>
      <c r="M7" s="75"/>
      <c r="N7" s="75"/>
      <c r="O7" s="75"/>
      <c r="P7" s="4"/>
      <c r="Q7" s="4"/>
      <c r="R7" s="4"/>
      <c r="S7" s="4"/>
      <c r="T7" s="4"/>
      <c r="AD7" s="4"/>
      <c r="AE7" s="4"/>
      <c r="AF7" s="4"/>
    </row>
    <row r="8" ht="12.75" customHeight="1">
      <c r="A8" s="17"/>
      <c r="B8" s="19"/>
      <c r="C8" s="19"/>
      <c r="D8" s="19"/>
      <c r="E8" s="19"/>
      <c r="F8" s="19"/>
      <c r="G8" s="19"/>
      <c r="H8" s="19"/>
      <c r="I8" s="19"/>
      <c r="J8" s="19"/>
      <c r="K8" s="19"/>
      <c r="L8" s="4"/>
      <c r="M8" s="75"/>
      <c r="N8" s="75"/>
      <c r="O8" s="75"/>
      <c r="P8" s="4"/>
      <c r="Q8" s="4"/>
      <c r="R8" s="4"/>
      <c r="S8" s="4"/>
      <c r="T8" s="4"/>
      <c r="AD8" s="4"/>
      <c r="AE8" s="4"/>
      <c r="AF8" s="4"/>
    </row>
    <row r="9" ht="12.75" customHeight="1">
      <c r="A9" s="17"/>
      <c r="B9" s="19"/>
      <c r="C9" s="19"/>
      <c r="D9" s="19"/>
      <c r="E9" s="19"/>
      <c r="F9" s="19"/>
      <c r="G9" s="19"/>
      <c r="H9" s="19"/>
      <c r="I9" s="19"/>
      <c r="J9" s="19"/>
      <c r="K9" s="19"/>
      <c r="L9" s="4"/>
      <c r="M9" s="75"/>
      <c r="N9" s="75"/>
      <c r="O9" s="75"/>
      <c r="P9" s="4"/>
      <c r="Q9" s="4"/>
      <c r="R9" s="4"/>
      <c r="S9" s="4"/>
      <c r="T9" s="4"/>
      <c r="AD9" s="4"/>
      <c r="AE9" s="4"/>
      <c r="AF9" s="4"/>
    </row>
    <row r="10" ht="12.75" customHeight="1">
      <c r="A10" s="1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4"/>
      <c r="M10" s="75"/>
      <c r="N10" s="75"/>
      <c r="O10" s="75"/>
      <c r="P10" s="4"/>
      <c r="Q10" s="4"/>
      <c r="R10" s="4"/>
      <c r="S10" s="4"/>
      <c r="T10" s="4"/>
      <c r="AD10" s="4"/>
      <c r="AE10" s="4"/>
      <c r="AF10" s="4"/>
    </row>
    <row r="11" ht="12.75" customHeight="1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4"/>
      <c r="M11" s="75"/>
      <c r="N11" s="75"/>
      <c r="O11" s="75"/>
      <c r="P11" s="4"/>
      <c r="Q11" s="4"/>
      <c r="R11" s="4"/>
      <c r="S11" s="4"/>
      <c r="T11" s="4"/>
      <c r="AD11" s="4"/>
      <c r="AE11" s="4"/>
      <c r="AF11" s="4"/>
    </row>
    <row r="12" ht="12.75" customHeight="1">
      <c r="A12" s="1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4"/>
      <c r="M12" s="75"/>
      <c r="N12" s="75"/>
      <c r="O12" s="75"/>
      <c r="P12" s="4"/>
      <c r="Q12" s="4"/>
      <c r="R12" s="4"/>
      <c r="S12" s="4"/>
      <c r="T12" s="4"/>
      <c r="AD12" s="4"/>
      <c r="AE12" s="4"/>
      <c r="AF12" s="4"/>
    </row>
    <row r="13" ht="12.75" customHeight="1">
      <c r="A13" s="17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4"/>
      <c r="M13" s="75"/>
      <c r="N13" s="75"/>
      <c r="O13" s="75"/>
      <c r="P13" s="4"/>
      <c r="Q13" s="4"/>
      <c r="R13" s="4"/>
      <c r="S13" s="4"/>
      <c r="T13" s="4"/>
      <c r="AD13" s="4"/>
      <c r="AE13" s="4"/>
      <c r="AF13" s="4"/>
    </row>
    <row r="14" ht="12.75" customHeight="1">
      <c r="A14" s="17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4"/>
      <c r="M14" s="75"/>
      <c r="N14" s="75"/>
      <c r="O14" s="75"/>
      <c r="P14" s="4"/>
      <c r="Q14" s="4"/>
      <c r="R14" s="4"/>
      <c r="S14" s="4"/>
      <c r="T14" s="4"/>
      <c r="AD14" s="4"/>
      <c r="AE14" s="4"/>
      <c r="AF14" s="4"/>
    </row>
    <row r="15" ht="12.75" customHeight="1">
      <c r="A15" s="17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4"/>
      <c r="M15" s="75"/>
      <c r="N15" s="75"/>
      <c r="O15" s="75"/>
      <c r="P15" s="4"/>
      <c r="Q15" s="4"/>
      <c r="R15" s="4"/>
      <c r="S15" s="4"/>
      <c r="T15" s="4"/>
      <c r="AD15" s="4"/>
      <c r="AE15" s="4"/>
      <c r="AF15" s="4"/>
    </row>
    <row r="16" ht="12.75" customHeight="1">
      <c r="A16" s="17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4"/>
      <c r="M16" s="75"/>
      <c r="N16" s="75"/>
      <c r="O16" s="75"/>
      <c r="P16" s="4"/>
      <c r="Q16" s="4"/>
      <c r="R16" s="4"/>
      <c r="S16" s="4"/>
      <c r="T16" s="4"/>
      <c r="AD16" s="4"/>
      <c r="AE16" s="4"/>
      <c r="AF16" s="4"/>
    </row>
    <row r="17" ht="12.75" customHeight="1">
      <c r="A17" s="17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4"/>
      <c r="M17" s="75"/>
      <c r="N17" s="75"/>
      <c r="O17" s="75"/>
      <c r="P17" s="4"/>
      <c r="Q17" s="4"/>
      <c r="R17" s="4"/>
      <c r="S17" s="4"/>
      <c r="T17" s="4"/>
      <c r="AD17" s="4"/>
      <c r="AE17" s="4"/>
      <c r="AF17" s="4"/>
    </row>
    <row r="18" ht="12.75" customHeight="1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4"/>
      <c r="M18" s="75"/>
      <c r="N18" s="75"/>
      <c r="O18" s="75"/>
      <c r="P18" s="4"/>
      <c r="Q18" s="4"/>
      <c r="R18" s="4"/>
      <c r="S18" s="4"/>
      <c r="T18" s="4"/>
      <c r="AD18" s="4"/>
      <c r="AE18" s="4"/>
      <c r="AF18" s="4"/>
    </row>
    <row r="19" ht="12.75" customHeight="1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4"/>
      <c r="M19" s="75"/>
      <c r="N19" s="75"/>
      <c r="O19" s="75"/>
      <c r="P19" s="4"/>
      <c r="Q19" s="4"/>
      <c r="R19" s="4"/>
      <c r="S19" s="4"/>
      <c r="T19" s="4"/>
      <c r="AD19" s="4"/>
      <c r="AE19" s="4"/>
      <c r="AF19" s="4"/>
    </row>
    <row r="20" ht="12.75" customHeight="1">
      <c r="A20" s="1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4"/>
      <c r="M20" s="75"/>
      <c r="N20" s="75"/>
      <c r="O20" s="75"/>
      <c r="P20" s="4"/>
      <c r="Q20" s="4"/>
      <c r="R20" s="4"/>
      <c r="S20" s="4"/>
      <c r="T20" s="4"/>
      <c r="AD20" s="4"/>
      <c r="AE20" s="4"/>
      <c r="AF20" s="4"/>
    </row>
    <row r="21" ht="12.75" customHeight="1">
      <c r="A21" s="17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4"/>
      <c r="M21" s="75"/>
      <c r="N21" s="75"/>
      <c r="O21" s="75"/>
      <c r="P21" s="4"/>
      <c r="Q21" s="4"/>
      <c r="R21" s="4"/>
      <c r="S21" s="4"/>
      <c r="T21" s="4"/>
      <c r="AD21" s="4"/>
      <c r="AE21" s="4"/>
      <c r="AF21" s="4"/>
    </row>
    <row r="22" ht="12.75" customHeight="1">
      <c r="A22" s="1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4"/>
      <c r="M22" s="75"/>
      <c r="N22" s="75"/>
      <c r="O22" s="75"/>
      <c r="P22" s="4"/>
      <c r="Q22" s="4"/>
      <c r="R22" s="4"/>
      <c r="S22" s="4"/>
      <c r="T22" s="4"/>
      <c r="AD22" s="4"/>
      <c r="AE22" s="4"/>
      <c r="AF22" s="4"/>
    </row>
    <row r="23" ht="12.75" customHeight="1">
      <c r="A23" s="1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4"/>
      <c r="M23" s="75"/>
      <c r="N23" s="75"/>
      <c r="O23" s="75"/>
      <c r="P23" s="4"/>
      <c r="Q23" s="4"/>
      <c r="R23" s="4"/>
      <c r="S23" s="4"/>
      <c r="T23" s="4"/>
      <c r="AD23" s="4"/>
      <c r="AE23" s="4"/>
      <c r="AF23" s="4"/>
    </row>
    <row r="24" ht="12.75" customHeight="1">
      <c r="A24" s="1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4"/>
      <c r="M24" s="75"/>
      <c r="N24" s="75"/>
      <c r="O24" s="75"/>
      <c r="P24" s="4"/>
      <c r="Q24" s="4"/>
      <c r="R24" s="4"/>
      <c r="S24" s="4"/>
      <c r="T24" s="4"/>
      <c r="AD24" s="4"/>
      <c r="AE24" s="4"/>
      <c r="AF24" s="4"/>
    </row>
    <row r="25" ht="12.75" customHeigh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4"/>
      <c r="M25" s="73"/>
      <c r="N25" s="73"/>
      <c r="O25" s="73"/>
      <c r="P25" s="4"/>
      <c r="Q25" s="4"/>
      <c r="R25" s="4"/>
      <c r="S25" s="4"/>
      <c r="T25" s="4"/>
      <c r="U25" s="20" t="s">
        <v>68</v>
      </c>
      <c r="V25" s="20"/>
      <c r="W25" s="20"/>
      <c r="X25" s="20"/>
      <c r="Y25" s="20"/>
      <c r="Z25" s="20"/>
      <c r="AA25" s="20" t="s">
        <v>69</v>
      </c>
      <c r="AB25" s="20"/>
      <c r="AC25" s="20"/>
      <c r="AD25" s="20"/>
      <c r="AE25" s="20"/>
      <c r="AF25" s="20"/>
      <c r="AG25" s="20" t="s">
        <v>70</v>
      </c>
      <c r="AH25" s="20"/>
      <c r="AI25" s="20"/>
      <c r="AJ25" s="20"/>
      <c r="AK25" s="20"/>
    </row>
    <row r="26" ht="12.75" customHeight="1">
      <c r="A26" s="17" t="s">
        <v>71</v>
      </c>
      <c r="B26" s="18" t="s">
        <v>68</v>
      </c>
      <c r="C26" s="18" t="s">
        <v>69</v>
      </c>
      <c r="D26" s="18" t="s">
        <v>72</v>
      </c>
      <c r="E26" s="18" t="s">
        <v>73</v>
      </c>
      <c r="F26" s="18"/>
      <c r="G26" s="18" t="s">
        <v>68</v>
      </c>
      <c r="H26" s="18" t="s">
        <v>69</v>
      </c>
      <c r="I26" s="18" t="s">
        <v>72</v>
      </c>
      <c r="J26" s="18"/>
      <c r="K26" s="18" t="s">
        <v>74</v>
      </c>
      <c r="L26" s="4"/>
      <c r="M26" s="18" t="s">
        <v>68</v>
      </c>
      <c r="N26" s="18" t="s">
        <v>69</v>
      </c>
      <c r="O26" s="18" t="s">
        <v>72</v>
      </c>
      <c r="P26" s="4"/>
      <c r="Q26" s="4"/>
      <c r="R26" s="4"/>
      <c r="S26" s="4"/>
      <c r="T26" s="4"/>
      <c r="U26" s="20" t="s">
        <v>24</v>
      </c>
      <c r="V26" s="17" t="s">
        <v>75</v>
      </c>
      <c r="W26" s="17" t="s">
        <v>76</v>
      </c>
      <c r="X26" s="17" t="s">
        <v>77</v>
      </c>
      <c r="Y26" s="17" t="s">
        <v>78</v>
      </c>
      <c r="Z26" s="17" t="s">
        <v>79</v>
      </c>
      <c r="AA26" s="20" t="s">
        <v>24</v>
      </c>
      <c r="AB26" s="17" t="s">
        <v>75</v>
      </c>
      <c r="AC26" s="17" t="s">
        <v>76</v>
      </c>
      <c r="AD26" s="17" t="s">
        <v>77</v>
      </c>
      <c r="AE26" s="17" t="s">
        <v>78</v>
      </c>
      <c r="AF26" s="17" t="s">
        <v>79</v>
      </c>
      <c r="AG26" s="20" t="s">
        <v>24</v>
      </c>
      <c r="AH26" s="17" t="s">
        <v>75</v>
      </c>
      <c r="AI26" s="17" t="s">
        <v>76</v>
      </c>
      <c r="AJ26" s="17" t="s">
        <v>77</v>
      </c>
      <c r="AK26" s="17" t="s">
        <v>78</v>
      </c>
      <c r="AL26" s="17" t="s">
        <v>79</v>
      </c>
      <c r="AN26" s="20" t="s">
        <v>80</v>
      </c>
      <c r="AO26" s="17" t="s">
        <v>75</v>
      </c>
      <c r="AP26" s="17" t="s">
        <v>76</v>
      </c>
      <c r="AQ26" s="17" t="s">
        <v>77</v>
      </c>
      <c r="AR26" s="17" t="s">
        <v>78</v>
      </c>
      <c r="AS26" s="17" t="s">
        <v>79</v>
      </c>
    </row>
    <row r="27" ht="12.75" customHeight="1">
      <c r="A27" s="17">
        <v>1.0</v>
      </c>
      <c r="B27" s="19">
        <f>'#37'!G54</f>
        <v>74</v>
      </c>
      <c r="C27" s="19">
        <f>'#37'!I54</f>
        <v>142</v>
      </c>
      <c r="D27" s="19">
        <f>'#37'!K54</f>
        <v>70</v>
      </c>
      <c r="E27" s="19">
        <f t="shared" ref="E27:E31" si="2">SUM(B27:D27)</f>
        <v>286</v>
      </c>
      <c r="F27" s="19"/>
      <c r="G27" s="19">
        <f>'#37'!H54</f>
        <v>4875</v>
      </c>
      <c r="H27" s="19">
        <f>'#37'!J54</f>
        <v>8795</v>
      </c>
      <c r="I27" s="19">
        <f>'#37'!L54</f>
        <v>4680</v>
      </c>
      <c r="J27" s="19">
        <f t="shared" ref="J27:J30" si="3">SUM(G27:I27)</f>
        <v>18350</v>
      </c>
      <c r="K27" s="19">
        <f t="shared" ref="K27:K30" si="4">J27/E27</f>
        <v>64.16083916</v>
      </c>
      <c r="L27" s="4"/>
      <c r="M27" s="75">
        <f>G27/B27/Max!B3</f>
        <v>0.6587837838</v>
      </c>
      <c r="N27" s="75">
        <f>H27/C27/Max!B$4</f>
        <v>0.6193661972</v>
      </c>
      <c r="O27" s="75">
        <f>I27/D27/Max!B$5</f>
        <v>0.6685714286</v>
      </c>
      <c r="P27" s="4"/>
      <c r="Q27" s="4"/>
      <c r="R27" s="4"/>
      <c r="S27" s="4"/>
      <c r="T27" s="4"/>
      <c r="U27" s="20" t="s">
        <v>28</v>
      </c>
      <c r="V27" s="19">
        <f>'#37'!$M$54</f>
        <v>10</v>
      </c>
      <c r="W27" s="19">
        <f>'#37'!$M$107</f>
        <v>15</v>
      </c>
      <c r="X27" s="19">
        <f>'#37'!$M$163</f>
        <v>15</v>
      </c>
      <c r="Y27" s="19">
        <f>'#37'!$M$213</f>
        <v>15</v>
      </c>
      <c r="Z27" s="19">
        <f>'#37'!$M$216</f>
        <v>55</v>
      </c>
      <c r="AA27" s="20" t="s">
        <v>28</v>
      </c>
      <c r="AB27" s="19">
        <f>'#37'!$R$54</f>
        <v>42</v>
      </c>
      <c r="AC27" s="19">
        <f>'#37'!$R$107</f>
        <v>23</v>
      </c>
      <c r="AD27" s="19">
        <f>'#37'!$R$163</f>
        <v>37</v>
      </c>
      <c r="AE27" s="19">
        <f>'#37'!$R$213</f>
        <v>20</v>
      </c>
      <c r="AF27" s="19">
        <f>'#37'!$R$216</f>
        <v>122</v>
      </c>
      <c r="AG27" s="20" t="s">
        <v>28</v>
      </c>
      <c r="AH27" s="19">
        <f>'#37'!$W$54</f>
        <v>10</v>
      </c>
      <c r="AI27" s="19">
        <f>'#37'!$W$107</f>
        <v>8</v>
      </c>
      <c r="AJ27" s="19">
        <f>'#37'!$W$163</f>
        <v>4</v>
      </c>
      <c r="AK27" s="19">
        <f>'#37'!$W$213</f>
        <v>4</v>
      </c>
      <c r="AL27" s="19">
        <f>'#37'!$W$216</f>
        <v>26</v>
      </c>
      <c r="AN27" s="4" t="s">
        <v>68</v>
      </c>
      <c r="AO27" s="78">
        <f t="shared" ref="AO27:AS27" si="1">V32/(V32+AB32+AH32)</f>
        <v>0.2587412587</v>
      </c>
      <c r="AP27" s="78">
        <f t="shared" si="1"/>
        <v>0.3536121673</v>
      </c>
      <c r="AQ27" s="78">
        <f t="shared" si="1"/>
        <v>0.3263473054</v>
      </c>
      <c r="AR27" s="78">
        <f t="shared" si="1"/>
        <v>0.3656387665</v>
      </c>
      <c r="AS27" s="78">
        <f t="shared" si="1"/>
        <v>0.3234234234</v>
      </c>
    </row>
    <row r="28" ht="12.75" customHeight="1">
      <c r="A28" s="17">
        <v>2.0</v>
      </c>
      <c r="B28" s="19">
        <f>'#37'!G107</f>
        <v>93</v>
      </c>
      <c r="C28" s="19">
        <f>'#37'!I107</f>
        <v>113</v>
      </c>
      <c r="D28" s="19">
        <f>'#37'!K107</f>
        <v>57</v>
      </c>
      <c r="E28" s="19">
        <f t="shared" si="2"/>
        <v>263</v>
      </c>
      <c r="F28" s="19"/>
      <c r="G28" s="19">
        <f>'#37'!H107</f>
        <v>6380</v>
      </c>
      <c r="H28" s="19">
        <f>'#37'!J107</f>
        <v>7410</v>
      </c>
      <c r="I28" s="19">
        <f>'#37'!L107</f>
        <v>3785</v>
      </c>
      <c r="J28" s="19">
        <f t="shared" si="3"/>
        <v>17575</v>
      </c>
      <c r="K28" s="19">
        <f t="shared" si="4"/>
        <v>66.82509506</v>
      </c>
      <c r="L28" s="4"/>
      <c r="M28" s="75">
        <f>G28/B28/Max!B3</f>
        <v>0.6860215054</v>
      </c>
      <c r="N28" s="75">
        <f>H28/C28/Max!B$4</f>
        <v>0.6557522124</v>
      </c>
      <c r="O28" s="75">
        <f>I28/D28/Max!B$5</f>
        <v>0.6640350877</v>
      </c>
      <c r="P28" s="4"/>
      <c r="Q28" s="4"/>
      <c r="R28" s="4"/>
      <c r="S28" s="4"/>
      <c r="T28" s="4"/>
      <c r="U28" s="20" t="s">
        <v>29</v>
      </c>
      <c r="V28" s="19">
        <f>'#37'!$N$54</f>
        <v>18</v>
      </c>
      <c r="W28" s="19">
        <f>'#37'!$N$107</f>
        <v>18</v>
      </c>
      <c r="X28" s="19">
        <f>'#37'!$N$163</f>
        <v>18</v>
      </c>
      <c r="Y28" s="19">
        <f>'#37'!$N$213</f>
        <v>12</v>
      </c>
      <c r="Z28" s="19">
        <f>'#37'!$N$216</f>
        <v>66</v>
      </c>
      <c r="AA28" s="20" t="s">
        <v>29</v>
      </c>
      <c r="AB28" s="19">
        <f>'#37'!$S$54</f>
        <v>39</v>
      </c>
      <c r="AC28" s="19">
        <f>'#37'!$S$107</f>
        <v>25</v>
      </c>
      <c r="AD28" s="19">
        <f>'#37'!$S$163</f>
        <v>60</v>
      </c>
      <c r="AE28" s="19">
        <f>'#37'!$S$213</f>
        <v>18</v>
      </c>
      <c r="AF28" s="19">
        <f>'#37'!$S$216</f>
        <v>142</v>
      </c>
      <c r="AG28" s="20" t="s">
        <v>29</v>
      </c>
      <c r="AH28" s="19">
        <f>'#37'!$X$54</f>
        <v>20</v>
      </c>
      <c r="AI28" s="19">
        <f>'#37'!$X$107</f>
        <v>12</v>
      </c>
      <c r="AJ28" s="19">
        <f>'#37'!$X$163</f>
        <v>9</v>
      </c>
      <c r="AK28" s="19">
        <f>'#37'!$X$213</f>
        <v>4</v>
      </c>
      <c r="AL28" s="19">
        <f>'#37'!$X$216</f>
        <v>45</v>
      </c>
      <c r="AN28" s="4" t="s">
        <v>69</v>
      </c>
      <c r="AO28" s="78">
        <f t="shared" ref="AO28:AS28" si="5">AB32/(V32+AB32+AH32)</f>
        <v>0.4965034965</v>
      </c>
      <c r="AP28" s="78">
        <f t="shared" si="5"/>
        <v>0.4296577947</v>
      </c>
      <c r="AQ28" s="78">
        <f t="shared" si="5"/>
        <v>0.4850299401</v>
      </c>
      <c r="AR28" s="78">
        <f t="shared" si="5"/>
        <v>0.5198237885</v>
      </c>
      <c r="AS28" s="78">
        <f t="shared" si="5"/>
        <v>0.481981982</v>
      </c>
    </row>
    <row r="29" ht="12.75" customHeight="1">
      <c r="A29" s="17">
        <v>3.0</v>
      </c>
      <c r="B29" s="19">
        <f>'#37'!G163</f>
        <v>109</v>
      </c>
      <c r="C29" s="19">
        <f>'#37'!I163</f>
        <v>162</v>
      </c>
      <c r="D29" s="19">
        <f>'#37'!K163</f>
        <v>63</v>
      </c>
      <c r="E29" s="19">
        <f t="shared" si="2"/>
        <v>334</v>
      </c>
      <c r="F29" s="19"/>
      <c r="G29" s="19">
        <f>'#37'!H163</f>
        <v>7400</v>
      </c>
      <c r="H29" s="19">
        <f>'#37'!J163</f>
        <v>10530</v>
      </c>
      <c r="I29" s="19">
        <f>'#37'!L163</f>
        <v>4480</v>
      </c>
      <c r="J29" s="19">
        <f t="shared" si="3"/>
        <v>22410</v>
      </c>
      <c r="K29" s="19">
        <f t="shared" si="4"/>
        <v>67.09580838</v>
      </c>
      <c r="L29" s="4"/>
      <c r="M29" s="75">
        <f>G29/B29/Max!B3</f>
        <v>0.6788990826</v>
      </c>
      <c r="N29" s="75">
        <f>H29/C29/Max!B$4</f>
        <v>0.65</v>
      </c>
      <c r="O29" s="75">
        <f>I29/D29/Max!B$5</f>
        <v>0.7111111111</v>
      </c>
      <c r="P29" s="4"/>
      <c r="Q29" s="4"/>
      <c r="R29" s="4"/>
      <c r="S29" s="4"/>
      <c r="T29" s="4"/>
      <c r="U29" s="20" t="s">
        <v>30</v>
      </c>
      <c r="V29" s="19">
        <f>'#37'!$O$54</f>
        <v>46</v>
      </c>
      <c r="W29" s="19">
        <f>'#37'!$O$107</f>
        <v>50</v>
      </c>
      <c r="X29" s="19">
        <f>'#37'!$O$163</f>
        <v>61</v>
      </c>
      <c r="Y29" s="19">
        <f>'#37'!$O$213</f>
        <v>18</v>
      </c>
      <c r="Z29" s="19">
        <f>'#37'!$O$216</f>
        <v>175</v>
      </c>
      <c r="AA29" s="20" t="s">
        <v>30</v>
      </c>
      <c r="AB29" s="19">
        <f>'#37'!$T$54</f>
        <v>61</v>
      </c>
      <c r="AC29" s="19">
        <f>'#37'!$T$107</f>
        <v>49</v>
      </c>
      <c r="AD29" s="19">
        <f>'#37'!$T$163</f>
        <v>36</v>
      </c>
      <c r="AE29" s="19">
        <f>'#37'!$T$213</f>
        <v>53</v>
      </c>
      <c r="AF29" s="19">
        <f>'#37'!$T$216</f>
        <v>199</v>
      </c>
      <c r="AG29" s="20" t="s">
        <v>30</v>
      </c>
      <c r="AH29" s="19">
        <f>'#37'!$Y$54</f>
        <v>28</v>
      </c>
      <c r="AI29" s="19">
        <f>'#37'!$Y$107</f>
        <v>37</v>
      </c>
      <c r="AJ29" s="19">
        <f>'#37'!$Y$163</f>
        <v>34</v>
      </c>
      <c r="AK29" s="19">
        <f>'#37'!$Y$213</f>
        <v>6</v>
      </c>
      <c r="AL29" s="19">
        <f>'#37'!$Y$216</f>
        <v>105</v>
      </c>
      <c r="AN29" s="4" t="s">
        <v>70</v>
      </c>
      <c r="AO29" s="78">
        <f t="shared" ref="AO29:AS29" si="6">AH32/(AH32+AB32+V32)</f>
        <v>0.2447552448</v>
      </c>
      <c r="AP29" s="78">
        <f t="shared" si="6"/>
        <v>0.216730038</v>
      </c>
      <c r="AQ29" s="78">
        <f t="shared" si="6"/>
        <v>0.1886227545</v>
      </c>
      <c r="AR29" s="78">
        <f t="shared" si="6"/>
        <v>0.1145374449</v>
      </c>
      <c r="AS29" s="78">
        <f t="shared" si="6"/>
        <v>0.1945945946</v>
      </c>
    </row>
    <row r="30" ht="12.75" customHeight="1">
      <c r="A30" s="17">
        <v>4.0</v>
      </c>
      <c r="B30" s="19">
        <f>'#37'!G213</f>
        <v>83</v>
      </c>
      <c r="C30" s="19">
        <f>'#37'!I213</f>
        <v>118</v>
      </c>
      <c r="D30" s="19">
        <f>'#37'!K213</f>
        <v>26</v>
      </c>
      <c r="E30" s="19">
        <f t="shared" si="2"/>
        <v>227</v>
      </c>
      <c r="F30" s="19"/>
      <c r="G30" s="19">
        <f>'#37'!H213</f>
        <v>5800</v>
      </c>
      <c r="H30" s="19">
        <f>'#37'!J213</f>
        <v>8110</v>
      </c>
      <c r="I30" s="19">
        <f>'#37'!L213</f>
        <v>1850</v>
      </c>
      <c r="J30" s="19">
        <f t="shared" si="3"/>
        <v>15760</v>
      </c>
      <c r="K30" s="19">
        <f t="shared" si="4"/>
        <v>69.42731278</v>
      </c>
      <c r="L30" s="4"/>
      <c r="M30" s="75">
        <f>G30/B30/Max!B3</f>
        <v>0.6987951807</v>
      </c>
      <c r="N30" s="75">
        <f>H30/C30/Max!B$4</f>
        <v>0.6872881356</v>
      </c>
      <c r="O30" s="75">
        <f>I30/D30/Max!B$5</f>
        <v>0.7115384615</v>
      </c>
      <c r="P30" s="19">
        <f>J31/E31</f>
        <v>66.75225225</v>
      </c>
      <c r="Q30" s="4"/>
      <c r="R30" s="4"/>
      <c r="S30" s="4"/>
      <c r="T30" s="4"/>
      <c r="U30" s="20" t="s">
        <v>31</v>
      </c>
      <c r="V30" s="19">
        <f>'#37'!$P$54</f>
        <v>0</v>
      </c>
      <c r="W30" s="19">
        <f>'#37'!$P$107</f>
        <v>10</v>
      </c>
      <c r="X30" s="19">
        <f>'#37'!$P$163</f>
        <v>15</v>
      </c>
      <c r="Y30" s="19">
        <f>'#37'!$P$213</f>
        <v>38</v>
      </c>
      <c r="Z30" s="19">
        <f>'#37'!$P$216</f>
        <v>63</v>
      </c>
      <c r="AA30" s="20" t="s">
        <v>31</v>
      </c>
      <c r="AB30" s="19">
        <f>'#37'!$U$54</f>
        <v>0</v>
      </c>
      <c r="AC30" s="19">
        <f>'#37'!$U$107</f>
        <v>16</v>
      </c>
      <c r="AD30" s="19">
        <f>'#37'!$U$163</f>
        <v>29</v>
      </c>
      <c r="AE30" s="19">
        <f>'#37'!$U$213</f>
        <v>27</v>
      </c>
      <c r="AF30" s="19">
        <f>'#37'!$U$216</f>
        <v>72</v>
      </c>
      <c r="AG30" s="20" t="s">
        <v>31</v>
      </c>
      <c r="AH30" s="19">
        <f>'#37'!$Z$54</f>
        <v>12</v>
      </c>
      <c r="AI30" s="19">
        <f>'#37'!$Z$107</f>
        <v>0</v>
      </c>
      <c r="AJ30" s="19">
        <f>'#37'!$Z$163</f>
        <v>16</v>
      </c>
      <c r="AK30" s="19">
        <f>'#37'!$Z$213</f>
        <v>12</v>
      </c>
      <c r="AL30" s="19">
        <f>'#37'!$Z$216</f>
        <v>40</v>
      </c>
    </row>
    <row r="31" ht="12.75" customHeight="1">
      <c r="A31" s="17" t="s">
        <v>81</v>
      </c>
      <c r="B31" s="19">
        <f>'#37'!G216</f>
        <v>359</v>
      </c>
      <c r="C31" s="19">
        <f>'#37'!I216</f>
        <v>535</v>
      </c>
      <c r="D31" s="19">
        <f>'#37'!K216</f>
        <v>216</v>
      </c>
      <c r="E31" s="19">
        <f t="shared" si="2"/>
        <v>1110</v>
      </c>
      <c r="F31" s="19"/>
      <c r="G31" s="19">
        <f t="shared" ref="G31:J31" si="7">SUM(G26:G30)</f>
        <v>24455</v>
      </c>
      <c r="H31" s="19">
        <f t="shared" si="7"/>
        <v>34845</v>
      </c>
      <c r="I31" s="19">
        <f t="shared" si="7"/>
        <v>14795</v>
      </c>
      <c r="J31" s="19">
        <f t="shared" si="7"/>
        <v>74095</v>
      </c>
      <c r="L31" s="4"/>
      <c r="M31" s="75">
        <f>G31/B31/Max!B3</f>
        <v>0.6811977716</v>
      </c>
      <c r="N31" s="75">
        <f>H31/C31/Max!B$4</f>
        <v>0.6513084112</v>
      </c>
      <c r="O31" s="75">
        <f>I31/D31/Max!B$5</f>
        <v>0.6849537037</v>
      </c>
      <c r="P31" s="19"/>
      <c r="Q31" s="4"/>
      <c r="R31" s="4"/>
      <c r="S31" s="4"/>
      <c r="T31" s="4"/>
      <c r="U31" s="20" t="s">
        <v>32</v>
      </c>
      <c r="V31" s="19">
        <f>'#37'!$Q$54</f>
        <v>0</v>
      </c>
      <c r="W31" s="19">
        <f>'#37'!$Q$107</f>
        <v>0</v>
      </c>
      <c r="X31" s="19">
        <f>'#37'!$Q$163</f>
        <v>0</v>
      </c>
      <c r="Y31" s="19">
        <f>'#37'!$Q$213</f>
        <v>0</v>
      </c>
      <c r="Z31" s="19">
        <f>'#37'!$Q$216</f>
        <v>0</v>
      </c>
      <c r="AA31" s="20" t="s">
        <v>32</v>
      </c>
      <c r="AB31" s="19">
        <f>'#37'!$V$54</f>
        <v>0</v>
      </c>
      <c r="AC31" s="19">
        <f>'#37'!$V$107</f>
        <v>0</v>
      </c>
      <c r="AD31" s="19">
        <f>'#37'!$V$163</f>
        <v>0</v>
      </c>
      <c r="AE31" s="19">
        <f>'#37'!$V$213</f>
        <v>0</v>
      </c>
      <c r="AF31" s="19">
        <f>'#37'!$V$216</f>
        <v>0</v>
      </c>
      <c r="AG31" s="20" t="s">
        <v>32</v>
      </c>
      <c r="AH31" s="19">
        <f>'#37'!$AA$54</f>
        <v>0</v>
      </c>
      <c r="AI31" s="19">
        <f>'#37'!$AA$107</f>
        <v>0</v>
      </c>
      <c r="AJ31" s="19">
        <f>'#37'!$AA$163</f>
        <v>0</v>
      </c>
      <c r="AK31" s="19">
        <f>'#37'!$AA$213</f>
        <v>0</v>
      </c>
      <c r="AL31" s="19">
        <f>'#37'!$AA$216</f>
        <v>0</v>
      </c>
    </row>
    <row r="32" ht="12.75" customHeight="1">
      <c r="A32" s="17"/>
      <c r="B32" s="19"/>
      <c r="C32" s="19"/>
      <c r="D32" s="19"/>
      <c r="E32" s="19"/>
      <c r="F32" s="19"/>
      <c r="G32" s="19"/>
      <c r="H32" s="19"/>
      <c r="I32" s="19"/>
      <c r="J32" s="19"/>
      <c r="L32" s="4"/>
      <c r="M32" s="75"/>
      <c r="N32" s="75"/>
      <c r="O32" s="75"/>
      <c r="P32" s="4"/>
      <c r="Q32" s="4"/>
      <c r="R32" s="4"/>
      <c r="S32" s="4"/>
      <c r="T32" s="4"/>
      <c r="U32" s="20" t="s">
        <v>73</v>
      </c>
      <c r="V32" s="19">
        <f t="shared" ref="V32:Z32" si="8">SUM(V27:V31)</f>
        <v>74</v>
      </c>
      <c r="W32" s="19">
        <f t="shared" si="8"/>
        <v>93</v>
      </c>
      <c r="X32" s="19">
        <f t="shared" si="8"/>
        <v>109</v>
      </c>
      <c r="Y32" s="19">
        <f t="shared" si="8"/>
        <v>83</v>
      </c>
      <c r="Z32" s="19">
        <f t="shared" si="8"/>
        <v>359</v>
      </c>
      <c r="AA32" s="20" t="s">
        <v>73</v>
      </c>
      <c r="AB32" s="19">
        <f t="shared" ref="AB32:AF32" si="9">SUM(AB27:AB31)</f>
        <v>142</v>
      </c>
      <c r="AC32" s="19">
        <f t="shared" si="9"/>
        <v>113</v>
      </c>
      <c r="AD32" s="19">
        <f t="shared" si="9"/>
        <v>162</v>
      </c>
      <c r="AE32" s="19">
        <f t="shared" si="9"/>
        <v>118</v>
      </c>
      <c r="AF32" s="19">
        <f t="shared" si="9"/>
        <v>535</v>
      </c>
      <c r="AG32" s="20" t="s">
        <v>73</v>
      </c>
      <c r="AH32" s="19">
        <f t="shared" ref="AH32:AL32" si="10">SUM(AH27:AH31)</f>
        <v>70</v>
      </c>
      <c r="AI32" s="19">
        <f t="shared" si="10"/>
        <v>57</v>
      </c>
      <c r="AJ32" s="19">
        <f t="shared" si="10"/>
        <v>63</v>
      </c>
      <c r="AK32" s="19">
        <f t="shared" si="10"/>
        <v>26</v>
      </c>
      <c r="AL32" s="19">
        <f t="shared" si="10"/>
        <v>216</v>
      </c>
    </row>
    <row r="33" ht="12.75" customHeight="1">
      <c r="A33" s="17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4"/>
      <c r="M33" s="75"/>
      <c r="N33" s="75"/>
      <c r="O33" s="75"/>
      <c r="P33" s="4"/>
      <c r="Q33" s="4"/>
      <c r="R33" s="4"/>
      <c r="S33" s="4"/>
      <c r="T33" s="4"/>
      <c r="U33" s="20" t="s">
        <v>82</v>
      </c>
      <c r="V33" s="75">
        <f>M27</f>
        <v>0.6587837838</v>
      </c>
      <c r="W33" s="75">
        <f>M28</f>
        <v>0.6860215054</v>
      </c>
      <c r="X33" s="75">
        <f>M29</f>
        <v>0.6788990826</v>
      </c>
      <c r="Y33" s="75">
        <f>M30</f>
        <v>0.6987951807</v>
      </c>
      <c r="Z33" s="75">
        <f>M31</f>
        <v>0.6811977716</v>
      </c>
      <c r="AA33" s="20" t="s">
        <v>82</v>
      </c>
      <c r="AB33" s="75">
        <f>N27</f>
        <v>0.6193661972</v>
      </c>
      <c r="AC33" s="75">
        <f>N28</f>
        <v>0.6557522124</v>
      </c>
      <c r="AD33" s="75">
        <f>N29</f>
        <v>0.65</v>
      </c>
      <c r="AE33" s="75">
        <f>N30</f>
        <v>0.6872881356</v>
      </c>
      <c r="AF33" s="75">
        <f>N31</f>
        <v>0.6513084112</v>
      </c>
      <c r="AG33" s="20" t="s">
        <v>82</v>
      </c>
      <c r="AH33" s="75">
        <f>O27</f>
        <v>0.6685714286</v>
      </c>
      <c r="AI33" s="75">
        <f>O28</f>
        <v>0.6640350877</v>
      </c>
      <c r="AJ33" s="75">
        <f>O29</f>
        <v>0.7111111111</v>
      </c>
      <c r="AK33" s="75">
        <f>O30</f>
        <v>0.7115384615</v>
      </c>
      <c r="AL33" s="75">
        <f>O31</f>
        <v>0.6849537037</v>
      </c>
    </row>
    <row r="34" ht="12.75" customHeight="1">
      <c r="A34" s="1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4"/>
      <c r="M34" s="75"/>
      <c r="N34" s="75"/>
      <c r="O34" s="75"/>
      <c r="P34" s="4"/>
      <c r="Q34" s="4"/>
      <c r="R34" s="4"/>
      <c r="S34" s="4"/>
      <c r="T34" s="4"/>
      <c r="AD34" s="4"/>
      <c r="AE34" s="4"/>
      <c r="AF34" s="4"/>
    </row>
    <row r="35" ht="12.75" customHeight="1">
      <c r="A35" s="1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4"/>
      <c r="M35" s="75"/>
      <c r="N35" s="75"/>
      <c r="O35" s="75"/>
      <c r="P35" s="4"/>
      <c r="Q35" s="4"/>
      <c r="R35" s="4"/>
      <c r="S35" s="4"/>
      <c r="T35" s="4"/>
      <c r="AD35" s="4"/>
      <c r="AE35" s="4"/>
      <c r="AF35" s="4"/>
    </row>
    <row r="36" ht="12.75" customHeight="1">
      <c r="A36" s="17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4"/>
      <c r="M36" s="75"/>
      <c r="N36" s="75"/>
      <c r="O36" s="75"/>
      <c r="P36" s="4"/>
      <c r="Q36" s="4"/>
      <c r="R36" s="4"/>
      <c r="S36" s="4"/>
      <c r="T36" s="4"/>
      <c r="AD36" s="4"/>
      <c r="AE36" s="4"/>
      <c r="AF36" s="4"/>
    </row>
    <row r="37" ht="12.75" customHeight="1">
      <c r="A37" s="17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4"/>
      <c r="M37" s="75"/>
      <c r="N37" s="75"/>
      <c r="O37" s="75"/>
      <c r="P37" s="4"/>
      <c r="Q37" s="4"/>
      <c r="R37" s="4"/>
      <c r="S37" s="4"/>
      <c r="T37" s="4"/>
      <c r="AD37" s="4"/>
      <c r="AE37" s="4"/>
      <c r="AF37" s="4"/>
    </row>
    <row r="38" ht="10.5" customHeight="1">
      <c r="A38" s="17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4"/>
      <c r="M38" s="75"/>
      <c r="N38" s="75"/>
      <c r="O38" s="75"/>
      <c r="P38" s="4"/>
      <c r="Q38" s="4"/>
      <c r="R38" s="4"/>
      <c r="S38" s="4"/>
      <c r="T38" s="4"/>
      <c r="AD38" s="4"/>
      <c r="AE38" s="4"/>
      <c r="AF38" s="4"/>
    </row>
    <row r="39" ht="12.75" customHeight="1">
      <c r="A39" s="1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4"/>
      <c r="M39" s="75"/>
      <c r="N39" s="75"/>
      <c r="O39" s="75"/>
      <c r="P39" s="4"/>
      <c r="Q39" s="4"/>
      <c r="R39" s="4"/>
      <c r="S39" s="4"/>
      <c r="T39" s="4"/>
      <c r="AD39" s="4"/>
      <c r="AE39" s="4"/>
      <c r="AF39" s="4"/>
    </row>
    <row r="40" ht="12.75" customHeight="1">
      <c r="A40" s="17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4"/>
      <c r="M40" s="75"/>
      <c r="N40" s="75"/>
      <c r="O40" s="75"/>
      <c r="P40" s="4"/>
      <c r="Q40" s="4"/>
      <c r="R40" s="4"/>
      <c r="S40" s="4"/>
      <c r="T40" s="4"/>
      <c r="AD40" s="4"/>
      <c r="AE40" s="4"/>
      <c r="AF40" s="4"/>
    </row>
    <row r="41" ht="12.75" customHeight="1">
      <c r="A41" s="17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4"/>
      <c r="M41" s="75"/>
      <c r="N41" s="75"/>
      <c r="O41" s="75"/>
      <c r="P41" s="4"/>
      <c r="Q41" s="4"/>
      <c r="R41" s="4"/>
      <c r="S41" s="4"/>
      <c r="T41" s="4"/>
      <c r="AD41" s="4"/>
      <c r="AE41" s="4"/>
      <c r="AF41" s="4"/>
    </row>
    <row r="42" ht="12.75" customHeight="1">
      <c r="A42" s="17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4"/>
      <c r="M42" s="75"/>
      <c r="N42" s="75"/>
      <c r="O42" s="75"/>
      <c r="P42" s="4"/>
      <c r="Q42" s="4"/>
      <c r="R42" s="4"/>
      <c r="S42" s="4"/>
      <c r="T42" s="4"/>
      <c r="AD42" s="4"/>
      <c r="AE42" s="4"/>
      <c r="AF42" s="4"/>
    </row>
    <row r="43" ht="12.75" customHeight="1">
      <c r="A43" s="17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4"/>
      <c r="M43" s="75"/>
      <c r="N43" s="75"/>
      <c r="O43" s="75"/>
      <c r="P43" s="4"/>
      <c r="Q43" s="4"/>
      <c r="R43" s="4"/>
      <c r="S43" s="4"/>
      <c r="T43" s="4"/>
      <c r="AD43" s="4"/>
      <c r="AE43" s="4"/>
      <c r="AF43" s="4"/>
    </row>
    <row r="44" ht="12.75" customHeight="1">
      <c r="A44" s="1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4"/>
      <c r="M44" s="75"/>
      <c r="N44" s="75"/>
      <c r="O44" s="75"/>
      <c r="P44" s="4"/>
      <c r="Q44" s="4"/>
      <c r="R44" s="4"/>
      <c r="S44" s="4"/>
      <c r="T44" s="4"/>
      <c r="AD44" s="4"/>
      <c r="AE44" s="4"/>
      <c r="AF44" s="4"/>
    </row>
    <row r="45" ht="12.75" customHeight="1">
      <c r="A45" s="17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4"/>
      <c r="M45" s="75"/>
      <c r="N45" s="75"/>
      <c r="O45" s="75"/>
      <c r="P45" s="4"/>
      <c r="Q45" s="4"/>
      <c r="R45" s="4"/>
      <c r="S45" s="4"/>
      <c r="T45" s="4"/>
      <c r="AD45" s="4"/>
      <c r="AE45" s="4"/>
      <c r="AF45" s="4"/>
    </row>
    <row r="46" ht="12.75" customHeight="1">
      <c r="A46" s="17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4"/>
      <c r="M46" s="75"/>
      <c r="N46" s="75"/>
      <c r="O46" s="75"/>
      <c r="P46" s="4"/>
      <c r="Q46" s="4"/>
      <c r="R46" s="4"/>
      <c r="S46" s="4"/>
      <c r="T46" s="4"/>
      <c r="AD46" s="4"/>
      <c r="AE46" s="4"/>
      <c r="AF46" s="4"/>
    </row>
    <row r="47" ht="12.75" customHeight="1">
      <c r="A47" s="17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4"/>
      <c r="M47" s="75"/>
      <c r="N47" s="75"/>
      <c r="O47" s="75"/>
      <c r="P47" s="4"/>
      <c r="Q47" s="4"/>
      <c r="R47" s="4"/>
      <c r="S47" s="4"/>
      <c r="T47" s="4"/>
      <c r="AD47" s="4"/>
      <c r="AE47" s="4"/>
      <c r="AF47" s="4"/>
    </row>
    <row r="48" ht="12.75" customHeight="1">
      <c r="A48" s="17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4"/>
      <c r="M48" s="75"/>
      <c r="N48" s="75"/>
      <c r="O48" s="75"/>
      <c r="P48" s="4"/>
      <c r="Q48" s="4"/>
      <c r="R48" s="4"/>
      <c r="S48" s="4"/>
      <c r="T48" s="4"/>
      <c r="AD48" s="4"/>
      <c r="AE48" s="4"/>
      <c r="AF48" s="4"/>
    </row>
    <row r="49" ht="12.75" customHeight="1">
      <c r="A49" s="17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4"/>
      <c r="M49" s="75"/>
      <c r="N49" s="75"/>
      <c r="O49" s="75"/>
      <c r="P49" s="4"/>
      <c r="Q49" s="4"/>
      <c r="R49" s="4"/>
      <c r="S49" s="4"/>
      <c r="T49" s="4"/>
      <c r="AD49" s="4"/>
      <c r="AE49" s="4"/>
      <c r="AF49" s="4"/>
    </row>
    <row r="50" ht="12.75" customHeight="1">
      <c r="A50" s="1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4"/>
      <c r="M50" s="75"/>
      <c r="N50" s="75"/>
      <c r="O50" s="75"/>
      <c r="P50" s="4"/>
      <c r="Q50" s="4"/>
      <c r="R50" s="4"/>
      <c r="S50" s="4"/>
      <c r="T50" s="4"/>
      <c r="AD50" s="4"/>
      <c r="AE50" s="4"/>
      <c r="AF50" s="4"/>
    </row>
    <row r="51" ht="12.75" customHeight="1">
      <c r="A51" s="1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4"/>
      <c r="M51" s="75"/>
      <c r="N51" s="75"/>
      <c r="O51" s="75"/>
      <c r="P51" s="4"/>
      <c r="Q51" s="4"/>
      <c r="R51" s="4"/>
      <c r="S51" s="4"/>
      <c r="T51" s="4"/>
      <c r="AD51" s="4"/>
      <c r="AE51" s="4"/>
      <c r="AF51" s="4"/>
    </row>
    <row r="52" ht="12.75" customHeight="1">
      <c r="A52" s="17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4"/>
      <c r="M52" s="75"/>
      <c r="N52" s="75"/>
      <c r="O52" s="75"/>
      <c r="P52" s="4"/>
      <c r="Q52" s="4"/>
      <c r="R52" s="4"/>
      <c r="S52" s="4"/>
      <c r="T52" s="4"/>
      <c r="AD52" s="4"/>
      <c r="AE52" s="4"/>
      <c r="AF52" s="4"/>
    </row>
    <row r="53" ht="12.75" customHeight="1">
      <c r="A53" s="17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4"/>
      <c r="M53" s="75"/>
      <c r="N53" s="75"/>
      <c r="O53" s="75"/>
      <c r="P53" s="4"/>
      <c r="Q53" s="4"/>
      <c r="R53" s="4"/>
      <c r="S53" s="4"/>
      <c r="T53" s="4"/>
      <c r="AD53" s="4"/>
      <c r="AE53" s="4"/>
      <c r="AF53" s="4"/>
    </row>
    <row r="54" ht="12.75" customHeight="1">
      <c r="A54" s="1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4"/>
      <c r="M54" s="75"/>
      <c r="N54" s="75"/>
      <c r="O54" s="75"/>
      <c r="P54" s="4"/>
      <c r="Q54" s="4"/>
      <c r="R54" s="4"/>
      <c r="S54" s="4"/>
      <c r="T54" s="4"/>
      <c r="AD54" s="4"/>
      <c r="AE54" s="4"/>
      <c r="AF54" s="4"/>
    </row>
    <row r="55" ht="12.75" customHeight="1">
      <c r="A55" s="17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4"/>
      <c r="M55" s="75"/>
      <c r="N55" s="75"/>
      <c r="O55" s="75"/>
      <c r="P55" s="4"/>
      <c r="Q55" s="4"/>
      <c r="R55" s="4"/>
      <c r="S55" s="4"/>
      <c r="T55" s="4"/>
      <c r="AD55" s="4"/>
      <c r="AE55" s="4"/>
      <c r="AF55" s="4"/>
    </row>
    <row r="56" ht="12.75" customHeight="1">
      <c r="A56" s="1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4"/>
      <c r="M56" s="75"/>
      <c r="N56" s="75"/>
      <c r="O56" s="75"/>
      <c r="P56" s="4"/>
      <c r="Q56" s="4"/>
      <c r="R56" s="4"/>
      <c r="S56" s="4"/>
      <c r="T56" s="4"/>
      <c r="AD56" s="4"/>
      <c r="AE56" s="4"/>
      <c r="AF56" s="4"/>
    </row>
    <row r="57" ht="12.75" customHeight="1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4"/>
      <c r="M57" s="73"/>
      <c r="N57" s="73"/>
      <c r="O57" s="73"/>
      <c r="P57" s="4"/>
      <c r="Q57" s="4"/>
      <c r="R57" s="4"/>
      <c r="S57" s="4"/>
      <c r="T57" s="4"/>
      <c r="U57" s="20" t="s">
        <v>68</v>
      </c>
      <c r="V57" s="20"/>
      <c r="W57" s="20"/>
      <c r="X57" s="20"/>
      <c r="Y57" s="20"/>
      <c r="Z57" s="20"/>
      <c r="AA57" s="20" t="s">
        <v>69</v>
      </c>
      <c r="AB57" s="20"/>
      <c r="AC57" s="20"/>
      <c r="AD57" s="20"/>
      <c r="AE57" s="20"/>
      <c r="AF57" s="20"/>
      <c r="AG57" s="20" t="s">
        <v>70</v>
      </c>
      <c r="AH57" s="20"/>
      <c r="AI57" s="20"/>
      <c r="AJ57" s="20"/>
      <c r="AK57" s="20"/>
    </row>
    <row r="58" ht="12.75" customHeight="1">
      <c r="A58" s="17" t="s">
        <v>83</v>
      </c>
      <c r="B58" s="18" t="s">
        <v>68</v>
      </c>
      <c r="C58" s="18" t="s">
        <v>69</v>
      </c>
      <c r="D58" s="18" t="s">
        <v>72</v>
      </c>
      <c r="E58" s="18" t="s">
        <v>73</v>
      </c>
      <c r="F58" s="18"/>
      <c r="G58" s="18" t="s">
        <v>68</v>
      </c>
      <c r="H58" s="18" t="s">
        <v>69</v>
      </c>
      <c r="I58" s="18" t="s">
        <v>72</v>
      </c>
      <c r="J58" s="18"/>
      <c r="K58" s="18" t="s">
        <v>74</v>
      </c>
      <c r="L58" s="4"/>
      <c r="M58" s="18" t="s">
        <v>68</v>
      </c>
      <c r="N58" s="18" t="s">
        <v>69</v>
      </c>
      <c r="O58" s="18" t="s">
        <v>72</v>
      </c>
      <c r="P58" s="4"/>
      <c r="Q58" s="4"/>
      <c r="R58" s="4"/>
      <c r="S58" s="4"/>
      <c r="T58" s="4"/>
      <c r="U58" s="20" t="s">
        <v>24</v>
      </c>
      <c r="V58" s="17" t="s">
        <v>75</v>
      </c>
      <c r="W58" s="17" t="s">
        <v>76</v>
      </c>
      <c r="X58" s="17" t="s">
        <v>77</v>
      </c>
      <c r="Y58" s="17" t="s">
        <v>78</v>
      </c>
      <c r="Z58" s="17" t="s">
        <v>79</v>
      </c>
      <c r="AA58" s="20" t="s">
        <v>24</v>
      </c>
      <c r="AB58" s="17" t="s">
        <v>75</v>
      </c>
      <c r="AC58" s="17" t="s">
        <v>76</v>
      </c>
      <c r="AD58" s="17" t="s">
        <v>77</v>
      </c>
      <c r="AE58" s="17" t="s">
        <v>78</v>
      </c>
      <c r="AF58" s="17" t="s">
        <v>79</v>
      </c>
      <c r="AG58" s="20" t="s">
        <v>24</v>
      </c>
      <c r="AH58" s="17" t="s">
        <v>75</v>
      </c>
      <c r="AI58" s="17" t="s">
        <v>76</v>
      </c>
      <c r="AJ58" s="17" t="s">
        <v>77</v>
      </c>
      <c r="AK58" s="17" t="s">
        <v>78</v>
      </c>
      <c r="AL58" s="17" t="s">
        <v>79</v>
      </c>
      <c r="AN58" s="20" t="s">
        <v>80</v>
      </c>
      <c r="AO58" s="17" t="s">
        <v>75</v>
      </c>
      <c r="AP58" s="17" t="s">
        <v>76</v>
      </c>
      <c r="AQ58" s="17" t="s">
        <v>77</v>
      </c>
      <c r="AR58" s="17" t="s">
        <v>78</v>
      </c>
      <c r="AS58" s="17" t="s">
        <v>79</v>
      </c>
    </row>
    <row r="59" ht="12.75" customHeight="1">
      <c r="A59" s="17">
        <v>1.0</v>
      </c>
      <c r="B59" s="19">
        <f>'#30'!G62</f>
        <v>119</v>
      </c>
      <c r="C59" s="19">
        <f>'#30'!I62</f>
        <v>113</v>
      </c>
      <c r="D59" s="19">
        <f>'#30'!K62</f>
        <v>63</v>
      </c>
      <c r="E59" s="19">
        <f t="shared" ref="E59:E63" si="12">SUM(B59:D59)</f>
        <v>295</v>
      </c>
      <c r="F59" s="19"/>
      <c r="G59" s="19">
        <f>'#30'!H62</f>
        <v>8090</v>
      </c>
      <c r="H59" s="19">
        <f>'#30'!J62</f>
        <v>7550</v>
      </c>
      <c r="I59" s="19">
        <f>'#30'!L62</f>
        <v>4600</v>
      </c>
      <c r="J59" s="19">
        <f t="shared" ref="J59:J62" si="13">SUM(G59:I59)</f>
        <v>20240</v>
      </c>
      <c r="K59" s="19">
        <f t="shared" ref="K59:K63" si="14">J59/E59</f>
        <v>68.61016949</v>
      </c>
      <c r="L59" s="4"/>
      <c r="M59" s="75">
        <f>G59/B59/Max!B3</f>
        <v>0.6798319328</v>
      </c>
      <c r="N59" s="75">
        <f>H59/C59/Max!B4</f>
        <v>0.6681415929</v>
      </c>
      <c r="O59" s="75">
        <f>I59/D59/Max!B5</f>
        <v>0.7301587302</v>
      </c>
      <c r="P59" s="4"/>
      <c r="Q59" s="4"/>
      <c r="R59" s="4"/>
      <c r="S59" s="4"/>
      <c r="T59" s="4"/>
      <c r="U59" s="20" t="s">
        <v>28</v>
      </c>
      <c r="V59" s="19">
        <f>'#30'!$M$62</f>
        <v>20</v>
      </c>
      <c r="W59" s="19">
        <f>'#30'!$M$117</f>
        <v>15</v>
      </c>
      <c r="X59" s="19">
        <f>'#30'!$M$171</f>
        <v>16</v>
      </c>
      <c r="Y59" s="19">
        <f>'#30'!$M$222</f>
        <v>15</v>
      </c>
      <c r="Z59" s="19">
        <f>'#30'!$M$225</f>
        <v>66</v>
      </c>
      <c r="AA59" s="20" t="s">
        <v>28</v>
      </c>
      <c r="AB59" s="19">
        <f>'#30'!$R$62</f>
        <v>27</v>
      </c>
      <c r="AC59" s="19">
        <f>'#30'!$R$117</f>
        <v>21</v>
      </c>
      <c r="AD59" s="19">
        <f>'#30'!$R$171</f>
        <v>21</v>
      </c>
      <c r="AE59" s="19">
        <f>'#30'!$R$222</f>
        <v>17</v>
      </c>
      <c r="AF59" s="19">
        <f>'#30'!$R$225</f>
        <v>86</v>
      </c>
      <c r="AG59" s="20" t="s">
        <v>28</v>
      </c>
      <c r="AH59" s="19">
        <f>'#30'!$W$62</f>
        <v>4</v>
      </c>
      <c r="AI59" s="19">
        <f>'#30'!$W$117</f>
        <v>8</v>
      </c>
      <c r="AJ59" s="19">
        <f>'#30'!$W$171</f>
        <v>4</v>
      </c>
      <c r="AK59" s="19">
        <f>'#30'!$W$222</f>
        <v>4</v>
      </c>
      <c r="AL59" s="19">
        <f>'#30'!$W$225</f>
        <v>20</v>
      </c>
      <c r="AN59" s="4" t="s">
        <v>68</v>
      </c>
      <c r="AO59" s="78">
        <f t="shared" ref="AO59:AS59" si="11">V64/(V64+AB64+AH64)</f>
        <v>0.4033898305</v>
      </c>
      <c r="AP59" s="78">
        <f t="shared" si="11"/>
        <v>0.3716814159</v>
      </c>
      <c r="AQ59" s="78">
        <f t="shared" si="11"/>
        <v>0.381294964</v>
      </c>
      <c r="AR59" s="78">
        <f t="shared" si="11"/>
        <v>0.4368421053</v>
      </c>
      <c r="AS59" s="78">
        <f t="shared" si="11"/>
        <v>0.3963599596</v>
      </c>
    </row>
    <row r="60" ht="12.75" customHeight="1">
      <c r="A60" s="17">
        <v>2.0</v>
      </c>
      <c r="B60" s="19">
        <f>'#30'!G117</f>
        <v>84</v>
      </c>
      <c r="C60" s="19">
        <f>'#30'!I117</f>
        <v>83</v>
      </c>
      <c r="D60" s="19">
        <f>'#30'!K117</f>
        <v>59</v>
      </c>
      <c r="E60" s="19">
        <f t="shared" si="12"/>
        <v>226</v>
      </c>
      <c r="F60" s="19"/>
      <c r="G60" s="19">
        <f>'#30'!H117</f>
        <v>5590</v>
      </c>
      <c r="H60" s="19">
        <f>'#30'!J117</f>
        <v>5690</v>
      </c>
      <c r="I60" s="19">
        <f>'#30'!L117</f>
        <v>4060</v>
      </c>
      <c r="J60" s="19">
        <f t="shared" si="13"/>
        <v>15340</v>
      </c>
      <c r="K60" s="19">
        <f t="shared" si="14"/>
        <v>67.87610619</v>
      </c>
      <c r="L60" s="4"/>
      <c r="M60" s="75">
        <f>G60/B60/Max!B3</f>
        <v>0.6654761905</v>
      </c>
      <c r="N60" s="75">
        <f>H60/C60/Max!B4</f>
        <v>0.6855421687</v>
      </c>
      <c r="O60" s="75">
        <f>I60/D60/Max!B5</f>
        <v>0.6881355932</v>
      </c>
      <c r="P60" s="4"/>
      <c r="Q60" s="4"/>
      <c r="R60" s="4"/>
      <c r="S60" s="4"/>
      <c r="T60" s="4"/>
      <c r="U60" s="20" t="s">
        <v>29</v>
      </c>
      <c r="V60" s="19">
        <f>'#30'!$N$62</f>
        <v>26</v>
      </c>
      <c r="W60" s="19">
        <f>'#30'!$N$117</f>
        <v>17</v>
      </c>
      <c r="X60" s="19">
        <f>'#30'!$N$171</f>
        <v>18</v>
      </c>
      <c r="Y60" s="19">
        <f>'#30'!$N$222</f>
        <v>12</v>
      </c>
      <c r="Z60" s="19">
        <f>'#30'!$N$225</f>
        <v>73</v>
      </c>
      <c r="AA60" s="20" t="s">
        <v>29</v>
      </c>
      <c r="AB60" s="19">
        <f>'#30'!$S$62</f>
        <v>22</v>
      </c>
      <c r="AC60" s="19">
        <f>'#30'!$S$117</f>
        <v>17</v>
      </c>
      <c r="AD60" s="19">
        <f>'#30'!$S$171</f>
        <v>18</v>
      </c>
      <c r="AE60" s="19">
        <f>'#30'!$S$222</f>
        <v>15</v>
      </c>
      <c r="AF60" s="19">
        <f>'#30'!$S$225</f>
        <v>72</v>
      </c>
      <c r="AG60" s="20" t="s">
        <v>29</v>
      </c>
      <c r="AH60" s="19">
        <f>'#30'!$X$62</f>
        <v>13</v>
      </c>
      <c r="AI60" s="19">
        <f>'#30'!$X$117</f>
        <v>12</v>
      </c>
      <c r="AJ60" s="19">
        <f>'#30'!$X$171</f>
        <v>9</v>
      </c>
      <c r="AK60" s="19">
        <f>'#30'!$X$222</f>
        <v>4</v>
      </c>
      <c r="AL60" s="19">
        <f>'#30'!$X$225</f>
        <v>38</v>
      </c>
      <c r="AN60" s="4" t="s">
        <v>69</v>
      </c>
      <c r="AO60" s="78">
        <f t="shared" ref="AO60:AS60" si="15">AB64/(V64+AB64+AH64)</f>
        <v>0.3830508475</v>
      </c>
      <c r="AP60" s="78">
        <f t="shared" si="15"/>
        <v>0.3672566372</v>
      </c>
      <c r="AQ60" s="78">
        <f t="shared" si="15"/>
        <v>0.4028776978</v>
      </c>
      <c r="AR60" s="78">
        <f t="shared" si="15"/>
        <v>0.4263157895</v>
      </c>
      <c r="AS60" s="78">
        <f t="shared" si="15"/>
        <v>0.3933265925</v>
      </c>
    </row>
    <row r="61" ht="12.75" customHeight="1">
      <c r="A61" s="17">
        <v>3.0</v>
      </c>
      <c r="B61" s="19">
        <f>'#30'!G171</f>
        <v>106</v>
      </c>
      <c r="C61" s="19">
        <f>'#30'!I171</f>
        <v>112</v>
      </c>
      <c r="D61" s="19">
        <f>'#30'!K171</f>
        <v>60</v>
      </c>
      <c r="E61" s="19">
        <f t="shared" si="12"/>
        <v>278</v>
      </c>
      <c r="F61" s="19"/>
      <c r="G61" s="19">
        <f>'#30'!H171</f>
        <v>7190</v>
      </c>
      <c r="H61" s="19">
        <f>'#30'!J171</f>
        <v>7670</v>
      </c>
      <c r="I61" s="19">
        <f>'#30'!L171</f>
        <v>4525</v>
      </c>
      <c r="J61" s="19">
        <f t="shared" si="13"/>
        <v>19385</v>
      </c>
      <c r="K61" s="19">
        <f t="shared" si="14"/>
        <v>69.73021583</v>
      </c>
      <c r="L61" s="4"/>
      <c r="M61" s="75">
        <f>G61/B61/Max!B3</f>
        <v>0.6783018868</v>
      </c>
      <c r="N61" s="75">
        <f>H61/C61/Max!B4</f>
        <v>0.6848214286</v>
      </c>
      <c r="O61" s="75">
        <f>I61/D61/Max!B5</f>
        <v>0.7541666667</v>
      </c>
      <c r="P61" s="4"/>
      <c r="Q61" s="4"/>
      <c r="R61" s="4"/>
      <c r="S61" s="4"/>
      <c r="T61" s="4"/>
      <c r="U61" s="20" t="s">
        <v>30</v>
      </c>
      <c r="V61" s="19">
        <f>'#30'!$O$62</f>
        <v>43</v>
      </c>
      <c r="W61" s="19">
        <f>'#30'!$O$117</f>
        <v>37</v>
      </c>
      <c r="X61" s="19">
        <f>'#30'!$O$171</f>
        <v>36</v>
      </c>
      <c r="Y61" s="19">
        <f>'#30'!$O$222</f>
        <v>18</v>
      </c>
      <c r="Z61" s="19">
        <f>'#30'!$O$225</f>
        <v>134</v>
      </c>
      <c r="AA61" s="20" t="s">
        <v>30</v>
      </c>
      <c r="AB61" s="19">
        <f>'#30'!$T$62</f>
        <v>26</v>
      </c>
      <c r="AC61" s="19">
        <f>'#30'!$T$117</f>
        <v>24</v>
      </c>
      <c r="AD61" s="19">
        <f>'#30'!$T$171</f>
        <v>33</v>
      </c>
      <c r="AE61" s="19">
        <f>'#30'!$T$222</f>
        <v>25</v>
      </c>
      <c r="AF61" s="19">
        <f>'#30'!$T$225</f>
        <v>108</v>
      </c>
      <c r="AG61" s="20" t="s">
        <v>30</v>
      </c>
      <c r="AH61" s="19">
        <f>'#30'!$Y$62</f>
        <v>14</v>
      </c>
      <c r="AI61" s="19">
        <f>'#30'!$Y$117</f>
        <v>24</v>
      </c>
      <c r="AJ61" s="19">
        <f>'#30'!$Y$171</f>
        <v>16</v>
      </c>
      <c r="AK61" s="19">
        <f>'#30'!$Y$222</f>
        <v>6</v>
      </c>
      <c r="AL61" s="19">
        <f>'#30'!$Y$225</f>
        <v>60</v>
      </c>
      <c r="AN61" s="4" t="s">
        <v>70</v>
      </c>
      <c r="AO61" s="78">
        <f t="shared" ref="AO61:AS61" si="16">AH64/(AH64+AB64+V64)</f>
        <v>0.213559322</v>
      </c>
      <c r="AP61" s="78">
        <f t="shared" si="16"/>
        <v>0.2610619469</v>
      </c>
      <c r="AQ61" s="78">
        <f t="shared" si="16"/>
        <v>0.2158273381</v>
      </c>
      <c r="AR61" s="78">
        <f t="shared" si="16"/>
        <v>0.1368421053</v>
      </c>
      <c r="AS61" s="78">
        <f t="shared" si="16"/>
        <v>0.2103134479</v>
      </c>
    </row>
    <row r="62" ht="12.75" customHeight="1">
      <c r="A62" s="17">
        <v>4.0</v>
      </c>
      <c r="B62" s="19">
        <f>'#30'!G222</f>
        <v>83</v>
      </c>
      <c r="C62" s="19">
        <f>'#30'!I222</f>
        <v>81</v>
      </c>
      <c r="D62" s="19">
        <f>'#30'!K222</f>
        <v>26</v>
      </c>
      <c r="E62" s="19">
        <f t="shared" si="12"/>
        <v>190</v>
      </c>
      <c r="F62" s="19"/>
      <c r="G62" s="19">
        <f>'#30'!H222</f>
        <v>5810</v>
      </c>
      <c r="H62" s="19">
        <f>'#30'!J222</f>
        <v>5640</v>
      </c>
      <c r="I62" s="19">
        <f>'#30'!L222</f>
        <v>1850</v>
      </c>
      <c r="J62" s="19">
        <f t="shared" si="13"/>
        <v>13300</v>
      </c>
      <c r="K62" s="19">
        <f t="shared" si="14"/>
        <v>70</v>
      </c>
      <c r="L62" s="4"/>
      <c r="M62" s="75">
        <f>G62/B62/Max!B3</f>
        <v>0.7</v>
      </c>
      <c r="N62" s="75">
        <f>H62/C62/Max!B4</f>
        <v>0.6962962963</v>
      </c>
      <c r="O62" s="75">
        <f>I62/D62/Max!B5</f>
        <v>0.7115384615</v>
      </c>
      <c r="P62" s="4"/>
      <c r="Q62" s="4"/>
      <c r="R62" s="4"/>
      <c r="S62" s="4"/>
      <c r="T62" s="4"/>
      <c r="U62" s="20" t="s">
        <v>31</v>
      </c>
      <c r="V62" s="19">
        <f>'#30'!$P$62</f>
        <v>30</v>
      </c>
      <c r="W62" s="19">
        <f>'#30'!$P$117</f>
        <v>12</v>
      </c>
      <c r="X62" s="19">
        <f>'#30'!$P$171</f>
        <v>36</v>
      </c>
      <c r="Y62" s="19">
        <f>'#30'!$P$222</f>
        <v>36</v>
      </c>
      <c r="Z62" s="19">
        <f>'#30'!$P$225</f>
        <v>114</v>
      </c>
      <c r="AA62" s="20" t="s">
        <v>31</v>
      </c>
      <c r="AB62" s="19">
        <f>'#30'!$U$62</f>
        <v>38</v>
      </c>
      <c r="AC62" s="19">
        <f>'#30'!$U$117</f>
        <v>21</v>
      </c>
      <c r="AD62" s="19">
        <f>'#30'!$U$171</f>
        <v>40</v>
      </c>
      <c r="AE62" s="19">
        <f>'#30'!$U$222</f>
        <v>24</v>
      </c>
      <c r="AF62" s="19">
        <f>'#30'!$U$225</f>
        <v>123</v>
      </c>
      <c r="AG62" s="20" t="s">
        <v>31</v>
      </c>
      <c r="AH62" s="19">
        <f>'#30'!$Z$62</f>
        <v>24</v>
      </c>
      <c r="AI62" s="19">
        <f>'#30'!$Z$117</f>
        <v>15</v>
      </c>
      <c r="AJ62" s="19">
        <f>'#30'!$Z$171</f>
        <v>31</v>
      </c>
      <c r="AK62" s="19">
        <f>'#30'!$Z$222</f>
        <v>12</v>
      </c>
      <c r="AL62" s="19">
        <f>'#30'!$Z$225</f>
        <v>82</v>
      </c>
    </row>
    <row r="63" ht="12.75" customHeight="1">
      <c r="A63" s="17" t="s">
        <v>81</v>
      </c>
      <c r="B63" s="19">
        <f>'#30'!G225</f>
        <v>392</v>
      </c>
      <c r="C63" s="19">
        <f>'#30'!I225</f>
        <v>389</v>
      </c>
      <c r="D63" s="19">
        <f>'#30'!K225</f>
        <v>208</v>
      </c>
      <c r="E63" s="19">
        <f t="shared" si="12"/>
        <v>989</v>
      </c>
      <c r="F63" s="19"/>
      <c r="G63" s="19">
        <f t="shared" ref="G63:J63" si="17">SUM(G58:G62)</f>
        <v>26680</v>
      </c>
      <c r="H63" s="19">
        <f t="shared" si="17"/>
        <v>26550</v>
      </c>
      <c r="I63" s="19">
        <f t="shared" si="17"/>
        <v>15035</v>
      </c>
      <c r="J63" s="19">
        <f t="shared" si="17"/>
        <v>68265</v>
      </c>
      <c r="K63" s="19">
        <f t="shared" si="14"/>
        <v>69.02426694</v>
      </c>
      <c r="L63" s="4"/>
      <c r="M63" s="75">
        <f>G63/B63/Max!B3</f>
        <v>0.6806122449</v>
      </c>
      <c r="N63" s="75">
        <f>H63/C63/Max!B4</f>
        <v>0.6825192802</v>
      </c>
      <c r="O63" s="75">
        <f>I63/D63/Max!B5</f>
        <v>0.7228365385</v>
      </c>
      <c r="P63" s="4"/>
      <c r="Q63" s="4"/>
      <c r="R63" s="4"/>
      <c r="S63" s="4"/>
      <c r="T63" s="4"/>
      <c r="U63" s="20" t="s">
        <v>32</v>
      </c>
      <c r="V63" s="19">
        <v>0.0</v>
      </c>
      <c r="W63" s="19">
        <f>'#30'!$Q$117</f>
        <v>3</v>
      </c>
      <c r="X63" s="19">
        <v>0.0</v>
      </c>
      <c r="Y63" s="19">
        <f>'#30'!$Q$222</f>
        <v>2</v>
      </c>
      <c r="Z63" s="19">
        <f>'#30'!$Q$225</f>
        <v>5</v>
      </c>
      <c r="AA63" s="20" t="s">
        <v>32</v>
      </c>
      <c r="AB63" s="19">
        <v>0.0</v>
      </c>
      <c r="AC63" s="19">
        <v>0.0</v>
      </c>
      <c r="AD63" s="19">
        <v>0.0</v>
      </c>
      <c r="AE63" s="19">
        <v>0.0</v>
      </c>
      <c r="AF63" s="19">
        <f>'#30'!$V$225</f>
        <v>0</v>
      </c>
      <c r="AG63" s="20" t="s">
        <v>32</v>
      </c>
      <c r="AH63" s="19">
        <f>'#30'!$AA$62</f>
        <v>8</v>
      </c>
      <c r="AI63" s="19">
        <v>0.0</v>
      </c>
      <c r="AJ63" s="19">
        <v>0.0</v>
      </c>
      <c r="AK63" s="19">
        <v>0.0</v>
      </c>
      <c r="AL63" s="19">
        <f>'#30'!$AA$225</f>
        <v>8</v>
      </c>
    </row>
    <row r="64" ht="12.75" customHeight="1">
      <c r="A64" s="17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4"/>
      <c r="M64" s="75"/>
      <c r="N64" s="75"/>
      <c r="O64" s="75"/>
      <c r="P64" s="4"/>
      <c r="Q64" s="4"/>
      <c r="R64" s="4"/>
      <c r="S64" s="4"/>
      <c r="T64" s="4"/>
      <c r="U64" s="20" t="s">
        <v>73</v>
      </c>
      <c r="V64" s="19">
        <f t="shared" ref="V64:Z64" si="18">SUM(V59:V63)</f>
        <v>119</v>
      </c>
      <c r="W64" s="19">
        <f t="shared" si="18"/>
        <v>84</v>
      </c>
      <c r="X64" s="19">
        <f t="shared" si="18"/>
        <v>106</v>
      </c>
      <c r="Y64" s="19">
        <f t="shared" si="18"/>
        <v>83</v>
      </c>
      <c r="Z64" s="19">
        <f t="shared" si="18"/>
        <v>392</v>
      </c>
      <c r="AA64" s="20" t="s">
        <v>73</v>
      </c>
      <c r="AB64" s="19">
        <f t="shared" ref="AB64:AF64" si="19">SUM(AB59:AB63)</f>
        <v>113</v>
      </c>
      <c r="AC64" s="19">
        <f t="shared" si="19"/>
        <v>83</v>
      </c>
      <c r="AD64" s="19">
        <f t="shared" si="19"/>
        <v>112</v>
      </c>
      <c r="AE64" s="19">
        <f t="shared" si="19"/>
        <v>81</v>
      </c>
      <c r="AF64" s="19">
        <f t="shared" si="19"/>
        <v>389</v>
      </c>
      <c r="AG64" s="20" t="s">
        <v>73</v>
      </c>
      <c r="AH64" s="19">
        <f t="shared" ref="AH64:AL64" si="20">SUM(AH59:AH63)</f>
        <v>63</v>
      </c>
      <c r="AI64" s="19">
        <f t="shared" si="20"/>
        <v>59</v>
      </c>
      <c r="AJ64" s="19">
        <f t="shared" si="20"/>
        <v>60</v>
      </c>
      <c r="AK64" s="19">
        <f t="shared" si="20"/>
        <v>26</v>
      </c>
      <c r="AL64" s="19">
        <f t="shared" si="20"/>
        <v>208</v>
      </c>
    </row>
    <row r="65" ht="12.75" customHeight="1">
      <c r="A65" s="17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4"/>
      <c r="M65" s="75"/>
      <c r="N65" s="75"/>
      <c r="O65" s="75"/>
      <c r="P65" s="4"/>
      <c r="Q65" s="4"/>
      <c r="R65" s="4"/>
      <c r="S65" s="4"/>
      <c r="T65" s="4"/>
      <c r="U65" s="20"/>
      <c r="V65" s="19"/>
      <c r="W65" s="19"/>
      <c r="X65" s="19"/>
      <c r="Y65" s="19"/>
      <c r="Z65" s="19"/>
      <c r="AA65" s="20"/>
      <c r="AB65" s="19"/>
      <c r="AC65" s="19"/>
      <c r="AD65" s="19"/>
      <c r="AE65" s="19"/>
      <c r="AF65" s="19"/>
      <c r="AG65" s="20"/>
      <c r="AH65" s="19"/>
      <c r="AI65" s="19"/>
      <c r="AJ65" s="19"/>
      <c r="AK65" s="19"/>
      <c r="AL65" s="19"/>
    </row>
    <row r="66" ht="12.75" customHeight="1">
      <c r="A66" s="17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4"/>
      <c r="M66" s="75"/>
      <c r="N66" s="75"/>
      <c r="O66" s="75"/>
      <c r="P66" s="4"/>
      <c r="Q66" s="4"/>
      <c r="R66" s="4"/>
      <c r="S66" s="4"/>
      <c r="T66" s="4"/>
      <c r="U66" s="20"/>
      <c r="V66" s="19"/>
      <c r="W66" s="19"/>
      <c r="X66" s="19"/>
      <c r="Y66" s="19"/>
      <c r="Z66" s="19"/>
      <c r="AA66" s="20"/>
      <c r="AB66" s="19"/>
      <c r="AC66" s="19"/>
      <c r="AD66" s="19"/>
      <c r="AE66" s="19"/>
      <c r="AF66" s="19"/>
      <c r="AG66" s="20"/>
      <c r="AH66" s="19"/>
      <c r="AI66" s="19"/>
      <c r="AJ66" s="19"/>
      <c r="AK66" s="19"/>
      <c r="AL66" s="19"/>
    </row>
    <row r="67" ht="12.75" customHeight="1">
      <c r="A67" s="1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4"/>
      <c r="M67" s="75"/>
      <c r="N67" s="75"/>
      <c r="O67" s="75"/>
      <c r="P67" s="4"/>
      <c r="Q67" s="4"/>
      <c r="R67" s="4"/>
      <c r="S67" s="4"/>
      <c r="T67" s="4"/>
      <c r="U67" s="20"/>
      <c r="V67" s="19"/>
      <c r="W67" s="19"/>
      <c r="X67" s="19"/>
      <c r="Y67" s="19"/>
      <c r="Z67" s="19"/>
      <c r="AA67" s="20"/>
      <c r="AB67" s="19"/>
      <c r="AC67" s="19"/>
      <c r="AD67" s="19"/>
      <c r="AE67" s="19"/>
      <c r="AF67" s="19"/>
      <c r="AG67" s="20"/>
      <c r="AH67" s="19"/>
      <c r="AI67" s="19"/>
      <c r="AJ67" s="19"/>
      <c r="AK67" s="19"/>
      <c r="AL67" s="19"/>
    </row>
    <row r="68" ht="12.75" customHeight="1">
      <c r="A68" s="17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4"/>
      <c r="M68" s="75"/>
      <c r="N68" s="75"/>
      <c r="O68" s="75"/>
      <c r="P68" s="4"/>
      <c r="Q68" s="4"/>
      <c r="R68" s="4"/>
      <c r="S68" s="4"/>
      <c r="T68" s="4"/>
      <c r="U68" s="20"/>
      <c r="V68" s="19"/>
      <c r="W68" s="19"/>
      <c r="X68" s="19"/>
      <c r="Y68" s="19"/>
      <c r="Z68" s="19"/>
      <c r="AA68" s="20"/>
      <c r="AB68" s="19"/>
      <c r="AC68" s="19"/>
      <c r="AD68" s="19"/>
      <c r="AE68" s="19"/>
      <c r="AF68" s="19"/>
      <c r="AG68" s="20"/>
      <c r="AH68" s="19"/>
      <c r="AI68" s="19"/>
      <c r="AJ68" s="19"/>
      <c r="AK68" s="19"/>
      <c r="AL68" s="19"/>
    </row>
    <row r="69" ht="12.75" customHeight="1">
      <c r="A69" s="17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4"/>
      <c r="M69" s="75"/>
      <c r="N69" s="75"/>
      <c r="O69" s="75"/>
      <c r="P69" s="4"/>
      <c r="Q69" s="4"/>
      <c r="R69" s="4"/>
      <c r="S69" s="4"/>
      <c r="T69" s="4"/>
      <c r="AD69" s="4"/>
      <c r="AE69" s="4"/>
      <c r="AF69" s="4"/>
    </row>
    <row r="70" ht="12.75" customHeight="1">
      <c r="A70" s="17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4"/>
      <c r="M70" s="75"/>
      <c r="N70" s="75"/>
      <c r="O70" s="75"/>
      <c r="P70" s="4"/>
      <c r="Q70" s="4"/>
      <c r="R70" s="4"/>
      <c r="S70" s="4"/>
      <c r="T70" s="4"/>
      <c r="AD70" s="4"/>
      <c r="AE70" s="4"/>
      <c r="AF70" s="4"/>
    </row>
    <row r="71" ht="12.75" customHeight="1">
      <c r="A71" s="17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4"/>
      <c r="M71" s="75"/>
      <c r="N71" s="75"/>
      <c r="O71" s="75"/>
      <c r="P71" s="4"/>
      <c r="Q71" s="4"/>
      <c r="R71" s="4"/>
      <c r="S71" s="4"/>
      <c r="T71" s="4"/>
      <c r="AD71" s="4"/>
      <c r="AE71" s="4"/>
      <c r="AF71" s="4"/>
    </row>
    <row r="72" ht="12.75" customHeight="1">
      <c r="A72" s="17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4"/>
      <c r="M72" s="75"/>
      <c r="N72" s="75"/>
      <c r="O72" s="75"/>
      <c r="P72" s="4"/>
      <c r="Q72" s="4"/>
      <c r="R72" s="4"/>
      <c r="S72" s="4"/>
      <c r="T72" s="4"/>
      <c r="AD72" s="4"/>
      <c r="AE72" s="4"/>
      <c r="AF72" s="4"/>
    </row>
    <row r="73" ht="12.75" customHeight="1">
      <c r="A73" s="17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4"/>
      <c r="M73" s="75"/>
      <c r="N73" s="75"/>
      <c r="O73" s="75"/>
      <c r="P73" s="4"/>
      <c r="Q73" s="4"/>
      <c r="R73" s="4"/>
      <c r="S73" s="4"/>
      <c r="T73" s="4"/>
      <c r="AD73" s="4"/>
      <c r="AE73" s="4"/>
      <c r="AF73" s="4"/>
    </row>
    <row r="74" ht="12.75" customHeight="1">
      <c r="A74" s="17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4"/>
      <c r="M74" s="75"/>
      <c r="N74" s="75"/>
      <c r="O74" s="75"/>
      <c r="P74" s="4"/>
      <c r="Q74" s="4"/>
      <c r="R74" s="4"/>
      <c r="S74" s="4"/>
      <c r="T74" s="4"/>
      <c r="AD74" s="4"/>
      <c r="AE74" s="4"/>
      <c r="AF74" s="4"/>
    </row>
    <row r="75" ht="12.75" customHeight="1">
      <c r="A75" s="17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4"/>
      <c r="M75" s="75"/>
      <c r="N75" s="75"/>
      <c r="O75" s="75"/>
      <c r="P75" s="4"/>
      <c r="Q75" s="4"/>
      <c r="R75" s="4"/>
      <c r="S75" s="4"/>
      <c r="T75" s="4"/>
      <c r="AD75" s="4"/>
      <c r="AE75" s="4"/>
      <c r="AF75" s="4"/>
    </row>
    <row r="76" ht="12.75" customHeight="1">
      <c r="A76" s="17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4"/>
      <c r="M76" s="75"/>
      <c r="N76" s="75"/>
      <c r="O76" s="75"/>
      <c r="P76" s="4"/>
      <c r="Q76" s="4"/>
      <c r="R76" s="4"/>
      <c r="S76" s="4"/>
      <c r="T76" s="4"/>
      <c r="AD76" s="4"/>
      <c r="AE76" s="4"/>
      <c r="AF76" s="4"/>
    </row>
    <row r="77" ht="12.75" customHeight="1">
      <c r="A77" s="1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4"/>
      <c r="M77" s="75"/>
      <c r="N77" s="75"/>
      <c r="O77" s="75"/>
      <c r="P77" s="4"/>
      <c r="Q77" s="4"/>
      <c r="R77" s="4"/>
      <c r="S77" s="4"/>
      <c r="T77" s="4"/>
      <c r="AD77" s="4"/>
      <c r="AE77" s="4"/>
      <c r="AF77" s="4"/>
    </row>
    <row r="78" ht="12.75" customHeight="1">
      <c r="A78" s="17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4"/>
      <c r="M78" s="75"/>
      <c r="N78" s="75"/>
      <c r="O78" s="75"/>
      <c r="P78" s="4"/>
      <c r="Q78" s="4"/>
      <c r="R78" s="4"/>
      <c r="S78" s="4"/>
      <c r="T78" s="4"/>
      <c r="AD78" s="4"/>
      <c r="AE78" s="4"/>
      <c r="AF78" s="4"/>
    </row>
    <row r="79" ht="12.75" customHeight="1">
      <c r="A79" s="17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4"/>
      <c r="M79" s="75"/>
      <c r="N79" s="75"/>
      <c r="O79" s="75"/>
      <c r="P79" s="4"/>
      <c r="Q79" s="4"/>
      <c r="R79" s="4"/>
      <c r="S79" s="4"/>
      <c r="T79" s="4"/>
      <c r="AD79" s="4"/>
      <c r="AE79" s="4"/>
      <c r="AF79" s="4"/>
    </row>
    <row r="80" ht="12.75" customHeight="1">
      <c r="A80" s="17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4"/>
      <c r="M80" s="75"/>
      <c r="N80" s="75"/>
      <c r="O80" s="75"/>
      <c r="P80" s="4"/>
      <c r="Q80" s="4"/>
      <c r="R80" s="4"/>
      <c r="S80" s="4"/>
      <c r="T80" s="4"/>
      <c r="AD80" s="4"/>
      <c r="AE80" s="4"/>
      <c r="AF80" s="4"/>
    </row>
    <row r="81" ht="12.75" customHeight="1">
      <c r="A81" s="17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4"/>
      <c r="M81" s="75"/>
      <c r="N81" s="75"/>
      <c r="O81" s="75"/>
      <c r="P81" s="4"/>
      <c r="Q81" s="4"/>
      <c r="R81" s="4"/>
      <c r="S81" s="4"/>
      <c r="T81" s="4"/>
      <c r="AD81" s="4"/>
      <c r="AE81" s="4"/>
      <c r="AF81" s="4"/>
    </row>
    <row r="82" ht="12.75" customHeight="1">
      <c r="A82" s="17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4"/>
      <c r="M82" s="75"/>
      <c r="N82" s="75"/>
      <c r="O82" s="75"/>
      <c r="P82" s="4"/>
      <c r="Q82" s="4"/>
      <c r="R82" s="4"/>
      <c r="S82" s="4"/>
      <c r="T82" s="4"/>
      <c r="AD82" s="4"/>
      <c r="AE82" s="4"/>
      <c r="AF82" s="4"/>
    </row>
    <row r="83" ht="12.75" customHeight="1">
      <c r="A83" s="17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4"/>
      <c r="M83" s="75"/>
      <c r="N83" s="75"/>
      <c r="O83" s="75"/>
      <c r="P83" s="4"/>
      <c r="Q83" s="4"/>
      <c r="R83" s="4"/>
      <c r="S83" s="4"/>
      <c r="T83" s="4"/>
      <c r="AD83" s="4"/>
      <c r="AE83" s="4"/>
      <c r="AF83" s="4"/>
    </row>
    <row r="84" ht="12.75" customHeight="1">
      <c r="A84" s="17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4"/>
      <c r="M84" s="75"/>
      <c r="N84" s="75"/>
      <c r="O84" s="75"/>
      <c r="P84" s="4"/>
      <c r="Q84" s="4"/>
      <c r="R84" s="4"/>
      <c r="S84" s="4"/>
      <c r="T84" s="4"/>
      <c r="AD84" s="4"/>
      <c r="AE84" s="4"/>
      <c r="AF84" s="4"/>
    </row>
    <row r="85" ht="12.75" customHeight="1">
      <c r="A85" s="17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4"/>
      <c r="M85" s="75"/>
      <c r="N85" s="75"/>
      <c r="O85" s="75"/>
      <c r="P85" s="4"/>
      <c r="Q85" s="4"/>
      <c r="R85" s="4"/>
      <c r="S85" s="4"/>
      <c r="T85" s="4"/>
      <c r="AD85" s="4"/>
      <c r="AE85" s="4"/>
      <c r="AF85" s="4"/>
    </row>
    <row r="86" ht="12.75" customHeight="1">
      <c r="A86" s="17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4"/>
      <c r="M86" s="75"/>
      <c r="N86" s="75"/>
      <c r="O86" s="75"/>
      <c r="P86" s="4"/>
      <c r="Q86" s="4"/>
      <c r="R86" s="4"/>
      <c r="S86" s="4"/>
      <c r="T86" s="4"/>
      <c r="AD86" s="4"/>
      <c r="AE86" s="4"/>
      <c r="AF86" s="4"/>
    </row>
    <row r="87" ht="12.75" customHeight="1">
      <c r="A87" s="17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4"/>
      <c r="M87" s="75"/>
      <c r="N87" s="75"/>
      <c r="O87" s="75"/>
      <c r="P87" s="4"/>
      <c r="Q87" s="4"/>
      <c r="R87" s="4"/>
      <c r="S87" s="4"/>
      <c r="T87" s="4"/>
      <c r="AD87" s="4"/>
      <c r="AE87" s="4"/>
      <c r="AF87" s="4"/>
    </row>
    <row r="88" ht="12.75" customHeight="1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4"/>
      <c r="M88" s="73"/>
      <c r="N88" s="73"/>
      <c r="O88" s="73"/>
      <c r="P88" s="4"/>
      <c r="Q88" s="4"/>
      <c r="R88" s="4"/>
      <c r="S88" s="4"/>
      <c r="T88" s="4"/>
      <c r="U88" s="20" t="s">
        <v>68</v>
      </c>
      <c r="V88" s="20"/>
      <c r="W88" s="20"/>
      <c r="X88" s="20"/>
      <c r="Y88" s="20"/>
      <c r="Z88" s="20"/>
      <c r="AA88" s="20" t="s">
        <v>69</v>
      </c>
      <c r="AB88" s="20"/>
      <c r="AC88" s="20"/>
      <c r="AD88" s="20"/>
      <c r="AE88" s="20"/>
      <c r="AF88" s="20"/>
      <c r="AG88" s="20" t="s">
        <v>70</v>
      </c>
      <c r="AH88" s="20"/>
      <c r="AI88" s="20"/>
      <c r="AJ88" s="20"/>
      <c r="AK88" s="20"/>
    </row>
    <row r="89" ht="12.75" customHeight="1">
      <c r="A89" s="17" t="s">
        <v>84</v>
      </c>
      <c r="B89" s="18" t="s">
        <v>68</v>
      </c>
      <c r="C89" s="18" t="s">
        <v>69</v>
      </c>
      <c r="D89" s="18" t="s">
        <v>72</v>
      </c>
      <c r="E89" s="18" t="s">
        <v>73</v>
      </c>
      <c r="F89" s="18"/>
      <c r="G89" s="18" t="s">
        <v>68</v>
      </c>
      <c r="H89" s="18" t="s">
        <v>69</v>
      </c>
      <c r="I89" s="18" t="s">
        <v>72</v>
      </c>
      <c r="J89" s="18"/>
      <c r="K89" s="18" t="s">
        <v>74</v>
      </c>
      <c r="L89" s="4"/>
      <c r="M89" s="18" t="s">
        <v>68</v>
      </c>
      <c r="N89" s="18" t="s">
        <v>69</v>
      </c>
      <c r="O89" s="18" t="s">
        <v>72</v>
      </c>
      <c r="P89" s="4"/>
      <c r="Q89" s="4"/>
      <c r="R89" s="4"/>
      <c r="S89" s="4"/>
      <c r="T89" s="4"/>
      <c r="U89" s="20" t="s">
        <v>24</v>
      </c>
      <c r="V89" s="17" t="s">
        <v>75</v>
      </c>
      <c r="W89" s="17" t="s">
        <v>76</v>
      </c>
      <c r="X89" s="17" t="s">
        <v>77</v>
      </c>
      <c r="Y89" s="17" t="s">
        <v>78</v>
      </c>
      <c r="Z89" s="17" t="s">
        <v>79</v>
      </c>
      <c r="AA89" s="20" t="s">
        <v>24</v>
      </c>
      <c r="AB89" s="17" t="s">
        <v>75</v>
      </c>
      <c r="AC89" s="17" t="s">
        <v>76</v>
      </c>
      <c r="AD89" s="17" t="s">
        <v>77</v>
      </c>
      <c r="AE89" s="17" t="s">
        <v>78</v>
      </c>
      <c r="AF89" s="17" t="s">
        <v>79</v>
      </c>
      <c r="AG89" s="20" t="s">
        <v>24</v>
      </c>
      <c r="AH89" s="17" t="s">
        <v>75</v>
      </c>
      <c r="AI89" s="17" t="s">
        <v>76</v>
      </c>
      <c r="AJ89" s="17" t="s">
        <v>77</v>
      </c>
      <c r="AK89" s="17" t="s">
        <v>78</v>
      </c>
      <c r="AL89" s="17" t="s">
        <v>79</v>
      </c>
      <c r="AN89" s="20" t="s">
        <v>80</v>
      </c>
      <c r="AO89" s="17" t="s">
        <v>75</v>
      </c>
      <c r="AP89" s="17" t="s">
        <v>76</v>
      </c>
      <c r="AQ89" s="17" t="s">
        <v>77</v>
      </c>
      <c r="AR89" s="17" t="s">
        <v>78</v>
      </c>
      <c r="AS89" s="17" t="s">
        <v>79</v>
      </c>
    </row>
    <row r="90" ht="12.75" customHeight="1">
      <c r="A90" s="17">
        <v>1.0</v>
      </c>
      <c r="B90" s="19">
        <f>'#32'!G48</f>
        <v>59</v>
      </c>
      <c r="C90" s="19">
        <f>'#32'!I48</f>
        <v>60</v>
      </c>
      <c r="D90" s="19">
        <f>'#32'!K48</f>
        <v>13</v>
      </c>
      <c r="E90" s="19">
        <f t="shared" ref="E90:E94" si="22">SUM(B90:D90)</f>
        <v>132</v>
      </c>
      <c r="F90" s="19"/>
      <c r="G90" s="19">
        <f>'#32'!H48</f>
        <v>3970</v>
      </c>
      <c r="H90" s="19">
        <f>'#32'!J48</f>
        <v>4165</v>
      </c>
      <c r="I90" s="19">
        <f>'#32'!L48</f>
        <v>920</v>
      </c>
      <c r="J90" s="19">
        <f t="shared" ref="J90:J93" si="23">SUM(G90:I90)</f>
        <v>9055</v>
      </c>
      <c r="K90" s="19">
        <f t="shared" ref="K90:K94" si="24">J90/E90</f>
        <v>68.59848485</v>
      </c>
      <c r="L90" s="4"/>
      <c r="M90" s="75">
        <f>G90/B90/Max!B3</f>
        <v>0.6728813559</v>
      </c>
      <c r="N90" s="75">
        <f>H90/C90/Max!B4</f>
        <v>0.6941666667</v>
      </c>
      <c r="O90" s="75">
        <f>I90/D90/Max!B5</f>
        <v>0.7076923077</v>
      </c>
      <c r="P90" s="4"/>
      <c r="Q90" s="4"/>
      <c r="R90" s="4"/>
      <c r="S90" s="4"/>
      <c r="T90" s="4"/>
      <c r="U90" s="20" t="s">
        <v>28</v>
      </c>
      <c r="V90" s="19">
        <f>'#32'!$M$48</f>
        <v>9</v>
      </c>
      <c r="W90" s="19">
        <f>'#32'!$M$95</f>
        <v>9</v>
      </c>
      <c r="X90" s="19">
        <f>'#32'!$M$132</f>
        <v>6</v>
      </c>
      <c r="Y90" s="19">
        <f>'#32'!$M$154</f>
        <v>3</v>
      </c>
      <c r="Z90" s="19">
        <f>'#32'!$M$156</f>
        <v>27</v>
      </c>
      <c r="AA90" s="20" t="s">
        <v>28</v>
      </c>
      <c r="AB90" s="19">
        <f>'#32'!$R$48</f>
        <v>9</v>
      </c>
      <c r="AC90" s="19">
        <f>'#32'!$R$95</f>
        <v>13</v>
      </c>
      <c r="AD90" s="19">
        <f>'#32'!$R$132</f>
        <v>9</v>
      </c>
      <c r="AE90" s="19">
        <f>'#32'!$R$154</f>
        <v>6</v>
      </c>
      <c r="AF90" s="19">
        <f>'#32'!$R$156</f>
        <v>37</v>
      </c>
      <c r="AG90" s="20" t="s">
        <v>28</v>
      </c>
      <c r="AH90" s="19">
        <f>'#32'!$W$48</f>
        <v>3</v>
      </c>
      <c r="AI90" s="19">
        <f>'#32'!$W$95</f>
        <v>6</v>
      </c>
      <c r="AJ90" s="19">
        <f>'#32'!$W$132</f>
        <v>3</v>
      </c>
      <c r="AK90" s="19">
        <f>'#32'!$W$154</f>
        <v>3</v>
      </c>
      <c r="AL90" s="19">
        <f>'#32'!$W$156</f>
        <v>15</v>
      </c>
      <c r="AN90" s="4" t="s">
        <v>68</v>
      </c>
      <c r="AO90" s="78">
        <f t="shared" ref="AO90:AS90" si="21">V95/(V95+AB95+AH95)</f>
        <v>0.446969697</v>
      </c>
      <c r="AP90" s="78">
        <f t="shared" si="21"/>
        <v>0.35</v>
      </c>
      <c r="AQ90" s="78">
        <f t="shared" si="21"/>
        <v>0.3178294574</v>
      </c>
      <c r="AR90" s="78">
        <f t="shared" si="21"/>
        <v>0.2419354839</v>
      </c>
      <c r="AS90" s="78">
        <f t="shared" si="21"/>
        <v>0.3535911602</v>
      </c>
    </row>
    <row r="91" ht="12.75" customHeight="1">
      <c r="A91" s="17">
        <v>2.0</v>
      </c>
      <c r="B91" s="19">
        <f>'#32'!G95</f>
        <v>77</v>
      </c>
      <c r="C91" s="19">
        <f>'#32'!I95</f>
        <v>102</v>
      </c>
      <c r="D91" s="19">
        <f>'#32'!K95</f>
        <v>41</v>
      </c>
      <c r="E91" s="19">
        <f t="shared" si="22"/>
        <v>220</v>
      </c>
      <c r="F91" s="19"/>
      <c r="G91" s="19">
        <f>'#32'!H95</f>
        <v>5395</v>
      </c>
      <c r="H91" s="19">
        <f>'#32'!J95</f>
        <v>7200</v>
      </c>
      <c r="I91" s="19">
        <f>'#32'!L95</f>
        <v>2810</v>
      </c>
      <c r="J91" s="19">
        <f t="shared" si="23"/>
        <v>15405</v>
      </c>
      <c r="K91" s="19">
        <f t="shared" si="24"/>
        <v>70.02272727</v>
      </c>
      <c r="L91" s="4"/>
      <c r="M91" s="75">
        <f>G91/B91/Max!B3</f>
        <v>0.7006493506</v>
      </c>
      <c r="N91" s="75">
        <f>H91/C91/Max!B4</f>
        <v>0.7058823529</v>
      </c>
      <c r="O91" s="75">
        <f>I91/D91/Max!B5</f>
        <v>0.6853658537</v>
      </c>
      <c r="P91" s="4"/>
      <c r="Q91" s="4"/>
      <c r="R91" s="4"/>
      <c r="S91" s="4"/>
      <c r="T91" s="4"/>
      <c r="U91" s="20" t="s">
        <v>29</v>
      </c>
      <c r="V91" s="19">
        <f>'#32'!$N$48</f>
        <v>15</v>
      </c>
      <c r="W91" s="19">
        <f>'#32'!$N$95</f>
        <v>18</v>
      </c>
      <c r="X91" s="19">
        <f>'#32'!$N$132</f>
        <v>9</v>
      </c>
      <c r="Y91" s="19">
        <f>'#32'!$N$154</f>
        <v>6</v>
      </c>
      <c r="Z91" s="19">
        <f>'#32'!$N$156</f>
        <v>48</v>
      </c>
      <c r="AA91" s="20" t="s">
        <v>29</v>
      </c>
      <c r="AB91" s="19">
        <f>'#32'!$S$48</f>
        <v>12</v>
      </c>
      <c r="AC91" s="19">
        <f>'#32'!$S$95</f>
        <v>13</v>
      </c>
      <c r="AD91" s="19">
        <f>'#32'!$S$132</f>
        <v>9</v>
      </c>
      <c r="AE91" s="19">
        <f>'#32'!$S$154</f>
        <v>12</v>
      </c>
      <c r="AF91" s="19">
        <f>'#32'!$S$156</f>
        <v>46</v>
      </c>
      <c r="AG91" s="20" t="s">
        <v>29</v>
      </c>
      <c r="AH91" s="19">
        <f>'#32'!$X$48</f>
        <v>2</v>
      </c>
      <c r="AI91" s="19">
        <f>'#32'!$X$95</f>
        <v>11</v>
      </c>
      <c r="AJ91" s="19">
        <f>'#32'!$X$132</f>
        <v>6</v>
      </c>
      <c r="AK91" s="19">
        <f>'#32'!$X$154</f>
        <v>4</v>
      </c>
      <c r="AL91" s="19">
        <f>'#32'!$X$156</f>
        <v>23</v>
      </c>
      <c r="AN91" s="4" t="s">
        <v>69</v>
      </c>
      <c r="AO91" s="78">
        <f t="shared" ref="AO91:AS91" si="25">AB95/(V95+AB95+AH95)</f>
        <v>0.4545454545</v>
      </c>
      <c r="AP91" s="78">
        <f t="shared" si="25"/>
        <v>0.4636363636</v>
      </c>
      <c r="AQ91" s="78">
        <f t="shared" si="25"/>
        <v>0.488372093</v>
      </c>
      <c r="AR91" s="78">
        <f t="shared" si="25"/>
        <v>0.5161290323</v>
      </c>
      <c r="AS91" s="78">
        <f t="shared" si="25"/>
        <v>0.4732965009</v>
      </c>
    </row>
    <row r="92" ht="12.75" customHeight="1">
      <c r="A92" s="17">
        <v>3.0</v>
      </c>
      <c r="B92" s="19">
        <f>'#32'!G132</f>
        <v>41</v>
      </c>
      <c r="C92" s="19">
        <f>'#32'!I132</f>
        <v>63</v>
      </c>
      <c r="D92" s="19">
        <f>'#32'!K132</f>
        <v>25</v>
      </c>
      <c r="E92" s="19">
        <f t="shared" si="22"/>
        <v>129</v>
      </c>
      <c r="F92" s="19"/>
      <c r="G92" s="19">
        <f>'#32'!H132</f>
        <v>2790</v>
      </c>
      <c r="H92" s="19">
        <f>'#32'!J132</f>
        <v>4385</v>
      </c>
      <c r="I92" s="19">
        <f>'#32'!L132</f>
        <v>1680</v>
      </c>
      <c r="J92" s="19">
        <f t="shared" si="23"/>
        <v>8855</v>
      </c>
      <c r="K92" s="19">
        <f t="shared" si="24"/>
        <v>68.64341085</v>
      </c>
      <c r="L92" s="4"/>
      <c r="M92" s="75">
        <f>G92/B92/Max!B3</f>
        <v>0.6804878049</v>
      </c>
      <c r="N92" s="75">
        <f>H92/C92/Max!B4</f>
        <v>0.696031746</v>
      </c>
      <c r="O92" s="75">
        <f>I92/D92/Max!B5</f>
        <v>0.672</v>
      </c>
      <c r="P92" s="4"/>
      <c r="Q92" s="4"/>
      <c r="R92" s="4"/>
      <c r="S92" s="4"/>
      <c r="T92" s="4"/>
      <c r="U92" s="20" t="s">
        <v>30</v>
      </c>
      <c r="V92" s="19">
        <f>'#32'!$O$48</f>
        <v>30</v>
      </c>
      <c r="W92" s="19">
        <f>'#32'!$O$95</f>
        <v>24</v>
      </c>
      <c r="X92" s="19">
        <f>'#32'!$O$132</f>
        <v>16</v>
      </c>
      <c r="Y92" s="19">
        <f>'#32'!$O$154</f>
        <v>6</v>
      </c>
      <c r="Z92" s="19">
        <f>'#32'!$O$156</f>
        <v>76</v>
      </c>
      <c r="AA92" s="20" t="s">
        <v>30</v>
      </c>
      <c r="AB92" s="19">
        <f>'#32'!$T$48</f>
        <v>34</v>
      </c>
      <c r="AC92" s="19">
        <f>'#32'!$T$95</f>
        <v>34</v>
      </c>
      <c r="AD92" s="19">
        <f>'#32'!$T$132</f>
        <v>26</v>
      </c>
      <c r="AE92" s="19">
        <f>'#32'!$T$154</f>
        <v>14</v>
      </c>
      <c r="AF92" s="19">
        <f>'#32'!$T$156</f>
        <v>108</v>
      </c>
      <c r="AG92" s="20" t="s">
        <v>30</v>
      </c>
      <c r="AH92" s="19">
        <f>'#32'!$Y$48</f>
        <v>4</v>
      </c>
      <c r="AI92" s="19">
        <f>'#32'!$Y$95</f>
        <v>9</v>
      </c>
      <c r="AJ92" s="19">
        <f>'#32'!$Y$132</f>
        <v>16</v>
      </c>
      <c r="AK92" s="19">
        <f>'#32'!$Y$154</f>
        <v>8</v>
      </c>
      <c r="AL92" s="19">
        <f>'#32'!$Y$156</f>
        <v>37</v>
      </c>
      <c r="AN92" s="4" t="s">
        <v>70</v>
      </c>
      <c r="AO92" s="78">
        <f t="shared" ref="AO92:AS92" si="26">AH95/(AH95+AB95+V95)</f>
        <v>0.09848484848</v>
      </c>
      <c r="AP92" s="78">
        <f t="shared" si="26"/>
        <v>0.1863636364</v>
      </c>
      <c r="AQ92" s="78">
        <f t="shared" si="26"/>
        <v>0.1937984496</v>
      </c>
      <c r="AR92" s="78">
        <f t="shared" si="26"/>
        <v>0.2419354839</v>
      </c>
      <c r="AS92" s="78">
        <f t="shared" si="26"/>
        <v>0.1731123389</v>
      </c>
    </row>
    <row r="93" ht="12.75" customHeight="1">
      <c r="A93" s="17">
        <v>4.0</v>
      </c>
      <c r="B93" s="19">
        <f>'#32'!G154</f>
        <v>15</v>
      </c>
      <c r="C93" s="19">
        <f>'#32'!I154</f>
        <v>32</v>
      </c>
      <c r="D93" s="19">
        <f>'#32'!K154</f>
        <v>15</v>
      </c>
      <c r="E93" s="19">
        <f t="shared" si="22"/>
        <v>62</v>
      </c>
      <c r="F93" s="19"/>
      <c r="G93" s="19">
        <f>'#32'!H154</f>
        <v>930</v>
      </c>
      <c r="H93" s="19">
        <f>'#32'!J154</f>
        <v>2020</v>
      </c>
      <c r="I93" s="19">
        <f>'#32'!L154</f>
        <v>950</v>
      </c>
      <c r="J93" s="19">
        <f t="shared" si="23"/>
        <v>3900</v>
      </c>
      <c r="K93" s="19">
        <f t="shared" si="24"/>
        <v>62.90322581</v>
      </c>
      <c r="L93" s="4"/>
      <c r="M93" s="75">
        <f>G93/B93/Max!B3</f>
        <v>0.62</v>
      </c>
      <c r="N93" s="75">
        <f>H93/C93/Max!B4</f>
        <v>0.63125</v>
      </c>
      <c r="O93" s="75">
        <f>I93/D93/Max!B5</f>
        <v>0.6333333333</v>
      </c>
      <c r="P93" s="4"/>
      <c r="Q93" s="4"/>
      <c r="R93" s="4"/>
      <c r="S93" s="4"/>
      <c r="T93" s="4"/>
      <c r="U93" s="20" t="s">
        <v>31</v>
      </c>
      <c r="V93" s="19">
        <f>'#32'!$P$48</f>
        <v>2</v>
      </c>
      <c r="W93" s="19">
        <f>'#32'!$P$95</f>
        <v>26</v>
      </c>
      <c r="X93" s="19">
        <f>'#32'!$P$132</f>
        <v>10</v>
      </c>
      <c r="Y93" s="19">
        <v>0.0</v>
      </c>
      <c r="Z93" s="19">
        <f>'#32'!$P$156</f>
        <v>38</v>
      </c>
      <c r="AA93" s="20" t="s">
        <v>31</v>
      </c>
      <c r="AB93" s="19">
        <f>'#32'!$U$48</f>
        <v>2</v>
      </c>
      <c r="AC93" s="19">
        <f>'#32'!$U$95</f>
        <v>42</v>
      </c>
      <c r="AD93" s="19">
        <f>'#32'!$U$132</f>
        <v>19</v>
      </c>
      <c r="AE93" s="19">
        <v>0.0</v>
      </c>
      <c r="AF93" s="19">
        <f>'#32'!$U$156</f>
        <v>63</v>
      </c>
      <c r="AG93" s="20" t="s">
        <v>31</v>
      </c>
      <c r="AH93" s="19">
        <f>'#32'!$Z$48</f>
        <v>1</v>
      </c>
      <c r="AI93" s="19">
        <f>'#32'!$Z$95</f>
        <v>15</v>
      </c>
      <c r="AJ93" s="19">
        <v>0.0</v>
      </c>
      <c r="AK93" s="19">
        <v>0.0</v>
      </c>
      <c r="AL93" s="19">
        <f>'#32'!$Z$156</f>
        <v>16</v>
      </c>
    </row>
    <row r="94" ht="12.75" customHeight="1">
      <c r="A94" s="17" t="s">
        <v>81</v>
      </c>
      <c r="B94" s="19">
        <f>'#32'!G156</f>
        <v>192</v>
      </c>
      <c r="C94" s="19">
        <f>'#32'!I156</f>
        <v>257</v>
      </c>
      <c r="D94" s="19">
        <f>'#32'!K156</f>
        <v>94</v>
      </c>
      <c r="E94" s="19">
        <f t="shared" si="22"/>
        <v>543</v>
      </c>
      <c r="F94" s="19"/>
      <c r="G94" s="19">
        <f t="shared" ref="G94:J94" si="27">SUM(G89:G93)</f>
        <v>13085</v>
      </c>
      <c r="H94" s="19">
        <f t="shared" si="27"/>
        <v>17770</v>
      </c>
      <c r="I94" s="19">
        <f t="shared" si="27"/>
        <v>6360</v>
      </c>
      <c r="J94" s="19">
        <f t="shared" si="27"/>
        <v>37215</v>
      </c>
      <c r="K94" s="19">
        <f t="shared" si="24"/>
        <v>68.5359116</v>
      </c>
      <c r="L94" s="4"/>
      <c r="M94" s="75">
        <f>G94/B94/Max!B3</f>
        <v>0.6815104167</v>
      </c>
      <c r="N94" s="75">
        <f>H94/C94/Max!B4</f>
        <v>0.6914396887</v>
      </c>
      <c r="O94" s="75">
        <f>I94/D94/Max!B5</f>
        <v>0.6765957447</v>
      </c>
      <c r="P94" s="4"/>
      <c r="Q94" s="4"/>
      <c r="R94" s="4"/>
      <c r="S94" s="4"/>
      <c r="T94" s="4"/>
      <c r="U94" s="20" t="s">
        <v>32</v>
      </c>
      <c r="V94" s="19">
        <f>'#32'!$Q$48</f>
        <v>3</v>
      </c>
      <c r="W94" s="19">
        <v>0.0</v>
      </c>
      <c r="X94" s="19">
        <v>0.0</v>
      </c>
      <c r="Y94" s="19">
        <v>0.0</v>
      </c>
      <c r="Z94" s="19">
        <f>'#32'!$Q$156</f>
        <v>3</v>
      </c>
      <c r="AA94" s="20" t="s">
        <v>32</v>
      </c>
      <c r="AB94" s="19">
        <f>'#32'!$V$48</f>
        <v>3</v>
      </c>
      <c r="AC94" s="19">
        <v>0.0</v>
      </c>
      <c r="AD94" s="19">
        <v>0.0</v>
      </c>
      <c r="AE94" s="19">
        <v>0.0</v>
      </c>
      <c r="AF94" s="19">
        <f>'#32'!$V$156</f>
        <v>3</v>
      </c>
      <c r="AG94" s="20" t="s">
        <v>32</v>
      </c>
      <c r="AH94" s="19">
        <f>'#32'!$AA$48</f>
        <v>3</v>
      </c>
      <c r="AI94" s="19">
        <v>0.0</v>
      </c>
      <c r="AJ94" s="19">
        <v>0.0</v>
      </c>
      <c r="AK94" s="19">
        <v>0.0</v>
      </c>
      <c r="AL94" s="19">
        <f>'#32'!$AA$156</f>
        <v>3</v>
      </c>
    </row>
    <row r="95" ht="12.75" customHeight="1">
      <c r="A95" s="17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4"/>
      <c r="M95" s="75"/>
      <c r="N95" s="75"/>
      <c r="O95" s="75"/>
      <c r="P95" s="4"/>
      <c r="Q95" s="4"/>
      <c r="R95" s="4"/>
      <c r="S95" s="4"/>
      <c r="T95" s="4"/>
      <c r="U95" s="20" t="s">
        <v>73</v>
      </c>
      <c r="V95" s="19">
        <f t="shared" ref="V95:Z95" si="28">SUM(V90:V94)</f>
        <v>59</v>
      </c>
      <c r="W95" s="19">
        <f t="shared" si="28"/>
        <v>77</v>
      </c>
      <c r="X95" s="19">
        <f t="shared" si="28"/>
        <v>41</v>
      </c>
      <c r="Y95" s="19">
        <f t="shared" si="28"/>
        <v>15</v>
      </c>
      <c r="Z95" s="19">
        <f t="shared" si="28"/>
        <v>192</v>
      </c>
      <c r="AA95" s="20" t="s">
        <v>73</v>
      </c>
      <c r="AB95" s="19">
        <f t="shared" ref="AB95:AF95" si="29">SUM(AB90:AB94)</f>
        <v>60</v>
      </c>
      <c r="AC95" s="19">
        <f t="shared" si="29"/>
        <v>102</v>
      </c>
      <c r="AD95" s="19">
        <f t="shared" si="29"/>
        <v>63</v>
      </c>
      <c r="AE95" s="19">
        <f t="shared" si="29"/>
        <v>32</v>
      </c>
      <c r="AF95" s="19">
        <f t="shared" si="29"/>
        <v>257</v>
      </c>
      <c r="AG95" s="20" t="s">
        <v>73</v>
      </c>
      <c r="AH95" s="19">
        <f t="shared" ref="AH95:AL95" si="30">SUM(AH90:AH94)</f>
        <v>13</v>
      </c>
      <c r="AI95" s="19">
        <f t="shared" si="30"/>
        <v>41</v>
      </c>
      <c r="AJ95" s="19">
        <f t="shared" si="30"/>
        <v>25</v>
      </c>
      <c r="AK95" s="19">
        <f t="shared" si="30"/>
        <v>15</v>
      </c>
      <c r="AL95" s="19">
        <f t="shared" si="30"/>
        <v>94</v>
      </c>
    </row>
    <row r="96" ht="12.75" customHeight="1">
      <c r="A96" s="17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4"/>
      <c r="M96" s="75"/>
      <c r="N96" s="75"/>
      <c r="O96" s="75"/>
      <c r="P96" s="4"/>
      <c r="Q96" s="4"/>
      <c r="R96" s="4"/>
      <c r="S96" s="4"/>
      <c r="T96" s="4"/>
      <c r="U96" s="20" t="s">
        <v>82</v>
      </c>
      <c r="V96" s="75">
        <f>M90</f>
        <v>0.6728813559</v>
      </c>
      <c r="W96" s="75">
        <f>M91</f>
        <v>0.7006493506</v>
      </c>
      <c r="X96" s="75">
        <f>M92</f>
        <v>0.6804878049</v>
      </c>
      <c r="Y96" s="75">
        <f>M93</f>
        <v>0.62</v>
      </c>
      <c r="Z96" s="75">
        <f>M94</f>
        <v>0.6815104167</v>
      </c>
      <c r="AA96" s="20" t="s">
        <v>82</v>
      </c>
      <c r="AB96" s="75">
        <f>N90</f>
        <v>0.6941666667</v>
      </c>
      <c r="AC96" s="75">
        <f>N91</f>
        <v>0.7058823529</v>
      </c>
      <c r="AD96" s="75">
        <f>N92</f>
        <v>0.696031746</v>
      </c>
      <c r="AE96" s="75">
        <f>N93</f>
        <v>0.63125</v>
      </c>
      <c r="AF96" s="75">
        <f>N94</f>
        <v>0.6914396887</v>
      </c>
      <c r="AG96" s="20" t="s">
        <v>82</v>
      </c>
      <c r="AH96" s="75">
        <f>O90</f>
        <v>0.7076923077</v>
      </c>
      <c r="AI96" s="75">
        <f>O91</f>
        <v>0.6853658537</v>
      </c>
      <c r="AJ96" s="75">
        <f>O92</f>
        <v>0.672</v>
      </c>
      <c r="AK96" s="75">
        <f>O93</f>
        <v>0.6333333333</v>
      </c>
      <c r="AL96" s="75">
        <f>O94</f>
        <v>0.6765957447</v>
      </c>
    </row>
    <row r="97" ht="12.75" customHeight="1">
      <c r="A97" s="17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4"/>
      <c r="M97" s="75"/>
      <c r="N97" s="75"/>
      <c r="O97" s="75"/>
      <c r="P97" s="4"/>
      <c r="Q97" s="4"/>
      <c r="R97" s="4"/>
      <c r="S97" s="4"/>
      <c r="T97" s="4"/>
      <c r="AD97" s="4"/>
      <c r="AE97" s="4"/>
      <c r="AF97" s="4"/>
    </row>
    <row r="98" ht="12.75" customHeight="1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4"/>
      <c r="M98" s="73"/>
      <c r="N98" s="73"/>
      <c r="O98" s="73"/>
      <c r="P98" s="4"/>
      <c r="Q98" s="4"/>
      <c r="R98" s="4"/>
      <c r="S98" s="4"/>
      <c r="T98" s="4"/>
      <c r="AD98" s="4"/>
      <c r="AE98" s="4"/>
      <c r="AF98" s="4"/>
    </row>
    <row r="99" ht="12.75" customHeight="1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4"/>
      <c r="M99" s="73"/>
      <c r="N99" s="73"/>
      <c r="O99" s="73"/>
      <c r="P99" s="4"/>
      <c r="Q99" s="4"/>
      <c r="R99" s="4"/>
      <c r="S99" s="4"/>
      <c r="T99" s="4"/>
      <c r="AD99" s="4"/>
      <c r="AE99" s="4"/>
      <c r="AF99" s="4"/>
    </row>
    <row r="100" ht="12.75" customHeight="1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4"/>
      <c r="M100" s="73"/>
      <c r="N100" s="73"/>
      <c r="O100" s="73"/>
      <c r="P100" s="4"/>
      <c r="Q100" s="4"/>
      <c r="R100" s="4"/>
      <c r="S100" s="4"/>
      <c r="T100" s="4"/>
      <c r="AD100" s="4"/>
      <c r="AE100" s="4"/>
      <c r="AF100" s="4"/>
    </row>
    <row r="101" ht="12.75" customHeight="1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4"/>
      <c r="M101" s="73"/>
      <c r="N101" s="73"/>
      <c r="O101" s="73"/>
      <c r="P101" s="4"/>
      <c r="Q101" s="4"/>
      <c r="R101" s="4"/>
      <c r="S101" s="4"/>
      <c r="T101" s="4"/>
      <c r="AD101" s="4"/>
      <c r="AE101" s="4"/>
      <c r="AF101" s="4"/>
    </row>
    <row r="102" ht="12.75" customHeight="1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4"/>
      <c r="M102" s="73"/>
      <c r="N102" s="73"/>
      <c r="O102" s="73"/>
      <c r="P102" s="4"/>
      <c r="Q102" s="4"/>
      <c r="R102" s="4"/>
      <c r="S102" s="4"/>
      <c r="T102" s="4"/>
      <c r="AD102" s="4"/>
      <c r="AE102" s="4"/>
      <c r="AF102" s="4"/>
    </row>
    <row r="103" ht="12.75" customHeight="1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4"/>
      <c r="M103" s="73"/>
      <c r="N103" s="73"/>
      <c r="O103" s="73"/>
      <c r="P103" s="4"/>
      <c r="Q103" s="4"/>
      <c r="R103" s="4"/>
      <c r="S103" s="4"/>
      <c r="T103" s="4"/>
      <c r="AD103" s="4"/>
      <c r="AE103" s="4"/>
      <c r="AF103" s="4"/>
    </row>
    <row r="104" ht="12.75" customHeight="1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4"/>
      <c r="M104" s="73"/>
      <c r="N104" s="73"/>
      <c r="O104" s="73"/>
      <c r="P104" s="4"/>
      <c r="Q104" s="4"/>
      <c r="R104" s="4"/>
      <c r="S104" s="4"/>
      <c r="T104" s="4"/>
      <c r="AD104" s="4"/>
      <c r="AE104" s="4"/>
      <c r="AF104" s="4"/>
    </row>
    <row r="105" ht="12.75" customHeight="1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4"/>
      <c r="M105" s="73"/>
      <c r="N105" s="73"/>
      <c r="O105" s="73"/>
      <c r="P105" s="4"/>
      <c r="Q105" s="4"/>
      <c r="R105" s="4"/>
      <c r="S105" s="4"/>
      <c r="T105" s="4"/>
      <c r="AD105" s="4"/>
      <c r="AE105" s="4"/>
      <c r="AF105" s="4"/>
    </row>
    <row r="106" ht="12.75" customHeight="1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4"/>
      <c r="M106" s="73"/>
      <c r="N106" s="73"/>
      <c r="O106" s="73"/>
      <c r="P106" s="4"/>
      <c r="Q106" s="4"/>
      <c r="R106" s="4"/>
      <c r="S106" s="4"/>
      <c r="T106" s="4"/>
      <c r="AD106" s="4"/>
      <c r="AE106" s="4"/>
      <c r="AF106" s="4"/>
    </row>
    <row r="107" ht="12.75" customHeight="1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4"/>
      <c r="M107" s="73"/>
      <c r="N107" s="73"/>
      <c r="O107" s="73"/>
      <c r="P107" s="4"/>
      <c r="Q107" s="4"/>
      <c r="R107" s="4"/>
      <c r="S107" s="4"/>
      <c r="T107" s="4"/>
      <c r="AD107" s="4"/>
      <c r="AE107" s="4"/>
      <c r="AF107" s="4"/>
    </row>
    <row r="108" ht="12.75" customHeight="1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4"/>
      <c r="M108" s="73"/>
      <c r="N108" s="73"/>
      <c r="O108" s="73"/>
      <c r="P108" s="4"/>
      <c r="Q108" s="4"/>
      <c r="R108" s="4"/>
      <c r="S108" s="4"/>
      <c r="T108" s="4"/>
      <c r="AD108" s="4"/>
      <c r="AE108" s="4"/>
      <c r="AF108" s="4"/>
    </row>
    <row r="109" ht="12.75" customHeight="1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4"/>
      <c r="M109" s="73"/>
      <c r="N109" s="73"/>
      <c r="O109" s="73"/>
      <c r="P109" s="4"/>
      <c r="Q109" s="4"/>
      <c r="R109" s="4"/>
      <c r="S109" s="4"/>
      <c r="T109" s="4"/>
      <c r="AD109" s="4"/>
      <c r="AE109" s="4"/>
      <c r="AF109" s="4"/>
    </row>
    <row r="110" ht="12.75" customHeight="1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4"/>
      <c r="M110" s="73"/>
      <c r="N110" s="73"/>
      <c r="O110" s="73"/>
      <c r="P110" s="4"/>
      <c r="Q110" s="4"/>
      <c r="R110" s="4"/>
      <c r="S110" s="4"/>
      <c r="T110" s="4"/>
      <c r="AD110" s="4"/>
      <c r="AE110" s="4"/>
      <c r="AF110" s="4"/>
    </row>
    <row r="111" ht="12.75" customHeight="1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4"/>
      <c r="M111" s="73"/>
      <c r="N111" s="73"/>
      <c r="O111" s="73"/>
      <c r="P111" s="4"/>
      <c r="Q111" s="4"/>
      <c r="R111" s="4"/>
      <c r="S111" s="4"/>
      <c r="T111" s="4"/>
      <c r="AD111" s="4"/>
      <c r="AE111" s="4"/>
      <c r="AF111" s="4"/>
    </row>
    <row r="112" ht="12.75" customHeight="1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4"/>
      <c r="M112" s="73"/>
      <c r="N112" s="73"/>
      <c r="O112" s="73"/>
      <c r="P112" s="4"/>
      <c r="Q112" s="4"/>
      <c r="R112" s="4"/>
      <c r="S112" s="4"/>
      <c r="T112" s="4"/>
      <c r="AD112" s="4"/>
      <c r="AE112" s="4"/>
      <c r="AF112" s="4"/>
    </row>
    <row r="113" ht="12.75" customHeight="1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4"/>
      <c r="M113" s="73"/>
      <c r="N113" s="73"/>
      <c r="O113" s="73"/>
      <c r="P113" s="4"/>
      <c r="Q113" s="4"/>
      <c r="R113" s="4"/>
      <c r="S113" s="4"/>
      <c r="T113" s="4"/>
      <c r="AD113" s="4"/>
      <c r="AE113" s="4"/>
      <c r="AF113" s="4"/>
    </row>
    <row r="114" ht="12.75" customHeight="1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4"/>
      <c r="M114" s="73"/>
      <c r="N114" s="73"/>
      <c r="O114" s="73"/>
      <c r="P114" s="4"/>
      <c r="Q114" s="4"/>
      <c r="R114" s="4"/>
      <c r="S114" s="4"/>
      <c r="T114" s="4"/>
      <c r="AD114" s="4"/>
      <c r="AE114" s="4"/>
      <c r="AF114" s="4"/>
    </row>
    <row r="115" ht="12.75" customHeight="1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4"/>
      <c r="M115" s="73"/>
      <c r="N115" s="73"/>
      <c r="O115" s="73"/>
      <c r="P115" s="4"/>
      <c r="Q115" s="4"/>
      <c r="R115" s="4"/>
      <c r="S115" s="4"/>
      <c r="T115" s="4"/>
      <c r="AD115" s="4"/>
      <c r="AE115" s="4"/>
      <c r="AF115" s="4"/>
    </row>
    <row r="116" ht="12.75" customHeight="1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4"/>
      <c r="M116" s="73"/>
      <c r="N116" s="73"/>
      <c r="O116" s="73"/>
      <c r="P116" s="4"/>
      <c r="Q116" s="4"/>
      <c r="R116" s="4"/>
      <c r="S116" s="4"/>
      <c r="T116" s="4"/>
      <c r="AD116" s="4"/>
      <c r="AE116" s="4"/>
      <c r="AF116" s="4"/>
    </row>
    <row r="117" ht="12.75" customHeight="1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4"/>
      <c r="M117" s="73"/>
      <c r="N117" s="73"/>
      <c r="O117" s="73"/>
      <c r="P117" s="4"/>
      <c r="Q117" s="4"/>
      <c r="R117" s="4"/>
      <c r="S117" s="4"/>
      <c r="T117" s="4"/>
      <c r="AD117" s="4"/>
      <c r="AE117" s="4"/>
      <c r="AF117" s="4"/>
    </row>
    <row r="118" ht="12.75" customHeight="1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4"/>
      <c r="M118" s="73"/>
      <c r="N118" s="73"/>
      <c r="O118" s="73"/>
      <c r="P118" s="4"/>
      <c r="Q118" s="4"/>
      <c r="R118" s="4"/>
      <c r="S118" s="4"/>
      <c r="T118" s="4"/>
      <c r="AD118" s="4"/>
      <c r="AE118" s="4"/>
      <c r="AF118" s="4"/>
    </row>
    <row r="119" ht="12.75" customHeight="1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4"/>
      <c r="M119" s="73"/>
      <c r="N119" s="73"/>
      <c r="O119" s="73"/>
      <c r="P119" s="4"/>
      <c r="Q119" s="4"/>
      <c r="R119" s="4"/>
      <c r="S119" s="4"/>
      <c r="T119" s="4"/>
      <c r="AD119" s="4"/>
      <c r="AE119" s="4"/>
      <c r="AF119" s="4"/>
    </row>
    <row r="120" ht="12.75" customHeight="1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4"/>
      <c r="M120" s="73"/>
      <c r="N120" s="73"/>
      <c r="O120" s="73"/>
      <c r="P120" s="4"/>
      <c r="Q120" s="4"/>
      <c r="R120" s="4"/>
      <c r="S120" s="4"/>
      <c r="T120" s="4"/>
      <c r="AD120" s="4"/>
      <c r="AE120" s="4"/>
      <c r="AF120" s="4"/>
    </row>
    <row r="121" ht="12.75" customHeight="1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4"/>
      <c r="M121" s="73"/>
      <c r="N121" s="73"/>
      <c r="O121" s="73"/>
      <c r="P121" s="4"/>
      <c r="Q121" s="4"/>
      <c r="R121" s="4"/>
      <c r="S121" s="4"/>
      <c r="T121" s="4"/>
      <c r="AD121" s="4"/>
      <c r="AE121" s="4"/>
      <c r="AF121" s="4"/>
    </row>
    <row r="122" ht="12.75" customHeight="1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4"/>
      <c r="M122" s="73"/>
      <c r="N122" s="73"/>
      <c r="O122" s="73"/>
      <c r="P122" s="4"/>
      <c r="Q122" s="4"/>
      <c r="R122" s="4"/>
      <c r="S122" s="4"/>
      <c r="T122" s="4"/>
      <c r="AD122" s="4"/>
      <c r="AE122" s="4"/>
      <c r="AF122" s="4"/>
    </row>
    <row r="123" ht="12.75" customHeight="1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4"/>
      <c r="M123" s="73"/>
      <c r="N123" s="73"/>
      <c r="O123" s="73"/>
      <c r="P123" s="4"/>
      <c r="Q123" s="4"/>
      <c r="R123" s="4"/>
      <c r="S123" s="4"/>
      <c r="T123" s="4"/>
      <c r="AD123" s="4"/>
      <c r="AE123" s="4"/>
      <c r="AF123" s="4"/>
    </row>
    <row r="124" ht="12.75" customHeight="1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4"/>
      <c r="M124" s="73"/>
      <c r="N124" s="73"/>
      <c r="O124" s="73"/>
      <c r="P124" s="4"/>
      <c r="Q124" s="4"/>
      <c r="R124" s="4"/>
      <c r="S124" s="4"/>
      <c r="T124" s="4"/>
      <c r="AD124" s="4"/>
      <c r="AE124" s="4"/>
      <c r="AF124" s="4"/>
    </row>
    <row r="125" ht="12.75" customHeight="1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4"/>
      <c r="M125" s="73"/>
      <c r="N125" s="73"/>
      <c r="O125" s="73"/>
      <c r="P125" s="4"/>
      <c r="Q125" s="4"/>
      <c r="R125" s="4"/>
      <c r="S125" s="4"/>
      <c r="T125" s="4"/>
      <c r="AD125" s="4"/>
      <c r="AE125" s="4"/>
      <c r="AF125" s="4"/>
    </row>
    <row r="126" ht="12.75" customHeight="1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4"/>
      <c r="M126" s="73"/>
      <c r="N126" s="73"/>
      <c r="O126" s="73"/>
      <c r="P126" s="4"/>
      <c r="Q126" s="4"/>
      <c r="R126" s="4"/>
      <c r="S126" s="4"/>
      <c r="T126" s="4"/>
      <c r="AD126" s="4"/>
      <c r="AE126" s="4"/>
      <c r="AF126" s="4"/>
    </row>
    <row r="127" ht="12.75" customHeight="1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4"/>
      <c r="M127" s="73"/>
      <c r="N127" s="73"/>
      <c r="O127" s="73"/>
      <c r="P127" s="4"/>
      <c r="Q127" s="4"/>
      <c r="R127" s="4"/>
      <c r="S127" s="4"/>
      <c r="T127" s="4"/>
      <c r="AD127" s="4"/>
      <c r="AE127" s="4"/>
      <c r="AF127" s="4"/>
    </row>
    <row r="128" ht="12.75" customHeight="1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4"/>
      <c r="M128" s="73"/>
      <c r="N128" s="73"/>
      <c r="O128" s="73"/>
      <c r="P128" s="4"/>
      <c r="Q128" s="4"/>
      <c r="R128" s="4"/>
      <c r="S128" s="4"/>
      <c r="T128" s="4"/>
      <c r="AD128" s="4"/>
      <c r="AE128" s="4"/>
      <c r="AF128" s="4"/>
    </row>
    <row r="129" ht="12.75" customHeight="1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4"/>
      <c r="M129" s="73"/>
      <c r="N129" s="73"/>
      <c r="O129" s="73"/>
      <c r="P129" s="4"/>
      <c r="Q129" s="4"/>
      <c r="R129" s="4"/>
      <c r="S129" s="4"/>
      <c r="T129" s="4"/>
      <c r="AD129" s="4"/>
      <c r="AE129" s="4"/>
      <c r="AF129" s="4"/>
    </row>
    <row r="130" ht="12.75" customHeight="1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4"/>
      <c r="M130" s="73"/>
      <c r="N130" s="73"/>
      <c r="O130" s="73"/>
      <c r="P130" s="4"/>
      <c r="Q130" s="4"/>
      <c r="R130" s="4"/>
      <c r="S130" s="4"/>
      <c r="T130" s="4"/>
      <c r="AD130" s="4"/>
      <c r="AE130" s="4"/>
      <c r="AF130" s="4"/>
    </row>
    <row r="131" ht="12.75" customHeight="1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4"/>
      <c r="M131" s="73"/>
      <c r="N131" s="73"/>
      <c r="O131" s="73"/>
      <c r="P131" s="4"/>
      <c r="Q131" s="4"/>
      <c r="R131" s="4"/>
      <c r="S131" s="4"/>
      <c r="T131" s="4"/>
      <c r="AD131" s="4"/>
      <c r="AE131" s="4"/>
      <c r="AF131" s="4"/>
    </row>
    <row r="132" ht="12.75" customHeight="1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4"/>
      <c r="M132" s="73"/>
      <c r="N132" s="73"/>
      <c r="O132" s="73"/>
      <c r="P132" s="4"/>
      <c r="Q132" s="4"/>
      <c r="R132" s="4"/>
      <c r="S132" s="4"/>
      <c r="T132" s="4"/>
      <c r="AD132" s="4"/>
      <c r="AE132" s="4"/>
      <c r="AF132" s="4"/>
    </row>
    <row r="133" ht="12.75" customHeight="1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4"/>
      <c r="M133" s="73"/>
      <c r="N133" s="73"/>
      <c r="O133" s="73"/>
      <c r="P133" s="4"/>
      <c r="Q133" s="4"/>
      <c r="R133" s="4"/>
      <c r="S133" s="4"/>
      <c r="T133" s="4"/>
      <c r="AD133" s="4"/>
      <c r="AE133" s="4"/>
      <c r="AF133" s="4"/>
    </row>
    <row r="134" ht="12.75" customHeight="1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4"/>
      <c r="M134" s="73"/>
      <c r="N134" s="73"/>
      <c r="O134" s="73"/>
      <c r="P134" s="4"/>
      <c r="Q134" s="4"/>
      <c r="R134" s="4"/>
      <c r="S134" s="4"/>
      <c r="T134" s="4"/>
      <c r="AD134" s="4"/>
      <c r="AE134" s="4"/>
      <c r="AF134" s="4"/>
    </row>
    <row r="135" ht="12.75" customHeight="1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4"/>
      <c r="M135" s="73"/>
      <c r="N135" s="73"/>
      <c r="O135" s="73"/>
      <c r="P135" s="4"/>
      <c r="Q135" s="4"/>
      <c r="R135" s="4"/>
      <c r="S135" s="4"/>
      <c r="T135" s="4"/>
      <c r="AD135" s="4"/>
      <c r="AE135" s="4"/>
      <c r="AF135" s="4"/>
    </row>
    <row r="136" ht="12.75" customHeight="1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4"/>
      <c r="M136" s="73"/>
      <c r="N136" s="73"/>
      <c r="O136" s="73"/>
      <c r="P136" s="4"/>
      <c r="Q136" s="4"/>
      <c r="R136" s="4"/>
      <c r="S136" s="4"/>
      <c r="T136" s="4"/>
      <c r="AD136" s="4"/>
      <c r="AE136" s="4"/>
      <c r="AF136" s="4"/>
    </row>
    <row r="137" ht="12.75" customHeight="1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4"/>
      <c r="M137" s="73"/>
      <c r="N137" s="73"/>
      <c r="O137" s="73"/>
      <c r="P137" s="4"/>
      <c r="Q137" s="4"/>
      <c r="R137" s="4"/>
      <c r="S137" s="4"/>
      <c r="T137" s="4"/>
      <c r="AD137" s="4"/>
      <c r="AE137" s="4"/>
      <c r="AF137" s="4"/>
    </row>
    <row r="138" ht="12.75" customHeight="1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4"/>
      <c r="M138" s="73"/>
      <c r="N138" s="73"/>
      <c r="O138" s="73"/>
      <c r="P138" s="4"/>
      <c r="Q138" s="4"/>
      <c r="R138" s="4"/>
      <c r="S138" s="4"/>
      <c r="T138" s="4"/>
      <c r="AD138" s="4"/>
      <c r="AE138" s="4"/>
      <c r="AF138" s="4"/>
    </row>
    <row r="139" ht="12.75" customHeight="1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4"/>
      <c r="M139" s="73"/>
      <c r="N139" s="73"/>
      <c r="O139" s="73"/>
      <c r="P139" s="4"/>
      <c r="Q139" s="4"/>
      <c r="R139" s="4"/>
      <c r="S139" s="4"/>
      <c r="T139" s="4"/>
      <c r="AD139" s="4"/>
      <c r="AE139" s="4"/>
      <c r="AF139" s="4"/>
    </row>
    <row r="140" ht="12.75" customHeight="1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4"/>
      <c r="M140" s="73"/>
      <c r="N140" s="73"/>
      <c r="O140" s="73"/>
      <c r="P140" s="4"/>
      <c r="Q140" s="4"/>
      <c r="R140" s="4"/>
      <c r="S140" s="4"/>
      <c r="T140" s="4"/>
      <c r="AD140" s="4"/>
      <c r="AE140" s="4"/>
      <c r="AF140" s="4"/>
    </row>
    <row r="141" ht="12.75" customHeight="1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4"/>
      <c r="M141" s="73"/>
      <c r="N141" s="73"/>
      <c r="O141" s="73"/>
      <c r="P141" s="4"/>
      <c r="Q141" s="4"/>
      <c r="R141" s="4"/>
      <c r="S141" s="4"/>
      <c r="T141" s="4"/>
      <c r="AD141" s="4"/>
      <c r="AE141" s="4"/>
      <c r="AF141" s="4"/>
    </row>
    <row r="142" ht="12.75" customHeight="1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4"/>
      <c r="M142" s="73"/>
      <c r="N142" s="73"/>
      <c r="O142" s="73"/>
      <c r="P142" s="4"/>
      <c r="Q142" s="4"/>
      <c r="R142" s="4"/>
      <c r="S142" s="4"/>
      <c r="T142" s="4"/>
      <c r="AD142" s="4"/>
      <c r="AE142" s="4"/>
      <c r="AF142" s="4"/>
    </row>
    <row r="143" ht="12.75" customHeight="1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4"/>
      <c r="M143" s="73"/>
      <c r="N143" s="73"/>
      <c r="O143" s="73"/>
      <c r="P143" s="4"/>
      <c r="Q143" s="4"/>
      <c r="R143" s="4"/>
      <c r="S143" s="4"/>
      <c r="T143" s="4"/>
      <c r="AD143" s="4"/>
      <c r="AE143" s="4"/>
      <c r="AF143" s="4"/>
    </row>
    <row r="144" ht="12.75" customHeight="1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4"/>
      <c r="M144" s="73"/>
      <c r="N144" s="73"/>
      <c r="O144" s="73"/>
      <c r="P144" s="4"/>
      <c r="Q144" s="4"/>
      <c r="R144" s="4"/>
      <c r="S144" s="4"/>
      <c r="T144" s="4"/>
      <c r="AD144" s="4"/>
      <c r="AE144" s="4"/>
      <c r="AF144" s="4"/>
    </row>
    <row r="145" ht="12.75" customHeight="1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4"/>
      <c r="M145" s="73"/>
      <c r="N145" s="73"/>
      <c r="O145" s="73"/>
      <c r="P145" s="4"/>
      <c r="Q145" s="4"/>
      <c r="R145" s="4"/>
      <c r="S145" s="4"/>
      <c r="T145" s="4"/>
      <c r="AD145" s="4"/>
      <c r="AE145" s="4"/>
      <c r="AF145" s="4"/>
    </row>
    <row r="146" ht="12.75" customHeight="1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4"/>
      <c r="M146" s="73"/>
      <c r="N146" s="73"/>
      <c r="O146" s="73"/>
      <c r="P146" s="4"/>
      <c r="Q146" s="4"/>
      <c r="R146" s="4"/>
      <c r="S146" s="4"/>
      <c r="T146" s="4"/>
      <c r="AD146" s="4"/>
      <c r="AE146" s="4"/>
      <c r="AF146" s="4"/>
    </row>
    <row r="147" ht="12.75" customHeight="1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4"/>
      <c r="M147" s="73"/>
      <c r="N147" s="73"/>
      <c r="O147" s="73"/>
      <c r="P147" s="4"/>
      <c r="Q147" s="4"/>
      <c r="R147" s="4"/>
      <c r="S147" s="4"/>
      <c r="T147" s="4"/>
      <c r="AD147" s="4"/>
      <c r="AE147" s="4"/>
      <c r="AF147" s="4"/>
    </row>
    <row r="148" ht="12.75" customHeight="1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4"/>
      <c r="M148" s="73"/>
      <c r="N148" s="73"/>
      <c r="O148" s="73"/>
      <c r="P148" s="4"/>
      <c r="Q148" s="4"/>
      <c r="R148" s="4"/>
      <c r="S148" s="4"/>
      <c r="T148" s="4"/>
      <c r="AD148" s="4"/>
      <c r="AE148" s="4"/>
      <c r="AF148" s="4"/>
    </row>
    <row r="149" ht="12.75" customHeight="1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4"/>
      <c r="M149" s="73"/>
      <c r="N149" s="73"/>
      <c r="O149" s="73"/>
      <c r="P149" s="4"/>
      <c r="Q149" s="4"/>
      <c r="R149" s="4"/>
      <c r="S149" s="4"/>
      <c r="T149" s="4"/>
      <c r="AD149" s="4"/>
      <c r="AE149" s="4"/>
      <c r="AF149" s="4"/>
    </row>
    <row r="150" ht="12.75" customHeight="1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4"/>
      <c r="M150" s="73"/>
      <c r="N150" s="73"/>
      <c r="O150" s="73"/>
      <c r="P150" s="4"/>
      <c r="Q150" s="4"/>
      <c r="R150" s="4"/>
      <c r="S150" s="4"/>
      <c r="T150" s="4"/>
      <c r="AD150" s="4"/>
      <c r="AE150" s="4"/>
      <c r="AF150" s="4"/>
    </row>
    <row r="151" ht="12.75" customHeight="1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4"/>
      <c r="M151" s="73"/>
      <c r="N151" s="73"/>
      <c r="O151" s="73"/>
      <c r="P151" s="4"/>
      <c r="Q151" s="4"/>
      <c r="R151" s="4"/>
      <c r="S151" s="4"/>
      <c r="T151" s="4"/>
      <c r="AD151" s="4"/>
      <c r="AE151" s="4"/>
      <c r="AF151" s="4"/>
    </row>
    <row r="152" ht="12.75" customHeight="1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4"/>
      <c r="M152" s="73"/>
      <c r="N152" s="73"/>
      <c r="O152" s="73"/>
      <c r="P152" s="4"/>
      <c r="Q152" s="4"/>
      <c r="R152" s="4"/>
      <c r="S152" s="4"/>
      <c r="T152" s="4"/>
      <c r="AD152" s="4"/>
      <c r="AE152" s="4"/>
      <c r="AF152" s="4"/>
    </row>
    <row r="153" ht="12.75" customHeight="1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4"/>
      <c r="M153" s="73"/>
      <c r="N153" s="73"/>
      <c r="O153" s="73"/>
      <c r="P153" s="4"/>
      <c r="Q153" s="4"/>
      <c r="R153" s="4"/>
      <c r="S153" s="4"/>
      <c r="T153" s="4"/>
      <c r="AD153" s="4"/>
      <c r="AE153" s="4"/>
      <c r="AF153" s="4"/>
    </row>
    <row r="154" ht="12.75" customHeight="1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4"/>
      <c r="M154" s="73"/>
      <c r="N154" s="73"/>
      <c r="O154" s="73"/>
      <c r="P154" s="4"/>
      <c r="Q154" s="4"/>
      <c r="R154" s="4"/>
      <c r="S154" s="4"/>
      <c r="T154" s="4"/>
      <c r="AD154" s="4"/>
      <c r="AE154" s="4"/>
      <c r="AF154" s="4"/>
    </row>
    <row r="155" ht="12.75" customHeight="1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4"/>
      <c r="M155" s="73"/>
      <c r="N155" s="73"/>
      <c r="O155" s="73"/>
      <c r="P155" s="4"/>
      <c r="Q155" s="4"/>
      <c r="R155" s="4"/>
      <c r="S155" s="4"/>
      <c r="T155" s="4"/>
      <c r="AD155" s="4"/>
      <c r="AE155" s="4"/>
      <c r="AF155" s="4"/>
    </row>
    <row r="156" ht="12.75" customHeight="1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4"/>
      <c r="M156" s="73"/>
      <c r="N156" s="73"/>
      <c r="O156" s="73"/>
      <c r="P156" s="4"/>
      <c r="Q156" s="4"/>
      <c r="R156" s="4"/>
      <c r="S156" s="4"/>
      <c r="T156" s="4"/>
      <c r="AD156" s="4"/>
      <c r="AE156" s="4"/>
      <c r="AF156" s="4"/>
    </row>
    <row r="157" ht="12.75" customHeight="1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4"/>
      <c r="M157" s="73"/>
      <c r="N157" s="73"/>
      <c r="O157" s="73"/>
      <c r="P157" s="4"/>
      <c r="Q157" s="4"/>
      <c r="R157" s="4"/>
      <c r="S157" s="4"/>
      <c r="T157" s="4"/>
      <c r="AD157" s="4"/>
      <c r="AE157" s="4"/>
      <c r="AF157" s="4"/>
    </row>
    <row r="158" ht="12.75" customHeight="1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4"/>
      <c r="M158" s="73"/>
      <c r="N158" s="73"/>
      <c r="O158" s="73"/>
      <c r="P158" s="4"/>
      <c r="Q158" s="4"/>
      <c r="R158" s="4"/>
      <c r="S158" s="4"/>
      <c r="T158" s="4"/>
      <c r="AD158" s="4"/>
      <c r="AE158" s="4"/>
      <c r="AF158" s="4"/>
    </row>
    <row r="159" ht="12.75" customHeight="1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4"/>
      <c r="M159" s="73"/>
      <c r="N159" s="73"/>
      <c r="O159" s="73"/>
      <c r="P159" s="4"/>
      <c r="Q159" s="4"/>
      <c r="R159" s="4"/>
      <c r="S159" s="4"/>
      <c r="T159" s="4"/>
      <c r="AD159" s="4"/>
      <c r="AE159" s="4"/>
      <c r="AF159" s="4"/>
    </row>
    <row r="160" ht="12.75" customHeight="1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4"/>
      <c r="M160" s="73"/>
      <c r="N160" s="73"/>
      <c r="O160" s="73"/>
      <c r="P160" s="4"/>
      <c r="Q160" s="4"/>
      <c r="R160" s="4"/>
      <c r="S160" s="4"/>
      <c r="T160" s="4"/>
      <c r="AD160" s="4"/>
      <c r="AE160" s="4"/>
      <c r="AF160" s="4"/>
    </row>
    <row r="161" ht="12.75" customHeight="1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4"/>
      <c r="M161" s="73"/>
      <c r="N161" s="73"/>
      <c r="O161" s="73"/>
      <c r="P161" s="4"/>
      <c r="Q161" s="4"/>
      <c r="R161" s="4"/>
      <c r="S161" s="4"/>
      <c r="T161" s="4"/>
      <c r="AD161" s="4"/>
      <c r="AE161" s="4"/>
      <c r="AF161" s="4"/>
    </row>
    <row r="162" ht="12.75" customHeight="1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4"/>
      <c r="M162" s="73"/>
      <c r="N162" s="73"/>
      <c r="O162" s="73"/>
      <c r="P162" s="4"/>
      <c r="Q162" s="4"/>
      <c r="R162" s="4"/>
      <c r="S162" s="4"/>
      <c r="T162" s="4"/>
      <c r="AD162" s="4"/>
      <c r="AE162" s="4"/>
      <c r="AF162" s="4"/>
    </row>
    <row r="163" ht="12.75" customHeight="1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4"/>
      <c r="M163" s="73"/>
      <c r="N163" s="73"/>
      <c r="O163" s="73"/>
      <c r="P163" s="4"/>
      <c r="Q163" s="4"/>
      <c r="R163" s="4"/>
      <c r="S163" s="4"/>
      <c r="T163" s="4"/>
      <c r="AD163" s="4"/>
      <c r="AE163" s="4"/>
      <c r="AF163" s="4"/>
    </row>
    <row r="164" ht="12.75" customHeight="1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4"/>
      <c r="M164" s="73"/>
      <c r="N164" s="73"/>
      <c r="O164" s="73"/>
      <c r="P164" s="4"/>
      <c r="Q164" s="4"/>
      <c r="R164" s="4"/>
      <c r="S164" s="4"/>
      <c r="T164" s="4"/>
      <c r="AD164" s="4"/>
      <c r="AE164" s="4"/>
      <c r="AF164" s="4"/>
    </row>
    <row r="165" ht="12.75" customHeight="1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4"/>
      <c r="M165" s="73"/>
      <c r="N165" s="73"/>
      <c r="O165" s="73"/>
      <c r="P165" s="4"/>
      <c r="Q165" s="4"/>
      <c r="R165" s="4"/>
      <c r="S165" s="4"/>
      <c r="T165" s="4"/>
      <c r="AD165" s="4"/>
      <c r="AE165" s="4"/>
      <c r="AF165" s="4"/>
    </row>
    <row r="166" ht="12.75" customHeight="1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4"/>
      <c r="M166" s="73"/>
      <c r="N166" s="73"/>
      <c r="O166" s="73"/>
      <c r="P166" s="4"/>
      <c r="Q166" s="4"/>
      <c r="R166" s="4"/>
      <c r="S166" s="4"/>
      <c r="T166" s="4"/>
      <c r="AD166" s="4"/>
      <c r="AE166" s="4"/>
      <c r="AF166" s="4"/>
    </row>
    <row r="167" ht="12.75" customHeight="1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4"/>
      <c r="M167" s="73"/>
      <c r="N167" s="73"/>
      <c r="O167" s="73"/>
      <c r="P167" s="4"/>
      <c r="Q167" s="4"/>
      <c r="R167" s="4"/>
      <c r="S167" s="4"/>
      <c r="T167" s="4"/>
      <c r="AD167" s="4"/>
      <c r="AE167" s="4"/>
      <c r="AF167" s="4"/>
    </row>
    <row r="168" ht="12.75" customHeight="1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4"/>
      <c r="M168" s="73"/>
      <c r="N168" s="73"/>
      <c r="O168" s="73"/>
      <c r="P168" s="4"/>
      <c r="Q168" s="4"/>
      <c r="R168" s="4"/>
      <c r="S168" s="4"/>
      <c r="T168" s="4"/>
      <c r="AD168" s="4"/>
      <c r="AE168" s="4"/>
      <c r="AF168" s="4"/>
    </row>
    <row r="169" ht="12.75" customHeight="1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4"/>
      <c r="M169" s="73"/>
      <c r="N169" s="73"/>
      <c r="O169" s="73"/>
      <c r="P169" s="4"/>
      <c r="Q169" s="4"/>
      <c r="R169" s="4"/>
      <c r="S169" s="4"/>
      <c r="T169" s="4"/>
      <c r="AD169" s="4"/>
      <c r="AE169" s="4"/>
      <c r="AF169" s="4"/>
    </row>
    <row r="170" ht="12.75" customHeight="1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4"/>
      <c r="M170" s="73"/>
      <c r="N170" s="73"/>
      <c r="O170" s="73"/>
      <c r="P170" s="4"/>
      <c r="Q170" s="4"/>
      <c r="R170" s="4"/>
      <c r="S170" s="4"/>
      <c r="T170" s="4"/>
      <c r="AD170" s="4"/>
      <c r="AE170" s="4"/>
      <c r="AF170" s="4"/>
    </row>
    <row r="171" ht="12.75" customHeight="1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4"/>
      <c r="M171" s="73"/>
      <c r="N171" s="73"/>
      <c r="O171" s="73"/>
      <c r="P171" s="4"/>
      <c r="Q171" s="4"/>
      <c r="R171" s="4"/>
      <c r="S171" s="4"/>
      <c r="T171" s="4"/>
      <c r="AD171" s="4"/>
      <c r="AE171" s="4"/>
      <c r="AF171" s="4"/>
    </row>
    <row r="172" ht="12.75" customHeight="1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4"/>
      <c r="M172" s="73"/>
      <c r="N172" s="73"/>
      <c r="O172" s="73"/>
      <c r="P172" s="4"/>
      <c r="Q172" s="4"/>
      <c r="R172" s="4"/>
      <c r="S172" s="4"/>
      <c r="T172" s="4"/>
      <c r="AD172" s="4"/>
      <c r="AE172" s="4"/>
      <c r="AF172" s="4"/>
    </row>
    <row r="173" ht="12.75" customHeight="1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4"/>
      <c r="M173" s="73"/>
      <c r="N173" s="73"/>
      <c r="O173" s="73"/>
      <c r="P173" s="4"/>
      <c r="Q173" s="4"/>
      <c r="R173" s="4"/>
      <c r="S173" s="4"/>
      <c r="T173" s="4"/>
      <c r="AD173" s="4"/>
      <c r="AE173" s="4"/>
      <c r="AF173" s="4"/>
    </row>
    <row r="174" ht="12.75" customHeight="1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4"/>
      <c r="M174" s="73"/>
      <c r="N174" s="73"/>
      <c r="O174" s="73"/>
      <c r="P174" s="4"/>
      <c r="Q174" s="4"/>
      <c r="R174" s="4"/>
      <c r="S174" s="4"/>
      <c r="T174" s="4"/>
      <c r="AD174" s="4"/>
      <c r="AE174" s="4"/>
      <c r="AF174" s="4"/>
    </row>
    <row r="175" ht="12.75" customHeight="1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4"/>
      <c r="M175" s="73"/>
      <c r="N175" s="73"/>
      <c r="O175" s="73"/>
      <c r="P175" s="4"/>
      <c r="Q175" s="4"/>
      <c r="R175" s="4"/>
      <c r="S175" s="4"/>
      <c r="T175" s="4"/>
      <c r="AD175" s="4"/>
      <c r="AE175" s="4"/>
      <c r="AF175" s="4"/>
    </row>
    <row r="176" ht="12.75" customHeight="1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4"/>
      <c r="M176" s="73"/>
      <c r="N176" s="73"/>
      <c r="O176" s="73"/>
      <c r="P176" s="4"/>
      <c r="Q176" s="4"/>
      <c r="R176" s="4"/>
      <c r="S176" s="4"/>
      <c r="T176" s="4"/>
      <c r="AD176" s="4"/>
      <c r="AE176" s="4"/>
      <c r="AF176" s="4"/>
    </row>
    <row r="177" ht="12.75" customHeight="1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4"/>
      <c r="M177" s="73"/>
      <c r="N177" s="73"/>
      <c r="O177" s="73"/>
      <c r="P177" s="4"/>
      <c r="Q177" s="4"/>
      <c r="R177" s="4"/>
      <c r="S177" s="4"/>
      <c r="T177" s="4"/>
      <c r="AD177" s="4"/>
      <c r="AE177" s="4"/>
      <c r="AF177" s="4"/>
    </row>
    <row r="178" ht="12.75" customHeight="1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4"/>
      <c r="M178" s="73"/>
      <c r="N178" s="73"/>
      <c r="O178" s="73"/>
      <c r="P178" s="4"/>
      <c r="Q178" s="4"/>
      <c r="R178" s="4"/>
      <c r="S178" s="4"/>
      <c r="T178" s="4"/>
      <c r="AD178" s="4"/>
      <c r="AE178" s="4"/>
      <c r="AF178" s="4"/>
    </row>
    <row r="179" ht="12.75" customHeight="1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4"/>
      <c r="M179" s="73"/>
      <c r="N179" s="73"/>
      <c r="O179" s="73"/>
      <c r="P179" s="4"/>
      <c r="Q179" s="4"/>
      <c r="R179" s="4"/>
      <c r="S179" s="4"/>
      <c r="T179" s="4"/>
      <c r="AD179" s="4"/>
      <c r="AE179" s="4"/>
      <c r="AF179" s="4"/>
    </row>
    <row r="180" ht="12.75" customHeight="1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4"/>
      <c r="M180" s="73"/>
      <c r="N180" s="73"/>
      <c r="O180" s="73"/>
      <c r="P180" s="4"/>
      <c r="Q180" s="4"/>
      <c r="R180" s="4"/>
      <c r="S180" s="4"/>
      <c r="T180" s="4"/>
      <c r="AD180" s="4"/>
      <c r="AE180" s="4"/>
      <c r="AF180" s="4"/>
    </row>
    <row r="181" ht="12.75" customHeight="1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4"/>
      <c r="M181" s="73"/>
      <c r="N181" s="73"/>
      <c r="O181" s="73"/>
      <c r="P181" s="4"/>
      <c r="Q181" s="4"/>
      <c r="R181" s="4"/>
      <c r="S181" s="4"/>
      <c r="T181" s="4"/>
      <c r="AD181" s="4"/>
      <c r="AE181" s="4"/>
      <c r="AF181" s="4"/>
    </row>
    <row r="182" ht="12.75" customHeight="1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4"/>
      <c r="M182" s="73"/>
      <c r="N182" s="73"/>
      <c r="O182" s="73"/>
      <c r="P182" s="4"/>
      <c r="Q182" s="4"/>
      <c r="R182" s="4"/>
      <c r="S182" s="4"/>
      <c r="T182" s="4"/>
      <c r="AD182" s="4"/>
      <c r="AE182" s="4"/>
      <c r="AF182" s="4"/>
    </row>
    <row r="183" ht="12.75" customHeight="1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4"/>
      <c r="M183" s="73"/>
      <c r="N183" s="73"/>
      <c r="O183" s="73"/>
      <c r="P183" s="4"/>
      <c r="Q183" s="4"/>
      <c r="R183" s="4"/>
      <c r="S183" s="4"/>
      <c r="T183" s="4"/>
      <c r="AD183" s="4"/>
      <c r="AE183" s="4"/>
      <c r="AF183" s="4"/>
    </row>
    <row r="184" ht="12.75" customHeight="1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4"/>
      <c r="M184" s="73"/>
      <c r="N184" s="73"/>
      <c r="O184" s="73"/>
      <c r="P184" s="4"/>
      <c r="Q184" s="4"/>
      <c r="R184" s="4"/>
      <c r="S184" s="4"/>
      <c r="T184" s="4"/>
      <c r="AD184" s="4"/>
      <c r="AE184" s="4"/>
      <c r="AF184" s="4"/>
    </row>
    <row r="185" ht="12.75" customHeight="1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4"/>
      <c r="M185" s="73"/>
      <c r="N185" s="73"/>
      <c r="O185" s="73"/>
      <c r="P185" s="4"/>
      <c r="Q185" s="4"/>
      <c r="R185" s="4"/>
      <c r="S185" s="4"/>
      <c r="T185" s="4"/>
      <c r="AD185" s="4"/>
      <c r="AE185" s="4"/>
      <c r="AF185" s="4"/>
    </row>
    <row r="186" ht="12.75" customHeight="1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4"/>
      <c r="M186" s="73"/>
      <c r="N186" s="73"/>
      <c r="O186" s="73"/>
      <c r="P186" s="4"/>
      <c r="Q186" s="4"/>
      <c r="R186" s="4"/>
      <c r="S186" s="4"/>
      <c r="T186" s="4"/>
      <c r="AD186" s="4"/>
      <c r="AE186" s="4"/>
      <c r="AF186" s="4"/>
    </row>
    <row r="187" ht="12.75" customHeight="1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4"/>
      <c r="M187" s="73"/>
      <c r="N187" s="73"/>
      <c r="O187" s="73"/>
      <c r="P187" s="4"/>
      <c r="Q187" s="4"/>
      <c r="R187" s="4"/>
      <c r="S187" s="4"/>
      <c r="T187" s="4"/>
      <c r="AD187" s="4"/>
      <c r="AE187" s="4"/>
      <c r="AF187" s="4"/>
    </row>
    <row r="188" ht="12.75" customHeight="1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4"/>
      <c r="M188" s="73"/>
      <c r="N188" s="73"/>
      <c r="O188" s="73"/>
      <c r="P188" s="4"/>
      <c r="Q188" s="4"/>
      <c r="R188" s="4"/>
      <c r="S188" s="4"/>
      <c r="T188" s="4"/>
      <c r="AD188" s="4"/>
      <c r="AE188" s="4"/>
      <c r="AF188" s="4"/>
    </row>
    <row r="189" ht="12.75" customHeight="1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4"/>
      <c r="M189" s="73"/>
      <c r="N189" s="73"/>
      <c r="O189" s="73"/>
      <c r="P189" s="4"/>
      <c r="Q189" s="4"/>
      <c r="R189" s="4"/>
      <c r="S189" s="4"/>
      <c r="T189" s="4"/>
      <c r="AD189" s="4"/>
      <c r="AE189" s="4"/>
      <c r="AF189" s="4"/>
    </row>
    <row r="190" ht="12.75" customHeight="1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4"/>
      <c r="M190" s="73"/>
      <c r="N190" s="73"/>
      <c r="O190" s="73"/>
      <c r="P190" s="4"/>
      <c r="Q190" s="4"/>
      <c r="R190" s="4"/>
      <c r="S190" s="4"/>
      <c r="T190" s="4"/>
      <c r="AD190" s="4"/>
      <c r="AE190" s="4"/>
      <c r="AF190" s="4"/>
    </row>
    <row r="191" ht="12.75" customHeight="1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4"/>
      <c r="M191" s="73"/>
      <c r="N191" s="73"/>
      <c r="O191" s="73"/>
      <c r="P191" s="4"/>
      <c r="Q191" s="4"/>
      <c r="R191" s="4"/>
      <c r="S191" s="4"/>
      <c r="T191" s="4"/>
      <c r="AD191" s="4"/>
      <c r="AE191" s="4"/>
      <c r="AF191" s="4"/>
    </row>
    <row r="192" ht="12.75" customHeight="1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4"/>
      <c r="M192" s="73"/>
      <c r="N192" s="73"/>
      <c r="O192" s="73"/>
      <c r="P192" s="4"/>
      <c r="Q192" s="4"/>
      <c r="R192" s="4"/>
      <c r="S192" s="4"/>
      <c r="T192" s="4"/>
      <c r="AD192" s="4"/>
      <c r="AE192" s="4"/>
      <c r="AF192" s="4"/>
    </row>
    <row r="193" ht="12.75" customHeight="1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4"/>
      <c r="M193" s="73"/>
      <c r="N193" s="73"/>
      <c r="O193" s="73"/>
      <c r="P193" s="4"/>
      <c r="Q193" s="4"/>
      <c r="R193" s="4"/>
      <c r="S193" s="4"/>
      <c r="T193" s="4"/>
      <c r="AD193" s="4"/>
      <c r="AE193" s="4"/>
      <c r="AF193" s="4"/>
    </row>
    <row r="194" ht="12.75" customHeight="1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4"/>
      <c r="M194" s="73"/>
      <c r="N194" s="73"/>
      <c r="O194" s="73"/>
      <c r="P194" s="4"/>
      <c r="Q194" s="4"/>
      <c r="R194" s="4"/>
      <c r="S194" s="4"/>
      <c r="T194" s="4"/>
      <c r="AD194" s="4"/>
      <c r="AE194" s="4"/>
      <c r="AF194" s="4"/>
    </row>
    <row r="195" ht="12.75" customHeight="1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4"/>
      <c r="M195" s="73"/>
      <c r="N195" s="73"/>
      <c r="O195" s="73"/>
      <c r="P195" s="4"/>
      <c r="Q195" s="4"/>
      <c r="R195" s="4"/>
      <c r="S195" s="4"/>
      <c r="T195" s="4"/>
      <c r="AD195" s="4"/>
      <c r="AE195" s="4"/>
      <c r="AF195" s="4"/>
    </row>
    <row r="196" ht="12.75" customHeight="1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4"/>
      <c r="M196" s="73"/>
      <c r="N196" s="73"/>
      <c r="O196" s="73"/>
      <c r="P196" s="4"/>
      <c r="Q196" s="4"/>
      <c r="R196" s="4"/>
      <c r="S196" s="4"/>
      <c r="T196" s="4"/>
      <c r="AD196" s="4"/>
      <c r="AE196" s="4"/>
      <c r="AF196" s="4"/>
    </row>
    <row r="197" ht="12.75" customHeight="1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4"/>
      <c r="M197" s="73"/>
      <c r="N197" s="73"/>
      <c r="O197" s="73"/>
      <c r="P197" s="4"/>
      <c r="Q197" s="4"/>
      <c r="R197" s="4"/>
      <c r="S197" s="4"/>
      <c r="T197" s="4"/>
      <c r="AD197" s="4"/>
      <c r="AE197" s="4"/>
      <c r="AF197" s="4"/>
    </row>
    <row r="198" ht="12.75" customHeight="1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4"/>
      <c r="M198" s="73"/>
      <c r="N198" s="73"/>
      <c r="O198" s="73"/>
      <c r="P198" s="4"/>
      <c r="Q198" s="4"/>
      <c r="R198" s="4"/>
      <c r="S198" s="4"/>
      <c r="T198" s="4"/>
      <c r="AD198" s="4"/>
      <c r="AE198" s="4"/>
      <c r="AF198" s="4"/>
    </row>
    <row r="199" ht="12.75" customHeight="1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4"/>
      <c r="M199" s="73"/>
      <c r="N199" s="73"/>
      <c r="O199" s="73"/>
      <c r="P199" s="4"/>
      <c r="Q199" s="4"/>
      <c r="R199" s="4"/>
      <c r="S199" s="4"/>
      <c r="T199" s="4"/>
      <c r="AD199" s="4"/>
      <c r="AE199" s="4"/>
      <c r="AF199" s="4"/>
    </row>
    <row r="200" ht="12.75" customHeight="1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4"/>
      <c r="M200" s="73"/>
      <c r="N200" s="73"/>
      <c r="O200" s="73"/>
      <c r="P200" s="4"/>
      <c r="Q200" s="4"/>
      <c r="R200" s="4"/>
      <c r="S200" s="4"/>
      <c r="T200" s="4"/>
      <c r="AD200" s="4"/>
      <c r="AE200" s="4"/>
      <c r="AF200" s="4"/>
    </row>
    <row r="201" ht="12.75" customHeight="1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4"/>
      <c r="M201" s="73"/>
      <c r="N201" s="73"/>
      <c r="O201" s="73"/>
      <c r="P201" s="4"/>
      <c r="Q201" s="4"/>
      <c r="R201" s="4"/>
      <c r="S201" s="4"/>
      <c r="T201" s="4"/>
      <c r="AD201" s="4"/>
      <c r="AE201" s="4"/>
      <c r="AF201" s="4"/>
    </row>
    <row r="202" ht="12.75" customHeight="1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4"/>
      <c r="M202" s="73"/>
      <c r="N202" s="73"/>
      <c r="O202" s="73"/>
      <c r="P202" s="4"/>
      <c r="Q202" s="4"/>
      <c r="R202" s="4"/>
      <c r="S202" s="4"/>
      <c r="T202" s="4"/>
      <c r="AD202" s="4"/>
      <c r="AE202" s="4"/>
      <c r="AF202" s="4"/>
    </row>
    <row r="203" ht="12.75" customHeight="1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4"/>
      <c r="M203" s="73"/>
      <c r="N203" s="73"/>
      <c r="O203" s="73"/>
      <c r="P203" s="4"/>
      <c r="Q203" s="4"/>
      <c r="R203" s="4"/>
      <c r="S203" s="4"/>
      <c r="T203" s="4"/>
      <c r="AD203" s="4"/>
      <c r="AE203" s="4"/>
      <c r="AF203" s="4"/>
    </row>
    <row r="204" ht="12.75" customHeight="1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4"/>
      <c r="M204" s="73"/>
      <c r="N204" s="73"/>
      <c r="O204" s="73"/>
      <c r="P204" s="4"/>
      <c r="Q204" s="4"/>
      <c r="R204" s="4"/>
      <c r="S204" s="4"/>
      <c r="T204" s="4"/>
      <c r="AD204" s="4"/>
      <c r="AE204" s="4"/>
      <c r="AF204" s="4"/>
    </row>
    <row r="205" ht="12.75" customHeight="1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4"/>
      <c r="M205" s="73"/>
      <c r="N205" s="73"/>
      <c r="O205" s="73"/>
      <c r="P205" s="4"/>
      <c r="Q205" s="4"/>
      <c r="R205" s="4"/>
      <c r="S205" s="4"/>
      <c r="T205" s="4"/>
      <c r="AD205" s="4"/>
      <c r="AE205" s="4"/>
      <c r="AF205" s="4"/>
    </row>
    <row r="206" ht="12.75" customHeight="1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4"/>
      <c r="M206" s="73"/>
      <c r="N206" s="73"/>
      <c r="O206" s="73"/>
      <c r="P206" s="4"/>
      <c r="Q206" s="4"/>
      <c r="R206" s="4"/>
      <c r="S206" s="4"/>
      <c r="T206" s="4"/>
      <c r="AD206" s="4"/>
      <c r="AE206" s="4"/>
      <c r="AF206" s="4"/>
    </row>
    <row r="207" ht="12.75" customHeight="1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4"/>
      <c r="M207" s="73"/>
      <c r="N207" s="73"/>
      <c r="O207" s="73"/>
      <c r="P207" s="4"/>
      <c r="Q207" s="4"/>
      <c r="R207" s="4"/>
      <c r="S207" s="4"/>
      <c r="T207" s="4"/>
      <c r="AD207" s="4"/>
      <c r="AE207" s="4"/>
      <c r="AF207" s="4"/>
    </row>
    <row r="208" ht="12.75" customHeight="1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4"/>
      <c r="M208" s="73"/>
      <c r="N208" s="73"/>
      <c r="O208" s="73"/>
      <c r="P208" s="4"/>
      <c r="Q208" s="4"/>
      <c r="R208" s="4"/>
      <c r="S208" s="4"/>
      <c r="T208" s="4"/>
      <c r="AD208" s="4"/>
      <c r="AE208" s="4"/>
      <c r="AF208" s="4"/>
    </row>
    <row r="209" ht="12.75" customHeight="1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4"/>
      <c r="M209" s="73"/>
      <c r="N209" s="73"/>
      <c r="O209" s="73"/>
      <c r="P209" s="4"/>
      <c r="Q209" s="4"/>
      <c r="R209" s="4"/>
      <c r="S209" s="4"/>
      <c r="T209" s="4"/>
      <c r="AD209" s="4"/>
      <c r="AE209" s="4"/>
      <c r="AF209" s="4"/>
    </row>
    <row r="210" ht="12.75" customHeight="1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4"/>
      <c r="M210" s="73"/>
      <c r="N210" s="73"/>
      <c r="O210" s="73"/>
      <c r="P210" s="4"/>
      <c r="Q210" s="4"/>
      <c r="R210" s="4"/>
      <c r="S210" s="4"/>
      <c r="T210" s="4"/>
      <c r="AD210" s="4"/>
      <c r="AE210" s="4"/>
      <c r="AF210" s="4"/>
    </row>
    <row r="211" ht="12.75" customHeight="1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4"/>
      <c r="M211" s="73"/>
      <c r="N211" s="73"/>
      <c r="O211" s="73"/>
      <c r="P211" s="4"/>
      <c r="Q211" s="4"/>
      <c r="R211" s="4"/>
      <c r="S211" s="4"/>
      <c r="T211" s="4"/>
      <c r="AD211" s="4"/>
      <c r="AE211" s="4"/>
      <c r="AF211" s="4"/>
    </row>
    <row r="212" ht="12.75" customHeight="1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4"/>
      <c r="M212" s="73"/>
      <c r="N212" s="73"/>
      <c r="O212" s="73"/>
      <c r="P212" s="4"/>
      <c r="Q212" s="4"/>
      <c r="R212" s="4"/>
      <c r="S212" s="4"/>
      <c r="T212" s="4"/>
      <c r="AD212" s="4"/>
      <c r="AE212" s="4"/>
      <c r="AF212" s="4"/>
    </row>
    <row r="213" ht="12.75" customHeight="1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4"/>
      <c r="M213" s="73"/>
      <c r="N213" s="73"/>
      <c r="O213" s="73"/>
      <c r="P213" s="4"/>
      <c r="Q213" s="4"/>
      <c r="R213" s="4"/>
      <c r="S213" s="4"/>
      <c r="T213" s="4"/>
      <c r="AD213" s="4"/>
      <c r="AE213" s="4"/>
      <c r="AF213" s="4"/>
    </row>
    <row r="214" ht="12.75" customHeight="1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4"/>
      <c r="M214" s="73"/>
      <c r="N214" s="73"/>
      <c r="O214" s="73"/>
      <c r="P214" s="4"/>
      <c r="Q214" s="4"/>
      <c r="R214" s="4"/>
      <c r="S214" s="4"/>
      <c r="T214" s="4"/>
      <c r="AD214" s="4"/>
      <c r="AE214" s="4"/>
      <c r="AF214" s="4"/>
    </row>
    <row r="215" ht="12.75" customHeight="1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4"/>
      <c r="M215" s="73"/>
      <c r="N215" s="73"/>
      <c r="O215" s="73"/>
      <c r="P215" s="4"/>
      <c r="Q215" s="4"/>
      <c r="R215" s="4"/>
      <c r="S215" s="4"/>
      <c r="T215" s="4"/>
      <c r="AD215" s="4"/>
      <c r="AE215" s="4"/>
      <c r="AF215" s="4"/>
    </row>
    <row r="216" ht="12.75" customHeight="1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4"/>
      <c r="M216" s="73"/>
      <c r="N216" s="73"/>
      <c r="O216" s="73"/>
      <c r="P216" s="4"/>
      <c r="Q216" s="4"/>
      <c r="R216" s="4"/>
      <c r="S216" s="4"/>
      <c r="T216" s="4"/>
      <c r="AD216" s="4"/>
      <c r="AE216" s="4"/>
      <c r="AF216" s="4"/>
    </row>
    <row r="217" ht="12.75" customHeight="1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4"/>
      <c r="M217" s="73"/>
      <c r="N217" s="73"/>
      <c r="O217" s="73"/>
      <c r="P217" s="4"/>
      <c r="Q217" s="4"/>
      <c r="R217" s="4"/>
      <c r="S217" s="4"/>
      <c r="T217" s="4"/>
      <c r="AD217" s="4"/>
      <c r="AE217" s="4"/>
      <c r="AF217" s="4"/>
    </row>
    <row r="218" ht="12.75" customHeight="1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4"/>
      <c r="M218" s="73"/>
      <c r="N218" s="73"/>
      <c r="O218" s="73"/>
      <c r="P218" s="4"/>
      <c r="Q218" s="4"/>
      <c r="R218" s="4"/>
      <c r="S218" s="4"/>
      <c r="T218" s="4"/>
      <c r="AD218" s="4"/>
      <c r="AE218" s="4"/>
      <c r="AF218" s="4"/>
    </row>
    <row r="219" ht="12.75" customHeight="1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4"/>
      <c r="M219" s="73"/>
      <c r="N219" s="73"/>
      <c r="O219" s="73"/>
      <c r="P219" s="4"/>
      <c r="Q219" s="4"/>
      <c r="R219" s="4"/>
      <c r="S219" s="4"/>
      <c r="T219" s="4"/>
      <c r="AD219" s="4"/>
      <c r="AE219" s="4"/>
      <c r="AF219" s="4"/>
    </row>
    <row r="220" ht="12.75" customHeight="1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4"/>
      <c r="M220" s="73"/>
      <c r="N220" s="73"/>
      <c r="O220" s="73"/>
      <c r="P220" s="4"/>
      <c r="Q220" s="4"/>
      <c r="R220" s="4"/>
      <c r="S220" s="4"/>
      <c r="T220" s="4"/>
      <c r="AD220" s="4"/>
      <c r="AE220" s="4"/>
      <c r="AF220" s="4"/>
    </row>
    <row r="221" ht="12.75" customHeight="1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4"/>
      <c r="M221" s="73"/>
      <c r="N221" s="73"/>
      <c r="O221" s="73"/>
      <c r="P221" s="4"/>
      <c r="Q221" s="4"/>
      <c r="R221" s="4"/>
      <c r="S221" s="4"/>
      <c r="T221" s="4"/>
      <c r="AD221" s="4"/>
      <c r="AE221" s="4"/>
      <c r="AF221" s="4"/>
    </row>
    <row r="222" ht="12.75" customHeight="1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4"/>
      <c r="M222" s="73"/>
      <c r="N222" s="73"/>
      <c r="O222" s="73"/>
      <c r="P222" s="4"/>
      <c r="Q222" s="4"/>
      <c r="R222" s="4"/>
      <c r="S222" s="4"/>
      <c r="T222" s="4"/>
      <c r="AD222" s="4"/>
      <c r="AE222" s="4"/>
      <c r="AF222" s="4"/>
    </row>
    <row r="223" ht="12.75" customHeight="1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4"/>
      <c r="M223" s="73"/>
      <c r="N223" s="73"/>
      <c r="O223" s="73"/>
      <c r="P223" s="4"/>
      <c r="Q223" s="4"/>
      <c r="R223" s="4"/>
      <c r="S223" s="4"/>
      <c r="T223" s="4"/>
      <c r="AD223" s="4"/>
      <c r="AE223" s="4"/>
      <c r="AF223" s="4"/>
    </row>
    <row r="224" ht="12.75" customHeight="1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4"/>
      <c r="M224" s="73"/>
      <c r="N224" s="73"/>
      <c r="O224" s="73"/>
      <c r="P224" s="4"/>
      <c r="Q224" s="4"/>
      <c r="R224" s="4"/>
      <c r="S224" s="4"/>
      <c r="T224" s="4"/>
      <c r="AD224" s="4"/>
      <c r="AE224" s="4"/>
      <c r="AF224" s="4"/>
    </row>
    <row r="225" ht="12.75" customHeight="1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4"/>
      <c r="M225" s="73"/>
      <c r="N225" s="73"/>
      <c r="O225" s="73"/>
      <c r="P225" s="4"/>
      <c r="Q225" s="4"/>
      <c r="R225" s="4"/>
      <c r="S225" s="4"/>
      <c r="T225" s="4"/>
      <c r="AD225" s="4"/>
      <c r="AE225" s="4"/>
      <c r="AF225" s="4"/>
    </row>
    <row r="226" ht="12.75" customHeight="1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4"/>
      <c r="M226" s="73"/>
      <c r="N226" s="73"/>
      <c r="O226" s="73"/>
      <c r="P226" s="4"/>
      <c r="Q226" s="4"/>
      <c r="R226" s="4"/>
      <c r="S226" s="4"/>
      <c r="T226" s="4"/>
      <c r="AD226" s="4"/>
      <c r="AE226" s="4"/>
      <c r="AF226" s="4"/>
    </row>
    <row r="227" ht="12.75" customHeight="1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4"/>
      <c r="M227" s="73"/>
      <c r="N227" s="73"/>
      <c r="O227" s="73"/>
      <c r="P227" s="4"/>
      <c r="Q227" s="4"/>
      <c r="R227" s="4"/>
      <c r="S227" s="4"/>
      <c r="T227" s="4"/>
      <c r="AD227" s="4"/>
      <c r="AE227" s="4"/>
      <c r="AF227" s="4"/>
    </row>
    <row r="228" ht="12.75" customHeight="1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4"/>
      <c r="M228" s="73"/>
      <c r="N228" s="73"/>
      <c r="O228" s="73"/>
      <c r="P228" s="4"/>
      <c r="Q228" s="4"/>
      <c r="R228" s="4"/>
      <c r="S228" s="4"/>
      <c r="T228" s="4"/>
      <c r="AD228" s="4"/>
      <c r="AE228" s="4"/>
      <c r="AF228" s="4"/>
    </row>
    <row r="229" ht="12.75" customHeight="1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4"/>
      <c r="M229" s="73"/>
      <c r="N229" s="73"/>
      <c r="O229" s="73"/>
      <c r="P229" s="4"/>
      <c r="Q229" s="4"/>
      <c r="R229" s="4"/>
      <c r="S229" s="4"/>
      <c r="T229" s="4"/>
      <c r="AD229" s="4"/>
      <c r="AE229" s="4"/>
      <c r="AF229" s="4"/>
    </row>
    <row r="230" ht="12.75" customHeight="1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4"/>
      <c r="M230" s="73"/>
      <c r="N230" s="73"/>
      <c r="O230" s="73"/>
      <c r="P230" s="4"/>
      <c r="Q230" s="4"/>
      <c r="R230" s="4"/>
      <c r="S230" s="4"/>
      <c r="T230" s="4"/>
      <c r="AD230" s="4"/>
      <c r="AE230" s="4"/>
      <c r="AF230" s="4"/>
    </row>
    <row r="231" ht="12.75" customHeight="1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4"/>
      <c r="M231" s="73"/>
      <c r="N231" s="73"/>
      <c r="O231" s="73"/>
      <c r="P231" s="4"/>
      <c r="Q231" s="4"/>
      <c r="R231" s="4"/>
      <c r="S231" s="4"/>
      <c r="T231" s="4"/>
      <c r="AD231" s="4"/>
      <c r="AE231" s="4"/>
      <c r="AF231" s="4"/>
    </row>
    <row r="232" ht="12.75" customHeight="1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4"/>
      <c r="M232" s="73"/>
      <c r="N232" s="73"/>
      <c r="O232" s="73"/>
      <c r="P232" s="4"/>
      <c r="Q232" s="4"/>
      <c r="R232" s="4"/>
      <c r="S232" s="4"/>
      <c r="T232" s="4"/>
      <c r="AD232" s="4"/>
      <c r="AE232" s="4"/>
      <c r="AF232" s="4"/>
    </row>
    <row r="233" ht="12.75" customHeight="1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4"/>
      <c r="M233" s="73"/>
      <c r="N233" s="73"/>
      <c r="O233" s="73"/>
      <c r="P233" s="4"/>
      <c r="Q233" s="4"/>
      <c r="R233" s="4"/>
      <c r="S233" s="4"/>
      <c r="T233" s="4"/>
      <c r="AD233" s="4"/>
      <c r="AE233" s="4"/>
      <c r="AF233" s="4"/>
    </row>
    <row r="234" ht="12.75" customHeight="1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4"/>
      <c r="M234" s="73"/>
      <c r="N234" s="73"/>
      <c r="O234" s="73"/>
      <c r="P234" s="4"/>
      <c r="Q234" s="4"/>
      <c r="R234" s="4"/>
      <c r="S234" s="4"/>
      <c r="T234" s="4"/>
      <c r="AD234" s="4"/>
      <c r="AE234" s="4"/>
      <c r="AF234" s="4"/>
    </row>
    <row r="235" ht="12.75" customHeight="1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4"/>
      <c r="M235" s="73"/>
      <c r="N235" s="73"/>
      <c r="O235" s="73"/>
      <c r="P235" s="4"/>
      <c r="Q235" s="4"/>
      <c r="R235" s="4"/>
      <c r="S235" s="4"/>
      <c r="T235" s="4"/>
      <c r="AD235" s="4"/>
      <c r="AE235" s="4"/>
      <c r="AF235" s="4"/>
    </row>
    <row r="236" ht="12.75" customHeight="1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4"/>
      <c r="M236" s="73"/>
      <c r="N236" s="73"/>
      <c r="O236" s="73"/>
      <c r="P236" s="4"/>
      <c r="Q236" s="4"/>
      <c r="R236" s="4"/>
      <c r="S236" s="4"/>
      <c r="T236" s="4"/>
      <c r="AD236" s="4"/>
      <c r="AE236" s="4"/>
      <c r="AF236" s="4"/>
    </row>
    <row r="237" ht="12.75" customHeight="1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4"/>
      <c r="M237" s="73"/>
      <c r="N237" s="73"/>
      <c r="O237" s="73"/>
      <c r="P237" s="4"/>
      <c r="Q237" s="4"/>
      <c r="R237" s="4"/>
      <c r="S237" s="4"/>
      <c r="T237" s="4"/>
      <c r="AD237" s="4"/>
      <c r="AE237" s="4"/>
      <c r="AF237" s="4"/>
    </row>
    <row r="238" ht="12.75" customHeight="1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4"/>
      <c r="M238" s="73"/>
      <c r="N238" s="73"/>
      <c r="O238" s="73"/>
      <c r="P238" s="4"/>
      <c r="Q238" s="4"/>
      <c r="R238" s="4"/>
      <c r="S238" s="4"/>
      <c r="T238" s="4"/>
      <c r="AD238" s="4"/>
      <c r="AE238" s="4"/>
      <c r="AF238" s="4"/>
    </row>
    <row r="239" ht="12.75" customHeight="1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4"/>
      <c r="M239" s="73"/>
      <c r="N239" s="73"/>
      <c r="O239" s="73"/>
      <c r="P239" s="4"/>
      <c r="Q239" s="4"/>
      <c r="R239" s="4"/>
      <c r="S239" s="4"/>
      <c r="T239" s="4"/>
      <c r="AD239" s="4"/>
      <c r="AE239" s="4"/>
      <c r="AF239" s="4"/>
    </row>
    <row r="240" ht="12.75" customHeight="1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4"/>
      <c r="M240" s="73"/>
      <c r="N240" s="73"/>
      <c r="O240" s="73"/>
      <c r="P240" s="4"/>
      <c r="Q240" s="4"/>
      <c r="R240" s="4"/>
      <c r="S240" s="4"/>
      <c r="T240" s="4"/>
      <c r="AD240" s="4"/>
      <c r="AE240" s="4"/>
      <c r="AF240" s="4"/>
    </row>
    <row r="241" ht="12.75" customHeight="1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4"/>
      <c r="M241" s="73"/>
      <c r="N241" s="73"/>
      <c r="O241" s="73"/>
      <c r="P241" s="4"/>
      <c r="Q241" s="4"/>
      <c r="R241" s="4"/>
      <c r="S241" s="4"/>
      <c r="T241" s="4"/>
      <c r="AD241" s="4"/>
      <c r="AE241" s="4"/>
      <c r="AF241" s="4"/>
    </row>
    <row r="242" ht="12.75" customHeight="1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4"/>
      <c r="M242" s="73"/>
      <c r="N242" s="73"/>
      <c r="O242" s="73"/>
      <c r="P242" s="4"/>
      <c r="Q242" s="4"/>
      <c r="R242" s="4"/>
      <c r="S242" s="4"/>
      <c r="T242" s="4"/>
      <c r="AD242" s="4"/>
      <c r="AE242" s="4"/>
      <c r="AF242" s="4"/>
    </row>
    <row r="243" ht="12.75" customHeight="1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4"/>
      <c r="M243" s="73"/>
      <c r="N243" s="73"/>
      <c r="O243" s="73"/>
      <c r="P243" s="4"/>
      <c r="Q243" s="4"/>
      <c r="R243" s="4"/>
      <c r="S243" s="4"/>
      <c r="T243" s="4"/>
      <c r="AD243" s="4"/>
      <c r="AE243" s="4"/>
      <c r="AF243" s="4"/>
    </row>
    <row r="244" ht="12.75" customHeight="1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4"/>
      <c r="M244" s="73"/>
      <c r="N244" s="73"/>
      <c r="O244" s="73"/>
      <c r="P244" s="4"/>
      <c r="Q244" s="4"/>
      <c r="R244" s="4"/>
      <c r="S244" s="4"/>
      <c r="T244" s="4"/>
      <c r="AD244" s="4"/>
      <c r="AE244" s="4"/>
      <c r="AF244" s="4"/>
    </row>
    <row r="245" ht="12.75" customHeight="1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4"/>
      <c r="M245" s="73"/>
      <c r="N245" s="73"/>
      <c r="O245" s="73"/>
      <c r="P245" s="4"/>
      <c r="Q245" s="4"/>
      <c r="R245" s="4"/>
      <c r="S245" s="4"/>
      <c r="T245" s="4"/>
      <c r="AD245" s="4"/>
      <c r="AE245" s="4"/>
      <c r="AF245" s="4"/>
    </row>
    <row r="246" ht="12.75" customHeight="1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4"/>
      <c r="M246" s="73"/>
      <c r="N246" s="73"/>
      <c r="O246" s="73"/>
      <c r="P246" s="4"/>
      <c r="Q246" s="4"/>
      <c r="R246" s="4"/>
      <c r="S246" s="4"/>
      <c r="T246" s="4"/>
      <c r="AD246" s="4"/>
      <c r="AE246" s="4"/>
      <c r="AF246" s="4"/>
    </row>
    <row r="247" ht="12.75" customHeight="1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4"/>
      <c r="M247" s="73"/>
      <c r="N247" s="73"/>
      <c r="O247" s="73"/>
      <c r="P247" s="4"/>
      <c r="Q247" s="4"/>
      <c r="R247" s="4"/>
      <c r="S247" s="4"/>
      <c r="T247" s="4"/>
      <c r="AD247" s="4"/>
      <c r="AE247" s="4"/>
      <c r="AF247" s="4"/>
    </row>
    <row r="248" ht="12.75" customHeight="1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4"/>
      <c r="M248" s="73"/>
      <c r="N248" s="73"/>
      <c r="O248" s="73"/>
      <c r="P248" s="4"/>
      <c r="Q248" s="4"/>
      <c r="R248" s="4"/>
      <c r="S248" s="4"/>
      <c r="T248" s="4"/>
      <c r="AD248" s="4"/>
      <c r="AE248" s="4"/>
      <c r="AF248" s="4"/>
    </row>
    <row r="249" ht="12.75" customHeight="1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4"/>
      <c r="M249" s="73"/>
      <c r="N249" s="73"/>
      <c r="O249" s="73"/>
      <c r="P249" s="4"/>
      <c r="Q249" s="4"/>
      <c r="R249" s="4"/>
      <c r="S249" s="4"/>
      <c r="T249" s="4"/>
      <c r="AD249" s="4"/>
      <c r="AE249" s="4"/>
      <c r="AF249" s="4"/>
    </row>
    <row r="250" ht="12.75" customHeight="1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4"/>
      <c r="M250" s="73"/>
      <c r="N250" s="73"/>
      <c r="O250" s="73"/>
      <c r="P250" s="4"/>
      <c r="Q250" s="4"/>
      <c r="R250" s="4"/>
      <c r="S250" s="4"/>
      <c r="T250" s="4"/>
      <c r="AD250" s="4"/>
      <c r="AE250" s="4"/>
      <c r="AF250" s="4"/>
    </row>
    <row r="251" ht="12.75" customHeight="1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4"/>
      <c r="M251" s="73"/>
      <c r="N251" s="73"/>
      <c r="O251" s="73"/>
      <c r="P251" s="4"/>
      <c r="Q251" s="4"/>
      <c r="R251" s="4"/>
      <c r="S251" s="4"/>
      <c r="T251" s="4"/>
      <c r="AD251" s="4"/>
      <c r="AE251" s="4"/>
      <c r="AF251" s="4"/>
    </row>
    <row r="252" ht="12.75" customHeight="1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4"/>
      <c r="M252" s="73"/>
      <c r="N252" s="73"/>
      <c r="O252" s="73"/>
      <c r="P252" s="4"/>
      <c r="Q252" s="4"/>
      <c r="R252" s="4"/>
      <c r="S252" s="4"/>
      <c r="T252" s="4"/>
      <c r="AD252" s="4"/>
      <c r="AE252" s="4"/>
      <c r="AF252" s="4"/>
    </row>
    <row r="253" ht="12.75" customHeight="1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4"/>
      <c r="M253" s="73"/>
      <c r="N253" s="73"/>
      <c r="O253" s="73"/>
      <c r="P253" s="4"/>
      <c r="Q253" s="4"/>
      <c r="R253" s="4"/>
      <c r="S253" s="4"/>
      <c r="T253" s="4"/>
      <c r="AD253" s="4"/>
      <c r="AE253" s="4"/>
      <c r="AF253" s="4"/>
    </row>
    <row r="254" ht="12.75" customHeight="1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4"/>
      <c r="M254" s="73"/>
      <c r="N254" s="73"/>
      <c r="O254" s="73"/>
      <c r="P254" s="4"/>
      <c r="Q254" s="4"/>
      <c r="R254" s="4"/>
      <c r="S254" s="4"/>
      <c r="T254" s="4"/>
      <c r="AD254" s="4"/>
      <c r="AE254" s="4"/>
      <c r="AF254" s="4"/>
    </row>
    <row r="255" ht="12.75" customHeight="1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4"/>
      <c r="M255" s="73"/>
      <c r="N255" s="73"/>
      <c r="O255" s="73"/>
      <c r="P255" s="4"/>
      <c r="Q255" s="4"/>
      <c r="R255" s="4"/>
      <c r="S255" s="4"/>
      <c r="T255" s="4"/>
      <c r="AD255" s="4"/>
      <c r="AE255" s="4"/>
      <c r="AF255" s="4"/>
    </row>
    <row r="256" ht="12.75" customHeight="1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4"/>
      <c r="M256" s="73"/>
      <c r="N256" s="73"/>
      <c r="O256" s="73"/>
      <c r="P256" s="4"/>
      <c r="Q256" s="4"/>
      <c r="R256" s="4"/>
      <c r="S256" s="4"/>
      <c r="T256" s="4"/>
      <c r="AD256" s="4"/>
      <c r="AE256" s="4"/>
      <c r="AF256" s="4"/>
    </row>
    <row r="257" ht="12.75" customHeight="1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4"/>
      <c r="M257" s="73"/>
      <c r="N257" s="73"/>
      <c r="O257" s="73"/>
      <c r="P257" s="4"/>
      <c r="Q257" s="4"/>
      <c r="R257" s="4"/>
      <c r="S257" s="4"/>
      <c r="T257" s="4"/>
      <c r="AD257" s="4"/>
      <c r="AE257" s="4"/>
      <c r="AF257" s="4"/>
    </row>
    <row r="258" ht="12.75" customHeight="1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4"/>
      <c r="M258" s="73"/>
      <c r="N258" s="73"/>
      <c r="O258" s="73"/>
      <c r="P258" s="4"/>
      <c r="Q258" s="4"/>
      <c r="R258" s="4"/>
      <c r="S258" s="4"/>
      <c r="T258" s="4"/>
      <c r="AD258" s="4"/>
      <c r="AE258" s="4"/>
      <c r="AF258" s="4"/>
    </row>
    <row r="259" ht="12.75" customHeight="1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4"/>
      <c r="M259" s="73"/>
      <c r="N259" s="73"/>
      <c r="O259" s="73"/>
      <c r="P259" s="4"/>
      <c r="Q259" s="4"/>
      <c r="R259" s="4"/>
      <c r="S259" s="4"/>
      <c r="T259" s="4"/>
      <c r="AD259" s="4"/>
      <c r="AE259" s="4"/>
      <c r="AF259" s="4"/>
    </row>
    <row r="260" ht="12.75" customHeight="1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4"/>
      <c r="M260" s="73"/>
      <c r="N260" s="73"/>
      <c r="O260" s="73"/>
      <c r="P260" s="4"/>
      <c r="Q260" s="4"/>
      <c r="R260" s="4"/>
      <c r="S260" s="4"/>
      <c r="T260" s="4"/>
      <c r="AD260" s="4"/>
      <c r="AE260" s="4"/>
      <c r="AF260" s="4"/>
    </row>
    <row r="261" ht="12.75" customHeight="1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4"/>
      <c r="M261" s="73"/>
      <c r="N261" s="73"/>
      <c r="O261" s="73"/>
      <c r="P261" s="4"/>
      <c r="Q261" s="4"/>
      <c r="R261" s="4"/>
      <c r="S261" s="4"/>
      <c r="T261" s="4"/>
      <c r="AD261" s="4"/>
      <c r="AE261" s="4"/>
      <c r="AF261" s="4"/>
    </row>
    <row r="262" ht="12.75" customHeight="1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4"/>
      <c r="M262" s="73"/>
      <c r="N262" s="73"/>
      <c r="O262" s="73"/>
      <c r="P262" s="4"/>
      <c r="Q262" s="4"/>
      <c r="R262" s="4"/>
      <c r="S262" s="4"/>
      <c r="T262" s="4"/>
      <c r="AD262" s="4"/>
      <c r="AE262" s="4"/>
      <c r="AF262" s="4"/>
    </row>
    <row r="263" ht="12.75" customHeight="1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4"/>
      <c r="M263" s="73"/>
      <c r="N263" s="73"/>
      <c r="O263" s="73"/>
      <c r="P263" s="4"/>
      <c r="Q263" s="4"/>
      <c r="R263" s="4"/>
      <c r="S263" s="4"/>
      <c r="T263" s="4"/>
      <c r="AD263" s="4"/>
      <c r="AE263" s="4"/>
      <c r="AF263" s="4"/>
    </row>
    <row r="264" ht="12.75" customHeight="1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4"/>
      <c r="M264" s="73"/>
      <c r="N264" s="73"/>
      <c r="O264" s="73"/>
      <c r="P264" s="4"/>
      <c r="Q264" s="4"/>
      <c r="R264" s="4"/>
      <c r="S264" s="4"/>
      <c r="T264" s="4"/>
      <c r="AD264" s="4"/>
      <c r="AE264" s="4"/>
      <c r="AF264" s="4"/>
    </row>
    <row r="265" ht="12.75" customHeight="1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4"/>
      <c r="M265" s="73"/>
      <c r="N265" s="73"/>
      <c r="O265" s="73"/>
      <c r="P265" s="4"/>
      <c r="Q265" s="4"/>
      <c r="R265" s="4"/>
      <c r="S265" s="4"/>
      <c r="T265" s="4"/>
      <c r="AD265" s="4"/>
      <c r="AE265" s="4"/>
      <c r="AF265" s="4"/>
    </row>
    <row r="266" ht="12.75" customHeight="1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4"/>
      <c r="M266" s="73"/>
      <c r="N266" s="73"/>
      <c r="O266" s="73"/>
      <c r="P266" s="4"/>
      <c r="Q266" s="4"/>
      <c r="R266" s="4"/>
      <c r="S266" s="4"/>
      <c r="T266" s="4"/>
      <c r="AD266" s="4"/>
      <c r="AE266" s="4"/>
      <c r="AF266" s="4"/>
    </row>
    <row r="267" ht="12.75" customHeight="1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4"/>
      <c r="M267" s="73"/>
      <c r="N267" s="73"/>
      <c r="O267" s="73"/>
      <c r="P267" s="4"/>
      <c r="Q267" s="4"/>
      <c r="R267" s="4"/>
      <c r="S267" s="4"/>
      <c r="T267" s="4"/>
      <c r="AD267" s="4"/>
      <c r="AE267" s="4"/>
      <c r="AF267" s="4"/>
    </row>
    <row r="268" ht="12.75" customHeight="1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4"/>
      <c r="M268" s="73"/>
      <c r="N268" s="73"/>
      <c r="O268" s="73"/>
      <c r="P268" s="4"/>
      <c r="Q268" s="4"/>
      <c r="R268" s="4"/>
      <c r="S268" s="4"/>
      <c r="T268" s="4"/>
      <c r="AD268" s="4"/>
      <c r="AE268" s="4"/>
      <c r="AF268" s="4"/>
    </row>
    <row r="269" ht="12.75" customHeight="1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4"/>
      <c r="M269" s="73"/>
      <c r="N269" s="73"/>
      <c r="O269" s="73"/>
      <c r="P269" s="4"/>
      <c r="Q269" s="4"/>
      <c r="R269" s="4"/>
      <c r="S269" s="4"/>
      <c r="T269" s="4"/>
      <c r="AD269" s="4"/>
      <c r="AE269" s="4"/>
      <c r="AF269" s="4"/>
    </row>
    <row r="270" ht="12.75" customHeight="1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4"/>
      <c r="M270" s="73"/>
      <c r="N270" s="73"/>
      <c r="O270" s="73"/>
      <c r="P270" s="4"/>
      <c r="Q270" s="4"/>
      <c r="R270" s="4"/>
      <c r="S270" s="4"/>
      <c r="T270" s="4"/>
      <c r="AD270" s="4"/>
      <c r="AE270" s="4"/>
      <c r="AF270" s="4"/>
    </row>
    <row r="271" ht="12.75" customHeight="1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4"/>
      <c r="M271" s="73"/>
      <c r="N271" s="73"/>
      <c r="O271" s="73"/>
      <c r="P271" s="4"/>
      <c r="Q271" s="4"/>
      <c r="R271" s="4"/>
      <c r="S271" s="4"/>
      <c r="T271" s="4"/>
      <c r="AD271" s="4"/>
      <c r="AE271" s="4"/>
      <c r="AF271" s="4"/>
    </row>
    <row r="272" ht="12.75" customHeight="1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4"/>
      <c r="M272" s="73"/>
      <c r="N272" s="73"/>
      <c r="O272" s="73"/>
      <c r="P272" s="4"/>
      <c r="Q272" s="4"/>
      <c r="R272" s="4"/>
      <c r="S272" s="4"/>
      <c r="T272" s="4"/>
      <c r="AD272" s="4"/>
      <c r="AE272" s="4"/>
      <c r="AF272" s="4"/>
    </row>
    <row r="273" ht="12.75" customHeight="1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4"/>
      <c r="M273" s="73"/>
      <c r="N273" s="73"/>
      <c r="O273" s="73"/>
      <c r="P273" s="4"/>
      <c r="Q273" s="4"/>
      <c r="R273" s="4"/>
      <c r="S273" s="4"/>
      <c r="T273" s="4"/>
      <c r="AD273" s="4"/>
      <c r="AE273" s="4"/>
      <c r="AF273" s="4"/>
    </row>
    <row r="274" ht="12.75" customHeight="1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4"/>
      <c r="M274" s="73"/>
      <c r="N274" s="73"/>
      <c r="O274" s="73"/>
      <c r="P274" s="4"/>
      <c r="Q274" s="4"/>
      <c r="R274" s="4"/>
      <c r="S274" s="4"/>
      <c r="T274" s="4"/>
      <c r="AD274" s="4"/>
      <c r="AE274" s="4"/>
      <c r="AF274" s="4"/>
    </row>
    <row r="275" ht="12.75" customHeight="1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4"/>
      <c r="M275" s="73"/>
      <c r="N275" s="73"/>
      <c r="O275" s="73"/>
      <c r="P275" s="4"/>
      <c r="Q275" s="4"/>
      <c r="R275" s="4"/>
      <c r="S275" s="4"/>
      <c r="T275" s="4"/>
      <c r="AD275" s="4"/>
      <c r="AE275" s="4"/>
      <c r="AF275" s="4"/>
    </row>
    <row r="276" ht="12.75" customHeight="1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4"/>
      <c r="M276" s="73"/>
      <c r="N276" s="73"/>
      <c r="O276" s="73"/>
      <c r="P276" s="4"/>
      <c r="Q276" s="4"/>
      <c r="R276" s="4"/>
      <c r="S276" s="4"/>
      <c r="T276" s="4"/>
      <c r="AD276" s="4"/>
      <c r="AE276" s="4"/>
      <c r="AF276" s="4"/>
    </row>
    <row r="277" ht="12.75" customHeight="1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4"/>
      <c r="M277" s="73"/>
      <c r="N277" s="73"/>
      <c r="O277" s="73"/>
      <c r="P277" s="4"/>
      <c r="Q277" s="4"/>
      <c r="R277" s="4"/>
      <c r="S277" s="4"/>
      <c r="T277" s="4"/>
      <c r="AD277" s="4"/>
      <c r="AE277" s="4"/>
      <c r="AF277" s="4"/>
    </row>
    <row r="278" ht="12.75" customHeight="1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4"/>
      <c r="M278" s="73"/>
      <c r="N278" s="73"/>
      <c r="O278" s="73"/>
      <c r="P278" s="4"/>
      <c r="Q278" s="4"/>
      <c r="R278" s="4"/>
      <c r="S278" s="4"/>
      <c r="T278" s="4"/>
      <c r="AD278" s="4"/>
      <c r="AE278" s="4"/>
      <c r="AF278" s="4"/>
    </row>
    <row r="279" ht="12.75" customHeight="1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4"/>
      <c r="M279" s="73"/>
      <c r="N279" s="73"/>
      <c r="O279" s="73"/>
      <c r="P279" s="4"/>
      <c r="Q279" s="4"/>
      <c r="R279" s="4"/>
      <c r="S279" s="4"/>
      <c r="T279" s="4"/>
      <c r="AD279" s="4"/>
      <c r="AE279" s="4"/>
      <c r="AF279" s="4"/>
    </row>
    <row r="280" ht="12.75" customHeight="1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4"/>
      <c r="M280" s="73"/>
      <c r="N280" s="73"/>
      <c r="O280" s="73"/>
      <c r="P280" s="4"/>
      <c r="Q280" s="4"/>
      <c r="R280" s="4"/>
      <c r="S280" s="4"/>
      <c r="T280" s="4"/>
      <c r="AD280" s="4"/>
      <c r="AE280" s="4"/>
      <c r="AF280" s="4"/>
    </row>
    <row r="281" ht="12.75" customHeight="1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4"/>
      <c r="M281" s="73"/>
      <c r="N281" s="73"/>
      <c r="O281" s="73"/>
      <c r="P281" s="4"/>
      <c r="Q281" s="4"/>
      <c r="R281" s="4"/>
      <c r="S281" s="4"/>
      <c r="T281" s="4"/>
      <c r="AD281" s="4"/>
      <c r="AE281" s="4"/>
      <c r="AF281" s="4"/>
    </row>
    <row r="282" ht="12.75" customHeight="1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4"/>
      <c r="M282" s="73"/>
      <c r="N282" s="73"/>
      <c r="O282" s="73"/>
      <c r="P282" s="4"/>
      <c r="Q282" s="4"/>
      <c r="R282" s="4"/>
      <c r="S282" s="4"/>
      <c r="T282" s="4"/>
      <c r="AD282" s="4"/>
      <c r="AE282" s="4"/>
      <c r="AF282" s="4"/>
    </row>
    <row r="283" ht="12.75" customHeight="1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4"/>
      <c r="M283" s="73"/>
      <c r="N283" s="73"/>
      <c r="O283" s="73"/>
      <c r="P283" s="4"/>
      <c r="Q283" s="4"/>
      <c r="R283" s="4"/>
      <c r="S283" s="4"/>
      <c r="T283" s="4"/>
      <c r="AD283" s="4"/>
      <c r="AE283" s="4"/>
      <c r="AF283" s="4"/>
    </row>
    <row r="284" ht="12.75" customHeight="1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4"/>
      <c r="M284" s="73"/>
      <c r="N284" s="73"/>
      <c r="O284" s="73"/>
      <c r="P284" s="4"/>
      <c r="Q284" s="4"/>
      <c r="R284" s="4"/>
      <c r="S284" s="4"/>
      <c r="T284" s="4"/>
      <c r="AD284" s="4"/>
      <c r="AE284" s="4"/>
      <c r="AF284" s="4"/>
    </row>
    <row r="285" ht="12.75" customHeight="1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4"/>
      <c r="M285" s="73"/>
      <c r="N285" s="73"/>
      <c r="O285" s="73"/>
      <c r="P285" s="4"/>
      <c r="Q285" s="4"/>
      <c r="R285" s="4"/>
      <c r="S285" s="4"/>
      <c r="T285" s="4"/>
      <c r="AD285" s="4"/>
      <c r="AE285" s="4"/>
      <c r="AF285" s="4"/>
    </row>
    <row r="286" ht="12.75" customHeight="1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4"/>
      <c r="M286" s="73"/>
      <c r="N286" s="73"/>
      <c r="O286" s="73"/>
      <c r="P286" s="4"/>
      <c r="Q286" s="4"/>
      <c r="R286" s="4"/>
      <c r="S286" s="4"/>
      <c r="T286" s="4"/>
      <c r="AD286" s="4"/>
      <c r="AE286" s="4"/>
      <c r="AF286" s="4"/>
    </row>
    <row r="287" ht="12.75" customHeight="1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4"/>
      <c r="M287" s="73"/>
      <c r="N287" s="73"/>
      <c r="O287" s="73"/>
      <c r="P287" s="4"/>
      <c r="Q287" s="4"/>
      <c r="R287" s="4"/>
      <c r="S287" s="4"/>
      <c r="T287" s="4"/>
      <c r="AD287" s="4"/>
      <c r="AE287" s="4"/>
      <c r="AF287" s="4"/>
    </row>
    <row r="288" ht="12.75" customHeight="1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4"/>
      <c r="M288" s="73"/>
      <c r="N288" s="73"/>
      <c r="O288" s="73"/>
      <c r="P288" s="4"/>
      <c r="Q288" s="4"/>
      <c r="R288" s="4"/>
      <c r="S288" s="4"/>
      <c r="T288" s="4"/>
      <c r="AD288" s="4"/>
      <c r="AE288" s="4"/>
      <c r="AF288" s="4"/>
    </row>
    <row r="289" ht="12.75" customHeight="1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4"/>
      <c r="M289" s="73"/>
      <c r="N289" s="73"/>
      <c r="O289" s="73"/>
      <c r="P289" s="4"/>
      <c r="Q289" s="4"/>
      <c r="R289" s="4"/>
      <c r="S289" s="4"/>
      <c r="T289" s="4"/>
      <c r="AD289" s="4"/>
      <c r="AE289" s="4"/>
      <c r="AF289" s="4"/>
    </row>
    <row r="290" ht="12.75" customHeight="1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4"/>
      <c r="M290" s="73"/>
      <c r="N290" s="73"/>
      <c r="O290" s="73"/>
      <c r="P290" s="4"/>
      <c r="Q290" s="4"/>
      <c r="R290" s="4"/>
      <c r="S290" s="4"/>
      <c r="T290" s="4"/>
      <c r="AD290" s="4"/>
      <c r="AE290" s="4"/>
      <c r="AF290" s="4"/>
    </row>
    <row r="291" ht="12.75" customHeight="1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4"/>
      <c r="M291" s="73"/>
      <c r="N291" s="73"/>
      <c r="O291" s="73"/>
      <c r="P291" s="4"/>
      <c r="Q291" s="4"/>
      <c r="R291" s="4"/>
      <c r="S291" s="4"/>
      <c r="T291" s="4"/>
      <c r="AD291" s="4"/>
      <c r="AE291" s="4"/>
      <c r="AF291" s="4"/>
    </row>
    <row r="292" ht="12.75" customHeight="1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4"/>
      <c r="M292" s="73"/>
      <c r="N292" s="73"/>
      <c r="O292" s="73"/>
      <c r="P292" s="4"/>
      <c r="Q292" s="4"/>
      <c r="R292" s="4"/>
      <c r="S292" s="4"/>
      <c r="T292" s="4"/>
      <c r="AD292" s="4"/>
      <c r="AE292" s="4"/>
      <c r="AF292" s="4"/>
    </row>
    <row r="293" ht="12.75" customHeight="1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4"/>
      <c r="M293" s="73"/>
      <c r="N293" s="73"/>
      <c r="O293" s="73"/>
      <c r="P293" s="4"/>
      <c r="Q293" s="4"/>
      <c r="R293" s="4"/>
      <c r="S293" s="4"/>
      <c r="T293" s="4"/>
      <c r="AD293" s="4"/>
      <c r="AE293" s="4"/>
      <c r="AF293" s="4"/>
    </row>
    <row r="294" ht="12.75" customHeight="1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4"/>
      <c r="M294" s="73"/>
      <c r="N294" s="73"/>
      <c r="O294" s="73"/>
      <c r="P294" s="4"/>
      <c r="Q294" s="4"/>
      <c r="R294" s="4"/>
      <c r="S294" s="4"/>
      <c r="T294" s="4"/>
      <c r="AD294" s="4"/>
      <c r="AE294" s="4"/>
      <c r="AF294" s="4"/>
    </row>
    <row r="295" ht="12.75" customHeight="1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4"/>
      <c r="M295" s="73"/>
      <c r="N295" s="73"/>
      <c r="O295" s="73"/>
      <c r="P295" s="4"/>
      <c r="Q295" s="4"/>
      <c r="R295" s="4"/>
      <c r="S295" s="4"/>
      <c r="T295" s="4"/>
      <c r="AD295" s="4"/>
      <c r="AE295" s="4"/>
      <c r="AF295" s="4"/>
    </row>
    <row r="296" ht="12.75" customHeight="1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4"/>
      <c r="M296" s="73"/>
      <c r="N296" s="73"/>
      <c r="O296" s="73"/>
      <c r="P296" s="4"/>
      <c r="Q296" s="4"/>
      <c r="R296" s="4"/>
      <c r="S296" s="4"/>
      <c r="T296" s="4"/>
      <c r="AD296" s="4"/>
      <c r="AE296" s="4"/>
      <c r="AF296" s="4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K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