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B2AA5F8F-76D3-455B-9699-7BAD3C3E34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iclo" sheetId="1" r:id="rId1"/>
    <sheet name="Trabajo_Accesorio" sheetId="2" r:id="rId2"/>
  </sheets>
  <definedNames>
    <definedName name="_xlnm.Print_Area" localSheetId="0">Ciclo!$A$9:$N$71</definedName>
    <definedName name="Bench">Trabajo_Accesorio!$B$2:$B$20</definedName>
    <definedName name="Deadlift">Trabajo_Accesorio!$C$2:$C$20</definedName>
    <definedName name="OHPress">Trabajo_Accesorio!$D$2:$D$20</definedName>
    <definedName name="Squat">Trabajo_Accesorio!$A$2:$A$20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6" i="1" l="1"/>
  <c r="F46" i="1"/>
  <c r="I46" i="1" s="1"/>
  <c r="L45" i="1"/>
  <c r="F45" i="1"/>
  <c r="I45" i="1" s="1"/>
  <c r="L44" i="1"/>
  <c r="F44" i="1"/>
  <c r="I44" i="1" s="1"/>
  <c r="L37" i="1"/>
  <c r="F37" i="1"/>
  <c r="I37" i="1" s="1"/>
  <c r="L36" i="1"/>
  <c r="F36" i="1"/>
  <c r="I36" i="1" s="1"/>
  <c r="L35" i="1"/>
  <c r="I35" i="1"/>
  <c r="F35" i="1"/>
  <c r="I34" i="1"/>
  <c r="F33" i="1"/>
  <c r="I32" i="1"/>
  <c r="C31" i="1"/>
  <c r="C30" i="1"/>
  <c r="L28" i="1"/>
  <c r="I28" i="1"/>
  <c r="F28" i="1"/>
  <c r="L27" i="1"/>
  <c r="I27" i="1"/>
  <c r="F27" i="1"/>
  <c r="L26" i="1"/>
  <c r="I26" i="1"/>
  <c r="F26" i="1"/>
  <c r="C25" i="1"/>
  <c r="C23" i="1"/>
  <c r="L19" i="1"/>
  <c r="I19" i="1"/>
  <c r="F19" i="1"/>
  <c r="L18" i="1"/>
  <c r="I18" i="1"/>
  <c r="F18" i="1"/>
  <c r="L17" i="1"/>
  <c r="I17" i="1"/>
  <c r="F17" i="1"/>
  <c r="F8" i="1"/>
  <c r="C8" i="1" s="1"/>
  <c r="F7" i="1"/>
  <c r="C7" i="1"/>
  <c r="F34" i="1" s="1"/>
  <c r="F6" i="1"/>
  <c r="C6" i="1"/>
  <c r="L24" i="1" s="1"/>
  <c r="F5" i="1"/>
  <c r="C5" i="1" s="1"/>
  <c r="L43" i="1" l="1"/>
  <c r="L41" i="1"/>
  <c r="F39" i="1"/>
  <c r="I39" i="1" s="1"/>
  <c r="F43" i="1"/>
  <c r="I43" i="1"/>
  <c r="I41" i="1"/>
  <c r="C39" i="1"/>
  <c r="L42" i="1"/>
  <c r="F41" i="1"/>
  <c r="C43" i="1"/>
  <c r="C41" i="1"/>
  <c r="C38" i="1"/>
  <c r="F38" i="1" s="1"/>
  <c r="I38" i="1" s="1"/>
  <c r="I42" i="1"/>
  <c r="F40" i="1"/>
  <c r="I40" i="1" s="1"/>
  <c r="C42" i="1"/>
  <c r="F42" i="1"/>
  <c r="C40" i="1"/>
  <c r="F15" i="1"/>
  <c r="C13" i="1"/>
  <c r="L16" i="1"/>
  <c r="F12" i="1"/>
  <c r="I12" i="1" s="1"/>
  <c r="C15" i="1"/>
  <c r="L14" i="1"/>
  <c r="F14" i="1"/>
  <c r="I16" i="1"/>
  <c r="I14" i="1"/>
  <c r="C12" i="1"/>
  <c r="F16" i="1"/>
  <c r="F13" i="1"/>
  <c r="I13" i="1" s="1"/>
  <c r="C16" i="1"/>
  <c r="C14" i="1"/>
  <c r="I15" i="1"/>
  <c r="L15" i="1"/>
  <c r="C11" i="1"/>
  <c r="F11" i="1" s="1"/>
  <c r="I11" i="1" s="1"/>
  <c r="F23" i="1"/>
  <c r="F25" i="1"/>
  <c r="F30" i="1"/>
  <c r="I30" i="1" s="1"/>
  <c r="L32" i="1"/>
  <c r="L34" i="1"/>
  <c r="C21" i="1"/>
  <c r="I23" i="1"/>
  <c r="I25" i="1"/>
  <c r="C33" i="1"/>
  <c r="F21" i="1"/>
  <c r="I21" i="1" s="1"/>
  <c r="L23" i="1"/>
  <c r="C24" i="1"/>
  <c r="F31" i="1"/>
  <c r="I31" i="1" s="1"/>
  <c r="I33" i="1"/>
  <c r="L25" i="1"/>
  <c r="F24" i="1"/>
  <c r="C29" i="1"/>
  <c r="F29" i="1" s="1"/>
  <c r="I29" i="1" s="1"/>
  <c r="F22" i="1"/>
  <c r="I22" i="1" s="1"/>
  <c r="I24" i="1"/>
  <c r="C32" i="1"/>
  <c r="C34" i="1"/>
  <c r="C22" i="1"/>
  <c r="L33" i="1"/>
  <c r="C20" i="1"/>
  <c r="F20" i="1" s="1"/>
  <c r="I20" i="1" s="1"/>
  <c r="F32" i="1"/>
</calcChain>
</file>

<file path=xl/sharedStrings.xml><?xml version="1.0" encoding="utf-8"?>
<sst xmlns="http://schemas.openxmlformats.org/spreadsheetml/2006/main" count="184" uniqueCount="62">
  <si>
    <t>Calculadora 5/3/1 Jim Wendler</t>
  </si>
  <si>
    <t>Fecha de inicio:</t>
  </si>
  <si>
    <t>LB</t>
  </si>
  <si>
    <t>Utilizar Libras o Kilos:</t>
  </si>
  <si>
    <t>KG</t>
  </si>
  <si>
    <t>&lt;&lt;&lt;</t>
  </si>
  <si>
    <t>1 Repetición Máxima (90%)</t>
  </si>
  <si>
    <t>1RM Estimado</t>
  </si>
  <si>
    <t>Peso utilizado</t>
  </si>
  <si>
    <t>Repeticiones</t>
  </si>
  <si>
    <t>Sentadilla:</t>
  </si>
  <si>
    <t>Press banca:</t>
  </si>
  <si>
    <t>Peso muerto:</t>
  </si>
  <si>
    <t>Press militar:</t>
  </si>
  <si>
    <t>Ejercicio:</t>
  </si>
  <si>
    <t>Semana 1</t>
  </si>
  <si>
    <t>Semana 2</t>
  </si>
  <si>
    <t xml:space="preserve">Semana 3 </t>
  </si>
  <si>
    <t>Semana 4 - Descarga</t>
  </si>
  <si>
    <t>Peso</t>
  </si>
  <si>
    <t>Reps</t>
  </si>
  <si>
    <t>Anotaciones</t>
  </si>
  <si>
    <t>Lunes</t>
  </si>
  <si>
    <t>-</t>
  </si>
  <si>
    <t>5&lt;</t>
  </si>
  <si>
    <t>3&lt;</t>
  </si>
  <si>
    <t>1&lt;</t>
  </si>
  <si>
    <t>Sentadilla Frontal</t>
  </si>
  <si>
    <t>5x10</t>
  </si>
  <si>
    <t>Sentadilla Búlgara</t>
  </si>
  <si>
    <t>Trabajo core</t>
  </si>
  <si>
    <t>5x13</t>
  </si>
  <si>
    <t>Martes</t>
  </si>
  <si>
    <t>Press banca inclinado</t>
  </si>
  <si>
    <t>Aperturas en polea</t>
  </si>
  <si>
    <t>Jueves</t>
  </si>
  <si>
    <t xml:space="preserve">Peso muerto: </t>
  </si>
  <si>
    <t>Dominadas</t>
  </si>
  <si>
    <t>Paseo del granjero</t>
  </si>
  <si>
    <t>Viernes</t>
  </si>
  <si>
    <t>Press hombro con mancuerna</t>
  </si>
  <si>
    <t>Facepull</t>
  </si>
  <si>
    <t>Ejercicio</t>
  </si>
  <si>
    <t>Semana 3</t>
  </si>
  <si>
    <t>Mié - ("Off")</t>
  </si>
  <si>
    <t>Sab o Dom ("Off")</t>
  </si>
  <si>
    <t>Sentadilla</t>
  </si>
  <si>
    <t>Press banca</t>
  </si>
  <si>
    <t>Peso muerto</t>
  </si>
  <si>
    <t>Press militar</t>
  </si>
  <si>
    <t>Peso muerto rumano</t>
  </si>
  <si>
    <t>Press banca cerrado</t>
  </si>
  <si>
    <t>Hip Thrust</t>
  </si>
  <si>
    <t>Press inclinado con mancuerna</t>
  </si>
  <si>
    <t>Elevación de trapecio</t>
  </si>
  <si>
    <t>Zancadas</t>
  </si>
  <si>
    <t>Hiperextensiones</t>
  </si>
  <si>
    <t>Press francés</t>
  </si>
  <si>
    <t>Ext. de cuádriceps</t>
  </si>
  <si>
    <t>Fondos</t>
  </si>
  <si>
    <t>Curl de bíceps con mancuerna</t>
  </si>
  <si>
    <t>WWW.BIBLIOTECADERUTINAS.COM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</si>
</sst>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80008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13"/>
      <color rgb="FF000000"/>
      <name val="Calibri"/>
      <family val="2"/>
    </font>
    <font>
      <i/>
      <sz val="10"/>
      <color rgb="FF404040"/>
      <name val="Calibri"/>
      <family val="2"/>
    </font>
    <font>
      <sz val="10"/>
      <color rgb="FF808080"/>
      <name val="Calibri"/>
      <family val="2"/>
    </font>
    <font>
      <sz val="10"/>
      <color rgb="FF404040"/>
      <name val="Calibri"/>
      <family val="2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b/>
      <u/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164" fontId="6" fillId="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5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" fontId="13" fillId="0" borderId="19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" fontId="13" fillId="0" borderId="20" xfId="0" applyNumberFormat="1" applyFont="1" applyBorder="1" applyAlignment="1">
      <alignment horizontal="center"/>
    </xf>
    <xf numFmtId="1" fontId="13" fillId="0" borderId="21" xfId="0" applyNumberFormat="1" applyFont="1" applyBorder="1" applyAlignment="1">
      <alignment horizontal="center"/>
    </xf>
    <xf numFmtId="1" fontId="13" fillId="0" borderId="22" xfId="0" applyNumberFormat="1" applyFont="1" applyBorder="1" applyAlignment="1">
      <alignment horizontal="center"/>
    </xf>
    <xf numFmtId="1" fontId="13" fillId="0" borderId="2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14" fillId="0" borderId="24" xfId="0" applyNumberFormat="1" applyFont="1" applyBorder="1" applyAlignment="1">
      <alignment horizontal="left"/>
    </xf>
    <xf numFmtId="1" fontId="14" fillId="0" borderId="9" xfId="0" applyNumberFormat="1" applyFont="1" applyBorder="1" applyAlignment="1">
      <alignment horizontal="left"/>
    </xf>
    <xf numFmtId="0" fontId="5" fillId="3" borderId="26" xfId="0" applyFont="1" applyFill="1" applyBorder="1"/>
    <xf numFmtId="1" fontId="5" fillId="3" borderId="20" xfId="0" applyNumberFormat="1" applyFont="1" applyFill="1" applyBorder="1" applyAlignment="1">
      <alignment horizontal="center"/>
    </xf>
    <xf numFmtId="0" fontId="5" fillId="3" borderId="27" xfId="0" applyFont="1" applyFill="1" applyBorder="1"/>
    <xf numFmtId="1" fontId="5" fillId="3" borderId="8" xfId="0" applyNumberFormat="1" applyFont="1" applyFill="1" applyBorder="1" applyAlignment="1">
      <alignment horizontal="center"/>
    </xf>
    <xf numFmtId="0" fontId="5" fillId="3" borderId="28" xfId="0" applyFont="1" applyFill="1" applyBorder="1"/>
    <xf numFmtId="1" fontId="5" fillId="3" borderId="11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1" fontId="13" fillId="0" borderId="24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" fontId="5" fillId="0" borderId="22" xfId="0" applyNumberFormat="1" applyFont="1" applyBorder="1"/>
    <xf numFmtId="1" fontId="5" fillId="0" borderId="27" xfId="0" applyNumberFormat="1" applyFont="1" applyBorder="1" applyAlignment="1">
      <alignment horizontal="center"/>
    </xf>
    <xf numFmtId="1" fontId="14" fillId="0" borderId="27" xfId="0" applyNumberFormat="1" applyFont="1" applyBorder="1" applyAlignment="1">
      <alignment horizontal="left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textRotation="90"/>
    </xf>
    <xf numFmtId="0" fontId="11" fillId="0" borderId="11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5" fillId="0" borderId="37" xfId="0" applyFont="1" applyBorder="1"/>
    <xf numFmtId="0" fontId="5" fillId="0" borderId="5" xfId="0" applyFont="1" applyBorder="1" applyAlignment="1">
      <alignment horizontal="center"/>
    </xf>
    <xf numFmtId="0" fontId="5" fillId="0" borderId="18" xfId="0" applyFont="1" applyBorder="1"/>
    <xf numFmtId="0" fontId="5" fillId="0" borderId="6" xfId="0" applyFont="1" applyBorder="1"/>
    <xf numFmtId="0" fontId="5" fillId="0" borderId="19" xfId="0" applyFont="1" applyBorder="1"/>
    <xf numFmtId="0" fontId="5" fillId="0" borderId="18" xfId="0" applyFont="1" applyFill="1" applyBorder="1"/>
    <xf numFmtId="0" fontId="5" fillId="0" borderId="6" xfId="0" applyFont="1" applyFill="1" applyBorder="1"/>
    <xf numFmtId="0" fontId="5" fillId="0" borderId="27" xfId="0" applyFont="1" applyBorder="1"/>
    <xf numFmtId="0" fontId="5" fillId="0" borderId="8" xfId="0" applyFont="1" applyBorder="1" applyAlignment="1">
      <alignment horizontal="center"/>
    </xf>
    <xf numFmtId="0" fontId="5" fillId="0" borderId="24" xfId="0" applyFont="1" applyBorder="1"/>
    <xf numFmtId="0" fontId="5" fillId="0" borderId="9" xfId="0" applyFont="1" applyBorder="1"/>
    <xf numFmtId="0" fontId="5" fillId="0" borderId="25" xfId="0" applyFont="1" applyBorder="1"/>
    <xf numFmtId="0" fontId="5" fillId="0" borderId="25" xfId="0" applyFont="1" applyBorder="1" applyAlignment="1">
      <alignment horizontal="center"/>
    </xf>
    <xf numFmtId="0" fontId="5" fillId="0" borderId="28" xfId="0" applyFont="1" applyBorder="1"/>
    <xf numFmtId="0" fontId="5" fillId="0" borderId="1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8" xfId="0" applyFont="1" applyFill="1" applyBorder="1"/>
    <xf numFmtId="0" fontId="5" fillId="0" borderId="5" xfId="0" applyFont="1" applyBorder="1"/>
    <xf numFmtId="0" fontId="5" fillId="0" borderId="39" xfId="0" applyFont="1" applyBorder="1"/>
    <xf numFmtId="0" fontId="5" fillId="0" borderId="0" xfId="0" applyFont="1" applyFill="1"/>
    <xf numFmtId="0" fontId="5" fillId="0" borderId="8" xfId="0" applyFont="1" applyBorder="1"/>
    <xf numFmtId="0" fontId="5" fillId="0" borderId="1" xfId="0" applyFont="1" applyBorder="1"/>
    <xf numFmtId="0" fontId="5" fillId="0" borderId="2" xfId="0" applyFont="1" applyFill="1" applyBorder="1"/>
    <xf numFmtId="0" fontId="5" fillId="0" borderId="11" xfId="0" applyFont="1" applyBorder="1"/>
    <xf numFmtId="0" fontId="5" fillId="0" borderId="29" xfId="0" applyFont="1" applyBorder="1"/>
    <xf numFmtId="0" fontId="5" fillId="0" borderId="12" xfId="0" applyFont="1" applyBorder="1"/>
    <xf numFmtId="0" fontId="5" fillId="0" borderId="31" xfId="0" applyFont="1" applyBorder="1"/>
    <xf numFmtId="0" fontId="5" fillId="0" borderId="15" xfId="0" applyFont="1" applyBorder="1"/>
    <xf numFmtId="0" fontId="0" fillId="0" borderId="0" xfId="0" applyAlignment="1">
      <alignment horizontal="center"/>
    </xf>
    <xf numFmtId="0" fontId="7" fillId="0" borderId="40" xfId="0" applyFont="1" applyBorder="1" applyAlignment="1">
      <alignment horizontal="center"/>
    </xf>
    <xf numFmtId="0" fontId="0" fillId="2" borderId="41" xfId="0" applyFill="1" applyBorder="1"/>
    <xf numFmtId="0" fontId="0" fillId="2" borderId="42" xfId="0" applyFill="1" applyBorder="1"/>
    <xf numFmtId="0" fontId="0" fillId="2" borderId="43" xfId="0" applyFill="1" applyBorder="1"/>
    <xf numFmtId="0" fontId="17" fillId="0" borderId="16" xfId="0" applyFont="1" applyFill="1" applyBorder="1" applyAlignment="1">
      <alignment horizontal="center" vertical="center" textRotation="90"/>
    </xf>
    <xf numFmtId="0" fontId="10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 vertical="center" textRotation="90"/>
    </xf>
    <xf numFmtId="0" fontId="7" fillId="4" borderId="16" xfId="0" applyFont="1" applyFill="1" applyBorder="1" applyAlignment="1">
      <alignment horizontal="center" vertical="center" textRotation="90"/>
    </xf>
    <xf numFmtId="0" fontId="12" fillId="0" borderId="17" xfId="0" applyFont="1" applyFill="1" applyBorder="1" applyAlignment="1">
      <alignment horizontal="center" vertical="center" textRotation="45"/>
    </xf>
    <xf numFmtId="0" fontId="7" fillId="0" borderId="16" xfId="0" applyFont="1" applyFill="1" applyBorder="1" applyAlignment="1">
      <alignment horizontal="center" vertical="center" textRotation="90"/>
    </xf>
    <xf numFmtId="1" fontId="9" fillId="0" borderId="8" xfId="0" applyNumberFormat="1" applyFont="1" applyFill="1" applyBorder="1" applyAlignment="1">
      <alignment horizontal="center"/>
    </xf>
    <xf numFmtId="0" fontId="0" fillId="2" borderId="10" xfId="0" applyFill="1" applyBorder="1"/>
    <xf numFmtId="1" fontId="9" fillId="0" borderId="11" xfId="0" applyNumberFormat="1" applyFont="1" applyFill="1" applyBorder="1" applyAlignment="1">
      <alignment horizontal="center"/>
    </xf>
    <xf numFmtId="0" fontId="0" fillId="2" borderId="13" xfId="0" applyFill="1" applyBorder="1"/>
    <xf numFmtId="1" fontId="9" fillId="0" borderId="5" xfId="0" applyNumberFormat="1" applyFont="1" applyFill="1" applyBorder="1" applyAlignment="1">
      <alignment horizontal="center"/>
    </xf>
    <xf numFmtId="0" fontId="0" fillId="2" borderId="7" xfId="0" applyFill="1" applyBorder="1"/>
    <xf numFmtId="0" fontId="0" fillId="0" borderId="2" xfId="0" applyFill="1" applyBorder="1"/>
    <xf numFmtId="0" fontId="5" fillId="0" borderId="3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center"/>
    </xf>
    <xf numFmtId="164" fontId="0" fillId="2" borderId="44" xfId="0" applyNumberFormat="1" applyFill="1" applyBorder="1"/>
    <xf numFmtId="0" fontId="18" fillId="5" borderId="45" xfId="2" applyFont="1" applyFill="1" applyBorder="1" applyAlignment="1">
      <alignment horizontal="center"/>
    </xf>
    <xf numFmtId="0" fontId="7" fillId="5" borderId="46" xfId="0" applyFont="1" applyFill="1" applyBorder="1" applyAlignment="1">
      <alignment horizontal="center"/>
    </xf>
    <xf numFmtId="0" fontId="7" fillId="5" borderId="47" xfId="0" applyFont="1" applyFill="1" applyBorder="1" applyAlignment="1">
      <alignment horizontal="center"/>
    </xf>
  </cellXfs>
  <cellStyles count="4">
    <cellStyle name="Hipervínculo" xfId="2" xr:uid="{00000000-0005-0000-0000-000000000000}"/>
    <cellStyle name="Hipervínculo visitado" xfId="3" xr:uid="{00000000-0005-0000-0000-000001000000}"/>
    <cellStyle name="Normal" xfId="0" builtinId="0" customBuiltin="1"/>
    <cellStyle name="Porcentaje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47621</xdr:colOff>
      <xdr:row>3</xdr:row>
      <xdr:rowOff>79379</xdr:rowOff>
    </xdr:from>
    <xdr:ext cx="2578095" cy="22113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33935-404E-412D-B8F7-9FA19E2E3059}"/>
            </a:ext>
          </a:extLst>
        </xdr:cNvPr>
        <xdr:cNvSpPr txBox="1"/>
      </xdr:nvSpPr>
      <xdr:spPr>
        <a:xfrm>
          <a:off x="5907401" y="628019"/>
          <a:ext cx="2578095" cy="2211384"/>
        </a:xfrm>
        <a:prstGeom prst="rect">
          <a:avLst/>
        </a:prstGeom>
        <a:solidFill>
          <a:srgbClr val="FAC090"/>
        </a:solidFill>
        <a:ln w="9528" cap="flat">
          <a:solidFill>
            <a:srgbClr val="BE4B48"/>
          </a:solidFill>
          <a:prstDash val="solid"/>
          <a:miter/>
        </a:ln>
        <a:effectLst>
          <a:outerShdw dist="19997" dir="5400000" algn="tl">
            <a:srgbClr val="000000">
              <a:alpha val="38000"/>
            </a:srgbClr>
          </a:outerShdw>
        </a:effectLst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050" b="1" i="0" u="none" strike="noStrike" kern="0" cap="none" spc="0" baseline="0">
              <a:solidFill>
                <a:srgbClr val="000000"/>
              </a:solidFill>
              <a:uFillTx/>
              <a:latin typeface="Calibri"/>
              <a:ea typeface=""/>
              <a:cs typeface=""/>
            </a:rPr>
            <a:t>En esta hoja puedes añadir los ejercicios accesorios que más te interesen según tu objetivo.</a:t>
          </a:r>
          <a:br>
            <a:rPr lang="en-US" sz="1050" b="1" i="0" u="none" strike="noStrike" kern="0" cap="none" spc="0" baseline="0">
              <a:solidFill>
                <a:srgbClr val="000000"/>
              </a:solidFill>
              <a:uFillTx/>
              <a:latin typeface="Calibri"/>
              <a:ea typeface=""/>
              <a:cs typeface=""/>
            </a:rPr>
          </a:br>
          <a:br>
            <a:rPr lang="en-US" sz="1050" b="1" i="0" u="none" strike="noStrike" kern="0" cap="none" spc="0" baseline="0">
              <a:solidFill>
                <a:srgbClr val="000000"/>
              </a:solidFill>
              <a:uFillTx/>
              <a:latin typeface="Calibri"/>
              <a:ea typeface=""/>
              <a:cs typeface=""/>
            </a:rPr>
          </a:br>
          <a:r>
            <a:rPr lang="en-US" sz="1050" b="1" i="0" u="none" strike="noStrike" kern="0" cap="none" spc="0" baseline="0">
              <a:solidFill>
                <a:srgbClr val="000000"/>
              </a:solidFill>
              <a:uFillTx/>
              <a:latin typeface="Calibri"/>
              <a:ea typeface=""/>
              <a:cs typeface=""/>
            </a:rPr>
            <a:t>Lo que escribas en las celdas amarillas aparecerá en el desplegable de ejercicios accesorio.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br>
            <a:rPr lang="en-US" sz="1050" b="1" i="0" u="none" strike="noStrike" kern="0" cap="none" spc="0" baseline="0">
              <a:solidFill>
                <a:srgbClr val="000000"/>
              </a:solidFill>
              <a:uFillTx/>
              <a:latin typeface="Calibri"/>
              <a:ea typeface=""/>
              <a:cs typeface=""/>
            </a:rPr>
          </a:br>
          <a:endParaRPr lang="en-US" sz="1050" b="1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selection activeCell="O4" sqref="O4"/>
    </sheetView>
  </sheetViews>
  <sheetFormatPr baseColWidth="10" defaultColWidth="8.77734375" defaultRowHeight="13.95" customHeight="1" x14ac:dyDescent="0.3"/>
  <cols>
    <col min="1" max="1" width="2.6640625" customWidth="1"/>
    <col min="2" max="2" width="13.44140625" customWidth="1"/>
    <col min="3" max="4" width="6.33203125" customWidth="1"/>
    <col min="5" max="5" width="12.6640625" customWidth="1"/>
    <col min="6" max="7" width="6.33203125" customWidth="1"/>
    <col min="8" max="8" width="12.6640625" customWidth="1"/>
    <col min="9" max="10" width="6.33203125" customWidth="1"/>
    <col min="11" max="11" width="12.6640625" customWidth="1"/>
    <col min="12" max="13" width="6.33203125" customWidth="1"/>
    <col min="14" max="14" width="12.6640625" customWidth="1"/>
    <col min="15" max="15" width="6.6640625" bestFit="1" customWidth="1"/>
    <col min="16" max="16" width="11.77734375" customWidth="1"/>
    <col min="17" max="17" width="0" hidden="1" customWidth="1"/>
    <col min="18" max="18" width="8.77734375" customWidth="1"/>
  </cols>
  <sheetData>
    <row r="1" spans="1:17" ht="13.95" customHeight="1" thickBot="1" x14ac:dyDescent="0.35">
      <c r="B1" s="127" t="s">
        <v>61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9"/>
    </row>
    <row r="2" spans="1:17" ht="13.95" customHeight="1" x14ac:dyDescent="0.3">
      <c r="B2" s="1" t="s">
        <v>0</v>
      </c>
      <c r="F2" s="2" t="s">
        <v>1</v>
      </c>
      <c r="G2" s="3"/>
      <c r="H2" s="126"/>
      <c r="Q2" t="s">
        <v>2</v>
      </c>
    </row>
    <row r="3" spans="1:17" ht="13.95" customHeight="1" thickBot="1" x14ac:dyDescent="0.35">
      <c r="B3" s="123"/>
      <c r="C3" s="123"/>
      <c r="D3" s="123"/>
      <c r="E3" s="124" t="s">
        <v>3</v>
      </c>
      <c r="F3" s="124"/>
      <c r="G3" s="124"/>
      <c r="H3" s="4" t="s">
        <v>4</v>
      </c>
      <c r="I3" s="5" t="s">
        <v>5</v>
      </c>
      <c r="Q3" t="s">
        <v>4</v>
      </c>
    </row>
    <row r="4" spans="1:17" ht="13.95" customHeight="1" thickTop="1" thickBot="1" x14ac:dyDescent="0.35">
      <c r="B4" s="125" t="s">
        <v>6</v>
      </c>
      <c r="C4" s="125"/>
      <c r="D4" s="125" t="s">
        <v>7</v>
      </c>
      <c r="E4" s="125"/>
      <c r="F4" s="125"/>
      <c r="G4" s="125" t="s">
        <v>8</v>
      </c>
      <c r="H4" s="125"/>
      <c r="I4" s="125" t="s">
        <v>9</v>
      </c>
      <c r="J4" s="125"/>
    </row>
    <row r="5" spans="1:17" ht="13.95" customHeight="1" thickTop="1" x14ac:dyDescent="0.3">
      <c r="B5" s="6" t="s">
        <v>10</v>
      </c>
      <c r="C5" s="7">
        <f>F5*0.9</f>
        <v>0</v>
      </c>
      <c r="D5" s="121" t="s">
        <v>10</v>
      </c>
      <c r="E5" s="121"/>
      <c r="F5" s="7">
        <f>G5*I5*0.033333+G5</f>
        <v>0</v>
      </c>
      <c r="G5" s="122"/>
      <c r="H5" s="122"/>
      <c r="I5" s="122"/>
      <c r="J5" s="122"/>
    </row>
    <row r="6" spans="1:17" ht="13.95" customHeight="1" x14ac:dyDescent="0.3">
      <c r="B6" s="8" t="s">
        <v>11</v>
      </c>
      <c r="C6" s="9">
        <f>F6*0.9</f>
        <v>0</v>
      </c>
      <c r="D6" s="117" t="s">
        <v>11</v>
      </c>
      <c r="E6" s="117"/>
      <c r="F6" s="9">
        <f>G6*I6*0.033333+G6</f>
        <v>0</v>
      </c>
      <c r="G6" s="118"/>
      <c r="H6" s="118"/>
      <c r="I6" s="118"/>
      <c r="J6" s="118"/>
    </row>
    <row r="7" spans="1:17" ht="13.95" customHeight="1" x14ac:dyDescent="0.3">
      <c r="B7" s="8" t="s">
        <v>12</v>
      </c>
      <c r="C7" s="9">
        <f>F7*0.9</f>
        <v>0</v>
      </c>
      <c r="D7" s="117" t="s">
        <v>12</v>
      </c>
      <c r="E7" s="117"/>
      <c r="F7" s="9">
        <f>G7*I7*0.033333+G7</f>
        <v>0</v>
      </c>
      <c r="G7" s="118"/>
      <c r="H7" s="118"/>
      <c r="I7" s="118"/>
      <c r="J7" s="118"/>
    </row>
    <row r="8" spans="1:17" ht="13.95" customHeight="1" thickBot="1" x14ac:dyDescent="0.35">
      <c r="B8" s="10" t="s">
        <v>13</v>
      </c>
      <c r="C8" s="11">
        <f>F8*0.9</f>
        <v>0</v>
      </c>
      <c r="D8" s="119" t="s">
        <v>13</v>
      </c>
      <c r="E8" s="119"/>
      <c r="F8" s="11">
        <f>G8*I8*0.033333+G8</f>
        <v>0</v>
      </c>
      <c r="G8" s="120"/>
      <c r="H8" s="120"/>
      <c r="I8" s="120"/>
      <c r="J8" s="120"/>
    </row>
    <row r="9" spans="1:17" ht="13.95" customHeight="1" thickTop="1" thickBot="1" x14ac:dyDescent="0.35">
      <c r="B9" s="111" t="s">
        <v>14</v>
      </c>
      <c r="C9" s="112" t="s">
        <v>15</v>
      </c>
      <c r="D9" s="112"/>
      <c r="E9" s="112"/>
      <c r="F9" s="112" t="s">
        <v>16</v>
      </c>
      <c r="G9" s="112"/>
      <c r="H9" s="112"/>
      <c r="I9" s="112" t="s">
        <v>17</v>
      </c>
      <c r="J9" s="112"/>
      <c r="K9" s="112"/>
      <c r="L9" s="112" t="s">
        <v>18</v>
      </c>
      <c r="M9" s="112"/>
      <c r="N9" s="112"/>
    </row>
    <row r="10" spans="1:17" ht="13.95" customHeight="1" thickTop="1" thickBot="1" x14ac:dyDescent="0.35">
      <c r="B10" s="111"/>
      <c r="C10" s="12" t="s">
        <v>19</v>
      </c>
      <c r="D10" s="13" t="s">
        <v>20</v>
      </c>
      <c r="E10" s="14" t="s">
        <v>21</v>
      </c>
      <c r="F10" s="12" t="s">
        <v>19</v>
      </c>
      <c r="G10" s="13" t="s">
        <v>20</v>
      </c>
      <c r="H10" s="14" t="s">
        <v>21</v>
      </c>
      <c r="I10" s="12" t="s">
        <v>19</v>
      </c>
      <c r="J10" s="13" t="s">
        <v>20</v>
      </c>
      <c r="K10" s="14" t="s">
        <v>21</v>
      </c>
      <c r="L10" s="12" t="s">
        <v>19</v>
      </c>
      <c r="M10" s="13" t="s">
        <v>20</v>
      </c>
      <c r="N10" s="14" t="s">
        <v>21</v>
      </c>
    </row>
    <row r="11" spans="1:17" ht="13.95" customHeight="1" thickTop="1" thickBot="1" x14ac:dyDescent="0.35">
      <c r="A11" s="116" t="s">
        <v>22</v>
      </c>
      <c r="B11" s="115" t="s">
        <v>10</v>
      </c>
      <c r="C11" s="15">
        <f>C5*0.4</f>
        <v>0</v>
      </c>
      <c r="D11" s="16">
        <v>5</v>
      </c>
      <c r="E11" s="17"/>
      <c r="F11" s="18">
        <f>C11</f>
        <v>0</v>
      </c>
      <c r="G11" s="16">
        <v>5</v>
      </c>
      <c r="H11" s="17"/>
      <c r="I11" s="18">
        <f>F11</f>
        <v>0</v>
      </c>
      <c r="J11" s="16">
        <v>5</v>
      </c>
      <c r="K11" s="17"/>
      <c r="L11" s="18" t="s">
        <v>23</v>
      </c>
      <c r="M11" s="19" t="s">
        <v>23</v>
      </c>
      <c r="N11" s="20"/>
    </row>
    <row r="12" spans="1:17" ht="13.95" customHeight="1" thickTop="1" thickBot="1" x14ac:dyDescent="0.35">
      <c r="A12" s="116"/>
      <c r="B12" s="115"/>
      <c r="C12" s="21">
        <f>C5*0.47</f>
        <v>0</v>
      </c>
      <c r="D12" s="22">
        <v>5</v>
      </c>
      <c r="E12" s="23"/>
      <c r="F12" s="21">
        <f>C5*0.5</f>
        <v>0</v>
      </c>
      <c r="G12" s="22">
        <v>5</v>
      </c>
      <c r="H12" s="23"/>
      <c r="I12" s="24">
        <f>F12</f>
        <v>0</v>
      </c>
      <c r="J12" s="22">
        <v>5</v>
      </c>
      <c r="K12" s="23"/>
      <c r="L12" s="24" t="s">
        <v>23</v>
      </c>
      <c r="M12" s="25" t="s">
        <v>23</v>
      </c>
      <c r="N12" s="26"/>
    </row>
    <row r="13" spans="1:17" ht="13.95" customHeight="1" thickTop="1" thickBot="1" x14ac:dyDescent="0.35">
      <c r="A13" s="116"/>
      <c r="B13" s="115"/>
      <c r="C13" s="21">
        <f>C5*0.55</f>
        <v>0</v>
      </c>
      <c r="D13" s="22">
        <v>3</v>
      </c>
      <c r="E13" s="23"/>
      <c r="F13" s="21">
        <f>C5*0.6</f>
        <v>0</v>
      </c>
      <c r="G13" s="22">
        <v>3</v>
      </c>
      <c r="H13" s="23"/>
      <c r="I13" s="24">
        <f>F13</f>
        <v>0</v>
      </c>
      <c r="J13" s="22">
        <v>3</v>
      </c>
      <c r="K13" s="23"/>
      <c r="L13" s="24" t="s">
        <v>23</v>
      </c>
      <c r="M13" s="25" t="s">
        <v>23</v>
      </c>
      <c r="N13" s="26"/>
    </row>
    <row r="14" spans="1:17" ht="13.95" customHeight="1" thickTop="1" thickBot="1" x14ac:dyDescent="0.35">
      <c r="A14" s="116"/>
      <c r="B14" s="115"/>
      <c r="C14" s="27">
        <f>C5*0.65</f>
        <v>0</v>
      </c>
      <c r="D14" s="28">
        <v>5</v>
      </c>
      <c r="E14" s="29"/>
      <c r="F14" s="30">
        <f>(C5*0.7)</f>
        <v>0</v>
      </c>
      <c r="G14" s="28">
        <v>3</v>
      </c>
      <c r="H14" s="29"/>
      <c r="I14" s="30">
        <f>(C5*0.75)</f>
        <v>0</v>
      </c>
      <c r="J14" s="28">
        <v>5</v>
      </c>
      <c r="K14" s="29"/>
      <c r="L14" s="30">
        <f>(C5*0.4)</f>
        <v>0</v>
      </c>
      <c r="M14" s="31">
        <v>5</v>
      </c>
      <c r="N14" s="32"/>
    </row>
    <row r="15" spans="1:17" ht="13.95" customHeight="1" thickTop="1" thickBot="1" x14ac:dyDescent="0.35">
      <c r="A15" s="116"/>
      <c r="B15" s="115"/>
      <c r="C15" s="33">
        <f>C5*0.75</f>
        <v>0</v>
      </c>
      <c r="D15" s="34">
        <v>5</v>
      </c>
      <c r="E15" s="35"/>
      <c r="F15" s="36">
        <f>(C5*0.8)</f>
        <v>0</v>
      </c>
      <c r="G15" s="34">
        <v>3</v>
      </c>
      <c r="H15" s="35"/>
      <c r="I15" s="36">
        <f>(C5*0.85)</f>
        <v>0</v>
      </c>
      <c r="J15" s="34">
        <v>3</v>
      </c>
      <c r="K15" s="35"/>
      <c r="L15" s="36">
        <f>(C5*0.5)</f>
        <v>0</v>
      </c>
      <c r="M15" s="37">
        <v>5</v>
      </c>
      <c r="N15" s="38"/>
    </row>
    <row r="16" spans="1:17" ht="13.95" customHeight="1" thickTop="1" thickBot="1" x14ac:dyDescent="0.35">
      <c r="A16" s="116"/>
      <c r="B16" s="115"/>
      <c r="C16" s="33">
        <f>C5*0.85</f>
        <v>0</v>
      </c>
      <c r="D16" s="39" t="s">
        <v>24</v>
      </c>
      <c r="E16" s="40"/>
      <c r="F16" s="36">
        <f>(C5*0.9)</f>
        <v>0</v>
      </c>
      <c r="G16" s="39" t="s">
        <v>25</v>
      </c>
      <c r="H16" s="40"/>
      <c r="I16" s="36">
        <f>(C5*0.95)</f>
        <v>0</v>
      </c>
      <c r="J16" s="39" t="s">
        <v>26</v>
      </c>
      <c r="K16" s="40"/>
      <c r="L16" s="36">
        <f>(C5*0.6)</f>
        <v>0</v>
      </c>
      <c r="M16" s="37">
        <v>5</v>
      </c>
      <c r="N16" s="38"/>
    </row>
    <row r="17" spans="1:14" ht="13.95" customHeight="1" thickTop="1" thickBot="1" x14ac:dyDescent="0.35">
      <c r="A17" s="116"/>
      <c r="B17" s="41" t="s">
        <v>27</v>
      </c>
      <c r="C17" s="42"/>
      <c r="D17" s="28" t="s">
        <v>28</v>
      </c>
      <c r="E17" s="29"/>
      <c r="F17" s="30">
        <f>C17</f>
        <v>0</v>
      </c>
      <c r="G17" s="28" t="s">
        <v>28</v>
      </c>
      <c r="H17" s="29"/>
      <c r="I17" s="30">
        <f t="shared" ref="I17:I22" si="0">F17</f>
        <v>0</v>
      </c>
      <c r="J17" s="28" t="s">
        <v>28</v>
      </c>
      <c r="K17" s="29"/>
      <c r="L17" s="30">
        <f>C17</f>
        <v>0</v>
      </c>
      <c r="M17" s="31" t="s">
        <v>28</v>
      </c>
      <c r="N17" s="32"/>
    </row>
    <row r="18" spans="1:14" ht="13.95" customHeight="1" thickTop="1" thickBot="1" x14ac:dyDescent="0.35">
      <c r="A18" s="116"/>
      <c r="B18" s="43" t="s">
        <v>29</v>
      </c>
      <c r="C18" s="44"/>
      <c r="D18" s="34" t="s">
        <v>28</v>
      </c>
      <c r="E18" s="35"/>
      <c r="F18" s="36">
        <f>C18</f>
        <v>0</v>
      </c>
      <c r="G18" s="34" t="s">
        <v>28</v>
      </c>
      <c r="H18" s="35"/>
      <c r="I18" s="36">
        <f t="shared" si="0"/>
        <v>0</v>
      </c>
      <c r="J18" s="34" t="s">
        <v>28</v>
      </c>
      <c r="K18" s="35"/>
      <c r="L18" s="36">
        <f>C18</f>
        <v>0</v>
      </c>
      <c r="M18" s="34" t="s">
        <v>28</v>
      </c>
      <c r="N18" s="38"/>
    </row>
    <row r="19" spans="1:14" ht="13.95" customHeight="1" thickTop="1" thickBot="1" x14ac:dyDescent="0.35">
      <c r="A19" s="116"/>
      <c r="B19" s="45" t="s">
        <v>30</v>
      </c>
      <c r="C19" s="46"/>
      <c r="D19" s="47" t="s">
        <v>31</v>
      </c>
      <c r="E19" s="48"/>
      <c r="F19" s="36">
        <f>C19</f>
        <v>0</v>
      </c>
      <c r="G19" s="47" t="s">
        <v>31</v>
      </c>
      <c r="H19" s="48"/>
      <c r="I19" s="36">
        <f t="shared" si="0"/>
        <v>0</v>
      </c>
      <c r="J19" s="47" t="s">
        <v>31</v>
      </c>
      <c r="K19" s="49"/>
      <c r="L19" s="50">
        <f>C19</f>
        <v>0</v>
      </c>
      <c r="M19" s="51" t="s">
        <v>31</v>
      </c>
      <c r="N19" s="52"/>
    </row>
    <row r="20" spans="1:14" ht="13.95" customHeight="1" thickTop="1" thickBot="1" x14ac:dyDescent="0.35">
      <c r="A20" s="114" t="s">
        <v>32</v>
      </c>
      <c r="B20" s="115" t="s">
        <v>11</v>
      </c>
      <c r="C20" s="15">
        <f>C6*0.4</f>
        <v>0</v>
      </c>
      <c r="D20" s="16">
        <v>5</v>
      </c>
      <c r="E20" s="17"/>
      <c r="F20" s="18">
        <f>C20</f>
        <v>0</v>
      </c>
      <c r="G20" s="16">
        <v>5</v>
      </c>
      <c r="H20" s="17"/>
      <c r="I20" s="18">
        <f t="shared" si="0"/>
        <v>0</v>
      </c>
      <c r="J20" s="16">
        <v>5</v>
      </c>
      <c r="K20" s="17"/>
      <c r="L20" s="53" t="s">
        <v>23</v>
      </c>
      <c r="M20" s="54" t="s">
        <v>23</v>
      </c>
      <c r="N20" s="55"/>
    </row>
    <row r="21" spans="1:14" ht="13.95" customHeight="1" thickTop="1" thickBot="1" x14ac:dyDescent="0.35">
      <c r="A21" s="114"/>
      <c r="B21" s="115"/>
      <c r="C21" s="56">
        <f>C6*0.47</f>
        <v>0</v>
      </c>
      <c r="D21" s="57">
        <v>5</v>
      </c>
      <c r="E21" s="58"/>
      <c r="F21" s="21">
        <f>C6*0.5</f>
        <v>0</v>
      </c>
      <c r="G21" s="57">
        <v>5</v>
      </c>
      <c r="H21" s="58"/>
      <c r="I21" s="59">
        <f t="shared" si="0"/>
        <v>0</v>
      </c>
      <c r="J21" s="57">
        <v>5</v>
      </c>
      <c r="K21" s="58"/>
      <c r="L21" s="60" t="s">
        <v>23</v>
      </c>
      <c r="M21" s="61" t="s">
        <v>23</v>
      </c>
      <c r="N21" s="62"/>
    </row>
    <row r="22" spans="1:14" ht="13.95" customHeight="1" thickTop="1" thickBot="1" x14ac:dyDescent="0.35">
      <c r="A22" s="114"/>
      <c r="B22" s="115"/>
      <c r="C22" s="56">
        <f>C6*0.55</f>
        <v>0</v>
      </c>
      <c r="D22" s="57">
        <v>3</v>
      </c>
      <c r="E22" s="58"/>
      <c r="F22" s="21">
        <f>C6*0.6</f>
        <v>0</v>
      </c>
      <c r="G22" s="57">
        <v>3</v>
      </c>
      <c r="H22" s="58"/>
      <c r="I22" s="59">
        <f t="shared" si="0"/>
        <v>0</v>
      </c>
      <c r="J22" s="57">
        <v>3</v>
      </c>
      <c r="K22" s="58"/>
      <c r="L22" s="60" t="s">
        <v>23</v>
      </c>
      <c r="M22" s="61" t="s">
        <v>23</v>
      </c>
      <c r="N22" s="62"/>
    </row>
    <row r="23" spans="1:14" ht="13.95" customHeight="1" thickTop="1" thickBot="1" x14ac:dyDescent="0.35">
      <c r="A23" s="114"/>
      <c r="B23" s="115"/>
      <c r="C23" s="27">
        <f>C6*0.65</f>
        <v>0</v>
      </c>
      <c r="D23" s="34">
        <v>5</v>
      </c>
      <c r="E23" s="29"/>
      <c r="F23" s="30">
        <f>(C6*0.7)</f>
        <v>0</v>
      </c>
      <c r="G23" s="34">
        <v>3</v>
      </c>
      <c r="H23" s="29"/>
      <c r="I23" s="30">
        <f>(C6*0.75)</f>
        <v>0</v>
      </c>
      <c r="J23" s="28">
        <v>5</v>
      </c>
      <c r="K23" s="29"/>
      <c r="L23" s="30">
        <f>(C6*0.4)</f>
        <v>0</v>
      </c>
      <c r="M23" s="31">
        <v>5</v>
      </c>
      <c r="N23" s="32"/>
    </row>
    <row r="24" spans="1:14" ht="13.95" customHeight="1" thickTop="1" thickBot="1" x14ac:dyDescent="0.35">
      <c r="A24" s="114"/>
      <c r="B24" s="115"/>
      <c r="C24" s="33">
        <f>C6*0.75</f>
        <v>0</v>
      </c>
      <c r="D24" s="34">
        <v>5</v>
      </c>
      <c r="E24" s="35"/>
      <c r="F24" s="36">
        <f>(C6*0.8)</f>
        <v>0</v>
      </c>
      <c r="G24" s="34">
        <v>3</v>
      </c>
      <c r="H24" s="35"/>
      <c r="I24" s="36">
        <f>(C6*0.85)</f>
        <v>0</v>
      </c>
      <c r="J24" s="34">
        <v>3</v>
      </c>
      <c r="K24" s="35"/>
      <c r="L24" s="36">
        <f>(C6*0.5)</f>
        <v>0</v>
      </c>
      <c r="M24" s="37">
        <v>5</v>
      </c>
      <c r="N24" s="38"/>
    </row>
    <row r="25" spans="1:14" ht="13.95" customHeight="1" thickTop="1" thickBot="1" x14ac:dyDescent="0.35">
      <c r="A25" s="114"/>
      <c r="B25" s="115"/>
      <c r="C25" s="33">
        <f>C6*0.85</f>
        <v>0</v>
      </c>
      <c r="D25" s="39" t="s">
        <v>24</v>
      </c>
      <c r="E25" s="40"/>
      <c r="F25" s="36">
        <f>(C6*0.9)</f>
        <v>0</v>
      </c>
      <c r="G25" s="39" t="s">
        <v>25</v>
      </c>
      <c r="H25" s="40"/>
      <c r="I25" s="36">
        <f>(C6*0.95)</f>
        <v>0</v>
      </c>
      <c r="J25" s="39" t="s">
        <v>26</v>
      </c>
      <c r="K25" s="40"/>
      <c r="L25" s="36">
        <f>(C6*0.6)</f>
        <v>0</v>
      </c>
      <c r="M25" s="37">
        <v>5</v>
      </c>
      <c r="N25" s="38"/>
    </row>
    <row r="26" spans="1:14" ht="13.95" customHeight="1" thickTop="1" thickBot="1" x14ac:dyDescent="0.35">
      <c r="A26" s="114"/>
      <c r="B26" s="41" t="s">
        <v>33</v>
      </c>
      <c r="C26" s="42"/>
      <c r="D26" s="28" t="s">
        <v>28</v>
      </c>
      <c r="E26" s="29"/>
      <c r="F26" s="30">
        <f>C26</f>
        <v>0</v>
      </c>
      <c r="G26" s="28" t="s">
        <v>28</v>
      </c>
      <c r="H26" s="29"/>
      <c r="I26" s="30">
        <f t="shared" ref="I26:I31" si="1">F26</f>
        <v>0</v>
      </c>
      <c r="J26" s="28" t="s">
        <v>28</v>
      </c>
      <c r="K26" s="29"/>
      <c r="L26" s="30">
        <f>C26</f>
        <v>0</v>
      </c>
      <c r="M26" s="31" t="s">
        <v>28</v>
      </c>
      <c r="N26" s="32"/>
    </row>
    <row r="27" spans="1:14" ht="13.95" customHeight="1" thickTop="1" thickBot="1" x14ac:dyDescent="0.35">
      <c r="A27" s="114"/>
      <c r="B27" s="43" t="s">
        <v>34</v>
      </c>
      <c r="C27" s="44"/>
      <c r="D27" s="34" t="s">
        <v>28</v>
      </c>
      <c r="E27" s="29"/>
      <c r="F27" s="30">
        <f>C27</f>
        <v>0</v>
      </c>
      <c r="G27" s="28" t="s">
        <v>28</v>
      </c>
      <c r="H27" s="29"/>
      <c r="I27" s="30">
        <f t="shared" si="1"/>
        <v>0</v>
      </c>
      <c r="J27" s="28" t="s">
        <v>28</v>
      </c>
      <c r="K27" s="29"/>
      <c r="L27" s="30">
        <f>C27</f>
        <v>0</v>
      </c>
      <c r="M27" s="31" t="s">
        <v>28</v>
      </c>
      <c r="N27" s="32"/>
    </row>
    <row r="28" spans="1:14" ht="13.95" customHeight="1" thickTop="1" thickBot="1" x14ac:dyDescent="0.35">
      <c r="A28" s="114"/>
      <c r="B28" s="45" t="s">
        <v>30</v>
      </c>
      <c r="C28" s="46"/>
      <c r="D28" s="47" t="s">
        <v>31</v>
      </c>
      <c r="E28" s="63"/>
      <c r="F28" s="30">
        <f>C28</f>
        <v>0</v>
      </c>
      <c r="G28" s="47" t="s">
        <v>31</v>
      </c>
      <c r="H28" s="29"/>
      <c r="I28" s="30">
        <f t="shared" si="1"/>
        <v>0</v>
      </c>
      <c r="J28" s="47" t="s">
        <v>31</v>
      </c>
      <c r="K28" s="29"/>
      <c r="L28" s="36">
        <f>C28</f>
        <v>0</v>
      </c>
      <c r="M28" s="47" t="s">
        <v>31</v>
      </c>
      <c r="N28" s="32"/>
    </row>
    <row r="29" spans="1:14" ht="13.95" customHeight="1" thickTop="1" thickBot="1" x14ac:dyDescent="0.35">
      <c r="A29" s="116" t="s">
        <v>35</v>
      </c>
      <c r="B29" s="115" t="s">
        <v>36</v>
      </c>
      <c r="C29" s="15">
        <f>C7*0.4</f>
        <v>0</v>
      </c>
      <c r="D29" s="16">
        <v>5</v>
      </c>
      <c r="E29" s="17"/>
      <c r="F29" s="18">
        <f>C29</f>
        <v>0</v>
      </c>
      <c r="G29" s="16">
        <v>5</v>
      </c>
      <c r="H29" s="17"/>
      <c r="I29" s="18">
        <f t="shared" si="1"/>
        <v>0</v>
      </c>
      <c r="J29" s="16">
        <v>5</v>
      </c>
      <c r="K29" s="17"/>
      <c r="L29" s="53" t="s">
        <v>23</v>
      </c>
      <c r="M29" s="54" t="s">
        <v>23</v>
      </c>
      <c r="N29" s="55"/>
    </row>
    <row r="30" spans="1:14" ht="13.95" customHeight="1" thickTop="1" thickBot="1" x14ac:dyDescent="0.35">
      <c r="A30" s="116"/>
      <c r="B30" s="115"/>
      <c r="C30" s="56">
        <f>C7*0.47</f>
        <v>0</v>
      </c>
      <c r="D30" s="57">
        <v>5</v>
      </c>
      <c r="E30" s="58"/>
      <c r="F30" s="21">
        <f>C7*0.5</f>
        <v>0</v>
      </c>
      <c r="G30" s="57">
        <v>5</v>
      </c>
      <c r="H30" s="58"/>
      <c r="I30" s="59">
        <f t="shared" si="1"/>
        <v>0</v>
      </c>
      <c r="J30" s="57">
        <v>5</v>
      </c>
      <c r="K30" s="58"/>
      <c r="L30" s="60" t="s">
        <v>23</v>
      </c>
      <c r="M30" s="61" t="s">
        <v>23</v>
      </c>
      <c r="N30" s="62"/>
    </row>
    <row r="31" spans="1:14" ht="13.95" customHeight="1" thickTop="1" thickBot="1" x14ac:dyDescent="0.35">
      <c r="A31" s="116"/>
      <c r="B31" s="115"/>
      <c r="C31" s="56">
        <f>C7*0.55</f>
        <v>0</v>
      </c>
      <c r="D31" s="57">
        <v>3</v>
      </c>
      <c r="E31" s="58"/>
      <c r="F31" s="21">
        <f>C7*0.6</f>
        <v>0</v>
      </c>
      <c r="G31" s="57">
        <v>3</v>
      </c>
      <c r="H31" s="58"/>
      <c r="I31" s="59">
        <f t="shared" si="1"/>
        <v>0</v>
      </c>
      <c r="J31" s="57">
        <v>3</v>
      </c>
      <c r="K31" s="58"/>
      <c r="L31" s="60" t="s">
        <v>23</v>
      </c>
      <c r="M31" s="61" t="s">
        <v>23</v>
      </c>
      <c r="N31" s="62"/>
    </row>
    <row r="32" spans="1:14" ht="13.95" customHeight="1" thickTop="1" thickBot="1" x14ac:dyDescent="0.35">
      <c r="A32" s="116"/>
      <c r="B32" s="115"/>
      <c r="C32" s="33">
        <f>C7*0.65</f>
        <v>0</v>
      </c>
      <c r="D32" s="34">
        <v>5</v>
      </c>
      <c r="E32" s="35"/>
      <c r="F32" s="36">
        <f>(C7*0.7)</f>
        <v>0</v>
      </c>
      <c r="G32" s="34">
        <v>3</v>
      </c>
      <c r="H32" s="35"/>
      <c r="I32" s="36">
        <f>(C7*0.75)</f>
        <v>0</v>
      </c>
      <c r="J32" s="34">
        <v>5</v>
      </c>
      <c r="K32" s="29"/>
      <c r="L32" s="30">
        <f>(C7*0.4)</f>
        <v>0</v>
      </c>
      <c r="M32" s="37">
        <v>5</v>
      </c>
      <c r="N32" s="38"/>
    </row>
    <row r="33" spans="1:14" ht="13.95" customHeight="1" thickTop="1" thickBot="1" x14ac:dyDescent="0.35">
      <c r="A33" s="116"/>
      <c r="B33" s="115"/>
      <c r="C33" s="33">
        <f>C7*0.75</f>
        <v>0</v>
      </c>
      <c r="D33" s="64">
        <v>5</v>
      </c>
      <c r="E33" s="35"/>
      <c r="F33" s="36">
        <f>(C7*0.8)</f>
        <v>0</v>
      </c>
      <c r="G33" s="34">
        <v>3</v>
      </c>
      <c r="H33" s="35"/>
      <c r="I33" s="36">
        <f>(C7*0.85)</f>
        <v>0</v>
      </c>
      <c r="J33" s="34">
        <v>3</v>
      </c>
      <c r="K33" s="35"/>
      <c r="L33" s="36">
        <f>(C7*0.5)</f>
        <v>0</v>
      </c>
      <c r="M33" s="37">
        <v>5</v>
      </c>
      <c r="N33" s="38"/>
    </row>
    <row r="34" spans="1:14" ht="13.95" customHeight="1" thickTop="1" thickBot="1" x14ac:dyDescent="0.35">
      <c r="A34" s="116"/>
      <c r="B34" s="115"/>
      <c r="C34" s="33">
        <f>C7*0.85</f>
        <v>0</v>
      </c>
      <c r="D34" s="65" t="s">
        <v>24</v>
      </c>
      <c r="E34" s="40"/>
      <c r="F34" s="36">
        <f>(C7*0.9)</f>
        <v>0</v>
      </c>
      <c r="G34" s="39" t="s">
        <v>25</v>
      </c>
      <c r="H34" s="40"/>
      <c r="I34" s="36">
        <f>(C7*0.95)</f>
        <v>0</v>
      </c>
      <c r="J34" s="39" t="s">
        <v>26</v>
      </c>
      <c r="K34" s="40"/>
      <c r="L34" s="36">
        <f>(C7*0.6)</f>
        <v>0</v>
      </c>
      <c r="M34" s="37">
        <v>5</v>
      </c>
      <c r="N34" s="38"/>
    </row>
    <row r="35" spans="1:14" ht="13.95" customHeight="1" thickTop="1" thickBot="1" x14ac:dyDescent="0.35">
      <c r="A35" s="116"/>
      <c r="B35" s="41" t="s">
        <v>37</v>
      </c>
      <c r="C35" s="42"/>
      <c r="D35" s="28" t="s">
        <v>28</v>
      </c>
      <c r="E35" s="29"/>
      <c r="F35" s="30">
        <f>C35</f>
        <v>0</v>
      </c>
      <c r="G35" s="28" t="s">
        <v>28</v>
      </c>
      <c r="H35" s="29"/>
      <c r="I35" s="30">
        <f t="shared" ref="I35:I40" si="2">F35</f>
        <v>0</v>
      </c>
      <c r="J35" s="28" t="s">
        <v>28</v>
      </c>
      <c r="K35" s="29"/>
      <c r="L35" s="30">
        <f>C35</f>
        <v>0</v>
      </c>
      <c r="M35" s="31" t="s">
        <v>28</v>
      </c>
      <c r="N35" s="32"/>
    </row>
    <row r="36" spans="1:14" ht="13.95" customHeight="1" thickTop="1" thickBot="1" x14ac:dyDescent="0.35">
      <c r="A36" s="116"/>
      <c r="B36" s="43" t="s">
        <v>38</v>
      </c>
      <c r="C36" s="44"/>
      <c r="D36" s="34" t="s">
        <v>28</v>
      </c>
      <c r="E36" s="35"/>
      <c r="F36" s="36">
        <f>C36</f>
        <v>0</v>
      </c>
      <c r="G36" s="28" t="s">
        <v>28</v>
      </c>
      <c r="H36" s="29"/>
      <c r="I36" s="36">
        <f t="shared" si="2"/>
        <v>0</v>
      </c>
      <c r="J36" s="28" t="s">
        <v>28</v>
      </c>
      <c r="K36" s="29"/>
      <c r="L36" s="36">
        <f>C36</f>
        <v>0</v>
      </c>
      <c r="M36" s="31" t="s">
        <v>28</v>
      </c>
      <c r="N36" s="32"/>
    </row>
    <row r="37" spans="1:14" ht="13.95" customHeight="1" thickTop="1" thickBot="1" x14ac:dyDescent="0.35">
      <c r="A37" s="116"/>
      <c r="B37" s="45" t="s">
        <v>30</v>
      </c>
      <c r="C37" s="46"/>
      <c r="D37" s="47" t="s">
        <v>31</v>
      </c>
      <c r="E37" s="49"/>
      <c r="F37" s="50">
        <f>C37</f>
        <v>0</v>
      </c>
      <c r="G37" s="66" t="s">
        <v>31</v>
      </c>
      <c r="H37" s="67"/>
      <c r="I37" s="50">
        <f t="shared" si="2"/>
        <v>0</v>
      </c>
      <c r="J37" s="66" t="s">
        <v>31</v>
      </c>
      <c r="K37" s="67"/>
      <c r="L37" s="50">
        <f>C37</f>
        <v>0</v>
      </c>
      <c r="M37" s="68" t="s">
        <v>31</v>
      </c>
      <c r="N37" s="69"/>
    </row>
    <row r="38" spans="1:14" ht="13.95" customHeight="1" thickTop="1" thickBot="1" x14ac:dyDescent="0.35">
      <c r="A38" s="114" t="s">
        <v>39</v>
      </c>
      <c r="B38" s="115" t="s">
        <v>13</v>
      </c>
      <c r="C38" s="15">
        <f>C8*0.4</f>
        <v>0</v>
      </c>
      <c r="D38" s="16">
        <v>5</v>
      </c>
      <c r="E38" s="17"/>
      <c r="F38" s="18">
        <f>C38</f>
        <v>0</v>
      </c>
      <c r="G38" s="16">
        <v>5</v>
      </c>
      <c r="H38" s="17"/>
      <c r="I38" s="18">
        <f t="shared" si="2"/>
        <v>0</v>
      </c>
      <c r="J38" s="16">
        <v>5</v>
      </c>
      <c r="K38" s="17"/>
      <c r="L38" s="53" t="s">
        <v>23</v>
      </c>
      <c r="M38" s="54" t="s">
        <v>23</v>
      </c>
      <c r="N38" s="55"/>
    </row>
    <row r="39" spans="1:14" ht="13.95" customHeight="1" thickTop="1" thickBot="1" x14ac:dyDescent="0.35">
      <c r="A39" s="114"/>
      <c r="B39" s="115"/>
      <c r="C39" s="56">
        <f>C8*0.47</f>
        <v>0</v>
      </c>
      <c r="D39" s="57">
        <v>5</v>
      </c>
      <c r="E39" s="58"/>
      <c r="F39" s="21">
        <f>C8*0.5</f>
        <v>0</v>
      </c>
      <c r="G39" s="57">
        <v>5</v>
      </c>
      <c r="H39" s="58"/>
      <c r="I39" s="59">
        <f t="shared" si="2"/>
        <v>0</v>
      </c>
      <c r="J39" s="57">
        <v>5</v>
      </c>
      <c r="K39" s="58"/>
      <c r="L39" s="60" t="s">
        <v>23</v>
      </c>
      <c r="M39" s="61" t="s">
        <v>23</v>
      </c>
      <c r="N39" s="62"/>
    </row>
    <row r="40" spans="1:14" ht="13.95" customHeight="1" thickTop="1" thickBot="1" x14ac:dyDescent="0.35">
      <c r="A40" s="114"/>
      <c r="B40" s="115"/>
      <c r="C40" s="56">
        <f>C8*0.55</f>
        <v>0</v>
      </c>
      <c r="D40" s="57">
        <v>3</v>
      </c>
      <c r="E40" s="58"/>
      <c r="F40" s="21">
        <f>C8*0.6</f>
        <v>0</v>
      </c>
      <c r="G40" s="57">
        <v>3</v>
      </c>
      <c r="H40" s="58"/>
      <c r="I40" s="59">
        <f t="shared" si="2"/>
        <v>0</v>
      </c>
      <c r="J40" s="57">
        <v>3</v>
      </c>
      <c r="K40" s="58"/>
      <c r="L40" s="60" t="s">
        <v>23</v>
      </c>
      <c r="M40" s="61" t="s">
        <v>23</v>
      </c>
      <c r="N40" s="62"/>
    </row>
    <row r="41" spans="1:14" ht="13.95" customHeight="1" thickTop="1" thickBot="1" x14ac:dyDescent="0.35">
      <c r="A41" s="114"/>
      <c r="B41" s="115"/>
      <c r="C41" s="33">
        <f>C8*0.65</f>
        <v>0</v>
      </c>
      <c r="D41" s="34">
        <v>5</v>
      </c>
      <c r="E41" s="35"/>
      <c r="F41" s="36">
        <f>(C8*0.7)</f>
        <v>0</v>
      </c>
      <c r="G41" s="34">
        <v>3</v>
      </c>
      <c r="H41" s="35"/>
      <c r="I41" s="36">
        <f>(C8*0.75)</f>
        <v>0</v>
      </c>
      <c r="J41" s="34">
        <v>5</v>
      </c>
      <c r="K41" s="29"/>
      <c r="L41" s="30">
        <f>(C8*0.4)</f>
        <v>0</v>
      </c>
      <c r="M41" s="31">
        <v>5</v>
      </c>
      <c r="N41" s="32"/>
    </row>
    <row r="42" spans="1:14" ht="13.95" customHeight="1" thickTop="1" thickBot="1" x14ac:dyDescent="0.35">
      <c r="A42" s="114"/>
      <c r="B42" s="115"/>
      <c r="C42" s="33">
        <f>C8*0.75</f>
        <v>0</v>
      </c>
      <c r="D42" s="64">
        <v>5</v>
      </c>
      <c r="E42" s="35"/>
      <c r="F42" s="36">
        <f>(C8*0.8)</f>
        <v>0</v>
      </c>
      <c r="G42" s="34">
        <v>3</v>
      </c>
      <c r="H42" s="35"/>
      <c r="I42" s="36">
        <f>(C8*0.85)</f>
        <v>0</v>
      </c>
      <c r="J42" s="34">
        <v>3</v>
      </c>
      <c r="K42" s="35"/>
      <c r="L42" s="36">
        <f>(C8*0.5)</f>
        <v>0</v>
      </c>
      <c r="M42" s="37">
        <v>5</v>
      </c>
      <c r="N42" s="38"/>
    </row>
    <row r="43" spans="1:14" ht="13.95" customHeight="1" thickTop="1" thickBot="1" x14ac:dyDescent="0.35">
      <c r="A43" s="114"/>
      <c r="B43" s="115"/>
      <c r="C43" s="33">
        <f>C8*0.85</f>
        <v>0</v>
      </c>
      <c r="D43" s="65" t="s">
        <v>24</v>
      </c>
      <c r="E43" s="40"/>
      <c r="F43" s="36">
        <f>(C8*0.9)</f>
        <v>0</v>
      </c>
      <c r="G43" s="39" t="s">
        <v>25</v>
      </c>
      <c r="H43" s="40"/>
      <c r="I43" s="36">
        <f>(C8*0.95)</f>
        <v>0</v>
      </c>
      <c r="J43" s="39" t="s">
        <v>26</v>
      </c>
      <c r="K43" s="40"/>
      <c r="L43" s="36">
        <f>(C8*0.6)</f>
        <v>0</v>
      </c>
      <c r="M43" s="37">
        <v>5</v>
      </c>
      <c r="N43" s="38"/>
    </row>
    <row r="44" spans="1:14" ht="13.95" customHeight="1" thickTop="1" thickBot="1" x14ac:dyDescent="0.35">
      <c r="A44" s="114"/>
      <c r="B44" s="41" t="s">
        <v>40</v>
      </c>
      <c r="C44" s="42"/>
      <c r="D44" s="28" t="s">
        <v>28</v>
      </c>
      <c r="E44" s="70"/>
      <c r="F44" s="71">
        <f>C44</f>
        <v>0</v>
      </c>
      <c r="G44" s="72" t="s">
        <v>28</v>
      </c>
      <c r="H44" s="70"/>
      <c r="I44" s="71">
        <f>F44</f>
        <v>0</v>
      </c>
      <c r="J44" s="28" t="s">
        <v>28</v>
      </c>
      <c r="K44" s="29"/>
      <c r="L44" s="30">
        <f>C44</f>
        <v>0</v>
      </c>
      <c r="M44" s="31" t="s">
        <v>28</v>
      </c>
      <c r="N44" s="32"/>
    </row>
    <row r="45" spans="1:14" ht="13.95" customHeight="1" thickTop="1" thickBot="1" x14ac:dyDescent="0.35">
      <c r="A45" s="114"/>
      <c r="B45" s="43" t="s">
        <v>41</v>
      </c>
      <c r="C45" s="44"/>
      <c r="D45" s="34" t="s">
        <v>28</v>
      </c>
      <c r="E45" s="35"/>
      <c r="F45" s="36">
        <f>C45</f>
        <v>0</v>
      </c>
      <c r="G45" s="34" t="s">
        <v>28</v>
      </c>
      <c r="H45" s="35"/>
      <c r="I45" s="36">
        <f>F45</f>
        <v>0</v>
      </c>
      <c r="J45" s="34" t="s">
        <v>28</v>
      </c>
      <c r="K45" s="35"/>
      <c r="L45" s="36">
        <f>C45</f>
        <v>0</v>
      </c>
      <c r="M45" s="37" t="s">
        <v>28</v>
      </c>
      <c r="N45" s="38"/>
    </row>
    <row r="46" spans="1:14" ht="13.95" customHeight="1" thickTop="1" thickBot="1" x14ac:dyDescent="0.35">
      <c r="A46" s="114"/>
      <c r="B46" s="45" t="s">
        <v>30</v>
      </c>
      <c r="C46" s="46"/>
      <c r="D46" s="47" t="s">
        <v>31</v>
      </c>
      <c r="E46" s="49"/>
      <c r="F46" s="50">
        <f>C46</f>
        <v>0</v>
      </c>
      <c r="G46" s="47" t="s">
        <v>31</v>
      </c>
      <c r="H46" s="49"/>
      <c r="I46" s="50">
        <f>F46</f>
        <v>0</v>
      </c>
      <c r="J46" s="47" t="s">
        <v>31</v>
      </c>
      <c r="K46" s="49"/>
      <c r="L46" s="50">
        <f>C46</f>
        <v>0</v>
      </c>
      <c r="M46" s="47" t="s">
        <v>31</v>
      </c>
      <c r="N46" s="52"/>
    </row>
    <row r="47" spans="1:14" ht="13.95" customHeight="1" thickTop="1" thickBot="1" x14ac:dyDescent="0.3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 spans="1:14" ht="13.95" customHeight="1" thickTop="1" thickBot="1" x14ac:dyDescent="0.35">
      <c r="B48" s="111" t="s">
        <v>42</v>
      </c>
      <c r="C48" s="112" t="s">
        <v>15</v>
      </c>
      <c r="D48" s="112"/>
      <c r="E48" s="112"/>
      <c r="F48" s="112" t="s">
        <v>16</v>
      </c>
      <c r="G48" s="112"/>
      <c r="H48" s="112"/>
      <c r="I48" s="112" t="s">
        <v>43</v>
      </c>
      <c r="J48" s="112"/>
      <c r="K48" s="112"/>
      <c r="L48" s="112" t="s">
        <v>18</v>
      </c>
      <c r="M48" s="112"/>
      <c r="N48" s="112"/>
    </row>
    <row r="49" spans="1:14" ht="13.95" customHeight="1" thickTop="1" thickBot="1" x14ac:dyDescent="0.35">
      <c r="B49" s="111"/>
      <c r="C49" s="74" t="s">
        <v>19</v>
      </c>
      <c r="D49" s="75" t="s">
        <v>20</v>
      </c>
      <c r="E49" s="14" t="s">
        <v>21</v>
      </c>
      <c r="F49" s="76" t="s">
        <v>19</v>
      </c>
      <c r="G49" s="75" t="s">
        <v>20</v>
      </c>
      <c r="H49" s="14" t="s">
        <v>21</v>
      </c>
      <c r="I49" s="76" t="s">
        <v>19</v>
      </c>
      <c r="J49" s="75" t="s">
        <v>20</v>
      </c>
      <c r="K49" s="14" t="s">
        <v>21</v>
      </c>
      <c r="L49" s="76" t="s">
        <v>19</v>
      </c>
      <c r="M49" s="75" t="s">
        <v>20</v>
      </c>
      <c r="N49" s="14" t="s">
        <v>21</v>
      </c>
    </row>
    <row r="50" spans="1:14" ht="13.95" customHeight="1" thickTop="1" thickBot="1" x14ac:dyDescent="0.35">
      <c r="A50" s="113" t="s">
        <v>44</v>
      </c>
      <c r="B50" s="77"/>
      <c r="C50" s="78"/>
      <c r="D50" s="79"/>
      <c r="E50" s="80"/>
      <c r="F50" s="81"/>
      <c r="G50" s="79"/>
      <c r="H50" s="80"/>
      <c r="I50" s="81"/>
      <c r="J50" s="82"/>
      <c r="K50" s="83"/>
      <c r="L50" s="81"/>
      <c r="M50" s="79"/>
      <c r="N50" s="80"/>
    </row>
    <row r="51" spans="1:14" ht="13.95" customHeight="1" thickTop="1" thickBot="1" x14ac:dyDescent="0.35">
      <c r="A51" s="113"/>
      <c r="B51" s="84"/>
      <c r="C51" s="85"/>
      <c r="D51" s="86"/>
      <c r="E51" s="87"/>
      <c r="F51" s="88"/>
      <c r="G51" s="86"/>
      <c r="H51" s="87"/>
      <c r="I51" s="88"/>
      <c r="J51" s="86"/>
      <c r="K51" s="87"/>
      <c r="L51" s="88"/>
      <c r="M51" s="86"/>
      <c r="N51" s="87"/>
    </row>
    <row r="52" spans="1:14" ht="13.95" customHeight="1" thickTop="1" thickBot="1" x14ac:dyDescent="0.35">
      <c r="A52" s="113"/>
      <c r="B52" s="84"/>
      <c r="C52" s="85"/>
      <c r="D52" s="37"/>
      <c r="E52" s="38"/>
      <c r="F52" s="89"/>
      <c r="G52" s="37"/>
      <c r="H52" s="38"/>
      <c r="I52" s="89"/>
      <c r="J52" s="37"/>
      <c r="K52" s="38"/>
      <c r="L52" s="89"/>
      <c r="M52" s="37"/>
      <c r="N52" s="38"/>
    </row>
    <row r="53" spans="1:14" ht="13.95" customHeight="1" thickTop="1" thickBot="1" x14ac:dyDescent="0.35">
      <c r="A53" s="113"/>
      <c r="B53" s="84"/>
      <c r="C53" s="85"/>
      <c r="D53" s="37"/>
      <c r="E53" s="38"/>
      <c r="F53" s="89"/>
      <c r="G53" s="37"/>
      <c r="H53" s="38"/>
      <c r="I53" s="89"/>
      <c r="J53" s="37"/>
      <c r="K53" s="38"/>
      <c r="L53" s="89"/>
      <c r="M53" s="37"/>
      <c r="N53" s="38"/>
    </row>
    <row r="54" spans="1:14" ht="13.95" customHeight="1" thickTop="1" thickBot="1" x14ac:dyDescent="0.35">
      <c r="A54" s="113"/>
      <c r="B54" s="84"/>
      <c r="C54" s="85"/>
      <c r="D54" s="37"/>
      <c r="E54" s="38"/>
      <c r="F54" s="89"/>
      <c r="G54" s="37"/>
      <c r="H54" s="38"/>
      <c r="I54" s="89"/>
      <c r="J54" s="37"/>
      <c r="K54" s="38"/>
      <c r="L54" s="89"/>
      <c r="M54" s="37"/>
      <c r="N54" s="38"/>
    </row>
    <row r="55" spans="1:14" ht="13.95" customHeight="1" thickTop="1" thickBot="1" x14ac:dyDescent="0.35">
      <c r="A55" s="113"/>
      <c r="B55" s="90"/>
      <c r="C55" s="91"/>
      <c r="D55" s="51"/>
      <c r="E55" s="52"/>
      <c r="F55" s="92"/>
      <c r="G55" s="51"/>
      <c r="H55" s="52"/>
      <c r="I55" s="92"/>
      <c r="J55" s="51"/>
      <c r="K55" s="52"/>
      <c r="L55" s="92"/>
      <c r="M55" s="51"/>
      <c r="N55" s="52"/>
    </row>
    <row r="56" spans="1:14" ht="13.95" customHeight="1" thickTop="1" thickBot="1" x14ac:dyDescent="0.35">
      <c r="A56" s="110" t="s">
        <v>45</v>
      </c>
      <c r="B56" s="93"/>
      <c r="C56" s="94"/>
      <c r="D56" s="79"/>
      <c r="E56" s="80"/>
      <c r="F56" s="81"/>
      <c r="G56" s="95"/>
      <c r="H56" s="80"/>
      <c r="I56" s="81"/>
      <c r="J56" s="79"/>
      <c r="K56" s="80"/>
      <c r="L56" s="81"/>
      <c r="M56" s="79"/>
      <c r="N56" s="80"/>
    </row>
    <row r="57" spans="1:14" ht="13.95" customHeight="1" thickTop="1" thickBot="1" x14ac:dyDescent="0.35">
      <c r="A57" s="110"/>
      <c r="B57" s="96"/>
      <c r="C57" s="97"/>
      <c r="D57" s="86"/>
      <c r="E57" s="87"/>
      <c r="F57" s="88"/>
      <c r="G57" s="98"/>
      <c r="H57" s="87"/>
      <c r="I57" s="88"/>
      <c r="J57" s="86"/>
      <c r="K57" s="87"/>
      <c r="L57" s="88"/>
      <c r="M57" s="86"/>
      <c r="N57" s="87"/>
    </row>
    <row r="58" spans="1:14" ht="13.95" customHeight="1" thickTop="1" thickBot="1" x14ac:dyDescent="0.35">
      <c r="A58" s="110"/>
      <c r="B58" s="96"/>
      <c r="C58" s="97"/>
      <c r="D58" s="86"/>
      <c r="E58" s="87"/>
      <c r="F58" s="88"/>
      <c r="G58" s="98"/>
      <c r="H58" s="87"/>
      <c r="I58" s="88"/>
      <c r="J58" s="86"/>
      <c r="K58" s="87"/>
      <c r="L58" s="88"/>
      <c r="M58" s="86"/>
      <c r="N58" s="87"/>
    </row>
    <row r="59" spans="1:14" ht="13.95" customHeight="1" thickTop="1" thickBot="1" x14ac:dyDescent="0.35">
      <c r="A59" s="110"/>
      <c r="B59" s="96"/>
      <c r="C59" s="97"/>
      <c r="D59" s="86"/>
      <c r="E59" s="87"/>
      <c r="F59" s="88"/>
      <c r="G59" s="98"/>
      <c r="H59" s="87"/>
      <c r="I59" s="88"/>
      <c r="J59" s="86"/>
      <c r="K59" s="87"/>
      <c r="L59" s="88"/>
      <c r="M59" s="86"/>
      <c r="N59" s="87"/>
    </row>
    <row r="60" spans="1:14" ht="13.95" customHeight="1" thickTop="1" thickBot="1" x14ac:dyDescent="0.35">
      <c r="A60" s="110"/>
      <c r="B60" s="96"/>
      <c r="C60" s="97"/>
      <c r="D60" s="86"/>
      <c r="E60" s="87"/>
      <c r="F60" s="88"/>
      <c r="G60" s="98"/>
      <c r="H60" s="87"/>
      <c r="I60" s="88"/>
      <c r="J60" s="86"/>
      <c r="K60" s="87"/>
      <c r="L60" s="88"/>
      <c r="M60" s="86"/>
      <c r="N60" s="87"/>
    </row>
    <row r="61" spans="1:14" ht="13.95" customHeight="1" thickTop="1" thickBot="1" x14ac:dyDescent="0.35">
      <c r="A61" s="110"/>
      <c r="B61" s="99"/>
      <c r="C61" s="100"/>
      <c r="D61" s="101"/>
      <c r="E61" s="102"/>
      <c r="F61" s="103"/>
      <c r="G61" s="104"/>
      <c r="H61" s="102"/>
      <c r="I61" s="103"/>
      <c r="J61" s="101"/>
      <c r="K61" s="102"/>
      <c r="L61" s="103"/>
      <c r="M61" s="101"/>
      <c r="N61" s="102"/>
    </row>
    <row r="62" spans="1:14" ht="13.95" customHeight="1" thickTop="1" x14ac:dyDescent="0.3"/>
    <row r="64" spans="1:14" ht="13.95" customHeight="1" x14ac:dyDescent="0.3">
      <c r="C64" s="105"/>
      <c r="D64" s="105"/>
      <c r="E64" s="105"/>
      <c r="F64" s="105"/>
      <c r="G64" s="105"/>
      <c r="H64" s="105"/>
      <c r="I64" s="105"/>
      <c r="J64" s="105"/>
      <c r="K64" s="105"/>
      <c r="L64" s="105"/>
    </row>
    <row r="65" spans="3:12" ht="13.95" customHeight="1" x14ac:dyDescent="0.3">
      <c r="C65" s="105"/>
      <c r="D65" s="105"/>
      <c r="E65" s="105"/>
      <c r="F65" s="105"/>
      <c r="G65" s="105"/>
      <c r="H65" s="105"/>
      <c r="I65" s="105"/>
      <c r="J65" s="105"/>
      <c r="K65" s="105"/>
      <c r="L65" s="105"/>
    </row>
  </sheetData>
  <mergeCells count="39">
    <mergeCell ref="I4:J4"/>
    <mergeCell ref="B1:N1"/>
    <mergeCell ref="B3:D3"/>
    <mergeCell ref="E3:G3"/>
    <mergeCell ref="B4:C4"/>
    <mergeCell ref="D4:F4"/>
    <mergeCell ref="G4:H4"/>
    <mergeCell ref="D5:E5"/>
    <mergeCell ref="G5:H5"/>
    <mergeCell ref="I5:J5"/>
    <mergeCell ref="D6:E6"/>
    <mergeCell ref="G6:H6"/>
    <mergeCell ref="I6:J6"/>
    <mergeCell ref="A11:A19"/>
    <mergeCell ref="B11:B16"/>
    <mergeCell ref="D7:E7"/>
    <mergeCell ref="G7:H7"/>
    <mergeCell ref="I7:J7"/>
    <mergeCell ref="D8:E8"/>
    <mergeCell ref="G8:H8"/>
    <mergeCell ref="I8:J8"/>
    <mergeCell ref="B9:B10"/>
    <mergeCell ref="C9:E9"/>
    <mergeCell ref="F9:H9"/>
    <mergeCell ref="I9:K9"/>
    <mergeCell ref="L9:N9"/>
    <mergeCell ref="L48:N48"/>
    <mergeCell ref="A50:A55"/>
    <mergeCell ref="A20:A28"/>
    <mergeCell ref="B20:B25"/>
    <mergeCell ref="A29:A37"/>
    <mergeCell ref="B29:B34"/>
    <mergeCell ref="A38:A46"/>
    <mergeCell ref="B38:B43"/>
    <mergeCell ref="A56:A61"/>
    <mergeCell ref="B48:B49"/>
    <mergeCell ref="C48:E48"/>
    <mergeCell ref="F48:H48"/>
    <mergeCell ref="I48:K48"/>
  </mergeCells>
  <dataValidations count="5">
    <dataValidation type="list" allowBlank="1" showInputMessage="1" showErrorMessage="1" sqref="B17:B18" xr:uid="{00000000-0002-0000-0000-000000000000}">
      <formula1>Squat</formula1>
    </dataValidation>
    <dataValidation type="list" allowBlank="1" showInputMessage="1" showErrorMessage="1" sqref="B26:B27" xr:uid="{00000000-0002-0000-0000-000001000000}">
      <formula1>Bench</formula1>
    </dataValidation>
    <dataValidation type="list" allowBlank="1" showInputMessage="1" showErrorMessage="1" sqref="B35:B36" xr:uid="{00000000-0002-0000-0000-000002000000}">
      <formula1>Deadlift</formula1>
    </dataValidation>
    <dataValidation type="list" allowBlank="1" showInputMessage="1" showErrorMessage="1" sqref="B44:B45" xr:uid="{00000000-0002-0000-0000-000003000000}">
      <formula1>OHPress</formula1>
    </dataValidation>
    <dataValidation type="list" showInputMessage="1" showErrorMessage="1" error="SELECT KG or LB from the dropdown" promptTitle="Make sure you're sitting down..." prompt="Select Kilos (KG) or Pounds (LB) from the dropdown and watch the magic unfold as you are whisked away into a world of metric or imperial units.  Weeeeee!!!_x000a__x000a_NOTE:  If you leave this blank it defaults to LB's" sqref="H3" xr:uid="{00000000-0002-0000-0000-000004000000}">
      <formula1>$Q$2:$Q$3</formula1>
    </dataValidation>
  </dataValidations>
  <hyperlinks>
    <hyperlink ref="B1" r:id="rId1" xr:uid="{4942D340-8451-4422-9881-C2704E66F781}"/>
  </hyperlinks>
  <printOptions verticalCentered="1"/>
  <pageMargins left="0.5" right="0.5" top="0.5" bottom="0.5" header="0.30000000000000004" footer="0.30000000000000004"/>
  <pageSetup paperSize="0" fitToWidth="0" fitToHeight="0" orientation="landscape" horizontalDpi="0" verticalDpi="0" copies="0"/>
  <headerFooter>
    <oddHeader>&amp;C&amp;"Arial,Regular"&amp;10Wendler 5/3/1 by ViolentZen.com</oddHeader>
    <oddFooter>&amp;L&amp;F&amp;R&amp;A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RowHeight="14.4" x14ac:dyDescent="0.3"/>
  <cols>
    <col min="1" max="1" width="15.77734375" customWidth="1"/>
    <col min="2" max="2" width="26.33203125" customWidth="1"/>
    <col min="3" max="3" width="18.33203125" customWidth="1"/>
    <col min="4" max="4" width="25" customWidth="1"/>
    <col min="5" max="5" width="11.5546875" customWidth="1"/>
  </cols>
  <sheetData>
    <row r="1" spans="1:4" ht="15" thickBot="1" x14ac:dyDescent="0.35">
      <c r="A1" s="106" t="s">
        <v>46</v>
      </c>
      <c r="B1" s="106" t="s">
        <v>47</v>
      </c>
      <c r="C1" s="106" t="s">
        <v>48</v>
      </c>
      <c r="D1" s="106" t="s">
        <v>49</v>
      </c>
    </row>
    <row r="2" spans="1:4" x14ac:dyDescent="0.3">
      <c r="A2" s="107" t="s">
        <v>27</v>
      </c>
      <c r="B2" s="107" t="s">
        <v>33</v>
      </c>
      <c r="C2" s="107" t="s">
        <v>50</v>
      </c>
      <c r="D2" s="107" t="s">
        <v>40</v>
      </c>
    </row>
    <row r="3" spans="1:4" x14ac:dyDescent="0.3">
      <c r="A3" s="108" t="s">
        <v>29</v>
      </c>
      <c r="B3" s="108" t="s">
        <v>51</v>
      </c>
      <c r="C3" s="108" t="s">
        <v>52</v>
      </c>
      <c r="D3" s="108" t="s">
        <v>41</v>
      </c>
    </row>
    <row r="4" spans="1:4" x14ac:dyDescent="0.3">
      <c r="A4" s="108" t="s">
        <v>52</v>
      </c>
      <c r="B4" s="108" t="s">
        <v>53</v>
      </c>
      <c r="C4" s="108" t="s">
        <v>37</v>
      </c>
      <c r="D4" s="108" t="s">
        <v>54</v>
      </c>
    </row>
    <row r="5" spans="1:4" x14ac:dyDescent="0.3">
      <c r="A5" s="108" t="s">
        <v>55</v>
      </c>
      <c r="B5" s="108" t="s">
        <v>34</v>
      </c>
      <c r="C5" s="108" t="s">
        <v>56</v>
      </c>
      <c r="D5" s="108" t="s">
        <v>57</v>
      </c>
    </row>
    <row r="6" spans="1:4" x14ac:dyDescent="0.3">
      <c r="A6" s="108" t="s">
        <v>58</v>
      </c>
      <c r="B6" s="108" t="s">
        <v>59</v>
      </c>
      <c r="C6" s="108" t="s">
        <v>38</v>
      </c>
      <c r="D6" s="108" t="s">
        <v>60</v>
      </c>
    </row>
    <row r="7" spans="1:4" x14ac:dyDescent="0.3">
      <c r="A7" s="108"/>
      <c r="B7" s="108"/>
      <c r="C7" s="108"/>
      <c r="D7" s="108"/>
    </row>
    <row r="8" spans="1:4" x14ac:dyDescent="0.3">
      <c r="A8" s="108"/>
      <c r="B8" s="108"/>
      <c r="C8" s="108"/>
      <c r="D8" s="108"/>
    </row>
    <row r="9" spans="1:4" x14ac:dyDescent="0.3">
      <c r="A9" s="108"/>
      <c r="B9" s="108"/>
      <c r="C9" s="108"/>
      <c r="D9" s="108"/>
    </row>
    <row r="10" spans="1:4" x14ac:dyDescent="0.3">
      <c r="A10" s="108"/>
      <c r="B10" s="108"/>
      <c r="C10" s="108"/>
      <c r="D10" s="108"/>
    </row>
    <row r="11" spans="1:4" x14ac:dyDescent="0.3">
      <c r="A11" s="108"/>
      <c r="B11" s="108"/>
      <c r="C11" s="108"/>
      <c r="D11" s="108"/>
    </row>
    <row r="12" spans="1:4" x14ac:dyDescent="0.3">
      <c r="A12" s="108"/>
      <c r="B12" s="108"/>
      <c r="C12" s="108"/>
      <c r="D12" s="108"/>
    </row>
    <row r="13" spans="1:4" x14ac:dyDescent="0.3">
      <c r="A13" s="108"/>
      <c r="B13" s="108"/>
      <c r="C13" s="108"/>
      <c r="D13" s="108"/>
    </row>
    <row r="14" spans="1:4" x14ac:dyDescent="0.3">
      <c r="A14" s="108"/>
      <c r="B14" s="108"/>
      <c r="C14" s="108"/>
      <c r="D14" s="108"/>
    </row>
    <row r="15" spans="1:4" x14ac:dyDescent="0.3">
      <c r="A15" s="108"/>
      <c r="B15" s="108"/>
      <c r="C15" s="108"/>
      <c r="D15" s="108"/>
    </row>
    <row r="16" spans="1:4" x14ac:dyDescent="0.3">
      <c r="A16" s="108"/>
      <c r="B16" s="108"/>
      <c r="C16" s="108"/>
      <c r="D16" s="108"/>
    </row>
    <row r="17" spans="1:4" x14ac:dyDescent="0.3">
      <c r="A17" s="108"/>
      <c r="B17" s="108"/>
      <c r="C17" s="108"/>
      <c r="D17" s="108"/>
    </row>
    <row r="18" spans="1:4" x14ac:dyDescent="0.3">
      <c r="A18" s="108"/>
      <c r="B18" s="108"/>
      <c r="C18" s="108"/>
      <c r="D18" s="108"/>
    </row>
    <row r="19" spans="1:4" x14ac:dyDescent="0.3">
      <c r="A19" s="108"/>
      <c r="B19" s="108"/>
      <c r="C19" s="108"/>
      <c r="D19" s="108"/>
    </row>
    <row r="20" spans="1:4" ht="15" thickBot="1" x14ac:dyDescent="0.35">
      <c r="A20" s="109"/>
      <c r="B20" s="109"/>
      <c r="C20" s="109"/>
      <c r="D20" s="109"/>
    </row>
  </sheetData>
  <pageMargins left="0.75000000000000011" right="0.75000000000000011" top="1" bottom="1" header="0.5" footer="0.5"/>
  <pageSetup paperSiz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Ciclo</vt:lpstr>
      <vt:lpstr>Trabajo_Accesorio</vt:lpstr>
      <vt:lpstr>Ciclo!Área_de_impresión</vt:lpstr>
      <vt:lpstr>Bench</vt:lpstr>
      <vt:lpstr>Deadlift</vt:lpstr>
      <vt:lpstr>OHPress</vt:lpstr>
      <vt:lpstr>Squat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Jim Wendler 5-3-1 Workout Spreadsheet</dc:title>
  <dc:subject/>
  <dc:creator>Sergio</dc:creator>
  <cp:keywords>5 3 1 workout, jim wendler 5 3 1, 531 workout, wendler 531, 5 3 1 routine, 5 3 1 spreadsheet, wendler 5 3 1 spreadsheet, 5 3 1 workout spreadsheet, jim wendler 531, 531 spreadsheet, wendler 5 3 1 program, wendlers 531, 5 3 1 wendler</cp:keywords>
  <dc:description>Moved from DIYStrengthTraining.com to _x000d_http://ViolentZen.com</dc:description>
  <cp:lastModifiedBy>portatilhprojo@outlook.es</cp:lastModifiedBy>
  <cp:lastPrinted>2011-08-21T06:23:23Z</cp:lastPrinted>
  <dcterms:created xsi:type="dcterms:W3CDTF">2009-09-16T18:06:06Z</dcterms:created>
  <dcterms:modified xsi:type="dcterms:W3CDTF">2020-10-03T10:24:46Z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Violent Zen™ LLC</vt:lpwstr>
  </property>
  <property fmtid="{D5CDD505-2E9C-101B-9397-08002B2CF9AE}" pid="3" name="Publisher">
    <vt:lpwstr>Violent Zen™ LLC</vt:lpwstr>
  </property>
</Properties>
</file>