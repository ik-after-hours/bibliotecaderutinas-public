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 Sentadilla Rusa Foreve" sheetId="1" r:id="rId4"/>
  </sheets>
  <definedNames/>
  <calcPr/>
  <extLst>
    <ext uri="GoogleSheetsCustomDataVersion1">
      <go:sheetsCustomData xmlns:go="http://customooxmlschemas.google.com/" r:id="rId5" roundtripDataSignature="AMtx7mgtqfTmSnjssiWm+pK458DsicpYI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W2">
      <text>
        <t xml:space="preserve">======
ID#AAAAK2M3fAY
    (2020-12-05 14:24:44)
This is the hacky way I implemented "KG" or "LB" support in the spreadsheet. These shouldn't need to be adjusted unless you know what you're doing. :)</t>
      </text>
    </comment>
  </commentList>
  <extLst>
    <ext uri="GoogleSheetsCustomDataVersion1">
      <go:sheetsCustomData xmlns:go="http://customooxmlschemas.google.com/" r:id="rId1" roundtripDataSignature="AMtx7miyqZCKEigGSBAiJC6sB/WWEC/0/Q=="/>
    </ext>
  </extLst>
</comments>
</file>

<file path=xl/sharedStrings.xml><?xml version="1.0" encoding="utf-8"?>
<sst xmlns="http://schemas.openxmlformats.org/spreadsheetml/2006/main" count="174" uniqueCount="47">
  <si>
    <t>WWW.BIBLIOTECADERUTINAS.COM</t>
  </si>
  <si>
    <t>Rounding</t>
  </si>
  <si>
    <t>Semanas 4 to 6 Weight Addition</t>
  </si>
  <si>
    <t>Sentadillas</t>
  </si>
  <si>
    <t>Sentadilla frontal</t>
  </si>
  <si>
    <t>Dominadas</t>
  </si>
  <si>
    <t>Don't touch these :)</t>
  </si>
  <si>
    <t>1 RM</t>
  </si>
  <si>
    <t>TM (90%)</t>
  </si>
  <si>
    <t>-</t>
  </si>
  <si>
    <t>LBs o KGs?</t>
  </si>
  <si>
    <t>KG</t>
  </si>
  <si>
    <t>Semana 1</t>
  </si>
  <si>
    <t>Semana 4</t>
  </si>
  <si>
    <t>Dia 1</t>
  </si>
  <si>
    <t>Dia 2</t>
  </si>
  <si>
    <t>Dia 3</t>
  </si>
  <si>
    <t>SetsxReps</t>
  </si>
  <si>
    <t>Peso</t>
  </si>
  <si>
    <t>6 x 2</t>
  </si>
  <si>
    <t>6 x 3</t>
  </si>
  <si>
    <t>5 x 5</t>
  </si>
  <si>
    <t>4 x 4</t>
  </si>
  <si>
    <t>1 x 6</t>
  </si>
  <si>
    <t>3 x 2, 3 x 3</t>
  </si>
  <si>
    <t>4 x 6</t>
  </si>
  <si>
    <t>2 x 2, 4 x 5</t>
  </si>
  <si>
    <t>Hiperextensiones</t>
  </si>
  <si>
    <t>6 x 8</t>
  </si>
  <si>
    <t>Peso corporal o lastre</t>
  </si>
  <si>
    <t>1 x 20</t>
  </si>
  <si>
    <t>Semana 2</t>
  </si>
  <si>
    <t>Semana 5</t>
  </si>
  <si>
    <t>6 x 4</t>
  </si>
  <si>
    <t>6 x 5</t>
  </si>
  <si>
    <t>3 x 3</t>
  </si>
  <si>
    <t>5 x 2, 1 x 3</t>
  </si>
  <si>
    <t>2 x 6</t>
  </si>
  <si>
    <t>5 x 6</t>
  </si>
  <si>
    <t>1 x 2, 5 x 5</t>
  </si>
  <si>
    <t>Semana 3</t>
  </si>
  <si>
    <t>Semana 6</t>
  </si>
  <si>
    <t>6 x 6</t>
  </si>
  <si>
    <t>2 x 2</t>
  </si>
  <si>
    <t>1 x 1+</t>
  </si>
  <si>
    <t>3 x 6</t>
  </si>
  <si>
    <t>4 x 2, 2 x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</si>
</sst>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u/>
      <sz val="10.0"/>
      <color rgb="FF0000FF"/>
      <name val="Arial"/>
    </font>
    <font>
      <b/>
      <u/>
      <sz val="12.0"/>
      <color theme="10"/>
      <name val="Arial"/>
    </font>
    <font/>
    <font>
      <sz val="10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EF7E3"/>
        <bgColor rgb="FFEEF7E3"/>
      </patternFill>
    </fill>
    <fill>
      <patternFill patternType="solid">
        <fgColor rgb="FF6CC943"/>
        <bgColor rgb="FF6CC943"/>
      </patternFill>
    </fill>
    <fill>
      <patternFill patternType="solid">
        <fgColor rgb="FFFF9900"/>
        <bgColor rgb="FFFF9900"/>
      </patternFill>
    </fill>
    <fill>
      <patternFill patternType="solid">
        <fgColor rgb="FFA4DF34"/>
        <bgColor rgb="FFA4DF34"/>
      </patternFill>
    </fill>
    <fill>
      <patternFill patternType="solid">
        <fgColor rgb="FFFF6700"/>
        <bgColor rgb="FFFF6700"/>
      </patternFill>
    </fill>
    <fill>
      <patternFill patternType="solid">
        <fgColor rgb="FFEFF722"/>
        <bgColor rgb="FFEFF722"/>
      </patternFill>
    </fill>
    <fill>
      <patternFill patternType="solid">
        <fgColor rgb="FFE91010"/>
        <bgColor rgb="FFE91010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/>
      <top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4" numFmtId="0" xfId="0" applyBorder="1" applyFill="1" applyFont="1"/>
    <xf borderId="5" fillId="4" fontId="4" numFmtId="0" xfId="0" applyAlignment="1" applyBorder="1" applyFill="1" applyFont="1">
      <alignment horizontal="center"/>
    </xf>
    <xf borderId="6" fillId="4" fontId="4" numFmtId="0" xfId="0" applyAlignment="1" applyBorder="1" applyFont="1">
      <alignment horizontal="center"/>
    </xf>
    <xf borderId="7" fillId="4" fontId="4" numFmtId="0" xfId="0" applyAlignment="1" applyBorder="1" applyFont="1">
      <alignment horizontal="center"/>
    </xf>
    <xf borderId="8" fillId="4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2" fillId="4" fontId="4" numFmtId="0" xfId="0" applyAlignment="1" applyBorder="1" applyFont="1">
      <alignment horizontal="center"/>
    </xf>
    <xf borderId="5" fillId="5" fontId="4" numFmtId="0" xfId="0" applyAlignment="1" applyBorder="1" applyFill="1" applyFont="1">
      <alignment horizontal="center"/>
    </xf>
    <xf borderId="6" fillId="5" fontId="4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  <xf borderId="13" fillId="4" fontId="4" numFmtId="0" xfId="0" applyAlignment="1" applyBorder="1" applyFont="1">
      <alignment horizontal="center"/>
    </xf>
    <xf borderId="14" fillId="6" fontId="4" numFmtId="0" xfId="0" applyAlignment="1" applyBorder="1" applyFill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14" fillId="7" fontId="4" numFmtId="0" xfId="0" applyAlignment="1" applyBorder="1" applyFill="1" applyFont="1">
      <alignment horizontal="center"/>
    </xf>
    <xf borderId="17" fillId="3" fontId="4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20" fillId="3" fontId="4" numFmtId="0" xfId="0" applyAlignment="1" applyBorder="1" applyFont="1">
      <alignment horizontal="center"/>
    </xf>
    <xf borderId="21" fillId="5" fontId="4" numFmtId="0" xfId="0" applyAlignment="1" applyBorder="1" applyFont="1">
      <alignment horizontal="center"/>
    </xf>
    <xf borderId="22" fillId="5" fontId="4" numFmtId="0" xfId="0" applyAlignment="1" applyBorder="1" applyFont="1">
      <alignment horizontal="center" readingOrder="0"/>
    </xf>
    <xf borderId="23" fillId="5" fontId="4" numFmtId="0" xfId="0" applyAlignment="1" applyBorder="1" applyFont="1">
      <alignment horizontal="center" readingOrder="0"/>
    </xf>
    <xf borderId="24" fillId="5" fontId="4" numFmtId="0" xfId="0" applyAlignment="1" applyBorder="1" applyFont="1">
      <alignment horizontal="center"/>
    </xf>
    <xf borderId="25" fillId="5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/>
    </xf>
    <xf borderId="26" fillId="5" fontId="4" numFmtId="0" xfId="0" applyAlignment="1" applyBorder="1" applyFont="1">
      <alignment horizontal="center"/>
    </xf>
    <xf borderId="26" fillId="5" fontId="0" numFmtId="0" xfId="0" applyAlignment="1" applyBorder="1" applyFont="1">
      <alignment horizontal="center"/>
    </xf>
    <xf borderId="25" fillId="3" fontId="4" numFmtId="0" xfId="0" applyAlignment="1" applyBorder="1" applyFont="1">
      <alignment horizontal="center"/>
    </xf>
    <xf borderId="4" fillId="3" fontId="4" numFmtId="0" xfId="0" applyAlignment="1" applyBorder="1" applyFont="1">
      <alignment horizontal="center"/>
    </xf>
    <xf borderId="26" fillId="3" fontId="4" numFmtId="0" xfId="0" applyAlignment="1" applyBorder="1" applyFont="1">
      <alignment horizontal="center"/>
    </xf>
    <xf borderId="5" fillId="5" fontId="4" numFmtId="0" xfId="0" applyAlignment="1" applyBorder="1" applyFont="1">
      <alignment horizontal="center"/>
    </xf>
    <xf borderId="6" fillId="5" fontId="4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  <xf borderId="6" fillId="5" fontId="0" numFmtId="0" xfId="0" applyAlignment="1" applyBorder="1" applyFont="1">
      <alignment horizontal="center"/>
    </xf>
    <xf borderId="7" fillId="5" fontId="0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7" fillId="0" fontId="4" numFmtId="0" xfId="0" applyAlignment="1" applyBorder="1" applyFont="1">
      <alignment horizontal="center"/>
    </xf>
    <xf borderId="14" fillId="8" fontId="4" numFmtId="0" xfId="0" applyAlignment="1" applyBorder="1" applyFill="1" applyFont="1">
      <alignment horizontal="center"/>
    </xf>
    <xf borderId="14" fillId="9" fontId="4" numFmtId="0" xfId="0" applyAlignment="1" applyBorder="1" applyFill="1" applyFont="1">
      <alignment horizontal="center"/>
    </xf>
    <xf borderId="14" fillId="10" fontId="4" numFmtId="0" xfId="0" applyAlignment="1" applyBorder="1" applyFill="1" applyFont="1">
      <alignment horizontal="center"/>
    </xf>
    <xf borderId="14" fillId="11" fontId="4" numFmtId="0" xfId="0" applyAlignment="1" applyBorder="1" applyFill="1" applyFont="1">
      <alignment horizontal="center"/>
    </xf>
    <xf borderId="5" fillId="3" fontId="4" numFmtId="0" xfId="0" applyAlignment="1" applyBorder="1" applyFont="1">
      <alignment horizontal="center"/>
    </xf>
    <xf borderId="6" fillId="3" fontId="4" numFmtId="0" xfId="0" applyAlignment="1" applyBorder="1" applyFont="1">
      <alignment horizontal="center"/>
    </xf>
    <xf borderId="7" fillId="3" fontId="4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rograma Sentadilla Rusa Foreve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E4" displayName="Table_1" id="1">
  <tableColumns count="4">
    <tableColumn name="Column1" id="1"/>
    <tableColumn name="Column2" id="2"/>
    <tableColumn name="Column3" id="3"/>
    <tableColumn name="Column4" id="4"/>
  </tableColumns>
  <tableStyleInfo name="Programa Sentadilla Rusa Forev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bibliotecaderutinas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14.43"/>
    <col customWidth="1" min="4" max="4" width="18.86"/>
    <col customWidth="1" min="5" max="6" width="14.43"/>
    <col customWidth="1" min="7" max="7" width="18.86"/>
    <col customWidth="1" min="10" max="10" width="18.86"/>
    <col customWidth="1" min="11" max="11" width="3.57"/>
    <col customWidth="1" min="14" max="14" width="18.86"/>
    <col customWidth="1" min="17" max="17" width="18.86"/>
    <col customWidth="1" min="20" max="20" width="18.86"/>
    <col customWidth="1" min="23" max="23" width="19.57"/>
    <col customWidth="1" min="25" max="25" width="25.4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/>
      <c r="V1" s="5"/>
      <c r="X1" s="5" t="s">
        <v>1</v>
      </c>
      <c r="Y1" s="5" t="s">
        <v>2</v>
      </c>
    </row>
    <row r="2" ht="15.75" customHeight="1">
      <c r="A2" s="5"/>
      <c r="B2" s="6"/>
      <c r="C2" s="7" t="s">
        <v>3</v>
      </c>
      <c r="D2" s="8" t="s">
        <v>4</v>
      </c>
      <c r="E2" s="9" t="s">
        <v>5</v>
      </c>
      <c r="F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 t="s">
        <v>6</v>
      </c>
      <c r="X2" s="5">
        <f>IF(C6="LB",5,2.5)</f>
        <v>2.5</v>
      </c>
      <c r="Y2" s="5">
        <f>IF(C6="LB",10,5)</f>
        <v>5</v>
      </c>
    </row>
    <row r="3" ht="15.75" customHeight="1">
      <c r="A3" s="5"/>
      <c r="B3" s="10" t="s">
        <v>7</v>
      </c>
      <c r="C3" s="11">
        <v>140.0</v>
      </c>
      <c r="D3" s="12">
        <v>100.0</v>
      </c>
      <c r="E3" s="13">
        <v>20.0</v>
      </c>
      <c r="F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A4" s="5"/>
      <c r="B4" s="14" t="s">
        <v>8</v>
      </c>
      <c r="C4" s="15">
        <f t="shared" ref="C4:D4" si="1">0.9*C3</f>
        <v>126</v>
      </c>
      <c r="D4" s="16">
        <f t="shared" si="1"/>
        <v>90</v>
      </c>
      <c r="E4" s="17" t="s">
        <v>9</v>
      </c>
      <c r="F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5.75" customHeight="1">
      <c r="A6" s="5"/>
      <c r="B6" s="18" t="s">
        <v>10</v>
      </c>
      <c r="C6" s="5" t="s">
        <v>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5.75" customHeight="1">
      <c r="A8" s="5"/>
      <c r="B8" s="19" t="s">
        <v>12</v>
      </c>
      <c r="C8" s="20"/>
      <c r="D8" s="20"/>
      <c r="E8" s="20"/>
      <c r="F8" s="20"/>
      <c r="G8" s="20"/>
      <c r="H8" s="20"/>
      <c r="I8" s="20"/>
      <c r="J8" s="21"/>
      <c r="K8" s="5"/>
      <c r="L8" s="22" t="s">
        <v>13</v>
      </c>
      <c r="M8" s="20"/>
      <c r="N8" s="20"/>
      <c r="O8" s="20"/>
      <c r="P8" s="20"/>
      <c r="Q8" s="20"/>
      <c r="R8" s="20"/>
      <c r="S8" s="20"/>
      <c r="T8" s="21"/>
      <c r="U8" s="5"/>
      <c r="V8" s="5"/>
    </row>
    <row r="9" ht="15.75" customHeight="1">
      <c r="A9" s="5"/>
      <c r="B9" s="23" t="s">
        <v>14</v>
      </c>
      <c r="C9" s="24"/>
      <c r="D9" s="25"/>
      <c r="E9" s="26" t="s">
        <v>15</v>
      </c>
      <c r="F9" s="24"/>
      <c r="G9" s="25"/>
      <c r="H9" s="26" t="s">
        <v>16</v>
      </c>
      <c r="I9" s="24"/>
      <c r="J9" s="25"/>
      <c r="K9" s="5"/>
      <c r="L9" s="23" t="s">
        <v>14</v>
      </c>
      <c r="M9" s="24"/>
      <c r="N9" s="25"/>
      <c r="O9" s="26" t="s">
        <v>15</v>
      </c>
      <c r="P9" s="24"/>
      <c r="Q9" s="25"/>
      <c r="R9" s="26" t="s">
        <v>16</v>
      </c>
      <c r="S9" s="24"/>
      <c r="T9" s="25"/>
      <c r="U9" s="5"/>
      <c r="V9" s="5"/>
    </row>
    <row r="10" ht="15.75" customHeight="1">
      <c r="A10" s="5"/>
      <c r="B10" s="27"/>
      <c r="C10" s="28" t="s">
        <v>17</v>
      </c>
      <c r="D10" s="29" t="s">
        <v>18</v>
      </c>
      <c r="E10" s="30"/>
      <c r="F10" s="28" t="s">
        <v>17</v>
      </c>
      <c r="G10" s="29" t="s">
        <v>18</v>
      </c>
      <c r="H10" s="30"/>
      <c r="I10" s="28" t="s">
        <v>17</v>
      </c>
      <c r="J10" s="29" t="s">
        <v>18</v>
      </c>
      <c r="K10" s="5"/>
      <c r="L10" s="27"/>
      <c r="M10" s="28" t="s">
        <v>17</v>
      </c>
      <c r="N10" s="29" t="s">
        <v>18</v>
      </c>
      <c r="O10" s="30"/>
      <c r="P10" s="28" t="s">
        <v>17</v>
      </c>
      <c r="Q10" s="29" t="s">
        <v>18</v>
      </c>
      <c r="R10" s="30"/>
      <c r="S10" s="28" t="s">
        <v>17</v>
      </c>
      <c r="T10" s="29" t="s">
        <v>18</v>
      </c>
      <c r="U10" s="5"/>
      <c r="V10" s="5"/>
    </row>
    <row r="11" ht="15.75" customHeight="1">
      <c r="A11" s="5"/>
      <c r="B11" s="31" t="s">
        <v>3</v>
      </c>
      <c r="C11" s="32" t="s">
        <v>19</v>
      </c>
      <c r="D11" s="33">
        <f>MROUND(0.8*C4,X2)</f>
        <v>100</v>
      </c>
      <c r="E11" s="32" t="s">
        <v>3</v>
      </c>
      <c r="F11" s="32" t="s">
        <v>20</v>
      </c>
      <c r="G11" s="34">
        <f>MROUND(0.8*C4,X2)</f>
        <v>100</v>
      </c>
      <c r="H11" s="32" t="s">
        <v>3</v>
      </c>
      <c r="I11" s="32" t="s">
        <v>19</v>
      </c>
      <c r="J11" s="34">
        <f>MROUND(0.8*C4,X2)</f>
        <v>100</v>
      </c>
      <c r="K11" s="5"/>
      <c r="L11" s="31" t="s">
        <v>3</v>
      </c>
      <c r="M11" s="32" t="s">
        <v>21</v>
      </c>
      <c r="N11" s="34">
        <f>MROUND(0.85*C4,X2)</f>
        <v>107.5</v>
      </c>
      <c r="O11" s="32" t="s">
        <v>3</v>
      </c>
      <c r="P11" s="32" t="s">
        <v>19</v>
      </c>
      <c r="Q11" s="34">
        <f>MROUND(0.8*C4,X2)+Y2</f>
        <v>105</v>
      </c>
      <c r="R11" s="32" t="s">
        <v>3</v>
      </c>
      <c r="S11" s="32" t="s">
        <v>22</v>
      </c>
      <c r="T11" s="34">
        <f>MROUND(0.9*C4,X2)</f>
        <v>112.5</v>
      </c>
      <c r="U11" s="5"/>
      <c r="V11" s="5"/>
    </row>
    <row r="12" ht="15.75" customHeight="1">
      <c r="A12" s="5"/>
      <c r="B12" s="35" t="s">
        <v>4</v>
      </c>
      <c r="C12" s="36" t="s">
        <v>23</v>
      </c>
      <c r="D12" s="37">
        <f>MROUND(0.8*D4,X2)</f>
        <v>72.5</v>
      </c>
      <c r="E12" s="36" t="s">
        <v>5</v>
      </c>
      <c r="F12" s="36" t="s">
        <v>19</v>
      </c>
      <c r="G12" s="37">
        <f>MROUND(0.8*E3,X2)</f>
        <v>15</v>
      </c>
      <c r="H12" s="36" t="s">
        <v>4</v>
      </c>
      <c r="I12" s="36" t="s">
        <v>23</v>
      </c>
      <c r="J12" s="37">
        <f>MROUND(0.8*D4,X2)</f>
        <v>72.5</v>
      </c>
      <c r="K12" s="5"/>
      <c r="L12" s="35" t="s">
        <v>5</v>
      </c>
      <c r="M12" s="36" t="s">
        <v>24</v>
      </c>
      <c r="N12" s="37">
        <f>MROUND(0.8*E3,X2)</f>
        <v>15</v>
      </c>
      <c r="O12" s="36" t="s">
        <v>4</v>
      </c>
      <c r="P12" s="36" t="s">
        <v>25</v>
      </c>
      <c r="Q12" s="37">
        <f>MROUND(0.8*D4,X2)</f>
        <v>72.5</v>
      </c>
      <c r="R12" s="36" t="s">
        <v>5</v>
      </c>
      <c r="S12" s="36" t="s">
        <v>26</v>
      </c>
      <c r="T12" s="37">
        <f>MROUND(0.8*E3,X2)</f>
        <v>15</v>
      </c>
      <c r="U12" s="5"/>
      <c r="V12" s="5"/>
    </row>
    <row r="13" ht="15.75" customHeight="1">
      <c r="A13" s="5"/>
      <c r="B13" s="38" t="s">
        <v>27</v>
      </c>
      <c r="C13" s="39" t="s">
        <v>28</v>
      </c>
      <c r="D13" s="40" t="s">
        <v>29</v>
      </c>
      <c r="E13" s="39" t="s">
        <v>27</v>
      </c>
      <c r="F13" s="39" t="s">
        <v>30</v>
      </c>
      <c r="G13" s="40" t="s">
        <v>29</v>
      </c>
      <c r="H13" s="39" t="s">
        <v>27</v>
      </c>
      <c r="I13" s="41" t="s">
        <v>28</v>
      </c>
      <c r="J13" s="40" t="s">
        <v>29</v>
      </c>
      <c r="K13" s="5"/>
      <c r="L13" s="38" t="s">
        <v>27</v>
      </c>
      <c r="M13" s="41" t="s">
        <v>30</v>
      </c>
      <c r="N13" s="40" t="s">
        <v>29</v>
      </c>
      <c r="O13" s="39" t="s">
        <v>27</v>
      </c>
      <c r="P13" s="41" t="s">
        <v>28</v>
      </c>
      <c r="Q13" s="42" t="s">
        <v>29</v>
      </c>
      <c r="R13" s="39" t="s">
        <v>27</v>
      </c>
      <c r="S13" s="41" t="s">
        <v>30</v>
      </c>
      <c r="T13" s="40" t="s">
        <v>29</v>
      </c>
      <c r="U13" s="5"/>
      <c r="V13" s="5"/>
    </row>
    <row r="14" ht="15.75" customHeight="1">
      <c r="A14" s="5"/>
      <c r="B14" s="43"/>
      <c r="C14" s="43"/>
      <c r="D14" s="43"/>
      <c r="E14" s="43"/>
      <c r="F14" s="43"/>
      <c r="G14" s="43"/>
      <c r="H14" s="44"/>
      <c r="I14" s="43"/>
      <c r="J14" s="43"/>
      <c r="K14" s="5"/>
      <c r="L14" s="43"/>
      <c r="M14" s="43"/>
      <c r="N14" s="43"/>
      <c r="O14" s="43"/>
      <c r="P14" s="43"/>
      <c r="Q14" s="43"/>
      <c r="R14" s="43"/>
      <c r="S14" s="43"/>
      <c r="T14" s="43"/>
      <c r="U14" s="5"/>
      <c r="V14" s="5"/>
    </row>
    <row r="15" ht="15.75" customHeight="1">
      <c r="A15" s="5"/>
      <c r="B15" s="45" t="s">
        <v>31</v>
      </c>
      <c r="C15" s="20"/>
      <c r="D15" s="20"/>
      <c r="E15" s="20"/>
      <c r="F15" s="20"/>
      <c r="G15" s="20"/>
      <c r="H15" s="20"/>
      <c r="I15" s="20"/>
      <c r="J15" s="21"/>
      <c r="K15" s="5"/>
      <c r="L15" s="46" t="s">
        <v>32</v>
      </c>
      <c r="M15" s="20"/>
      <c r="N15" s="20"/>
      <c r="O15" s="20"/>
      <c r="P15" s="20"/>
      <c r="Q15" s="20"/>
      <c r="R15" s="20"/>
      <c r="S15" s="20"/>
      <c r="T15" s="21"/>
      <c r="U15" s="5"/>
      <c r="V15" s="5"/>
    </row>
    <row r="16" ht="15.75" customHeight="1">
      <c r="A16" s="5"/>
      <c r="B16" s="23" t="s">
        <v>14</v>
      </c>
      <c r="C16" s="24"/>
      <c r="D16" s="25"/>
      <c r="E16" s="26" t="s">
        <v>15</v>
      </c>
      <c r="F16" s="24"/>
      <c r="G16" s="25"/>
      <c r="H16" s="26" t="s">
        <v>16</v>
      </c>
      <c r="I16" s="24"/>
      <c r="J16" s="25"/>
      <c r="K16" s="5"/>
      <c r="L16" s="23" t="s">
        <v>14</v>
      </c>
      <c r="M16" s="24"/>
      <c r="N16" s="25"/>
      <c r="O16" s="26" t="s">
        <v>15</v>
      </c>
      <c r="P16" s="24"/>
      <c r="Q16" s="25"/>
      <c r="R16" s="26" t="s">
        <v>16</v>
      </c>
      <c r="S16" s="24"/>
      <c r="T16" s="25"/>
      <c r="U16" s="5"/>
      <c r="V16" s="5"/>
    </row>
    <row r="17" ht="15.75" customHeight="1">
      <c r="A17" s="5"/>
      <c r="B17" s="31" t="s">
        <v>3</v>
      </c>
      <c r="C17" s="32" t="s">
        <v>33</v>
      </c>
      <c r="D17" s="34">
        <f>MROUND(0.8*C4,X2)</f>
        <v>100</v>
      </c>
      <c r="E17" s="32" t="s">
        <v>3</v>
      </c>
      <c r="F17" s="32" t="s">
        <v>19</v>
      </c>
      <c r="G17" s="34">
        <f>MROUND(0.8*C4,X2)</f>
        <v>100</v>
      </c>
      <c r="H17" s="32" t="s">
        <v>3</v>
      </c>
      <c r="I17" s="32" t="s">
        <v>34</v>
      </c>
      <c r="J17" s="34">
        <f>MROUND(0.8*C4,X2)</f>
        <v>100</v>
      </c>
      <c r="K17" s="5"/>
      <c r="L17" s="31" t="s">
        <v>3</v>
      </c>
      <c r="M17" s="32" t="s">
        <v>19</v>
      </c>
      <c r="N17" s="34">
        <f>MROUND(0.8*C4,X2)+Y2</f>
        <v>105</v>
      </c>
      <c r="O17" s="32" t="s">
        <v>3</v>
      </c>
      <c r="P17" s="32" t="s">
        <v>35</v>
      </c>
      <c r="Q17" s="34">
        <f>MROUND(0.95*C4,X2)</f>
        <v>120</v>
      </c>
      <c r="R17" s="32" t="s">
        <v>3</v>
      </c>
      <c r="S17" s="32" t="s">
        <v>19</v>
      </c>
      <c r="T17" s="34">
        <f>MROUND(0.8*C4,X2)+Y2</f>
        <v>105</v>
      </c>
      <c r="U17" s="5"/>
      <c r="V17" s="5"/>
    </row>
    <row r="18" ht="15.75" customHeight="1">
      <c r="A18" s="5"/>
      <c r="B18" s="35" t="s">
        <v>5</v>
      </c>
      <c r="C18" s="36" t="s">
        <v>36</v>
      </c>
      <c r="D18" s="37">
        <f>MROUND(0.8*E3,X2)</f>
        <v>15</v>
      </c>
      <c r="E18" s="36" t="s">
        <v>4</v>
      </c>
      <c r="F18" s="36" t="s">
        <v>37</v>
      </c>
      <c r="G18" s="37">
        <f>MROUND(0.8*D4,X2)</f>
        <v>72.5</v>
      </c>
      <c r="H18" s="36" t="s">
        <v>5</v>
      </c>
      <c r="I18" s="36" t="s">
        <v>36</v>
      </c>
      <c r="J18" s="37">
        <f>MROUND(0.8*E3,X2)</f>
        <v>15</v>
      </c>
      <c r="K18" s="5"/>
      <c r="L18" s="35" t="s">
        <v>4</v>
      </c>
      <c r="M18" s="36" t="s">
        <v>38</v>
      </c>
      <c r="N18" s="37">
        <f>MROUND(0.8*D4,X2)</f>
        <v>72.5</v>
      </c>
      <c r="O18" s="36" t="s">
        <v>5</v>
      </c>
      <c r="P18" s="36" t="s">
        <v>39</v>
      </c>
      <c r="Q18" s="37">
        <f>MROUND(0.8*E3,X2)</f>
        <v>15</v>
      </c>
      <c r="R18" s="36" t="s">
        <v>4</v>
      </c>
      <c r="S18" s="36" t="s">
        <v>38</v>
      </c>
      <c r="T18" s="37">
        <f>MROUND(0.8*D4,X2)</f>
        <v>72.5</v>
      </c>
      <c r="U18" s="5"/>
      <c r="V18" s="5"/>
    </row>
    <row r="19" ht="15.75" customHeight="1">
      <c r="A19" s="5"/>
      <c r="B19" s="38" t="s">
        <v>27</v>
      </c>
      <c r="C19" s="41" t="s">
        <v>30</v>
      </c>
      <c r="D19" s="40" t="s">
        <v>29</v>
      </c>
      <c r="E19" s="39" t="s">
        <v>27</v>
      </c>
      <c r="F19" s="39" t="s">
        <v>28</v>
      </c>
      <c r="G19" s="40" t="s">
        <v>29</v>
      </c>
      <c r="H19" s="39" t="s">
        <v>27</v>
      </c>
      <c r="I19" s="41" t="s">
        <v>30</v>
      </c>
      <c r="J19" s="40" t="s">
        <v>29</v>
      </c>
      <c r="K19" s="5"/>
      <c r="L19" s="38" t="s">
        <v>27</v>
      </c>
      <c r="M19" s="41" t="s">
        <v>28</v>
      </c>
      <c r="N19" s="40" t="s">
        <v>29</v>
      </c>
      <c r="O19" s="39" t="s">
        <v>27</v>
      </c>
      <c r="P19" s="41" t="s">
        <v>30</v>
      </c>
      <c r="Q19" s="40" t="s">
        <v>29</v>
      </c>
      <c r="R19" s="39" t="s">
        <v>27</v>
      </c>
      <c r="S19" s="41" t="s">
        <v>28</v>
      </c>
      <c r="T19" s="40" t="s">
        <v>29</v>
      </c>
      <c r="U19" s="5"/>
      <c r="V19" s="5"/>
    </row>
    <row r="20" ht="15.75" customHeight="1">
      <c r="A20" s="5"/>
      <c r="B20" s="43"/>
      <c r="C20" s="43"/>
      <c r="D20" s="43"/>
      <c r="E20" s="43"/>
      <c r="F20" s="43"/>
      <c r="G20" s="43"/>
      <c r="H20" s="43"/>
      <c r="I20" s="43"/>
      <c r="J20" s="43"/>
      <c r="K20" s="5"/>
      <c r="L20" s="43"/>
      <c r="M20" s="43"/>
      <c r="N20" s="43"/>
      <c r="O20" s="43"/>
      <c r="P20" s="43"/>
      <c r="Q20" s="43"/>
      <c r="R20" s="43"/>
      <c r="S20" s="43"/>
      <c r="T20" s="43"/>
      <c r="U20" s="5"/>
      <c r="V20" s="5"/>
    </row>
    <row r="21" ht="15.75" customHeight="1">
      <c r="A21" s="5"/>
      <c r="B21" s="47" t="s">
        <v>40</v>
      </c>
      <c r="C21" s="20"/>
      <c r="D21" s="20"/>
      <c r="E21" s="20"/>
      <c r="F21" s="20"/>
      <c r="G21" s="20"/>
      <c r="H21" s="20"/>
      <c r="I21" s="20"/>
      <c r="J21" s="21"/>
      <c r="K21" s="5"/>
      <c r="L21" s="48" t="s">
        <v>41</v>
      </c>
      <c r="M21" s="20"/>
      <c r="N21" s="20"/>
      <c r="O21" s="20"/>
      <c r="P21" s="20"/>
      <c r="Q21" s="20"/>
      <c r="R21" s="20"/>
      <c r="S21" s="20"/>
      <c r="T21" s="21"/>
      <c r="U21" s="5"/>
      <c r="V21" s="5"/>
    </row>
    <row r="22" ht="15.75" customHeight="1">
      <c r="A22" s="5"/>
      <c r="B22" s="23" t="s">
        <v>14</v>
      </c>
      <c r="C22" s="24"/>
      <c r="D22" s="25"/>
      <c r="E22" s="26" t="s">
        <v>15</v>
      </c>
      <c r="F22" s="24"/>
      <c r="G22" s="25"/>
      <c r="H22" s="26" t="s">
        <v>16</v>
      </c>
      <c r="I22" s="24"/>
      <c r="J22" s="25"/>
      <c r="K22" s="5"/>
      <c r="L22" s="49" t="s">
        <v>14</v>
      </c>
      <c r="M22" s="50"/>
      <c r="N22" s="51"/>
      <c r="O22" s="26" t="s">
        <v>15</v>
      </c>
      <c r="P22" s="24"/>
      <c r="Q22" s="25"/>
      <c r="R22" s="26" t="s">
        <v>16</v>
      </c>
      <c r="S22" s="24"/>
      <c r="T22" s="25"/>
      <c r="U22" s="5"/>
      <c r="V22" s="5"/>
    </row>
    <row r="23" ht="15.75" customHeight="1">
      <c r="A23" s="5"/>
      <c r="B23" s="31" t="s">
        <v>3</v>
      </c>
      <c r="C23" s="32" t="s">
        <v>19</v>
      </c>
      <c r="D23" s="34">
        <f>MROUND(0.8*C4,X2)</f>
        <v>100</v>
      </c>
      <c r="E23" s="32" t="s">
        <v>3</v>
      </c>
      <c r="F23" s="32" t="s">
        <v>42</v>
      </c>
      <c r="G23" s="34">
        <f>MROUND(0.8*C4,X2)</f>
        <v>100</v>
      </c>
      <c r="H23" s="32" t="s">
        <v>3</v>
      </c>
      <c r="I23" s="32" t="s">
        <v>19</v>
      </c>
      <c r="J23" s="34">
        <f>MROUND(0.8*C4,X2)</f>
        <v>100</v>
      </c>
      <c r="K23" s="5"/>
      <c r="L23" s="31" t="s">
        <v>3</v>
      </c>
      <c r="M23" s="32" t="s">
        <v>43</v>
      </c>
      <c r="N23" s="34">
        <f>MROUND(1*C4,X2)</f>
        <v>125</v>
      </c>
      <c r="O23" s="32" t="s">
        <v>3</v>
      </c>
      <c r="P23" s="32" t="s">
        <v>19</v>
      </c>
      <c r="Q23" s="34">
        <f>MROUND(0.8*C4,X2)+Y2</f>
        <v>105</v>
      </c>
      <c r="R23" s="32" t="s">
        <v>3</v>
      </c>
      <c r="S23" s="32" t="s">
        <v>44</v>
      </c>
      <c r="T23" s="34">
        <f>MROUND(1.05*C4,X2)</f>
        <v>132.5</v>
      </c>
      <c r="U23" s="5"/>
      <c r="V23" s="5"/>
    </row>
    <row r="24" ht="15.75" customHeight="1">
      <c r="A24" s="5"/>
      <c r="B24" s="35" t="s">
        <v>4</v>
      </c>
      <c r="C24" s="36" t="s">
        <v>45</v>
      </c>
      <c r="D24" s="37">
        <f>MROUND(0.8*D4,X2)</f>
        <v>72.5</v>
      </c>
      <c r="E24" s="36" t="s">
        <v>5</v>
      </c>
      <c r="F24" s="36" t="s">
        <v>46</v>
      </c>
      <c r="G24" s="37">
        <f>MROUND(0.8*E3,X2)</f>
        <v>15</v>
      </c>
      <c r="H24" s="36" t="s">
        <v>4</v>
      </c>
      <c r="I24" s="36" t="s">
        <v>45</v>
      </c>
      <c r="J24" s="37">
        <f>MROUND(0.8*D4,X2)</f>
        <v>72.5</v>
      </c>
      <c r="K24" s="5"/>
      <c r="L24" s="35" t="s">
        <v>5</v>
      </c>
      <c r="M24" s="36" t="s">
        <v>20</v>
      </c>
      <c r="N24" s="37">
        <f>MROUND(0.8*E3,X2)</f>
        <v>15</v>
      </c>
      <c r="O24" s="36" t="s">
        <v>4</v>
      </c>
      <c r="P24" s="36" t="s">
        <v>42</v>
      </c>
      <c r="Q24" s="37">
        <f>MROUND(0.8*D4,X2)</f>
        <v>72.5</v>
      </c>
      <c r="R24" s="36" t="s">
        <v>5</v>
      </c>
      <c r="S24" s="36" t="s">
        <v>20</v>
      </c>
      <c r="T24" s="37">
        <f>MROUND(0.8*E3,X2)</f>
        <v>15</v>
      </c>
      <c r="U24" s="5"/>
      <c r="V24" s="5"/>
    </row>
    <row r="25" ht="15.75" customHeight="1">
      <c r="A25" s="5"/>
      <c r="B25" s="38" t="s">
        <v>27</v>
      </c>
      <c r="C25" s="39" t="s">
        <v>28</v>
      </c>
      <c r="D25" s="40" t="s">
        <v>29</v>
      </c>
      <c r="E25" s="39" t="s">
        <v>27</v>
      </c>
      <c r="F25" s="41" t="s">
        <v>30</v>
      </c>
      <c r="G25" s="40" t="s">
        <v>29</v>
      </c>
      <c r="H25" s="39" t="s">
        <v>27</v>
      </c>
      <c r="I25" s="39" t="s">
        <v>28</v>
      </c>
      <c r="J25" s="40" t="s">
        <v>29</v>
      </c>
      <c r="K25" s="5"/>
      <c r="L25" s="38" t="s">
        <v>27</v>
      </c>
      <c r="M25" s="41" t="s">
        <v>30</v>
      </c>
      <c r="N25" s="40" t="s">
        <v>29</v>
      </c>
      <c r="O25" s="39" t="s">
        <v>27</v>
      </c>
      <c r="P25" s="39" t="s">
        <v>28</v>
      </c>
      <c r="Q25" s="40" t="s">
        <v>29</v>
      </c>
      <c r="R25" s="39" t="s">
        <v>27</v>
      </c>
      <c r="S25" s="41" t="s">
        <v>30</v>
      </c>
      <c r="T25" s="40" t="s">
        <v>29</v>
      </c>
      <c r="U25" s="5"/>
      <c r="V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4">
    <mergeCell ref="O9:Q9"/>
    <mergeCell ref="R9:T9"/>
    <mergeCell ref="B1:T1"/>
    <mergeCell ref="B8:J8"/>
    <mergeCell ref="L8:T8"/>
    <mergeCell ref="B9:D9"/>
    <mergeCell ref="E9:G9"/>
    <mergeCell ref="H9:J9"/>
    <mergeCell ref="L9:N9"/>
    <mergeCell ref="H16:J16"/>
    <mergeCell ref="B21:J21"/>
    <mergeCell ref="L21:T21"/>
    <mergeCell ref="B22:D22"/>
    <mergeCell ref="E22:G22"/>
    <mergeCell ref="H22:J22"/>
    <mergeCell ref="O22:Q22"/>
    <mergeCell ref="R22:T22"/>
    <mergeCell ref="B15:J15"/>
    <mergeCell ref="L15:T15"/>
    <mergeCell ref="B16:D16"/>
    <mergeCell ref="E16:G16"/>
    <mergeCell ref="L16:N16"/>
    <mergeCell ref="O16:Q16"/>
    <mergeCell ref="R16:T16"/>
  </mergeCells>
  <dataValidations>
    <dataValidation type="list" allowBlank="1" sqref="C6">
      <formula1>"LB,KG"</formula1>
    </dataValidation>
  </dataValidations>
  <hyperlinks>
    <hyperlink r:id="rId2" ref="B1"/>
  </hyperlinks>
  <printOptions/>
  <pageMargins bottom="0.75" footer="0.0" header="0.0" left="0.7" right="0.7" top="0.75"/>
  <pageSetup paperSize="9" orientation="portrait"/>
  <drawing r:id="rId3"/>
  <legacyDrawing r:id="rId4"/>
  <tableParts count="1">
    <tablePart r:id="rId6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