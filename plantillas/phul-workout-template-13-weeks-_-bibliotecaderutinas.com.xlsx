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Data" sheetId="1" r:id="rId3"/>
    <sheet state="visible" name="Monday" sheetId="2" r:id="rId4"/>
    <sheet state="visible" name="Tuesday" sheetId="3" r:id="rId5"/>
    <sheet state="visible" name="Wednesday" sheetId="4" r:id="rId6"/>
    <sheet state="visible" name="Thursday" sheetId="5" r:id="rId7"/>
    <sheet state="visible" name="Friday" sheetId="6" r:id="rId8"/>
    <sheet state="visible" name="Saturday" sheetId="7" r:id="rId9"/>
    <sheet state="visible" name="Supplement Schedule" sheetId="8" r:id="rId10"/>
  </sheets>
  <definedNames/>
  <calcPr/>
</workbook>
</file>

<file path=xl/sharedStrings.xml><?xml version="1.0" encoding="utf-8"?>
<sst xmlns="http://schemas.openxmlformats.org/spreadsheetml/2006/main" count="528" uniqueCount="91">
  <si>
    <t>Phase 1 (Current)</t>
  </si>
  <si>
    <t>Phase 2 (Estimated)</t>
  </si>
  <si>
    <t>Phase 3 (Estimated)</t>
  </si>
  <si>
    <t>Phase 4 (New)</t>
  </si>
  <si>
    <t>Squat</t>
  </si>
  <si>
    <t>&lt;----- UPDATE ALL NUMBERS IN PINK AND ALL OTHERS WILL ADJUST</t>
  </si>
  <si>
    <t>Bench</t>
  </si>
  <si>
    <t>Deadlift</t>
  </si>
  <si>
    <t>Shoulder Press</t>
  </si>
  <si>
    <t>Make a copy via File &gt; Download As...</t>
  </si>
  <si>
    <t>Modified Prilepin's Table (Hypertrophy)</t>
  </si>
  <si>
    <t>Percentage</t>
  </si>
  <si>
    <t>Rep(s)</t>
  </si>
  <si>
    <t>Optimal Total Reps</t>
  </si>
  <si>
    <t>Rep Range</t>
  </si>
  <si>
    <t>Rest Period Length</t>
  </si>
  <si>
    <t>Tempo Range (TUT)</t>
  </si>
  <si>
    <t>&lt; 70%</t>
  </si>
  <si>
    <t>6 - 10</t>
  </si>
  <si>
    <t>20 - 40</t>
  </si>
  <si>
    <t>45s - 75s</t>
  </si>
  <si>
    <t>4111 - 3101</t>
  </si>
  <si>
    <t>70% - 80%</t>
  </si>
  <si>
    <t>5 - 8</t>
  </si>
  <si>
    <t>20 - 30</t>
  </si>
  <si>
    <t>60s - 90s</t>
  </si>
  <si>
    <t>4101 - 3101</t>
  </si>
  <si>
    <t>81% - 90%</t>
  </si>
  <si>
    <t>5 - 7</t>
  </si>
  <si>
    <t>15 - 25</t>
  </si>
  <si>
    <t>75s - 120s</t>
  </si>
  <si>
    <t>&gt; 90%</t>
  </si>
  <si>
    <t>1 - 2</t>
  </si>
  <si>
    <t>4 - 10</t>
  </si>
  <si>
    <t>90s - 180s</t>
  </si>
  <si>
    <t>-</t>
  </si>
  <si>
    <t>Abbreviation Definitions</t>
  </si>
  <si>
    <t>AMRAP</t>
  </si>
  <si>
    <t>As Many Reps As Possible</t>
  </si>
  <si>
    <t>TUT</t>
  </si>
  <si>
    <t>Time Under Tension (Tempo)</t>
  </si>
  <si>
    <t>RPS</t>
  </si>
  <si>
    <t>Rest Per Set</t>
  </si>
  <si>
    <t>RPE</t>
  </si>
  <si>
    <t>Rating of Perceived Exertion</t>
  </si>
  <si>
    <t>DB</t>
  </si>
  <si>
    <t>Dumbbell (Record weight PER SINGLE side)</t>
  </si>
  <si>
    <t>Week</t>
  </si>
  <si>
    <t>Date</t>
  </si>
  <si>
    <t>Target</t>
  </si>
  <si>
    <t>Set(s)</t>
  </si>
  <si>
    <t>REACTION (RPE)</t>
  </si>
  <si>
    <t>TOO EASY (3+)</t>
  </si>
  <si>
    <t>EASY (2)</t>
  </si>
  <si>
    <t>MEDIUM (1)</t>
  </si>
  <si>
    <t>HARD (0)</t>
  </si>
  <si>
    <t>GRIND (-)</t>
  </si>
  <si>
    <t>DB Bench Press</t>
  </si>
  <si>
    <t>Approx. Percentage</t>
  </si>
  <si>
    <t>One-Arm DB Rows</t>
  </si>
  <si>
    <t>Decline DB Bench Press</t>
  </si>
  <si>
    <t>Incline Inner Biceps Curl</t>
  </si>
  <si>
    <t>Weighted Chest Dips</t>
  </si>
  <si>
    <t>DB Concentration Curl</t>
  </si>
  <si>
    <t>DB Throwback</t>
  </si>
  <si>
    <t>Isolated Tricep Pulldown</t>
  </si>
  <si>
    <t>Machine Chest Fly</t>
  </si>
  <si>
    <t>Romanian Deadlift</t>
  </si>
  <si>
    <t>Standing Barbell Calf Raise</t>
  </si>
  <si>
    <t>Hip Adductor (Machine)</t>
  </si>
  <si>
    <t>Hip Abductor (Machine)</t>
  </si>
  <si>
    <t>3 + AMRAP</t>
  </si>
  <si>
    <t xml:space="preserve"> 4 + AMRAP</t>
  </si>
  <si>
    <t>4 + AMRAP</t>
  </si>
  <si>
    <t>Lat Pulldown</t>
  </si>
  <si>
    <t>Straight Arm Pulldown</t>
  </si>
  <si>
    <t>Wide-Grip Cable Row</t>
  </si>
  <si>
    <t>Straight Bar Curl</t>
  </si>
  <si>
    <t>Hip Thrust</t>
  </si>
  <si>
    <t>.</t>
  </si>
  <si>
    <t>Front Squat</t>
  </si>
  <si>
    <t>Leg Extension (Machine)</t>
  </si>
  <si>
    <t>Leg Curl (Machine)</t>
  </si>
  <si>
    <t>Sumo Deadlift</t>
  </si>
  <si>
    <t>Seated Dumbbell Shoulder Press</t>
  </si>
  <si>
    <t>Incline DB Bench Press</t>
  </si>
  <si>
    <t>Dumbbell Preacher Curl</t>
  </si>
  <si>
    <t>Trap 3 Raise</t>
  </si>
  <si>
    <t>Dumbbell Shrug</t>
  </si>
  <si>
    <t>Isolated Front/Lateral Raise</t>
  </si>
  <si>
    <t>Rear Deltoid Fly (Machine)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</si>
</sst>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.&quot;dd&quot;.&quot;yy"/>
  </numFmts>
  <fonts count="12">
    <font>
      <sz val="10.0"/>
      <color rgb="FF000000"/>
      <name val="Arial"/>
    </font>
    <font>
      <b/>
      <name val="Roboto Mono"/>
    </font>
    <font>
      <b/>
      <u/>
      <color rgb="FF0000FF"/>
      <name val="Roboto Mono"/>
    </font>
    <font>
      <color rgb="FFFF00FF"/>
      <name val="Roboto Mono"/>
    </font>
    <font>
      <color rgb="FFD9D9D9"/>
      <name val="Roboto Mono"/>
    </font>
    <font>
      <color rgb="FFEFEFEF"/>
      <name val="Roboto Mono"/>
    </font>
    <font>
      <name val="Roboto Mono"/>
    </font>
    <font>
      <b/>
      <color rgb="FFFF00FF"/>
      <name val="Roboto Mono"/>
    </font>
    <font>
      <color rgb="FF9900FF"/>
      <name val="Roboto Mono"/>
    </font>
    <font/>
    <font>
      <name val="Arial"/>
    </font>
    <font>
      <b/>
      <color rgb="FF222222"/>
      <name val="Roboto Mon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5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3" fontId="7" numFmtId="164" xfId="0" applyAlignment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10" xfId="0" applyAlignment="1" applyFont="1" applyNumberFormat="1">
      <alignment readingOrder="0"/>
    </xf>
    <xf borderId="0" fillId="6" fontId="6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6" numFmtId="10" xfId="0" applyFont="1" applyNumberFormat="1"/>
    <xf borderId="0" fillId="0" fontId="6" numFmtId="9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9" xfId="0" applyAlignment="1" applyFont="1" applyNumberFormat="1">
      <alignment horizontal="center" readingOrder="0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6" numFmtId="10" xfId="0" applyAlignment="1" applyFont="1" applyNumberFormat="1">
      <alignment horizontal="center" vertical="bottom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4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20.0"/>
    <col customWidth="1" min="2" max="2" width="27.14"/>
    <col customWidth="1" min="3" max="3" width="35.57"/>
    <col customWidth="1" min="4" max="4" width="28.86"/>
    <col customWidth="1" min="5" max="5" width="24.43"/>
    <col customWidth="1" min="6" max="6" width="17.43"/>
    <col customWidth="1" min="7" max="7" width="12.0"/>
    <col customWidth="1" min="9" max="9" width="0.43"/>
  </cols>
  <sheetData>
    <row r="1">
      <c r="A1" s="1"/>
      <c r="B1" s="2" t="str">
        <f>HYPERLINK("https://www.the-pomp-official.com/home/2018/7/1/power-hypertrophy-program","13 Week Power-Hypertrophy Program with Upper-Lower Body Split by J. Bui")</f>
        <v>13 Week Power-Hypertrophy Program with Upper-Lower Body Split by J. Bui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6">
        <v>355.0</v>
      </c>
      <c r="C3" s="7">
        <f t="shared" ref="C3:D3" si="1">B3</f>
        <v>355</v>
      </c>
      <c r="D3" s="8">
        <f t="shared" si="1"/>
        <v>355</v>
      </c>
      <c r="E3" s="9"/>
      <c r="F3" s="10" t="s">
        <v>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6</v>
      </c>
      <c r="B4" s="6">
        <v>230.0</v>
      </c>
      <c r="C4" s="7">
        <f t="shared" ref="C4:D4" si="2">B4</f>
        <v>230</v>
      </c>
      <c r="D4" s="8">
        <f t="shared" si="2"/>
        <v>230</v>
      </c>
      <c r="E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 t="s">
        <v>7</v>
      </c>
      <c r="B5" s="6">
        <v>405.0</v>
      </c>
      <c r="C5" s="7">
        <f t="shared" ref="C5:D5" si="3">B5</f>
        <v>405</v>
      </c>
      <c r="D5" s="8">
        <f t="shared" si="3"/>
        <v>405</v>
      </c>
      <c r="E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 t="s">
        <v>8</v>
      </c>
      <c r="B6" s="6">
        <v>150.0</v>
      </c>
      <c r="C6" s="7">
        <f t="shared" ref="C6:D6" si="4">B6</f>
        <v>150</v>
      </c>
      <c r="D6" s="8">
        <f t="shared" si="4"/>
        <v>150</v>
      </c>
      <c r="E6" s="9"/>
      <c r="F6" s="11" t="s">
        <v>9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2"/>
      <c r="B8" s="13" t="s">
        <v>10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/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2"/>
      <c r="B10" s="14" t="s">
        <v>17</v>
      </c>
      <c r="C10" s="14" t="s">
        <v>18</v>
      </c>
      <c r="D10" s="14">
        <v>32.0</v>
      </c>
      <c r="E10" s="14" t="s">
        <v>19</v>
      </c>
      <c r="F10" s="14" t="s">
        <v>20</v>
      </c>
      <c r="G10" s="14" t="s">
        <v>21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/>
      <c r="B11" s="14" t="s">
        <v>22</v>
      </c>
      <c r="C11" s="14" t="s">
        <v>23</v>
      </c>
      <c r="D11" s="14">
        <v>30.0</v>
      </c>
      <c r="E11" s="14" t="s">
        <v>24</v>
      </c>
      <c r="F11" s="14" t="s">
        <v>25</v>
      </c>
      <c r="G11" s="14" t="s">
        <v>26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2"/>
      <c r="B12" s="14" t="s">
        <v>27</v>
      </c>
      <c r="C12" s="14" t="s">
        <v>28</v>
      </c>
      <c r="D12" s="14">
        <v>21.0</v>
      </c>
      <c r="E12" s="14" t="s">
        <v>29</v>
      </c>
      <c r="F12" s="14" t="s">
        <v>30</v>
      </c>
      <c r="G12" s="14">
        <v>4101.0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2"/>
      <c r="B13" s="14" t="s">
        <v>31</v>
      </c>
      <c r="C13" s="14" t="s">
        <v>32</v>
      </c>
      <c r="D13" s="14">
        <v>7.0</v>
      </c>
      <c r="E13" s="14" t="s">
        <v>33</v>
      </c>
      <c r="F13" s="14" t="s">
        <v>34</v>
      </c>
      <c r="G13" s="14" t="s">
        <v>35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/>
      <c r="B15" s="13" t="s">
        <v>36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2"/>
      <c r="B16" s="15" t="s">
        <v>37</v>
      </c>
      <c r="C16" s="15" t="s">
        <v>38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/>
      <c r="B17" s="15" t="s">
        <v>39</v>
      </c>
      <c r="C17" s="15" t="s">
        <v>40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/>
      <c r="B18" s="15" t="s">
        <v>41</v>
      </c>
      <c r="C18" s="15" t="s">
        <v>42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2"/>
      <c r="B19" s="15" t="s">
        <v>43</v>
      </c>
      <c r="C19" s="15" t="s">
        <v>44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/>
      <c r="B20" s="15" t="s">
        <v>45</v>
      </c>
      <c r="C20" s="15" t="s">
        <v>46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2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2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2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2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2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2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2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2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2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2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2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12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12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</sheetData>
  <mergeCells count="6">
    <mergeCell ref="B8:G8"/>
    <mergeCell ref="B15:C15"/>
    <mergeCell ref="B1:E1"/>
    <mergeCell ref="C20:E20"/>
    <mergeCell ref="F3:I5"/>
    <mergeCell ref="F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18.0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6">
        <f>DATE(2018, 7, 2)</f>
        <v>43283</v>
      </c>
      <c r="C2" s="17">
        <f t="shared" ref="C2:N2" si="1">B2+7</f>
        <v>43290</v>
      </c>
      <c r="D2" s="17">
        <f t="shared" si="1"/>
        <v>43297</v>
      </c>
      <c r="E2" s="17">
        <f t="shared" si="1"/>
        <v>43304</v>
      </c>
      <c r="F2" s="17">
        <f t="shared" si="1"/>
        <v>43311</v>
      </c>
      <c r="G2" s="17">
        <f t="shared" si="1"/>
        <v>43318</v>
      </c>
      <c r="H2" s="17">
        <f t="shared" si="1"/>
        <v>43325</v>
      </c>
      <c r="I2" s="17">
        <f t="shared" si="1"/>
        <v>43332</v>
      </c>
      <c r="J2" s="17">
        <f t="shared" si="1"/>
        <v>43339</v>
      </c>
      <c r="K2" s="17">
        <f t="shared" si="1"/>
        <v>43346</v>
      </c>
      <c r="L2" s="17">
        <f t="shared" si="1"/>
        <v>43353</v>
      </c>
      <c r="M2" s="17">
        <f t="shared" si="1"/>
        <v>43360</v>
      </c>
      <c r="N2" s="17">
        <f t="shared" si="1"/>
        <v>43367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F3" s="18"/>
    </row>
    <row r="4">
      <c r="A4" s="1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49</v>
      </c>
      <c r="B5" s="15">
        <f>mround(B8*OverviewData!$B$3,5)</f>
        <v>255</v>
      </c>
      <c r="C5" s="15">
        <f>mround(C8*OverviewData!$B$3,5)</f>
        <v>255</v>
      </c>
      <c r="D5" s="15">
        <f>mround(D8*OverviewData!$B$3,5)</f>
        <v>255</v>
      </c>
      <c r="E5" s="15">
        <f>mround(E8*OverviewData!$B$3,5)</f>
        <v>285</v>
      </c>
      <c r="F5" s="15">
        <f>mround(F8*OverviewData!$C$3,5)</f>
        <v>265</v>
      </c>
      <c r="G5" s="15">
        <f>mround(G8*OverviewData!$C$3,5)</f>
        <v>265</v>
      </c>
      <c r="H5" s="15">
        <f>mround(H8*OverviewData!$C$3,5)</f>
        <v>265</v>
      </c>
      <c r="I5" s="15">
        <f>mround(I8*OverviewData!$C$3,5)</f>
        <v>295</v>
      </c>
      <c r="J5" s="15">
        <f>mround(J8*OverviewData!$D$3,5)</f>
        <v>275</v>
      </c>
      <c r="K5" s="15">
        <f>mround(K8*OverviewData!$D$3,5)</f>
        <v>275</v>
      </c>
      <c r="L5" s="15">
        <f>mround(L8*OverviewData!$D$3,5)</f>
        <v>275</v>
      </c>
      <c r="M5" s="15">
        <f>mround(M8*OverviewData!$D$3,5)</f>
        <v>255</v>
      </c>
      <c r="N5" s="15">
        <f>mround(N8*OverviewData!$D$3,5)</f>
        <v>295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50</v>
      </c>
      <c r="B6" s="15">
        <v>2.0</v>
      </c>
      <c r="C6" s="15">
        <v>3.0</v>
      </c>
      <c r="D6" s="15">
        <v>3.0</v>
      </c>
      <c r="E6" s="15">
        <v>4.0</v>
      </c>
      <c r="F6" s="15">
        <v>2.0</v>
      </c>
      <c r="G6" s="15">
        <v>3.0</v>
      </c>
      <c r="H6" s="15">
        <v>4.0</v>
      </c>
      <c r="I6" s="15">
        <v>5.0</v>
      </c>
      <c r="J6" s="15">
        <v>3.0</v>
      </c>
      <c r="K6" s="15">
        <v>4.0</v>
      </c>
      <c r="L6" s="15">
        <v>5.0</v>
      </c>
      <c r="M6" s="15">
        <v>5.0</v>
      </c>
      <c r="N6" s="15">
        <v>5.0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 t="s">
        <v>12</v>
      </c>
      <c r="B7" s="15">
        <v>9.0</v>
      </c>
      <c r="C7" s="15">
        <v>9.0</v>
      </c>
      <c r="D7" s="15">
        <v>9.0</v>
      </c>
      <c r="E7" s="15">
        <v>4.0</v>
      </c>
      <c r="F7" s="15">
        <v>8.0</v>
      </c>
      <c r="G7" s="15">
        <v>8.0</v>
      </c>
      <c r="H7" s="15">
        <v>8.0</v>
      </c>
      <c r="I7" s="15">
        <v>3.0</v>
      </c>
      <c r="J7" s="15">
        <v>7.0</v>
      </c>
      <c r="K7" s="15">
        <v>7.0</v>
      </c>
      <c r="L7" s="15">
        <v>7.0</v>
      </c>
      <c r="M7" s="15">
        <v>7.0</v>
      </c>
      <c r="N7" s="15">
        <v>3.0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11</v>
      </c>
      <c r="B8" s="21">
        <v>0.725</v>
      </c>
      <c r="C8" s="21">
        <v>0.725</v>
      </c>
      <c r="D8" s="21">
        <v>0.725</v>
      </c>
      <c r="E8" s="21">
        <v>0.8</v>
      </c>
      <c r="F8" s="21">
        <v>0.75</v>
      </c>
      <c r="G8" s="21">
        <v>0.75</v>
      </c>
      <c r="H8" s="21">
        <v>0.75</v>
      </c>
      <c r="I8" s="21">
        <v>0.825</v>
      </c>
      <c r="J8" s="21">
        <v>0.775</v>
      </c>
      <c r="K8" s="21">
        <v>0.775</v>
      </c>
      <c r="L8" s="21">
        <v>0.775</v>
      </c>
      <c r="M8" s="21">
        <v>0.725</v>
      </c>
      <c r="N8" s="21">
        <v>0.825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 t="s">
        <v>49</v>
      </c>
      <c r="B11" s="15">
        <f>mround(B14*OverviewData!$B$4,5)</f>
        <v>165</v>
      </c>
      <c r="C11" s="15">
        <f>mround(C14*OverviewData!$B$4,5)</f>
        <v>165</v>
      </c>
      <c r="D11" s="15">
        <f>mround(D14*OverviewData!$B$4,5)</f>
        <v>165</v>
      </c>
      <c r="E11" s="15">
        <f>mround(E14*OverviewData!$B$4,5)</f>
        <v>185</v>
      </c>
      <c r="F11" s="15">
        <f>mround(F14*OverviewData!$C$4,5)</f>
        <v>175</v>
      </c>
      <c r="G11" s="15">
        <f>mround(G14*OverviewData!$C$4,5)</f>
        <v>175</v>
      </c>
      <c r="H11" s="15">
        <f>mround(H14*OverviewData!$C$4,5)</f>
        <v>175</v>
      </c>
      <c r="I11" s="15">
        <f>mround(I14*OverviewData!$C$4,5)</f>
        <v>190</v>
      </c>
      <c r="J11" s="15">
        <f>mround(J14*OverviewData!$D$4,5)</f>
        <v>180</v>
      </c>
      <c r="K11" s="15">
        <f>mround(K14*OverviewData!$D$4,5)</f>
        <v>180</v>
      </c>
      <c r="L11" s="15">
        <f>mround(L14*OverviewData!$D$4,5)</f>
        <v>180</v>
      </c>
      <c r="M11" s="15">
        <f>mround(M14*OverviewData!$D$4,5)</f>
        <v>165</v>
      </c>
      <c r="N11" s="15">
        <f>mround(N14*OverviewData!$D$4,5)</f>
        <v>190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 t="s">
        <v>50</v>
      </c>
      <c r="B12" s="15">
        <v>2.0</v>
      </c>
      <c r="C12" s="15">
        <v>3.0</v>
      </c>
      <c r="D12" s="15">
        <v>3.0</v>
      </c>
      <c r="E12" s="15">
        <v>4.0</v>
      </c>
      <c r="F12" s="15">
        <v>2.0</v>
      </c>
      <c r="G12" s="15">
        <v>3.0</v>
      </c>
      <c r="H12" s="15">
        <v>4.0</v>
      </c>
      <c r="I12" s="15">
        <v>5.0</v>
      </c>
      <c r="J12" s="15">
        <v>3.0</v>
      </c>
      <c r="K12" s="15">
        <v>4.0</v>
      </c>
      <c r="L12" s="15">
        <v>5.0</v>
      </c>
      <c r="M12" s="15">
        <v>5.0</v>
      </c>
      <c r="N12" s="15">
        <v>5.0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 t="s">
        <v>12</v>
      </c>
      <c r="B13" s="15">
        <v>9.0</v>
      </c>
      <c r="C13" s="15">
        <v>9.0</v>
      </c>
      <c r="D13" s="15">
        <v>9.0</v>
      </c>
      <c r="E13" s="15">
        <v>4.0</v>
      </c>
      <c r="F13" s="15">
        <v>8.0</v>
      </c>
      <c r="G13" s="15">
        <v>8.0</v>
      </c>
      <c r="H13" s="15">
        <v>8.0</v>
      </c>
      <c r="I13" s="15">
        <v>3.0</v>
      </c>
      <c r="J13" s="15">
        <v>7.0</v>
      </c>
      <c r="K13" s="15">
        <v>7.0</v>
      </c>
      <c r="L13" s="15">
        <v>7.0</v>
      </c>
      <c r="M13" s="15">
        <v>7.0</v>
      </c>
      <c r="N13" s="15">
        <v>3.0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 t="s">
        <v>11</v>
      </c>
      <c r="B14" s="21">
        <v>0.725</v>
      </c>
      <c r="C14" s="21">
        <v>0.725</v>
      </c>
      <c r="D14" s="21">
        <v>0.725</v>
      </c>
      <c r="E14" s="21">
        <v>0.8</v>
      </c>
      <c r="F14" s="21">
        <v>0.75</v>
      </c>
      <c r="G14" s="21">
        <v>0.75</v>
      </c>
      <c r="H14" s="21">
        <v>0.75</v>
      </c>
      <c r="I14" s="21">
        <v>0.825</v>
      </c>
      <c r="J14" s="21">
        <v>0.775</v>
      </c>
      <c r="K14" s="21">
        <v>0.775</v>
      </c>
      <c r="L14" s="21">
        <v>0.775</v>
      </c>
      <c r="M14" s="21">
        <v>0.725</v>
      </c>
      <c r="N14" s="21">
        <v>0.825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 t="s">
        <v>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 t="s">
        <v>49</v>
      </c>
      <c r="B17" s="15">
        <f>mround(B20*OverviewData!$B$5,5)</f>
        <v>295</v>
      </c>
      <c r="C17" s="15">
        <f>mround(C20*OverviewData!$B$5,5)</f>
        <v>295</v>
      </c>
      <c r="D17" s="15">
        <f>mround(D20*OverviewData!$B$5,5)</f>
        <v>295</v>
      </c>
      <c r="E17" s="15">
        <f>mround(E20*OverviewData!$B$5,5)</f>
        <v>325</v>
      </c>
      <c r="F17" s="15">
        <f>mround(F20*OverviewData!$C$5,5)</f>
        <v>305</v>
      </c>
      <c r="G17" s="15">
        <f>mround(G20*OverviewData!$C$5,5)</f>
        <v>305</v>
      </c>
      <c r="H17" s="15">
        <f>mround(H20*OverviewData!$C$5,5)</f>
        <v>305</v>
      </c>
      <c r="I17" s="15">
        <f>mround(I20*OverviewData!$C$5,5)</f>
        <v>335</v>
      </c>
      <c r="J17" s="15">
        <f>mround(J20*OverviewData!$D$5,5)</f>
        <v>315</v>
      </c>
      <c r="K17" s="15">
        <f>mround(K20*OverviewData!$D$5,5)</f>
        <v>315</v>
      </c>
      <c r="L17" s="15">
        <f>mround(L20*OverviewData!$D$5,5)</f>
        <v>315</v>
      </c>
      <c r="M17" s="15">
        <f>mround(M20*OverviewData!$D$5,5)</f>
        <v>295</v>
      </c>
      <c r="N17" s="15">
        <f>mround(N20*OverviewData!$D$5,5)</f>
        <v>335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0" t="s">
        <v>50</v>
      </c>
      <c r="B18" s="15">
        <v>2.0</v>
      </c>
      <c r="C18" s="15">
        <v>3.0</v>
      </c>
      <c r="D18" s="15">
        <v>3.0</v>
      </c>
      <c r="E18" s="15">
        <v>4.0</v>
      </c>
      <c r="F18" s="15">
        <v>2.0</v>
      </c>
      <c r="G18" s="15">
        <v>3.0</v>
      </c>
      <c r="H18" s="15">
        <v>4.0</v>
      </c>
      <c r="I18" s="15">
        <v>5.0</v>
      </c>
      <c r="J18" s="15">
        <v>3.0</v>
      </c>
      <c r="K18" s="15">
        <v>4.0</v>
      </c>
      <c r="L18" s="15">
        <v>5.0</v>
      </c>
      <c r="M18" s="15">
        <v>5.0</v>
      </c>
      <c r="N18" s="15">
        <v>5.0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0" t="s">
        <v>12</v>
      </c>
      <c r="B19" s="15">
        <v>9.0</v>
      </c>
      <c r="C19" s="15">
        <v>9.0</v>
      </c>
      <c r="D19" s="15">
        <v>9.0</v>
      </c>
      <c r="E19" s="15">
        <v>4.0</v>
      </c>
      <c r="F19" s="15">
        <v>8.0</v>
      </c>
      <c r="G19" s="15">
        <v>8.0</v>
      </c>
      <c r="H19" s="15">
        <v>8.0</v>
      </c>
      <c r="I19" s="15">
        <v>3.0</v>
      </c>
      <c r="J19" s="15">
        <v>7.0</v>
      </c>
      <c r="K19" s="15">
        <v>7.0</v>
      </c>
      <c r="L19" s="15">
        <v>7.0</v>
      </c>
      <c r="M19" s="15">
        <v>7.0</v>
      </c>
      <c r="N19" s="15">
        <v>3.0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0" t="s">
        <v>11</v>
      </c>
      <c r="B20" s="21">
        <v>0.725</v>
      </c>
      <c r="C20" s="21">
        <v>0.725</v>
      </c>
      <c r="D20" s="21">
        <v>0.725</v>
      </c>
      <c r="E20" s="21">
        <v>0.8</v>
      </c>
      <c r="F20" s="21">
        <v>0.75</v>
      </c>
      <c r="G20" s="21">
        <v>0.75</v>
      </c>
      <c r="H20" s="21">
        <v>0.75</v>
      </c>
      <c r="I20" s="21">
        <v>0.825</v>
      </c>
      <c r="J20" s="21">
        <v>0.775</v>
      </c>
      <c r="K20" s="21">
        <v>0.775</v>
      </c>
      <c r="L20" s="21">
        <v>0.775</v>
      </c>
      <c r="M20" s="21">
        <v>0.725</v>
      </c>
      <c r="N20" s="21">
        <v>0.825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 t="s">
        <v>51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2" t="s">
        <v>52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3" t="s">
        <v>53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4" t="s">
        <v>54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5" t="s">
        <v>55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6" t="s">
        <v>56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30.0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7">
        <f>Monday!B2+1</f>
        <v>43284</v>
      </c>
      <c r="C2" s="17">
        <f t="shared" ref="C2:N2" si="1">B2+7</f>
        <v>43291</v>
      </c>
      <c r="D2" s="17">
        <f t="shared" si="1"/>
        <v>43298</v>
      </c>
      <c r="E2" s="17">
        <f t="shared" si="1"/>
        <v>43305</v>
      </c>
      <c r="F2" s="17">
        <f t="shared" si="1"/>
        <v>43312</v>
      </c>
      <c r="G2" s="17">
        <f t="shared" si="1"/>
        <v>43319</v>
      </c>
      <c r="H2" s="17">
        <f t="shared" si="1"/>
        <v>43326</v>
      </c>
      <c r="I2" s="17">
        <f t="shared" si="1"/>
        <v>43333</v>
      </c>
      <c r="J2" s="17">
        <f t="shared" si="1"/>
        <v>43340</v>
      </c>
      <c r="K2" s="17">
        <f t="shared" si="1"/>
        <v>43347</v>
      </c>
      <c r="L2" s="17">
        <f t="shared" si="1"/>
        <v>43354</v>
      </c>
      <c r="M2" s="17">
        <f t="shared" si="1"/>
        <v>43361</v>
      </c>
      <c r="N2" s="17">
        <f t="shared" si="1"/>
        <v>43368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9" t="s">
        <v>57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49</v>
      </c>
      <c r="B5" s="27">
        <v>75.0</v>
      </c>
      <c r="C5" s="15">
        <f t="shared" ref="C5:E5" si="2">B5</f>
        <v>75</v>
      </c>
      <c r="D5" s="15">
        <f t="shared" si="2"/>
        <v>75</v>
      </c>
      <c r="E5" s="15">
        <f t="shared" si="2"/>
        <v>75</v>
      </c>
      <c r="F5" s="15">
        <f>E5+5</f>
        <v>80</v>
      </c>
      <c r="G5" s="15">
        <f t="shared" ref="G5:I5" si="3">F5</f>
        <v>80</v>
      </c>
      <c r="H5" s="15">
        <f t="shared" si="3"/>
        <v>80</v>
      </c>
      <c r="I5" s="15">
        <f t="shared" si="3"/>
        <v>80</v>
      </c>
      <c r="J5" s="15">
        <f>I5+5</f>
        <v>85</v>
      </c>
      <c r="K5" s="15">
        <f t="shared" ref="K5:M5" si="4">J5</f>
        <v>85</v>
      </c>
      <c r="L5" s="15">
        <f t="shared" si="4"/>
        <v>85</v>
      </c>
      <c r="M5" s="15">
        <f t="shared" si="4"/>
        <v>85</v>
      </c>
      <c r="N5" s="15">
        <f>M5+5</f>
        <v>90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39</v>
      </c>
      <c r="B6" s="15">
        <v>4111.0</v>
      </c>
      <c r="C6" s="15">
        <v>4111.0</v>
      </c>
      <c r="D6" s="15">
        <v>4101.0</v>
      </c>
      <c r="E6" s="15">
        <v>4101.0</v>
      </c>
      <c r="F6" s="15">
        <v>4111.0</v>
      </c>
      <c r="G6" s="15">
        <v>4111.0</v>
      </c>
      <c r="H6" s="15">
        <v>4101.0</v>
      </c>
      <c r="I6" s="15">
        <v>4101.0</v>
      </c>
      <c r="J6" s="15">
        <v>3111.0</v>
      </c>
      <c r="K6" s="15">
        <v>3111.0</v>
      </c>
      <c r="L6" s="15">
        <v>3101.0</v>
      </c>
      <c r="M6" s="15">
        <v>3101.0</v>
      </c>
      <c r="N6" s="15">
        <v>4101.0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 t="s">
        <v>41</v>
      </c>
      <c r="B7" s="15">
        <v>75.0</v>
      </c>
      <c r="C7" s="15">
        <v>75.0</v>
      </c>
      <c r="D7" s="15">
        <v>60.0</v>
      </c>
      <c r="E7" s="15">
        <v>60.0</v>
      </c>
      <c r="F7" s="15">
        <v>75.0</v>
      </c>
      <c r="G7" s="15">
        <v>75.0</v>
      </c>
      <c r="H7" s="15">
        <v>60.0</v>
      </c>
      <c r="I7" s="15">
        <v>60.0</v>
      </c>
      <c r="J7" s="15">
        <v>75.0</v>
      </c>
      <c r="K7" s="15">
        <v>75.0</v>
      </c>
      <c r="L7" s="15">
        <v>60.0</v>
      </c>
      <c r="M7" s="15">
        <v>60.0</v>
      </c>
      <c r="N7" s="15">
        <v>120.0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50</v>
      </c>
      <c r="B8" s="15">
        <v>6.0</v>
      </c>
      <c r="C8" s="15">
        <v>5.0</v>
      </c>
      <c r="D8" s="15">
        <v>4.0</v>
      </c>
      <c r="E8" s="15">
        <v>4.0</v>
      </c>
      <c r="F8" s="15">
        <v>6.0</v>
      </c>
      <c r="G8" s="15">
        <v>5.0</v>
      </c>
      <c r="H8" s="15">
        <v>4.0</v>
      </c>
      <c r="I8" s="15">
        <v>4.0</v>
      </c>
      <c r="J8" s="15">
        <v>6.0</v>
      </c>
      <c r="K8" s="15">
        <v>5.0</v>
      </c>
      <c r="L8" s="15">
        <v>4.0</v>
      </c>
      <c r="M8" s="15">
        <v>4.0</v>
      </c>
      <c r="N8" s="15">
        <v>7.0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0" t="s">
        <v>12</v>
      </c>
      <c r="B9" s="15">
        <v>6.0</v>
      </c>
      <c r="C9" s="15">
        <v>7.0</v>
      </c>
      <c r="D9" s="15">
        <v>8.0</v>
      </c>
      <c r="E9" s="15">
        <v>9.0</v>
      </c>
      <c r="F9" s="15">
        <v>6.0</v>
      </c>
      <c r="G9" s="15">
        <v>7.0</v>
      </c>
      <c r="H9" s="15">
        <v>8.0</v>
      </c>
      <c r="I9" s="15">
        <v>9.0</v>
      </c>
      <c r="J9" s="15">
        <v>6.0</v>
      </c>
      <c r="K9" s="15">
        <v>7.0</v>
      </c>
      <c r="L9" s="15">
        <v>8.0</v>
      </c>
      <c r="M9" s="15">
        <v>9.0</v>
      </c>
      <c r="N9" s="15">
        <v>3.0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 t="s">
        <v>58</v>
      </c>
      <c r="B10" s="21">
        <v>0.7</v>
      </c>
      <c r="C10" s="21">
        <f>B10</f>
        <v>0.7</v>
      </c>
      <c r="D10" s="21">
        <f>B10</f>
        <v>0.7</v>
      </c>
      <c r="E10" s="21">
        <f>B10</f>
        <v>0.7</v>
      </c>
      <c r="F10" s="21">
        <v>0.75</v>
      </c>
      <c r="G10" s="28">
        <f>F10</f>
        <v>0.75</v>
      </c>
      <c r="H10" s="28">
        <f>F10</f>
        <v>0.75</v>
      </c>
      <c r="I10" s="28">
        <f>F10</f>
        <v>0.75</v>
      </c>
      <c r="J10" s="21">
        <v>0.8</v>
      </c>
      <c r="K10" s="28">
        <f>J10</f>
        <v>0.8</v>
      </c>
      <c r="L10" s="28">
        <f>J10</f>
        <v>0.8</v>
      </c>
      <c r="M10" s="28">
        <f>J10</f>
        <v>0.8</v>
      </c>
      <c r="N10" s="29">
        <v>0.85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0" t="s">
        <v>59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 t="s">
        <v>49</v>
      </c>
      <c r="B13" s="27">
        <v>75.0</v>
      </c>
      <c r="C13" s="15">
        <f t="shared" ref="C13:E13" si="5">B13</f>
        <v>75</v>
      </c>
      <c r="D13" s="15">
        <f t="shared" si="5"/>
        <v>75</v>
      </c>
      <c r="E13" s="15">
        <f t="shared" si="5"/>
        <v>75</v>
      </c>
      <c r="F13" s="15">
        <f>E13+5</f>
        <v>80</v>
      </c>
      <c r="G13" s="15">
        <f t="shared" ref="G13:I13" si="6">F13</f>
        <v>80</v>
      </c>
      <c r="H13" s="15">
        <f t="shared" si="6"/>
        <v>80</v>
      </c>
      <c r="I13" s="15">
        <f t="shared" si="6"/>
        <v>80</v>
      </c>
      <c r="J13" s="15">
        <f>I13+5</f>
        <v>85</v>
      </c>
      <c r="K13" s="15">
        <f t="shared" ref="K13:M13" si="7">J13</f>
        <v>85</v>
      </c>
      <c r="L13" s="15">
        <f t="shared" si="7"/>
        <v>85</v>
      </c>
      <c r="M13" s="15">
        <f t="shared" si="7"/>
        <v>85</v>
      </c>
      <c r="N13" s="15">
        <f>M13+5</f>
        <v>90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 t="s">
        <v>39</v>
      </c>
      <c r="B14" s="33">
        <v>4111.0</v>
      </c>
      <c r="C14" s="33">
        <v>4111.0</v>
      </c>
      <c r="D14" s="33">
        <v>4101.0</v>
      </c>
      <c r="E14" s="33">
        <v>4101.0</v>
      </c>
      <c r="F14" s="15">
        <v>4111.0</v>
      </c>
      <c r="G14" s="15">
        <v>4111.0</v>
      </c>
      <c r="H14" s="15">
        <v>4101.0</v>
      </c>
      <c r="I14" s="15">
        <v>4101.0</v>
      </c>
      <c r="J14" s="15">
        <v>3111.0</v>
      </c>
      <c r="K14" s="15">
        <v>3111.0</v>
      </c>
      <c r="L14" s="15">
        <v>3101.0</v>
      </c>
      <c r="M14" s="15">
        <v>3101.0</v>
      </c>
      <c r="N14" s="15">
        <v>4101.0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 t="s">
        <v>41</v>
      </c>
      <c r="B15" s="33">
        <v>75.0</v>
      </c>
      <c r="C15" s="33">
        <v>75.0</v>
      </c>
      <c r="D15" s="33">
        <v>60.0</v>
      </c>
      <c r="E15" s="33">
        <v>60.0</v>
      </c>
      <c r="F15" s="15">
        <v>75.0</v>
      </c>
      <c r="G15" s="15">
        <v>75.0</v>
      </c>
      <c r="H15" s="15">
        <v>60.0</v>
      </c>
      <c r="I15" s="15">
        <v>60.0</v>
      </c>
      <c r="J15" s="15">
        <v>75.0</v>
      </c>
      <c r="K15" s="15">
        <v>75.0</v>
      </c>
      <c r="L15" s="15">
        <v>60.0</v>
      </c>
      <c r="M15" s="15">
        <v>60.0</v>
      </c>
      <c r="N15" s="15">
        <v>120.0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 t="s">
        <v>50</v>
      </c>
      <c r="B16" s="33">
        <v>6.0</v>
      </c>
      <c r="C16" s="33">
        <v>5.0</v>
      </c>
      <c r="D16" s="33">
        <v>4.0</v>
      </c>
      <c r="E16" s="33">
        <v>4.0</v>
      </c>
      <c r="F16" s="15">
        <v>6.0</v>
      </c>
      <c r="G16" s="15">
        <v>5.0</v>
      </c>
      <c r="H16" s="15">
        <v>4.0</v>
      </c>
      <c r="I16" s="15">
        <v>4.0</v>
      </c>
      <c r="J16" s="15">
        <v>6.0</v>
      </c>
      <c r="K16" s="15">
        <v>5.0</v>
      </c>
      <c r="L16" s="15">
        <v>4.0</v>
      </c>
      <c r="M16" s="15">
        <v>4.0</v>
      </c>
      <c r="N16" s="15">
        <v>7.0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 t="s">
        <v>12</v>
      </c>
      <c r="B17" s="33">
        <v>6.0</v>
      </c>
      <c r="C17" s="33">
        <v>7.0</v>
      </c>
      <c r="D17" s="33">
        <v>8.0</v>
      </c>
      <c r="E17" s="33">
        <v>9.0</v>
      </c>
      <c r="F17" s="15">
        <v>6.0</v>
      </c>
      <c r="G17" s="15">
        <v>7.0</v>
      </c>
      <c r="H17" s="15">
        <v>8.0</v>
      </c>
      <c r="I17" s="15">
        <v>9.0</v>
      </c>
      <c r="J17" s="15">
        <v>6.0</v>
      </c>
      <c r="K17" s="15">
        <v>7.0</v>
      </c>
      <c r="L17" s="15">
        <v>8.0</v>
      </c>
      <c r="M17" s="15">
        <v>9.0</v>
      </c>
      <c r="N17" s="15">
        <v>3.0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20" t="s">
        <v>58</v>
      </c>
      <c r="B18" s="34">
        <v>0.7</v>
      </c>
      <c r="C18" s="34">
        <f>B18</f>
        <v>0.7</v>
      </c>
      <c r="D18" s="34">
        <f>B18</f>
        <v>0.7</v>
      </c>
      <c r="E18" s="34">
        <f>B18</f>
        <v>0.7</v>
      </c>
      <c r="F18" s="21">
        <v>0.75</v>
      </c>
      <c r="G18" s="28">
        <f>F18</f>
        <v>0.75</v>
      </c>
      <c r="H18" s="28">
        <f>F18</f>
        <v>0.75</v>
      </c>
      <c r="I18" s="28">
        <f>F18</f>
        <v>0.75</v>
      </c>
      <c r="J18" s="21">
        <v>0.8</v>
      </c>
      <c r="K18" s="28">
        <f>J18</f>
        <v>0.8</v>
      </c>
      <c r="L18" s="28">
        <f>J18</f>
        <v>0.8</v>
      </c>
      <c r="M18" s="28">
        <f>J18</f>
        <v>0.8</v>
      </c>
      <c r="N18" s="29">
        <v>0.85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 t="s">
        <v>60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0" t="s">
        <v>49</v>
      </c>
      <c r="B21" s="27">
        <v>70.0</v>
      </c>
      <c r="C21" s="15">
        <f t="shared" ref="C21:E21" si="8">B21</f>
        <v>70</v>
      </c>
      <c r="D21" s="15">
        <f t="shared" si="8"/>
        <v>70</v>
      </c>
      <c r="E21" s="15">
        <f t="shared" si="8"/>
        <v>70</v>
      </c>
      <c r="F21" s="15">
        <f>E21+5</f>
        <v>75</v>
      </c>
      <c r="G21" s="15">
        <f t="shared" ref="G21:I21" si="9">F21</f>
        <v>75</v>
      </c>
      <c r="H21" s="15">
        <f t="shared" si="9"/>
        <v>75</v>
      </c>
      <c r="I21" s="15">
        <f t="shared" si="9"/>
        <v>75</v>
      </c>
      <c r="J21" s="15">
        <f>I21+5</f>
        <v>80</v>
      </c>
      <c r="K21" s="15">
        <f t="shared" ref="K21:M21" si="10">J21</f>
        <v>80</v>
      </c>
      <c r="L21" s="15">
        <f t="shared" si="10"/>
        <v>80</v>
      </c>
      <c r="M21" s="15">
        <f t="shared" si="10"/>
        <v>80</v>
      </c>
      <c r="N21" s="15">
        <f>M21+5</f>
        <v>85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0" t="s">
        <v>39</v>
      </c>
      <c r="B22" s="15">
        <v>4111.0</v>
      </c>
      <c r="C22" s="15">
        <v>4111.0</v>
      </c>
      <c r="D22" s="15">
        <v>4101.0</v>
      </c>
      <c r="E22" s="15">
        <v>4101.0</v>
      </c>
      <c r="F22" s="15">
        <v>4111.0</v>
      </c>
      <c r="G22" s="15">
        <v>4111.0</v>
      </c>
      <c r="H22" s="15">
        <v>4101.0</v>
      </c>
      <c r="I22" s="15">
        <v>4101.0</v>
      </c>
      <c r="J22" s="15">
        <v>3111.0</v>
      </c>
      <c r="K22" s="15">
        <v>3111.0</v>
      </c>
      <c r="L22" s="15">
        <v>3101.0</v>
      </c>
      <c r="M22" s="15">
        <v>3101.0</v>
      </c>
      <c r="N22" s="15">
        <v>4101.0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0" t="s">
        <v>41</v>
      </c>
      <c r="B23" s="15">
        <v>75.0</v>
      </c>
      <c r="C23" s="15">
        <v>75.0</v>
      </c>
      <c r="D23" s="15">
        <v>60.0</v>
      </c>
      <c r="E23" s="15">
        <v>60.0</v>
      </c>
      <c r="F23" s="15">
        <v>75.0</v>
      </c>
      <c r="G23" s="15">
        <v>75.0</v>
      </c>
      <c r="H23" s="15">
        <v>60.0</v>
      </c>
      <c r="I23" s="15">
        <v>60.0</v>
      </c>
      <c r="J23" s="15">
        <v>75.0</v>
      </c>
      <c r="K23" s="15">
        <v>75.0</v>
      </c>
      <c r="L23" s="15">
        <v>60.0</v>
      </c>
      <c r="M23" s="15">
        <v>60.0</v>
      </c>
      <c r="N23" s="15">
        <v>120.0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0" t="s">
        <v>50</v>
      </c>
      <c r="B24" s="15">
        <v>6.0</v>
      </c>
      <c r="C24" s="15">
        <v>5.0</v>
      </c>
      <c r="D24" s="15">
        <v>4.0</v>
      </c>
      <c r="E24" s="15">
        <v>4.0</v>
      </c>
      <c r="F24" s="15">
        <v>6.0</v>
      </c>
      <c r="G24" s="15">
        <v>5.0</v>
      </c>
      <c r="H24" s="15">
        <v>4.0</v>
      </c>
      <c r="I24" s="15">
        <v>4.0</v>
      </c>
      <c r="J24" s="15">
        <v>6.0</v>
      </c>
      <c r="K24" s="15">
        <v>5.0</v>
      </c>
      <c r="L24" s="15">
        <v>4.0</v>
      </c>
      <c r="M24" s="15">
        <v>4.0</v>
      </c>
      <c r="N24" s="15">
        <v>7.0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0" t="s">
        <v>12</v>
      </c>
      <c r="B25" s="15">
        <v>6.0</v>
      </c>
      <c r="C25" s="15">
        <v>7.0</v>
      </c>
      <c r="D25" s="15">
        <v>8.0</v>
      </c>
      <c r="E25" s="15">
        <v>9.0</v>
      </c>
      <c r="F25" s="15">
        <v>6.0</v>
      </c>
      <c r="G25" s="15">
        <v>7.0</v>
      </c>
      <c r="H25" s="15">
        <v>8.0</v>
      </c>
      <c r="I25" s="15">
        <v>9.0</v>
      </c>
      <c r="J25" s="15">
        <v>6.0</v>
      </c>
      <c r="K25" s="15">
        <v>7.0</v>
      </c>
      <c r="L25" s="15">
        <v>8.0</v>
      </c>
      <c r="M25" s="15">
        <v>9.0</v>
      </c>
      <c r="N25" s="15">
        <v>3.0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0" t="s">
        <v>58</v>
      </c>
      <c r="B26" s="21">
        <v>0.7</v>
      </c>
      <c r="C26" s="21">
        <f>B26</f>
        <v>0.7</v>
      </c>
      <c r="D26" s="21">
        <f>B26</f>
        <v>0.7</v>
      </c>
      <c r="E26" s="21">
        <f>B26</f>
        <v>0.7</v>
      </c>
      <c r="F26" s="21">
        <v>0.75</v>
      </c>
      <c r="G26" s="28">
        <f>F26</f>
        <v>0.75</v>
      </c>
      <c r="H26" s="28">
        <f>F26</f>
        <v>0.75</v>
      </c>
      <c r="I26" s="28">
        <f>F26</f>
        <v>0.75</v>
      </c>
      <c r="J26" s="21">
        <v>0.8</v>
      </c>
      <c r="K26" s="28">
        <f>J26</f>
        <v>0.8</v>
      </c>
      <c r="L26" s="28">
        <f>J26</f>
        <v>0.8</v>
      </c>
      <c r="M26" s="28">
        <f>J26</f>
        <v>0.8</v>
      </c>
      <c r="N26" s="29">
        <v>0.85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0" t="s">
        <v>61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 t="s">
        <v>49</v>
      </c>
      <c r="B29" s="27">
        <v>25.0</v>
      </c>
      <c r="C29" s="15">
        <f t="shared" ref="C29:E29" si="11">B29</f>
        <v>25</v>
      </c>
      <c r="D29" s="15">
        <f t="shared" si="11"/>
        <v>25</v>
      </c>
      <c r="E29" s="15">
        <f t="shared" si="11"/>
        <v>25</v>
      </c>
      <c r="F29" s="15">
        <f>E29+2.5</f>
        <v>27.5</v>
      </c>
      <c r="G29" s="15">
        <f t="shared" ref="G29:I29" si="12">F29</f>
        <v>27.5</v>
      </c>
      <c r="H29" s="15">
        <f t="shared" si="12"/>
        <v>27.5</v>
      </c>
      <c r="I29" s="15">
        <f t="shared" si="12"/>
        <v>27.5</v>
      </c>
      <c r="J29" s="15">
        <f>I29+5</f>
        <v>32.5</v>
      </c>
      <c r="K29" s="15">
        <f t="shared" ref="K29:M29" si="13">J29</f>
        <v>32.5</v>
      </c>
      <c r="L29" s="15">
        <f t="shared" si="13"/>
        <v>32.5</v>
      </c>
      <c r="M29" s="15">
        <f t="shared" si="13"/>
        <v>32.5</v>
      </c>
      <c r="N29" s="15">
        <f>M29+2.5</f>
        <v>35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 t="s">
        <v>39</v>
      </c>
      <c r="B30" s="33">
        <v>4111.0</v>
      </c>
      <c r="C30" s="33">
        <v>4111.0</v>
      </c>
      <c r="D30" s="33">
        <v>4101.0</v>
      </c>
      <c r="E30" s="33">
        <v>4101.0</v>
      </c>
      <c r="F30" s="15">
        <v>4111.0</v>
      </c>
      <c r="G30" s="15">
        <v>4111.0</v>
      </c>
      <c r="H30" s="15">
        <v>4101.0</v>
      </c>
      <c r="I30" s="15">
        <v>4101.0</v>
      </c>
      <c r="J30" s="15">
        <v>3111.0</v>
      </c>
      <c r="K30" s="15">
        <v>3111.0</v>
      </c>
      <c r="L30" s="15">
        <v>3101.0</v>
      </c>
      <c r="M30" s="15">
        <v>3101.0</v>
      </c>
      <c r="N30" s="15">
        <v>4101.0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 t="s">
        <v>41</v>
      </c>
      <c r="B31" s="33">
        <v>75.0</v>
      </c>
      <c r="C31" s="33">
        <v>75.0</v>
      </c>
      <c r="D31" s="33">
        <v>60.0</v>
      </c>
      <c r="E31" s="33">
        <v>60.0</v>
      </c>
      <c r="F31" s="15">
        <v>75.0</v>
      </c>
      <c r="G31" s="15">
        <v>75.0</v>
      </c>
      <c r="H31" s="15">
        <v>60.0</v>
      </c>
      <c r="I31" s="15">
        <v>60.0</v>
      </c>
      <c r="J31" s="15">
        <v>75.0</v>
      </c>
      <c r="K31" s="15">
        <v>75.0</v>
      </c>
      <c r="L31" s="15">
        <v>60.0</v>
      </c>
      <c r="M31" s="15">
        <v>60.0</v>
      </c>
      <c r="N31" s="15">
        <v>60.0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 t="s">
        <v>50</v>
      </c>
      <c r="B32" s="33">
        <v>6.0</v>
      </c>
      <c r="C32" s="33">
        <v>5.0</v>
      </c>
      <c r="D32" s="33">
        <v>4.0</v>
      </c>
      <c r="E32" s="33">
        <v>4.0</v>
      </c>
      <c r="F32" s="15">
        <v>6.0</v>
      </c>
      <c r="G32" s="15">
        <v>5.0</v>
      </c>
      <c r="H32" s="15">
        <v>4.0</v>
      </c>
      <c r="I32" s="15">
        <v>4.0</v>
      </c>
      <c r="J32" s="15">
        <v>6.0</v>
      </c>
      <c r="K32" s="15">
        <v>5.0</v>
      </c>
      <c r="L32" s="15">
        <v>4.0</v>
      </c>
      <c r="M32" s="15">
        <v>4.0</v>
      </c>
      <c r="N32" s="15">
        <v>4.0</v>
      </c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 t="s">
        <v>12</v>
      </c>
      <c r="B33" s="33">
        <v>6.0</v>
      </c>
      <c r="C33" s="33">
        <v>7.0</v>
      </c>
      <c r="D33" s="33">
        <v>8.0</v>
      </c>
      <c r="E33" s="33">
        <v>9.0</v>
      </c>
      <c r="F33" s="15">
        <v>6.0</v>
      </c>
      <c r="G33" s="15">
        <v>7.0</v>
      </c>
      <c r="H33" s="15">
        <v>8.0</v>
      </c>
      <c r="I33" s="15">
        <v>9.0</v>
      </c>
      <c r="J33" s="15">
        <v>6.0</v>
      </c>
      <c r="K33" s="15">
        <v>7.0</v>
      </c>
      <c r="L33" s="15">
        <v>8.0</v>
      </c>
      <c r="M33" s="15">
        <v>9.0</v>
      </c>
      <c r="N33" s="15">
        <v>5.0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20" t="s">
        <v>58</v>
      </c>
      <c r="B34" s="34">
        <v>0.7</v>
      </c>
      <c r="C34" s="34">
        <f>B34</f>
        <v>0.7</v>
      </c>
      <c r="D34" s="34">
        <f>B34</f>
        <v>0.7</v>
      </c>
      <c r="E34" s="34">
        <f>B34</f>
        <v>0.7</v>
      </c>
      <c r="F34" s="21">
        <v>0.75</v>
      </c>
      <c r="G34" s="28">
        <f>F34</f>
        <v>0.75</v>
      </c>
      <c r="H34" s="28">
        <f>F34</f>
        <v>0.75</v>
      </c>
      <c r="I34" s="28">
        <f>F34</f>
        <v>0.75</v>
      </c>
      <c r="J34" s="21">
        <v>0.8</v>
      </c>
      <c r="K34" s="28">
        <f>J34</f>
        <v>0.8</v>
      </c>
      <c r="L34" s="28">
        <f>J34</f>
        <v>0.8</v>
      </c>
      <c r="M34" s="28">
        <f>J34</f>
        <v>0.8</v>
      </c>
      <c r="N34" s="21">
        <v>0.85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0" t="s">
        <v>62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3" t="s">
        <v>49</v>
      </c>
      <c r="B37" s="27">
        <v>60.0</v>
      </c>
      <c r="C37" s="15">
        <f t="shared" ref="C37:E37" si="14">B37</f>
        <v>60</v>
      </c>
      <c r="D37" s="15">
        <f t="shared" si="14"/>
        <v>60</v>
      </c>
      <c r="E37" s="15">
        <f t="shared" si="14"/>
        <v>60</v>
      </c>
      <c r="F37" s="15">
        <f>E37+5</f>
        <v>65</v>
      </c>
      <c r="G37" s="15">
        <f t="shared" ref="G37:I37" si="15">F37</f>
        <v>65</v>
      </c>
      <c r="H37" s="15">
        <f t="shared" si="15"/>
        <v>65</v>
      </c>
      <c r="I37" s="15">
        <f t="shared" si="15"/>
        <v>65</v>
      </c>
      <c r="J37" s="15">
        <f>I37+5</f>
        <v>70</v>
      </c>
      <c r="K37" s="15">
        <f t="shared" ref="K37:M37" si="16">J37</f>
        <v>70</v>
      </c>
      <c r="L37" s="15">
        <f t="shared" si="16"/>
        <v>70</v>
      </c>
      <c r="M37" s="15">
        <f t="shared" si="16"/>
        <v>70</v>
      </c>
      <c r="N37" s="15">
        <f>M37+5</f>
        <v>75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3" t="s">
        <v>39</v>
      </c>
      <c r="B38" s="15">
        <v>4111.0</v>
      </c>
      <c r="C38" s="15">
        <v>4111.0</v>
      </c>
      <c r="D38" s="15">
        <v>4101.0</v>
      </c>
      <c r="E38" s="15">
        <v>4101.0</v>
      </c>
      <c r="F38" s="15">
        <v>4111.0</v>
      </c>
      <c r="G38" s="15">
        <v>4111.0</v>
      </c>
      <c r="H38" s="15">
        <v>4101.0</v>
      </c>
      <c r="I38" s="15">
        <v>4101.0</v>
      </c>
      <c r="J38" s="15">
        <v>3111.0</v>
      </c>
      <c r="K38" s="15">
        <v>3111.0</v>
      </c>
      <c r="L38" s="15">
        <v>3101.0</v>
      </c>
      <c r="M38" s="15">
        <v>3101.0</v>
      </c>
      <c r="N38" s="15">
        <v>4101.0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3" t="s">
        <v>41</v>
      </c>
      <c r="B39" s="15">
        <v>75.0</v>
      </c>
      <c r="C39" s="15">
        <v>75.0</v>
      </c>
      <c r="D39" s="15">
        <v>60.0</v>
      </c>
      <c r="E39" s="15">
        <v>60.0</v>
      </c>
      <c r="F39" s="15">
        <v>75.0</v>
      </c>
      <c r="G39" s="15">
        <v>75.0</v>
      </c>
      <c r="H39" s="15">
        <v>60.0</v>
      </c>
      <c r="I39" s="15">
        <v>60.0</v>
      </c>
      <c r="J39" s="15">
        <v>75.0</v>
      </c>
      <c r="K39" s="15">
        <v>75.0</v>
      </c>
      <c r="L39" s="15">
        <v>60.0</v>
      </c>
      <c r="M39" s="15">
        <v>60.0</v>
      </c>
      <c r="N39" s="15">
        <v>120.0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3" t="s">
        <v>50</v>
      </c>
      <c r="B40" s="15">
        <v>6.0</v>
      </c>
      <c r="C40" s="15">
        <v>5.0</v>
      </c>
      <c r="D40" s="15">
        <v>4.0</v>
      </c>
      <c r="E40" s="15">
        <v>4.0</v>
      </c>
      <c r="F40" s="15">
        <v>6.0</v>
      </c>
      <c r="G40" s="15">
        <v>5.0</v>
      </c>
      <c r="H40" s="15">
        <v>4.0</v>
      </c>
      <c r="I40" s="15">
        <v>4.0</v>
      </c>
      <c r="J40" s="15">
        <v>6.0</v>
      </c>
      <c r="K40" s="15">
        <v>5.0</v>
      </c>
      <c r="L40" s="15">
        <v>4.0</v>
      </c>
      <c r="M40" s="15">
        <v>4.0</v>
      </c>
      <c r="N40" s="15">
        <v>7.0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3" t="s">
        <v>12</v>
      </c>
      <c r="B41" s="15">
        <v>6.0</v>
      </c>
      <c r="C41" s="15">
        <v>7.0</v>
      </c>
      <c r="D41" s="15">
        <v>8.0</v>
      </c>
      <c r="E41" s="15">
        <v>9.0</v>
      </c>
      <c r="F41" s="15">
        <v>6.0</v>
      </c>
      <c r="G41" s="15">
        <v>7.0</v>
      </c>
      <c r="H41" s="15">
        <v>8.0</v>
      </c>
      <c r="I41" s="15">
        <v>9.0</v>
      </c>
      <c r="J41" s="15">
        <v>6.0</v>
      </c>
      <c r="K41" s="15">
        <v>7.0</v>
      </c>
      <c r="L41" s="15">
        <v>8.0</v>
      </c>
      <c r="M41" s="15">
        <v>9.0</v>
      </c>
      <c r="N41" s="15">
        <v>3.0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0" t="s">
        <v>58</v>
      </c>
      <c r="B42" s="21">
        <v>0.7</v>
      </c>
      <c r="C42" s="21">
        <f>B42</f>
        <v>0.7</v>
      </c>
      <c r="D42" s="21">
        <f>B42</f>
        <v>0.7</v>
      </c>
      <c r="E42" s="21">
        <f>B42</f>
        <v>0.7</v>
      </c>
      <c r="F42" s="21">
        <v>0.75</v>
      </c>
      <c r="G42" s="28">
        <f>F42</f>
        <v>0.75</v>
      </c>
      <c r="H42" s="28">
        <f>F42</f>
        <v>0.75</v>
      </c>
      <c r="I42" s="28">
        <f>F42</f>
        <v>0.75</v>
      </c>
      <c r="J42" s="21">
        <v>0.8</v>
      </c>
      <c r="K42" s="28">
        <f>J42</f>
        <v>0.8</v>
      </c>
      <c r="L42" s="28">
        <f>J42</f>
        <v>0.8</v>
      </c>
      <c r="M42" s="28">
        <f>J42</f>
        <v>0.8</v>
      </c>
      <c r="N42" s="29">
        <v>0.85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0" t="s">
        <v>63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3" t="s">
        <v>49</v>
      </c>
      <c r="B45" s="27">
        <v>27.5</v>
      </c>
      <c r="C45" s="15">
        <f t="shared" ref="C45:E45" si="17">B45</f>
        <v>27.5</v>
      </c>
      <c r="D45" s="15">
        <f t="shared" si="17"/>
        <v>27.5</v>
      </c>
      <c r="E45" s="15">
        <f t="shared" si="17"/>
        <v>27.5</v>
      </c>
      <c r="F45" s="15">
        <f>E45+2.5</f>
        <v>30</v>
      </c>
      <c r="G45" s="15">
        <f t="shared" ref="G45:I45" si="18">F45</f>
        <v>30</v>
      </c>
      <c r="H45" s="15">
        <f t="shared" si="18"/>
        <v>30</v>
      </c>
      <c r="I45" s="15">
        <f t="shared" si="18"/>
        <v>30</v>
      </c>
      <c r="J45" s="15">
        <f>I45+2.5</f>
        <v>32.5</v>
      </c>
      <c r="K45" s="15">
        <f t="shared" ref="K45:M45" si="19">J45</f>
        <v>32.5</v>
      </c>
      <c r="L45" s="15">
        <f t="shared" si="19"/>
        <v>32.5</v>
      </c>
      <c r="M45" s="15">
        <f t="shared" si="19"/>
        <v>32.5</v>
      </c>
      <c r="N45" s="15">
        <f>M45+2.5</f>
        <v>35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3" t="s">
        <v>39</v>
      </c>
      <c r="B46" s="15">
        <v>4111.0</v>
      </c>
      <c r="C46" s="15">
        <v>4111.0</v>
      </c>
      <c r="D46" s="15">
        <v>4101.0</v>
      </c>
      <c r="E46" s="15">
        <v>4101.0</v>
      </c>
      <c r="F46" s="15">
        <v>4111.0</v>
      </c>
      <c r="G46" s="15">
        <v>4111.0</v>
      </c>
      <c r="H46" s="15">
        <v>4101.0</v>
      </c>
      <c r="I46" s="15">
        <v>4101.0</v>
      </c>
      <c r="J46" s="15">
        <v>4111.0</v>
      </c>
      <c r="K46" s="15">
        <v>4111.0</v>
      </c>
      <c r="L46" s="15">
        <v>4101.0</v>
      </c>
      <c r="M46" s="15">
        <v>4101.0</v>
      </c>
      <c r="N46" s="15">
        <v>4101.0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3" t="s">
        <v>41</v>
      </c>
      <c r="B47" s="15">
        <v>75.0</v>
      </c>
      <c r="C47" s="15">
        <v>75.0</v>
      </c>
      <c r="D47" s="15">
        <v>60.0</v>
      </c>
      <c r="E47" s="15">
        <v>60.0</v>
      </c>
      <c r="F47" s="15">
        <v>75.0</v>
      </c>
      <c r="G47" s="15">
        <v>75.0</v>
      </c>
      <c r="H47" s="15">
        <v>60.0</v>
      </c>
      <c r="I47" s="15">
        <v>60.0</v>
      </c>
      <c r="J47" s="15">
        <v>75.0</v>
      </c>
      <c r="K47" s="15">
        <v>75.0</v>
      </c>
      <c r="L47" s="15">
        <v>60.0</v>
      </c>
      <c r="M47" s="15">
        <v>60.0</v>
      </c>
      <c r="N47" s="15">
        <v>60.0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3" t="s">
        <v>50</v>
      </c>
      <c r="B48" s="15">
        <v>6.0</v>
      </c>
      <c r="C48" s="15">
        <v>5.0</v>
      </c>
      <c r="D48" s="15">
        <v>4.0</v>
      </c>
      <c r="E48" s="15">
        <v>4.0</v>
      </c>
      <c r="F48" s="15">
        <v>6.0</v>
      </c>
      <c r="G48" s="15">
        <v>5.0</v>
      </c>
      <c r="H48" s="15">
        <v>4.0</v>
      </c>
      <c r="I48" s="15">
        <v>4.0</v>
      </c>
      <c r="J48" s="15">
        <v>6.0</v>
      </c>
      <c r="K48" s="15">
        <v>5.0</v>
      </c>
      <c r="L48" s="15">
        <v>4.0</v>
      </c>
      <c r="M48" s="15">
        <v>4.0</v>
      </c>
      <c r="N48" s="15">
        <v>4.0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3" t="s">
        <v>12</v>
      </c>
      <c r="B49" s="15">
        <v>6.0</v>
      </c>
      <c r="C49" s="15">
        <v>7.0</v>
      </c>
      <c r="D49" s="15">
        <v>8.0</v>
      </c>
      <c r="E49" s="15">
        <v>9.0</v>
      </c>
      <c r="F49" s="15">
        <v>6.0</v>
      </c>
      <c r="G49" s="15">
        <v>7.0</v>
      </c>
      <c r="H49" s="15">
        <v>8.0</v>
      </c>
      <c r="I49" s="15">
        <v>9.0</v>
      </c>
      <c r="J49" s="15">
        <v>6.0</v>
      </c>
      <c r="K49" s="15">
        <v>7.0</v>
      </c>
      <c r="L49" s="15">
        <v>8.0</v>
      </c>
      <c r="M49" s="15">
        <v>9.0</v>
      </c>
      <c r="N49" s="15">
        <v>5.0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20" t="s">
        <v>58</v>
      </c>
      <c r="B50" s="21">
        <v>0.5</v>
      </c>
      <c r="C50" s="21">
        <v>0.5</v>
      </c>
      <c r="D50" s="21">
        <v>0.6</v>
      </c>
      <c r="E50" s="21">
        <v>0.6</v>
      </c>
      <c r="F50" s="21">
        <v>0.7</v>
      </c>
      <c r="G50" s="28">
        <f>F50</f>
        <v>0.7</v>
      </c>
      <c r="H50" s="28">
        <f>F50</f>
        <v>0.7</v>
      </c>
      <c r="I50" s="28">
        <f>F50</f>
        <v>0.7</v>
      </c>
      <c r="J50" s="21">
        <v>0.75</v>
      </c>
      <c r="K50" s="28">
        <f>J50</f>
        <v>0.75</v>
      </c>
      <c r="L50" s="28">
        <f>J50</f>
        <v>0.75</v>
      </c>
      <c r="M50" s="28">
        <f>J50</f>
        <v>0.75</v>
      </c>
      <c r="N50" s="21">
        <v>0.85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0" t="s">
        <v>64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3" t="s">
        <v>49</v>
      </c>
      <c r="B53" s="27">
        <v>20.0</v>
      </c>
      <c r="C53" s="15">
        <f t="shared" ref="C53:E53" si="20">B53</f>
        <v>20</v>
      </c>
      <c r="D53" s="15">
        <f t="shared" si="20"/>
        <v>20</v>
      </c>
      <c r="E53" s="15">
        <f t="shared" si="20"/>
        <v>20</v>
      </c>
      <c r="F53" s="15">
        <f>E53+1.25</f>
        <v>21.25</v>
      </c>
      <c r="G53" s="15">
        <f t="shared" ref="G53:I53" si="21">F53</f>
        <v>21.25</v>
      </c>
      <c r="H53" s="15">
        <f t="shared" si="21"/>
        <v>21.25</v>
      </c>
      <c r="I53" s="15">
        <f t="shared" si="21"/>
        <v>21.25</v>
      </c>
      <c r="J53" s="15">
        <f>I53+1.25</f>
        <v>22.5</v>
      </c>
      <c r="K53" s="15">
        <f t="shared" ref="K53:M53" si="22">J53</f>
        <v>22.5</v>
      </c>
      <c r="L53" s="15">
        <f t="shared" si="22"/>
        <v>22.5</v>
      </c>
      <c r="M53" s="15">
        <f t="shared" si="22"/>
        <v>22.5</v>
      </c>
      <c r="N53" s="15">
        <f>M53+1.25</f>
        <v>23.75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3" t="s">
        <v>39</v>
      </c>
      <c r="B54" s="15">
        <v>4111.0</v>
      </c>
      <c r="C54" s="15">
        <v>4111.0</v>
      </c>
      <c r="D54" s="15">
        <v>4101.0</v>
      </c>
      <c r="E54" s="15">
        <v>4101.0</v>
      </c>
      <c r="F54" s="15">
        <v>4111.0</v>
      </c>
      <c r="G54" s="15">
        <v>4111.0</v>
      </c>
      <c r="H54" s="15">
        <v>4101.0</v>
      </c>
      <c r="I54" s="15">
        <v>4101.0</v>
      </c>
      <c r="J54" s="15">
        <v>4111.0</v>
      </c>
      <c r="K54" s="15">
        <v>4111.0</v>
      </c>
      <c r="L54" s="15">
        <v>4101.0</v>
      </c>
      <c r="M54" s="15">
        <v>4101.0</v>
      </c>
      <c r="N54" s="15">
        <v>4101.0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3" t="s">
        <v>41</v>
      </c>
      <c r="B55" s="15">
        <v>75.0</v>
      </c>
      <c r="C55" s="15">
        <v>75.0</v>
      </c>
      <c r="D55" s="15">
        <v>60.0</v>
      </c>
      <c r="E55" s="15">
        <v>60.0</v>
      </c>
      <c r="F55" s="15">
        <v>75.0</v>
      </c>
      <c r="G55" s="15">
        <v>75.0</v>
      </c>
      <c r="H55" s="15">
        <v>60.0</v>
      </c>
      <c r="I55" s="15">
        <v>60.0</v>
      </c>
      <c r="J55" s="15">
        <v>75.0</v>
      </c>
      <c r="K55" s="15">
        <v>75.0</v>
      </c>
      <c r="L55" s="15">
        <v>60.0</v>
      </c>
      <c r="M55" s="15">
        <v>60.0</v>
      </c>
      <c r="N55" s="15">
        <v>60.0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3" t="s">
        <v>50</v>
      </c>
      <c r="B56" s="15">
        <v>6.0</v>
      </c>
      <c r="C56" s="15">
        <v>5.0</v>
      </c>
      <c r="D56" s="15">
        <v>4.0</v>
      </c>
      <c r="E56" s="15">
        <v>4.0</v>
      </c>
      <c r="F56" s="15">
        <v>6.0</v>
      </c>
      <c r="G56" s="15">
        <v>5.0</v>
      </c>
      <c r="H56" s="15">
        <v>4.0</v>
      </c>
      <c r="I56" s="15">
        <v>4.0</v>
      </c>
      <c r="J56" s="15">
        <v>6.0</v>
      </c>
      <c r="K56" s="15">
        <v>5.0</v>
      </c>
      <c r="L56" s="15">
        <v>4.0</v>
      </c>
      <c r="M56" s="15">
        <v>4.0</v>
      </c>
      <c r="N56" s="15">
        <v>4.0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3" t="s">
        <v>12</v>
      </c>
      <c r="B57" s="15">
        <v>6.0</v>
      </c>
      <c r="C57" s="15">
        <v>7.0</v>
      </c>
      <c r="D57" s="15">
        <v>8.0</v>
      </c>
      <c r="E57" s="15">
        <v>9.0</v>
      </c>
      <c r="F57" s="15">
        <v>6.0</v>
      </c>
      <c r="G57" s="15">
        <v>7.0</v>
      </c>
      <c r="H57" s="15">
        <v>8.0</v>
      </c>
      <c r="I57" s="15">
        <v>9.0</v>
      </c>
      <c r="J57" s="15">
        <v>6.0</v>
      </c>
      <c r="K57" s="15">
        <v>7.0</v>
      </c>
      <c r="L57" s="15">
        <v>8.0</v>
      </c>
      <c r="M57" s="15">
        <v>9.0</v>
      </c>
      <c r="N57" s="15">
        <v>5.0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20" t="s">
        <v>58</v>
      </c>
      <c r="B58" s="21">
        <v>0.5</v>
      </c>
      <c r="C58" s="21">
        <f>B58</f>
        <v>0.5</v>
      </c>
      <c r="D58" s="21">
        <v>0.6</v>
      </c>
      <c r="E58" s="21">
        <v>0.6</v>
      </c>
      <c r="F58" s="21">
        <v>0.7</v>
      </c>
      <c r="G58" s="28">
        <f>F58</f>
        <v>0.7</v>
      </c>
      <c r="H58" s="28">
        <f>F58</f>
        <v>0.7</v>
      </c>
      <c r="I58" s="28">
        <f>F58</f>
        <v>0.7</v>
      </c>
      <c r="J58" s="21">
        <v>0.75</v>
      </c>
      <c r="K58" s="28">
        <f>J58</f>
        <v>0.75</v>
      </c>
      <c r="L58" s="28">
        <f>J58</f>
        <v>0.75</v>
      </c>
      <c r="M58" s="28">
        <f>J58</f>
        <v>0.75</v>
      </c>
      <c r="N58" s="21">
        <v>0.85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0" t="s">
        <v>65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3" t="s">
        <v>49</v>
      </c>
      <c r="B61" s="27">
        <v>140.0</v>
      </c>
      <c r="C61" s="15">
        <f t="shared" ref="C61:E61" si="23">B61</f>
        <v>140</v>
      </c>
      <c r="D61" s="15">
        <f t="shared" si="23"/>
        <v>140</v>
      </c>
      <c r="E61" s="15">
        <f t="shared" si="23"/>
        <v>140</v>
      </c>
      <c r="F61" s="15">
        <f>E61+10</f>
        <v>150</v>
      </c>
      <c r="G61" s="15">
        <f t="shared" ref="G61:I61" si="24">F61</f>
        <v>150</v>
      </c>
      <c r="H61" s="15">
        <f t="shared" si="24"/>
        <v>150</v>
      </c>
      <c r="I61" s="15">
        <f t="shared" si="24"/>
        <v>150</v>
      </c>
      <c r="J61" s="15">
        <f>I61+10</f>
        <v>160</v>
      </c>
      <c r="K61" s="15">
        <f t="shared" ref="K61:M61" si="25">J61</f>
        <v>160</v>
      </c>
      <c r="L61" s="15">
        <f t="shared" si="25"/>
        <v>160</v>
      </c>
      <c r="M61" s="15">
        <f t="shared" si="25"/>
        <v>160</v>
      </c>
      <c r="N61" s="15">
        <f>M61+10</f>
        <v>170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3" t="s">
        <v>39</v>
      </c>
      <c r="B62" s="15">
        <v>4111.0</v>
      </c>
      <c r="C62" s="15">
        <v>4111.0</v>
      </c>
      <c r="D62" s="15">
        <v>4101.0</v>
      </c>
      <c r="E62" s="15">
        <v>4101.0</v>
      </c>
      <c r="F62" s="15">
        <v>4111.0</v>
      </c>
      <c r="G62" s="15">
        <v>4111.0</v>
      </c>
      <c r="H62" s="15">
        <v>4101.0</v>
      </c>
      <c r="I62" s="15">
        <v>4101.0</v>
      </c>
      <c r="J62" s="15">
        <v>3111.0</v>
      </c>
      <c r="K62" s="15">
        <v>3111.0</v>
      </c>
      <c r="L62" s="15">
        <v>3101.0</v>
      </c>
      <c r="M62" s="15">
        <v>3101.0</v>
      </c>
      <c r="N62" s="15">
        <v>4101.0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3" t="s">
        <v>41</v>
      </c>
      <c r="B63" s="15">
        <v>75.0</v>
      </c>
      <c r="C63" s="15">
        <v>75.0</v>
      </c>
      <c r="D63" s="15">
        <v>60.0</v>
      </c>
      <c r="E63" s="15">
        <v>60.0</v>
      </c>
      <c r="F63" s="15">
        <v>75.0</v>
      </c>
      <c r="G63" s="15">
        <v>75.0</v>
      </c>
      <c r="H63" s="15">
        <v>60.0</v>
      </c>
      <c r="I63" s="15">
        <v>60.0</v>
      </c>
      <c r="J63" s="15">
        <v>75.0</v>
      </c>
      <c r="K63" s="15">
        <v>75.0</v>
      </c>
      <c r="L63" s="15">
        <v>60.0</v>
      </c>
      <c r="M63" s="15">
        <v>60.0</v>
      </c>
      <c r="N63" s="15">
        <v>60.0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3" t="s">
        <v>50</v>
      </c>
      <c r="B64" s="15">
        <v>6.0</v>
      </c>
      <c r="C64" s="15">
        <v>5.0</v>
      </c>
      <c r="D64" s="15">
        <v>4.0</v>
      </c>
      <c r="E64" s="15">
        <v>4.0</v>
      </c>
      <c r="F64" s="15">
        <v>6.0</v>
      </c>
      <c r="G64" s="15">
        <v>5.0</v>
      </c>
      <c r="H64" s="15">
        <v>4.0</v>
      </c>
      <c r="I64" s="15">
        <v>4.0</v>
      </c>
      <c r="J64" s="15">
        <v>6.0</v>
      </c>
      <c r="K64" s="15">
        <v>5.0</v>
      </c>
      <c r="L64" s="15">
        <v>4.0</v>
      </c>
      <c r="M64" s="15">
        <v>4.0</v>
      </c>
      <c r="N64" s="15">
        <v>4.0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3" t="s">
        <v>12</v>
      </c>
      <c r="B65" s="15">
        <v>6.0</v>
      </c>
      <c r="C65" s="15">
        <v>7.0</v>
      </c>
      <c r="D65" s="15">
        <v>8.0</v>
      </c>
      <c r="E65" s="15">
        <v>9.0</v>
      </c>
      <c r="F65" s="15">
        <v>6.0</v>
      </c>
      <c r="G65" s="15">
        <v>7.0</v>
      </c>
      <c r="H65" s="15">
        <v>8.0</v>
      </c>
      <c r="I65" s="15">
        <v>9.0</v>
      </c>
      <c r="J65" s="15">
        <v>6.0</v>
      </c>
      <c r="K65" s="15">
        <v>7.0</v>
      </c>
      <c r="L65" s="15">
        <v>8.0</v>
      </c>
      <c r="M65" s="15">
        <v>9.0</v>
      </c>
      <c r="N65" s="15">
        <v>5.0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20" t="s">
        <v>58</v>
      </c>
      <c r="B66" s="21">
        <v>0.7</v>
      </c>
      <c r="C66" s="21">
        <f>B66</f>
        <v>0.7</v>
      </c>
      <c r="D66" s="21">
        <f>B66</f>
        <v>0.7</v>
      </c>
      <c r="E66" s="21">
        <f>B66</f>
        <v>0.7</v>
      </c>
      <c r="F66" s="21">
        <v>0.75</v>
      </c>
      <c r="G66" s="28">
        <f>F66</f>
        <v>0.75</v>
      </c>
      <c r="H66" s="28">
        <f>F66</f>
        <v>0.75</v>
      </c>
      <c r="I66" s="28">
        <f>F66</f>
        <v>0.75</v>
      </c>
      <c r="J66" s="21">
        <v>0.8</v>
      </c>
      <c r="K66" s="28">
        <f>J66</f>
        <v>0.8</v>
      </c>
      <c r="L66" s="28">
        <f>J66</f>
        <v>0.8</v>
      </c>
      <c r="M66" s="28">
        <f>J66</f>
        <v>0.8</v>
      </c>
      <c r="N66" s="21">
        <v>0.85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1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0" t="s">
        <v>66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3" t="s">
        <v>49</v>
      </c>
      <c r="B69" s="27">
        <v>120.0</v>
      </c>
      <c r="C69" s="15">
        <f t="shared" ref="C69:E69" si="26">B69</f>
        <v>120</v>
      </c>
      <c r="D69" s="15">
        <f t="shared" si="26"/>
        <v>120</v>
      </c>
      <c r="E69" s="15">
        <f t="shared" si="26"/>
        <v>120</v>
      </c>
      <c r="F69" s="15">
        <f>E69+10</f>
        <v>130</v>
      </c>
      <c r="G69" s="15">
        <f t="shared" ref="G69:I69" si="27">F69</f>
        <v>130</v>
      </c>
      <c r="H69" s="15">
        <f t="shared" si="27"/>
        <v>130</v>
      </c>
      <c r="I69" s="15">
        <f t="shared" si="27"/>
        <v>130</v>
      </c>
      <c r="J69" s="15">
        <f>I69+10</f>
        <v>140</v>
      </c>
      <c r="K69" s="15">
        <f t="shared" ref="K69:M69" si="28">J69</f>
        <v>140</v>
      </c>
      <c r="L69" s="15">
        <f t="shared" si="28"/>
        <v>140</v>
      </c>
      <c r="M69" s="15">
        <f t="shared" si="28"/>
        <v>140</v>
      </c>
      <c r="N69" s="15">
        <f>M69+10</f>
        <v>150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3" t="s">
        <v>39</v>
      </c>
      <c r="B70" s="15">
        <v>4111.0</v>
      </c>
      <c r="C70" s="15">
        <v>4111.0</v>
      </c>
      <c r="D70" s="15">
        <v>4101.0</v>
      </c>
      <c r="E70" s="15">
        <v>4101.0</v>
      </c>
      <c r="F70" s="15">
        <v>4111.0</v>
      </c>
      <c r="G70" s="15">
        <v>4111.0</v>
      </c>
      <c r="H70" s="15">
        <v>4101.0</v>
      </c>
      <c r="I70" s="15">
        <v>4101.0</v>
      </c>
      <c r="J70" s="15">
        <v>3111.0</v>
      </c>
      <c r="K70" s="15">
        <v>3111.0</v>
      </c>
      <c r="L70" s="15">
        <v>3101.0</v>
      </c>
      <c r="M70" s="15">
        <v>3101.0</v>
      </c>
      <c r="N70" s="15">
        <v>4101.0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3" t="s">
        <v>41</v>
      </c>
      <c r="B71" s="15">
        <v>75.0</v>
      </c>
      <c r="C71" s="15">
        <v>75.0</v>
      </c>
      <c r="D71" s="15">
        <v>60.0</v>
      </c>
      <c r="E71" s="15">
        <v>60.0</v>
      </c>
      <c r="F71" s="15">
        <v>75.0</v>
      </c>
      <c r="G71" s="15">
        <v>75.0</v>
      </c>
      <c r="H71" s="15">
        <v>60.0</v>
      </c>
      <c r="I71" s="15">
        <v>60.0</v>
      </c>
      <c r="J71" s="15">
        <v>75.0</v>
      </c>
      <c r="K71" s="15">
        <v>75.0</v>
      </c>
      <c r="L71" s="15">
        <v>60.0</v>
      </c>
      <c r="M71" s="15">
        <v>60.0</v>
      </c>
      <c r="N71" s="15">
        <v>60.0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3" t="s">
        <v>50</v>
      </c>
      <c r="B72" s="15">
        <v>6.0</v>
      </c>
      <c r="C72" s="15">
        <v>5.0</v>
      </c>
      <c r="D72" s="15">
        <v>4.0</v>
      </c>
      <c r="E72" s="15">
        <v>4.0</v>
      </c>
      <c r="F72" s="15">
        <v>6.0</v>
      </c>
      <c r="G72" s="15">
        <v>5.0</v>
      </c>
      <c r="H72" s="15">
        <v>4.0</v>
      </c>
      <c r="I72" s="15">
        <v>4.0</v>
      </c>
      <c r="J72" s="15">
        <v>6.0</v>
      </c>
      <c r="K72" s="15">
        <v>5.0</v>
      </c>
      <c r="L72" s="15">
        <v>4.0</v>
      </c>
      <c r="M72" s="15">
        <v>4.0</v>
      </c>
      <c r="N72" s="15">
        <v>4.0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3" t="s">
        <v>12</v>
      </c>
      <c r="B73" s="15">
        <v>6.0</v>
      </c>
      <c r="C73" s="15">
        <v>7.0</v>
      </c>
      <c r="D73" s="15">
        <v>8.0</v>
      </c>
      <c r="E73" s="15">
        <v>9.0</v>
      </c>
      <c r="F73" s="15">
        <v>6.0</v>
      </c>
      <c r="G73" s="15">
        <v>7.0</v>
      </c>
      <c r="H73" s="15">
        <v>8.0</v>
      </c>
      <c r="I73" s="15">
        <v>9.0</v>
      </c>
      <c r="J73" s="15">
        <v>6.0</v>
      </c>
      <c r="K73" s="15">
        <v>7.0</v>
      </c>
      <c r="L73" s="15">
        <v>8.0</v>
      </c>
      <c r="M73" s="15">
        <v>9.0</v>
      </c>
      <c r="N73" s="15">
        <v>5.0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20" t="s">
        <v>58</v>
      </c>
      <c r="B74" s="21">
        <v>0.7</v>
      </c>
      <c r="C74" s="21">
        <f>B74</f>
        <v>0.7</v>
      </c>
      <c r="D74" s="21">
        <f>B74</f>
        <v>0.7</v>
      </c>
      <c r="E74" s="21">
        <f>B74</f>
        <v>0.7</v>
      </c>
      <c r="F74" s="21">
        <v>0.75</v>
      </c>
      <c r="G74" s="28">
        <f>F74</f>
        <v>0.75</v>
      </c>
      <c r="H74" s="28">
        <f>F74</f>
        <v>0.75</v>
      </c>
      <c r="I74" s="28">
        <f>F74</f>
        <v>0.75</v>
      </c>
      <c r="J74" s="21">
        <v>0.8</v>
      </c>
      <c r="K74" s="28">
        <f>J74</f>
        <v>0.8</v>
      </c>
      <c r="L74" s="28">
        <f>J74</f>
        <v>0.8</v>
      </c>
      <c r="M74" s="28">
        <f>J74</f>
        <v>0.8</v>
      </c>
      <c r="N74" s="21">
        <v>0.85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 t="s">
        <v>51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22" t="s">
        <v>52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23" t="s">
        <v>53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24" t="s">
        <v>54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25" t="s">
        <v>55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26" t="s">
        <v>56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43.14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7">
        <f>Monday!B2+2</f>
        <v>43285</v>
      </c>
      <c r="C2" s="17">
        <f t="shared" ref="C2:N2" si="1">B2+7</f>
        <v>43292</v>
      </c>
      <c r="D2" s="17">
        <f t="shared" si="1"/>
        <v>43299</v>
      </c>
      <c r="E2" s="17">
        <f t="shared" si="1"/>
        <v>43306</v>
      </c>
      <c r="F2" s="17">
        <f t="shared" si="1"/>
        <v>43313</v>
      </c>
      <c r="G2" s="17">
        <f t="shared" si="1"/>
        <v>43320</v>
      </c>
      <c r="H2" s="17">
        <f t="shared" si="1"/>
        <v>43327</v>
      </c>
      <c r="I2" s="17">
        <f t="shared" si="1"/>
        <v>43334</v>
      </c>
      <c r="J2" s="17">
        <f t="shared" si="1"/>
        <v>43341</v>
      </c>
      <c r="K2" s="17">
        <f t="shared" si="1"/>
        <v>43348</v>
      </c>
      <c r="L2" s="17">
        <f t="shared" si="1"/>
        <v>43355</v>
      </c>
      <c r="M2" s="17">
        <f t="shared" si="1"/>
        <v>43362</v>
      </c>
      <c r="N2" s="17">
        <f t="shared" si="1"/>
        <v>43369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>
      <c r="A4" s="1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49</v>
      </c>
      <c r="B5" s="15">
        <f>mround(B8*OverviewData!$B$3,5)</f>
        <v>275</v>
      </c>
      <c r="C5" s="15">
        <f>mround(C8*OverviewData!$B$3,5)</f>
        <v>275</v>
      </c>
      <c r="D5" s="15">
        <f>mround(D8*OverviewData!$B$3,5)</f>
        <v>275</v>
      </c>
      <c r="E5" s="15">
        <f>mround(E8*OverviewData!$B$3,5)</f>
        <v>250</v>
      </c>
      <c r="F5" s="15">
        <f>mround(F8*OverviewData!$C$3,5)</f>
        <v>285</v>
      </c>
      <c r="G5" s="15">
        <f>mround(G8*OverviewData!$C$3,5)</f>
        <v>285</v>
      </c>
      <c r="H5" s="15">
        <f>mround(H8*OverviewData!$C$3,5)</f>
        <v>285</v>
      </c>
      <c r="I5" s="15">
        <f>mround(I8*OverviewData!$C$3,5)</f>
        <v>250</v>
      </c>
      <c r="J5" s="15">
        <f>mround(J8*OverviewData!$D$3,5)</f>
        <v>295</v>
      </c>
      <c r="K5" s="15">
        <f>mround(K8*OverviewData!$D$3,5)</f>
        <v>295</v>
      </c>
      <c r="L5" s="15">
        <f>mround(L8*OverviewData!$D$3,5)</f>
        <v>295</v>
      </c>
      <c r="M5" s="15">
        <f>mround(M8*OverviewData!$D$3,5)</f>
        <v>295</v>
      </c>
      <c r="N5" s="15">
        <f>mround(N8*OverviewData!$D$3,5)</f>
        <v>255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50</v>
      </c>
      <c r="B6" s="15">
        <v>3.0</v>
      </c>
      <c r="C6" s="15">
        <v>3.0</v>
      </c>
      <c r="D6" s="15">
        <v>4.0</v>
      </c>
      <c r="E6" s="15">
        <v>3.0</v>
      </c>
      <c r="F6" s="15">
        <v>3.0</v>
      </c>
      <c r="G6" s="15">
        <v>4.0</v>
      </c>
      <c r="H6" s="15">
        <v>5.0</v>
      </c>
      <c r="I6" s="15">
        <v>4.0</v>
      </c>
      <c r="J6" s="15">
        <v>3.0</v>
      </c>
      <c r="K6" s="15">
        <v>4.0</v>
      </c>
      <c r="L6" s="15">
        <v>5.0</v>
      </c>
      <c r="M6" s="15">
        <v>6.0</v>
      </c>
      <c r="N6" s="15">
        <v>4.0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 t="s">
        <v>12</v>
      </c>
      <c r="B7" s="15">
        <v>7.0</v>
      </c>
      <c r="C7" s="15">
        <v>7.0</v>
      </c>
      <c r="D7" s="15">
        <v>7.0</v>
      </c>
      <c r="E7" s="15">
        <v>5.0</v>
      </c>
      <c r="F7" s="15">
        <v>6.0</v>
      </c>
      <c r="G7" s="15">
        <v>6.0</v>
      </c>
      <c r="H7" s="15">
        <v>6.0</v>
      </c>
      <c r="I7" s="15">
        <v>4.0</v>
      </c>
      <c r="J7" s="15">
        <v>5.0</v>
      </c>
      <c r="K7" s="15">
        <v>5.0</v>
      </c>
      <c r="L7" s="15">
        <v>5.0</v>
      </c>
      <c r="M7" s="15">
        <v>5.0</v>
      </c>
      <c r="N7" s="15">
        <v>4.0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11</v>
      </c>
      <c r="B8" s="21">
        <v>0.775</v>
      </c>
      <c r="C8" s="21">
        <v>0.775</v>
      </c>
      <c r="D8" s="21">
        <v>0.775</v>
      </c>
      <c r="E8" s="21">
        <v>0.7</v>
      </c>
      <c r="F8" s="21">
        <v>0.8</v>
      </c>
      <c r="G8" s="21">
        <v>0.8</v>
      </c>
      <c r="H8" s="21">
        <v>0.8</v>
      </c>
      <c r="I8" s="21">
        <v>0.7</v>
      </c>
      <c r="J8" s="21">
        <v>0.825</v>
      </c>
      <c r="K8" s="21">
        <v>0.825</v>
      </c>
      <c r="L8" s="21">
        <v>0.825</v>
      </c>
      <c r="M8" s="21">
        <v>0.825</v>
      </c>
      <c r="N8" s="21">
        <v>0.725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 t="s">
        <v>49</v>
      </c>
      <c r="B11" s="15">
        <f>mround(B14*OverviewData!$B$4,5)</f>
        <v>185</v>
      </c>
      <c r="C11" s="15">
        <f>mround(C14*OverviewData!$B$4,5)</f>
        <v>185</v>
      </c>
      <c r="D11" s="15">
        <f>mround(D14*OverviewData!$B$4,5)</f>
        <v>185</v>
      </c>
      <c r="E11" s="15">
        <f>mround(E14*OverviewData!$B$4,5)</f>
        <v>160</v>
      </c>
      <c r="F11" s="15">
        <f>mround(F14*OverviewData!$C$4,5)</f>
        <v>190</v>
      </c>
      <c r="G11" s="15">
        <f>mround(G14*OverviewData!$C$4,5)</f>
        <v>190</v>
      </c>
      <c r="H11" s="15">
        <f>mround(H14*OverviewData!$C$4,5)</f>
        <v>190</v>
      </c>
      <c r="I11" s="15">
        <f>mround(I14*OverviewData!$C$4,5)</f>
        <v>160</v>
      </c>
      <c r="J11" s="15">
        <f>mround(J14*OverviewData!$D$4,5)</f>
        <v>195</v>
      </c>
      <c r="K11" s="15">
        <f>mround(K14*OverviewData!$D$4,5)</f>
        <v>195</v>
      </c>
      <c r="L11" s="15">
        <f>mround(L14*OverviewData!$D$4,5)</f>
        <v>195</v>
      </c>
      <c r="M11" s="15">
        <f>mround(M14*OverviewData!$D$4,5)</f>
        <v>195</v>
      </c>
      <c r="N11" s="15">
        <f>mround(N14*OverviewData!$D$4,5)</f>
        <v>165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 t="s">
        <v>50</v>
      </c>
      <c r="B12" s="15">
        <v>3.0</v>
      </c>
      <c r="C12" s="15">
        <v>3.0</v>
      </c>
      <c r="D12" s="15">
        <v>4.0</v>
      </c>
      <c r="E12" s="15">
        <v>3.0</v>
      </c>
      <c r="F12" s="15">
        <v>3.0</v>
      </c>
      <c r="G12" s="15">
        <v>4.0</v>
      </c>
      <c r="H12" s="15">
        <v>5.0</v>
      </c>
      <c r="I12" s="15">
        <v>4.0</v>
      </c>
      <c r="J12" s="15">
        <v>3.0</v>
      </c>
      <c r="K12" s="15">
        <v>4.0</v>
      </c>
      <c r="L12" s="15">
        <v>5.0</v>
      </c>
      <c r="M12" s="15">
        <v>6.0</v>
      </c>
      <c r="N12" s="15">
        <v>4.0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 t="s">
        <v>12</v>
      </c>
      <c r="B13" s="15">
        <v>7.0</v>
      </c>
      <c r="C13" s="15">
        <v>7.0</v>
      </c>
      <c r="D13" s="15">
        <v>7.0</v>
      </c>
      <c r="E13" s="15">
        <v>5.0</v>
      </c>
      <c r="F13" s="15">
        <v>6.0</v>
      </c>
      <c r="G13" s="15">
        <v>6.0</v>
      </c>
      <c r="H13" s="15">
        <v>6.0</v>
      </c>
      <c r="I13" s="15">
        <v>4.0</v>
      </c>
      <c r="J13" s="15">
        <v>5.0</v>
      </c>
      <c r="K13" s="15">
        <v>5.0</v>
      </c>
      <c r="L13" s="15">
        <v>5.0</v>
      </c>
      <c r="M13" s="15">
        <v>5.0</v>
      </c>
      <c r="N13" s="15">
        <v>4.0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 t="s">
        <v>11</v>
      </c>
      <c r="B14" s="21">
        <v>0.8</v>
      </c>
      <c r="C14" s="21">
        <v>0.8</v>
      </c>
      <c r="D14" s="21">
        <v>0.8</v>
      </c>
      <c r="E14" s="21">
        <v>0.7</v>
      </c>
      <c r="F14" s="21">
        <v>0.825</v>
      </c>
      <c r="G14" s="21">
        <v>0.825</v>
      </c>
      <c r="H14" s="21">
        <v>0.825</v>
      </c>
      <c r="I14" s="21">
        <v>0.7</v>
      </c>
      <c r="J14" s="21">
        <v>0.85</v>
      </c>
      <c r="K14" s="21">
        <v>0.85</v>
      </c>
      <c r="L14" s="21">
        <v>0.85</v>
      </c>
      <c r="M14" s="21">
        <v>0.85</v>
      </c>
      <c r="N14" s="21">
        <v>0.725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6">
      <c r="A16" s="19" t="s">
        <v>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 t="s">
        <v>49</v>
      </c>
      <c r="B17" s="14" t="s">
        <v>35</v>
      </c>
      <c r="C17" s="14" t="s">
        <v>35</v>
      </c>
      <c r="D17" s="14" t="s">
        <v>35</v>
      </c>
      <c r="E17" s="15">
        <f>mround(E20*OverviewData!$B$5,5)</f>
        <v>285</v>
      </c>
      <c r="F17" s="14" t="s">
        <v>35</v>
      </c>
      <c r="G17" s="14" t="s">
        <v>35</v>
      </c>
      <c r="H17" s="14" t="s">
        <v>35</v>
      </c>
      <c r="I17" s="15">
        <f>mround(I20*OverviewData!$C$5,5)</f>
        <v>285</v>
      </c>
      <c r="J17" s="14" t="s">
        <v>35</v>
      </c>
      <c r="K17" s="14" t="s">
        <v>35</v>
      </c>
      <c r="L17" s="14" t="s">
        <v>35</v>
      </c>
      <c r="M17" s="14" t="s">
        <v>35</v>
      </c>
      <c r="N17" s="15">
        <f>mround(N20*OverviewData!$D$5,5)</f>
        <v>295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0" t="s">
        <v>50</v>
      </c>
      <c r="B18" s="14"/>
      <c r="C18" s="14"/>
      <c r="D18" s="14"/>
      <c r="E18" s="15">
        <v>3.0</v>
      </c>
      <c r="F18" s="14"/>
      <c r="G18" s="14"/>
      <c r="H18" s="14"/>
      <c r="I18" s="15">
        <v>4.0</v>
      </c>
      <c r="J18" s="14"/>
      <c r="K18" s="14"/>
      <c r="L18" s="14"/>
      <c r="M18" s="14"/>
      <c r="N18" s="15">
        <v>4.0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0" t="s">
        <v>12</v>
      </c>
      <c r="B19" s="14"/>
      <c r="C19" s="14"/>
      <c r="D19" s="14"/>
      <c r="E19" s="15">
        <v>5.0</v>
      </c>
      <c r="F19" s="14"/>
      <c r="G19" s="14"/>
      <c r="H19" s="14"/>
      <c r="I19" s="15">
        <v>4.0</v>
      </c>
      <c r="J19" s="14"/>
      <c r="K19" s="14"/>
      <c r="L19" s="14"/>
      <c r="M19" s="14"/>
      <c r="N19" s="15">
        <v>4.0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0" t="s">
        <v>11</v>
      </c>
      <c r="B20" s="35"/>
      <c r="C20" s="35"/>
      <c r="D20" s="35"/>
      <c r="E20" s="21">
        <v>0.7</v>
      </c>
      <c r="F20" s="35"/>
      <c r="G20" s="35"/>
      <c r="H20" s="35"/>
      <c r="I20" s="21">
        <v>0.7</v>
      </c>
      <c r="J20" s="35"/>
      <c r="K20" s="35"/>
      <c r="L20" s="35"/>
      <c r="M20" s="35"/>
      <c r="N20" s="21">
        <v>0.725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2">
      <c r="A22" s="19" t="s">
        <v>67</v>
      </c>
    </row>
    <row r="23">
      <c r="A23" s="20" t="s">
        <v>49</v>
      </c>
      <c r="B23" s="27">
        <v>235.0</v>
      </c>
      <c r="C23" s="15">
        <f t="shared" ref="C23:D23" si="2">B23</f>
        <v>235</v>
      </c>
      <c r="D23" s="15">
        <f t="shared" si="2"/>
        <v>235</v>
      </c>
      <c r="E23" s="14" t="s">
        <v>35</v>
      </c>
      <c r="F23" s="15">
        <f>D23+5</f>
        <v>240</v>
      </c>
      <c r="G23" s="15">
        <f t="shared" ref="G23:H23" si="3">F23</f>
        <v>240</v>
      </c>
      <c r="H23" s="15">
        <f t="shared" si="3"/>
        <v>240</v>
      </c>
      <c r="I23" s="14" t="s">
        <v>35</v>
      </c>
      <c r="J23" s="15">
        <f>H23+5</f>
        <v>245</v>
      </c>
      <c r="K23" s="15">
        <f t="shared" ref="K23:M23" si="4">J23</f>
        <v>245</v>
      </c>
      <c r="L23" s="15">
        <f t="shared" si="4"/>
        <v>245</v>
      </c>
      <c r="M23" s="15">
        <f t="shared" si="4"/>
        <v>245</v>
      </c>
      <c r="N23" s="14" t="s">
        <v>35</v>
      </c>
    </row>
    <row r="24">
      <c r="A24" s="20" t="s">
        <v>39</v>
      </c>
      <c r="B24" s="15">
        <v>4111.0</v>
      </c>
      <c r="C24" s="15">
        <v>4111.0</v>
      </c>
      <c r="D24" s="15">
        <v>4101.0</v>
      </c>
      <c r="E24" s="14"/>
      <c r="F24" s="15">
        <v>4111.0</v>
      </c>
      <c r="G24" s="15">
        <v>4111.0</v>
      </c>
      <c r="H24" s="15">
        <v>4101.0</v>
      </c>
      <c r="I24" s="14"/>
      <c r="J24" s="15">
        <v>3111.0</v>
      </c>
      <c r="K24" s="15">
        <v>3111.0</v>
      </c>
      <c r="L24" s="15">
        <v>3101.0</v>
      </c>
      <c r="M24" s="15">
        <v>3101.0</v>
      </c>
      <c r="N24" s="14"/>
    </row>
    <row r="25">
      <c r="A25" s="20" t="s">
        <v>41</v>
      </c>
      <c r="B25" s="15">
        <v>75.0</v>
      </c>
      <c r="C25" s="15">
        <v>75.0</v>
      </c>
      <c r="D25" s="15">
        <v>60.0</v>
      </c>
      <c r="E25" s="14"/>
      <c r="F25" s="15">
        <v>75.0</v>
      </c>
      <c r="G25" s="15">
        <v>75.0</v>
      </c>
      <c r="H25" s="15">
        <v>60.0</v>
      </c>
      <c r="I25" s="14"/>
      <c r="J25" s="15">
        <v>75.0</v>
      </c>
      <c r="K25" s="15">
        <v>75.0</v>
      </c>
      <c r="L25" s="15">
        <v>60.0</v>
      </c>
      <c r="M25" s="15">
        <v>60.0</v>
      </c>
      <c r="N25" s="14"/>
    </row>
    <row r="26">
      <c r="A26" s="20" t="s">
        <v>50</v>
      </c>
      <c r="B26" s="15">
        <v>6.0</v>
      </c>
      <c r="C26" s="15">
        <v>5.0</v>
      </c>
      <c r="D26" s="15">
        <v>4.0</v>
      </c>
      <c r="E26" s="14"/>
      <c r="F26" s="15">
        <v>6.0</v>
      </c>
      <c r="G26" s="15">
        <v>5.0</v>
      </c>
      <c r="H26" s="15">
        <v>4.0</v>
      </c>
      <c r="I26" s="14"/>
      <c r="J26" s="15">
        <v>6.0</v>
      </c>
      <c r="K26" s="15">
        <v>5.0</v>
      </c>
      <c r="L26" s="15">
        <v>4.0</v>
      </c>
      <c r="M26" s="15">
        <v>4.0</v>
      </c>
      <c r="N26" s="14"/>
    </row>
    <row r="27">
      <c r="A27" s="20" t="s">
        <v>12</v>
      </c>
      <c r="B27" s="15">
        <v>6.0</v>
      </c>
      <c r="C27" s="15">
        <v>7.0</v>
      </c>
      <c r="D27" s="15">
        <v>8.0</v>
      </c>
      <c r="E27" s="14"/>
      <c r="F27" s="15">
        <v>6.0</v>
      </c>
      <c r="G27" s="15">
        <v>7.0</v>
      </c>
      <c r="H27" s="15">
        <v>8.0</v>
      </c>
      <c r="I27" s="14"/>
      <c r="J27" s="15">
        <v>6.0</v>
      </c>
      <c r="K27" s="15">
        <v>7.0</v>
      </c>
      <c r="L27" s="15">
        <v>8.0</v>
      </c>
      <c r="M27" s="15">
        <v>9.0</v>
      </c>
      <c r="N27" s="14"/>
    </row>
    <row r="28">
      <c r="A28" s="20" t="s">
        <v>58</v>
      </c>
      <c r="B28" s="21">
        <v>0.7</v>
      </c>
      <c r="C28" s="21">
        <f>B28</f>
        <v>0.7</v>
      </c>
      <c r="D28" s="21">
        <f>B28</f>
        <v>0.7</v>
      </c>
      <c r="E28" s="35"/>
      <c r="F28" s="21">
        <v>0.75</v>
      </c>
      <c r="G28" s="28">
        <f>F28</f>
        <v>0.75</v>
      </c>
      <c r="H28" s="28">
        <f>F28</f>
        <v>0.75</v>
      </c>
      <c r="I28" s="36"/>
      <c r="J28" s="21">
        <v>0.8</v>
      </c>
      <c r="K28" s="28">
        <f>J28</f>
        <v>0.8</v>
      </c>
      <c r="L28" s="28">
        <f>J28</f>
        <v>0.8</v>
      </c>
      <c r="M28" s="28">
        <f>J28</f>
        <v>0.8</v>
      </c>
      <c r="N28" s="37"/>
    </row>
    <row r="29">
      <c r="A29" s="19"/>
    </row>
    <row r="30">
      <c r="A30" s="19" t="s">
        <v>68</v>
      </c>
    </row>
    <row r="31">
      <c r="A31" s="20" t="s">
        <v>49</v>
      </c>
      <c r="B31" s="27">
        <v>315.0</v>
      </c>
      <c r="C31" s="15">
        <f t="shared" ref="C31:D31" si="5">B31</f>
        <v>315</v>
      </c>
      <c r="D31" s="15">
        <f t="shared" si="5"/>
        <v>315</v>
      </c>
      <c r="E31" s="14" t="s">
        <v>35</v>
      </c>
      <c r="F31" s="15">
        <f>D31+5</f>
        <v>320</v>
      </c>
      <c r="G31" s="15">
        <f t="shared" ref="G31:H31" si="6">F31</f>
        <v>320</v>
      </c>
      <c r="H31" s="15">
        <f t="shared" si="6"/>
        <v>320</v>
      </c>
      <c r="I31" s="14" t="s">
        <v>35</v>
      </c>
      <c r="J31" s="15">
        <f>H31+5</f>
        <v>325</v>
      </c>
      <c r="K31" s="15">
        <f t="shared" ref="K31:M31" si="7">J31</f>
        <v>325</v>
      </c>
      <c r="L31" s="15">
        <f t="shared" si="7"/>
        <v>325</v>
      </c>
      <c r="M31" s="15">
        <f t="shared" si="7"/>
        <v>325</v>
      </c>
      <c r="N31" s="14" t="s">
        <v>35</v>
      </c>
    </row>
    <row r="32">
      <c r="A32" s="20" t="s">
        <v>39</v>
      </c>
      <c r="B32" s="15">
        <v>4111.0</v>
      </c>
      <c r="C32" s="15">
        <v>4111.0</v>
      </c>
      <c r="D32" s="15">
        <v>4101.0</v>
      </c>
      <c r="E32" s="14"/>
      <c r="F32" s="15">
        <v>4111.0</v>
      </c>
      <c r="G32" s="15">
        <v>4111.0</v>
      </c>
      <c r="H32" s="15">
        <v>4101.0</v>
      </c>
      <c r="I32" s="14"/>
      <c r="J32" s="15">
        <v>3111.0</v>
      </c>
      <c r="K32" s="15">
        <v>3111.0</v>
      </c>
      <c r="L32" s="15">
        <v>3101.0</v>
      </c>
      <c r="M32" s="15">
        <v>3101.0</v>
      </c>
      <c r="N32" s="14"/>
    </row>
    <row r="33">
      <c r="A33" s="20" t="s">
        <v>41</v>
      </c>
      <c r="B33" s="15">
        <v>75.0</v>
      </c>
      <c r="C33" s="15">
        <v>75.0</v>
      </c>
      <c r="D33" s="15">
        <v>60.0</v>
      </c>
      <c r="E33" s="14"/>
      <c r="F33" s="15">
        <v>75.0</v>
      </c>
      <c r="G33" s="15">
        <v>75.0</v>
      </c>
      <c r="H33" s="15">
        <v>60.0</v>
      </c>
      <c r="I33" s="14"/>
      <c r="J33" s="15">
        <v>75.0</v>
      </c>
      <c r="K33" s="15">
        <v>75.0</v>
      </c>
      <c r="L33" s="15">
        <v>60.0</v>
      </c>
      <c r="M33" s="15">
        <v>60.0</v>
      </c>
      <c r="N33" s="14"/>
    </row>
    <row r="34">
      <c r="A34" s="20" t="s">
        <v>50</v>
      </c>
      <c r="B34" s="15">
        <v>6.0</v>
      </c>
      <c r="C34" s="15">
        <v>5.0</v>
      </c>
      <c r="D34" s="15">
        <v>4.0</v>
      </c>
      <c r="E34" s="14"/>
      <c r="F34" s="15">
        <v>6.0</v>
      </c>
      <c r="G34" s="15">
        <v>5.0</v>
      </c>
      <c r="H34" s="15">
        <v>4.0</v>
      </c>
      <c r="I34" s="14"/>
      <c r="J34" s="15">
        <v>6.0</v>
      </c>
      <c r="K34" s="15">
        <v>5.0</v>
      </c>
      <c r="L34" s="15">
        <v>4.0</v>
      </c>
      <c r="M34" s="15">
        <v>4.0</v>
      </c>
      <c r="N34" s="14"/>
    </row>
    <row r="35">
      <c r="A35" s="20" t="s">
        <v>12</v>
      </c>
      <c r="B35" s="15">
        <v>6.0</v>
      </c>
      <c r="C35" s="15">
        <v>7.0</v>
      </c>
      <c r="D35" s="15">
        <v>8.0</v>
      </c>
      <c r="E35" s="14"/>
      <c r="F35" s="15">
        <v>6.0</v>
      </c>
      <c r="G35" s="15">
        <v>7.0</v>
      </c>
      <c r="H35" s="15">
        <v>8.0</v>
      </c>
      <c r="I35" s="14"/>
      <c r="J35" s="15">
        <v>6.0</v>
      </c>
      <c r="K35" s="15">
        <v>7.0</v>
      </c>
      <c r="L35" s="15">
        <v>8.0</v>
      </c>
      <c r="M35" s="15">
        <v>9.0</v>
      </c>
      <c r="N35" s="14"/>
    </row>
    <row r="36">
      <c r="A36" s="20" t="s">
        <v>58</v>
      </c>
      <c r="B36" s="21">
        <v>0.7</v>
      </c>
      <c r="C36" s="21">
        <f>B36</f>
        <v>0.7</v>
      </c>
      <c r="D36" s="21">
        <f>B36</f>
        <v>0.7</v>
      </c>
      <c r="E36" s="35"/>
      <c r="F36" s="21">
        <v>0.75</v>
      </c>
      <c r="G36" s="28">
        <f>F36</f>
        <v>0.75</v>
      </c>
      <c r="H36" s="28">
        <f>F36</f>
        <v>0.75</v>
      </c>
      <c r="I36" s="36"/>
      <c r="J36" s="21">
        <v>0.8</v>
      </c>
      <c r="K36" s="28">
        <f>J36</f>
        <v>0.8</v>
      </c>
      <c r="L36" s="28">
        <f>J36</f>
        <v>0.8</v>
      </c>
      <c r="M36" s="28">
        <f>J36</f>
        <v>0.8</v>
      </c>
      <c r="N36" s="37"/>
    </row>
    <row r="38">
      <c r="A38" s="19" t="s">
        <v>69</v>
      </c>
    </row>
    <row r="39">
      <c r="A39" s="20" t="s">
        <v>49</v>
      </c>
      <c r="B39" s="38">
        <v>110.0</v>
      </c>
      <c r="C39" s="15">
        <f t="shared" ref="C39:D39" si="8">B39</f>
        <v>110</v>
      </c>
      <c r="D39" s="15">
        <f t="shared" si="8"/>
        <v>110</v>
      </c>
      <c r="E39" s="14" t="s">
        <v>35</v>
      </c>
      <c r="F39" s="15">
        <f>D39+10</f>
        <v>120</v>
      </c>
      <c r="G39" s="15">
        <f t="shared" ref="G39:H39" si="9">F39</f>
        <v>120</v>
      </c>
      <c r="H39" s="15">
        <f t="shared" si="9"/>
        <v>120</v>
      </c>
      <c r="I39" s="14" t="s">
        <v>35</v>
      </c>
      <c r="J39" s="15">
        <f>H39+10</f>
        <v>130</v>
      </c>
      <c r="K39" s="15">
        <f t="shared" ref="K39:M39" si="10">J39</f>
        <v>130</v>
      </c>
      <c r="L39" s="15">
        <f t="shared" si="10"/>
        <v>130</v>
      </c>
      <c r="M39" s="15">
        <f t="shared" si="10"/>
        <v>130</v>
      </c>
      <c r="N39" s="14" t="s">
        <v>35</v>
      </c>
    </row>
    <row r="40">
      <c r="A40" s="20" t="s">
        <v>39</v>
      </c>
      <c r="B40" s="39">
        <v>4111.0</v>
      </c>
      <c r="C40" s="15">
        <v>4111.0</v>
      </c>
      <c r="D40" s="15">
        <v>4101.0</v>
      </c>
      <c r="E40" s="14"/>
      <c r="F40" s="15">
        <v>4111.0</v>
      </c>
      <c r="G40" s="15">
        <v>4111.0</v>
      </c>
      <c r="H40" s="15">
        <v>4101.0</v>
      </c>
      <c r="I40" s="14"/>
      <c r="J40" s="15">
        <v>3111.0</v>
      </c>
      <c r="K40" s="15">
        <v>3111.0</v>
      </c>
      <c r="L40" s="15">
        <v>3101.0</v>
      </c>
      <c r="M40" s="15">
        <v>3101.0</v>
      </c>
      <c r="N40" s="14"/>
    </row>
    <row r="41">
      <c r="A41" s="20" t="s">
        <v>41</v>
      </c>
      <c r="B41" s="39">
        <v>75.0</v>
      </c>
      <c r="C41" s="15">
        <v>75.0</v>
      </c>
      <c r="D41" s="15">
        <v>60.0</v>
      </c>
      <c r="E41" s="14"/>
      <c r="F41" s="15">
        <v>75.0</v>
      </c>
      <c r="G41" s="15">
        <v>75.0</v>
      </c>
      <c r="H41" s="15">
        <v>60.0</v>
      </c>
      <c r="I41" s="14"/>
      <c r="J41" s="15">
        <v>75.0</v>
      </c>
      <c r="K41" s="15">
        <v>75.0</v>
      </c>
      <c r="L41" s="15">
        <v>60.0</v>
      </c>
      <c r="M41" s="15">
        <v>60.0</v>
      </c>
      <c r="N41" s="14"/>
    </row>
    <row r="42">
      <c r="A42" s="20" t="s">
        <v>50</v>
      </c>
      <c r="B42" s="40">
        <v>6.0</v>
      </c>
      <c r="C42" s="15">
        <v>5.0</v>
      </c>
      <c r="D42" s="15">
        <v>4.0</v>
      </c>
      <c r="E42" s="14"/>
      <c r="F42" s="15">
        <v>6.0</v>
      </c>
      <c r="G42" s="15">
        <v>5.0</v>
      </c>
      <c r="H42" s="15">
        <v>4.0</v>
      </c>
      <c r="I42" s="14"/>
      <c r="J42" s="15">
        <v>6.0</v>
      </c>
      <c r="K42" s="15">
        <v>5.0</v>
      </c>
      <c r="L42" s="15">
        <v>4.0</v>
      </c>
      <c r="M42" s="15">
        <v>4.0</v>
      </c>
      <c r="N42" s="14"/>
    </row>
    <row r="43">
      <c r="A43" s="20" t="s">
        <v>12</v>
      </c>
      <c r="B43" s="40">
        <v>6.0</v>
      </c>
      <c r="C43" s="15">
        <v>7.0</v>
      </c>
      <c r="D43" s="15">
        <v>8.0</v>
      </c>
      <c r="E43" s="14"/>
      <c r="F43" s="15">
        <v>6.0</v>
      </c>
      <c r="G43" s="15">
        <v>7.0</v>
      </c>
      <c r="H43" s="15">
        <v>8.0</v>
      </c>
      <c r="I43" s="14"/>
      <c r="J43" s="15">
        <v>6.0</v>
      </c>
      <c r="K43" s="15">
        <v>7.0</v>
      </c>
      <c r="L43" s="15">
        <v>8.0</v>
      </c>
      <c r="M43" s="15">
        <v>9.0</v>
      </c>
      <c r="N43" s="14"/>
    </row>
    <row r="44">
      <c r="A44" s="20" t="s">
        <v>58</v>
      </c>
      <c r="B44" s="34">
        <v>0.5</v>
      </c>
      <c r="C44" s="21">
        <v>0.5</v>
      </c>
      <c r="D44" s="21">
        <f>C44</f>
        <v>0.5</v>
      </c>
      <c r="E44" s="35"/>
      <c r="F44" s="21">
        <v>0.75</v>
      </c>
      <c r="G44" s="28">
        <f>F44</f>
        <v>0.75</v>
      </c>
      <c r="H44" s="28">
        <f>F44</f>
        <v>0.75</v>
      </c>
      <c r="I44" s="36"/>
      <c r="J44" s="21">
        <v>0.8</v>
      </c>
      <c r="K44" s="28">
        <f>J44</f>
        <v>0.8</v>
      </c>
      <c r="L44" s="28">
        <f>J44</f>
        <v>0.8</v>
      </c>
      <c r="M44" s="28">
        <f>J44</f>
        <v>0.8</v>
      </c>
      <c r="N44" s="37"/>
    </row>
    <row r="45">
      <c r="B45" s="34"/>
    </row>
    <row r="46">
      <c r="A46" s="19" t="s">
        <v>70</v>
      </c>
    </row>
    <row r="47">
      <c r="A47" s="20" t="s">
        <v>49</v>
      </c>
      <c r="B47" s="38">
        <v>90.0</v>
      </c>
      <c r="C47" s="15">
        <f t="shared" ref="C47:D47" si="11">B47</f>
        <v>90</v>
      </c>
      <c r="D47" s="15">
        <f t="shared" si="11"/>
        <v>90</v>
      </c>
      <c r="E47" s="14" t="s">
        <v>35</v>
      </c>
      <c r="F47" s="15">
        <f>D47+10</f>
        <v>100</v>
      </c>
      <c r="G47" s="15">
        <f t="shared" ref="G47:H47" si="12">F47</f>
        <v>100</v>
      </c>
      <c r="H47" s="15">
        <f t="shared" si="12"/>
        <v>100</v>
      </c>
      <c r="I47" s="14" t="s">
        <v>35</v>
      </c>
      <c r="J47" s="15">
        <f>H47+10</f>
        <v>110</v>
      </c>
      <c r="K47" s="15">
        <f t="shared" ref="K47:M47" si="13">J47</f>
        <v>110</v>
      </c>
      <c r="L47" s="15">
        <f t="shared" si="13"/>
        <v>110</v>
      </c>
      <c r="M47" s="15">
        <f t="shared" si="13"/>
        <v>110</v>
      </c>
      <c r="N47" s="14" t="s">
        <v>35</v>
      </c>
    </row>
    <row r="48">
      <c r="A48" s="20" t="s">
        <v>39</v>
      </c>
      <c r="B48" s="39">
        <v>4111.0</v>
      </c>
      <c r="C48" s="15">
        <v>4111.0</v>
      </c>
      <c r="D48" s="15">
        <v>4101.0</v>
      </c>
      <c r="E48" s="14"/>
      <c r="F48" s="15">
        <v>4111.0</v>
      </c>
      <c r="G48" s="15">
        <v>4111.0</v>
      </c>
      <c r="H48" s="15">
        <v>4101.0</v>
      </c>
      <c r="I48" s="14"/>
      <c r="J48" s="15">
        <v>3111.0</v>
      </c>
      <c r="K48" s="15">
        <v>3111.0</v>
      </c>
      <c r="L48" s="15">
        <v>3101.0</v>
      </c>
      <c r="M48" s="15">
        <v>3101.0</v>
      </c>
      <c r="N48" s="14"/>
    </row>
    <row r="49">
      <c r="A49" s="20" t="s">
        <v>41</v>
      </c>
      <c r="B49" s="39">
        <v>75.0</v>
      </c>
      <c r="C49" s="15">
        <v>75.0</v>
      </c>
      <c r="D49" s="15">
        <v>60.0</v>
      </c>
      <c r="E49" s="14"/>
      <c r="F49" s="15">
        <v>75.0</v>
      </c>
      <c r="G49" s="15">
        <v>75.0</v>
      </c>
      <c r="H49" s="15">
        <v>60.0</v>
      </c>
      <c r="I49" s="14"/>
      <c r="J49" s="15">
        <v>75.0</v>
      </c>
      <c r="K49" s="15">
        <v>75.0</v>
      </c>
      <c r="L49" s="15">
        <v>60.0</v>
      </c>
      <c r="M49" s="15">
        <v>60.0</v>
      </c>
      <c r="N49" s="14"/>
    </row>
    <row r="50">
      <c r="A50" s="20" t="s">
        <v>50</v>
      </c>
      <c r="B50" s="40">
        <v>6.0</v>
      </c>
      <c r="C50" s="15">
        <v>5.0</v>
      </c>
      <c r="D50" s="15">
        <v>4.0</v>
      </c>
      <c r="E50" s="14"/>
      <c r="F50" s="15">
        <v>6.0</v>
      </c>
      <c r="G50" s="15">
        <v>5.0</v>
      </c>
      <c r="H50" s="15">
        <v>4.0</v>
      </c>
      <c r="I50" s="14"/>
      <c r="J50" s="15">
        <v>6.0</v>
      </c>
      <c r="K50" s="15">
        <v>5.0</v>
      </c>
      <c r="L50" s="15">
        <v>4.0</v>
      </c>
      <c r="M50" s="15">
        <v>4.0</v>
      </c>
      <c r="N50" s="14"/>
    </row>
    <row r="51">
      <c r="A51" s="20" t="s">
        <v>12</v>
      </c>
      <c r="B51" s="40">
        <v>6.0</v>
      </c>
      <c r="C51" s="15">
        <v>7.0</v>
      </c>
      <c r="D51" s="15">
        <v>8.0</v>
      </c>
      <c r="E51" s="14"/>
      <c r="F51" s="15">
        <v>6.0</v>
      </c>
      <c r="G51" s="15">
        <v>7.0</v>
      </c>
      <c r="H51" s="15">
        <v>8.0</v>
      </c>
      <c r="I51" s="14"/>
      <c r="J51" s="15">
        <v>6.0</v>
      </c>
      <c r="K51" s="15">
        <v>7.0</v>
      </c>
      <c r="L51" s="15">
        <v>8.0</v>
      </c>
      <c r="M51" s="15">
        <v>9.0</v>
      </c>
      <c r="N51" s="14"/>
    </row>
    <row r="52">
      <c r="A52" s="20" t="s">
        <v>58</v>
      </c>
      <c r="B52" s="34">
        <v>0.5</v>
      </c>
      <c r="C52" s="21">
        <v>0.5</v>
      </c>
      <c r="D52" s="21">
        <f>C52</f>
        <v>0.5</v>
      </c>
      <c r="E52" s="35"/>
      <c r="F52" s="21">
        <v>0.75</v>
      </c>
      <c r="G52" s="28">
        <f>F52</f>
        <v>0.75</v>
      </c>
      <c r="H52" s="28">
        <f>F52</f>
        <v>0.75</v>
      </c>
      <c r="I52" s="36"/>
      <c r="J52" s="21">
        <v>0.8</v>
      </c>
      <c r="K52" s="28">
        <f>J52</f>
        <v>0.8</v>
      </c>
      <c r="L52" s="28">
        <f>J52</f>
        <v>0.8</v>
      </c>
      <c r="M52" s="28">
        <f>J52</f>
        <v>0.8</v>
      </c>
      <c r="N52" s="37"/>
    </row>
    <row r="53">
      <c r="A53" s="20"/>
      <c r="B53" s="34"/>
      <c r="C53" s="21"/>
      <c r="D53" s="21"/>
      <c r="E53" s="35"/>
      <c r="F53" s="21"/>
      <c r="G53" s="9"/>
      <c r="H53" s="9"/>
      <c r="I53" s="36"/>
      <c r="J53" s="21"/>
      <c r="K53" s="9"/>
      <c r="L53" s="9"/>
      <c r="M53" s="9"/>
      <c r="N53" s="37"/>
    </row>
    <row r="54">
      <c r="A54" s="22" t="s">
        <v>52</v>
      </c>
      <c r="B54" s="15"/>
      <c r="C54" s="15"/>
      <c r="D54" s="15"/>
      <c r="E54" s="14"/>
      <c r="F54" s="15"/>
      <c r="G54" s="15"/>
      <c r="H54" s="15"/>
      <c r="I54" s="14"/>
      <c r="J54" s="15"/>
      <c r="K54" s="15"/>
      <c r="L54" s="15"/>
      <c r="M54" s="15"/>
      <c r="N54" s="14"/>
    </row>
    <row r="55">
      <c r="A55" s="23" t="s">
        <v>53</v>
      </c>
      <c r="B55" s="15"/>
      <c r="C55" s="15"/>
      <c r="D55" s="15"/>
      <c r="E55" s="14"/>
      <c r="F55" s="15"/>
      <c r="G55" s="15"/>
      <c r="H55" s="15"/>
      <c r="I55" s="14"/>
      <c r="J55" s="15"/>
      <c r="K55" s="15"/>
      <c r="L55" s="15"/>
      <c r="M55" s="15"/>
      <c r="N55" s="14"/>
    </row>
    <row r="56">
      <c r="A56" s="24" t="s">
        <v>54</v>
      </c>
      <c r="B56" s="15"/>
      <c r="C56" s="15"/>
      <c r="D56" s="15"/>
      <c r="E56" s="14"/>
      <c r="F56" s="15"/>
      <c r="G56" s="15"/>
      <c r="H56" s="15"/>
      <c r="I56" s="14"/>
      <c r="J56" s="15"/>
      <c r="K56" s="15"/>
      <c r="L56" s="15"/>
      <c r="M56" s="15"/>
      <c r="N56" s="14"/>
    </row>
    <row r="57">
      <c r="A57" s="25" t="s">
        <v>55</v>
      </c>
      <c r="B57" s="15"/>
      <c r="C57" s="15"/>
      <c r="D57" s="15"/>
      <c r="E57" s="14"/>
      <c r="F57" s="15"/>
      <c r="G57" s="15"/>
      <c r="H57" s="15"/>
      <c r="I57" s="14"/>
      <c r="J57" s="15"/>
      <c r="K57" s="15"/>
      <c r="L57" s="15"/>
      <c r="M57" s="15"/>
      <c r="N57" s="14"/>
    </row>
    <row r="58">
      <c r="A58" s="26" t="s">
        <v>56</v>
      </c>
      <c r="B58" s="15"/>
      <c r="C58" s="15"/>
      <c r="D58" s="15"/>
      <c r="E58" s="14"/>
      <c r="F58" s="15"/>
      <c r="G58" s="15"/>
      <c r="H58" s="15"/>
      <c r="I58" s="14"/>
      <c r="J58" s="15"/>
      <c r="K58" s="15"/>
      <c r="L58" s="15"/>
      <c r="M58" s="15"/>
      <c r="N58" s="14"/>
    </row>
    <row r="59">
      <c r="A59" s="20"/>
      <c r="B59" s="21"/>
      <c r="C59" s="21"/>
      <c r="D59" s="21"/>
      <c r="E59" s="35"/>
      <c r="F59" s="21"/>
      <c r="G59" s="9"/>
      <c r="H59" s="9"/>
      <c r="I59" s="36"/>
      <c r="J59" s="21"/>
      <c r="K59" s="9"/>
      <c r="L59" s="9"/>
      <c r="M59" s="9"/>
      <c r="N59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31.14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7">
        <f>Monday!B2+3</f>
        <v>43286</v>
      </c>
      <c r="C2" s="17">
        <f t="shared" ref="C2:N2" si="1">B2+7</f>
        <v>43293</v>
      </c>
      <c r="D2" s="17">
        <f t="shared" si="1"/>
        <v>43300</v>
      </c>
      <c r="E2" s="17">
        <f t="shared" si="1"/>
        <v>43307</v>
      </c>
      <c r="F2" s="17">
        <f t="shared" si="1"/>
        <v>43314</v>
      </c>
      <c r="G2" s="17">
        <f t="shared" si="1"/>
        <v>43321</v>
      </c>
      <c r="H2" s="17">
        <f t="shared" si="1"/>
        <v>43328</v>
      </c>
      <c r="I2" s="17">
        <f t="shared" si="1"/>
        <v>43335</v>
      </c>
      <c r="J2" s="17">
        <f t="shared" si="1"/>
        <v>43342</v>
      </c>
      <c r="K2" s="17">
        <f t="shared" si="1"/>
        <v>43349</v>
      </c>
      <c r="L2" s="17">
        <f t="shared" si="1"/>
        <v>43356</v>
      </c>
      <c r="M2" s="17">
        <f t="shared" si="1"/>
        <v>43363</v>
      </c>
      <c r="N2" s="17">
        <f t="shared" si="1"/>
        <v>43370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>
      <c r="A4" s="19" t="s">
        <v>7</v>
      </c>
      <c r="B4" s="9"/>
      <c r="C4" s="14"/>
      <c r="D4" s="14"/>
      <c r="E4" s="14"/>
      <c r="F4" s="9"/>
      <c r="G4" s="14"/>
      <c r="H4" s="14"/>
      <c r="I4" s="9"/>
      <c r="J4" s="9"/>
      <c r="K4" s="14"/>
      <c r="L4" s="14"/>
      <c r="M4" s="9"/>
      <c r="N4" s="9"/>
    </row>
    <row r="5">
      <c r="A5" s="20" t="s">
        <v>49</v>
      </c>
      <c r="B5" s="15">
        <f>mround(B8*OverviewData!$B$5,5)</f>
        <v>335</v>
      </c>
      <c r="C5" s="15">
        <f>mround(C8*OverviewData!$B$5,5)</f>
        <v>335</v>
      </c>
      <c r="D5" s="15">
        <f>mround(D8*OverviewData!$B$5,5)</f>
        <v>350</v>
      </c>
      <c r="E5" s="14" t="s">
        <v>35</v>
      </c>
      <c r="F5" s="15">
        <f>mround(F8*OverviewData!$C$5,5)</f>
        <v>345</v>
      </c>
      <c r="G5" s="15">
        <f>mround(G8*OverviewData!$C$5,5)</f>
        <v>345</v>
      </c>
      <c r="H5" s="15">
        <f>mround(H8*OverviewData!$C$5,5)</f>
        <v>360</v>
      </c>
      <c r="I5" s="14" t="s">
        <v>35</v>
      </c>
      <c r="J5" s="15">
        <f>mround(J8*OverviewData!$D$5,5)</f>
        <v>355</v>
      </c>
      <c r="K5" s="15">
        <f>mround(K8*OverviewData!$D$5,5)</f>
        <v>355</v>
      </c>
      <c r="L5" s="15">
        <f>mround(L8*OverviewData!$D$5,5)</f>
        <v>370</v>
      </c>
      <c r="M5" s="15">
        <f>mround(M8*OverviewData!$D$5,5)</f>
        <v>385</v>
      </c>
      <c r="N5" s="14" t="s">
        <v>35</v>
      </c>
    </row>
    <row r="6">
      <c r="A6" s="20" t="s">
        <v>50</v>
      </c>
      <c r="B6" s="15">
        <v>3.0</v>
      </c>
      <c r="C6" s="20" t="s">
        <v>71</v>
      </c>
      <c r="D6" s="20" t="s">
        <v>71</v>
      </c>
      <c r="E6" s="20"/>
      <c r="F6" s="15">
        <v>4.0</v>
      </c>
      <c r="G6" s="20" t="s">
        <v>72</v>
      </c>
      <c r="H6" s="20" t="s">
        <v>72</v>
      </c>
      <c r="I6" s="20"/>
      <c r="J6" s="15">
        <v>4.0</v>
      </c>
      <c r="K6" s="20" t="s">
        <v>73</v>
      </c>
      <c r="L6" s="20" t="s">
        <v>73</v>
      </c>
      <c r="M6" s="20" t="s">
        <v>73</v>
      </c>
      <c r="N6" s="15"/>
    </row>
    <row r="7">
      <c r="A7" s="20" t="s">
        <v>12</v>
      </c>
      <c r="B7" s="15">
        <v>5.0</v>
      </c>
      <c r="C7" s="15">
        <v>5.0</v>
      </c>
      <c r="D7" s="15">
        <v>5.0</v>
      </c>
      <c r="E7" s="20"/>
      <c r="F7" s="15">
        <v>4.0</v>
      </c>
      <c r="G7" s="15">
        <v>4.0</v>
      </c>
      <c r="H7" s="15">
        <v>4.0</v>
      </c>
      <c r="I7" s="20"/>
      <c r="J7" s="15">
        <v>3.0</v>
      </c>
      <c r="K7" s="15">
        <v>3.0</v>
      </c>
      <c r="L7" s="15">
        <v>3.0</v>
      </c>
      <c r="M7" s="15">
        <v>3.0</v>
      </c>
      <c r="N7" s="15"/>
    </row>
    <row r="8">
      <c r="A8" s="20" t="s">
        <v>11</v>
      </c>
      <c r="B8" s="21">
        <v>0.825</v>
      </c>
      <c r="C8" s="21">
        <v>0.825</v>
      </c>
      <c r="D8" s="21">
        <v>0.865</v>
      </c>
      <c r="E8" s="35"/>
      <c r="F8" s="21">
        <v>0.85</v>
      </c>
      <c r="G8" s="21">
        <v>0.85</v>
      </c>
      <c r="H8" s="21">
        <v>0.89</v>
      </c>
      <c r="I8" s="35"/>
      <c r="J8" s="21">
        <v>0.875</v>
      </c>
      <c r="K8" s="21">
        <v>0.875</v>
      </c>
      <c r="L8" s="21">
        <v>0.915</v>
      </c>
      <c r="M8" s="21">
        <v>0.955</v>
      </c>
      <c r="N8" s="21"/>
    </row>
    <row r="9">
      <c r="A9" s="19"/>
      <c r="B9" s="9"/>
      <c r="C9" s="9"/>
      <c r="D9" s="9"/>
      <c r="E9" s="36"/>
      <c r="F9" s="9"/>
      <c r="G9" s="9"/>
      <c r="H9" s="9"/>
      <c r="I9" s="36"/>
      <c r="J9" s="9"/>
      <c r="K9" s="9"/>
      <c r="L9" s="9"/>
      <c r="M9" s="9"/>
      <c r="N9" s="9"/>
    </row>
    <row r="10">
      <c r="A10" s="30" t="s">
        <v>74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>
      <c r="A11" s="33" t="s">
        <v>49</v>
      </c>
      <c r="B11" s="38">
        <v>130.0</v>
      </c>
      <c r="C11" s="40">
        <f t="shared" ref="C11:E11" si="2">B11</f>
        <v>130</v>
      </c>
      <c r="D11" s="33">
        <f t="shared" si="2"/>
        <v>130</v>
      </c>
      <c r="E11" s="33">
        <f t="shared" si="2"/>
        <v>130</v>
      </c>
      <c r="F11" s="15">
        <f>E11+10</f>
        <v>140</v>
      </c>
      <c r="G11" s="15">
        <f t="shared" ref="G11:I11" si="3">F11</f>
        <v>140</v>
      </c>
      <c r="H11" s="15">
        <f t="shared" si="3"/>
        <v>140</v>
      </c>
      <c r="I11" s="15">
        <f t="shared" si="3"/>
        <v>140</v>
      </c>
      <c r="J11" s="15">
        <f>I11+10</f>
        <v>150</v>
      </c>
      <c r="K11" s="15">
        <f t="shared" ref="K11:M11" si="4">J11</f>
        <v>150</v>
      </c>
      <c r="L11" s="15">
        <f t="shared" si="4"/>
        <v>150</v>
      </c>
      <c r="M11" s="15">
        <f t="shared" si="4"/>
        <v>150</v>
      </c>
      <c r="N11" s="15">
        <f>M11+10</f>
        <v>160</v>
      </c>
    </row>
    <row r="12">
      <c r="A12" s="33" t="s">
        <v>39</v>
      </c>
      <c r="B12" s="33">
        <v>4111.0</v>
      </c>
      <c r="C12" s="33">
        <v>4111.0</v>
      </c>
      <c r="D12" s="33">
        <v>4101.0</v>
      </c>
      <c r="E12" s="33">
        <v>4101.0</v>
      </c>
      <c r="F12" s="15">
        <v>4111.0</v>
      </c>
      <c r="G12" s="15">
        <v>4111.0</v>
      </c>
      <c r="H12" s="15">
        <v>4101.0</v>
      </c>
      <c r="I12" s="15">
        <v>4101.0</v>
      </c>
      <c r="J12" s="15">
        <v>3111.0</v>
      </c>
      <c r="K12" s="15">
        <v>3111.0</v>
      </c>
      <c r="L12" s="15">
        <v>3101.0</v>
      </c>
      <c r="M12" s="15">
        <v>3101.0</v>
      </c>
      <c r="N12" s="15">
        <v>4101.0</v>
      </c>
    </row>
    <row r="13">
      <c r="A13" s="33" t="s">
        <v>41</v>
      </c>
      <c r="B13" s="33">
        <v>75.0</v>
      </c>
      <c r="C13" s="33">
        <v>75.0</v>
      </c>
      <c r="D13" s="33">
        <v>60.0</v>
      </c>
      <c r="E13" s="33">
        <v>60.0</v>
      </c>
      <c r="F13" s="15">
        <v>75.0</v>
      </c>
      <c r="G13" s="15">
        <v>75.0</v>
      </c>
      <c r="H13" s="15">
        <v>60.0</v>
      </c>
      <c r="I13" s="15">
        <v>60.0</v>
      </c>
      <c r="J13" s="15">
        <v>75.0</v>
      </c>
      <c r="K13" s="15">
        <v>75.0</v>
      </c>
      <c r="L13" s="15">
        <v>60.0</v>
      </c>
      <c r="M13" s="15">
        <v>60.0</v>
      </c>
      <c r="N13" s="15">
        <v>120.0</v>
      </c>
    </row>
    <row r="14">
      <c r="A14" s="33" t="s">
        <v>50</v>
      </c>
      <c r="B14" s="33">
        <v>6.0</v>
      </c>
      <c r="C14" s="33">
        <v>5.0</v>
      </c>
      <c r="D14" s="33">
        <v>4.0</v>
      </c>
      <c r="E14" s="33">
        <v>4.0</v>
      </c>
      <c r="F14" s="15">
        <v>6.0</v>
      </c>
      <c r="G14" s="15">
        <v>5.0</v>
      </c>
      <c r="H14" s="15">
        <v>4.0</v>
      </c>
      <c r="I14" s="15">
        <v>4.0</v>
      </c>
      <c r="J14" s="15">
        <v>6.0</v>
      </c>
      <c r="K14" s="15">
        <v>5.0</v>
      </c>
      <c r="L14" s="15">
        <v>4.0</v>
      </c>
      <c r="M14" s="15">
        <v>4.0</v>
      </c>
      <c r="N14" s="15">
        <v>7.0</v>
      </c>
    </row>
    <row r="15">
      <c r="A15" s="33" t="s">
        <v>12</v>
      </c>
      <c r="B15" s="33">
        <v>6.0</v>
      </c>
      <c r="C15" s="33">
        <v>7.0</v>
      </c>
      <c r="D15" s="33">
        <v>8.0</v>
      </c>
      <c r="E15" s="33">
        <v>9.0</v>
      </c>
      <c r="F15" s="15">
        <v>6.0</v>
      </c>
      <c r="G15" s="15">
        <v>7.0</v>
      </c>
      <c r="H15" s="15">
        <v>8.0</v>
      </c>
      <c r="I15" s="15">
        <v>9.0</v>
      </c>
      <c r="J15" s="15">
        <v>6.0</v>
      </c>
      <c r="K15" s="15">
        <v>7.0</v>
      </c>
      <c r="L15" s="15">
        <v>8.0</v>
      </c>
      <c r="M15" s="15">
        <v>9.0</v>
      </c>
      <c r="N15" s="15">
        <v>3.0</v>
      </c>
    </row>
    <row r="16">
      <c r="A16" s="20" t="s">
        <v>58</v>
      </c>
      <c r="B16" s="34">
        <v>0.7</v>
      </c>
      <c r="C16" s="34">
        <f>B16</f>
        <v>0.7</v>
      </c>
      <c r="D16" s="34">
        <f>B16</f>
        <v>0.7</v>
      </c>
      <c r="E16" s="34">
        <f>B16</f>
        <v>0.7</v>
      </c>
      <c r="F16" s="21">
        <v>0.75</v>
      </c>
      <c r="G16" s="28">
        <f>F16</f>
        <v>0.75</v>
      </c>
      <c r="H16" s="28">
        <f>F16</f>
        <v>0.75</v>
      </c>
      <c r="I16" s="28">
        <f>F16</f>
        <v>0.75</v>
      </c>
      <c r="J16" s="21">
        <v>0.8</v>
      </c>
      <c r="K16" s="28">
        <f>J16</f>
        <v>0.8</v>
      </c>
      <c r="L16" s="28">
        <f>J16</f>
        <v>0.8</v>
      </c>
      <c r="M16" s="28">
        <f>J16</f>
        <v>0.8</v>
      </c>
      <c r="N16" s="29">
        <v>0.85</v>
      </c>
    </row>
    <row r="18">
      <c r="A18" s="30" t="s">
        <v>75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>
      <c r="A19" s="33" t="s">
        <v>49</v>
      </c>
      <c r="B19" s="38">
        <v>130.0</v>
      </c>
      <c r="C19" s="40">
        <f t="shared" ref="C19:E19" si="5">B19</f>
        <v>130</v>
      </c>
      <c r="D19" s="33">
        <f t="shared" si="5"/>
        <v>130</v>
      </c>
      <c r="E19" s="33">
        <f t="shared" si="5"/>
        <v>130</v>
      </c>
      <c r="F19" s="15">
        <f>E19+10</f>
        <v>140</v>
      </c>
      <c r="G19" s="15">
        <f t="shared" ref="G19:I19" si="6">F19</f>
        <v>140</v>
      </c>
      <c r="H19" s="15">
        <f t="shared" si="6"/>
        <v>140</v>
      </c>
      <c r="I19" s="15">
        <f t="shared" si="6"/>
        <v>140</v>
      </c>
      <c r="J19" s="15">
        <f>I19+10</f>
        <v>150</v>
      </c>
      <c r="K19" s="15">
        <f t="shared" ref="K19:M19" si="7">J19</f>
        <v>150</v>
      </c>
      <c r="L19" s="15">
        <f t="shared" si="7"/>
        <v>150</v>
      </c>
      <c r="M19" s="15">
        <f t="shared" si="7"/>
        <v>150</v>
      </c>
      <c r="N19" s="15">
        <f>M19+10</f>
        <v>160</v>
      </c>
    </row>
    <row r="20">
      <c r="A20" s="33" t="s">
        <v>39</v>
      </c>
      <c r="B20" s="33">
        <v>4111.0</v>
      </c>
      <c r="C20" s="33">
        <v>4111.0</v>
      </c>
      <c r="D20" s="33">
        <v>4101.0</v>
      </c>
      <c r="E20" s="33">
        <v>4101.0</v>
      </c>
      <c r="F20" s="15">
        <v>4111.0</v>
      </c>
      <c r="G20" s="15">
        <v>4111.0</v>
      </c>
      <c r="H20" s="15">
        <v>4101.0</v>
      </c>
      <c r="I20" s="15">
        <v>4101.0</v>
      </c>
      <c r="J20" s="15">
        <v>3111.0</v>
      </c>
      <c r="K20" s="15">
        <v>3111.0</v>
      </c>
      <c r="L20" s="15">
        <v>3101.0</v>
      </c>
      <c r="M20" s="15">
        <v>3101.0</v>
      </c>
      <c r="N20" s="15">
        <v>4101.0</v>
      </c>
    </row>
    <row r="21">
      <c r="A21" s="33" t="s">
        <v>41</v>
      </c>
      <c r="B21" s="33">
        <v>75.0</v>
      </c>
      <c r="C21" s="33">
        <v>75.0</v>
      </c>
      <c r="D21" s="33">
        <v>60.0</v>
      </c>
      <c r="E21" s="33">
        <v>60.0</v>
      </c>
      <c r="F21" s="15">
        <v>75.0</v>
      </c>
      <c r="G21" s="15">
        <v>75.0</v>
      </c>
      <c r="H21" s="15">
        <v>60.0</v>
      </c>
      <c r="I21" s="15">
        <v>60.0</v>
      </c>
      <c r="J21" s="15">
        <v>75.0</v>
      </c>
      <c r="K21" s="15">
        <v>75.0</v>
      </c>
      <c r="L21" s="15">
        <v>60.0</v>
      </c>
      <c r="M21" s="15">
        <v>60.0</v>
      </c>
      <c r="N21" s="15">
        <v>120.0</v>
      </c>
    </row>
    <row r="22">
      <c r="A22" s="33" t="s">
        <v>50</v>
      </c>
      <c r="B22" s="33">
        <v>6.0</v>
      </c>
      <c r="C22" s="33">
        <v>5.0</v>
      </c>
      <c r="D22" s="33">
        <v>4.0</v>
      </c>
      <c r="E22" s="33">
        <v>4.0</v>
      </c>
      <c r="F22" s="15">
        <v>6.0</v>
      </c>
      <c r="G22" s="15">
        <v>5.0</v>
      </c>
      <c r="H22" s="15">
        <v>4.0</v>
      </c>
      <c r="I22" s="15">
        <v>4.0</v>
      </c>
      <c r="J22" s="15">
        <v>6.0</v>
      </c>
      <c r="K22" s="15">
        <v>5.0</v>
      </c>
      <c r="L22" s="15">
        <v>4.0</v>
      </c>
      <c r="M22" s="15">
        <v>4.0</v>
      </c>
      <c r="N22" s="15">
        <v>7.0</v>
      </c>
    </row>
    <row r="23">
      <c r="A23" s="33" t="s">
        <v>12</v>
      </c>
      <c r="B23" s="33">
        <v>6.0</v>
      </c>
      <c r="C23" s="33">
        <v>7.0</v>
      </c>
      <c r="D23" s="33">
        <v>8.0</v>
      </c>
      <c r="E23" s="33">
        <v>9.0</v>
      </c>
      <c r="F23" s="15">
        <v>6.0</v>
      </c>
      <c r="G23" s="15">
        <v>7.0</v>
      </c>
      <c r="H23" s="15">
        <v>8.0</v>
      </c>
      <c r="I23" s="15">
        <v>9.0</v>
      </c>
      <c r="J23" s="15">
        <v>6.0</v>
      </c>
      <c r="K23" s="15">
        <v>7.0</v>
      </c>
      <c r="L23" s="15">
        <v>8.0</v>
      </c>
      <c r="M23" s="15">
        <v>9.0</v>
      </c>
      <c r="N23" s="15">
        <v>3.0</v>
      </c>
    </row>
    <row r="24">
      <c r="A24" s="20" t="s">
        <v>58</v>
      </c>
      <c r="B24" s="34">
        <v>0.7</v>
      </c>
      <c r="C24" s="34">
        <f>B24</f>
        <v>0.7</v>
      </c>
      <c r="D24" s="34">
        <f>B24</f>
        <v>0.7</v>
      </c>
      <c r="E24" s="34">
        <f>B24</f>
        <v>0.7</v>
      </c>
      <c r="F24" s="21">
        <v>0.75</v>
      </c>
      <c r="G24" s="28">
        <f>F24</f>
        <v>0.75</v>
      </c>
      <c r="H24" s="28">
        <f>F24</f>
        <v>0.75</v>
      </c>
      <c r="I24" s="28">
        <f>F24</f>
        <v>0.75</v>
      </c>
      <c r="J24" s="21">
        <v>0.8</v>
      </c>
      <c r="K24" s="28">
        <f>J24</f>
        <v>0.8</v>
      </c>
      <c r="L24" s="28">
        <f>J24</f>
        <v>0.8</v>
      </c>
      <c r="M24" s="28">
        <f>J24</f>
        <v>0.8</v>
      </c>
      <c r="N24" s="29">
        <v>0.85</v>
      </c>
    </row>
    <row r="26">
      <c r="A26" s="30" t="s">
        <v>76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>
      <c r="A27" s="33" t="s">
        <v>49</v>
      </c>
      <c r="B27" s="38">
        <v>120.0</v>
      </c>
      <c r="C27" s="40">
        <f t="shared" ref="C27:E27" si="8">B27</f>
        <v>120</v>
      </c>
      <c r="D27" s="33">
        <f t="shared" si="8"/>
        <v>120</v>
      </c>
      <c r="E27" s="33">
        <f t="shared" si="8"/>
        <v>120</v>
      </c>
      <c r="F27" s="15">
        <f>E27+10</f>
        <v>130</v>
      </c>
      <c r="G27" s="15">
        <f t="shared" ref="G27:I27" si="9">F27</f>
        <v>130</v>
      </c>
      <c r="H27" s="15">
        <f t="shared" si="9"/>
        <v>130</v>
      </c>
      <c r="I27" s="15">
        <f t="shared" si="9"/>
        <v>130</v>
      </c>
      <c r="J27" s="15">
        <f>I27+10</f>
        <v>140</v>
      </c>
      <c r="K27" s="15">
        <f t="shared" ref="K27:M27" si="10">J27</f>
        <v>140</v>
      </c>
      <c r="L27" s="15">
        <f t="shared" si="10"/>
        <v>140</v>
      </c>
      <c r="M27" s="15">
        <f t="shared" si="10"/>
        <v>140</v>
      </c>
      <c r="N27" s="15">
        <f>M27+10</f>
        <v>150</v>
      </c>
    </row>
    <row r="28">
      <c r="A28" s="33" t="s">
        <v>39</v>
      </c>
      <c r="B28" s="33">
        <v>4111.0</v>
      </c>
      <c r="C28" s="33">
        <v>4111.0</v>
      </c>
      <c r="D28" s="33">
        <v>4101.0</v>
      </c>
      <c r="E28" s="33">
        <v>4101.0</v>
      </c>
      <c r="F28" s="15">
        <v>4111.0</v>
      </c>
      <c r="G28" s="15">
        <v>4111.0</v>
      </c>
      <c r="H28" s="15">
        <v>4101.0</v>
      </c>
      <c r="I28" s="15">
        <v>4101.0</v>
      </c>
      <c r="J28" s="15">
        <v>3111.0</v>
      </c>
      <c r="K28" s="15">
        <v>3111.0</v>
      </c>
      <c r="L28" s="15">
        <v>3101.0</v>
      </c>
      <c r="M28" s="15">
        <v>3101.0</v>
      </c>
      <c r="N28" s="15">
        <v>4101.0</v>
      </c>
    </row>
    <row r="29">
      <c r="A29" s="33" t="s">
        <v>41</v>
      </c>
      <c r="B29" s="33">
        <v>75.0</v>
      </c>
      <c r="C29" s="33">
        <v>75.0</v>
      </c>
      <c r="D29" s="33">
        <v>60.0</v>
      </c>
      <c r="E29" s="33">
        <v>60.0</v>
      </c>
      <c r="F29" s="15">
        <v>75.0</v>
      </c>
      <c r="G29" s="15">
        <v>75.0</v>
      </c>
      <c r="H29" s="15">
        <v>60.0</v>
      </c>
      <c r="I29" s="15">
        <v>60.0</v>
      </c>
      <c r="J29" s="15">
        <v>75.0</v>
      </c>
      <c r="K29" s="15">
        <v>75.0</v>
      </c>
      <c r="L29" s="15">
        <v>60.0</v>
      </c>
      <c r="M29" s="15">
        <v>60.0</v>
      </c>
      <c r="N29" s="15">
        <v>120.0</v>
      </c>
    </row>
    <row r="30">
      <c r="A30" s="33" t="s">
        <v>50</v>
      </c>
      <c r="B30" s="33">
        <v>6.0</v>
      </c>
      <c r="C30" s="33">
        <v>5.0</v>
      </c>
      <c r="D30" s="33">
        <v>4.0</v>
      </c>
      <c r="E30" s="33">
        <v>4.0</v>
      </c>
      <c r="F30" s="15">
        <v>6.0</v>
      </c>
      <c r="G30" s="15">
        <v>5.0</v>
      </c>
      <c r="H30" s="15">
        <v>4.0</v>
      </c>
      <c r="I30" s="15">
        <v>4.0</v>
      </c>
      <c r="J30" s="15">
        <v>6.0</v>
      </c>
      <c r="K30" s="15">
        <v>5.0</v>
      </c>
      <c r="L30" s="15">
        <v>4.0</v>
      </c>
      <c r="M30" s="15">
        <v>4.0</v>
      </c>
      <c r="N30" s="15">
        <v>7.0</v>
      </c>
    </row>
    <row r="31">
      <c r="A31" s="33" t="s">
        <v>12</v>
      </c>
      <c r="B31" s="33">
        <v>6.0</v>
      </c>
      <c r="C31" s="33">
        <v>7.0</v>
      </c>
      <c r="D31" s="33">
        <v>8.0</v>
      </c>
      <c r="E31" s="33">
        <v>9.0</v>
      </c>
      <c r="F31" s="15">
        <v>6.0</v>
      </c>
      <c r="G31" s="15">
        <v>7.0</v>
      </c>
      <c r="H31" s="15">
        <v>8.0</v>
      </c>
      <c r="I31" s="15">
        <v>9.0</v>
      </c>
      <c r="J31" s="15">
        <v>6.0</v>
      </c>
      <c r="K31" s="15">
        <v>7.0</v>
      </c>
      <c r="L31" s="15">
        <v>8.0</v>
      </c>
      <c r="M31" s="15">
        <v>9.0</v>
      </c>
      <c r="N31" s="15">
        <v>3.0</v>
      </c>
    </row>
    <row r="32">
      <c r="A32" s="20" t="s">
        <v>58</v>
      </c>
      <c r="B32" s="34">
        <v>0.7</v>
      </c>
      <c r="C32" s="34">
        <f>B32</f>
        <v>0.7</v>
      </c>
      <c r="D32" s="34">
        <f>B32</f>
        <v>0.7</v>
      </c>
      <c r="E32" s="34">
        <f>B32</f>
        <v>0.7</v>
      </c>
      <c r="F32" s="21">
        <v>0.75</v>
      </c>
      <c r="G32" s="28">
        <f>F32</f>
        <v>0.75</v>
      </c>
      <c r="H32" s="28">
        <f>F32</f>
        <v>0.75</v>
      </c>
      <c r="I32" s="28">
        <f>F32</f>
        <v>0.75</v>
      </c>
      <c r="J32" s="21">
        <v>0.8</v>
      </c>
      <c r="K32" s="28">
        <f>J32</f>
        <v>0.8</v>
      </c>
      <c r="L32" s="28">
        <f>J32</f>
        <v>0.8</v>
      </c>
      <c r="M32" s="28">
        <f>J32</f>
        <v>0.8</v>
      </c>
      <c r="N32" s="29">
        <v>0.85</v>
      </c>
    </row>
    <row r="34">
      <c r="A34" s="30" t="s">
        <v>77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>
      <c r="A35" s="33" t="s">
        <v>49</v>
      </c>
      <c r="B35" s="38">
        <v>65.0</v>
      </c>
      <c r="C35" s="33">
        <f t="shared" ref="C35:E35" si="11">B35</f>
        <v>65</v>
      </c>
      <c r="D35" s="33">
        <f t="shared" si="11"/>
        <v>65</v>
      </c>
      <c r="E35" s="33">
        <f t="shared" si="11"/>
        <v>65</v>
      </c>
      <c r="F35" s="15">
        <f>E35+5</f>
        <v>70</v>
      </c>
      <c r="G35" s="15">
        <f t="shared" ref="G35:I35" si="12">F35</f>
        <v>70</v>
      </c>
      <c r="H35" s="15">
        <f t="shared" si="12"/>
        <v>70</v>
      </c>
      <c r="I35" s="15">
        <f t="shared" si="12"/>
        <v>70</v>
      </c>
      <c r="J35" s="15">
        <f>I35+5</f>
        <v>75</v>
      </c>
      <c r="K35" s="15">
        <f t="shared" ref="K35:M35" si="13">J35</f>
        <v>75</v>
      </c>
      <c r="L35" s="15">
        <f t="shared" si="13"/>
        <v>75</v>
      </c>
      <c r="M35" s="15">
        <f t="shared" si="13"/>
        <v>75</v>
      </c>
      <c r="N35" s="15">
        <f>M35+5</f>
        <v>80</v>
      </c>
    </row>
    <row r="36">
      <c r="A36" s="33" t="s">
        <v>39</v>
      </c>
      <c r="B36" s="33">
        <v>4111.0</v>
      </c>
      <c r="C36" s="33">
        <v>4111.0</v>
      </c>
      <c r="D36" s="33">
        <v>4101.0</v>
      </c>
      <c r="E36" s="33">
        <v>4101.0</v>
      </c>
      <c r="F36" s="15">
        <v>4111.0</v>
      </c>
      <c r="G36" s="15">
        <v>4111.0</v>
      </c>
      <c r="H36" s="15">
        <v>4101.0</v>
      </c>
      <c r="I36" s="15">
        <v>4101.0</v>
      </c>
      <c r="J36" s="15">
        <v>3111.0</v>
      </c>
      <c r="K36" s="15">
        <v>3111.0</v>
      </c>
      <c r="L36" s="15">
        <v>3101.0</v>
      </c>
      <c r="M36" s="15">
        <v>3101.0</v>
      </c>
      <c r="N36" s="15">
        <v>4101.0</v>
      </c>
    </row>
    <row r="37">
      <c r="A37" s="33" t="s">
        <v>41</v>
      </c>
      <c r="B37" s="33">
        <v>75.0</v>
      </c>
      <c r="C37" s="33">
        <v>75.0</v>
      </c>
      <c r="D37" s="33">
        <v>60.0</v>
      </c>
      <c r="E37" s="33">
        <v>60.0</v>
      </c>
      <c r="F37" s="15">
        <v>75.0</v>
      </c>
      <c r="G37" s="15">
        <v>75.0</v>
      </c>
      <c r="H37" s="15">
        <v>60.0</v>
      </c>
      <c r="I37" s="15">
        <v>60.0</v>
      </c>
      <c r="J37" s="15">
        <v>75.0</v>
      </c>
      <c r="K37" s="15">
        <v>75.0</v>
      </c>
      <c r="L37" s="15">
        <v>60.0</v>
      </c>
      <c r="M37" s="15">
        <v>60.0</v>
      </c>
      <c r="N37" s="15">
        <v>120.0</v>
      </c>
    </row>
    <row r="38">
      <c r="A38" s="33" t="s">
        <v>50</v>
      </c>
      <c r="B38" s="33">
        <v>6.0</v>
      </c>
      <c r="C38" s="33">
        <v>5.0</v>
      </c>
      <c r="D38" s="33">
        <v>4.0</v>
      </c>
      <c r="E38" s="33">
        <v>4.0</v>
      </c>
      <c r="F38" s="15">
        <v>6.0</v>
      </c>
      <c r="G38" s="15">
        <v>5.0</v>
      </c>
      <c r="H38" s="15">
        <v>4.0</v>
      </c>
      <c r="I38" s="15">
        <v>4.0</v>
      </c>
      <c r="J38" s="15">
        <v>6.0</v>
      </c>
      <c r="K38" s="15">
        <v>5.0</v>
      </c>
      <c r="L38" s="15">
        <v>4.0</v>
      </c>
      <c r="M38" s="15">
        <v>4.0</v>
      </c>
      <c r="N38" s="15">
        <v>7.0</v>
      </c>
    </row>
    <row r="39">
      <c r="A39" s="33" t="s">
        <v>12</v>
      </c>
      <c r="B39" s="33">
        <v>6.0</v>
      </c>
      <c r="C39" s="33">
        <v>7.0</v>
      </c>
      <c r="D39" s="33">
        <v>8.0</v>
      </c>
      <c r="E39" s="33">
        <v>9.0</v>
      </c>
      <c r="F39" s="15">
        <v>6.0</v>
      </c>
      <c r="G39" s="15">
        <v>7.0</v>
      </c>
      <c r="H39" s="15">
        <v>8.0</v>
      </c>
      <c r="I39" s="15">
        <v>9.0</v>
      </c>
      <c r="J39" s="15">
        <v>6.0</v>
      </c>
      <c r="K39" s="15">
        <v>7.0</v>
      </c>
      <c r="L39" s="15">
        <v>8.0</v>
      </c>
      <c r="M39" s="15">
        <v>9.0</v>
      </c>
      <c r="N39" s="15">
        <v>3.0</v>
      </c>
    </row>
    <row r="40">
      <c r="A40" s="20" t="s">
        <v>58</v>
      </c>
      <c r="B40" s="34">
        <v>0.7</v>
      </c>
      <c r="C40" s="34">
        <f>B40</f>
        <v>0.7</v>
      </c>
      <c r="D40" s="34">
        <f>B40</f>
        <v>0.7</v>
      </c>
      <c r="E40" s="34">
        <f>B40</f>
        <v>0.7</v>
      </c>
      <c r="F40" s="21">
        <v>0.75</v>
      </c>
      <c r="G40" s="28">
        <f>F40</f>
        <v>0.75</v>
      </c>
      <c r="H40" s="28">
        <f>F40</f>
        <v>0.75</v>
      </c>
      <c r="I40" s="28">
        <f>F40</f>
        <v>0.75</v>
      </c>
      <c r="J40" s="21">
        <v>0.8</v>
      </c>
      <c r="K40" s="28">
        <f>J40</f>
        <v>0.8</v>
      </c>
      <c r="L40" s="28">
        <f>J40</f>
        <v>0.8</v>
      </c>
      <c r="M40" s="28">
        <f>J40</f>
        <v>0.8</v>
      </c>
      <c r="N40" s="29">
        <v>0.85</v>
      </c>
    </row>
    <row r="42">
      <c r="A42" s="19" t="s">
        <v>67</v>
      </c>
      <c r="N42" s="19"/>
    </row>
    <row r="43">
      <c r="A43" s="20" t="s">
        <v>49</v>
      </c>
      <c r="B43" s="14" t="s">
        <v>35</v>
      </c>
      <c r="C43" s="14" t="s">
        <v>35</v>
      </c>
      <c r="D43" s="14" t="s">
        <v>35</v>
      </c>
      <c r="E43" s="15">
        <f>Wednesday!D23</f>
        <v>235</v>
      </c>
      <c r="F43" s="14" t="s">
        <v>35</v>
      </c>
      <c r="G43" s="14" t="s">
        <v>35</v>
      </c>
      <c r="H43" s="14" t="s">
        <v>35</v>
      </c>
      <c r="I43" s="15">
        <f>Wednesday!H23</f>
        <v>240</v>
      </c>
      <c r="J43" s="14" t="s">
        <v>35</v>
      </c>
      <c r="K43" s="14" t="s">
        <v>35</v>
      </c>
      <c r="L43" s="14" t="s">
        <v>35</v>
      </c>
      <c r="M43" s="15">
        <f>Wednesday!L23</f>
        <v>245</v>
      </c>
      <c r="N43" s="14" t="s">
        <v>35</v>
      </c>
      <c r="O43" s="15"/>
      <c r="P43" s="15"/>
      <c r="Q43" s="15"/>
      <c r="R43" s="14"/>
      <c r="S43" s="15"/>
      <c r="T43" s="15"/>
      <c r="U43" s="15"/>
      <c r="V43" s="14"/>
      <c r="W43" s="15"/>
      <c r="X43" s="15"/>
      <c r="Y43" s="15"/>
      <c r="Z43" s="15"/>
    </row>
    <row r="44">
      <c r="A44" s="20" t="s">
        <v>39</v>
      </c>
      <c r="B44" s="14"/>
      <c r="C44" s="14"/>
      <c r="D44" s="14"/>
      <c r="E44" s="15">
        <v>3101.0</v>
      </c>
      <c r="F44" s="14"/>
      <c r="G44" s="14"/>
      <c r="H44" s="14"/>
      <c r="I44" s="15">
        <v>3101.0</v>
      </c>
      <c r="J44" s="14"/>
      <c r="K44" s="14"/>
      <c r="L44" s="14"/>
      <c r="M44" s="15">
        <v>3101.0</v>
      </c>
      <c r="N44" s="14"/>
      <c r="O44" s="15"/>
      <c r="P44" s="15"/>
      <c r="Q44" s="15"/>
      <c r="R44" s="14"/>
      <c r="S44" s="15"/>
      <c r="T44" s="15"/>
      <c r="U44" s="15"/>
      <c r="V44" s="14"/>
      <c r="W44" s="15"/>
      <c r="X44" s="15"/>
      <c r="Y44" s="15"/>
      <c r="Z44" s="15"/>
    </row>
    <row r="45">
      <c r="A45" s="20" t="s">
        <v>41</v>
      </c>
      <c r="B45" s="14"/>
      <c r="C45" s="14"/>
      <c r="D45" s="14"/>
      <c r="E45" s="15">
        <v>60.0</v>
      </c>
      <c r="F45" s="14"/>
      <c r="G45" s="14"/>
      <c r="H45" s="14"/>
      <c r="I45" s="15">
        <v>60.0</v>
      </c>
      <c r="J45" s="14"/>
      <c r="K45" s="14"/>
      <c r="L45" s="14"/>
      <c r="M45" s="15">
        <v>60.0</v>
      </c>
      <c r="N45" s="14"/>
      <c r="O45" s="15"/>
      <c r="P45" s="15"/>
      <c r="Q45" s="15"/>
      <c r="R45" s="14"/>
      <c r="S45" s="15"/>
      <c r="T45" s="15"/>
      <c r="U45" s="15"/>
      <c r="V45" s="14"/>
      <c r="W45" s="15"/>
      <c r="X45" s="15"/>
      <c r="Y45" s="15"/>
      <c r="Z45" s="15"/>
    </row>
    <row r="46">
      <c r="A46" s="20" t="s">
        <v>50</v>
      </c>
      <c r="B46" s="14"/>
      <c r="C46" s="14"/>
      <c r="D46" s="14"/>
      <c r="E46" s="15">
        <v>4.0</v>
      </c>
      <c r="F46" s="14"/>
      <c r="G46" s="14"/>
      <c r="H46" s="14"/>
      <c r="I46" s="15">
        <v>4.0</v>
      </c>
      <c r="J46" s="14"/>
      <c r="K46" s="14"/>
      <c r="L46" s="14"/>
      <c r="M46" s="15">
        <v>4.0</v>
      </c>
      <c r="N46" s="14"/>
      <c r="O46" s="15"/>
      <c r="P46" s="15"/>
      <c r="Q46" s="15"/>
      <c r="R46" s="14"/>
      <c r="S46" s="15"/>
      <c r="T46" s="15"/>
      <c r="U46" s="15"/>
      <c r="V46" s="14"/>
      <c r="W46" s="15"/>
      <c r="X46" s="15"/>
      <c r="Y46" s="15"/>
      <c r="Z46" s="15"/>
    </row>
    <row r="47">
      <c r="A47" s="20" t="s">
        <v>12</v>
      </c>
      <c r="B47" s="14"/>
      <c r="C47" s="14"/>
      <c r="D47" s="14"/>
      <c r="E47" s="15">
        <v>9.0</v>
      </c>
      <c r="F47" s="14"/>
      <c r="G47" s="14"/>
      <c r="H47" s="14"/>
      <c r="I47" s="15">
        <v>9.0</v>
      </c>
      <c r="J47" s="14"/>
      <c r="K47" s="14"/>
      <c r="L47" s="14"/>
      <c r="M47" s="15">
        <v>9.0</v>
      </c>
      <c r="N47" s="14"/>
      <c r="O47" s="15"/>
      <c r="P47" s="15"/>
      <c r="Q47" s="15"/>
      <c r="R47" s="14"/>
      <c r="S47" s="15"/>
      <c r="T47" s="15"/>
      <c r="U47" s="15"/>
      <c r="V47" s="14"/>
      <c r="W47" s="15"/>
      <c r="X47" s="15"/>
      <c r="Y47" s="15"/>
      <c r="Z47" s="15"/>
    </row>
    <row r="48">
      <c r="A48" s="20" t="s">
        <v>58</v>
      </c>
      <c r="B48" s="35"/>
      <c r="C48" s="35"/>
      <c r="D48" s="35"/>
      <c r="E48" s="28" t="str">
        <f>B48</f>
        <v/>
      </c>
      <c r="F48" s="35"/>
      <c r="G48" s="35"/>
      <c r="H48" s="35"/>
      <c r="I48" s="28" t="str">
        <f>F48</f>
        <v/>
      </c>
      <c r="J48" s="35"/>
      <c r="K48" s="35"/>
      <c r="L48" s="35"/>
      <c r="M48" s="28" t="str">
        <f>J48</f>
        <v/>
      </c>
      <c r="N48" s="14"/>
      <c r="O48" s="21"/>
      <c r="P48" s="21"/>
      <c r="Q48" s="21"/>
      <c r="R48" s="35"/>
      <c r="S48" s="21"/>
      <c r="T48" s="9"/>
      <c r="U48" s="9"/>
      <c r="V48" s="36"/>
      <c r="W48" s="21"/>
      <c r="X48" s="9"/>
      <c r="Y48" s="9"/>
      <c r="Z48" s="9"/>
    </row>
    <row r="49">
      <c r="B49" s="41"/>
      <c r="C49" s="41"/>
      <c r="D49" s="41"/>
      <c r="N49" s="41"/>
    </row>
    <row r="50">
      <c r="A50" s="19" t="s">
        <v>78</v>
      </c>
      <c r="B50" s="41"/>
      <c r="C50" s="41"/>
      <c r="D50" s="41"/>
      <c r="N50" s="13"/>
    </row>
    <row r="51">
      <c r="A51" s="20" t="s">
        <v>49</v>
      </c>
      <c r="B51" s="14" t="s">
        <v>35</v>
      </c>
      <c r="C51" s="14" t="s">
        <v>35</v>
      </c>
      <c r="D51" s="14" t="s">
        <v>35</v>
      </c>
      <c r="E51" s="15">
        <f>Friday!D31</f>
        <v>150</v>
      </c>
      <c r="F51" s="14" t="s">
        <v>35</v>
      </c>
      <c r="G51" s="14" t="s">
        <v>35</v>
      </c>
      <c r="H51" s="14" t="s">
        <v>35</v>
      </c>
      <c r="I51" s="15">
        <f>Friday!H31</f>
        <v>155</v>
      </c>
      <c r="J51" s="14" t="s">
        <v>35</v>
      </c>
      <c r="K51" s="14" t="s">
        <v>35</v>
      </c>
      <c r="L51" s="14" t="s">
        <v>35</v>
      </c>
      <c r="M51" s="15">
        <f>Friday!L31</f>
        <v>160</v>
      </c>
      <c r="N51" s="14" t="s">
        <v>35</v>
      </c>
      <c r="O51" s="15"/>
      <c r="P51" s="15"/>
      <c r="Q51" s="15"/>
      <c r="R51" s="14"/>
      <c r="S51" s="15"/>
      <c r="T51" s="15"/>
      <c r="U51" s="15"/>
      <c r="V51" s="14"/>
      <c r="W51" s="15"/>
      <c r="X51" s="15"/>
      <c r="Y51" s="15"/>
      <c r="Z51" s="15"/>
    </row>
    <row r="52">
      <c r="A52" s="20" t="s">
        <v>39</v>
      </c>
      <c r="B52" s="14"/>
      <c r="C52" s="14"/>
      <c r="D52" s="14"/>
      <c r="E52" s="15">
        <v>3101.0</v>
      </c>
      <c r="F52" s="14"/>
      <c r="G52" s="14"/>
      <c r="H52" s="14"/>
      <c r="I52" s="15">
        <v>3101.0</v>
      </c>
      <c r="J52" s="14"/>
      <c r="K52" s="14"/>
      <c r="L52" s="14"/>
      <c r="M52" s="15">
        <v>3101.0</v>
      </c>
      <c r="N52" s="14"/>
      <c r="O52" s="15"/>
      <c r="P52" s="15"/>
      <c r="Q52" s="15"/>
      <c r="R52" s="14"/>
      <c r="S52" s="15"/>
      <c r="T52" s="15"/>
      <c r="U52" s="15"/>
      <c r="V52" s="14"/>
      <c r="W52" s="15"/>
      <c r="X52" s="15"/>
      <c r="Y52" s="15"/>
      <c r="Z52" s="15"/>
    </row>
    <row r="53">
      <c r="A53" s="20" t="s">
        <v>41</v>
      </c>
      <c r="B53" s="14"/>
      <c r="C53" s="14"/>
      <c r="D53" s="14"/>
      <c r="E53" s="15">
        <v>60.0</v>
      </c>
      <c r="F53" s="14"/>
      <c r="G53" s="14"/>
      <c r="H53" s="14"/>
      <c r="I53" s="15">
        <v>60.0</v>
      </c>
      <c r="J53" s="14"/>
      <c r="K53" s="14"/>
      <c r="L53" s="14"/>
      <c r="M53" s="15">
        <v>60.0</v>
      </c>
      <c r="N53" s="14"/>
      <c r="O53" s="15"/>
      <c r="P53" s="15"/>
      <c r="Q53" s="15"/>
      <c r="R53" s="14"/>
      <c r="S53" s="15"/>
      <c r="T53" s="15"/>
      <c r="U53" s="15"/>
      <c r="V53" s="14"/>
      <c r="W53" s="15"/>
      <c r="X53" s="15"/>
      <c r="Y53" s="15"/>
      <c r="Z53" s="15"/>
    </row>
    <row r="54">
      <c r="A54" s="20" t="s">
        <v>50</v>
      </c>
      <c r="B54" s="14"/>
      <c r="C54" s="14"/>
      <c r="D54" s="14"/>
      <c r="E54" s="15">
        <v>4.0</v>
      </c>
      <c r="F54" s="14"/>
      <c r="G54" s="14"/>
      <c r="H54" s="14"/>
      <c r="I54" s="15">
        <v>4.0</v>
      </c>
      <c r="J54" s="14"/>
      <c r="K54" s="14"/>
      <c r="L54" s="14"/>
      <c r="M54" s="15">
        <v>4.0</v>
      </c>
      <c r="N54" s="14"/>
      <c r="O54" s="15"/>
      <c r="P54" s="15"/>
      <c r="Q54" s="15"/>
      <c r="R54" s="14"/>
      <c r="S54" s="15"/>
      <c r="T54" s="15"/>
      <c r="U54" s="15"/>
      <c r="V54" s="14"/>
      <c r="W54" s="15"/>
      <c r="X54" s="15"/>
      <c r="Y54" s="15"/>
      <c r="Z54" s="15"/>
    </row>
    <row r="55">
      <c r="A55" s="20" t="s">
        <v>12</v>
      </c>
      <c r="B55" s="14"/>
      <c r="C55" s="14"/>
      <c r="D55" s="14"/>
      <c r="E55" s="15">
        <v>9.0</v>
      </c>
      <c r="F55" s="14"/>
      <c r="G55" s="14"/>
      <c r="H55" s="14"/>
      <c r="I55" s="15">
        <v>9.0</v>
      </c>
      <c r="J55" s="14"/>
      <c r="K55" s="14"/>
      <c r="L55" s="14"/>
      <c r="M55" s="15">
        <v>9.0</v>
      </c>
      <c r="N55" s="14"/>
      <c r="O55" s="15"/>
      <c r="P55" s="15"/>
      <c r="Q55" s="15"/>
      <c r="R55" s="14"/>
      <c r="S55" s="15"/>
      <c r="T55" s="15"/>
      <c r="U55" s="15"/>
      <c r="V55" s="14"/>
      <c r="W55" s="15"/>
      <c r="X55" s="15"/>
      <c r="Y55" s="15"/>
      <c r="Z55" s="15"/>
    </row>
    <row r="56">
      <c r="A56" s="20" t="s">
        <v>58</v>
      </c>
      <c r="B56" s="35"/>
      <c r="C56" s="35"/>
      <c r="D56" s="35"/>
      <c r="E56" s="28" t="str">
        <f>B56</f>
        <v/>
      </c>
      <c r="F56" s="35"/>
      <c r="G56" s="35"/>
      <c r="H56" s="35"/>
      <c r="I56" s="28" t="str">
        <f>F56</f>
        <v/>
      </c>
      <c r="J56" s="35"/>
      <c r="K56" s="35"/>
      <c r="L56" s="35"/>
      <c r="M56" s="28" t="str">
        <f>J56</f>
        <v/>
      </c>
      <c r="N56" s="14"/>
      <c r="O56" s="21"/>
      <c r="P56" s="21"/>
      <c r="Q56" s="21"/>
      <c r="R56" s="35"/>
      <c r="S56" s="21"/>
      <c r="T56" s="9"/>
      <c r="U56" s="9"/>
      <c r="V56" s="36"/>
      <c r="W56" s="21"/>
      <c r="X56" s="9"/>
      <c r="Y56" s="9"/>
      <c r="Z56" s="9"/>
    </row>
    <row r="57">
      <c r="A57" s="19"/>
      <c r="B57" s="41"/>
      <c r="C57" s="41"/>
      <c r="D57" s="41"/>
      <c r="N57" s="13"/>
    </row>
    <row r="58">
      <c r="A58" s="19" t="s">
        <v>68</v>
      </c>
      <c r="B58" s="41"/>
      <c r="C58" s="41"/>
      <c r="D58" s="41"/>
      <c r="N58" s="13"/>
    </row>
    <row r="59">
      <c r="A59" s="20" t="s">
        <v>49</v>
      </c>
      <c r="B59" s="14" t="s">
        <v>35</v>
      </c>
      <c r="C59" s="14" t="s">
        <v>35</v>
      </c>
      <c r="D59" s="14" t="s">
        <v>35</v>
      </c>
      <c r="E59" s="15">
        <f>Wednesday!D31</f>
        <v>315</v>
      </c>
      <c r="F59" s="14" t="s">
        <v>35</v>
      </c>
      <c r="G59" s="14" t="s">
        <v>35</v>
      </c>
      <c r="H59" s="14" t="s">
        <v>35</v>
      </c>
      <c r="I59" s="15">
        <f>Wednesday!H31</f>
        <v>320</v>
      </c>
      <c r="J59" s="14" t="s">
        <v>35</v>
      </c>
      <c r="K59" s="14" t="s">
        <v>35</v>
      </c>
      <c r="L59" s="14" t="s">
        <v>35</v>
      </c>
      <c r="M59" s="15">
        <f>Wednesday!L31</f>
        <v>325</v>
      </c>
      <c r="N59" s="14" t="s">
        <v>35</v>
      </c>
      <c r="O59" s="15"/>
      <c r="P59" s="15"/>
      <c r="Q59" s="15"/>
      <c r="R59" s="14"/>
      <c r="S59" s="15"/>
      <c r="T59" s="15"/>
      <c r="U59" s="15"/>
      <c r="V59" s="14"/>
      <c r="W59" s="15"/>
      <c r="X59" s="15"/>
      <c r="Y59" s="15"/>
      <c r="Z59" s="15"/>
    </row>
    <row r="60">
      <c r="A60" s="20" t="s">
        <v>39</v>
      </c>
      <c r="B60" s="14"/>
      <c r="C60" s="14"/>
      <c r="D60" s="14"/>
      <c r="E60" s="15">
        <v>3101.0</v>
      </c>
      <c r="F60" s="14"/>
      <c r="G60" s="14"/>
      <c r="H60" s="14"/>
      <c r="I60" s="15">
        <v>3101.0</v>
      </c>
      <c r="J60" s="14"/>
      <c r="K60" s="14"/>
      <c r="L60" s="14"/>
      <c r="M60" s="15">
        <v>3101.0</v>
      </c>
      <c r="N60" s="14"/>
      <c r="O60" s="15"/>
      <c r="P60" s="15"/>
      <c r="Q60" s="15"/>
      <c r="R60" s="14"/>
      <c r="S60" s="15"/>
      <c r="T60" s="15"/>
      <c r="U60" s="15"/>
      <c r="V60" s="14"/>
      <c r="W60" s="15"/>
      <c r="X60" s="15"/>
      <c r="Y60" s="15"/>
      <c r="Z60" s="15"/>
    </row>
    <row r="61">
      <c r="A61" s="20" t="s">
        <v>41</v>
      </c>
      <c r="B61" s="14"/>
      <c r="C61" s="14"/>
      <c r="D61" s="14"/>
      <c r="E61" s="15">
        <v>60.0</v>
      </c>
      <c r="F61" s="14"/>
      <c r="G61" s="14"/>
      <c r="H61" s="14"/>
      <c r="I61" s="15">
        <v>60.0</v>
      </c>
      <c r="J61" s="14"/>
      <c r="K61" s="14"/>
      <c r="L61" s="14"/>
      <c r="M61" s="15">
        <v>60.0</v>
      </c>
      <c r="N61" s="14"/>
      <c r="O61" s="15"/>
      <c r="P61" s="15"/>
      <c r="Q61" s="15"/>
      <c r="R61" s="14"/>
      <c r="S61" s="15"/>
      <c r="T61" s="15"/>
      <c r="U61" s="15"/>
      <c r="V61" s="14"/>
      <c r="W61" s="15"/>
      <c r="X61" s="15"/>
      <c r="Y61" s="15"/>
      <c r="Z61" s="15"/>
    </row>
    <row r="62">
      <c r="A62" s="20" t="s">
        <v>50</v>
      </c>
      <c r="B62" s="14"/>
      <c r="C62" s="14"/>
      <c r="D62" s="14"/>
      <c r="E62" s="15">
        <v>4.0</v>
      </c>
      <c r="F62" s="14"/>
      <c r="G62" s="14"/>
      <c r="H62" s="14"/>
      <c r="I62" s="15">
        <v>4.0</v>
      </c>
      <c r="J62" s="14"/>
      <c r="K62" s="14"/>
      <c r="L62" s="14"/>
      <c r="M62" s="15">
        <v>4.0</v>
      </c>
      <c r="N62" s="14"/>
      <c r="O62" s="15"/>
      <c r="P62" s="15"/>
      <c r="Q62" s="15"/>
      <c r="R62" s="14"/>
      <c r="S62" s="15"/>
      <c r="T62" s="15"/>
      <c r="U62" s="15"/>
      <c r="V62" s="14"/>
      <c r="W62" s="15"/>
      <c r="X62" s="15"/>
      <c r="Y62" s="15"/>
      <c r="Z62" s="15"/>
    </row>
    <row r="63">
      <c r="A63" s="20" t="s">
        <v>12</v>
      </c>
      <c r="B63" s="14"/>
      <c r="C63" s="14"/>
      <c r="D63" s="14"/>
      <c r="E63" s="15">
        <v>9.0</v>
      </c>
      <c r="F63" s="14"/>
      <c r="G63" s="14"/>
      <c r="H63" s="14"/>
      <c r="I63" s="15">
        <v>9.0</v>
      </c>
      <c r="J63" s="14"/>
      <c r="K63" s="14"/>
      <c r="L63" s="14"/>
      <c r="M63" s="15">
        <v>9.0</v>
      </c>
      <c r="N63" s="14"/>
      <c r="O63" s="15"/>
      <c r="P63" s="15"/>
      <c r="Q63" s="15"/>
      <c r="R63" s="14"/>
      <c r="S63" s="15"/>
      <c r="T63" s="15"/>
      <c r="U63" s="15"/>
      <c r="V63" s="14"/>
      <c r="W63" s="15"/>
      <c r="X63" s="15"/>
      <c r="Y63" s="15"/>
      <c r="Z63" s="15"/>
    </row>
    <row r="64">
      <c r="A64" s="20" t="s">
        <v>58</v>
      </c>
      <c r="B64" s="35"/>
      <c r="C64" s="35"/>
      <c r="D64" s="35"/>
      <c r="E64" s="28" t="str">
        <f>B64</f>
        <v/>
      </c>
      <c r="F64" s="35"/>
      <c r="G64" s="35"/>
      <c r="H64" s="35"/>
      <c r="I64" s="28" t="str">
        <f>F64</f>
        <v/>
      </c>
      <c r="J64" s="35"/>
      <c r="K64" s="35"/>
      <c r="L64" s="35"/>
      <c r="M64" s="28" t="str">
        <f>J64</f>
        <v/>
      </c>
      <c r="N64" s="14"/>
      <c r="O64" s="21"/>
      <c r="P64" s="21"/>
      <c r="Q64" s="21"/>
      <c r="R64" s="35"/>
      <c r="S64" s="21"/>
      <c r="T64" s="9"/>
      <c r="U64" s="9"/>
      <c r="V64" s="36"/>
      <c r="W64" s="21"/>
      <c r="X64" s="9"/>
      <c r="Y64" s="9"/>
      <c r="Z64" s="9"/>
    </row>
    <row r="65">
      <c r="B65" s="41"/>
      <c r="C65" s="41"/>
      <c r="D65" s="41"/>
      <c r="N65" s="41"/>
    </row>
    <row r="66">
      <c r="A66" s="19" t="s">
        <v>69</v>
      </c>
      <c r="N66" s="13"/>
    </row>
    <row r="67">
      <c r="A67" s="20" t="s">
        <v>49</v>
      </c>
      <c r="B67" s="18" t="s">
        <v>35</v>
      </c>
      <c r="C67" s="18" t="s">
        <v>35</v>
      </c>
      <c r="D67" s="18" t="s">
        <v>35</v>
      </c>
      <c r="E67" s="15">
        <f>Wednesday!D39</f>
        <v>110</v>
      </c>
      <c r="F67" s="14" t="s">
        <v>35</v>
      </c>
      <c r="G67" s="14" t="s">
        <v>35</v>
      </c>
      <c r="H67" s="14" t="s">
        <v>35</v>
      </c>
      <c r="I67" s="15">
        <f>Wednesday!H39</f>
        <v>120</v>
      </c>
      <c r="J67" s="14" t="s">
        <v>35</v>
      </c>
      <c r="K67" s="14" t="s">
        <v>35</v>
      </c>
      <c r="L67" s="14" t="s">
        <v>35</v>
      </c>
      <c r="M67" s="15">
        <f>Wednesday!L39</f>
        <v>130</v>
      </c>
      <c r="N67" s="14" t="s">
        <v>35</v>
      </c>
      <c r="O67" s="40"/>
      <c r="P67" s="15"/>
      <c r="Q67" s="15"/>
      <c r="R67" s="14"/>
      <c r="S67" s="15"/>
      <c r="T67" s="15"/>
      <c r="U67" s="15"/>
      <c r="V67" s="14"/>
      <c r="W67" s="15"/>
      <c r="X67" s="15"/>
      <c r="Y67" s="15"/>
      <c r="Z67" s="15"/>
    </row>
    <row r="68">
      <c r="A68" s="20" t="s">
        <v>39</v>
      </c>
      <c r="B68" s="42"/>
      <c r="C68" s="14"/>
      <c r="D68" s="14"/>
      <c r="E68" s="15">
        <v>3101.0</v>
      </c>
      <c r="F68" s="14"/>
      <c r="G68" s="14"/>
      <c r="H68" s="14"/>
      <c r="I68" s="15">
        <v>3101.0</v>
      </c>
      <c r="J68" s="14"/>
      <c r="K68" s="14"/>
      <c r="L68" s="14"/>
      <c r="M68" s="15">
        <v>3101.0</v>
      </c>
      <c r="N68" s="14"/>
      <c r="O68" s="39"/>
      <c r="P68" s="15"/>
      <c r="Q68" s="15"/>
      <c r="R68" s="14"/>
      <c r="S68" s="15"/>
      <c r="T68" s="15"/>
      <c r="U68" s="15"/>
      <c r="V68" s="14"/>
      <c r="W68" s="15"/>
      <c r="X68" s="15"/>
      <c r="Y68" s="15"/>
      <c r="Z68" s="15"/>
    </row>
    <row r="69">
      <c r="A69" s="20" t="s">
        <v>41</v>
      </c>
      <c r="B69" s="42"/>
      <c r="C69" s="14"/>
      <c r="D69" s="14"/>
      <c r="E69" s="15">
        <v>60.0</v>
      </c>
      <c r="F69" s="14"/>
      <c r="G69" s="14"/>
      <c r="H69" s="14"/>
      <c r="I69" s="15">
        <v>60.0</v>
      </c>
      <c r="J69" s="14"/>
      <c r="K69" s="14"/>
      <c r="L69" s="14"/>
      <c r="M69" s="15">
        <v>60.0</v>
      </c>
      <c r="N69" s="14"/>
      <c r="O69" s="39"/>
      <c r="P69" s="15"/>
      <c r="Q69" s="15"/>
      <c r="R69" s="14"/>
      <c r="S69" s="15"/>
      <c r="T69" s="15"/>
      <c r="U69" s="15"/>
      <c r="V69" s="14"/>
      <c r="W69" s="15"/>
      <c r="X69" s="15"/>
      <c r="Y69" s="15"/>
      <c r="Z69" s="15"/>
    </row>
    <row r="70">
      <c r="A70" s="20" t="s">
        <v>50</v>
      </c>
      <c r="B70" s="43"/>
      <c r="C70" s="14"/>
      <c r="D70" s="14"/>
      <c r="E70" s="15">
        <v>4.0</v>
      </c>
      <c r="F70" s="14"/>
      <c r="G70" s="14"/>
      <c r="H70" s="14"/>
      <c r="I70" s="15">
        <v>4.0</v>
      </c>
      <c r="J70" s="14"/>
      <c r="K70" s="14"/>
      <c r="L70" s="14"/>
      <c r="M70" s="15">
        <v>4.0</v>
      </c>
      <c r="N70" s="14"/>
      <c r="O70" s="40"/>
      <c r="P70" s="15"/>
      <c r="Q70" s="15"/>
      <c r="R70" s="14"/>
      <c r="S70" s="15"/>
      <c r="T70" s="15"/>
      <c r="U70" s="15"/>
      <c r="V70" s="14"/>
      <c r="W70" s="15"/>
      <c r="X70" s="15"/>
      <c r="Y70" s="15"/>
      <c r="Z70" s="15"/>
    </row>
    <row r="71">
      <c r="A71" s="20" t="s">
        <v>12</v>
      </c>
      <c r="B71" s="43"/>
      <c r="C71" s="14"/>
      <c r="D71" s="14"/>
      <c r="E71" s="15">
        <v>9.0</v>
      </c>
      <c r="F71" s="14"/>
      <c r="G71" s="14"/>
      <c r="H71" s="14"/>
      <c r="I71" s="15">
        <v>9.0</v>
      </c>
      <c r="J71" s="14"/>
      <c r="K71" s="14"/>
      <c r="L71" s="14"/>
      <c r="M71" s="15">
        <v>9.0</v>
      </c>
      <c r="N71" s="14"/>
      <c r="O71" s="40"/>
      <c r="P71" s="15"/>
      <c r="Q71" s="15"/>
      <c r="R71" s="14"/>
      <c r="S71" s="15"/>
      <c r="T71" s="15"/>
      <c r="U71" s="15"/>
      <c r="V71" s="14"/>
      <c r="W71" s="15"/>
      <c r="X71" s="15"/>
      <c r="Y71" s="15"/>
      <c r="Z71" s="15"/>
    </row>
    <row r="72">
      <c r="A72" s="20" t="s">
        <v>58</v>
      </c>
      <c r="B72" s="44"/>
      <c r="C72" s="35"/>
      <c r="D72" s="35"/>
      <c r="E72" s="28" t="str">
        <f>B72</f>
        <v/>
      </c>
      <c r="F72" s="35"/>
      <c r="G72" s="35"/>
      <c r="H72" s="35"/>
      <c r="I72" s="28" t="str">
        <f>F72</f>
        <v/>
      </c>
      <c r="J72" s="35"/>
      <c r="K72" s="35"/>
      <c r="L72" s="35"/>
      <c r="M72" s="28" t="str">
        <f>J72</f>
        <v/>
      </c>
      <c r="N72" s="14"/>
      <c r="O72" s="34"/>
      <c r="P72" s="21"/>
      <c r="Q72" s="21"/>
      <c r="R72" s="35"/>
      <c r="S72" s="21"/>
      <c r="T72" s="9"/>
      <c r="U72" s="9"/>
      <c r="V72" s="36"/>
      <c r="W72" s="21"/>
      <c r="X72" s="9"/>
      <c r="Y72" s="9"/>
      <c r="Z72" s="9"/>
    </row>
    <row r="73">
      <c r="B73" s="44"/>
      <c r="C73" s="41"/>
      <c r="D73" s="41"/>
      <c r="N73" s="41"/>
      <c r="O73" s="34"/>
    </row>
    <row r="74">
      <c r="A74" s="19" t="s">
        <v>70</v>
      </c>
      <c r="N74" s="13"/>
    </row>
    <row r="75">
      <c r="A75" s="20" t="s">
        <v>49</v>
      </c>
      <c r="B75" s="18" t="s">
        <v>35</v>
      </c>
      <c r="C75" s="18" t="s">
        <v>35</v>
      </c>
      <c r="D75" s="18" t="s">
        <v>35</v>
      </c>
      <c r="E75" s="15">
        <f>Wednesday!D47</f>
        <v>90</v>
      </c>
      <c r="F75" s="14" t="s">
        <v>35</v>
      </c>
      <c r="G75" s="14" t="s">
        <v>35</v>
      </c>
      <c r="H75" s="14" t="s">
        <v>35</v>
      </c>
      <c r="I75" s="15">
        <f>Wednesday!H47</f>
        <v>100</v>
      </c>
      <c r="J75" s="14" t="s">
        <v>35</v>
      </c>
      <c r="K75" s="14" t="s">
        <v>35</v>
      </c>
      <c r="L75" s="14" t="s">
        <v>35</v>
      </c>
      <c r="M75" s="15">
        <f>Wednesday!L47</f>
        <v>110</v>
      </c>
      <c r="N75" s="14" t="s">
        <v>35</v>
      </c>
      <c r="O75" s="40"/>
      <c r="P75" s="15"/>
      <c r="Q75" s="15"/>
      <c r="R75" s="14"/>
      <c r="S75" s="15"/>
      <c r="T75" s="15"/>
      <c r="U75" s="15"/>
      <c r="V75" s="14"/>
      <c r="W75" s="15"/>
      <c r="X75" s="15"/>
      <c r="Y75" s="15"/>
      <c r="Z75" s="15"/>
    </row>
    <row r="76">
      <c r="A76" s="20" t="s">
        <v>39</v>
      </c>
      <c r="B76" s="42"/>
      <c r="C76" s="14"/>
      <c r="D76" s="14"/>
      <c r="E76" s="15">
        <v>3101.0</v>
      </c>
      <c r="F76" s="14"/>
      <c r="G76" s="14"/>
      <c r="H76" s="14"/>
      <c r="I76" s="15">
        <v>3101.0</v>
      </c>
      <c r="J76" s="14"/>
      <c r="K76" s="14"/>
      <c r="L76" s="14"/>
      <c r="M76" s="15">
        <v>3101.0</v>
      </c>
      <c r="N76" s="20"/>
      <c r="O76" s="39"/>
      <c r="P76" s="15"/>
      <c r="Q76" s="15"/>
      <c r="R76" s="14"/>
      <c r="S76" s="15"/>
      <c r="T76" s="15"/>
      <c r="U76" s="15"/>
      <c r="V76" s="14"/>
      <c r="W76" s="15"/>
      <c r="X76" s="15"/>
      <c r="Y76" s="15"/>
      <c r="Z76" s="15"/>
    </row>
    <row r="77">
      <c r="A77" s="20" t="s">
        <v>41</v>
      </c>
      <c r="B77" s="42"/>
      <c r="C77" s="14"/>
      <c r="D77" s="14"/>
      <c r="E77" s="15">
        <v>60.0</v>
      </c>
      <c r="F77" s="14"/>
      <c r="G77" s="14"/>
      <c r="H77" s="14"/>
      <c r="I77" s="15">
        <v>60.0</v>
      </c>
      <c r="J77" s="14"/>
      <c r="K77" s="14"/>
      <c r="L77" s="14"/>
      <c r="M77" s="15">
        <v>60.0</v>
      </c>
      <c r="N77" s="20"/>
      <c r="O77" s="39"/>
      <c r="P77" s="15"/>
      <c r="Q77" s="15"/>
      <c r="R77" s="14"/>
      <c r="S77" s="15"/>
      <c r="T77" s="15"/>
      <c r="U77" s="15"/>
      <c r="V77" s="14"/>
      <c r="W77" s="15"/>
      <c r="X77" s="15"/>
      <c r="Y77" s="15"/>
      <c r="Z77" s="15"/>
    </row>
    <row r="78">
      <c r="A78" s="20" t="s">
        <v>50</v>
      </c>
      <c r="B78" s="43"/>
      <c r="C78" s="14"/>
      <c r="D78" s="14"/>
      <c r="E78" s="15">
        <v>4.0</v>
      </c>
      <c r="F78" s="14"/>
      <c r="G78" s="14"/>
      <c r="H78" s="14"/>
      <c r="I78" s="15">
        <v>4.0</v>
      </c>
      <c r="J78" s="14"/>
      <c r="K78" s="14"/>
      <c r="L78" s="14"/>
      <c r="M78" s="15">
        <v>4.0</v>
      </c>
      <c r="N78" s="20"/>
      <c r="O78" s="40"/>
      <c r="P78" s="15"/>
      <c r="Q78" s="15"/>
      <c r="R78" s="14"/>
      <c r="S78" s="15"/>
      <c r="T78" s="15"/>
      <c r="U78" s="15"/>
      <c r="V78" s="14"/>
      <c r="W78" s="15"/>
      <c r="X78" s="15"/>
      <c r="Y78" s="15"/>
      <c r="Z78" s="15"/>
    </row>
    <row r="79">
      <c r="A79" s="20" t="s">
        <v>12</v>
      </c>
      <c r="B79" s="43"/>
      <c r="C79" s="14"/>
      <c r="D79" s="14"/>
      <c r="E79" s="15">
        <v>9.0</v>
      </c>
      <c r="F79" s="14"/>
      <c r="G79" s="14"/>
      <c r="H79" s="14"/>
      <c r="I79" s="15">
        <v>9.0</v>
      </c>
      <c r="J79" s="14"/>
      <c r="K79" s="14"/>
      <c r="L79" s="14"/>
      <c r="M79" s="15">
        <v>9.0</v>
      </c>
      <c r="N79" s="20"/>
      <c r="O79" s="40"/>
      <c r="P79" s="15"/>
      <c r="Q79" s="15"/>
      <c r="R79" s="14"/>
      <c r="S79" s="15"/>
      <c r="T79" s="15"/>
      <c r="U79" s="15"/>
      <c r="V79" s="14"/>
      <c r="W79" s="15"/>
      <c r="X79" s="15"/>
      <c r="Y79" s="15"/>
      <c r="Z79" s="15"/>
    </row>
    <row r="80">
      <c r="A80" s="20" t="s">
        <v>58</v>
      </c>
      <c r="B80" s="44"/>
      <c r="C80" s="35"/>
      <c r="D80" s="35"/>
      <c r="E80" s="28" t="str">
        <f>B80</f>
        <v/>
      </c>
      <c r="F80" s="35"/>
      <c r="G80" s="35"/>
      <c r="H80" s="35"/>
      <c r="I80" s="28" t="str">
        <f>F80</f>
        <v/>
      </c>
      <c r="J80" s="35"/>
      <c r="K80" s="35"/>
      <c r="L80" s="35"/>
      <c r="M80" s="28" t="str">
        <f>J80</f>
        <v/>
      </c>
      <c r="N80" s="20"/>
      <c r="O80" s="34"/>
      <c r="P80" s="21"/>
      <c r="Q80" s="21"/>
      <c r="R80" s="35"/>
      <c r="S80" s="21"/>
      <c r="T80" s="9"/>
      <c r="U80" s="9"/>
      <c r="V80" s="36"/>
      <c r="W80" s="21"/>
      <c r="X80" s="9"/>
      <c r="Y80" s="9"/>
      <c r="Z80" s="9"/>
    </row>
    <row r="82">
      <c r="A82" s="22" t="s">
        <v>52</v>
      </c>
    </row>
    <row r="83">
      <c r="A83" s="23" t="s">
        <v>53</v>
      </c>
    </row>
    <row r="84">
      <c r="A84" s="24" t="s">
        <v>54</v>
      </c>
    </row>
    <row r="85">
      <c r="A85" s="25" t="s">
        <v>55</v>
      </c>
    </row>
    <row r="86">
      <c r="A86" s="26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29.57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7">
        <f>Monday!B2+4</f>
        <v>43287</v>
      </c>
      <c r="C2" s="17">
        <f t="shared" ref="C2:N2" si="1">B2+7</f>
        <v>43294</v>
      </c>
      <c r="D2" s="17">
        <f t="shared" si="1"/>
        <v>43301</v>
      </c>
      <c r="E2" s="17">
        <f t="shared" si="1"/>
        <v>43308</v>
      </c>
      <c r="F2" s="17">
        <f t="shared" si="1"/>
        <v>43315</v>
      </c>
      <c r="G2" s="17">
        <f t="shared" si="1"/>
        <v>43322</v>
      </c>
      <c r="H2" s="17">
        <f t="shared" si="1"/>
        <v>43329</v>
      </c>
      <c r="I2" s="17">
        <f t="shared" si="1"/>
        <v>43336</v>
      </c>
      <c r="J2" s="17">
        <f t="shared" si="1"/>
        <v>43343</v>
      </c>
      <c r="K2" s="17">
        <f t="shared" si="1"/>
        <v>43350</v>
      </c>
      <c r="L2" s="17">
        <f t="shared" si="1"/>
        <v>43357</v>
      </c>
      <c r="M2" s="17">
        <f t="shared" si="1"/>
        <v>43364</v>
      </c>
      <c r="N2" s="17">
        <f t="shared" si="1"/>
        <v>43371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45" t="s">
        <v>79</v>
      </c>
    </row>
    <row r="4">
      <c r="A4" s="19" t="s">
        <v>4</v>
      </c>
      <c r="B4" s="9"/>
      <c r="C4" s="9"/>
      <c r="D4" s="14"/>
      <c r="E4" s="14"/>
      <c r="F4" s="9"/>
      <c r="G4" s="14"/>
      <c r="H4" s="14"/>
      <c r="I4" s="14"/>
      <c r="J4" s="9"/>
      <c r="K4" s="14"/>
      <c r="L4" s="1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49</v>
      </c>
      <c r="B5" s="15">
        <f>mround(B8*OverviewData!$B$3,5)</f>
        <v>295</v>
      </c>
      <c r="C5" s="15">
        <f>mround(C8*OverviewData!$B$3,5)</f>
        <v>295</v>
      </c>
      <c r="D5" s="15">
        <f>mround(D8*OverviewData!$B$3,5)</f>
        <v>305</v>
      </c>
      <c r="E5" s="15">
        <f>mround(E8*OverviewData!$B$3,5)</f>
        <v>300</v>
      </c>
      <c r="F5" s="15">
        <f>mround(F8*OverviewData!$C$3,5)</f>
        <v>300</v>
      </c>
      <c r="G5" s="15">
        <f>mround(G8*OverviewData!$C$3,5)</f>
        <v>300</v>
      </c>
      <c r="H5" s="15">
        <f>mround(H8*OverviewData!$C$3,5)</f>
        <v>315</v>
      </c>
      <c r="I5" s="15">
        <f>mround(I8*OverviewData!$C$3,5)</f>
        <v>310</v>
      </c>
      <c r="J5" s="15">
        <f>mround(J8*OverviewData!$D$3,5)</f>
        <v>310</v>
      </c>
      <c r="K5" s="15">
        <f>mround(K8*OverviewData!$D$3,5)</f>
        <v>310</v>
      </c>
      <c r="L5" s="15">
        <f>mround(L8*OverviewData!$D$3,5)</f>
        <v>325</v>
      </c>
      <c r="M5" s="15">
        <f>mround(M8*OverviewData!$D$3,5)</f>
        <v>340</v>
      </c>
      <c r="N5" s="15">
        <f>mround(N8*OverviewData!$D$3,5)</f>
        <v>320</v>
      </c>
      <c r="O5" s="15">
        <f>mround(O8*OverviewData!$D$3,5)</f>
        <v>345</v>
      </c>
      <c r="P5" s="15">
        <f>mround(P8*OverviewData!$D$3,5)</f>
        <v>365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50</v>
      </c>
      <c r="B6" s="20">
        <v>3.0</v>
      </c>
      <c r="C6" s="20" t="s">
        <v>71</v>
      </c>
      <c r="D6" s="20" t="s">
        <v>71</v>
      </c>
      <c r="E6" s="20" t="s">
        <v>37</v>
      </c>
      <c r="F6" s="20">
        <v>4.0</v>
      </c>
      <c r="G6" s="20" t="s">
        <v>73</v>
      </c>
      <c r="H6" s="20" t="s">
        <v>73</v>
      </c>
      <c r="I6" s="20" t="s">
        <v>37</v>
      </c>
      <c r="J6" s="20">
        <v>4.0</v>
      </c>
      <c r="K6" s="20" t="s">
        <v>73</v>
      </c>
      <c r="L6" s="20" t="s">
        <v>73</v>
      </c>
      <c r="M6" s="20" t="s">
        <v>73</v>
      </c>
      <c r="N6" s="20">
        <v>1.0</v>
      </c>
      <c r="O6" s="20">
        <v>1.0</v>
      </c>
      <c r="P6" s="20">
        <v>1.0</v>
      </c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20" t="s">
        <v>12</v>
      </c>
      <c r="B7" s="15">
        <v>5.0</v>
      </c>
      <c r="C7" s="15">
        <v>5.0</v>
      </c>
      <c r="D7" s="15">
        <v>5.0</v>
      </c>
      <c r="E7" s="20" t="s">
        <v>35</v>
      </c>
      <c r="F7" s="15">
        <v>4.0</v>
      </c>
      <c r="G7" s="15">
        <v>4.0</v>
      </c>
      <c r="H7" s="15">
        <v>4.0</v>
      </c>
      <c r="I7" s="14" t="s">
        <v>35</v>
      </c>
      <c r="J7" s="15">
        <v>3.0</v>
      </c>
      <c r="K7" s="15">
        <v>3.0</v>
      </c>
      <c r="L7" s="15">
        <v>3.0</v>
      </c>
      <c r="M7" s="15">
        <v>3.0</v>
      </c>
      <c r="N7" s="15">
        <v>1.0</v>
      </c>
      <c r="O7" s="15">
        <v>1.0</v>
      </c>
      <c r="P7" s="15">
        <v>1.0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11</v>
      </c>
      <c r="B8" s="21">
        <v>0.825</v>
      </c>
      <c r="C8" s="21">
        <v>0.825</v>
      </c>
      <c r="D8" s="21">
        <v>0.865</v>
      </c>
      <c r="E8" s="21">
        <v>0.85</v>
      </c>
      <c r="F8" s="21">
        <v>0.85</v>
      </c>
      <c r="G8" s="21">
        <v>0.85</v>
      </c>
      <c r="H8" s="21">
        <v>0.89</v>
      </c>
      <c r="I8" s="21">
        <v>0.875</v>
      </c>
      <c r="J8" s="21">
        <v>0.875</v>
      </c>
      <c r="K8" s="21">
        <v>0.875</v>
      </c>
      <c r="L8" s="21">
        <v>0.915</v>
      </c>
      <c r="M8" s="21">
        <v>0.955</v>
      </c>
      <c r="N8" s="21">
        <v>0.9</v>
      </c>
      <c r="O8" s="21">
        <v>0.975</v>
      </c>
      <c r="P8" s="21">
        <v>1.025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 t="s">
        <v>6</v>
      </c>
      <c r="B10" s="9"/>
      <c r="C10" s="14"/>
      <c r="D10" s="14"/>
      <c r="E10" s="14"/>
      <c r="F10" s="9"/>
      <c r="G10" s="9"/>
      <c r="H10" s="9"/>
      <c r="I10" s="1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 t="s">
        <v>49</v>
      </c>
      <c r="B11" s="15">
        <f>mround(B14*OverviewData!$B$4,5)</f>
        <v>190</v>
      </c>
      <c r="C11" s="15">
        <f>mround(C14*OverviewData!$B$4,5)</f>
        <v>190</v>
      </c>
      <c r="D11" s="15">
        <f>mround(D14*OverviewData!$B$4,5)</f>
        <v>200</v>
      </c>
      <c r="E11" s="15">
        <f>mround(E14*OverviewData!$B$4,5)</f>
        <v>195</v>
      </c>
      <c r="F11" s="15">
        <f>mround(F14*OverviewData!$C$4,5)</f>
        <v>195</v>
      </c>
      <c r="G11" s="15">
        <f>mround(G14*OverviewData!$C$4,5)</f>
        <v>195</v>
      </c>
      <c r="H11" s="15">
        <f>mround(H14*OverviewData!$C$4,5)</f>
        <v>205</v>
      </c>
      <c r="I11" s="15">
        <f>mround(I14*OverviewData!$C$4,5)</f>
        <v>200</v>
      </c>
      <c r="J11" s="15">
        <f>mround(J14*OverviewData!$D$4,5)</f>
        <v>200</v>
      </c>
      <c r="K11" s="15">
        <f>mround(K14*OverviewData!$D$4,5)</f>
        <v>200</v>
      </c>
      <c r="L11" s="15">
        <f>mround(L14*OverviewData!$D$4,5)</f>
        <v>210</v>
      </c>
      <c r="M11" s="15">
        <f>mround(M14*OverviewData!$D$4,5)</f>
        <v>220</v>
      </c>
      <c r="N11" s="15">
        <f>mround(N14*OverviewData!$D$4,5)</f>
        <v>205</v>
      </c>
      <c r="O11" s="15">
        <f>mround(O14*OverviewData!$D$4,5)</f>
        <v>225</v>
      </c>
      <c r="P11" s="15">
        <f>mround(P14*OverviewData!$D$4,5)</f>
        <v>235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 t="s">
        <v>50</v>
      </c>
      <c r="B12" s="15">
        <v>3.0</v>
      </c>
      <c r="C12" s="20" t="s">
        <v>71</v>
      </c>
      <c r="D12" s="20" t="s">
        <v>71</v>
      </c>
      <c r="E12" s="20" t="s">
        <v>37</v>
      </c>
      <c r="F12" s="15">
        <v>4.0</v>
      </c>
      <c r="G12" s="20" t="s">
        <v>72</v>
      </c>
      <c r="H12" s="20" t="s">
        <v>72</v>
      </c>
      <c r="I12" s="20" t="s">
        <v>37</v>
      </c>
      <c r="J12" s="15">
        <v>4.0</v>
      </c>
      <c r="K12" s="20" t="s">
        <v>73</v>
      </c>
      <c r="L12" s="20" t="s">
        <v>73</v>
      </c>
      <c r="M12" s="20" t="s">
        <v>73</v>
      </c>
      <c r="N12" s="20">
        <v>1.0</v>
      </c>
      <c r="O12" s="20">
        <v>1.0</v>
      </c>
      <c r="P12" s="20">
        <v>1.0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20" t="s">
        <v>12</v>
      </c>
      <c r="B13" s="15">
        <v>5.0</v>
      </c>
      <c r="C13" s="15">
        <v>5.0</v>
      </c>
      <c r="D13" s="15">
        <v>5.0</v>
      </c>
      <c r="E13" s="20" t="s">
        <v>35</v>
      </c>
      <c r="F13" s="15">
        <v>4.0</v>
      </c>
      <c r="G13" s="15">
        <v>4.0</v>
      </c>
      <c r="H13" s="15">
        <v>4.0</v>
      </c>
      <c r="I13" s="20" t="s">
        <v>35</v>
      </c>
      <c r="J13" s="15">
        <v>3.0</v>
      </c>
      <c r="K13" s="15">
        <v>3.0</v>
      </c>
      <c r="L13" s="15">
        <v>3.0</v>
      </c>
      <c r="M13" s="15">
        <v>3.0</v>
      </c>
      <c r="N13" s="20">
        <v>1.0</v>
      </c>
      <c r="O13" s="20">
        <v>1.0</v>
      </c>
      <c r="P13" s="20">
        <v>1.0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20" t="s">
        <v>11</v>
      </c>
      <c r="B14" s="21">
        <v>0.825</v>
      </c>
      <c r="C14" s="21">
        <v>0.825</v>
      </c>
      <c r="D14" s="21">
        <v>0.865</v>
      </c>
      <c r="E14" s="21">
        <v>0.85</v>
      </c>
      <c r="F14" s="21">
        <v>0.85</v>
      </c>
      <c r="G14" s="21">
        <v>0.85</v>
      </c>
      <c r="H14" s="21">
        <v>0.89</v>
      </c>
      <c r="I14" s="21">
        <v>0.875</v>
      </c>
      <c r="J14" s="21">
        <v>0.875</v>
      </c>
      <c r="K14" s="21">
        <v>0.875</v>
      </c>
      <c r="L14" s="21">
        <v>0.915</v>
      </c>
      <c r="M14" s="21">
        <v>0.955</v>
      </c>
      <c r="N14" s="21">
        <v>0.9</v>
      </c>
      <c r="O14" s="21">
        <v>0.975</v>
      </c>
      <c r="P14" s="21">
        <v>1.025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 t="s">
        <v>7</v>
      </c>
      <c r="B16" s="9"/>
      <c r="C16" s="9"/>
      <c r="D16" s="9"/>
      <c r="E16" s="14"/>
      <c r="F16" s="9"/>
      <c r="G16" s="9"/>
      <c r="H16" s="9"/>
      <c r="I16" s="14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0" t="s">
        <v>49</v>
      </c>
      <c r="B17" s="14" t="s">
        <v>35</v>
      </c>
      <c r="C17" s="14" t="s">
        <v>35</v>
      </c>
      <c r="D17" s="14" t="s">
        <v>35</v>
      </c>
      <c r="E17" s="15">
        <f>mround(E20*OverviewData!$B$5,5)</f>
        <v>345</v>
      </c>
      <c r="F17" s="14" t="s">
        <v>35</v>
      </c>
      <c r="G17" s="14" t="s">
        <v>35</v>
      </c>
      <c r="H17" s="14" t="s">
        <v>35</v>
      </c>
      <c r="I17" s="15">
        <f>mround(I20*OverviewData!$C$5,5)</f>
        <v>355</v>
      </c>
      <c r="J17" s="14" t="s">
        <v>35</v>
      </c>
      <c r="K17" s="14" t="s">
        <v>35</v>
      </c>
      <c r="L17" s="14" t="s">
        <v>35</v>
      </c>
      <c r="M17" s="14" t="s">
        <v>35</v>
      </c>
      <c r="N17" s="15">
        <f>mround(N20*OverviewData!$D$5,5)</f>
        <v>365</v>
      </c>
      <c r="O17" s="15">
        <f>mround(O20*OverviewData!$D$5,5)</f>
        <v>395</v>
      </c>
      <c r="P17" s="15">
        <f>mround(P20*OverviewData!$D$5,5)</f>
        <v>415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0" t="s">
        <v>50</v>
      </c>
      <c r="B18" s="20"/>
      <c r="C18" s="20"/>
      <c r="D18" s="20"/>
      <c r="E18" s="20" t="s">
        <v>37</v>
      </c>
      <c r="F18" s="20"/>
      <c r="G18" s="20"/>
      <c r="H18" s="20"/>
      <c r="I18" s="20" t="s">
        <v>37</v>
      </c>
      <c r="J18" s="20"/>
      <c r="K18" s="20"/>
      <c r="L18" s="20"/>
      <c r="M18" s="20"/>
      <c r="N18" s="20">
        <v>1.0</v>
      </c>
      <c r="O18" s="20">
        <v>1.0</v>
      </c>
      <c r="P18" s="20">
        <v>1.0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20" t="s">
        <v>12</v>
      </c>
      <c r="B19" s="20"/>
      <c r="C19" s="20"/>
      <c r="D19" s="20"/>
      <c r="E19" s="20" t="s">
        <v>35</v>
      </c>
      <c r="F19" s="20"/>
      <c r="G19" s="20"/>
      <c r="H19" s="20"/>
      <c r="I19" s="20" t="s">
        <v>35</v>
      </c>
      <c r="J19" s="20"/>
      <c r="K19" s="20"/>
      <c r="L19" s="20"/>
      <c r="M19" s="20"/>
      <c r="N19" s="20">
        <v>1.0</v>
      </c>
      <c r="O19" s="20">
        <v>1.0</v>
      </c>
      <c r="P19" s="20">
        <v>1.0</v>
      </c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20" t="s">
        <v>11</v>
      </c>
      <c r="B20" s="35"/>
      <c r="C20" s="35"/>
      <c r="D20" s="35"/>
      <c r="E20" s="21">
        <v>0.85</v>
      </c>
      <c r="F20" s="35"/>
      <c r="G20" s="35"/>
      <c r="H20" s="35"/>
      <c r="I20" s="21">
        <v>0.875</v>
      </c>
      <c r="J20" s="35"/>
      <c r="K20" s="35"/>
      <c r="L20" s="35"/>
      <c r="M20" s="35"/>
      <c r="N20" s="21">
        <v>0.9</v>
      </c>
      <c r="O20" s="21">
        <v>0.975</v>
      </c>
      <c r="P20" s="21">
        <v>1.025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2">
      <c r="A22" s="19" t="s">
        <v>80</v>
      </c>
    </row>
    <row r="23">
      <c r="A23" s="20" t="s">
        <v>49</v>
      </c>
      <c r="B23" s="27">
        <v>150.0</v>
      </c>
      <c r="C23" s="15">
        <f t="shared" ref="C23:D23" si="2">B23</f>
        <v>150</v>
      </c>
      <c r="D23" s="15">
        <f t="shared" si="2"/>
        <v>150</v>
      </c>
      <c r="E23" s="14" t="s">
        <v>35</v>
      </c>
      <c r="F23" s="15">
        <f>D23+5</f>
        <v>155</v>
      </c>
      <c r="G23" s="15">
        <f t="shared" ref="G23:H23" si="3">F23</f>
        <v>155</v>
      </c>
      <c r="H23" s="15">
        <f t="shared" si="3"/>
        <v>155</v>
      </c>
      <c r="I23" s="14" t="s">
        <v>35</v>
      </c>
      <c r="J23" s="15">
        <f>H23+5</f>
        <v>160</v>
      </c>
      <c r="K23" s="15">
        <f t="shared" ref="K23:M23" si="4">J23</f>
        <v>160</v>
      </c>
      <c r="L23" s="15">
        <f t="shared" si="4"/>
        <v>160</v>
      </c>
      <c r="M23" s="15">
        <f t="shared" si="4"/>
        <v>160</v>
      </c>
      <c r="N23" s="14" t="s">
        <v>35</v>
      </c>
    </row>
    <row r="24">
      <c r="A24" s="20" t="s">
        <v>39</v>
      </c>
      <c r="B24" s="15">
        <v>4111.0</v>
      </c>
      <c r="C24" s="15">
        <v>4111.0</v>
      </c>
      <c r="D24" s="15">
        <v>4101.0</v>
      </c>
      <c r="E24" s="14"/>
      <c r="F24" s="15">
        <v>4111.0</v>
      </c>
      <c r="G24" s="15">
        <v>4111.0</v>
      </c>
      <c r="H24" s="15">
        <v>4101.0</v>
      </c>
      <c r="I24" s="14"/>
      <c r="J24" s="15">
        <v>3111.0</v>
      </c>
      <c r="K24" s="15">
        <v>3111.0</v>
      </c>
      <c r="L24" s="15">
        <v>3101.0</v>
      </c>
      <c r="M24" s="15">
        <v>3101.0</v>
      </c>
      <c r="N24" s="14"/>
    </row>
    <row r="25">
      <c r="A25" s="20" t="s">
        <v>41</v>
      </c>
      <c r="B25" s="15">
        <v>75.0</v>
      </c>
      <c r="C25" s="15">
        <v>75.0</v>
      </c>
      <c r="D25" s="15">
        <v>60.0</v>
      </c>
      <c r="E25" s="14"/>
      <c r="F25" s="15">
        <v>75.0</v>
      </c>
      <c r="G25" s="15">
        <v>75.0</v>
      </c>
      <c r="H25" s="15">
        <v>60.0</v>
      </c>
      <c r="I25" s="14"/>
      <c r="J25" s="15">
        <v>75.0</v>
      </c>
      <c r="K25" s="15">
        <v>75.0</v>
      </c>
      <c r="L25" s="15">
        <v>60.0</v>
      </c>
      <c r="M25" s="15">
        <v>60.0</v>
      </c>
      <c r="N25" s="14"/>
    </row>
    <row r="26">
      <c r="A26" s="20" t="s">
        <v>50</v>
      </c>
      <c r="B26" s="15">
        <v>6.0</v>
      </c>
      <c r="C26" s="15">
        <v>5.0</v>
      </c>
      <c r="D26" s="15">
        <v>4.0</v>
      </c>
      <c r="E26" s="14"/>
      <c r="F26" s="15">
        <v>6.0</v>
      </c>
      <c r="G26" s="15">
        <v>5.0</v>
      </c>
      <c r="H26" s="15">
        <v>4.0</v>
      </c>
      <c r="I26" s="14"/>
      <c r="J26" s="15">
        <v>6.0</v>
      </c>
      <c r="K26" s="15">
        <v>5.0</v>
      </c>
      <c r="L26" s="15">
        <v>4.0</v>
      </c>
      <c r="M26" s="15">
        <v>4.0</v>
      </c>
      <c r="N26" s="14"/>
    </row>
    <row r="27">
      <c r="A27" s="20" t="s">
        <v>12</v>
      </c>
      <c r="B27" s="15">
        <v>6.0</v>
      </c>
      <c r="C27" s="15">
        <v>7.0</v>
      </c>
      <c r="D27" s="15">
        <v>8.0</v>
      </c>
      <c r="E27" s="14"/>
      <c r="F27" s="15">
        <v>6.0</v>
      </c>
      <c r="G27" s="15">
        <v>7.0</v>
      </c>
      <c r="H27" s="15">
        <v>8.0</v>
      </c>
      <c r="I27" s="14"/>
      <c r="J27" s="15">
        <v>6.0</v>
      </c>
      <c r="K27" s="15">
        <v>7.0</v>
      </c>
      <c r="L27" s="15">
        <v>8.0</v>
      </c>
      <c r="M27" s="15">
        <v>9.0</v>
      </c>
      <c r="N27" s="14"/>
    </row>
    <row r="28">
      <c r="A28" s="20" t="s">
        <v>58</v>
      </c>
      <c r="B28" s="21">
        <v>0.7</v>
      </c>
      <c r="C28" s="21">
        <f>B28</f>
        <v>0.7</v>
      </c>
      <c r="D28" s="21">
        <f>B28</f>
        <v>0.7</v>
      </c>
      <c r="E28" s="35"/>
      <c r="F28" s="21">
        <v>0.75</v>
      </c>
      <c r="G28" s="28">
        <f>F28</f>
        <v>0.75</v>
      </c>
      <c r="H28" s="28">
        <f>F28</f>
        <v>0.75</v>
      </c>
      <c r="I28" s="36"/>
      <c r="J28" s="21">
        <v>0.8</v>
      </c>
      <c r="K28" s="28">
        <f>J28</f>
        <v>0.8</v>
      </c>
      <c r="L28" s="28">
        <f>J28</f>
        <v>0.8</v>
      </c>
      <c r="M28" s="28">
        <f>J28</f>
        <v>0.8</v>
      </c>
      <c r="N28" s="37"/>
    </row>
    <row r="30">
      <c r="A30" s="19" t="s">
        <v>78</v>
      </c>
    </row>
    <row r="31">
      <c r="A31" s="20" t="s">
        <v>49</v>
      </c>
      <c r="B31" s="27">
        <v>150.0</v>
      </c>
      <c r="C31" s="15">
        <f t="shared" ref="C31:D31" si="5">B31</f>
        <v>150</v>
      </c>
      <c r="D31" s="15">
        <f t="shared" si="5"/>
        <v>150</v>
      </c>
      <c r="E31" s="14" t="s">
        <v>35</v>
      </c>
      <c r="F31" s="15">
        <f>D31+5</f>
        <v>155</v>
      </c>
      <c r="G31" s="15">
        <f t="shared" ref="G31:H31" si="6">F31</f>
        <v>155</v>
      </c>
      <c r="H31" s="15">
        <f t="shared" si="6"/>
        <v>155</v>
      </c>
      <c r="I31" s="14" t="s">
        <v>35</v>
      </c>
      <c r="J31" s="15">
        <f>H31+5</f>
        <v>160</v>
      </c>
      <c r="K31" s="15">
        <f t="shared" ref="K31:M31" si="7">J31</f>
        <v>160</v>
      </c>
      <c r="L31" s="15">
        <f t="shared" si="7"/>
        <v>160</v>
      </c>
      <c r="M31" s="15">
        <f t="shared" si="7"/>
        <v>160</v>
      </c>
      <c r="N31" s="14" t="s">
        <v>35</v>
      </c>
    </row>
    <row r="32">
      <c r="A32" s="20" t="s">
        <v>39</v>
      </c>
      <c r="B32" s="15">
        <v>4111.0</v>
      </c>
      <c r="C32" s="15">
        <v>4111.0</v>
      </c>
      <c r="D32" s="15">
        <v>4101.0</v>
      </c>
      <c r="E32" s="14"/>
      <c r="F32" s="15">
        <v>4111.0</v>
      </c>
      <c r="G32" s="15">
        <v>4111.0</v>
      </c>
      <c r="H32" s="15">
        <v>4101.0</v>
      </c>
      <c r="I32" s="14"/>
      <c r="J32" s="15">
        <v>3111.0</v>
      </c>
      <c r="K32" s="15">
        <v>3111.0</v>
      </c>
      <c r="L32" s="15">
        <v>3101.0</v>
      </c>
      <c r="M32" s="15">
        <v>3101.0</v>
      </c>
      <c r="N32" s="14"/>
    </row>
    <row r="33">
      <c r="A33" s="20" t="s">
        <v>41</v>
      </c>
      <c r="B33" s="15">
        <v>75.0</v>
      </c>
      <c r="C33" s="15">
        <v>75.0</v>
      </c>
      <c r="D33" s="15">
        <v>60.0</v>
      </c>
      <c r="E33" s="14"/>
      <c r="F33" s="15">
        <v>75.0</v>
      </c>
      <c r="G33" s="15">
        <v>75.0</v>
      </c>
      <c r="H33" s="15">
        <v>60.0</v>
      </c>
      <c r="I33" s="14"/>
      <c r="J33" s="15">
        <v>75.0</v>
      </c>
      <c r="K33" s="15">
        <v>75.0</v>
      </c>
      <c r="L33" s="15">
        <v>60.0</v>
      </c>
      <c r="M33" s="15">
        <v>60.0</v>
      </c>
      <c r="N33" s="14"/>
    </row>
    <row r="34">
      <c r="A34" s="20" t="s">
        <v>50</v>
      </c>
      <c r="B34" s="15">
        <v>6.0</v>
      </c>
      <c r="C34" s="15">
        <v>5.0</v>
      </c>
      <c r="D34" s="15">
        <v>4.0</v>
      </c>
      <c r="E34" s="14"/>
      <c r="F34" s="15">
        <v>6.0</v>
      </c>
      <c r="G34" s="15">
        <v>5.0</v>
      </c>
      <c r="H34" s="15">
        <v>4.0</v>
      </c>
      <c r="I34" s="14"/>
      <c r="J34" s="15">
        <v>6.0</v>
      </c>
      <c r="K34" s="15">
        <v>5.0</v>
      </c>
      <c r="L34" s="15">
        <v>4.0</v>
      </c>
      <c r="M34" s="15">
        <v>4.0</v>
      </c>
      <c r="N34" s="14"/>
    </row>
    <row r="35">
      <c r="A35" s="20" t="s">
        <v>12</v>
      </c>
      <c r="B35" s="15">
        <v>6.0</v>
      </c>
      <c r="C35" s="15">
        <v>7.0</v>
      </c>
      <c r="D35" s="15">
        <v>8.0</v>
      </c>
      <c r="E35" s="14"/>
      <c r="F35" s="15">
        <v>6.0</v>
      </c>
      <c r="G35" s="15">
        <v>7.0</v>
      </c>
      <c r="H35" s="15">
        <v>8.0</v>
      </c>
      <c r="I35" s="14"/>
      <c r="J35" s="15">
        <v>6.0</v>
      </c>
      <c r="K35" s="15">
        <v>7.0</v>
      </c>
      <c r="L35" s="15">
        <v>8.0</v>
      </c>
      <c r="M35" s="15">
        <v>9.0</v>
      </c>
      <c r="N35" s="14"/>
    </row>
    <row r="36">
      <c r="A36" s="20" t="s">
        <v>58</v>
      </c>
      <c r="B36" s="21">
        <v>0.7</v>
      </c>
      <c r="C36" s="21">
        <f>B36</f>
        <v>0.7</v>
      </c>
      <c r="D36" s="21">
        <f>B36</f>
        <v>0.7</v>
      </c>
      <c r="E36" s="35"/>
      <c r="F36" s="21">
        <v>0.75</v>
      </c>
      <c r="G36" s="28">
        <f>F36</f>
        <v>0.75</v>
      </c>
      <c r="H36" s="28">
        <f>F36</f>
        <v>0.75</v>
      </c>
      <c r="I36" s="36"/>
      <c r="J36" s="21">
        <v>0.8</v>
      </c>
      <c r="K36" s="28">
        <f>J36</f>
        <v>0.8</v>
      </c>
      <c r="L36" s="28">
        <f>J36</f>
        <v>0.8</v>
      </c>
      <c r="M36" s="28">
        <f>J36</f>
        <v>0.8</v>
      </c>
      <c r="N36" s="37"/>
    </row>
    <row r="38">
      <c r="A38" s="19" t="s">
        <v>81</v>
      </c>
    </row>
    <row r="39">
      <c r="A39" s="20" t="s">
        <v>49</v>
      </c>
      <c r="B39" s="27">
        <v>80.0</v>
      </c>
      <c r="C39" s="15">
        <f t="shared" ref="C39:D39" si="8">B39</f>
        <v>80</v>
      </c>
      <c r="D39" s="15">
        <f t="shared" si="8"/>
        <v>80</v>
      </c>
      <c r="E39" s="14" t="s">
        <v>35</v>
      </c>
      <c r="F39" s="15">
        <f>D39+10</f>
        <v>90</v>
      </c>
      <c r="G39" s="15">
        <f t="shared" ref="G39:H39" si="9">F39</f>
        <v>90</v>
      </c>
      <c r="H39" s="15">
        <f t="shared" si="9"/>
        <v>90</v>
      </c>
      <c r="I39" s="14" t="s">
        <v>35</v>
      </c>
      <c r="J39" s="15">
        <f>H39+10</f>
        <v>100</v>
      </c>
      <c r="K39" s="15">
        <f t="shared" ref="K39:M39" si="10">J39</f>
        <v>100</v>
      </c>
      <c r="L39" s="15">
        <f t="shared" si="10"/>
        <v>100</v>
      </c>
      <c r="M39" s="15">
        <f t="shared" si="10"/>
        <v>100</v>
      </c>
      <c r="N39" s="14" t="s">
        <v>35</v>
      </c>
    </row>
    <row r="40">
      <c r="A40" s="20" t="s">
        <v>39</v>
      </c>
      <c r="B40" s="15">
        <v>4111.0</v>
      </c>
      <c r="C40" s="15">
        <v>4111.0</v>
      </c>
      <c r="D40" s="15">
        <v>4101.0</v>
      </c>
      <c r="E40" s="14"/>
      <c r="F40" s="15">
        <v>4111.0</v>
      </c>
      <c r="G40" s="15">
        <v>4111.0</v>
      </c>
      <c r="H40" s="15">
        <v>4101.0</v>
      </c>
      <c r="I40" s="14"/>
      <c r="J40" s="15">
        <v>3111.0</v>
      </c>
      <c r="K40" s="15">
        <v>3111.0</v>
      </c>
      <c r="L40" s="15">
        <v>3101.0</v>
      </c>
      <c r="M40" s="15">
        <v>3101.0</v>
      </c>
      <c r="N40" s="14"/>
    </row>
    <row r="41">
      <c r="A41" s="20" t="s">
        <v>41</v>
      </c>
      <c r="B41" s="15">
        <v>75.0</v>
      </c>
      <c r="C41" s="15">
        <v>75.0</v>
      </c>
      <c r="D41" s="15">
        <v>60.0</v>
      </c>
      <c r="E41" s="14"/>
      <c r="F41" s="15">
        <v>75.0</v>
      </c>
      <c r="G41" s="15">
        <v>75.0</v>
      </c>
      <c r="H41" s="15">
        <v>60.0</v>
      </c>
      <c r="I41" s="14"/>
      <c r="J41" s="15">
        <v>75.0</v>
      </c>
      <c r="K41" s="15">
        <v>75.0</v>
      </c>
      <c r="L41" s="15">
        <v>60.0</v>
      </c>
      <c r="M41" s="15">
        <v>60.0</v>
      </c>
      <c r="N41" s="14"/>
    </row>
    <row r="42">
      <c r="A42" s="20" t="s">
        <v>50</v>
      </c>
      <c r="B42" s="15">
        <v>6.0</v>
      </c>
      <c r="C42" s="15">
        <v>5.0</v>
      </c>
      <c r="D42" s="15">
        <v>4.0</v>
      </c>
      <c r="E42" s="14"/>
      <c r="F42" s="15">
        <v>6.0</v>
      </c>
      <c r="G42" s="15">
        <v>5.0</v>
      </c>
      <c r="H42" s="15">
        <v>4.0</v>
      </c>
      <c r="I42" s="14"/>
      <c r="J42" s="15">
        <v>6.0</v>
      </c>
      <c r="K42" s="15">
        <v>5.0</v>
      </c>
      <c r="L42" s="15">
        <v>4.0</v>
      </c>
      <c r="M42" s="15">
        <v>4.0</v>
      </c>
      <c r="N42" s="14"/>
    </row>
    <row r="43">
      <c r="A43" s="20" t="s">
        <v>12</v>
      </c>
      <c r="B43" s="15">
        <v>6.0</v>
      </c>
      <c r="C43" s="15">
        <v>7.0</v>
      </c>
      <c r="D43" s="15">
        <v>8.0</v>
      </c>
      <c r="E43" s="14"/>
      <c r="F43" s="15">
        <v>6.0</v>
      </c>
      <c r="G43" s="15">
        <v>7.0</v>
      </c>
      <c r="H43" s="15">
        <v>8.0</v>
      </c>
      <c r="I43" s="14"/>
      <c r="J43" s="15">
        <v>6.0</v>
      </c>
      <c r="K43" s="15">
        <v>7.0</v>
      </c>
      <c r="L43" s="15">
        <v>8.0</v>
      </c>
      <c r="M43" s="15">
        <v>9.0</v>
      </c>
      <c r="N43" s="14"/>
    </row>
    <row r="44">
      <c r="A44" s="20" t="s">
        <v>58</v>
      </c>
      <c r="B44" s="21">
        <v>0.7</v>
      </c>
      <c r="C44" s="21">
        <f>B44</f>
        <v>0.7</v>
      </c>
      <c r="D44" s="21">
        <f>B44</f>
        <v>0.7</v>
      </c>
      <c r="E44" s="35"/>
      <c r="F44" s="21">
        <v>0.75</v>
      </c>
      <c r="G44" s="28">
        <f>F44</f>
        <v>0.75</v>
      </c>
      <c r="H44" s="28">
        <f>F44</f>
        <v>0.75</v>
      </c>
      <c r="I44" s="36"/>
      <c r="J44" s="21">
        <v>0.8</v>
      </c>
      <c r="K44" s="28">
        <f>J44</f>
        <v>0.8</v>
      </c>
      <c r="L44" s="28">
        <f>J44</f>
        <v>0.8</v>
      </c>
      <c r="M44" s="28">
        <f>J44</f>
        <v>0.8</v>
      </c>
      <c r="N44" s="37"/>
    </row>
    <row r="46">
      <c r="A46" s="19" t="s">
        <v>82</v>
      </c>
    </row>
    <row r="47">
      <c r="A47" s="20" t="s">
        <v>49</v>
      </c>
      <c r="B47" s="27">
        <v>180.0</v>
      </c>
      <c r="C47" s="15">
        <f t="shared" ref="C47:D47" si="11">B47</f>
        <v>180</v>
      </c>
      <c r="D47" s="15">
        <f t="shared" si="11"/>
        <v>180</v>
      </c>
      <c r="E47" s="14" t="s">
        <v>35</v>
      </c>
      <c r="F47" s="15">
        <f>D47+15</f>
        <v>195</v>
      </c>
      <c r="G47" s="15">
        <f t="shared" ref="G47:H47" si="12">F47</f>
        <v>195</v>
      </c>
      <c r="H47" s="15">
        <f t="shared" si="12"/>
        <v>195</v>
      </c>
      <c r="I47" s="14" t="s">
        <v>35</v>
      </c>
      <c r="J47" s="15">
        <f>H47+15</f>
        <v>210</v>
      </c>
      <c r="K47" s="15">
        <f t="shared" ref="K47:M47" si="13">J47</f>
        <v>210</v>
      </c>
      <c r="L47" s="15">
        <f t="shared" si="13"/>
        <v>210</v>
      </c>
      <c r="M47" s="15">
        <f t="shared" si="13"/>
        <v>210</v>
      </c>
      <c r="N47" s="14" t="s">
        <v>35</v>
      </c>
    </row>
    <row r="48">
      <c r="A48" s="20" t="s">
        <v>39</v>
      </c>
      <c r="B48" s="15">
        <v>4111.0</v>
      </c>
      <c r="C48" s="15">
        <v>4111.0</v>
      </c>
      <c r="D48" s="15">
        <v>4101.0</v>
      </c>
      <c r="E48" s="14"/>
      <c r="F48" s="15">
        <v>4111.0</v>
      </c>
      <c r="G48" s="15">
        <v>4111.0</v>
      </c>
      <c r="H48" s="15">
        <v>4101.0</v>
      </c>
      <c r="I48" s="14"/>
      <c r="J48" s="15">
        <v>3111.0</v>
      </c>
      <c r="K48" s="15">
        <v>3111.0</v>
      </c>
      <c r="L48" s="15">
        <v>3101.0</v>
      </c>
      <c r="M48" s="15">
        <v>3101.0</v>
      </c>
      <c r="N48" s="14"/>
    </row>
    <row r="49">
      <c r="A49" s="20" t="s">
        <v>41</v>
      </c>
      <c r="B49" s="15">
        <v>75.0</v>
      </c>
      <c r="C49" s="15">
        <v>75.0</v>
      </c>
      <c r="D49" s="15">
        <v>60.0</v>
      </c>
      <c r="E49" s="14"/>
      <c r="F49" s="15">
        <v>75.0</v>
      </c>
      <c r="G49" s="15">
        <v>75.0</v>
      </c>
      <c r="H49" s="15">
        <v>60.0</v>
      </c>
      <c r="I49" s="14"/>
      <c r="J49" s="15">
        <v>75.0</v>
      </c>
      <c r="K49" s="15">
        <v>75.0</v>
      </c>
      <c r="L49" s="15">
        <v>60.0</v>
      </c>
      <c r="M49" s="15">
        <v>60.0</v>
      </c>
      <c r="N49" s="14"/>
    </row>
    <row r="50">
      <c r="A50" s="20" t="s">
        <v>50</v>
      </c>
      <c r="B50" s="15">
        <v>6.0</v>
      </c>
      <c r="C50" s="15">
        <v>5.0</v>
      </c>
      <c r="D50" s="15">
        <v>4.0</v>
      </c>
      <c r="E50" s="14"/>
      <c r="F50" s="15">
        <v>6.0</v>
      </c>
      <c r="G50" s="15">
        <v>5.0</v>
      </c>
      <c r="H50" s="15">
        <v>4.0</v>
      </c>
      <c r="I50" s="14"/>
      <c r="J50" s="15">
        <v>6.0</v>
      </c>
      <c r="K50" s="15">
        <v>5.0</v>
      </c>
      <c r="L50" s="15">
        <v>4.0</v>
      </c>
      <c r="M50" s="15">
        <v>4.0</v>
      </c>
      <c r="N50" s="14"/>
    </row>
    <row r="51">
      <c r="A51" s="20" t="s">
        <v>12</v>
      </c>
      <c r="B51" s="15">
        <v>6.0</v>
      </c>
      <c r="C51" s="15">
        <v>7.0</v>
      </c>
      <c r="D51" s="15">
        <v>8.0</v>
      </c>
      <c r="E51" s="14"/>
      <c r="F51" s="15">
        <v>6.0</v>
      </c>
      <c r="G51" s="15">
        <v>7.0</v>
      </c>
      <c r="H51" s="15">
        <v>8.0</v>
      </c>
      <c r="I51" s="14"/>
      <c r="J51" s="15">
        <v>6.0</v>
      </c>
      <c r="K51" s="15">
        <v>7.0</v>
      </c>
      <c r="L51" s="15">
        <v>8.0</v>
      </c>
      <c r="M51" s="15">
        <v>9.0</v>
      </c>
      <c r="N51" s="14"/>
    </row>
    <row r="52">
      <c r="A52" s="20" t="s">
        <v>58</v>
      </c>
      <c r="B52" s="21">
        <v>0.7</v>
      </c>
      <c r="C52" s="21">
        <f>B52</f>
        <v>0.7</v>
      </c>
      <c r="D52" s="21">
        <f>B52</f>
        <v>0.7</v>
      </c>
      <c r="E52" s="35"/>
      <c r="F52" s="21">
        <v>0.75</v>
      </c>
      <c r="G52" s="28">
        <f>F52</f>
        <v>0.75</v>
      </c>
      <c r="H52" s="28">
        <f>F52</f>
        <v>0.75</v>
      </c>
      <c r="I52" s="36"/>
      <c r="J52" s="21">
        <v>0.8</v>
      </c>
      <c r="K52" s="28">
        <f>J52</f>
        <v>0.8</v>
      </c>
      <c r="L52" s="28">
        <f>J52</f>
        <v>0.8</v>
      </c>
      <c r="M52" s="28">
        <f>J52</f>
        <v>0.8</v>
      </c>
      <c r="N52" s="37"/>
    </row>
    <row r="54">
      <c r="A54" s="19" t="s">
        <v>51</v>
      </c>
    </row>
    <row r="55">
      <c r="A55" s="22" t="s">
        <v>52</v>
      </c>
    </row>
    <row r="56">
      <c r="A56" s="23" t="s">
        <v>53</v>
      </c>
    </row>
    <row r="57">
      <c r="A57" s="24" t="s">
        <v>54</v>
      </c>
    </row>
    <row r="58">
      <c r="A58" s="25" t="s">
        <v>55</v>
      </c>
    </row>
    <row r="59">
      <c r="A59" s="26" t="s">
        <v>56</v>
      </c>
    </row>
  </sheetData>
  <mergeCells count="2">
    <mergeCell ref="N1:P1"/>
    <mergeCell ref="N2:P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35.71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48</v>
      </c>
      <c r="B2" s="17">
        <f>Monday!B2+5
</f>
        <v>43288</v>
      </c>
      <c r="C2" s="17">
        <f t="shared" ref="C2:N2" si="1">B2+7</f>
        <v>43295</v>
      </c>
      <c r="D2" s="17">
        <f t="shared" si="1"/>
        <v>43302</v>
      </c>
      <c r="E2" s="17">
        <f t="shared" si="1"/>
        <v>43309</v>
      </c>
      <c r="F2" s="17">
        <f t="shared" si="1"/>
        <v>43316</v>
      </c>
      <c r="G2" s="17">
        <f t="shared" si="1"/>
        <v>43323</v>
      </c>
      <c r="H2" s="17">
        <f t="shared" si="1"/>
        <v>43330</v>
      </c>
      <c r="I2" s="17">
        <f t="shared" si="1"/>
        <v>43337</v>
      </c>
      <c r="J2" s="17">
        <f t="shared" si="1"/>
        <v>43344</v>
      </c>
      <c r="K2" s="17">
        <f t="shared" si="1"/>
        <v>43351</v>
      </c>
      <c r="L2" s="17">
        <f t="shared" si="1"/>
        <v>43358</v>
      </c>
      <c r="M2" s="17">
        <f t="shared" si="1"/>
        <v>43365</v>
      </c>
      <c r="N2" s="17">
        <f t="shared" si="1"/>
        <v>43372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4">
      <c r="A4" s="19" t="s">
        <v>8</v>
      </c>
      <c r="B4" s="9"/>
      <c r="C4" s="14"/>
      <c r="D4" s="14"/>
      <c r="E4" s="14"/>
      <c r="F4" s="9"/>
      <c r="G4" s="14"/>
      <c r="H4" s="14"/>
      <c r="I4" s="14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49</v>
      </c>
      <c r="B5" s="15">
        <f>mround(B8*OverviewData!$B$6,5)</f>
        <v>125</v>
      </c>
      <c r="C5" s="15">
        <f>mround(C8*OverviewData!$B$6,5)</f>
        <v>125</v>
      </c>
      <c r="D5" s="15">
        <f>mround(D8*OverviewData!$B$6,5)</f>
        <v>130</v>
      </c>
      <c r="E5" s="15">
        <f>mround(E8*OverviewData!$B$6,5)</f>
        <v>130</v>
      </c>
      <c r="F5" s="15">
        <f>mround(F8*OverviewData!$B$6,5)</f>
        <v>130</v>
      </c>
      <c r="G5" s="15">
        <f>mround(G8*OverviewData!$B$6,5)</f>
        <v>130</v>
      </c>
      <c r="H5" s="15">
        <f>mround(H8*OverviewData!$B$6,5)</f>
        <v>135</v>
      </c>
      <c r="I5" s="15">
        <f>mround(I8*OverviewData!$B$6,5)</f>
        <v>130</v>
      </c>
      <c r="J5" s="15">
        <f>mround(J8*OverviewData!$B$6,5)</f>
        <v>130</v>
      </c>
      <c r="K5" s="15">
        <f>mround(K8*OverviewData!$B$6,5)</f>
        <v>130</v>
      </c>
      <c r="L5" s="15">
        <f>mround(L8*OverviewData!$B$6,5)</f>
        <v>135</v>
      </c>
      <c r="M5" s="15">
        <f>mround(M8*OverviewData!$B$6,5)</f>
        <v>145</v>
      </c>
      <c r="N5" s="15">
        <f>mround(N8*OverviewData!$B$6,5)</f>
        <v>135</v>
      </c>
      <c r="O5" s="15">
        <f>mround(O8*OverviewData!$B$6,5)</f>
        <v>145</v>
      </c>
      <c r="P5" s="15">
        <f>mround(P8*OverviewData!$B$6,5)</f>
        <v>155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50</v>
      </c>
      <c r="B6" s="15">
        <v>3.0</v>
      </c>
      <c r="C6" s="20" t="s">
        <v>71</v>
      </c>
      <c r="D6" s="20" t="s">
        <v>71</v>
      </c>
      <c r="E6" s="20" t="s">
        <v>37</v>
      </c>
      <c r="F6" s="15">
        <v>4.0</v>
      </c>
      <c r="G6" s="20" t="s">
        <v>72</v>
      </c>
      <c r="H6" s="20" t="s">
        <v>72</v>
      </c>
      <c r="I6" s="20" t="s">
        <v>37</v>
      </c>
      <c r="J6" s="15">
        <v>4.0</v>
      </c>
      <c r="K6" s="20" t="s">
        <v>73</v>
      </c>
      <c r="L6" s="20" t="s">
        <v>73</v>
      </c>
      <c r="M6" s="20" t="s">
        <v>73</v>
      </c>
      <c r="N6" s="20">
        <v>1.0</v>
      </c>
      <c r="O6" s="20">
        <v>1.0</v>
      </c>
      <c r="P6" s="20">
        <v>1.0</v>
      </c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20" t="s">
        <v>12</v>
      </c>
      <c r="B7" s="15">
        <v>5.0</v>
      </c>
      <c r="C7" s="15">
        <v>5.0</v>
      </c>
      <c r="D7" s="15">
        <v>5.0</v>
      </c>
      <c r="E7" s="20" t="s">
        <v>35</v>
      </c>
      <c r="F7" s="15">
        <v>4.0</v>
      </c>
      <c r="G7" s="15">
        <v>4.0</v>
      </c>
      <c r="H7" s="15">
        <v>4.0</v>
      </c>
      <c r="I7" s="20" t="s">
        <v>35</v>
      </c>
      <c r="J7" s="15">
        <v>3.0</v>
      </c>
      <c r="K7" s="15">
        <v>3.0</v>
      </c>
      <c r="L7" s="15">
        <v>3.0</v>
      </c>
      <c r="M7" s="15">
        <v>3.0</v>
      </c>
      <c r="N7" s="20">
        <v>1.0</v>
      </c>
      <c r="O7" s="20">
        <v>1.0</v>
      </c>
      <c r="P7" s="20">
        <v>1.0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 t="s">
        <v>11</v>
      </c>
      <c r="B8" s="21">
        <v>0.825</v>
      </c>
      <c r="C8" s="21">
        <v>0.825</v>
      </c>
      <c r="D8" s="21">
        <v>0.865</v>
      </c>
      <c r="E8" s="21">
        <v>0.85</v>
      </c>
      <c r="F8" s="21">
        <v>0.85</v>
      </c>
      <c r="G8" s="21">
        <v>0.85</v>
      </c>
      <c r="H8" s="21">
        <v>0.89</v>
      </c>
      <c r="I8" s="21">
        <v>0.875</v>
      </c>
      <c r="J8" s="21">
        <v>0.875</v>
      </c>
      <c r="K8" s="21">
        <v>0.875</v>
      </c>
      <c r="L8" s="21">
        <v>0.915</v>
      </c>
      <c r="M8" s="21">
        <v>0.955</v>
      </c>
      <c r="N8" s="21">
        <v>0.9</v>
      </c>
      <c r="O8" s="21">
        <v>0.975</v>
      </c>
      <c r="P8" s="21">
        <v>1.025</v>
      </c>
      <c r="Q8" s="9"/>
      <c r="R8" s="9"/>
      <c r="S8" s="9"/>
      <c r="T8" s="9"/>
      <c r="U8" s="9"/>
      <c r="V8" s="9"/>
      <c r="W8" s="9"/>
      <c r="X8" s="9"/>
      <c r="Y8" s="9"/>
      <c r="Z8" s="9"/>
    </row>
    <row r="10">
      <c r="A10" s="19" t="s">
        <v>83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 t="s">
        <v>49</v>
      </c>
      <c r="B11" s="15">
        <f>mround(B14*OverviewData!$B$5,5)</f>
        <v>295</v>
      </c>
      <c r="C11" s="15">
        <f>mround(C14*OverviewData!$B$5,5)</f>
        <v>295</v>
      </c>
      <c r="D11" s="15">
        <f>mround(D14*OverviewData!$B$5,5)</f>
        <v>295</v>
      </c>
      <c r="E11" s="15">
        <f>mround(E14*OverviewData!$B$5,5)</f>
        <v>335</v>
      </c>
      <c r="F11" s="15">
        <f>mround(F14*OverviewData!$C$5,5)</f>
        <v>305</v>
      </c>
      <c r="G11" s="15">
        <f>mround(G14*OverviewData!$C$5,5)</f>
        <v>305</v>
      </c>
      <c r="H11" s="15">
        <f>mround(H14*OverviewData!$C$5,5)</f>
        <v>305</v>
      </c>
      <c r="I11" s="15">
        <f>mround(I14*OverviewData!$C$5,5)</f>
        <v>335</v>
      </c>
      <c r="J11" s="15">
        <f>mround(J14*OverviewData!$D$5,5)</f>
        <v>315</v>
      </c>
      <c r="K11" s="15">
        <f>mround(K14*OverviewData!$D$5,5)</f>
        <v>315</v>
      </c>
      <c r="L11" s="15">
        <f>mround(L14*OverviewData!$D$5,5)</f>
        <v>315</v>
      </c>
      <c r="M11" s="15">
        <f>mround(M14*OverviewData!$D$5,5)</f>
        <v>295</v>
      </c>
      <c r="N11" s="14" t="s">
        <v>35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 t="s">
        <v>50</v>
      </c>
      <c r="B12" s="15">
        <v>2.0</v>
      </c>
      <c r="C12" s="15">
        <v>3.0</v>
      </c>
      <c r="D12" s="15">
        <v>3.0</v>
      </c>
      <c r="E12" s="15">
        <v>4.0</v>
      </c>
      <c r="F12" s="15">
        <v>2.0</v>
      </c>
      <c r="G12" s="15">
        <v>3.0</v>
      </c>
      <c r="H12" s="15">
        <v>4.0</v>
      </c>
      <c r="I12" s="15">
        <v>5.0</v>
      </c>
      <c r="J12" s="15">
        <v>3.0</v>
      </c>
      <c r="K12" s="15">
        <v>4.0</v>
      </c>
      <c r="L12" s="15">
        <v>5.0</v>
      </c>
      <c r="M12" s="15">
        <v>5.0</v>
      </c>
      <c r="N12" s="1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 t="s">
        <v>12</v>
      </c>
      <c r="B13" s="15">
        <v>9.0</v>
      </c>
      <c r="C13" s="15">
        <v>9.0</v>
      </c>
      <c r="D13" s="15">
        <v>9.0</v>
      </c>
      <c r="E13" s="15">
        <v>4.0</v>
      </c>
      <c r="F13" s="15">
        <v>8.0</v>
      </c>
      <c r="G13" s="15">
        <v>8.0</v>
      </c>
      <c r="H13" s="15">
        <v>8.0</v>
      </c>
      <c r="I13" s="15">
        <v>3.0</v>
      </c>
      <c r="J13" s="15">
        <v>7.0</v>
      </c>
      <c r="K13" s="15">
        <v>7.0</v>
      </c>
      <c r="L13" s="15">
        <v>7.0</v>
      </c>
      <c r="M13" s="15">
        <v>7.0</v>
      </c>
      <c r="N13" s="15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 t="s">
        <v>11</v>
      </c>
      <c r="B14" s="21">
        <v>0.725</v>
      </c>
      <c r="C14" s="21">
        <v>0.725</v>
      </c>
      <c r="D14" s="21">
        <v>0.725</v>
      </c>
      <c r="E14" s="21">
        <v>0.825</v>
      </c>
      <c r="F14" s="21">
        <v>0.75</v>
      </c>
      <c r="G14" s="21">
        <v>0.75</v>
      </c>
      <c r="H14" s="21">
        <v>0.75</v>
      </c>
      <c r="I14" s="21">
        <v>0.825</v>
      </c>
      <c r="J14" s="21">
        <v>0.775</v>
      </c>
      <c r="K14" s="21">
        <v>0.775</v>
      </c>
      <c r="L14" s="21">
        <v>0.775</v>
      </c>
      <c r="M14" s="21">
        <v>0.725</v>
      </c>
      <c r="N14" s="21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6">
      <c r="A16" s="19" t="s">
        <v>84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>
      <c r="A17" s="20" t="s">
        <v>49</v>
      </c>
      <c r="B17" s="27">
        <v>50.0</v>
      </c>
      <c r="C17" s="15">
        <f t="shared" ref="C17:E17" si="2">B17</f>
        <v>50</v>
      </c>
      <c r="D17" s="15">
        <f t="shared" si="2"/>
        <v>50</v>
      </c>
      <c r="E17" s="15">
        <f t="shared" si="2"/>
        <v>50</v>
      </c>
      <c r="F17" s="15">
        <f>E17+5
</f>
        <v>55</v>
      </c>
      <c r="G17" s="15">
        <f t="shared" ref="G17:I17" si="3">F17</f>
        <v>55</v>
      </c>
      <c r="H17" s="15">
        <f t="shared" si="3"/>
        <v>55</v>
      </c>
      <c r="I17" s="15">
        <f t="shared" si="3"/>
        <v>55</v>
      </c>
      <c r="J17" s="15">
        <f>I17+5
</f>
        <v>60</v>
      </c>
      <c r="K17" s="15">
        <f t="shared" ref="K17:M17" si="4">J17</f>
        <v>60</v>
      </c>
      <c r="L17" s="15">
        <f t="shared" si="4"/>
        <v>60</v>
      </c>
      <c r="M17" s="15">
        <f t="shared" si="4"/>
        <v>60</v>
      </c>
      <c r="N17" s="15">
        <f>M17+5
</f>
        <v>65</v>
      </c>
    </row>
    <row r="18">
      <c r="A18" s="20" t="s">
        <v>39</v>
      </c>
      <c r="B18" s="15">
        <v>4111.0</v>
      </c>
      <c r="C18" s="15">
        <v>4111.0</v>
      </c>
      <c r="D18" s="15">
        <v>4101.0</v>
      </c>
      <c r="E18" s="15">
        <v>4101.0</v>
      </c>
      <c r="F18" s="15">
        <v>4111.0</v>
      </c>
      <c r="G18" s="15">
        <v>4111.0</v>
      </c>
      <c r="H18" s="15">
        <v>4101.0</v>
      </c>
      <c r="I18" s="15">
        <v>4101.0</v>
      </c>
      <c r="J18" s="15">
        <v>3111.0</v>
      </c>
      <c r="K18" s="15">
        <v>3111.0</v>
      </c>
      <c r="L18" s="15">
        <v>3101.0</v>
      </c>
      <c r="M18" s="15">
        <v>3101.0</v>
      </c>
      <c r="N18" s="15">
        <v>4101.0</v>
      </c>
    </row>
    <row r="19">
      <c r="A19" s="20" t="s">
        <v>41</v>
      </c>
      <c r="B19" s="15">
        <v>75.0</v>
      </c>
      <c r="C19" s="15">
        <v>75.0</v>
      </c>
      <c r="D19" s="15">
        <v>60.0</v>
      </c>
      <c r="E19" s="15">
        <v>60.0</v>
      </c>
      <c r="F19" s="15">
        <v>75.0</v>
      </c>
      <c r="G19" s="15">
        <v>75.0</v>
      </c>
      <c r="H19" s="15">
        <v>60.0</v>
      </c>
      <c r="I19" s="15">
        <v>60.0</v>
      </c>
      <c r="J19" s="15">
        <v>75.0</v>
      </c>
      <c r="K19" s="15">
        <v>75.0</v>
      </c>
      <c r="L19" s="15">
        <v>60.0</v>
      </c>
      <c r="M19" s="15">
        <v>60.0</v>
      </c>
      <c r="N19" s="15">
        <v>120.0</v>
      </c>
    </row>
    <row r="20">
      <c r="A20" s="20" t="s">
        <v>50</v>
      </c>
      <c r="B20" s="15">
        <v>6.0</v>
      </c>
      <c r="C20" s="15">
        <v>5.0</v>
      </c>
      <c r="D20" s="15">
        <v>4.0</v>
      </c>
      <c r="E20" s="15">
        <v>4.0</v>
      </c>
      <c r="F20" s="15">
        <v>6.0</v>
      </c>
      <c r="G20" s="15">
        <v>5.0</v>
      </c>
      <c r="H20" s="15">
        <v>4.0</v>
      </c>
      <c r="I20" s="15">
        <v>4.0</v>
      </c>
      <c r="J20" s="15">
        <v>6.0</v>
      </c>
      <c r="K20" s="15">
        <v>5.0</v>
      </c>
      <c r="L20" s="15">
        <v>4.0</v>
      </c>
      <c r="M20" s="15">
        <v>4.0</v>
      </c>
      <c r="N20" s="15">
        <v>7.0</v>
      </c>
    </row>
    <row r="21">
      <c r="A21" s="20" t="s">
        <v>12</v>
      </c>
      <c r="B21" s="15">
        <v>6.0</v>
      </c>
      <c r="C21" s="15">
        <v>7.0</v>
      </c>
      <c r="D21" s="15">
        <v>8.0</v>
      </c>
      <c r="E21" s="15">
        <v>9.0</v>
      </c>
      <c r="F21" s="15">
        <v>6.0</v>
      </c>
      <c r="G21" s="15">
        <v>7.0</v>
      </c>
      <c r="H21" s="15">
        <v>8.0</v>
      </c>
      <c r="I21" s="15">
        <v>9.0</v>
      </c>
      <c r="J21" s="15">
        <v>6.0</v>
      </c>
      <c r="K21" s="15">
        <v>7.0</v>
      </c>
      <c r="L21" s="15">
        <v>8.0</v>
      </c>
      <c r="M21" s="15">
        <v>9.0</v>
      </c>
      <c r="N21" s="15">
        <v>3.0</v>
      </c>
    </row>
    <row r="22">
      <c r="A22" s="20" t="s">
        <v>58</v>
      </c>
      <c r="B22" s="21">
        <v>0.7</v>
      </c>
      <c r="C22" s="21">
        <f>B22</f>
        <v>0.7</v>
      </c>
      <c r="D22" s="21">
        <f>B22</f>
        <v>0.7</v>
      </c>
      <c r="E22" s="21">
        <f>B22</f>
        <v>0.7</v>
      </c>
      <c r="F22" s="21">
        <v>0.75</v>
      </c>
      <c r="G22" s="28">
        <f>F22</f>
        <v>0.75</v>
      </c>
      <c r="H22" s="28">
        <f>F22</f>
        <v>0.75</v>
      </c>
      <c r="I22" s="28">
        <f>F22</f>
        <v>0.75</v>
      </c>
      <c r="J22" s="21">
        <v>0.8</v>
      </c>
      <c r="K22" s="28">
        <f>J22</f>
        <v>0.8</v>
      </c>
      <c r="L22" s="28">
        <f>J22</f>
        <v>0.8</v>
      </c>
      <c r="M22" s="28">
        <f>J22</f>
        <v>0.8</v>
      </c>
      <c r="N22" s="29">
        <v>0.85</v>
      </c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>
      <c r="A24" s="30" t="s">
        <v>85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>
      <c r="A25" s="33" t="s">
        <v>49</v>
      </c>
      <c r="B25" s="27">
        <v>55.0</v>
      </c>
      <c r="C25" s="15">
        <f t="shared" ref="C25:E25" si="5">B25</f>
        <v>55</v>
      </c>
      <c r="D25" s="15">
        <f t="shared" si="5"/>
        <v>55</v>
      </c>
      <c r="E25" s="15">
        <f t="shared" si="5"/>
        <v>55</v>
      </c>
      <c r="F25" s="15">
        <f>E25+5
</f>
        <v>60</v>
      </c>
      <c r="G25" s="15">
        <f t="shared" ref="G25:I25" si="6">F25</f>
        <v>60</v>
      </c>
      <c r="H25" s="15">
        <f t="shared" si="6"/>
        <v>60</v>
      </c>
      <c r="I25" s="15">
        <f t="shared" si="6"/>
        <v>60</v>
      </c>
      <c r="J25" s="15">
        <f>I25+5
</f>
        <v>65</v>
      </c>
      <c r="K25" s="15">
        <f t="shared" ref="K25:M25" si="7">J25</f>
        <v>65</v>
      </c>
      <c r="L25" s="15">
        <f t="shared" si="7"/>
        <v>65</v>
      </c>
      <c r="M25" s="15">
        <f t="shared" si="7"/>
        <v>65</v>
      </c>
      <c r="N25" s="15">
        <f>M25+5
</f>
        <v>70</v>
      </c>
    </row>
    <row r="26">
      <c r="A26" s="33" t="s">
        <v>39</v>
      </c>
      <c r="B26" s="33">
        <v>4111.0</v>
      </c>
      <c r="C26" s="33">
        <v>4111.0</v>
      </c>
      <c r="D26" s="33">
        <v>4101.0</v>
      </c>
      <c r="E26" s="33">
        <v>4101.0</v>
      </c>
      <c r="F26" s="15">
        <v>4111.0</v>
      </c>
      <c r="G26" s="15">
        <v>4111.0</v>
      </c>
      <c r="H26" s="15">
        <v>4101.0</v>
      </c>
      <c r="I26" s="15">
        <v>4101.0</v>
      </c>
      <c r="J26" s="15">
        <v>3111.0</v>
      </c>
      <c r="K26" s="15">
        <v>3111.0</v>
      </c>
      <c r="L26" s="15">
        <v>3101.0</v>
      </c>
      <c r="M26" s="15">
        <v>3101.0</v>
      </c>
      <c r="N26" s="15">
        <v>4101.0</v>
      </c>
    </row>
    <row r="27">
      <c r="A27" s="33" t="s">
        <v>41</v>
      </c>
      <c r="B27" s="33">
        <v>75.0</v>
      </c>
      <c r="C27" s="33">
        <v>75.0</v>
      </c>
      <c r="D27" s="33">
        <v>60.0</v>
      </c>
      <c r="E27" s="33">
        <v>60.0</v>
      </c>
      <c r="F27" s="15">
        <v>75.0</v>
      </c>
      <c r="G27" s="15">
        <v>75.0</v>
      </c>
      <c r="H27" s="15">
        <v>60.0</v>
      </c>
      <c r="I27" s="15">
        <v>60.0</v>
      </c>
      <c r="J27" s="15">
        <v>75.0</v>
      </c>
      <c r="K27" s="15">
        <v>75.0</v>
      </c>
      <c r="L27" s="15">
        <v>60.0</v>
      </c>
      <c r="M27" s="15">
        <v>60.0</v>
      </c>
      <c r="N27" s="15">
        <v>120.0</v>
      </c>
    </row>
    <row r="28">
      <c r="A28" s="33" t="s">
        <v>50</v>
      </c>
      <c r="B28" s="33">
        <v>6.0</v>
      </c>
      <c r="C28" s="33">
        <v>5.0</v>
      </c>
      <c r="D28" s="33">
        <v>4.0</v>
      </c>
      <c r="E28" s="33">
        <v>4.0</v>
      </c>
      <c r="F28" s="15">
        <v>6.0</v>
      </c>
      <c r="G28" s="15">
        <v>5.0</v>
      </c>
      <c r="H28" s="15">
        <v>4.0</v>
      </c>
      <c r="I28" s="15">
        <v>4.0</v>
      </c>
      <c r="J28" s="15">
        <v>6.0</v>
      </c>
      <c r="K28" s="15">
        <v>5.0</v>
      </c>
      <c r="L28" s="15">
        <v>4.0</v>
      </c>
      <c r="M28" s="15">
        <v>4.0</v>
      </c>
      <c r="N28" s="15">
        <v>7.0</v>
      </c>
    </row>
    <row r="29">
      <c r="A29" s="33" t="s">
        <v>12</v>
      </c>
      <c r="B29" s="33">
        <v>6.0</v>
      </c>
      <c r="C29" s="33">
        <v>7.0</v>
      </c>
      <c r="D29" s="33">
        <v>8.0</v>
      </c>
      <c r="E29" s="33">
        <v>9.0</v>
      </c>
      <c r="F29" s="15">
        <v>6.0</v>
      </c>
      <c r="G29" s="15">
        <v>7.0</v>
      </c>
      <c r="H29" s="15">
        <v>8.0</v>
      </c>
      <c r="I29" s="15">
        <v>9.0</v>
      </c>
      <c r="J29" s="15">
        <v>6.0</v>
      </c>
      <c r="K29" s="15">
        <v>7.0</v>
      </c>
      <c r="L29" s="15">
        <v>8.0</v>
      </c>
      <c r="M29" s="15">
        <v>9.0</v>
      </c>
      <c r="N29" s="15">
        <v>3.0</v>
      </c>
    </row>
    <row r="30">
      <c r="A30" s="20" t="s">
        <v>58</v>
      </c>
      <c r="B30" s="34">
        <v>0.7</v>
      </c>
      <c r="C30" s="34">
        <f>B30</f>
        <v>0.7</v>
      </c>
      <c r="D30" s="34">
        <f>B30</f>
        <v>0.7</v>
      </c>
      <c r="E30" s="34">
        <f>B30</f>
        <v>0.7</v>
      </c>
      <c r="F30" s="21">
        <v>0.75</v>
      </c>
      <c r="G30" s="28">
        <f>F30</f>
        <v>0.75</v>
      </c>
      <c r="H30" s="28">
        <f>F30</f>
        <v>0.75</v>
      </c>
      <c r="I30" s="28">
        <f>F30</f>
        <v>0.75</v>
      </c>
      <c r="J30" s="21">
        <v>0.8</v>
      </c>
      <c r="K30" s="28">
        <f>J30</f>
        <v>0.8</v>
      </c>
      <c r="L30" s="28">
        <f>J30</f>
        <v>0.8</v>
      </c>
      <c r="M30" s="28">
        <f>J30</f>
        <v>0.8</v>
      </c>
      <c r="N30" s="29">
        <v>0.85</v>
      </c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>
      <c r="A32" s="30" t="s">
        <v>86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>
      <c r="A33" s="33" t="s">
        <v>49</v>
      </c>
      <c r="B33" s="27">
        <v>27.5</v>
      </c>
      <c r="C33" s="15">
        <f t="shared" ref="C33:E33" si="8">B33</f>
        <v>27.5</v>
      </c>
      <c r="D33" s="15">
        <f t="shared" si="8"/>
        <v>27.5</v>
      </c>
      <c r="E33" s="15">
        <f t="shared" si="8"/>
        <v>27.5</v>
      </c>
      <c r="F33" s="15">
        <f>E33+2.5</f>
        <v>30</v>
      </c>
      <c r="G33" s="15">
        <f t="shared" ref="G33:I33" si="9">F33</f>
        <v>30</v>
      </c>
      <c r="H33" s="15">
        <f t="shared" si="9"/>
        <v>30</v>
      </c>
      <c r="I33" s="15">
        <f t="shared" si="9"/>
        <v>30</v>
      </c>
      <c r="J33" s="15">
        <f>I33+2.5</f>
        <v>32.5</v>
      </c>
      <c r="K33" s="15">
        <f t="shared" ref="K33:M33" si="10">J33</f>
        <v>32.5</v>
      </c>
      <c r="L33" s="15">
        <f t="shared" si="10"/>
        <v>32.5</v>
      </c>
      <c r="M33" s="15">
        <f t="shared" si="10"/>
        <v>32.5</v>
      </c>
      <c r="N33" s="15">
        <f>M33+2.5</f>
        <v>35</v>
      </c>
    </row>
    <row r="34">
      <c r="A34" s="33" t="s">
        <v>39</v>
      </c>
      <c r="B34" s="33">
        <v>4111.0</v>
      </c>
      <c r="C34" s="33">
        <v>4111.0</v>
      </c>
      <c r="D34" s="33">
        <v>4101.0</v>
      </c>
      <c r="E34" s="33">
        <v>4101.0</v>
      </c>
      <c r="F34" s="15">
        <v>4111.0</v>
      </c>
      <c r="G34" s="15">
        <v>4111.0</v>
      </c>
      <c r="H34" s="15">
        <v>4101.0</v>
      </c>
      <c r="I34" s="15">
        <v>4101.0</v>
      </c>
      <c r="J34" s="15">
        <v>3111.0</v>
      </c>
      <c r="K34" s="15">
        <v>3111.0</v>
      </c>
      <c r="L34" s="15">
        <v>3101.0</v>
      </c>
      <c r="M34" s="15">
        <v>3101.0</v>
      </c>
      <c r="N34" s="15">
        <v>4101.0</v>
      </c>
    </row>
    <row r="35">
      <c r="A35" s="33" t="s">
        <v>41</v>
      </c>
      <c r="B35" s="33">
        <v>75.0</v>
      </c>
      <c r="C35" s="33">
        <v>75.0</v>
      </c>
      <c r="D35" s="33">
        <v>60.0</v>
      </c>
      <c r="E35" s="33">
        <v>60.0</v>
      </c>
      <c r="F35" s="15">
        <v>75.0</v>
      </c>
      <c r="G35" s="15">
        <v>75.0</v>
      </c>
      <c r="H35" s="15">
        <v>60.0</v>
      </c>
      <c r="I35" s="15">
        <v>60.0</v>
      </c>
      <c r="J35" s="15">
        <v>75.0</v>
      </c>
      <c r="K35" s="15">
        <v>75.0</v>
      </c>
      <c r="L35" s="15">
        <v>60.0</v>
      </c>
      <c r="M35" s="15">
        <v>60.0</v>
      </c>
      <c r="N35" s="15">
        <v>60.0</v>
      </c>
    </row>
    <row r="36">
      <c r="A36" s="33" t="s">
        <v>50</v>
      </c>
      <c r="B36" s="33">
        <v>6.0</v>
      </c>
      <c r="C36" s="33">
        <v>5.0</v>
      </c>
      <c r="D36" s="33">
        <v>4.0</v>
      </c>
      <c r="E36" s="33">
        <v>4.0</v>
      </c>
      <c r="F36" s="15">
        <v>6.0</v>
      </c>
      <c r="G36" s="15">
        <v>5.0</v>
      </c>
      <c r="H36" s="15">
        <v>4.0</v>
      </c>
      <c r="I36" s="15">
        <v>4.0</v>
      </c>
      <c r="J36" s="15">
        <v>6.0</v>
      </c>
      <c r="K36" s="15">
        <v>5.0</v>
      </c>
      <c r="L36" s="15">
        <v>4.0</v>
      </c>
      <c r="M36" s="15">
        <v>4.0</v>
      </c>
      <c r="N36" s="15">
        <v>4.0</v>
      </c>
    </row>
    <row r="37">
      <c r="A37" s="33" t="s">
        <v>12</v>
      </c>
      <c r="B37" s="33">
        <v>6.0</v>
      </c>
      <c r="C37" s="33">
        <v>7.0</v>
      </c>
      <c r="D37" s="33">
        <v>8.0</v>
      </c>
      <c r="E37" s="33">
        <v>9.0</v>
      </c>
      <c r="F37" s="15">
        <v>6.0</v>
      </c>
      <c r="G37" s="15">
        <v>7.0</v>
      </c>
      <c r="H37" s="15">
        <v>8.0</v>
      </c>
      <c r="I37" s="15">
        <v>9.0</v>
      </c>
      <c r="J37" s="15">
        <v>6.0</v>
      </c>
      <c r="K37" s="15">
        <v>7.0</v>
      </c>
      <c r="L37" s="15">
        <v>8.0</v>
      </c>
      <c r="M37" s="15">
        <v>9.0</v>
      </c>
      <c r="N37" s="15">
        <v>5.0</v>
      </c>
    </row>
    <row r="38">
      <c r="A38" s="20" t="s">
        <v>58</v>
      </c>
      <c r="B38" s="34">
        <v>0.7</v>
      </c>
      <c r="C38" s="34">
        <f>B38</f>
        <v>0.7</v>
      </c>
      <c r="D38" s="34">
        <f>B38</f>
        <v>0.7</v>
      </c>
      <c r="E38" s="34">
        <f>B38</f>
        <v>0.7</v>
      </c>
      <c r="F38" s="21">
        <v>0.75</v>
      </c>
      <c r="G38" s="28">
        <f>F38</f>
        <v>0.75</v>
      </c>
      <c r="H38" s="28">
        <f>F38</f>
        <v>0.75</v>
      </c>
      <c r="I38" s="28">
        <f>F38</f>
        <v>0.75</v>
      </c>
      <c r="J38" s="21">
        <v>0.8</v>
      </c>
      <c r="K38" s="28">
        <f>J38</f>
        <v>0.8</v>
      </c>
      <c r="L38" s="28">
        <f>J38</f>
        <v>0.8</v>
      </c>
      <c r="M38" s="28">
        <f>J38</f>
        <v>0.8</v>
      </c>
      <c r="N38" s="21">
        <v>0.85</v>
      </c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>
      <c r="A40" s="30" t="s">
        <v>87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>
      <c r="A41" s="33" t="s">
        <v>49</v>
      </c>
      <c r="B41" s="27">
        <v>15.0</v>
      </c>
      <c r="C41" s="15">
        <f t="shared" ref="C41:E41" si="11">B41</f>
        <v>15</v>
      </c>
      <c r="D41" s="15">
        <f t="shared" si="11"/>
        <v>15</v>
      </c>
      <c r="E41" s="15">
        <f t="shared" si="11"/>
        <v>15</v>
      </c>
      <c r="F41" s="15">
        <f>E41+2.5</f>
        <v>17.5</v>
      </c>
      <c r="G41" s="15">
        <f t="shared" ref="G41:I41" si="12">F41</f>
        <v>17.5</v>
      </c>
      <c r="H41" s="15">
        <f t="shared" si="12"/>
        <v>17.5</v>
      </c>
      <c r="I41" s="15">
        <f t="shared" si="12"/>
        <v>17.5</v>
      </c>
      <c r="J41" s="15">
        <f>I41+2.5</f>
        <v>20</v>
      </c>
      <c r="K41" s="15">
        <f t="shared" ref="K41:M41" si="13">J41</f>
        <v>20</v>
      </c>
      <c r="L41" s="15">
        <f t="shared" si="13"/>
        <v>20</v>
      </c>
      <c r="M41" s="15">
        <f t="shared" si="13"/>
        <v>20</v>
      </c>
      <c r="N41" s="15">
        <f>M41+2.5</f>
        <v>22.5</v>
      </c>
    </row>
    <row r="42">
      <c r="A42" s="33" t="s">
        <v>39</v>
      </c>
      <c r="B42" s="15">
        <v>4111.0</v>
      </c>
      <c r="C42" s="15">
        <v>4111.0</v>
      </c>
      <c r="D42" s="15">
        <v>4101.0</v>
      </c>
      <c r="E42" s="15">
        <v>4101.0</v>
      </c>
      <c r="F42" s="15">
        <v>4111.0</v>
      </c>
      <c r="G42" s="15">
        <v>4111.0</v>
      </c>
      <c r="H42" s="15">
        <v>4101.0</v>
      </c>
      <c r="I42" s="15">
        <v>4101.0</v>
      </c>
      <c r="J42" s="15">
        <v>4111.0</v>
      </c>
      <c r="K42" s="15">
        <v>4111.0</v>
      </c>
      <c r="L42" s="15">
        <v>4101.0</v>
      </c>
      <c r="M42" s="15">
        <v>4101.0</v>
      </c>
      <c r="N42" s="15">
        <v>4101.0</v>
      </c>
    </row>
    <row r="43">
      <c r="A43" s="33" t="s">
        <v>41</v>
      </c>
      <c r="B43" s="15">
        <v>75.0</v>
      </c>
      <c r="C43" s="15">
        <v>75.0</v>
      </c>
      <c r="D43" s="15">
        <v>60.0</v>
      </c>
      <c r="E43" s="15">
        <v>60.0</v>
      </c>
      <c r="F43" s="15">
        <v>75.0</v>
      </c>
      <c r="G43" s="15">
        <v>75.0</v>
      </c>
      <c r="H43" s="15">
        <v>60.0</v>
      </c>
      <c r="I43" s="15">
        <v>60.0</v>
      </c>
      <c r="J43" s="15">
        <v>75.0</v>
      </c>
      <c r="K43" s="15">
        <v>75.0</v>
      </c>
      <c r="L43" s="15">
        <v>60.0</v>
      </c>
      <c r="M43" s="15">
        <v>60.0</v>
      </c>
      <c r="N43" s="15">
        <v>60.0</v>
      </c>
    </row>
    <row r="44">
      <c r="A44" s="33" t="s">
        <v>50</v>
      </c>
      <c r="B44" s="33">
        <v>6.0</v>
      </c>
      <c r="C44" s="33">
        <v>5.0</v>
      </c>
      <c r="D44" s="33">
        <v>4.0</v>
      </c>
      <c r="E44" s="33">
        <v>4.0</v>
      </c>
      <c r="F44" s="15">
        <v>6.0</v>
      </c>
      <c r="G44" s="15">
        <v>5.0</v>
      </c>
      <c r="H44" s="15">
        <v>4.0</v>
      </c>
      <c r="I44" s="15">
        <v>4.0</v>
      </c>
      <c r="J44" s="15">
        <v>6.0</v>
      </c>
      <c r="K44" s="15">
        <v>5.0</v>
      </c>
      <c r="L44" s="15">
        <v>4.0</v>
      </c>
      <c r="M44" s="15">
        <v>4.0</v>
      </c>
      <c r="N44" s="15">
        <v>4.0</v>
      </c>
    </row>
    <row r="45">
      <c r="A45" s="33" t="s">
        <v>12</v>
      </c>
      <c r="B45" s="33">
        <v>6.0</v>
      </c>
      <c r="C45" s="33">
        <v>7.0</v>
      </c>
      <c r="D45" s="33">
        <v>8.0</v>
      </c>
      <c r="E45" s="33">
        <v>9.0</v>
      </c>
      <c r="F45" s="15">
        <v>6.0</v>
      </c>
      <c r="G45" s="15">
        <v>7.0</v>
      </c>
      <c r="H45" s="15">
        <v>8.0</v>
      </c>
      <c r="I45" s="15">
        <v>9.0</v>
      </c>
      <c r="J45" s="15">
        <v>6.0</v>
      </c>
      <c r="K45" s="15">
        <v>7.0</v>
      </c>
      <c r="L45" s="15">
        <v>8.0</v>
      </c>
      <c r="M45" s="15">
        <v>9.0</v>
      </c>
      <c r="N45" s="15">
        <v>5.0</v>
      </c>
    </row>
    <row r="46">
      <c r="A46" s="20" t="s">
        <v>58</v>
      </c>
      <c r="B46" s="21">
        <v>0.5</v>
      </c>
      <c r="C46" s="21">
        <f>B46</f>
        <v>0.5</v>
      </c>
      <c r="D46" s="21">
        <v>0.6</v>
      </c>
      <c r="E46" s="21">
        <v>0.6</v>
      </c>
      <c r="F46" s="21">
        <v>0.7</v>
      </c>
      <c r="G46" s="28">
        <f>F46</f>
        <v>0.7</v>
      </c>
      <c r="H46" s="28">
        <f>F46</f>
        <v>0.7</v>
      </c>
      <c r="I46" s="28">
        <f>F46</f>
        <v>0.7</v>
      </c>
      <c r="J46" s="21">
        <v>0.75</v>
      </c>
      <c r="K46" s="28">
        <f>J46</f>
        <v>0.75</v>
      </c>
      <c r="L46" s="28">
        <f>J46</f>
        <v>0.75</v>
      </c>
      <c r="M46" s="28">
        <f>J46</f>
        <v>0.75</v>
      </c>
      <c r="N46" s="21">
        <v>0.85</v>
      </c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>
      <c r="A48" s="30" t="s">
        <v>88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>
      <c r="A49" s="33" t="s">
        <v>49</v>
      </c>
      <c r="B49" s="27">
        <v>80.0</v>
      </c>
      <c r="C49" s="15">
        <f t="shared" ref="C49:E49" si="14">B49</f>
        <v>80</v>
      </c>
      <c r="D49" s="15">
        <f t="shared" si="14"/>
        <v>80</v>
      </c>
      <c r="E49" s="15">
        <f t="shared" si="14"/>
        <v>80</v>
      </c>
      <c r="F49" s="15">
        <f>E49+5
</f>
        <v>85</v>
      </c>
      <c r="G49" s="15">
        <f t="shared" ref="G49:I49" si="15">F49</f>
        <v>85</v>
      </c>
      <c r="H49" s="15">
        <f t="shared" si="15"/>
        <v>85</v>
      </c>
      <c r="I49" s="15">
        <f t="shared" si="15"/>
        <v>85</v>
      </c>
      <c r="J49" s="15">
        <f>I49+5
</f>
        <v>90</v>
      </c>
      <c r="K49" s="15">
        <f t="shared" ref="K49:M49" si="16">J49</f>
        <v>90</v>
      </c>
      <c r="L49" s="15">
        <f t="shared" si="16"/>
        <v>90</v>
      </c>
      <c r="M49" s="15">
        <f t="shared" si="16"/>
        <v>90</v>
      </c>
      <c r="N49" s="15">
        <f>M49+5
</f>
        <v>95</v>
      </c>
    </row>
    <row r="50">
      <c r="A50" s="33" t="s">
        <v>39</v>
      </c>
      <c r="B50" s="15">
        <v>4111.0</v>
      </c>
      <c r="C50" s="15">
        <v>4111.0</v>
      </c>
      <c r="D50" s="15">
        <v>4101.0</v>
      </c>
      <c r="E50" s="15">
        <v>4101.0</v>
      </c>
      <c r="F50" s="15">
        <v>4111.0</v>
      </c>
      <c r="G50" s="15">
        <v>4111.0</v>
      </c>
      <c r="H50" s="15">
        <v>4101.0</v>
      </c>
      <c r="I50" s="15">
        <v>4101.0</v>
      </c>
      <c r="J50" s="15">
        <v>3111.0</v>
      </c>
      <c r="K50" s="15">
        <v>3111.0</v>
      </c>
      <c r="L50" s="15">
        <v>3101.0</v>
      </c>
      <c r="M50" s="15">
        <v>3101.0</v>
      </c>
      <c r="N50" s="15">
        <v>4101.0</v>
      </c>
    </row>
    <row r="51">
      <c r="A51" s="33" t="s">
        <v>41</v>
      </c>
      <c r="B51" s="15">
        <v>75.0</v>
      </c>
      <c r="C51" s="15">
        <v>75.0</v>
      </c>
      <c r="D51" s="15">
        <v>60.0</v>
      </c>
      <c r="E51" s="15">
        <v>60.0</v>
      </c>
      <c r="F51" s="15">
        <v>75.0</v>
      </c>
      <c r="G51" s="15">
        <v>75.0</v>
      </c>
      <c r="H51" s="15">
        <v>60.0</v>
      </c>
      <c r="I51" s="15">
        <v>60.0</v>
      </c>
      <c r="J51" s="15">
        <v>75.0</v>
      </c>
      <c r="K51" s="15">
        <v>75.0</v>
      </c>
      <c r="L51" s="15">
        <v>60.0</v>
      </c>
      <c r="M51" s="15">
        <v>60.0</v>
      </c>
      <c r="N51" s="15">
        <v>60.0</v>
      </c>
    </row>
    <row r="52">
      <c r="A52" s="33" t="s">
        <v>50</v>
      </c>
      <c r="B52" s="15">
        <v>6.0</v>
      </c>
      <c r="C52" s="15">
        <v>5.0</v>
      </c>
      <c r="D52" s="15">
        <v>4.0</v>
      </c>
      <c r="E52" s="15">
        <v>4.0</v>
      </c>
      <c r="F52" s="15">
        <v>6.0</v>
      </c>
      <c r="G52" s="15">
        <v>5.0</v>
      </c>
      <c r="H52" s="15">
        <v>4.0</v>
      </c>
      <c r="I52" s="15">
        <v>4.0</v>
      </c>
      <c r="J52" s="15">
        <v>6.0</v>
      </c>
      <c r="K52" s="15">
        <v>5.0</v>
      </c>
      <c r="L52" s="15">
        <v>4.0</v>
      </c>
      <c r="M52" s="15">
        <v>4.0</v>
      </c>
      <c r="N52" s="15">
        <v>4.0</v>
      </c>
    </row>
    <row r="53">
      <c r="A53" s="33" t="s">
        <v>12</v>
      </c>
      <c r="B53" s="15">
        <v>6.0</v>
      </c>
      <c r="C53" s="15">
        <v>7.0</v>
      </c>
      <c r="D53" s="15">
        <v>8.0</v>
      </c>
      <c r="E53" s="15">
        <v>9.0</v>
      </c>
      <c r="F53" s="15">
        <v>6.0</v>
      </c>
      <c r="G53" s="15">
        <v>7.0</v>
      </c>
      <c r="H53" s="15">
        <v>8.0</v>
      </c>
      <c r="I53" s="15">
        <v>9.0</v>
      </c>
      <c r="J53" s="15">
        <v>6.0</v>
      </c>
      <c r="K53" s="15">
        <v>7.0</v>
      </c>
      <c r="L53" s="15">
        <v>8.0</v>
      </c>
      <c r="M53" s="15">
        <v>9.0</v>
      </c>
      <c r="N53" s="15">
        <v>5.0</v>
      </c>
    </row>
    <row r="54">
      <c r="A54" s="20" t="s">
        <v>58</v>
      </c>
      <c r="B54" s="21">
        <v>0.7</v>
      </c>
      <c r="C54" s="21">
        <f>B54</f>
        <v>0.7</v>
      </c>
      <c r="D54" s="21">
        <f>B54</f>
        <v>0.7</v>
      </c>
      <c r="E54" s="21">
        <f>B54</f>
        <v>0.7</v>
      </c>
      <c r="F54" s="21">
        <v>0.75</v>
      </c>
      <c r="G54" s="28">
        <f>F54</f>
        <v>0.75</v>
      </c>
      <c r="H54" s="28">
        <f>F54</f>
        <v>0.75</v>
      </c>
      <c r="I54" s="28">
        <f>F54</f>
        <v>0.75</v>
      </c>
      <c r="J54" s="21">
        <v>0.8</v>
      </c>
      <c r="K54" s="28">
        <f>J54</f>
        <v>0.8</v>
      </c>
      <c r="L54" s="28">
        <f>J54</f>
        <v>0.8</v>
      </c>
      <c r="M54" s="28">
        <f>J54</f>
        <v>0.8</v>
      </c>
      <c r="N54" s="21">
        <v>0.85</v>
      </c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>
      <c r="A56" s="30" t="s">
        <v>89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>
      <c r="A57" s="33" t="s">
        <v>49</v>
      </c>
      <c r="B57" s="27">
        <v>20.0</v>
      </c>
      <c r="C57" s="15">
        <f t="shared" ref="C57:E57" si="17">B57</f>
        <v>20</v>
      </c>
      <c r="D57" s="15">
        <f t="shared" si="17"/>
        <v>20</v>
      </c>
      <c r="E57" s="15">
        <f t="shared" si="17"/>
        <v>20</v>
      </c>
      <c r="F57" s="15">
        <f>E57+2.5</f>
        <v>22.5</v>
      </c>
      <c r="G57" s="15">
        <f t="shared" ref="G57:I57" si="18">F57</f>
        <v>22.5</v>
      </c>
      <c r="H57" s="15">
        <f t="shared" si="18"/>
        <v>22.5</v>
      </c>
      <c r="I57" s="15">
        <f t="shared" si="18"/>
        <v>22.5</v>
      </c>
      <c r="J57" s="15">
        <f>I57+2.5</f>
        <v>25</v>
      </c>
      <c r="K57" s="15">
        <f t="shared" ref="K57:M57" si="19">J57</f>
        <v>25</v>
      </c>
      <c r="L57" s="15">
        <f t="shared" si="19"/>
        <v>25</v>
      </c>
      <c r="M57" s="15">
        <f t="shared" si="19"/>
        <v>25</v>
      </c>
      <c r="N57" s="15">
        <f>M57+2.5</f>
        <v>27.5</v>
      </c>
    </row>
    <row r="58">
      <c r="A58" s="33" t="s">
        <v>39</v>
      </c>
      <c r="B58" s="15">
        <v>4111.0</v>
      </c>
      <c r="C58" s="15">
        <v>4111.0</v>
      </c>
      <c r="D58" s="15">
        <v>4101.0</v>
      </c>
      <c r="E58" s="15">
        <v>4101.0</v>
      </c>
      <c r="F58" s="15">
        <v>4111.0</v>
      </c>
      <c r="G58" s="15">
        <v>4111.0</v>
      </c>
      <c r="H58" s="15">
        <v>4101.0</v>
      </c>
      <c r="I58" s="15">
        <v>4101.0</v>
      </c>
      <c r="J58" s="15">
        <v>4111.0</v>
      </c>
      <c r="K58" s="15">
        <v>4111.0</v>
      </c>
      <c r="L58" s="15">
        <v>4101.0</v>
      </c>
      <c r="M58" s="15">
        <v>4101.0</v>
      </c>
      <c r="N58" s="15">
        <v>4101.0</v>
      </c>
    </row>
    <row r="59">
      <c r="A59" s="33" t="s">
        <v>41</v>
      </c>
      <c r="B59" s="15">
        <v>75.0</v>
      </c>
      <c r="C59" s="15">
        <v>75.0</v>
      </c>
      <c r="D59" s="15">
        <v>60.0</v>
      </c>
      <c r="E59" s="15">
        <v>60.0</v>
      </c>
      <c r="F59" s="15">
        <v>75.0</v>
      </c>
      <c r="G59" s="15">
        <v>75.0</v>
      </c>
      <c r="H59" s="15">
        <v>60.0</v>
      </c>
      <c r="I59" s="15">
        <v>60.0</v>
      </c>
      <c r="J59" s="15">
        <v>75.0</v>
      </c>
      <c r="K59" s="15">
        <v>75.0</v>
      </c>
      <c r="L59" s="15">
        <v>60.0</v>
      </c>
      <c r="M59" s="15">
        <v>60.0</v>
      </c>
      <c r="N59" s="15">
        <v>60.0</v>
      </c>
    </row>
    <row r="60">
      <c r="A60" s="33" t="s">
        <v>50</v>
      </c>
      <c r="B60" s="33">
        <v>6.0</v>
      </c>
      <c r="C60" s="33">
        <v>5.0</v>
      </c>
      <c r="D60" s="33">
        <v>4.0</v>
      </c>
      <c r="E60" s="33">
        <v>4.0</v>
      </c>
      <c r="F60" s="15">
        <v>6.0</v>
      </c>
      <c r="G60" s="15">
        <v>5.0</v>
      </c>
      <c r="H60" s="15">
        <v>4.0</v>
      </c>
      <c r="I60" s="15">
        <v>4.0</v>
      </c>
      <c r="J60" s="15">
        <v>6.0</v>
      </c>
      <c r="K60" s="15">
        <v>5.0</v>
      </c>
      <c r="L60" s="15">
        <v>4.0</v>
      </c>
      <c r="M60" s="15">
        <v>4.0</v>
      </c>
      <c r="N60" s="15">
        <v>4.0</v>
      </c>
    </row>
    <row r="61">
      <c r="A61" s="33" t="s">
        <v>12</v>
      </c>
      <c r="B61" s="33">
        <v>6.0</v>
      </c>
      <c r="C61" s="33">
        <v>7.0</v>
      </c>
      <c r="D61" s="33">
        <v>8.0</v>
      </c>
      <c r="E61" s="33">
        <v>9.0</v>
      </c>
      <c r="F61" s="15">
        <v>6.0</v>
      </c>
      <c r="G61" s="15">
        <v>7.0</v>
      </c>
      <c r="H61" s="15">
        <v>8.0</v>
      </c>
      <c r="I61" s="15">
        <v>9.0</v>
      </c>
      <c r="J61" s="15">
        <v>6.0</v>
      </c>
      <c r="K61" s="15">
        <v>7.0</v>
      </c>
      <c r="L61" s="15">
        <v>8.0</v>
      </c>
      <c r="M61" s="15">
        <v>9.0</v>
      </c>
      <c r="N61" s="15">
        <v>5.0</v>
      </c>
    </row>
    <row r="62">
      <c r="A62" s="20" t="s">
        <v>58</v>
      </c>
      <c r="B62" s="21">
        <v>0.5</v>
      </c>
      <c r="C62" s="21">
        <f>B62</f>
        <v>0.5</v>
      </c>
      <c r="D62" s="21">
        <v>0.6</v>
      </c>
      <c r="E62" s="21">
        <v>0.6</v>
      </c>
      <c r="F62" s="21">
        <v>0.7</v>
      </c>
      <c r="G62" s="28">
        <f>F62</f>
        <v>0.7</v>
      </c>
      <c r="H62" s="28">
        <f>F62</f>
        <v>0.7</v>
      </c>
      <c r="I62" s="28">
        <f>F62</f>
        <v>0.7</v>
      </c>
      <c r="J62" s="21">
        <v>0.75</v>
      </c>
      <c r="K62" s="28">
        <f>J62</f>
        <v>0.75</v>
      </c>
      <c r="L62" s="28">
        <f>J62</f>
        <v>0.75</v>
      </c>
      <c r="M62" s="28">
        <f>J62</f>
        <v>0.75</v>
      </c>
      <c r="N62" s="21">
        <v>0.85</v>
      </c>
    </row>
    <row r="64">
      <c r="A64" s="30" t="s">
        <v>90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>
      <c r="A65" s="33" t="s">
        <v>49</v>
      </c>
      <c r="B65" s="27">
        <v>70.0</v>
      </c>
      <c r="C65" s="15">
        <f t="shared" ref="C65:E65" si="20">B65</f>
        <v>70</v>
      </c>
      <c r="D65" s="15">
        <f t="shared" si="20"/>
        <v>70</v>
      </c>
      <c r="E65" s="15">
        <f t="shared" si="20"/>
        <v>70</v>
      </c>
      <c r="F65" s="15">
        <f>E65+10</f>
        <v>80</v>
      </c>
      <c r="G65" s="15">
        <f t="shared" ref="G65:I65" si="21">F65</f>
        <v>80</v>
      </c>
      <c r="H65" s="15">
        <f t="shared" si="21"/>
        <v>80</v>
      </c>
      <c r="I65" s="15">
        <f t="shared" si="21"/>
        <v>80</v>
      </c>
      <c r="J65" s="15">
        <f>I65+10</f>
        <v>90</v>
      </c>
      <c r="K65" s="15">
        <f t="shared" ref="K65:M65" si="22">J65</f>
        <v>90</v>
      </c>
      <c r="L65" s="15">
        <f t="shared" si="22"/>
        <v>90</v>
      </c>
      <c r="M65" s="15">
        <f t="shared" si="22"/>
        <v>90</v>
      </c>
      <c r="N65" s="15">
        <f>M65+10</f>
        <v>100</v>
      </c>
    </row>
    <row r="66">
      <c r="A66" s="33" t="s">
        <v>39</v>
      </c>
      <c r="B66" s="15">
        <v>4111.0</v>
      </c>
      <c r="C66" s="15">
        <v>4111.0</v>
      </c>
      <c r="D66" s="15">
        <v>4101.0</v>
      </c>
      <c r="E66" s="15">
        <v>4101.0</v>
      </c>
      <c r="F66" s="15">
        <v>4111.0</v>
      </c>
      <c r="G66" s="15">
        <v>4111.0</v>
      </c>
      <c r="H66" s="15">
        <v>4101.0</v>
      </c>
      <c r="I66" s="15">
        <v>4101.0</v>
      </c>
      <c r="J66" s="15">
        <v>3111.0</v>
      </c>
      <c r="K66" s="15">
        <v>3111.0</v>
      </c>
      <c r="L66" s="15">
        <v>3101.0</v>
      </c>
      <c r="M66" s="15">
        <v>3101.0</v>
      </c>
      <c r="N66" s="15">
        <v>4101.0</v>
      </c>
    </row>
    <row r="67">
      <c r="A67" s="33" t="s">
        <v>41</v>
      </c>
      <c r="B67" s="15">
        <v>75.0</v>
      </c>
      <c r="C67" s="15">
        <v>75.0</v>
      </c>
      <c r="D67" s="15">
        <v>60.0</v>
      </c>
      <c r="E67" s="15">
        <v>60.0</v>
      </c>
      <c r="F67" s="15">
        <v>75.0</v>
      </c>
      <c r="G67" s="15">
        <v>75.0</v>
      </c>
      <c r="H67" s="15">
        <v>60.0</v>
      </c>
      <c r="I67" s="15">
        <v>60.0</v>
      </c>
      <c r="J67" s="15">
        <v>75.0</v>
      </c>
      <c r="K67" s="15">
        <v>75.0</v>
      </c>
      <c r="L67" s="15">
        <v>60.0</v>
      </c>
      <c r="M67" s="15">
        <v>60.0</v>
      </c>
      <c r="N67" s="15">
        <v>60.0</v>
      </c>
    </row>
    <row r="68">
      <c r="A68" s="33" t="s">
        <v>50</v>
      </c>
      <c r="B68" s="15">
        <v>6.0</v>
      </c>
      <c r="C68" s="15">
        <v>5.0</v>
      </c>
      <c r="D68" s="15">
        <v>4.0</v>
      </c>
      <c r="E68" s="15">
        <v>4.0</v>
      </c>
      <c r="F68" s="15">
        <v>6.0</v>
      </c>
      <c r="G68" s="15">
        <v>5.0</v>
      </c>
      <c r="H68" s="15">
        <v>4.0</v>
      </c>
      <c r="I68" s="15">
        <v>4.0</v>
      </c>
      <c r="J68" s="15">
        <v>6.0</v>
      </c>
      <c r="K68" s="15">
        <v>5.0</v>
      </c>
      <c r="L68" s="15">
        <v>4.0</v>
      </c>
      <c r="M68" s="15">
        <v>4.0</v>
      </c>
      <c r="N68" s="15">
        <v>4.0</v>
      </c>
    </row>
    <row r="69">
      <c r="A69" s="33" t="s">
        <v>12</v>
      </c>
      <c r="B69" s="15">
        <v>6.0</v>
      </c>
      <c r="C69" s="15">
        <v>7.0</v>
      </c>
      <c r="D69" s="15">
        <v>8.0</v>
      </c>
      <c r="E69" s="15">
        <v>9.0</v>
      </c>
      <c r="F69" s="15">
        <v>6.0</v>
      </c>
      <c r="G69" s="15">
        <v>7.0</v>
      </c>
      <c r="H69" s="15">
        <v>8.0</v>
      </c>
      <c r="I69" s="15">
        <v>9.0</v>
      </c>
      <c r="J69" s="15">
        <v>6.0</v>
      </c>
      <c r="K69" s="15">
        <v>7.0</v>
      </c>
      <c r="L69" s="15">
        <v>8.0</v>
      </c>
      <c r="M69" s="15">
        <v>9.0</v>
      </c>
      <c r="N69" s="15">
        <v>5.0</v>
      </c>
    </row>
    <row r="70">
      <c r="A70" s="20" t="s">
        <v>58</v>
      </c>
      <c r="B70" s="21">
        <v>0.7</v>
      </c>
      <c r="C70" s="21">
        <f>B70</f>
        <v>0.7</v>
      </c>
      <c r="D70" s="21">
        <f>B70</f>
        <v>0.7</v>
      </c>
      <c r="E70" s="21">
        <f>B70</f>
        <v>0.7</v>
      </c>
      <c r="F70" s="21">
        <v>0.75</v>
      </c>
      <c r="G70" s="28">
        <f>F70</f>
        <v>0.75</v>
      </c>
      <c r="H70" s="28">
        <f>F70</f>
        <v>0.75</v>
      </c>
      <c r="I70" s="28">
        <f>F70</f>
        <v>0.75</v>
      </c>
      <c r="J70" s="21">
        <v>0.8</v>
      </c>
      <c r="K70" s="28">
        <f>J70</f>
        <v>0.8</v>
      </c>
      <c r="L70" s="28">
        <f>J70</f>
        <v>0.8</v>
      </c>
      <c r="M70" s="28">
        <f>J70</f>
        <v>0.8</v>
      </c>
      <c r="N70" s="21">
        <v>0.85</v>
      </c>
    </row>
    <row r="72">
      <c r="A72" s="19" t="s">
        <v>51</v>
      </c>
    </row>
    <row r="73">
      <c r="A73" s="22" t="s">
        <v>52</v>
      </c>
    </row>
    <row r="74">
      <c r="A74" s="23" t="s">
        <v>53</v>
      </c>
    </row>
    <row r="75">
      <c r="A75" s="24" t="s">
        <v>54</v>
      </c>
    </row>
    <row r="76">
      <c r="A76" s="25" t="s">
        <v>55</v>
      </c>
    </row>
    <row r="77">
      <c r="A77" s="26" t="s">
        <v>56</v>
      </c>
    </row>
  </sheetData>
  <mergeCells count="2">
    <mergeCell ref="N1:P1"/>
    <mergeCell ref="N2:P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29.57"/>
  </cols>
  <sheetData>
    <row r="1">
      <c r="A1" s="4" t="s">
        <v>47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3"/>
      <c r="P1" s="3"/>
      <c r="Q1" s="3"/>
      <c r="R1" s="3"/>
      <c r="S1" s="3"/>
      <c r="T1" s="3"/>
      <c r="U1" s="3"/>
      <c r="V1" s="3"/>
      <c r="W1" s="3"/>
    </row>
    <row r="2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36"/>
      <c r="P2" s="36"/>
      <c r="Q2" s="36"/>
      <c r="R2" s="36"/>
      <c r="S2" s="36"/>
      <c r="T2" s="36"/>
      <c r="U2" s="36"/>
      <c r="V2" s="36"/>
      <c r="W2" s="36"/>
    </row>
    <row r="3">
      <c r="A3" s="47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36"/>
      <c r="P3" s="36"/>
      <c r="Q3" s="36"/>
      <c r="R3" s="36"/>
      <c r="S3" s="36"/>
      <c r="T3" s="36"/>
      <c r="U3" s="36"/>
      <c r="V3" s="36"/>
      <c r="W3" s="36"/>
    </row>
  </sheetData>
  <drawing r:id="rId1"/>
</worksheet>
</file>