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Phase Creator" sheetId="1" r:id="rId4"/>
    <sheet state="visible" name="Instructions" sheetId="2" r:id="rId5"/>
    <sheet state="visible" name="Max Calculator" sheetId="3" r:id="rId6"/>
    <sheet state="hidden" name="Exercise Selection" sheetId="4" r:id="rId7"/>
    <sheet state="visible" name="PrePeaking Phase" sheetId="5" r:id="rId8"/>
    <sheet state="visible" name="Peaking Phase" sheetId="6" r:id="rId9"/>
  </sheets>
  <definedNames>
    <definedName name="Phase2">'Phase Creator'!$D$21:$Q$34</definedName>
    <definedName name="Peaking">'Phase Creator'!$D$66:$Q$79</definedName>
    <definedName name="PrePeaking">'Phase Creator'!$D$51:$Q$64</definedName>
    <definedName name="Phase6">'Phase Creator'!$D$81:$Q$94</definedName>
    <definedName name="Phase1">'Phase Creator'!$D$6:$Q$19</definedName>
    <definedName name="Phase3">'Phase Creator'!$D$36:$Q$49</definedName>
  </definedNames>
  <calcPr/>
  <extLst>
    <ext uri="GoogleSheetsCustomDataVersion1">
      <go:sheetsCustomData xmlns:go="http://customooxmlschemas.google.com/" r:id="rId10" roundtripDataSignature="AMtx7mhmtaj4oswjTara+ORYoYPAjrKg2g=="/>
    </ext>
  </extLst>
</workbook>
</file>

<file path=xl/sharedStrings.xml><?xml version="1.0" encoding="utf-8"?>
<sst xmlns="http://schemas.openxmlformats.org/spreadsheetml/2006/main" count="1712" uniqueCount="190">
  <si>
    <t>Phase 1</t>
  </si>
  <si>
    <t>Day</t>
  </si>
  <si>
    <t>Code</t>
  </si>
  <si>
    <t>Exercise Choice</t>
  </si>
  <si>
    <t>A1</t>
  </si>
  <si>
    <t>A</t>
  </si>
  <si>
    <t>Beltless SSB</t>
  </si>
  <si>
    <t>Dumbbell Squat</t>
  </si>
  <si>
    <t>Beltless Stiff Bar Opposite Stance DL</t>
  </si>
  <si>
    <t>Beltless Stiff Bar DL (opp stance)</t>
  </si>
  <si>
    <t>Wide Grip Feet Up Bench</t>
  </si>
  <si>
    <t>A2</t>
  </si>
  <si>
    <t>Wide Grip Bench</t>
  </si>
  <si>
    <t>A3</t>
  </si>
  <si>
    <t>Beltless High Bar Squat</t>
  </si>
  <si>
    <t>Front Squat</t>
  </si>
  <si>
    <t>Beltless DL</t>
  </si>
  <si>
    <t>Close Grip Feet Up Bench</t>
  </si>
  <si>
    <t>A4</t>
  </si>
  <si>
    <t>Close Grip Bench</t>
  </si>
  <si>
    <t>B1</t>
  </si>
  <si>
    <t>B</t>
  </si>
  <si>
    <t>3ct Pause Duffalo</t>
  </si>
  <si>
    <t>3ct Pause Neutral DB Press</t>
  </si>
  <si>
    <t>Overhand Romanian DL</t>
  </si>
  <si>
    <t>DB Belly Swing</t>
  </si>
  <si>
    <t>DB Incline Press</t>
  </si>
  <si>
    <t>B2</t>
  </si>
  <si>
    <t>B3</t>
  </si>
  <si>
    <t>3ct Pause Bench Press</t>
  </si>
  <si>
    <t>Overhead Press</t>
  </si>
  <si>
    <t>Incline Bench Press</t>
  </si>
  <si>
    <t>B4</t>
  </si>
  <si>
    <t>C</t>
  </si>
  <si>
    <t>Short Side Plank Clamshell</t>
  </si>
  <si>
    <t>DB 1 Arm Row w Pause</t>
  </si>
  <si>
    <t>Plank</t>
  </si>
  <si>
    <t>Chest Supported Row</t>
  </si>
  <si>
    <t>D</t>
  </si>
  <si>
    <t>GHR or Back Extension</t>
  </si>
  <si>
    <t>Rear Delt Raise</t>
  </si>
  <si>
    <t>Band/Cable Row</t>
  </si>
  <si>
    <t>Side Delt Raise</t>
  </si>
  <si>
    <t>E</t>
  </si>
  <si>
    <t>Slingshot Abduction/Hip Abduction</t>
  </si>
  <si>
    <t>Band/Cable Curls Slow eccentric</t>
  </si>
  <si>
    <t>Sit ups/Reverse Crunch slow eccentric</t>
  </si>
  <si>
    <t>Tricep Extensions</t>
  </si>
  <si>
    <t>F</t>
  </si>
  <si>
    <t>Band Pullapart/Rear Delt</t>
  </si>
  <si>
    <t>DB Neutral Deadstop Pushups</t>
  </si>
  <si>
    <t>Reverse Lunge</t>
  </si>
  <si>
    <t>Bicep Curls</t>
  </si>
  <si>
    <t>Phase 2</t>
  </si>
  <si>
    <t>SSB Squat</t>
  </si>
  <si>
    <t>Tempo High Bar Squat</t>
  </si>
  <si>
    <t>Stiff Bar DL Opp Stance</t>
  </si>
  <si>
    <t/>
  </si>
  <si>
    <t>High Bar Squat</t>
  </si>
  <si>
    <t>Stiff Bar DL w/ Chains</t>
  </si>
  <si>
    <t>Competition Squat</t>
  </si>
  <si>
    <t>Reverse Band Comp Deads</t>
  </si>
  <si>
    <t>Incline Bench Press w/ Chains</t>
  </si>
  <si>
    <t>Tempo Close Grip bench 3ct Pause</t>
  </si>
  <si>
    <t>Tempo Stiff leg DL</t>
  </si>
  <si>
    <t>C1</t>
  </si>
  <si>
    <t>C2</t>
  </si>
  <si>
    <t>C3</t>
  </si>
  <si>
    <t>Side Plank</t>
  </si>
  <si>
    <t>C4</t>
  </si>
  <si>
    <t>Pendlay Rows</t>
  </si>
  <si>
    <t>D1</t>
  </si>
  <si>
    <t>D2</t>
  </si>
  <si>
    <t>2-way delt raise w pause</t>
  </si>
  <si>
    <t>D3</t>
  </si>
  <si>
    <t>DB Glute Bridge w 3ct Pause</t>
  </si>
  <si>
    <t>D4</t>
  </si>
  <si>
    <t>Tricep Pushdown w slow eccentric</t>
  </si>
  <si>
    <t>E1</t>
  </si>
  <si>
    <t>E2</t>
  </si>
  <si>
    <t>E3</t>
  </si>
  <si>
    <t>E4</t>
  </si>
  <si>
    <t>One arm DB row w pause</t>
  </si>
  <si>
    <t>F1</t>
  </si>
  <si>
    <t>F2</t>
  </si>
  <si>
    <t>DB Flys slow eccentric</t>
  </si>
  <si>
    <t>F3</t>
  </si>
  <si>
    <t>Goblet Reverse Lunge</t>
  </si>
  <si>
    <t>F4</t>
  </si>
  <si>
    <t>DB Curls</t>
  </si>
  <si>
    <t>Phase 3</t>
  </si>
  <si>
    <t>High Bar 3ct Paused Squat</t>
  </si>
  <si>
    <t>Competition Deadlift</t>
  </si>
  <si>
    <t>SSB Squats w/ Chains</t>
  </si>
  <si>
    <t>DL w/ Chains</t>
  </si>
  <si>
    <t>Reverse Bands Squat</t>
  </si>
  <si>
    <t>3ct Spotto Press</t>
  </si>
  <si>
    <t>Deficit Deadlift</t>
  </si>
  <si>
    <t>Duffalo w/ Chains</t>
  </si>
  <si>
    <t>3ct SlingShot Bench or Reverse Bands</t>
  </si>
  <si>
    <t>SB Body Saw</t>
  </si>
  <si>
    <t>1 Arm Deadstop KB Row 3ct Pause</t>
  </si>
  <si>
    <t>3ct Wide Grip Feet Up Bench</t>
  </si>
  <si>
    <t>DB Floor Press w Pause</t>
  </si>
  <si>
    <t>KB Goblet Squat</t>
  </si>
  <si>
    <t>Hip Circle Side steps</t>
  </si>
  <si>
    <t>DB Hammer Curls Slow eccentric</t>
  </si>
  <si>
    <t>Hanging Leg raise</t>
  </si>
  <si>
    <t>Band/Cable Triceps</t>
  </si>
  <si>
    <t>Paused Pulldowns</t>
  </si>
  <si>
    <t>Phase 4</t>
  </si>
  <si>
    <t>Bench Press 3ct Pause</t>
  </si>
  <si>
    <t>Deadlift</t>
  </si>
  <si>
    <t>Low Bar w/ Chains</t>
  </si>
  <si>
    <t>Bench w/ Chains</t>
  </si>
  <si>
    <t>Competition Bench Press</t>
  </si>
  <si>
    <t>Low Bar 3ct Pause Squat</t>
  </si>
  <si>
    <t>3ct Pause Close Grip Bench</t>
  </si>
  <si>
    <t>Block Pulls</t>
  </si>
  <si>
    <t>SB Pike</t>
  </si>
  <si>
    <t>Spotto Press</t>
  </si>
  <si>
    <t>DB Overhead Press</t>
  </si>
  <si>
    <t>One arm DB Row w Pause</t>
  </si>
  <si>
    <t>Seated Bicep Curls Slow Eccentric</t>
  </si>
  <si>
    <t>suit case holds</t>
  </si>
  <si>
    <t>Cable/TRX Holds</t>
  </si>
  <si>
    <t>DB Deadstop triceps</t>
  </si>
  <si>
    <t>Single Leg Glute Bridge</t>
  </si>
  <si>
    <t>Phase 5</t>
  </si>
  <si>
    <t>Squat w/ Bands</t>
  </si>
  <si>
    <t>Bench w/ Bands</t>
  </si>
  <si>
    <t>SlingShot Bench</t>
  </si>
  <si>
    <t>Speed DL</t>
  </si>
  <si>
    <t>1ct Pause Squat</t>
  </si>
  <si>
    <t>3ct Pause Deadlift</t>
  </si>
  <si>
    <t>Close Grip 3ct Pause Feet Up Bench</t>
  </si>
  <si>
    <t>DB bench 5ct eccentric</t>
  </si>
  <si>
    <t>Band/TRX holds</t>
  </si>
  <si>
    <t>Hip Circle wall squat 3ct Pause</t>
  </si>
  <si>
    <t>Band/Cable Triceps 3ct Pause</t>
  </si>
  <si>
    <t>Hanging Knee raise</t>
  </si>
  <si>
    <t>Phase 6</t>
  </si>
  <si>
    <t>- In the tab to the right, input your maximum weights for each of the lifts listed, as well as your projected end date for the program</t>
  </si>
  <si>
    <t>- The formulas provided will project approximately 90% of those lifts in order to increase submaximal strength</t>
  </si>
  <si>
    <t>- Any projected weights in each of the phase tabs are only estimates, feel free to adjust on feel, particularly on supplemental lifts</t>
  </si>
  <si>
    <t>- You should not be failing lifts or giving maximum total effort unless specified</t>
  </si>
  <si>
    <t>- Anytime a set and rep range is labeled with 2 different numbers (e.g. 5/3 and 3/2), the first group of sets and reps is to be used with the lowest range weight, with the second group of sets and reps are being used to build up to the highest range weight</t>
  </si>
  <si>
    <r>
      <rPr>
        <rFont val="Arial"/>
        <color rgb="FF000000"/>
        <sz val="10.0"/>
      </rPr>
      <t xml:space="preserve">- Anytime you see an asterisk ( * ) on a rep range, </t>
    </r>
    <r>
      <rPr>
        <rFont val="Arial"/>
        <b/>
        <color rgb="FF000000"/>
        <sz val="10.0"/>
      </rPr>
      <t>do as many reps as possible</t>
    </r>
  </si>
  <si>
    <t>- After you perform this lift, adjust training max in the calculator tab</t>
  </si>
  <si>
    <t>- Please use the PDF you received as your training log to record the weights you actually use</t>
  </si>
  <si>
    <t>Weight</t>
  </si>
  <si>
    <t>Reps</t>
  </si>
  <si>
    <t>Squat</t>
  </si>
  <si>
    <t>Bench</t>
  </si>
  <si>
    <t>End Date</t>
  </si>
  <si>
    <t>Slow Eccentric DB or Cable Side Bench</t>
  </si>
  <si>
    <t>Beltless Low Bar Squat</t>
  </si>
  <si>
    <t>3ct Pause DB Bench</t>
  </si>
  <si>
    <t>DB Romanian DL</t>
  </si>
  <si>
    <t>Beltless Stiff Bar Deficit DL</t>
  </si>
  <si>
    <t>Seated Leg curls slow eccentric</t>
  </si>
  <si>
    <t>DB Batwing Holds</t>
  </si>
  <si>
    <t>Chin up</t>
  </si>
  <si>
    <t>Meadow Row Slow eccentric</t>
  </si>
  <si>
    <t>underhand pulldowns</t>
  </si>
  <si>
    <t>Band/Cable Pulldown/Row</t>
  </si>
  <si>
    <t>Cable/Band Pullthrough</t>
  </si>
  <si>
    <t>DB incline press</t>
  </si>
  <si>
    <t>Stiff Bar Deficit DL</t>
  </si>
  <si>
    <t>Band/Cable Face Pulls</t>
  </si>
  <si>
    <t>Double Pause Squat</t>
  </si>
  <si>
    <t>KB Belly Breath Press Out</t>
  </si>
  <si>
    <t>3ct Pause Wide Grip Bench Feet Up</t>
  </si>
  <si>
    <t>High Bar Speed Squat</t>
  </si>
  <si>
    <t>1ct Pause Bench</t>
  </si>
  <si>
    <t>Squat Reverse Mini</t>
  </si>
  <si>
    <t>DL w/ Bands</t>
  </si>
  <si>
    <t>PrePeaking</t>
  </si>
  <si>
    <t>Week</t>
  </si>
  <si>
    <t>Sets</t>
  </si>
  <si>
    <t>Working Range</t>
  </si>
  <si>
    <t>Working Weights</t>
  </si>
  <si>
    <t>5/3</t>
  </si>
  <si>
    <t>3/2</t>
  </si>
  <si>
    <t>*</t>
  </si>
  <si>
    <t>Exercise</t>
  </si>
  <si>
    <t>6/2</t>
  </si>
  <si>
    <t>2/1</t>
  </si>
  <si>
    <t>Phase1</t>
  </si>
  <si>
    <t>Peaking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</si>
</sst>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2">
    <font>
      <sz val="10.0"/>
      <color rgb="FF000000"/>
      <name val="Arial"/>
    </font>
    <font>
      <sz val="11.0"/>
      <color rgb="FF000000"/>
      <name val="Inconsolata"/>
    </font>
    <font>
      <b/>
      <sz val="14.0"/>
      <color theme="1"/>
      <name val="Arial"/>
    </font>
    <font>
      <sz val="11.0"/>
      <color rgb="FF7E3794"/>
      <name val="Inconsolata"/>
    </font>
    <font>
      <b/>
      <sz val="10.0"/>
      <color theme="1"/>
      <name val="Arial"/>
    </font>
    <font>
      <sz val="10.0"/>
      <color theme="1"/>
      <name val="Arial"/>
    </font>
    <font>
      <b/>
      <sz val="11.0"/>
      <color theme="1"/>
      <name val="Arial"/>
    </font>
    <font>
      <color theme="1"/>
      <name val="Calibri"/>
    </font>
    <font>
      <sz val="11.0"/>
      <color rgb="FF000000"/>
      <name val="Calibri"/>
    </font>
    <font>
      <sz val="7.0"/>
      <color rgb="FF000000"/>
      <name val="Arial"/>
    </font>
    <font>
      <b/>
      <sz val="24.0"/>
      <color theme="1"/>
      <name val="Arial"/>
    </font>
    <font>
      <b/>
      <sz val="18.0"/>
      <color theme="1"/>
      <name val="Arial"/>
    </font>
  </fonts>
  <fills count="4">
    <fill>
      <patternFill patternType="none"/>
    </fill>
    <fill>
      <patternFill patternType="lightGray"/>
    </fill>
    <fill>
      <patternFill patternType="solid">
        <fgColor rgb="FFFFFFFF"/>
        <bgColor rgb="FFFFFFFF"/>
      </patternFill>
    </fill>
    <fill>
      <patternFill patternType="solid">
        <fgColor rgb="FFF4CCCC"/>
        <bgColor rgb="FFF4CCCC"/>
      </patternFill>
    </fill>
  </fills>
  <borders count="6">
    <border/>
    <border>
      <left/>
      <right/>
      <top/>
      <bottom/>
    </border>
    <border>
      <left style="thick">
        <color rgb="FF000000"/>
      </left>
      <right style="thick">
        <color rgb="FF000000"/>
      </right>
      <top style="thick">
        <color rgb="FF000000"/>
      </top>
      <bottom style="thick">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1" fillId="2" fontId="1" numFmtId="0" xfId="0" applyBorder="1" applyFill="1" applyFont="1"/>
    <xf borderId="0" fillId="0" fontId="2" numFmtId="0" xfId="0" applyFont="1"/>
    <xf borderId="1" fillId="2" fontId="3" numFmtId="0" xfId="0" applyBorder="1" applyFont="1"/>
    <xf borderId="0" fillId="0" fontId="4" numFmtId="0" xfId="0" applyFont="1"/>
    <xf borderId="0" fillId="0" fontId="5" numFmtId="0" xfId="0" applyFont="1"/>
    <xf borderId="0" fillId="0" fontId="6" numFmtId="0" xfId="0" applyFont="1"/>
    <xf borderId="2" fillId="0" fontId="6" numFmtId="0" xfId="0" applyBorder="1" applyFont="1"/>
    <xf borderId="3" fillId="0" fontId="5" numFmtId="0" xfId="0" applyBorder="1" applyFont="1"/>
    <xf borderId="4" fillId="0" fontId="5" numFmtId="0" xfId="0" applyBorder="1" applyFont="1"/>
    <xf quotePrefix="1" borderId="3" fillId="0" fontId="5" numFmtId="0" xfId="0" applyBorder="1" applyFont="1"/>
    <xf quotePrefix="1" borderId="4" fillId="0" fontId="5" numFmtId="0" xfId="0" applyBorder="1" applyFont="1"/>
    <xf borderId="0" fillId="0" fontId="0" numFmtId="0" xfId="0" applyFont="1"/>
    <xf quotePrefix="1" borderId="0" fillId="0" fontId="0" numFmtId="0" xfId="0" applyFont="1"/>
    <xf borderId="0" fillId="0" fontId="7" numFmtId="0" xfId="0" applyFont="1"/>
    <xf borderId="1" fillId="3" fontId="5" numFmtId="0" xfId="0" applyBorder="1" applyFill="1" applyFont="1"/>
    <xf borderId="5" fillId="0" fontId="5" numFmtId="0" xfId="0" applyAlignment="1" applyBorder="1" applyFont="1">
      <alignment horizontal="right"/>
    </xf>
    <xf borderId="0" fillId="0" fontId="6" numFmtId="14" xfId="0" applyFont="1" applyNumberFormat="1"/>
    <xf borderId="2" fillId="0" fontId="6" numFmtId="14" xfId="0" applyBorder="1" applyFont="1" applyNumberFormat="1"/>
    <xf quotePrefix="1" borderId="0" fillId="0" fontId="8" numFmtId="0" xfId="0" applyFont="1"/>
    <xf borderId="0" fillId="0" fontId="8" numFmtId="0" xfId="0" applyFont="1"/>
    <xf borderId="1" fillId="2" fontId="9" numFmtId="0" xfId="0" applyAlignment="1" applyBorder="1" applyFont="1">
      <alignment horizontal="left"/>
    </xf>
    <xf borderId="1" fillId="3" fontId="10" numFmtId="0" xfId="0" applyAlignment="1" applyBorder="1" applyFont="1">
      <alignment readingOrder="0"/>
    </xf>
    <xf borderId="0" fillId="0" fontId="11" numFmtId="0" xfId="0" applyAlignment="1" applyFont="1">
      <alignment horizontal="center" vertical="center"/>
    </xf>
    <xf borderId="0" fillId="0" fontId="10" numFmtId="0" xfId="0" applyAlignment="1" applyFont="1">
      <alignment horizontal="center" vertical="center"/>
    </xf>
    <xf borderId="1" fillId="3" fontId="10" numFmtId="0" xfId="0" applyAlignment="1" applyBorder="1" applyFont="1">
      <alignment horizontal="center" vertical="center"/>
    </xf>
    <xf borderId="0" fillId="0" fontId="2" numFmtId="0" xfId="0" applyAlignment="1" applyFont="1">
      <alignment horizontal="center" vertical="center"/>
    </xf>
    <xf borderId="1" fillId="3" fontId="4" numFmtId="0" xfId="0" applyAlignment="1" applyBorder="1" applyFont="1">
      <alignment readingOrder="0"/>
    </xf>
    <xf borderId="0" fillId="0" fontId="4" numFmtId="0" xfId="0" applyAlignment="1" applyFont="1">
      <alignment horizontal="center"/>
    </xf>
    <xf borderId="0" fillId="0" fontId="5" numFmtId="14" xfId="0" applyFont="1" applyNumberFormat="1"/>
    <xf borderId="1" fillId="3" fontId="5" numFmtId="164" xfId="0" applyBorder="1" applyFont="1" applyNumberFormat="1"/>
    <xf quotePrefix="1" borderId="1" fillId="3" fontId="5" numFmtId="0" xfId="0" applyBorder="1" applyFont="1"/>
    <xf borderId="1" fillId="3" fontId="4" numFmtId="0" xfId="0" applyBorder="1" applyFont="1"/>
    <xf borderId="1" fillId="3" fontId="10" numFmtId="0" xfId="0" applyBorder="1"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14.43"/>
    <col customWidth="1" min="2" max="2" width="32.86"/>
    <col customWidth="1" hidden="1" min="3" max="3" width="18.57"/>
    <col customWidth="1" min="4" max="4" width="7.71"/>
    <col customWidth="1" min="5" max="5" width="32.43"/>
    <col customWidth="1" min="6" max="6" width="2.0"/>
    <col customWidth="1" min="7" max="7" width="6.57"/>
    <col customWidth="1" min="8" max="8" width="31.0"/>
    <col customWidth="1" min="9" max="9" width="2.43"/>
    <col customWidth="1" min="10" max="10" width="6.57"/>
    <col customWidth="1" min="11" max="11" width="35.86"/>
    <col customWidth="1" min="12" max="12" width="2.0"/>
    <col customWidth="1" min="13" max="13" width="6.57"/>
    <col customWidth="1" min="14" max="14" width="25.71"/>
    <col customWidth="1" min="15" max="15" width="1.86"/>
    <col customWidth="1" min="16" max="16" width="6.57"/>
    <col customWidth="1" min="17" max="17" width="25.71"/>
  </cols>
  <sheetData>
    <row r="1" ht="15.75" customHeight="1"/>
    <row r="2" ht="15.75" customHeight="1"/>
    <row r="3" ht="15.75" customHeight="1"/>
    <row r="4" ht="15.75" customHeight="1"/>
    <row r="5" ht="15.75" customHeight="1">
      <c r="S5" s="1"/>
    </row>
    <row r="6" ht="15.75" customHeight="1">
      <c r="B6" s="2" t="s">
        <v>0</v>
      </c>
      <c r="C6" s="3"/>
      <c r="D6" s="4" t="s">
        <v>1</v>
      </c>
      <c r="E6" s="4">
        <v>1.0</v>
      </c>
      <c r="G6" s="4" t="s">
        <v>1</v>
      </c>
      <c r="H6" s="4">
        <v>2.0</v>
      </c>
      <c r="J6" s="4" t="s">
        <v>1</v>
      </c>
      <c r="K6" s="4">
        <v>3.0</v>
      </c>
      <c r="M6" s="4" t="s">
        <v>1</v>
      </c>
      <c r="N6" s="4">
        <v>4.0</v>
      </c>
      <c r="P6" s="4" t="s">
        <v>1</v>
      </c>
      <c r="Q6" s="4">
        <v>5.0</v>
      </c>
    </row>
    <row r="7" ht="15.75" customHeight="1">
      <c r="B7" s="5"/>
      <c r="C7" s="6"/>
      <c r="D7" s="7" t="s">
        <v>2</v>
      </c>
      <c r="E7" s="7" t="s">
        <v>3</v>
      </c>
      <c r="G7" s="7" t="s">
        <v>2</v>
      </c>
      <c r="H7" s="7" t="s">
        <v>3</v>
      </c>
      <c r="J7" s="7" t="s">
        <v>2</v>
      </c>
      <c r="K7" s="7" t="s">
        <v>3</v>
      </c>
      <c r="M7" s="7" t="s">
        <v>2</v>
      </c>
      <c r="N7" s="7" t="s">
        <v>3</v>
      </c>
      <c r="P7" s="7" t="s">
        <v>2</v>
      </c>
      <c r="Q7" s="7" t="s">
        <v>3</v>
      </c>
    </row>
    <row r="8" ht="15.75" customHeight="1">
      <c r="B8" s="5" t="s">
        <v>4</v>
      </c>
      <c r="C8" s="5">
        <v>3.0</v>
      </c>
      <c r="D8" s="8" t="s">
        <v>5</v>
      </c>
      <c r="E8" s="8" t="s">
        <v>6</v>
      </c>
      <c r="G8" s="8" t="s">
        <v>5</v>
      </c>
      <c r="H8" s="8" t="s">
        <v>7</v>
      </c>
      <c r="J8" s="8" t="s">
        <v>5</v>
      </c>
      <c r="K8" s="8" t="s">
        <v>8</v>
      </c>
      <c r="M8" s="8" t="s">
        <v>5</v>
      </c>
      <c r="N8" s="8" t="s">
        <v>9</v>
      </c>
      <c r="P8" s="8" t="s">
        <v>5</v>
      </c>
      <c r="Q8" s="8" t="s">
        <v>10</v>
      </c>
    </row>
    <row r="9" ht="15.75" customHeight="1">
      <c r="B9" s="5" t="s">
        <v>11</v>
      </c>
      <c r="C9" s="5">
        <v>4.0</v>
      </c>
      <c r="D9" s="8" t="s">
        <v>5</v>
      </c>
      <c r="E9" s="8" t="s">
        <v>6</v>
      </c>
      <c r="G9" s="8" t="s">
        <v>5</v>
      </c>
      <c r="H9" s="8" t="s">
        <v>7</v>
      </c>
      <c r="J9" s="8" t="s">
        <v>5</v>
      </c>
      <c r="K9" s="8" t="s">
        <v>8</v>
      </c>
      <c r="M9" s="8" t="s">
        <v>5</v>
      </c>
      <c r="N9" s="8" t="s">
        <v>9</v>
      </c>
      <c r="P9" s="8" t="s">
        <v>5</v>
      </c>
      <c r="Q9" s="8" t="s">
        <v>12</v>
      </c>
    </row>
    <row r="10" ht="15.75" customHeight="1">
      <c r="B10" s="5" t="s">
        <v>13</v>
      </c>
      <c r="C10" s="5">
        <v>5.0</v>
      </c>
      <c r="D10" s="8" t="s">
        <v>5</v>
      </c>
      <c r="E10" s="8" t="s">
        <v>14</v>
      </c>
      <c r="G10" s="8" t="s">
        <v>5</v>
      </c>
      <c r="H10" s="8" t="s">
        <v>15</v>
      </c>
      <c r="J10" s="8" t="s">
        <v>5</v>
      </c>
      <c r="K10" s="8" t="s">
        <v>16</v>
      </c>
      <c r="M10" s="8" t="s">
        <v>5</v>
      </c>
      <c r="N10" s="8" t="s">
        <v>16</v>
      </c>
      <c r="P10" s="8" t="s">
        <v>5</v>
      </c>
      <c r="Q10" s="8" t="s">
        <v>17</v>
      </c>
    </row>
    <row r="11" ht="15.75" customHeight="1">
      <c r="B11" s="5" t="s">
        <v>18</v>
      </c>
      <c r="C11" s="5">
        <v>6.0</v>
      </c>
      <c r="D11" s="8" t="s">
        <v>5</v>
      </c>
      <c r="E11" s="8" t="s">
        <v>14</v>
      </c>
      <c r="G11" s="8" t="s">
        <v>5</v>
      </c>
      <c r="H11" s="8" t="s">
        <v>15</v>
      </c>
      <c r="J11" s="8" t="s">
        <v>5</v>
      </c>
      <c r="K11" s="8" t="s">
        <v>16</v>
      </c>
      <c r="M11" s="8" t="s">
        <v>5</v>
      </c>
      <c r="N11" s="8" t="s">
        <v>16</v>
      </c>
      <c r="P11" s="8" t="s">
        <v>5</v>
      </c>
      <c r="Q11" s="8" t="s">
        <v>19</v>
      </c>
    </row>
    <row r="12" ht="15.75" customHeight="1">
      <c r="B12" s="5" t="s">
        <v>20</v>
      </c>
      <c r="C12" s="5">
        <v>7.0</v>
      </c>
      <c r="D12" s="9" t="s">
        <v>21</v>
      </c>
      <c r="E12" s="9" t="s">
        <v>22</v>
      </c>
      <c r="G12" s="9" t="s">
        <v>21</v>
      </c>
      <c r="H12" s="9" t="s">
        <v>23</v>
      </c>
      <c r="J12" s="9" t="s">
        <v>21</v>
      </c>
      <c r="K12" s="9" t="s">
        <v>24</v>
      </c>
      <c r="M12" s="9" t="s">
        <v>21</v>
      </c>
      <c r="N12" s="9" t="s">
        <v>25</v>
      </c>
      <c r="P12" s="9" t="s">
        <v>21</v>
      </c>
      <c r="Q12" s="9" t="s">
        <v>26</v>
      </c>
    </row>
    <row r="13" ht="15.75" customHeight="1">
      <c r="B13" s="5" t="s">
        <v>27</v>
      </c>
      <c r="C13" s="5">
        <v>8.0</v>
      </c>
      <c r="D13" s="9" t="s">
        <v>21</v>
      </c>
      <c r="E13" s="9" t="s">
        <v>22</v>
      </c>
      <c r="G13" s="9" t="s">
        <v>21</v>
      </c>
      <c r="H13" s="9" t="s">
        <v>23</v>
      </c>
      <c r="J13" s="9" t="s">
        <v>21</v>
      </c>
      <c r="K13" s="9" t="s">
        <v>24</v>
      </c>
      <c r="M13" s="9" t="s">
        <v>21</v>
      </c>
      <c r="N13" s="9" t="s">
        <v>25</v>
      </c>
      <c r="P13" s="9" t="s">
        <v>21</v>
      </c>
      <c r="Q13" s="9" t="s">
        <v>26</v>
      </c>
    </row>
    <row r="14" ht="15.75" customHeight="1">
      <c r="B14" s="5" t="s">
        <v>28</v>
      </c>
      <c r="C14" s="5">
        <v>9.0</v>
      </c>
      <c r="D14" s="9" t="s">
        <v>21</v>
      </c>
      <c r="E14" s="9" t="s">
        <v>29</v>
      </c>
      <c r="G14" s="9" t="s">
        <v>21</v>
      </c>
      <c r="H14" s="9" t="s">
        <v>30</v>
      </c>
      <c r="J14" s="9" t="s">
        <v>21</v>
      </c>
      <c r="K14" s="9" t="s">
        <v>24</v>
      </c>
      <c r="M14" s="9" t="s">
        <v>21</v>
      </c>
      <c r="N14" s="9" t="s">
        <v>24</v>
      </c>
      <c r="P14" s="9" t="s">
        <v>21</v>
      </c>
      <c r="Q14" s="9" t="s">
        <v>31</v>
      </c>
    </row>
    <row r="15" ht="15.75" customHeight="1">
      <c r="B15" s="5" t="s">
        <v>32</v>
      </c>
      <c r="C15" s="5">
        <v>10.0</v>
      </c>
      <c r="D15" s="9" t="s">
        <v>21</v>
      </c>
      <c r="E15" s="9" t="s">
        <v>29</v>
      </c>
      <c r="G15" s="9" t="s">
        <v>21</v>
      </c>
      <c r="H15" s="9" t="s">
        <v>30</v>
      </c>
      <c r="J15" s="9" t="s">
        <v>21</v>
      </c>
      <c r="K15" s="9" t="s">
        <v>24</v>
      </c>
      <c r="M15" s="9" t="s">
        <v>21</v>
      </c>
      <c r="N15" s="9" t="s">
        <v>24</v>
      </c>
      <c r="P15" s="9" t="s">
        <v>21</v>
      </c>
      <c r="Q15" s="9" t="s">
        <v>31</v>
      </c>
    </row>
    <row r="16" ht="15.75" customHeight="1">
      <c r="B16" s="5" t="s">
        <v>33</v>
      </c>
      <c r="C16" s="5">
        <v>11.0</v>
      </c>
      <c r="D16" s="9" t="s">
        <v>33</v>
      </c>
      <c r="E16" s="9" t="s">
        <v>34</v>
      </c>
      <c r="G16" s="9" t="s">
        <v>33</v>
      </c>
      <c r="H16" s="9" t="s">
        <v>35</v>
      </c>
      <c r="J16" s="9" t="s">
        <v>33</v>
      </c>
      <c r="K16" s="9" t="s">
        <v>36</v>
      </c>
      <c r="M16" s="9" t="s">
        <v>33</v>
      </c>
      <c r="N16" s="9" t="s">
        <v>36</v>
      </c>
      <c r="P16" s="9" t="s">
        <v>33</v>
      </c>
      <c r="Q16" s="9" t="s">
        <v>37</v>
      </c>
    </row>
    <row r="17" ht="15.75" customHeight="1">
      <c r="B17" s="5" t="s">
        <v>38</v>
      </c>
      <c r="C17" s="5">
        <v>12.0</v>
      </c>
      <c r="D17" s="9" t="s">
        <v>38</v>
      </c>
      <c r="E17" s="9" t="s">
        <v>39</v>
      </c>
      <c r="G17" s="9" t="s">
        <v>38</v>
      </c>
      <c r="H17" s="9" t="s">
        <v>40</v>
      </c>
      <c r="J17" s="9" t="s">
        <v>38</v>
      </c>
      <c r="K17" s="9" t="s">
        <v>41</v>
      </c>
      <c r="M17" s="9" t="s">
        <v>38</v>
      </c>
      <c r="N17" s="9" t="s">
        <v>41</v>
      </c>
      <c r="P17" s="9" t="s">
        <v>38</v>
      </c>
      <c r="Q17" s="9" t="s">
        <v>42</v>
      </c>
    </row>
    <row r="18" ht="15.75" customHeight="1">
      <c r="B18" s="5" t="s">
        <v>43</v>
      </c>
      <c r="C18" s="5">
        <v>13.0</v>
      </c>
      <c r="D18" s="9" t="s">
        <v>43</v>
      </c>
      <c r="E18" s="9" t="s">
        <v>44</v>
      </c>
      <c r="G18" s="9" t="s">
        <v>43</v>
      </c>
      <c r="H18" s="9" t="s">
        <v>45</v>
      </c>
      <c r="J18" s="9" t="s">
        <v>43</v>
      </c>
      <c r="K18" s="9" t="s">
        <v>46</v>
      </c>
      <c r="M18" s="9" t="s">
        <v>43</v>
      </c>
      <c r="N18" s="9" t="s">
        <v>46</v>
      </c>
      <c r="P18" s="9" t="s">
        <v>43</v>
      </c>
      <c r="Q18" s="9" t="s">
        <v>47</v>
      </c>
    </row>
    <row r="19" ht="15.75" customHeight="1">
      <c r="B19" s="5" t="s">
        <v>48</v>
      </c>
      <c r="C19" s="5">
        <v>14.0</v>
      </c>
      <c r="D19" s="9" t="s">
        <v>48</v>
      </c>
      <c r="E19" s="9" t="s">
        <v>49</v>
      </c>
      <c r="G19" s="9" t="s">
        <v>48</v>
      </c>
      <c r="H19" s="9" t="s">
        <v>50</v>
      </c>
      <c r="J19" s="9" t="s">
        <v>48</v>
      </c>
      <c r="K19" s="9" t="s">
        <v>51</v>
      </c>
      <c r="M19" s="9" t="s">
        <v>48</v>
      </c>
      <c r="N19" s="9" t="s">
        <v>51</v>
      </c>
      <c r="P19" s="9" t="s">
        <v>48</v>
      </c>
      <c r="Q19" s="9" t="s">
        <v>52</v>
      </c>
    </row>
    <row r="20" ht="15.75" customHeight="1"/>
    <row r="21" ht="15.75" customHeight="1">
      <c r="B21" s="2" t="s">
        <v>53</v>
      </c>
      <c r="C21" s="3"/>
      <c r="D21" s="4" t="s">
        <v>1</v>
      </c>
      <c r="E21" s="4">
        <v>1.0</v>
      </c>
      <c r="G21" s="4" t="s">
        <v>1</v>
      </c>
      <c r="H21" s="4">
        <v>2.0</v>
      </c>
      <c r="J21" s="4" t="s">
        <v>1</v>
      </c>
      <c r="K21" s="4">
        <v>3.0</v>
      </c>
      <c r="M21" s="4" t="s">
        <v>1</v>
      </c>
      <c r="N21" s="4">
        <v>4.0</v>
      </c>
      <c r="P21" s="4" t="s">
        <v>1</v>
      </c>
      <c r="Q21" s="4">
        <v>5.0</v>
      </c>
    </row>
    <row r="22" ht="15.75" customHeight="1">
      <c r="B22" s="5"/>
      <c r="C22" s="6"/>
      <c r="D22" s="7" t="s">
        <v>2</v>
      </c>
      <c r="E22" s="7" t="s">
        <v>3</v>
      </c>
      <c r="G22" s="7" t="s">
        <v>2</v>
      </c>
      <c r="H22" s="7" t="s">
        <v>3</v>
      </c>
      <c r="J22" s="7" t="s">
        <v>2</v>
      </c>
      <c r="K22" s="7" t="s">
        <v>3</v>
      </c>
      <c r="M22" s="7" t="s">
        <v>2</v>
      </c>
      <c r="N22" s="7" t="s">
        <v>3</v>
      </c>
      <c r="P22" s="7" t="s">
        <v>2</v>
      </c>
      <c r="Q22" s="7" t="s">
        <v>3</v>
      </c>
    </row>
    <row r="23" ht="15.75" customHeight="1">
      <c r="B23" s="5" t="s">
        <v>4</v>
      </c>
      <c r="C23" s="5"/>
      <c r="D23" s="8" t="s">
        <v>4</v>
      </c>
      <c r="E23" s="8" t="s">
        <v>54</v>
      </c>
      <c r="G23" s="8" t="s">
        <v>11</v>
      </c>
      <c r="H23" s="8" t="s">
        <v>55</v>
      </c>
      <c r="J23" s="8" t="s">
        <v>13</v>
      </c>
      <c r="K23" s="8" t="s">
        <v>56</v>
      </c>
      <c r="M23" s="8" t="s">
        <v>18</v>
      </c>
      <c r="N23" s="8" t="s">
        <v>31</v>
      </c>
      <c r="P23" s="8" t="s">
        <v>18</v>
      </c>
      <c r="Q23" s="10" t="s">
        <v>57</v>
      </c>
    </row>
    <row r="24" ht="15.75" customHeight="1">
      <c r="B24" s="5" t="s">
        <v>11</v>
      </c>
      <c r="C24" s="5"/>
      <c r="D24" s="8" t="s">
        <v>4</v>
      </c>
      <c r="E24" s="8" t="s">
        <v>54</v>
      </c>
      <c r="G24" s="8" t="s">
        <v>11</v>
      </c>
      <c r="H24" s="8" t="s">
        <v>55</v>
      </c>
      <c r="J24" s="8" t="s">
        <v>13</v>
      </c>
      <c r="K24" s="8" t="s">
        <v>56</v>
      </c>
      <c r="M24" s="8" t="s">
        <v>18</v>
      </c>
      <c r="N24" s="8" t="s">
        <v>31</v>
      </c>
      <c r="P24" s="8" t="s">
        <v>18</v>
      </c>
      <c r="Q24" s="10" t="s">
        <v>57</v>
      </c>
    </row>
    <row r="25" ht="15.75" customHeight="1">
      <c r="B25" s="5" t="s">
        <v>13</v>
      </c>
      <c r="C25" s="5"/>
      <c r="D25" s="8" t="s">
        <v>4</v>
      </c>
      <c r="E25" s="8" t="s">
        <v>58</v>
      </c>
      <c r="G25" s="8" t="s">
        <v>11</v>
      </c>
      <c r="H25" s="8" t="s">
        <v>55</v>
      </c>
      <c r="J25" s="8" t="s">
        <v>13</v>
      </c>
      <c r="K25" s="8" t="s">
        <v>59</v>
      </c>
      <c r="M25" s="8" t="s">
        <v>18</v>
      </c>
      <c r="N25" s="8" t="s">
        <v>31</v>
      </c>
      <c r="P25" s="8" t="s">
        <v>18</v>
      </c>
      <c r="Q25" s="10" t="s">
        <v>57</v>
      </c>
    </row>
    <row r="26" ht="15.75" customHeight="1">
      <c r="B26" s="5" t="s">
        <v>18</v>
      </c>
      <c r="C26" s="5"/>
      <c r="D26" s="8" t="s">
        <v>4</v>
      </c>
      <c r="E26" s="8" t="s">
        <v>60</v>
      </c>
      <c r="G26" s="8" t="s">
        <v>11</v>
      </c>
      <c r="H26" s="8" t="s">
        <v>55</v>
      </c>
      <c r="J26" s="8" t="s">
        <v>13</v>
      </c>
      <c r="K26" s="8" t="s">
        <v>61</v>
      </c>
      <c r="M26" s="8" t="s">
        <v>18</v>
      </c>
      <c r="N26" s="8" t="s">
        <v>62</v>
      </c>
      <c r="P26" s="8" t="s">
        <v>18</v>
      </c>
      <c r="Q26" s="10" t="s">
        <v>57</v>
      </c>
    </row>
    <row r="27" ht="15.75" customHeight="1">
      <c r="B27" s="5" t="s">
        <v>20</v>
      </c>
      <c r="C27" s="5"/>
      <c r="D27" s="9" t="s">
        <v>20</v>
      </c>
      <c r="E27" s="9" t="s">
        <v>22</v>
      </c>
      <c r="G27" s="9" t="s">
        <v>27</v>
      </c>
      <c r="H27" s="9" t="s">
        <v>63</v>
      </c>
      <c r="J27" s="9" t="s">
        <v>28</v>
      </c>
      <c r="K27" s="9" t="s">
        <v>64</v>
      </c>
      <c r="M27" s="9" t="s">
        <v>32</v>
      </c>
      <c r="N27" s="9" t="s">
        <v>30</v>
      </c>
      <c r="P27" s="9" t="s">
        <v>32</v>
      </c>
      <c r="Q27" s="9"/>
    </row>
    <row r="28" ht="15.75" customHeight="1">
      <c r="B28" s="5" t="s">
        <v>27</v>
      </c>
      <c r="C28" s="5"/>
      <c r="D28" s="9" t="s">
        <v>20</v>
      </c>
      <c r="E28" s="9" t="s">
        <v>22</v>
      </c>
      <c r="G28" s="9" t="s">
        <v>27</v>
      </c>
      <c r="H28" s="9" t="s">
        <v>63</v>
      </c>
      <c r="J28" s="9" t="s">
        <v>28</v>
      </c>
      <c r="K28" s="9" t="s">
        <v>64</v>
      </c>
      <c r="M28" s="9" t="s">
        <v>32</v>
      </c>
      <c r="N28" s="9" t="s">
        <v>30</v>
      </c>
      <c r="P28" s="9" t="s">
        <v>32</v>
      </c>
      <c r="Q28" s="9"/>
    </row>
    <row r="29" ht="15.75" customHeight="1">
      <c r="B29" s="5" t="s">
        <v>28</v>
      </c>
      <c r="C29" s="5"/>
      <c r="D29" s="9" t="s">
        <v>20</v>
      </c>
      <c r="E29" s="9" t="s">
        <v>29</v>
      </c>
      <c r="G29" s="9" t="s">
        <v>27</v>
      </c>
      <c r="H29" s="9" t="s">
        <v>63</v>
      </c>
      <c r="J29" s="9" t="s">
        <v>28</v>
      </c>
      <c r="K29" s="9" t="s">
        <v>64</v>
      </c>
      <c r="M29" s="9" t="s">
        <v>32</v>
      </c>
      <c r="N29" s="9" t="s">
        <v>30</v>
      </c>
      <c r="P29" s="9" t="s">
        <v>32</v>
      </c>
      <c r="Q29" s="9"/>
    </row>
    <row r="30" ht="15.75" customHeight="1">
      <c r="B30" s="5" t="s">
        <v>32</v>
      </c>
      <c r="C30" s="5"/>
      <c r="D30" s="9" t="s">
        <v>20</v>
      </c>
      <c r="E30" s="9" t="s">
        <v>29</v>
      </c>
      <c r="G30" s="9" t="s">
        <v>27</v>
      </c>
      <c r="H30" s="9" t="s">
        <v>63</v>
      </c>
      <c r="J30" s="9" t="s">
        <v>28</v>
      </c>
      <c r="K30" s="9" t="s">
        <v>64</v>
      </c>
      <c r="M30" s="9" t="s">
        <v>32</v>
      </c>
      <c r="N30" s="9" t="s">
        <v>30</v>
      </c>
      <c r="P30" s="9" t="s">
        <v>32</v>
      </c>
      <c r="Q30" s="9"/>
    </row>
    <row r="31" ht="15.75" customHeight="1">
      <c r="B31" s="5" t="s">
        <v>33</v>
      </c>
      <c r="C31" s="5"/>
      <c r="D31" s="9" t="s">
        <v>65</v>
      </c>
      <c r="E31" s="9" t="s">
        <v>34</v>
      </c>
      <c r="G31" s="9" t="s">
        <v>66</v>
      </c>
      <c r="H31" s="9" t="s">
        <v>37</v>
      </c>
      <c r="J31" s="9" t="s">
        <v>67</v>
      </c>
      <c r="K31" s="9" t="s">
        <v>68</v>
      </c>
      <c r="M31" s="9" t="s">
        <v>69</v>
      </c>
      <c r="N31" s="9" t="s">
        <v>70</v>
      </c>
      <c r="P31" s="9" t="s">
        <v>69</v>
      </c>
      <c r="Q31" s="9"/>
    </row>
    <row r="32" ht="15.75" customHeight="1">
      <c r="B32" s="5" t="s">
        <v>38</v>
      </c>
      <c r="C32" s="5"/>
      <c r="D32" s="9" t="s">
        <v>71</v>
      </c>
      <c r="E32" s="9" t="s">
        <v>39</v>
      </c>
      <c r="G32" s="9" t="s">
        <v>72</v>
      </c>
      <c r="H32" s="9" t="s">
        <v>73</v>
      </c>
      <c r="J32" s="9" t="s">
        <v>74</v>
      </c>
      <c r="K32" s="9" t="s">
        <v>75</v>
      </c>
      <c r="M32" s="9" t="s">
        <v>76</v>
      </c>
      <c r="N32" s="9" t="s">
        <v>77</v>
      </c>
      <c r="P32" s="9" t="s">
        <v>76</v>
      </c>
      <c r="Q32" s="9"/>
    </row>
    <row r="33" ht="15.75" customHeight="1">
      <c r="B33" s="5" t="s">
        <v>43</v>
      </c>
      <c r="C33" s="5"/>
      <c r="D33" s="9" t="s">
        <v>78</v>
      </c>
      <c r="E33" s="9" t="s">
        <v>44</v>
      </c>
      <c r="G33" s="9" t="s">
        <v>79</v>
      </c>
      <c r="H33" s="9" t="s">
        <v>45</v>
      </c>
      <c r="J33" s="9" t="s">
        <v>80</v>
      </c>
      <c r="K33" s="9" t="s">
        <v>46</v>
      </c>
      <c r="M33" s="9" t="s">
        <v>81</v>
      </c>
      <c r="N33" s="9" t="s">
        <v>82</v>
      </c>
      <c r="P33" s="9" t="s">
        <v>81</v>
      </c>
      <c r="Q33" s="9"/>
    </row>
    <row r="34" ht="15.75" customHeight="1">
      <c r="B34" s="5" t="s">
        <v>48</v>
      </c>
      <c r="C34" s="5"/>
      <c r="D34" s="9" t="s">
        <v>83</v>
      </c>
      <c r="E34" s="9" t="s">
        <v>49</v>
      </c>
      <c r="G34" s="9" t="s">
        <v>84</v>
      </c>
      <c r="H34" s="9" t="s">
        <v>85</v>
      </c>
      <c r="J34" s="9" t="s">
        <v>86</v>
      </c>
      <c r="K34" s="9" t="s">
        <v>87</v>
      </c>
      <c r="M34" s="9" t="s">
        <v>88</v>
      </c>
      <c r="N34" s="9" t="s">
        <v>89</v>
      </c>
      <c r="P34" s="9" t="s">
        <v>88</v>
      </c>
      <c r="Q34" s="9"/>
    </row>
    <row r="35" ht="15.75" customHeight="1"/>
    <row r="36" ht="15.75" customHeight="1">
      <c r="B36" s="2" t="s">
        <v>90</v>
      </c>
      <c r="C36" s="3"/>
      <c r="D36" s="4" t="s">
        <v>1</v>
      </c>
      <c r="E36" s="4">
        <v>1.0</v>
      </c>
      <c r="G36" s="4" t="s">
        <v>1</v>
      </c>
      <c r="H36" s="4">
        <v>2.0</v>
      </c>
      <c r="J36" s="4" t="s">
        <v>1</v>
      </c>
      <c r="K36" s="4">
        <v>3.0</v>
      </c>
      <c r="M36" s="4" t="s">
        <v>1</v>
      </c>
      <c r="N36" s="4">
        <v>4.0</v>
      </c>
      <c r="P36" s="4" t="s">
        <v>1</v>
      </c>
      <c r="Q36" s="4">
        <v>5.0</v>
      </c>
    </row>
    <row r="37" ht="15.75" customHeight="1">
      <c r="B37" s="5"/>
      <c r="C37" s="6"/>
      <c r="D37" s="7" t="s">
        <v>2</v>
      </c>
      <c r="E37" s="7" t="s">
        <v>3</v>
      </c>
      <c r="G37" s="7" t="s">
        <v>2</v>
      </c>
      <c r="H37" s="7" t="s">
        <v>3</v>
      </c>
      <c r="J37" s="7" t="s">
        <v>2</v>
      </c>
      <c r="K37" s="7" t="s">
        <v>3</v>
      </c>
      <c r="M37" s="7" t="s">
        <v>2</v>
      </c>
      <c r="N37" s="7" t="s">
        <v>3</v>
      </c>
      <c r="P37" s="7" t="s">
        <v>2</v>
      </c>
      <c r="Q37" s="7" t="s">
        <v>3</v>
      </c>
    </row>
    <row r="38" ht="15.75" customHeight="1">
      <c r="B38" s="5" t="s">
        <v>4</v>
      </c>
      <c r="C38" s="5"/>
      <c r="D38" s="8" t="s">
        <v>4</v>
      </c>
      <c r="E38" s="8" t="s">
        <v>60</v>
      </c>
      <c r="G38" s="8" t="s">
        <v>11</v>
      </c>
      <c r="H38" s="8" t="s">
        <v>91</v>
      </c>
      <c r="J38" s="8" t="s">
        <v>13</v>
      </c>
      <c r="K38" s="8" t="s">
        <v>92</v>
      </c>
      <c r="M38" s="8" t="s">
        <v>18</v>
      </c>
      <c r="N38" s="10" t="s">
        <v>57</v>
      </c>
      <c r="P38" s="8" t="s">
        <v>18</v>
      </c>
      <c r="Q38" s="10" t="s">
        <v>57</v>
      </c>
    </row>
    <row r="39" ht="15.75" customHeight="1">
      <c r="B39" s="5" t="s">
        <v>11</v>
      </c>
      <c r="C39" s="5"/>
      <c r="D39" s="8" t="s">
        <v>4</v>
      </c>
      <c r="E39" s="8" t="s">
        <v>93</v>
      </c>
      <c r="G39" s="8" t="s">
        <v>11</v>
      </c>
      <c r="H39" s="8" t="s">
        <v>91</v>
      </c>
      <c r="J39" s="8" t="s">
        <v>13</v>
      </c>
      <c r="K39" s="8" t="s">
        <v>94</v>
      </c>
      <c r="M39" s="8" t="s">
        <v>18</v>
      </c>
      <c r="N39" s="10" t="s">
        <v>57</v>
      </c>
      <c r="P39" s="8" t="s">
        <v>18</v>
      </c>
      <c r="Q39" s="10" t="s">
        <v>57</v>
      </c>
    </row>
    <row r="40" ht="15.75" customHeight="1">
      <c r="B40" s="5" t="s">
        <v>13</v>
      </c>
      <c r="C40" s="5"/>
      <c r="D40" s="8" t="s">
        <v>4</v>
      </c>
      <c r="E40" s="8" t="s">
        <v>95</v>
      </c>
      <c r="G40" s="8" t="s">
        <v>11</v>
      </c>
      <c r="H40" s="8" t="s">
        <v>91</v>
      </c>
      <c r="J40" s="8" t="s">
        <v>13</v>
      </c>
      <c r="K40" s="8" t="s">
        <v>92</v>
      </c>
      <c r="M40" s="8" t="s">
        <v>18</v>
      </c>
      <c r="N40" s="10" t="s">
        <v>57</v>
      </c>
      <c r="P40" s="8" t="s">
        <v>18</v>
      </c>
      <c r="Q40" s="10" t="s">
        <v>57</v>
      </c>
    </row>
    <row r="41" ht="15.75" customHeight="1">
      <c r="B41" s="5" t="s">
        <v>18</v>
      </c>
      <c r="C41" s="5"/>
      <c r="D41" s="8" t="s">
        <v>4</v>
      </c>
      <c r="E41" s="8" t="s">
        <v>60</v>
      </c>
      <c r="G41" s="8" t="s">
        <v>11</v>
      </c>
      <c r="H41" s="8" t="s">
        <v>91</v>
      </c>
      <c r="J41" s="8" t="s">
        <v>13</v>
      </c>
      <c r="K41" s="8" t="s">
        <v>94</v>
      </c>
      <c r="M41" s="8" t="s">
        <v>18</v>
      </c>
      <c r="N41" s="10" t="s">
        <v>57</v>
      </c>
      <c r="P41" s="8" t="s">
        <v>18</v>
      </c>
      <c r="Q41" s="10" t="s">
        <v>57</v>
      </c>
    </row>
    <row r="42" ht="15.75" customHeight="1">
      <c r="B42" s="5" t="s">
        <v>20</v>
      </c>
      <c r="C42" s="5"/>
      <c r="D42" s="9" t="s">
        <v>20</v>
      </c>
      <c r="E42" s="9" t="s">
        <v>22</v>
      </c>
      <c r="G42" s="9" t="s">
        <v>27</v>
      </c>
      <c r="H42" s="9" t="s">
        <v>96</v>
      </c>
      <c r="J42" s="9" t="s">
        <v>28</v>
      </c>
      <c r="K42" s="9" t="s">
        <v>97</v>
      </c>
      <c r="M42" s="9" t="s">
        <v>32</v>
      </c>
      <c r="N42" s="11" t="s">
        <v>57</v>
      </c>
      <c r="P42" s="9" t="s">
        <v>32</v>
      </c>
      <c r="Q42" s="11" t="s">
        <v>57</v>
      </c>
    </row>
    <row r="43" ht="15.75" customHeight="1">
      <c r="B43" s="5" t="s">
        <v>27</v>
      </c>
      <c r="C43" s="5"/>
      <c r="D43" s="9" t="s">
        <v>20</v>
      </c>
      <c r="E43" s="9" t="s">
        <v>98</v>
      </c>
      <c r="G43" s="9" t="s">
        <v>27</v>
      </c>
      <c r="H43" s="9" t="s">
        <v>96</v>
      </c>
      <c r="J43" s="9" t="s">
        <v>28</v>
      </c>
      <c r="K43" s="9" t="s">
        <v>97</v>
      </c>
      <c r="M43" s="9" t="s">
        <v>32</v>
      </c>
      <c r="N43" s="11" t="s">
        <v>57</v>
      </c>
      <c r="P43" s="9" t="s">
        <v>32</v>
      </c>
      <c r="Q43" s="11" t="s">
        <v>57</v>
      </c>
    </row>
    <row r="44" ht="15.75" customHeight="1">
      <c r="B44" s="5" t="s">
        <v>28</v>
      </c>
      <c r="C44" s="5"/>
      <c r="D44" s="9" t="s">
        <v>20</v>
      </c>
      <c r="E44" s="9" t="s">
        <v>99</v>
      </c>
      <c r="G44" s="9" t="s">
        <v>27</v>
      </c>
      <c r="H44" s="9" t="s">
        <v>96</v>
      </c>
      <c r="J44" s="9" t="s">
        <v>28</v>
      </c>
      <c r="K44" s="9" t="s">
        <v>97</v>
      </c>
      <c r="M44" s="9" t="s">
        <v>32</v>
      </c>
      <c r="N44" s="11" t="s">
        <v>57</v>
      </c>
      <c r="P44" s="9" t="s">
        <v>32</v>
      </c>
      <c r="Q44" s="11" t="s">
        <v>57</v>
      </c>
    </row>
    <row r="45" ht="15.75" customHeight="1">
      <c r="B45" s="5" t="s">
        <v>32</v>
      </c>
      <c r="C45" s="5"/>
      <c r="D45" s="9" t="s">
        <v>20</v>
      </c>
      <c r="E45" s="9" t="s">
        <v>29</v>
      </c>
      <c r="G45" s="9" t="s">
        <v>27</v>
      </c>
      <c r="H45" s="9" t="s">
        <v>96</v>
      </c>
      <c r="J45" s="9" t="s">
        <v>28</v>
      </c>
      <c r="K45" s="9" t="s">
        <v>97</v>
      </c>
      <c r="M45" s="9" t="s">
        <v>32</v>
      </c>
      <c r="N45" s="11" t="s">
        <v>57</v>
      </c>
      <c r="P45" s="9" t="s">
        <v>32</v>
      </c>
      <c r="Q45" s="11" t="s">
        <v>57</v>
      </c>
    </row>
    <row r="46" ht="15.75" customHeight="1">
      <c r="B46" s="5" t="s">
        <v>33</v>
      </c>
      <c r="C46" s="5"/>
      <c r="D46" s="9" t="s">
        <v>65</v>
      </c>
      <c r="E46" s="9" t="s">
        <v>100</v>
      </c>
      <c r="G46" s="9" t="s">
        <v>66</v>
      </c>
      <c r="H46" s="9" t="s">
        <v>101</v>
      </c>
      <c r="J46" s="9" t="s">
        <v>67</v>
      </c>
      <c r="K46" s="9" t="s">
        <v>102</v>
      </c>
      <c r="M46" s="9" t="s">
        <v>69</v>
      </c>
      <c r="N46" s="11" t="s">
        <v>57</v>
      </c>
      <c r="P46" s="9" t="s">
        <v>69</v>
      </c>
      <c r="Q46" s="11" t="s">
        <v>57</v>
      </c>
    </row>
    <row r="47" ht="15.75" customHeight="1">
      <c r="B47" s="5" t="s">
        <v>38</v>
      </c>
      <c r="C47" s="5"/>
      <c r="D47" s="9" t="s">
        <v>71</v>
      </c>
      <c r="E47" s="9" t="s">
        <v>75</v>
      </c>
      <c r="G47" s="9" t="s">
        <v>72</v>
      </c>
      <c r="H47" s="9" t="s">
        <v>103</v>
      </c>
      <c r="J47" s="9" t="s">
        <v>74</v>
      </c>
      <c r="K47" s="9" t="s">
        <v>104</v>
      </c>
      <c r="M47" s="9" t="s">
        <v>76</v>
      </c>
      <c r="N47" s="11" t="s">
        <v>57</v>
      </c>
      <c r="P47" s="9" t="s">
        <v>76</v>
      </c>
      <c r="Q47" s="11" t="s">
        <v>57</v>
      </c>
    </row>
    <row r="48" ht="15.75" customHeight="1">
      <c r="B48" s="5" t="s">
        <v>43</v>
      </c>
      <c r="C48" s="5"/>
      <c r="D48" s="9" t="s">
        <v>78</v>
      </c>
      <c r="E48" s="9" t="s">
        <v>105</v>
      </c>
      <c r="G48" s="9" t="s">
        <v>79</v>
      </c>
      <c r="H48" s="9" t="s">
        <v>106</v>
      </c>
      <c r="J48" s="9" t="s">
        <v>80</v>
      </c>
      <c r="K48" s="9" t="s">
        <v>107</v>
      </c>
      <c r="M48" s="9" t="s">
        <v>81</v>
      </c>
      <c r="N48" s="11" t="s">
        <v>57</v>
      </c>
      <c r="P48" s="9" t="s">
        <v>81</v>
      </c>
      <c r="Q48" s="11" t="s">
        <v>57</v>
      </c>
    </row>
    <row r="49" ht="15.75" customHeight="1">
      <c r="B49" s="5" t="s">
        <v>48</v>
      </c>
      <c r="C49" s="5"/>
      <c r="D49" s="9" t="s">
        <v>83</v>
      </c>
      <c r="E49" s="9" t="s">
        <v>49</v>
      </c>
      <c r="G49" s="9" t="s">
        <v>84</v>
      </c>
      <c r="H49" s="9" t="s">
        <v>108</v>
      </c>
      <c r="J49" s="9" t="s">
        <v>86</v>
      </c>
      <c r="K49" s="9" t="s">
        <v>109</v>
      </c>
      <c r="M49" s="9" t="s">
        <v>88</v>
      </c>
      <c r="N49" s="11" t="s">
        <v>57</v>
      </c>
      <c r="P49" s="9" t="s">
        <v>88</v>
      </c>
      <c r="Q49" s="11" t="s">
        <v>57</v>
      </c>
    </row>
    <row r="50" ht="15.75" customHeight="1"/>
    <row r="51" ht="15.75" customHeight="1">
      <c r="B51" s="2" t="s">
        <v>110</v>
      </c>
      <c r="C51" s="3"/>
      <c r="D51" s="4" t="s">
        <v>1</v>
      </c>
      <c r="E51" s="4">
        <v>1.0</v>
      </c>
      <c r="G51" s="4" t="s">
        <v>1</v>
      </c>
      <c r="H51" s="4">
        <v>2.0</v>
      </c>
      <c r="J51" s="4" t="s">
        <v>1</v>
      </c>
      <c r="K51" s="4">
        <v>3.0</v>
      </c>
      <c r="M51" s="4" t="s">
        <v>1</v>
      </c>
      <c r="N51" s="4">
        <v>4.0</v>
      </c>
      <c r="P51" s="4" t="s">
        <v>1</v>
      </c>
      <c r="Q51" s="4">
        <v>5.0</v>
      </c>
    </row>
    <row r="52" ht="15.75" customHeight="1">
      <c r="B52" s="5"/>
      <c r="C52" s="6"/>
      <c r="D52" s="7" t="s">
        <v>2</v>
      </c>
      <c r="E52" s="7" t="s">
        <v>3</v>
      </c>
      <c r="G52" s="7" t="s">
        <v>2</v>
      </c>
      <c r="H52" s="7" t="s">
        <v>3</v>
      </c>
      <c r="J52" s="7" t="s">
        <v>2</v>
      </c>
      <c r="K52" s="7" t="s">
        <v>3</v>
      </c>
      <c r="M52" s="7" t="s">
        <v>2</v>
      </c>
      <c r="N52" s="7" t="s">
        <v>3</v>
      </c>
      <c r="P52" s="7" t="s">
        <v>2</v>
      </c>
      <c r="Q52" s="7" t="s">
        <v>3</v>
      </c>
    </row>
    <row r="53" ht="15.75" customHeight="1">
      <c r="B53" s="5" t="s">
        <v>4</v>
      </c>
      <c r="C53" s="5"/>
      <c r="D53" s="8" t="s">
        <v>4</v>
      </c>
      <c r="E53" s="8" t="s">
        <v>60</v>
      </c>
      <c r="G53" s="8" t="s">
        <v>11</v>
      </c>
      <c r="H53" s="8" t="s">
        <v>111</v>
      </c>
      <c r="J53" s="8" t="s">
        <v>13</v>
      </c>
      <c r="K53" s="8" t="s">
        <v>112</v>
      </c>
      <c r="M53" s="8" t="s">
        <v>18</v>
      </c>
      <c r="N53" s="10" t="s">
        <v>57</v>
      </c>
      <c r="P53" s="8" t="s">
        <v>18</v>
      </c>
      <c r="Q53" s="10" t="s">
        <v>57</v>
      </c>
    </row>
    <row r="54" ht="15.75" customHeight="1">
      <c r="B54" s="5" t="s">
        <v>11</v>
      </c>
      <c r="C54" s="5"/>
      <c r="D54" s="8" t="s">
        <v>4</v>
      </c>
      <c r="E54" s="8" t="s">
        <v>113</v>
      </c>
      <c r="G54" s="8" t="s">
        <v>11</v>
      </c>
      <c r="H54" s="8" t="s">
        <v>114</v>
      </c>
      <c r="J54" s="8" t="s">
        <v>13</v>
      </c>
      <c r="K54" s="8" t="s">
        <v>94</v>
      </c>
      <c r="M54" s="8" t="s">
        <v>18</v>
      </c>
      <c r="N54" s="10" t="s">
        <v>57</v>
      </c>
      <c r="P54" s="8" t="s">
        <v>18</v>
      </c>
      <c r="Q54" s="10" t="s">
        <v>57</v>
      </c>
    </row>
    <row r="55" ht="15.75" customHeight="1">
      <c r="B55" s="5" t="s">
        <v>13</v>
      </c>
      <c r="C55" s="5"/>
      <c r="D55" s="8" t="s">
        <v>4</v>
      </c>
      <c r="E55" s="8" t="s">
        <v>113</v>
      </c>
      <c r="G55" s="8" t="s">
        <v>11</v>
      </c>
      <c r="H55" s="8" t="s">
        <v>114</v>
      </c>
      <c r="J55" s="8" t="s">
        <v>13</v>
      </c>
      <c r="K55" s="8" t="s">
        <v>92</v>
      </c>
      <c r="M55" s="8" t="s">
        <v>18</v>
      </c>
      <c r="N55" s="10" t="s">
        <v>57</v>
      </c>
      <c r="P55" s="8" t="s">
        <v>18</v>
      </c>
      <c r="Q55" s="10" t="s">
        <v>57</v>
      </c>
    </row>
    <row r="56" ht="15.75" customHeight="1">
      <c r="B56" s="5" t="s">
        <v>18</v>
      </c>
      <c r="C56" s="5"/>
      <c r="D56" s="8" t="s">
        <v>4</v>
      </c>
      <c r="E56" s="8" t="s">
        <v>60</v>
      </c>
      <c r="G56" s="8" t="s">
        <v>11</v>
      </c>
      <c r="H56" s="8" t="s">
        <v>115</v>
      </c>
      <c r="J56" s="8" t="s">
        <v>13</v>
      </c>
      <c r="K56" s="8" t="s">
        <v>94</v>
      </c>
      <c r="M56" s="8" t="s">
        <v>18</v>
      </c>
      <c r="N56" s="10" t="s">
        <v>57</v>
      </c>
      <c r="P56" s="8" t="s">
        <v>18</v>
      </c>
      <c r="Q56" s="10" t="s">
        <v>57</v>
      </c>
    </row>
    <row r="57" ht="15.75" customHeight="1">
      <c r="B57" s="5" t="s">
        <v>20</v>
      </c>
      <c r="C57" s="5"/>
      <c r="D57" s="9" t="s">
        <v>20</v>
      </c>
      <c r="E57" s="9" t="s">
        <v>116</v>
      </c>
      <c r="G57" s="9" t="s">
        <v>27</v>
      </c>
      <c r="H57" s="9" t="s">
        <v>117</v>
      </c>
      <c r="J57" s="9" t="s">
        <v>28</v>
      </c>
      <c r="K57" s="9" t="s">
        <v>118</v>
      </c>
      <c r="M57" s="9" t="s">
        <v>32</v>
      </c>
      <c r="N57" s="11" t="s">
        <v>57</v>
      </c>
      <c r="P57" s="9" t="s">
        <v>32</v>
      </c>
      <c r="Q57" s="11" t="s">
        <v>57</v>
      </c>
    </row>
    <row r="58" ht="15.75" customHeight="1">
      <c r="B58" s="5" t="s">
        <v>27</v>
      </c>
      <c r="C58" s="5"/>
      <c r="D58" s="9" t="s">
        <v>20</v>
      </c>
      <c r="E58" s="9" t="s">
        <v>116</v>
      </c>
      <c r="G58" s="9" t="s">
        <v>27</v>
      </c>
      <c r="H58" s="9" t="s">
        <v>117</v>
      </c>
      <c r="J58" s="9" t="s">
        <v>28</v>
      </c>
      <c r="K58" s="9" t="s">
        <v>118</v>
      </c>
      <c r="M58" s="9" t="s">
        <v>32</v>
      </c>
      <c r="N58" s="11" t="s">
        <v>57</v>
      </c>
      <c r="P58" s="9" t="s">
        <v>32</v>
      </c>
      <c r="Q58" s="11" t="s">
        <v>57</v>
      </c>
    </row>
    <row r="59" ht="15.75" customHeight="1">
      <c r="B59" s="5" t="s">
        <v>28</v>
      </c>
      <c r="C59" s="5"/>
      <c r="D59" s="9" t="s">
        <v>20</v>
      </c>
      <c r="E59" s="9" t="s">
        <v>116</v>
      </c>
      <c r="G59" s="9" t="s">
        <v>27</v>
      </c>
      <c r="H59" s="9" t="s">
        <v>117</v>
      </c>
      <c r="J59" s="9" t="s">
        <v>28</v>
      </c>
      <c r="K59" s="9" t="s">
        <v>118</v>
      </c>
      <c r="M59" s="9" t="s">
        <v>32</v>
      </c>
      <c r="N59" s="11" t="s">
        <v>57</v>
      </c>
      <c r="P59" s="9" t="s">
        <v>32</v>
      </c>
      <c r="Q59" s="11" t="s">
        <v>57</v>
      </c>
    </row>
    <row r="60" ht="15.75" customHeight="1">
      <c r="B60" s="5" t="s">
        <v>32</v>
      </c>
      <c r="C60" s="5"/>
      <c r="D60" s="9" t="s">
        <v>20</v>
      </c>
      <c r="E60" s="9" t="s">
        <v>116</v>
      </c>
      <c r="G60" s="9" t="s">
        <v>27</v>
      </c>
      <c r="H60" s="9" t="s">
        <v>117</v>
      </c>
      <c r="J60" s="9" t="s">
        <v>28</v>
      </c>
      <c r="K60" s="9" t="s">
        <v>118</v>
      </c>
      <c r="M60" s="9" t="s">
        <v>32</v>
      </c>
      <c r="N60" s="11" t="s">
        <v>57</v>
      </c>
      <c r="P60" s="9" t="s">
        <v>32</v>
      </c>
      <c r="Q60" s="11" t="s">
        <v>57</v>
      </c>
    </row>
    <row r="61" ht="15.75" customHeight="1">
      <c r="B61" s="5" t="s">
        <v>33</v>
      </c>
      <c r="C61" s="5"/>
      <c r="D61" s="9" t="s">
        <v>65</v>
      </c>
      <c r="E61" s="9" t="s">
        <v>119</v>
      </c>
      <c r="G61" s="9" t="s">
        <v>66</v>
      </c>
      <c r="H61" s="9" t="s">
        <v>37</v>
      </c>
      <c r="J61" s="9" t="s">
        <v>67</v>
      </c>
      <c r="K61" s="9" t="s">
        <v>120</v>
      </c>
      <c r="M61" s="9" t="s">
        <v>69</v>
      </c>
      <c r="N61" s="11" t="s">
        <v>57</v>
      </c>
      <c r="P61" s="9" t="s">
        <v>69</v>
      </c>
      <c r="Q61" s="11" t="s">
        <v>57</v>
      </c>
    </row>
    <row r="62" ht="15.75" customHeight="1">
      <c r="B62" s="5" t="s">
        <v>38</v>
      </c>
      <c r="C62" s="5"/>
      <c r="D62" s="9" t="s">
        <v>71</v>
      </c>
      <c r="E62" s="9" t="s">
        <v>39</v>
      </c>
      <c r="G62" s="9" t="s">
        <v>72</v>
      </c>
      <c r="H62" s="9" t="s">
        <v>121</v>
      </c>
      <c r="J62" s="9" t="s">
        <v>74</v>
      </c>
      <c r="K62" s="9" t="s">
        <v>122</v>
      </c>
      <c r="M62" s="9" t="s">
        <v>76</v>
      </c>
      <c r="N62" s="11" t="s">
        <v>57</v>
      </c>
      <c r="P62" s="9" t="s">
        <v>76</v>
      </c>
      <c r="Q62" s="11" t="s">
        <v>57</v>
      </c>
    </row>
    <row r="63" ht="15.75" customHeight="1">
      <c r="B63" s="5" t="s">
        <v>43</v>
      </c>
      <c r="C63" s="5"/>
      <c r="D63" s="9" t="s">
        <v>78</v>
      </c>
      <c r="E63" s="9" t="s">
        <v>44</v>
      </c>
      <c r="G63" s="9" t="s">
        <v>79</v>
      </c>
      <c r="H63" s="9" t="s">
        <v>123</v>
      </c>
      <c r="J63" s="9" t="s">
        <v>80</v>
      </c>
      <c r="K63" s="9" t="s">
        <v>124</v>
      </c>
      <c r="M63" s="9" t="s">
        <v>81</v>
      </c>
      <c r="N63" s="11" t="s">
        <v>57</v>
      </c>
      <c r="P63" s="9" t="s">
        <v>81</v>
      </c>
      <c r="Q63" s="11" t="s">
        <v>57</v>
      </c>
    </row>
    <row r="64" ht="15.75" customHeight="1">
      <c r="B64" s="5" t="s">
        <v>48</v>
      </c>
      <c r="C64" s="5"/>
      <c r="D64" s="9" t="s">
        <v>83</v>
      </c>
      <c r="E64" s="9" t="s">
        <v>125</v>
      </c>
      <c r="G64" s="9" t="s">
        <v>84</v>
      </c>
      <c r="H64" s="9" t="s">
        <v>126</v>
      </c>
      <c r="J64" s="9" t="s">
        <v>86</v>
      </c>
      <c r="K64" s="9" t="s">
        <v>127</v>
      </c>
      <c r="M64" s="9" t="s">
        <v>88</v>
      </c>
      <c r="N64" s="11" t="s">
        <v>57</v>
      </c>
      <c r="P64" s="9" t="s">
        <v>88</v>
      </c>
      <c r="Q64" s="11" t="s">
        <v>57</v>
      </c>
    </row>
    <row r="65" ht="15.75" customHeight="1"/>
    <row r="66" ht="15.75" customHeight="1">
      <c r="B66" s="2" t="s">
        <v>128</v>
      </c>
      <c r="C66" s="3"/>
      <c r="D66" s="4" t="s">
        <v>1</v>
      </c>
      <c r="E66" s="4">
        <v>1.0</v>
      </c>
      <c r="G66" s="4" t="s">
        <v>1</v>
      </c>
      <c r="H66" s="4">
        <v>2.0</v>
      </c>
      <c r="J66" s="4" t="s">
        <v>1</v>
      </c>
      <c r="K66" s="4">
        <v>3.0</v>
      </c>
      <c r="M66" s="4" t="s">
        <v>1</v>
      </c>
      <c r="N66" s="4">
        <v>4.0</v>
      </c>
      <c r="P66" s="4" t="s">
        <v>1</v>
      </c>
      <c r="Q66" s="4">
        <v>5.0</v>
      </c>
    </row>
    <row r="67" ht="15.75" customHeight="1">
      <c r="B67" s="5"/>
      <c r="C67" s="6"/>
      <c r="D67" s="7" t="s">
        <v>2</v>
      </c>
      <c r="E67" s="7" t="s">
        <v>3</v>
      </c>
      <c r="G67" s="7" t="s">
        <v>2</v>
      </c>
      <c r="H67" s="7" t="s">
        <v>3</v>
      </c>
      <c r="J67" s="7" t="s">
        <v>2</v>
      </c>
      <c r="K67" s="7" t="s">
        <v>3</v>
      </c>
      <c r="M67" s="7" t="s">
        <v>2</v>
      </c>
      <c r="N67" s="7" t="s">
        <v>3</v>
      </c>
      <c r="P67" s="7" t="s">
        <v>2</v>
      </c>
      <c r="Q67" s="7" t="s">
        <v>3</v>
      </c>
    </row>
    <row r="68" ht="15.75" customHeight="1">
      <c r="B68" s="5" t="s">
        <v>4</v>
      </c>
      <c r="C68" s="5"/>
      <c r="D68" s="8" t="s">
        <v>4</v>
      </c>
      <c r="E68" s="8" t="s">
        <v>129</v>
      </c>
      <c r="G68" s="8" t="s">
        <v>11</v>
      </c>
      <c r="H68" s="8" t="s">
        <v>130</v>
      </c>
      <c r="J68" s="8" t="s">
        <v>13</v>
      </c>
      <c r="K68" s="8" t="s">
        <v>61</v>
      </c>
      <c r="M68" s="8" t="s">
        <v>18</v>
      </c>
      <c r="N68" s="10" t="s">
        <v>57</v>
      </c>
      <c r="P68" s="8" t="s">
        <v>18</v>
      </c>
      <c r="Q68" s="10" t="s">
        <v>57</v>
      </c>
    </row>
    <row r="69" ht="15.75" customHeight="1">
      <c r="B69" s="5" t="s">
        <v>11</v>
      </c>
      <c r="C69" s="5"/>
      <c r="D69" s="8" t="s">
        <v>4</v>
      </c>
      <c r="E69" s="8" t="s">
        <v>95</v>
      </c>
      <c r="G69" s="8" t="s">
        <v>11</v>
      </c>
      <c r="H69" s="8" t="s">
        <v>131</v>
      </c>
      <c r="J69" s="8" t="s">
        <v>13</v>
      </c>
      <c r="K69" s="8" t="s">
        <v>92</v>
      </c>
      <c r="M69" s="8" t="s">
        <v>18</v>
      </c>
      <c r="N69" s="10" t="s">
        <v>57</v>
      </c>
      <c r="P69" s="8" t="s">
        <v>18</v>
      </c>
      <c r="Q69" s="10" t="s">
        <v>57</v>
      </c>
    </row>
    <row r="70" ht="15.75" customHeight="1">
      <c r="B70" s="5" t="s">
        <v>13</v>
      </c>
      <c r="C70" s="5"/>
      <c r="D70" s="8" t="s">
        <v>4</v>
      </c>
      <c r="E70" s="8" t="s">
        <v>60</v>
      </c>
      <c r="G70" s="8" t="s">
        <v>11</v>
      </c>
      <c r="H70" s="8" t="s">
        <v>115</v>
      </c>
      <c r="J70" s="8" t="s">
        <v>13</v>
      </c>
      <c r="K70" s="8" t="s">
        <v>92</v>
      </c>
      <c r="M70" s="8" t="s">
        <v>18</v>
      </c>
      <c r="N70" s="10" t="s">
        <v>57</v>
      </c>
      <c r="P70" s="8" t="s">
        <v>18</v>
      </c>
      <c r="Q70" s="10" t="s">
        <v>57</v>
      </c>
    </row>
    <row r="71" ht="15.75" customHeight="1">
      <c r="B71" s="5" t="s">
        <v>18</v>
      </c>
      <c r="C71" s="5"/>
      <c r="D71" s="8" t="s">
        <v>4</v>
      </c>
      <c r="E71" s="8" t="s">
        <v>60</v>
      </c>
      <c r="G71" s="8" t="s">
        <v>11</v>
      </c>
      <c r="H71" s="8" t="s">
        <v>115</v>
      </c>
      <c r="J71" s="8" t="s">
        <v>13</v>
      </c>
      <c r="K71" s="8" t="s">
        <v>132</v>
      </c>
      <c r="M71" s="8" t="s">
        <v>18</v>
      </c>
      <c r="N71" s="10" t="s">
        <v>57</v>
      </c>
      <c r="P71" s="8" t="s">
        <v>18</v>
      </c>
      <c r="Q71" s="10" t="s">
        <v>57</v>
      </c>
    </row>
    <row r="72" ht="15.75" customHeight="1">
      <c r="B72" s="5" t="s">
        <v>20</v>
      </c>
      <c r="C72" s="5"/>
      <c r="D72" s="9" t="s">
        <v>20</v>
      </c>
      <c r="E72" s="9" t="s">
        <v>133</v>
      </c>
      <c r="G72" s="9" t="s">
        <v>27</v>
      </c>
      <c r="H72" s="9" t="s">
        <v>96</v>
      </c>
      <c r="J72" s="9" t="s">
        <v>28</v>
      </c>
      <c r="K72" s="9" t="s">
        <v>134</v>
      </c>
      <c r="M72" s="9" t="s">
        <v>32</v>
      </c>
      <c r="N72" s="11" t="s">
        <v>57</v>
      </c>
      <c r="P72" s="9" t="s">
        <v>32</v>
      </c>
      <c r="Q72" s="11" t="s">
        <v>57</v>
      </c>
    </row>
    <row r="73" ht="15.75" customHeight="1">
      <c r="B73" s="5" t="s">
        <v>27</v>
      </c>
      <c r="C73" s="5"/>
      <c r="D73" s="9" t="s">
        <v>20</v>
      </c>
      <c r="E73" s="9" t="s">
        <v>133</v>
      </c>
      <c r="G73" s="9" t="s">
        <v>27</v>
      </c>
      <c r="H73" s="9" t="s">
        <v>96</v>
      </c>
      <c r="J73" s="9" t="s">
        <v>28</v>
      </c>
      <c r="K73" s="9" t="s">
        <v>134</v>
      </c>
      <c r="M73" s="9" t="s">
        <v>32</v>
      </c>
      <c r="N73" s="11" t="s">
        <v>57</v>
      </c>
      <c r="P73" s="9" t="s">
        <v>32</v>
      </c>
      <c r="Q73" s="11" t="s">
        <v>57</v>
      </c>
    </row>
    <row r="74" ht="15.75" customHeight="1">
      <c r="B74" s="5" t="s">
        <v>28</v>
      </c>
      <c r="C74" s="5"/>
      <c r="D74" s="9" t="s">
        <v>20</v>
      </c>
      <c r="E74" s="9" t="s">
        <v>133</v>
      </c>
      <c r="G74" s="9" t="s">
        <v>27</v>
      </c>
      <c r="H74" s="9" t="s">
        <v>96</v>
      </c>
      <c r="J74" s="9" t="s">
        <v>28</v>
      </c>
      <c r="K74" s="9" t="s">
        <v>134</v>
      </c>
      <c r="M74" s="9" t="s">
        <v>32</v>
      </c>
      <c r="N74" s="11" t="s">
        <v>57</v>
      </c>
      <c r="P74" s="9" t="s">
        <v>32</v>
      </c>
      <c r="Q74" s="11" t="s">
        <v>57</v>
      </c>
    </row>
    <row r="75" ht="15.75" customHeight="1">
      <c r="B75" s="5" t="s">
        <v>32</v>
      </c>
      <c r="C75" s="5"/>
      <c r="D75" s="9" t="s">
        <v>20</v>
      </c>
      <c r="E75" s="9" t="s">
        <v>133</v>
      </c>
      <c r="G75" s="9" t="s">
        <v>27</v>
      </c>
      <c r="H75" s="9" t="s">
        <v>96</v>
      </c>
      <c r="J75" s="9" t="s">
        <v>28</v>
      </c>
      <c r="K75" s="9" t="s">
        <v>134</v>
      </c>
      <c r="M75" s="9" t="s">
        <v>32</v>
      </c>
      <c r="N75" s="11" t="s">
        <v>57</v>
      </c>
      <c r="P75" s="9" t="s">
        <v>32</v>
      </c>
      <c r="Q75" s="11" t="s">
        <v>57</v>
      </c>
    </row>
    <row r="76" ht="15.75" customHeight="1">
      <c r="B76" s="5" t="s">
        <v>33</v>
      </c>
      <c r="C76" s="5"/>
      <c r="D76" s="9" t="s">
        <v>65</v>
      </c>
      <c r="E76" s="9" t="s">
        <v>36</v>
      </c>
      <c r="G76" s="9" t="s">
        <v>66</v>
      </c>
      <c r="H76" s="9" t="s">
        <v>37</v>
      </c>
      <c r="J76" s="9" t="s">
        <v>67</v>
      </c>
      <c r="K76" s="9" t="s">
        <v>135</v>
      </c>
      <c r="M76" s="9" t="s">
        <v>69</v>
      </c>
      <c r="N76" s="11" t="s">
        <v>57</v>
      </c>
      <c r="P76" s="9" t="s">
        <v>69</v>
      </c>
      <c r="Q76" s="11" t="s">
        <v>57</v>
      </c>
    </row>
    <row r="77" ht="15.75" customHeight="1">
      <c r="B77" s="5" t="s">
        <v>38</v>
      </c>
      <c r="C77" s="5"/>
      <c r="D77" s="9" t="s">
        <v>71</v>
      </c>
      <c r="E77" s="9" t="s">
        <v>39</v>
      </c>
      <c r="G77" s="9" t="s">
        <v>72</v>
      </c>
      <c r="H77" s="9" t="s">
        <v>136</v>
      </c>
      <c r="J77" s="9" t="s">
        <v>74</v>
      </c>
      <c r="K77" s="9" t="s">
        <v>137</v>
      </c>
      <c r="M77" s="9" t="s">
        <v>76</v>
      </c>
      <c r="N77" s="11" t="s">
        <v>57</v>
      </c>
      <c r="P77" s="9" t="s">
        <v>76</v>
      </c>
      <c r="Q77" s="11" t="s">
        <v>57</v>
      </c>
    </row>
    <row r="78" ht="15.75" customHeight="1">
      <c r="B78" s="5" t="s">
        <v>43</v>
      </c>
      <c r="C78" s="5"/>
      <c r="D78" s="9" t="s">
        <v>78</v>
      </c>
      <c r="E78" s="9" t="s">
        <v>138</v>
      </c>
      <c r="G78" s="9" t="s">
        <v>79</v>
      </c>
      <c r="H78" s="9" t="s">
        <v>139</v>
      </c>
      <c r="J78" s="9" t="s">
        <v>80</v>
      </c>
      <c r="K78" s="9" t="s">
        <v>140</v>
      </c>
      <c r="M78" s="9" t="s">
        <v>81</v>
      </c>
      <c r="N78" s="11" t="s">
        <v>57</v>
      </c>
      <c r="P78" s="9" t="s">
        <v>81</v>
      </c>
      <c r="Q78" s="11" t="s">
        <v>57</v>
      </c>
    </row>
    <row r="79" ht="15.75" customHeight="1">
      <c r="B79" s="5" t="s">
        <v>48</v>
      </c>
      <c r="C79" s="5"/>
      <c r="D79" s="9" t="s">
        <v>83</v>
      </c>
      <c r="E79" s="9"/>
      <c r="G79" s="9" t="s">
        <v>84</v>
      </c>
      <c r="H79" s="9"/>
      <c r="J79" s="9" t="s">
        <v>86</v>
      </c>
      <c r="K79" s="11" t="s">
        <v>57</v>
      </c>
      <c r="M79" s="9" t="s">
        <v>88</v>
      </c>
      <c r="N79" s="11" t="s">
        <v>57</v>
      </c>
      <c r="P79" s="9" t="s">
        <v>88</v>
      </c>
      <c r="Q79" s="11" t="s">
        <v>57</v>
      </c>
    </row>
    <row r="80" ht="15.75" customHeight="1"/>
    <row r="81" ht="15.75" customHeight="1">
      <c r="B81" s="2" t="s">
        <v>141</v>
      </c>
      <c r="C81" s="3"/>
      <c r="D81" s="4" t="s">
        <v>1</v>
      </c>
      <c r="E81" s="4">
        <v>1.0</v>
      </c>
      <c r="G81" s="4" t="s">
        <v>1</v>
      </c>
      <c r="H81" s="4">
        <v>2.0</v>
      </c>
      <c r="J81" s="4" t="s">
        <v>1</v>
      </c>
      <c r="K81" s="4">
        <v>3.0</v>
      </c>
      <c r="M81" s="4" t="s">
        <v>1</v>
      </c>
      <c r="N81" s="4">
        <v>4.0</v>
      </c>
      <c r="P81" s="4" t="s">
        <v>1</v>
      </c>
      <c r="Q81" s="4">
        <v>5.0</v>
      </c>
    </row>
    <row r="82" ht="15.75" customHeight="1">
      <c r="B82" s="5"/>
      <c r="C82" s="6"/>
      <c r="D82" s="7" t="s">
        <v>2</v>
      </c>
      <c r="E82" s="7" t="s">
        <v>3</v>
      </c>
      <c r="G82" s="7" t="s">
        <v>2</v>
      </c>
      <c r="H82" s="7" t="s">
        <v>3</v>
      </c>
      <c r="J82" s="7" t="s">
        <v>2</v>
      </c>
      <c r="K82" s="7" t="s">
        <v>3</v>
      </c>
      <c r="M82" s="7" t="s">
        <v>2</v>
      </c>
      <c r="N82" s="7" t="s">
        <v>3</v>
      </c>
      <c r="P82" s="7" t="s">
        <v>2</v>
      </c>
      <c r="Q82" s="7" t="s">
        <v>3</v>
      </c>
    </row>
    <row r="83" ht="15.75" customHeight="1">
      <c r="B83" s="5" t="s">
        <v>4</v>
      </c>
      <c r="C83" s="5"/>
      <c r="D83" s="8" t="s">
        <v>4</v>
      </c>
      <c r="E83" s="8" t="s">
        <v>129</v>
      </c>
      <c r="G83" s="8" t="s">
        <v>11</v>
      </c>
      <c r="H83" s="8" t="s">
        <v>130</v>
      </c>
      <c r="J83" s="8" t="s">
        <v>13</v>
      </c>
      <c r="K83" s="8" t="s">
        <v>61</v>
      </c>
      <c r="M83" s="8" t="s">
        <v>18</v>
      </c>
      <c r="N83" s="10" t="s">
        <v>57</v>
      </c>
      <c r="P83" s="8" t="s">
        <v>18</v>
      </c>
      <c r="Q83" s="10" t="s">
        <v>57</v>
      </c>
    </row>
    <row r="84" ht="15.75" customHeight="1">
      <c r="B84" s="5" t="s">
        <v>11</v>
      </c>
      <c r="C84" s="5"/>
      <c r="D84" s="8" t="s">
        <v>4</v>
      </c>
      <c r="E84" s="8" t="s">
        <v>95</v>
      </c>
      <c r="G84" s="8" t="s">
        <v>11</v>
      </c>
      <c r="H84" s="8" t="s">
        <v>131</v>
      </c>
      <c r="J84" s="8" t="s">
        <v>13</v>
      </c>
      <c r="K84" s="8" t="s">
        <v>92</v>
      </c>
      <c r="M84" s="8" t="s">
        <v>18</v>
      </c>
      <c r="N84" s="10" t="s">
        <v>57</v>
      </c>
      <c r="P84" s="8" t="s">
        <v>18</v>
      </c>
      <c r="Q84" s="10" t="s">
        <v>57</v>
      </c>
    </row>
    <row r="85" ht="15.75" customHeight="1">
      <c r="B85" s="5" t="s">
        <v>13</v>
      </c>
      <c r="C85" s="5"/>
      <c r="D85" s="8" t="s">
        <v>4</v>
      </c>
      <c r="E85" s="8" t="s">
        <v>60</v>
      </c>
      <c r="G85" s="8" t="s">
        <v>11</v>
      </c>
      <c r="H85" s="8" t="s">
        <v>115</v>
      </c>
      <c r="J85" s="8" t="s">
        <v>13</v>
      </c>
      <c r="K85" s="8" t="s">
        <v>92</v>
      </c>
      <c r="M85" s="8" t="s">
        <v>18</v>
      </c>
      <c r="N85" s="10" t="s">
        <v>57</v>
      </c>
      <c r="P85" s="8" t="s">
        <v>18</v>
      </c>
      <c r="Q85" s="10" t="s">
        <v>57</v>
      </c>
    </row>
    <row r="86" ht="15.75" customHeight="1">
      <c r="B86" s="5" t="s">
        <v>18</v>
      </c>
      <c r="C86" s="5"/>
      <c r="D86" s="8" t="s">
        <v>4</v>
      </c>
      <c r="E86" s="8" t="s">
        <v>60</v>
      </c>
      <c r="G86" s="8" t="s">
        <v>11</v>
      </c>
      <c r="H86" s="8" t="s">
        <v>115</v>
      </c>
      <c r="J86" s="8" t="s">
        <v>13</v>
      </c>
      <c r="K86" s="8" t="s">
        <v>132</v>
      </c>
      <c r="M86" s="8" t="s">
        <v>18</v>
      </c>
      <c r="N86" s="10" t="s">
        <v>57</v>
      </c>
      <c r="P86" s="8" t="s">
        <v>18</v>
      </c>
      <c r="Q86" s="10" t="s">
        <v>57</v>
      </c>
    </row>
    <row r="87" ht="15.75" customHeight="1">
      <c r="B87" s="5" t="s">
        <v>20</v>
      </c>
      <c r="C87" s="5"/>
      <c r="D87" s="9" t="s">
        <v>20</v>
      </c>
      <c r="E87" s="9" t="s">
        <v>133</v>
      </c>
      <c r="G87" s="9" t="s">
        <v>27</v>
      </c>
      <c r="H87" s="9" t="s">
        <v>96</v>
      </c>
      <c r="J87" s="9" t="s">
        <v>28</v>
      </c>
      <c r="K87" s="9" t="s">
        <v>134</v>
      </c>
      <c r="M87" s="9" t="s">
        <v>32</v>
      </c>
      <c r="N87" s="11" t="s">
        <v>57</v>
      </c>
      <c r="P87" s="9" t="s">
        <v>32</v>
      </c>
      <c r="Q87" s="11" t="s">
        <v>57</v>
      </c>
    </row>
    <row r="88" ht="15.75" customHeight="1">
      <c r="B88" s="5" t="s">
        <v>27</v>
      </c>
      <c r="C88" s="5"/>
      <c r="D88" s="9" t="s">
        <v>20</v>
      </c>
      <c r="E88" s="9" t="s">
        <v>133</v>
      </c>
      <c r="G88" s="9" t="s">
        <v>27</v>
      </c>
      <c r="H88" s="9" t="s">
        <v>96</v>
      </c>
      <c r="J88" s="9" t="s">
        <v>28</v>
      </c>
      <c r="K88" s="9" t="s">
        <v>134</v>
      </c>
      <c r="M88" s="9" t="s">
        <v>32</v>
      </c>
      <c r="N88" s="11" t="s">
        <v>57</v>
      </c>
      <c r="P88" s="9" t="s">
        <v>32</v>
      </c>
      <c r="Q88" s="11" t="s">
        <v>57</v>
      </c>
    </row>
    <row r="89" ht="15.75" customHeight="1">
      <c r="B89" s="5" t="s">
        <v>28</v>
      </c>
      <c r="C89" s="5"/>
      <c r="D89" s="9" t="s">
        <v>20</v>
      </c>
      <c r="E89" s="9" t="s">
        <v>133</v>
      </c>
      <c r="G89" s="9" t="s">
        <v>27</v>
      </c>
      <c r="H89" s="9" t="s">
        <v>96</v>
      </c>
      <c r="J89" s="9" t="s">
        <v>28</v>
      </c>
      <c r="K89" s="9" t="s">
        <v>134</v>
      </c>
      <c r="M89" s="9" t="s">
        <v>32</v>
      </c>
      <c r="N89" s="11" t="s">
        <v>57</v>
      </c>
      <c r="P89" s="9" t="s">
        <v>32</v>
      </c>
      <c r="Q89" s="11" t="s">
        <v>57</v>
      </c>
    </row>
    <row r="90" ht="15.75" customHeight="1">
      <c r="B90" s="5" t="s">
        <v>32</v>
      </c>
      <c r="C90" s="5"/>
      <c r="D90" s="9" t="s">
        <v>20</v>
      </c>
      <c r="E90" s="9" t="s">
        <v>133</v>
      </c>
      <c r="G90" s="9" t="s">
        <v>27</v>
      </c>
      <c r="H90" s="9" t="s">
        <v>96</v>
      </c>
      <c r="J90" s="9" t="s">
        <v>28</v>
      </c>
      <c r="K90" s="9" t="s">
        <v>134</v>
      </c>
      <c r="M90" s="9" t="s">
        <v>32</v>
      </c>
      <c r="N90" s="11" t="s">
        <v>57</v>
      </c>
      <c r="P90" s="9" t="s">
        <v>32</v>
      </c>
      <c r="Q90" s="11" t="s">
        <v>57</v>
      </c>
    </row>
    <row r="91" ht="15.75" customHeight="1">
      <c r="B91" s="5" t="s">
        <v>33</v>
      </c>
      <c r="C91" s="5"/>
      <c r="D91" s="9" t="s">
        <v>65</v>
      </c>
      <c r="E91" s="9" t="s">
        <v>36</v>
      </c>
      <c r="G91" s="9" t="s">
        <v>66</v>
      </c>
      <c r="H91" s="9" t="s">
        <v>37</v>
      </c>
      <c r="J91" s="9" t="s">
        <v>67</v>
      </c>
      <c r="K91" s="9" t="s">
        <v>135</v>
      </c>
      <c r="M91" s="9" t="s">
        <v>69</v>
      </c>
      <c r="N91" s="11" t="s">
        <v>57</v>
      </c>
      <c r="P91" s="9" t="s">
        <v>69</v>
      </c>
      <c r="Q91" s="11" t="s">
        <v>57</v>
      </c>
    </row>
    <row r="92" ht="15.75" customHeight="1">
      <c r="B92" s="5" t="s">
        <v>38</v>
      </c>
      <c r="C92" s="5"/>
      <c r="D92" s="9" t="s">
        <v>71</v>
      </c>
      <c r="E92" s="9" t="s">
        <v>39</v>
      </c>
      <c r="G92" s="9" t="s">
        <v>72</v>
      </c>
      <c r="H92" s="9" t="s">
        <v>136</v>
      </c>
      <c r="J92" s="9" t="s">
        <v>74</v>
      </c>
      <c r="K92" s="9" t="s">
        <v>137</v>
      </c>
      <c r="M92" s="9" t="s">
        <v>76</v>
      </c>
      <c r="N92" s="11" t="s">
        <v>57</v>
      </c>
      <c r="P92" s="9" t="s">
        <v>76</v>
      </c>
      <c r="Q92" s="11" t="s">
        <v>57</v>
      </c>
    </row>
    <row r="93" ht="15.75" customHeight="1">
      <c r="B93" s="5" t="s">
        <v>43</v>
      </c>
      <c r="C93" s="5"/>
      <c r="D93" s="9" t="s">
        <v>78</v>
      </c>
      <c r="E93" s="9" t="s">
        <v>138</v>
      </c>
      <c r="G93" s="9" t="s">
        <v>79</v>
      </c>
      <c r="H93" s="9" t="s">
        <v>139</v>
      </c>
      <c r="J93" s="9" t="s">
        <v>80</v>
      </c>
      <c r="K93" s="9" t="s">
        <v>140</v>
      </c>
      <c r="M93" s="9" t="s">
        <v>81</v>
      </c>
      <c r="N93" s="11" t="s">
        <v>57</v>
      </c>
      <c r="P93" s="9" t="s">
        <v>81</v>
      </c>
      <c r="Q93" s="11" t="s">
        <v>57</v>
      </c>
    </row>
    <row r="94" ht="15.75" customHeight="1">
      <c r="B94" s="5" t="s">
        <v>48</v>
      </c>
      <c r="C94" s="5"/>
      <c r="D94" s="9" t="s">
        <v>83</v>
      </c>
      <c r="E94" s="9" t="s">
        <v>57</v>
      </c>
      <c r="G94" s="9" t="s">
        <v>84</v>
      </c>
      <c r="H94" s="9" t="s">
        <v>57</v>
      </c>
      <c r="J94" s="9" t="s">
        <v>86</v>
      </c>
      <c r="K94" s="9" t="s">
        <v>57</v>
      </c>
      <c r="M94" s="9" t="s">
        <v>88</v>
      </c>
      <c r="N94" s="9" t="s">
        <v>57</v>
      </c>
      <c r="P94" s="9" t="s">
        <v>88</v>
      </c>
      <c r="Q94" s="9" t="s">
        <v>57</v>
      </c>
    </row>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E8:E11 H8:H11 K8:K11 N8:N11 Q8:Q11 E23:E26 H23:H26 K23:K26 N23:N26 Q23:Q26 E38:E41 H38:H41 K38:K41 N38:N41 Q38:Q41 E53:E56 H53:H56 K53:K56 N53:N56 Q53:Q56 E68:E71 H68:H71 K68:K71 N68:N71 Q68:Q71 E83:E86 H83:H86 K83:K86 N83:N86 Q83:Q86">
      <formula1>'Exercise Selection'!$B$3:$B$49</formula1>
    </dataValidation>
    <dataValidation type="list" allowBlank="1" sqref="E18 H18 K18 N18 Q18 E33 H33 K33 N33 Q33 E48 H48 K48 N48 Q48 E63 H63 K63 N63 Q63 E78 H78 K78 N78 Q78 E93 H93 K93 N93 Q93">
      <formula1>'Exercise Selection'!$F$3:$F$98</formula1>
    </dataValidation>
    <dataValidation type="list" allowBlank="1" sqref="E12:E15 H12:H15 K12:K15 N12:N15 Q12:Q15 E27:E30 H27:H30 K27:K30 N27:N30 Q27:Q30 E42:E45 H42:H45 K42:K45 N42:N45 Q42:Q45 E57:E60 H57:H60 K57:K60 N57:N60 Q57:Q60 E72:E75 H72:H75 K72:K75 N72:N75 Q72:Q75 E87:E90 H87:H90 K87:K90 N87:N90 Q87:Q90">
      <formula1>'Exercise Selection'!$C$3:$C$98</formula1>
    </dataValidation>
    <dataValidation type="list" allowBlank="1" sqref="E17 H17 K17 N17 Q17 E32 H32 K32 N32 Q32 E47 H47 K47 N47 Q47 E62 H62 K62 N62 Q62 E77 H77 K77 N77 Q77 E92 H92 K92 N92 Q92">
      <formula1>'Exercise Selection'!$E$3:$E$98</formula1>
    </dataValidation>
    <dataValidation type="list" allowBlank="1" sqref="E19 H19 K19 N19 Q19 E34 H34 K34 N34 Q34 E49 H49 K49 N49 Q49 E64 H64 K64 N64 Q64 E79 H79 K79 N79 Q79 E94 H94 K94 N94 Q94">
      <formula1>'Exercise Selection'!$G$3:$G$98</formula1>
    </dataValidation>
    <dataValidation type="list" allowBlank="1" sqref="E16 H16 K16 N16 Q16 E31 H31 K31 N31 Q31 E46 H46 K46 N46 Q46 E61 H61 K61 N61 Q61 E76 H76 K76 N76 Q76 E91 H91 K91 N91 Q91">
      <formula1>'Exercise Selection'!$D$3:$D$98</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6" width="14.43"/>
  </cols>
  <sheetData>
    <row r="1" ht="15.75" customHeight="1">
      <c r="A1" s="12"/>
      <c r="B1" s="12"/>
      <c r="C1" s="12"/>
      <c r="D1" s="12"/>
      <c r="E1" s="12"/>
      <c r="F1" s="12"/>
      <c r="G1" s="12"/>
      <c r="H1" s="12"/>
      <c r="I1" s="12"/>
      <c r="J1" s="12"/>
      <c r="K1" s="12"/>
      <c r="L1" s="12"/>
      <c r="M1" s="12"/>
      <c r="N1" s="12"/>
      <c r="O1" s="12"/>
      <c r="P1" s="12"/>
      <c r="Q1" s="12"/>
      <c r="R1" s="12"/>
      <c r="S1" s="12"/>
      <c r="T1" s="12"/>
      <c r="U1" s="12"/>
      <c r="V1" s="12"/>
      <c r="W1" s="12"/>
      <c r="X1" s="12"/>
      <c r="Y1" s="12"/>
      <c r="Z1" s="12"/>
    </row>
    <row r="2" ht="15.75" customHeight="1">
      <c r="A2" s="12"/>
      <c r="B2" s="12"/>
      <c r="C2" s="12"/>
      <c r="D2" s="12"/>
      <c r="E2" s="12"/>
      <c r="F2" s="12"/>
      <c r="G2" s="12"/>
      <c r="H2" s="12"/>
      <c r="I2" s="12"/>
      <c r="J2" s="12"/>
      <c r="K2" s="12"/>
      <c r="L2" s="12"/>
      <c r="M2" s="12"/>
      <c r="N2" s="12"/>
      <c r="O2" s="12"/>
      <c r="P2" s="12"/>
      <c r="Q2" s="12"/>
      <c r="R2" s="12"/>
      <c r="S2" s="12"/>
      <c r="T2" s="12"/>
      <c r="U2" s="12"/>
      <c r="V2" s="12"/>
      <c r="W2" s="12"/>
      <c r="X2" s="12"/>
      <c r="Y2" s="12"/>
      <c r="Z2" s="12"/>
    </row>
    <row r="3" ht="15.75" customHeight="1">
      <c r="A3" s="12"/>
      <c r="B3" s="12"/>
      <c r="C3" s="12"/>
      <c r="D3" s="12"/>
      <c r="E3" s="12"/>
      <c r="F3" s="12"/>
      <c r="G3" s="12"/>
      <c r="H3" s="12"/>
      <c r="I3" s="12"/>
      <c r="J3" s="12"/>
      <c r="K3" s="12"/>
      <c r="L3" s="12"/>
      <c r="M3" s="12"/>
      <c r="N3" s="12"/>
      <c r="O3" s="12"/>
      <c r="P3" s="12"/>
      <c r="Q3" s="12"/>
      <c r="R3" s="12"/>
      <c r="S3" s="12"/>
      <c r="T3" s="12"/>
      <c r="U3" s="12"/>
      <c r="V3" s="12"/>
      <c r="W3" s="12"/>
      <c r="X3" s="12"/>
      <c r="Y3" s="12"/>
      <c r="Z3" s="12"/>
    </row>
    <row r="4" ht="15.75" customHeight="1">
      <c r="A4" s="12"/>
      <c r="B4" s="12"/>
      <c r="C4" s="12"/>
      <c r="D4" s="12"/>
      <c r="E4" s="12"/>
      <c r="F4" s="12"/>
      <c r="G4" s="12"/>
      <c r="H4" s="12"/>
      <c r="I4" s="12"/>
      <c r="J4" s="12"/>
      <c r="K4" s="12"/>
      <c r="L4" s="12"/>
      <c r="M4" s="12"/>
      <c r="N4" s="12"/>
      <c r="O4" s="12"/>
      <c r="P4" s="12"/>
      <c r="Q4" s="12"/>
      <c r="R4" s="12"/>
      <c r="S4" s="12"/>
      <c r="T4" s="12"/>
      <c r="U4" s="12"/>
      <c r="V4" s="12"/>
      <c r="W4" s="12"/>
      <c r="X4" s="12"/>
      <c r="Y4" s="12"/>
      <c r="Z4" s="12"/>
    </row>
    <row r="5" ht="15.75" customHeight="1">
      <c r="A5" s="12"/>
      <c r="B5" s="12"/>
      <c r="C5" s="12"/>
      <c r="D5" s="12"/>
      <c r="E5" s="12"/>
      <c r="F5" s="12"/>
      <c r="G5" s="12"/>
      <c r="H5" s="12"/>
      <c r="I5" s="12"/>
      <c r="J5" s="12"/>
      <c r="K5" s="12"/>
      <c r="L5" s="12"/>
      <c r="M5" s="12"/>
      <c r="N5" s="12"/>
      <c r="O5" s="12"/>
      <c r="P5" s="12"/>
      <c r="Q5" s="12"/>
      <c r="R5" s="12"/>
      <c r="S5" s="12"/>
      <c r="T5" s="12"/>
      <c r="U5" s="12"/>
      <c r="V5" s="12"/>
      <c r="W5" s="12"/>
      <c r="X5" s="12"/>
      <c r="Y5" s="12"/>
      <c r="Z5" s="12"/>
    </row>
    <row r="6" ht="15.75" customHeight="1">
      <c r="A6" s="12"/>
      <c r="B6" s="12"/>
      <c r="C6" s="12"/>
      <c r="D6" s="12"/>
      <c r="E6" s="12"/>
      <c r="F6" s="12"/>
      <c r="G6" s="12"/>
      <c r="H6" s="12"/>
      <c r="I6" s="12"/>
      <c r="J6" s="12"/>
      <c r="K6" s="12"/>
      <c r="L6" s="12"/>
      <c r="M6" s="12"/>
      <c r="N6" s="12"/>
      <c r="O6" s="12"/>
      <c r="P6" s="12"/>
      <c r="Q6" s="12"/>
      <c r="R6" s="12"/>
      <c r="S6" s="12"/>
      <c r="T6" s="12"/>
      <c r="U6" s="12"/>
      <c r="V6" s="12"/>
      <c r="W6" s="12"/>
      <c r="X6" s="12"/>
      <c r="Y6" s="12"/>
      <c r="Z6" s="12"/>
    </row>
    <row r="7" ht="15.75" customHeight="1">
      <c r="A7" s="13" t="s">
        <v>142</v>
      </c>
      <c r="G7" s="12"/>
      <c r="H7" s="12"/>
      <c r="I7" s="12"/>
      <c r="J7" s="12"/>
      <c r="K7" s="12"/>
      <c r="L7" s="12"/>
      <c r="M7" s="12"/>
      <c r="N7" s="12"/>
      <c r="O7" s="12"/>
      <c r="P7" s="12"/>
      <c r="Q7" s="12"/>
      <c r="R7" s="12"/>
      <c r="S7" s="12"/>
      <c r="T7" s="12"/>
      <c r="U7" s="12"/>
      <c r="V7" s="12"/>
      <c r="W7" s="12"/>
      <c r="X7" s="12"/>
      <c r="Y7" s="12"/>
      <c r="Z7" s="12"/>
    </row>
    <row r="8" ht="15.75" customHeight="1">
      <c r="A8" s="13" t="s">
        <v>143</v>
      </c>
      <c r="D8" s="14"/>
      <c r="G8" s="12"/>
      <c r="H8" s="12"/>
      <c r="I8" s="12"/>
      <c r="J8" s="12"/>
      <c r="K8" s="12"/>
      <c r="L8" s="12"/>
      <c r="M8" s="12"/>
      <c r="N8" s="12"/>
      <c r="O8" s="12"/>
      <c r="P8" s="12"/>
      <c r="Q8" s="12"/>
      <c r="R8" s="12"/>
      <c r="S8" s="12"/>
      <c r="T8" s="12"/>
      <c r="U8" s="12"/>
      <c r="V8" s="12"/>
      <c r="W8" s="12"/>
      <c r="X8" s="12"/>
      <c r="Y8" s="12"/>
      <c r="Z8" s="12"/>
    </row>
    <row r="9" ht="15.75" customHeight="1">
      <c r="A9" s="13" t="s">
        <v>144</v>
      </c>
      <c r="D9" s="14"/>
      <c r="G9" s="12"/>
      <c r="H9" s="12"/>
      <c r="I9" s="12"/>
      <c r="J9" s="12"/>
      <c r="K9" s="12"/>
      <c r="L9" s="12"/>
      <c r="M9" s="12"/>
      <c r="N9" s="12"/>
      <c r="O9" s="12"/>
      <c r="P9" s="12"/>
      <c r="Q9" s="12"/>
      <c r="R9" s="12"/>
      <c r="S9" s="12"/>
      <c r="T9" s="12"/>
      <c r="U9" s="12"/>
      <c r="V9" s="12"/>
      <c r="W9" s="12"/>
      <c r="X9" s="12"/>
      <c r="Y9" s="12"/>
      <c r="Z9" s="12"/>
    </row>
    <row r="10" ht="15.75" customHeight="1">
      <c r="A10" s="13" t="s">
        <v>145</v>
      </c>
      <c r="D10" s="14"/>
      <c r="G10" s="12"/>
      <c r="H10" s="12"/>
      <c r="I10" s="12"/>
      <c r="J10" s="12"/>
      <c r="K10" s="12"/>
      <c r="L10" s="12"/>
      <c r="M10" s="12"/>
      <c r="N10" s="12"/>
      <c r="O10" s="12"/>
      <c r="P10" s="12"/>
      <c r="Q10" s="12"/>
      <c r="R10" s="12"/>
      <c r="S10" s="12"/>
      <c r="T10" s="12"/>
      <c r="U10" s="12"/>
      <c r="V10" s="12"/>
      <c r="W10" s="12"/>
      <c r="X10" s="12"/>
      <c r="Y10" s="12"/>
      <c r="Z10" s="12"/>
    </row>
    <row r="11" ht="15.75" customHeight="1">
      <c r="A11" s="13" t="s">
        <v>146</v>
      </c>
      <c r="G11" s="12"/>
      <c r="H11" s="12"/>
      <c r="I11" s="12"/>
      <c r="J11" s="12"/>
      <c r="K11" s="12"/>
      <c r="L11" s="12"/>
      <c r="M11" s="12"/>
      <c r="N11" s="12"/>
      <c r="O11" s="12"/>
      <c r="P11" s="12"/>
      <c r="Q11" s="12"/>
      <c r="R11" s="12"/>
      <c r="S11" s="12"/>
      <c r="T11" s="12"/>
      <c r="U11" s="12"/>
      <c r="V11" s="12"/>
      <c r="W11" s="12"/>
      <c r="X11" s="12"/>
      <c r="Y11" s="12"/>
      <c r="Z11" s="12"/>
    </row>
    <row r="12" ht="15.75" customHeight="1">
      <c r="A12" s="12" t="s">
        <v>147</v>
      </c>
      <c r="G12" s="12"/>
      <c r="H12" s="12"/>
      <c r="I12" s="12"/>
      <c r="J12" s="12"/>
      <c r="K12" s="12"/>
      <c r="L12" s="12"/>
      <c r="M12" s="12"/>
      <c r="N12" s="12"/>
      <c r="O12" s="12"/>
      <c r="P12" s="12"/>
      <c r="Q12" s="12"/>
      <c r="R12" s="12"/>
      <c r="S12" s="12"/>
      <c r="T12" s="12"/>
      <c r="U12" s="12"/>
      <c r="V12" s="12"/>
      <c r="W12" s="12"/>
      <c r="X12" s="12"/>
      <c r="Y12" s="12"/>
      <c r="Z12" s="12"/>
    </row>
    <row r="13" ht="15.75" customHeight="1">
      <c r="A13" s="13" t="s">
        <v>148</v>
      </c>
      <c r="G13" s="12"/>
      <c r="H13" s="12"/>
      <c r="I13" s="12"/>
      <c r="J13" s="12"/>
      <c r="K13" s="12"/>
      <c r="L13" s="12"/>
      <c r="M13" s="12"/>
      <c r="N13" s="12"/>
      <c r="O13" s="12"/>
      <c r="P13" s="12"/>
      <c r="Q13" s="12"/>
      <c r="R13" s="12"/>
      <c r="S13" s="12"/>
      <c r="T13" s="12"/>
      <c r="U13" s="12"/>
      <c r="V13" s="12"/>
      <c r="W13" s="12"/>
      <c r="X13" s="12"/>
      <c r="Y13" s="12"/>
      <c r="Z13" s="12"/>
    </row>
    <row r="14" ht="15.75" customHeight="1">
      <c r="A14" s="13" t="s">
        <v>149</v>
      </c>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ht="15.75" customHeight="1">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row>
    <row r="16" ht="15.75" customHeight="1">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ht="15.75" customHeight="1">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ht="15.75" customHeight="1">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ht="15.75" customHeight="1">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ht="15.75" customHeight="1">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ht="15.75" customHeight="1">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ht="15.75" customHeight="1">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ht="15.75" customHeight="1">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ht="15.75" customHeight="1">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ht="15.75" customHeight="1">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ht="15.75" customHeight="1">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ht="15.75" customHeight="1">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ht="15.75" customHeight="1">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ht="15.75" customHeight="1">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ht="15.75" customHeight="1">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ht="15.75" customHeight="1">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ht="15.75" customHeight="1">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ht="15.75" customHeight="1">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ht="15.75" customHeight="1">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ht="15.75" customHeight="1">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ht="15.75" customHeight="1">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ht="15.75" customHeight="1">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ht="15.75" customHeight="1">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ht="15.75" customHeight="1">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ht="15.75" customHeight="1">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ht="15.75" customHeight="1">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ht="15.75"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ht="15.75" customHeight="1">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ht="15.75" customHeight="1">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ht="15.75" customHeight="1">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ht="15.75" customHeight="1">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ht="15.75" customHeight="1">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ht="15.75" customHeight="1">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ht="15.75" customHeight="1">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ht="15.75" customHeight="1">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ht="15.75" customHeight="1">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ht="15.75" customHeight="1">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ht="15.75" customHeight="1">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ht="15.75" customHeight="1">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ht="15.75" customHeight="1">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ht="15.75" customHeight="1">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ht="15.75" customHeight="1">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ht="15.75" customHeight="1">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ht="15.75" customHeight="1">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ht="15.75" customHeight="1">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ht="15.75" customHeight="1">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ht="15.75" customHeight="1">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ht="15.75" customHeight="1">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ht="15.75" customHeight="1">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ht="15.75" customHeight="1">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ht="15.75" customHeight="1">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ht="15.75" customHeight="1">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ht="15.75" customHeight="1">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ht="15.75" customHeight="1">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ht="15.75" customHeight="1">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ht="15.75" customHeight="1">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ht="15.75" customHeight="1">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ht="15.75" customHeight="1">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ht="15.75" customHeight="1">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ht="15.75" customHeight="1">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ht="15.7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ht="15.7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ht="15.7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ht="15.7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ht="15.7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ht="15.7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ht="15.7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ht="15.7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ht="15.7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ht="15.7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ht="15.7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ht="15.7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ht="15.7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ht="15.7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ht="15.7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ht="15.7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ht="15.7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ht="15.7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ht="15.7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ht="15.7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ht="15.7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ht="15.7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ht="15.7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ht="15.7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ht="15.7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ht="15.7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ht="15.7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ht="15.7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ht="15.7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ht="15.7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ht="15.7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ht="15.7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ht="15.7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ht="15.7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ht="15.7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ht="15.7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ht="15.7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ht="15.7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ht="15.7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ht="15.7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ht="15.7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ht="15.7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ht="15.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ht="15.7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ht="15.7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ht="15.7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ht="15.7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ht="15.7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ht="15.7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ht="15.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ht="15.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ht="15.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ht="15.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ht="15.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ht="15.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ht="15.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ht="15.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ht="15.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ht="15.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ht="15.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ht="15.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ht="15.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ht="15.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ht="15.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ht="15.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ht="15.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ht="15.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ht="15.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ht="15.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ht="15.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ht="15.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ht="15.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ht="15.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ht="15.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ht="15.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ht="15.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ht="15.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ht="15.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ht="15.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ht="15.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ht="15.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ht="15.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ht="15.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ht="15.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ht="15.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ht="15.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ht="15.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ht="15.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ht="15.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ht="15.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ht="15.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ht="15.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ht="15.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ht="15.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ht="15.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ht="15.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ht="15.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ht="15.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ht="15.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ht="15.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ht="15.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ht="15.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ht="15.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ht="15.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ht="15.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ht="15.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ht="15.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ht="15.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ht="15.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ht="15.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ht="15.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ht="15.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ht="15.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ht="15.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ht="15.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ht="15.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ht="15.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ht="15.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ht="15.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ht="15.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ht="15.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ht="15.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ht="15.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ht="15.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ht="15.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ht="15.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ht="15.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ht="15.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ht="15.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ht="15.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ht="15.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ht="15.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ht="15.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ht="15.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ht="15.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ht="15.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ht="15.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ht="15.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ht="15.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ht="15.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ht="15.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ht="15.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ht="15.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ht="15.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ht="15.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ht="15.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ht="15.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ht="15.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ht="15.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ht="15.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ht="15.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ht="15.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ht="15.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ht="15.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ht="15.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ht="15.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ht="15.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ht="15.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ht="15.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ht="15.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ht="15.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ht="15.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ht="15.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ht="15.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ht="15.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ht="15.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ht="15.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ht="15.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ht="15.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ht="15.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ht="15.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ht="15.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ht="15.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ht="15.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ht="15.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ht="15.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ht="15.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ht="15.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ht="15.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ht="15.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ht="15.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ht="15.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ht="15.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ht="15.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ht="15.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ht="15.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ht="15.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ht="15.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ht="15.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ht="15.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ht="15.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ht="15.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ht="15.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ht="15.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ht="15.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ht="15.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ht="15.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ht="15.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ht="15.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ht="15.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ht="15.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ht="15.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ht="15.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ht="15.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ht="15.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ht="15.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ht="15.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ht="15.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ht="15.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ht="15.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ht="15.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ht="15.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ht="15.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ht="15.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ht="15.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ht="15.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ht="15.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ht="15.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ht="15.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ht="15.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ht="15.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ht="15.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ht="15.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ht="15.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ht="15.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ht="15.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ht="15.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ht="15.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ht="15.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ht="15.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ht="15.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ht="15.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ht="15.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ht="15.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ht="15.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ht="15.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ht="15.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ht="15.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ht="15.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ht="15.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ht="15.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ht="15.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ht="15.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ht="15.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ht="15.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ht="15.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ht="15.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dataValidations>
    <dataValidation type="list" allowBlank="1" sqref="D8:D10">
      <formula1>"1RM,3RM,5RM,8RM,3RM RB"</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6" width="14.43"/>
  </cols>
  <sheetData>
    <row r="1" ht="15.75" customHeight="1"/>
    <row r="2" ht="15.75" customHeight="1"/>
    <row r="3" ht="15.75" customHeight="1"/>
    <row r="4" ht="15.75" customHeight="1"/>
    <row r="5" ht="15.75" customHeight="1"/>
    <row r="6" ht="15.75" customHeight="1"/>
    <row r="7" ht="15.75" customHeight="1">
      <c r="B7" s="4"/>
      <c r="C7" s="15" t="s">
        <v>150</v>
      </c>
      <c r="D7" s="15" t="s">
        <v>151</v>
      </c>
    </row>
    <row r="8" ht="15.75" customHeight="1">
      <c r="B8" s="4" t="s">
        <v>152</v>
      </c>
      <c r="C8" s="15">
        <v>350.0</v>
      </c>
      <c r="D8" s="15">
        <v>1.0</v>
      </c>
      <c r="E8" s="16">
        <f t="shared" ref="E8:E10" si="1">MROUND(((C8*36)/(37-D8))*0.9,5)</f>
        <v>315</v>
      </c>
    </row>
    <row r="9" ht="15.75" customHeight="1">
      <c r="B9" s="4" t="s">
        <v>153</v>
      </c>
      <c r="C9" s="15">
        <v>250.0</v>
      </c>
      <c r="D9" s="15">
        <v>1.0</v>
      </c>
      <c r="E9" s="16">
        <f t="shared" si="1"/>
        <v>225</v>
      </c>
    </row>
    <row r="10" ht="15.75" customHeight="1">
      <c r="B10" s="4" t="s">
        <v>112</v>
      </c>
      <c r="C10" s="15">
        <v>450.0</v>
      </c>
      <c r="D10" s="15">
        <v>1.0</v>
      </c>
      <c r="E10" s="16">
        <f t="shared" si="1"/>
        <v>405</v>
      </c>
    </row>
    <row r="11" ht="15.75" customHeight="1"/>
    <row r="12" ht="15.75" customHeight="1">
      <c r="B12" s="2" t="s">
        <v>154</v>
      </c>
      <c r="C12" s="17"/>
      <c r="E12" s="18">
        <v>43078.0</v>
      </c>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14.43"/>
    <col customWidth="1" min="2" max="2" width="31.0"/>
    <col customWidth="1" min="3" max="3" width="32.14"/>
    <col customWidth="1" min="4" max="4" width="32.71"/>
    <col customWidth="1" min="5" max="5" width="29.43"/>
    <col customWidth="1" min="6" max="6" width="32.57"/>
    <col customWidth="1" min="7" max="7" width="26.0"/>
  </cols>
  <sheetData>
    <row r="1" ht="15.75" customHeight="1">
      <c r="A1" s="5"/>
    </row>
    <row r="2" ht="15.75" customHeight="1">
      <c r="B2" s="5" t="s">
        <v>5</v>
      </c>
      <c r="C2" s="5" t="s">
        <v>21</v>
      </c>
      <c r="D2" s="5" t="s">
        <v>33</v>
      </c>
      <c r="E2" s="5" t="s">
        <v>38</v>
      </c>
      <c r="F2" s="5" t="s">
        <v>43</v>
      </c>
      <c r="G2" s="5" t="s">
        <v>48</v>
      </c>
    </row>
    <row r="3" ht="15.75" customHeight="1">
      <c r="B3" s="19" t="s">
        <v>57</v>
      </c>
      <c r="C3" s="19" t="s">
        <v>57</v>
      </c>
      <c r="D3" s="19" t="s">
        <v>57</v>
      </c>
      <c r="E3" s="19" t="s">
        <v>57</v>
      </c>
      <c r="F3" s="19" t="s">
        <v>57</v>
      </c>
      <c r="G3" s="19" t="s">
        <v>57</v>
      </c>
    </row>
    <row r="4" ht="15.75" customHeight="1">
      <c r="B4" s="20" t="s">
        <v>14</v>
      </c>
      <c r="C4" s="20" t="s">
        <v>117</v>
      </c>
      <c r="D4" s="20" t="s">
        <v>155</v>
      </c>
      <c r="E4" s="20" t="s">
        <v>39</v>
      </c>
      <c r="F4" s="20" t="s">
        <v>44</v>
      </c>
      <c r="G4" s="20" t="s">
        <v>49</v>
      </c>
    </row>
    <row r="5" ht="15.75" customHeight="1">
      <c r="B5" s="20" t="s">
        <v>156</v>
      </c>
      <c r="C5" s="20" t="s">
        <v>157</v>
      </c>
      <c r="D5" s="20" t="s">
        <v>35</v>
      </c>
      <c r="E5" s="20" t="s">
        <v>40</v>
      </c>
      <c r="F5" s="20" t="s">
        <v>45</v>
      </c>
      <c r="G5" s="20" t="s">
        <v>50</v>
      </c>
    </row>
    <row r="6" ht="15.75" customHeight="1">
      <c r="B6" s="20" t="s">
        <v>7</v>
      </c>
      <c r="C6" s="20" t="s">
        <v>30</v>
      </c>
      <c r="D6" s="20" t="s">
        <v>36</v>
      </c>
      <c r="E6" s="20" t="s">
        <v>41</v>
      </c>
      <c r="F6" s="20" t="s">
        <v>46</v>
      </c>
      <c r="G6" s="20" t="s">
        <v>51</v>
      </c>
    </row>
    <row r="7" ht="15.75" customHeight="1">
      <c r="B7" s="20" t="s">
        <v>15</v>
      </c>
      <c r="C7" s="20" t="s">
        <v>158</v>
      </c>
      <c r="D7" s="20" t="s">
        <v>37</v>
      </c>
      <c r="E7" s="20" t="s">
        <v>42</v>
      </c>
      <c r="F7" s="20" t="s">
        <v>47</v>
      </c>
      <c r="G7" s="20" t="s">
        <v>52</v>
      </c>
    </row>
    <row r="8" ht="15.75" customHeight="1">
      <c r="B8" s="20" t="s">
        <v>9</v>
      </c>
      <c r="C8" s="20" t="s">
        <v>24</v>
      </c>
      <c r="D8" s="20" t="s">
        <v>68</v>
      </c>
      <c r="E8" s="20" t="s">
        <v>73</v>
      </c>
      <c r="F8" s="20" t="s">
        <v>82</v>
      </c>
      <c r="G8" s="20" t="s">
        <v>85</v>
      </c>
    </row>
    <row r="9" ht="15.75" customHeight="1">
      <c r="B9" s="20" t="s">
        <v>159</v>
      </c>
      <c r="C9" s="20" t="s">
        <v>26</v>
      </c>
      <c r="D9" s="20" t="s">
        <v>70</v>
      </c>
      <c r="E9" s="20" t="s">
        <v>75</v>
      </c>
      <c r="F9" s="20" t="s">
        <v>105</v>
      </c>
      <c r="G9" s="20" t="s">
        <v>87</v>
      </c>
    </row>
    <row r="10" ht="15.75" customHeight="1">
      <c r="B10" s="20" t="s">
        <v>16</v>
      </c>
      <c r="C10" s="20" t="s">
        <v>31</v>
      </c>
      <c r="D10" s="20" t="s">
        <v>100</v>
      </c>
      <c r="E10" s="20" t="s">
        <v>77</v>
      </c>
      <c r="F10" s="20" t="s">
        <v>106</v>
      </c>
      <c r="G10" s="20" t="s">
        <v>89</v>
      </c>
    </row>
    <row r="11" ht="15.75" customHeight="1">
      <c r="B11" s="20" t="s">
        <v>10</v>
      </c>
      <c r="C11" s="20" t="s">
        <v>29</v>
      </c>
      <c r="D11" s="20" t="s">
        <v>101</v>
      </c>
      <c r="E11" s="20" t="s">
        <v>103</v>
      </c>
      <c r="F11" s="20" t="s">
        <v>107</v>
      </c>
      <c r="G11" s="20" t="s">
        <v>108</v>
      </c>
    </row>
    <row r="12" ht="15.75" customHeight="1">
      <c r="B12" s="20" t="s">
        <v>12</v>
      </c>
      <c r="C12" s="20" t="s">
        <v>115</v>
      </c>
      <c r="D12" s="20" t="s">
        <v>102</v>
      </c>
      <c r="E12" s="20" t="s">
        <v>104</v>
      </c>
      <c r="F12" s="20" t="s">
        <v>160</v>
      </c>
      <c r="G12" s="20" t="s">
        <v>109</v>
      </c>
    </row>
    <row r="13" ht="15.75" customHeight="1">
      <c r="B13" s="20" t="s">
        <v>17</v>
      </c>
      <c r="C13" s="20" t="s">
        <v>63</v>
      </c>
      <c r="D13" s="20" t="s">
        <v>119</v>
      </c>
      <c r="E13" s="20" t="s">
        <v>121</v>
      </c>
      <c r="F13" s="20" t="s">
        <v>124</v>
      </c>
      <c r="G13" s="20" t="s">
        <v>161</v>
      </c>
    </row>
    <row r="14" ht="15.75" customHeight="1">
      <c r="B14" s="20" t="s">
        <v>19</v>
      </c>
      <c r="C14" s="20" t="s">
        <v>64</v>
      </c>
      <c r="D14" s="20" t="s">
        <v>162</v>
      </c>
      <c r="E14" s="20" t="s">
        <v>163</v>
      </c>
      <c r="F14" s="20" t="s">
        <v>164</v>
      </c>
      <c r="G14" s="20" t="s">
        <v>126</v>
      </c>
    </row>
    <row r="15" ht="15.75" customHeight="1">
      <c r="B15" s="20" t="s">
        <v>58</v>
      </c>
      <c r="C15" s="20" t="s">
        <v>30</v>
      </c>
      <c r="D15" s="20" t="s">
        <v>165</v>
      </c>
      <c r="E15" s="20" t="s">
        <v>166</v>
      </c>
      <c r="F15" s="20" t="s">
        <v>138</v>
      </c>
      <c r="G15" s="20" t="s">
        <v>127</v>
      </c>
    </row>
    <row r="16" ht="15.75" customHeight="1">
      <c r="B16" s="20" t="s">
        <v>55</v>
      </c>
      <c r="C16" s="20" t="s">
        <v>96</v>
      </c>
      <c r="D16" s="20" t="s">
        <v>135</v>
      </c>
      <c r="E16" s="20" t="s">
        <v>167</v>
      </c>
      <c r="F16" s="20" t="s">
        <v>139</v>
      </c>
      <c r="G16" s="20" t="s">
        <v>125</v>
      </c>
    </row>
    <row r="17" ht="15.75" customHeight="1">
      <c r="B17" s="20" t="s">
        <v>168</v>
      </c>
      <c r="C17" s="20" t="s">
        <v>97</v>
      </c>
      <c r="D17" s="20" t="s">
        <v>169</v>
      </c>
      <c r="E17" s="20" t="s">
        <v>122</v>
      </c>
      <c r="F17" s="20" t="s">
        <v>140</v>
      </c>
    </row>
    <row r="18" ht="15.75" customHeight="1">
      <c r="B18" s="20" t="s">
        <v>59</v>
      </c>
      <c r="C18" s="20" t="s">
        <v>116</v>
      </c>
      <c r="D18" s="20" t="s">
        <v>37</v>
      </c>
      <c r="E18" s="20" t="s">
        <v>136</v>
      </c>
      <c r="F18" s="5" t="s">
        <v>123</v>
      </c>
    </row>
    <row r="19" ht="15.75" customHeight="1">
      <c r="B19" s="20" t="s">
        <v>31</v>
      </c>
      <c r="C19" s="20" t="s">
        <v>170</v>
      </c>
      <c r="D19" s="20" t="s">
        <v>120</v>
      </c>
      <c r="E19" s="20" t="s">
        <v>137</v>
      </c>
    </row>
    <row r="20" ht="15.75" customHeight="1">
      <c r="B20" s="20" t="s">
        <v>62</v>
      </c>
      <c r="C20" s="20" t="s">
        <v>118</v>
      </c>
      <c r="D20" s="20" t="s">
        <v>171</v>
      </c>
    </row>
    <row r="21" ht="15.75" customHeight="1">
      <c r="B21" s="20" t="s">
        <v>91</v>
      </c>
      <c r="C21" s="20" t="s">
        <v>172</v>
      </c>
      <c r="D21" s="20" t="s">
        <v>12</v>
      </c>
    </row>
    <row r="22" ht="15.75" customHeight="1">
      <c r="B22" s="20" t="s">
        <v>112</v>
      </c>
      <c r="C22" s="20" t="s">
        <v>133</v>
      </c>
      <c r="D22" s="20" t="s">
        <v>19</v>
      </c>
    </row>
    <row r="23" ht="15.75" customHeight="1">
      <c r="B23" s="20" t="s">
        <v>173</v>
      </c>
      <c r="C23" s="20" t="s">
        <v>134</v>
      </c>
      <c r="D23" s="5" t="s">
        <v>34</v>
      </c>
    </row>
    <row r="24" ht="15.75" customHeight="1">
      <c r="B24" s="20" t="s">
        <v>111</v>
      </c>
      <c r="C24" s="20" t="s">
        <v>22</v>
      </c>
    </row>
    <row r="25" ht="15.75" customHeight="1">
      <c r="B25" s="20" t="s">
        <v>113</v>
      </c>
      <c r="C25" s="20" t="s">
        <v>174</v>
      </c>
    </row>
    <row r="26" ht="15.75" customHeight="1">
      <c r="B26" s="20" t="s">
        <v>116</v>
      </c>
      <c r="C26" s="20" t="s">
        <v>98</v>
      </c>
    </row>
    <row r="27" ht="15.75" customHeight="1">
      <c r="B27" s="20" t="s">
        <v>115</v>
      </c>
      <c r="C27" s="20" t="s">
        <v>99</v>
      </c>
    </row>
    <row r="28" ht="15.75" customHeight="1">
      <c r="B28" s="20" t="s">
        <v>6</v>
      </c>
      <c r="C28" s="20" t="s">
        <v>114</v>
      </c>
    </row>
    <row r="29" ht="15.75" customHeight="1">
      <c r="B29" s="20" t="s">
        <v>8</v>
      </c>
      <c r="C29" s="5" t="s">
        <v>23</v>
      </c>
    </row>
    <row r="30" ht="15.75" customHeight="1">
      <c r="B30" s="20" t="s">
        <v>61</v>
      </c>
      <c r="C30" s="5" t="s">
        <v>25</v>
      </c>
    </row>
    <row r="31" ht="15.75" customHeight="1">
      <c r="B31" s="20" t="s">
        <v>93</v>
      </c>
      <c r="C31" s="5"/>
    </row>
    <row r="32" ht="15.75" customHeight="1">
      <c r="B32" s="20" t="s">
        <v>175</v>
      </c>
    </row>
    <row r="33" ht="15.75" customHeight="1">
      <c r="B33" s="20" t="s">
        <v>94</v>
      </c>
    </row>
    <row r="34" ht="15.75" customHeight="1">
      <c r="B34" s="20" t="s">
        <v>114</v>
      </c>
    </row>
    <row r="35" ht="15.75" customHeight="1">
      <c r="B35" s="20" t="s">
        <v>95</v>
      </c>
    </row>
    <row r="36" ht="15.75" customHeight="1">
      <c r="B36" s="20" t="s">
        <v>131</v>
      </c>
    </row>
    <row r="37" ht="15.75" customHeight="1">
      <c r="B37" s="20" t="s">
        <v>132</v>
      </c>
    </row>
    <row r="38" ht="15.75" customHeight="1">
      <c r="B38" s="20" t="s">
        <v>54</v>
      </c>
    </row>
    <row r="39" ht="15.75" customHeight="1">
      <c r="B39" s="5" t="s">
        <v>60</v>
      </c>
    </row>
    <row r="40" ht="15.75" customHeight="1">
      <c r="B40" s="5" t="s">
        <v>92</v>
      </c>
    </row>
    <row r="41" ht="15.75" customHeight="1">
      <c r="B41" s="5" t="s">
        <v>129</v>
      </c>
    </row>
    <row r="42" ht="15.75" customHeight="1">
      <c r="B42" s="5" t="s">
        <v>130</v>
      </c>
    </row>
    <row r="43" ht="15.75" customHeight="1">
      <c r="B43" s="5" t="s">
        <v>176</v>
      </c>
    </row>
    <row r="44" ht="15.75" customHeight="1">
      <c r="B44" s="5" t="s">
        <v>56</v>
      </c>
    </row>
    <row r="45" ht="15.75" customHeight="1">
      <c r="B45" s="21" t="s">
        <v>59</v>
      </c>
    </row>
    <row r="46" ht="15.75" customHeight="1">
      <c r="B46" s="5"/>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66"/>
    <pageSetUpPr/>
  </sheetPr>
  <sheetViews>
    <sheetView workbookViewId="0"/>
  </sheetViews>
  <sheetFormatPr customHeight="1" defaultColWidth="14.43" defaultRowHeight="15.0"/>
  <cols>
    <col customWidth="1" hidden="1" min="1" max="1" width="2.0"/>
    <col customWidth="1" min="2" max="2" width="10.29"/>
    <col customWidth="1" hidden="1" min="3" max="3" width="3.57"/>
    <col customWidth="1" min="4" max="4" width="33.0"/>
    <col customWidth="1" min="5" max="5" width="5.0"/>
    <col customWidth="1" min="6" max="6" width="5.57"/>
    <col customWidth="1" min="7" max="7" width="7.0"/>
    <col customWidth="1" min="8" max="8" width="9.29"/>
    <col customWidth="1" min="9" max="10" width="8.29"/>
  </cols>
  <sheetData>
    <row r="1" ht="15.75" customHeight="1"/>
    <row r="2" ht="15.75" customHeight="1"/>
    <row r="3" ht="15.75" customHeight="1"/>
    <row r="4" ht="15.75" customHeight="1"/>
    <row r="5" ht="15.75" customHeight="1"/>
    <row r="6" ht="15.75" customHeight="1"/>
    <row r="7" ht="15.75" customHeight="1"/>
    <row r="8" ht="15.75" customHeight="1"/>
    <row r="9" ht="15.75" customHeight="1">
      <c r="D9" s="22" t="s">
        <v>177</v>
      </c>
      <c r="E9" s="23"/>
      <c r="F9" s="23"/>
      <c r="G9" s="23"/>
      <c r="H9" s="24" t="s">
        <v>1</v>
      </c>
      <c r="I9" s="25">
        <v>1.0</v>
      </c>
    </row>
    <row r="10" ht="15.75" customHeight="1">
      <c r="D10" s="23"/>
      <c r="E10" s="23"/>
      <c r="F10" s="23"/>
      <c r="G10" s="23"/>
      <c r="H10" s="26"/>
      <c r="I10" s="26"/>
    </row>
    <row r="11" ht="15.75" customHeight="1">
      <c r="K11" s="5"/>
    </row>
    <row r="12" ht="15.75" customHeight="1">
      <c r="D12" s="5"/>
    </row>
    <row r="13" ht="15.75" customHeight="1">
      <c r="A13" s="4"/>
      <c r="B13" s="4" t="s">
        <v>178</v>
      </c>
      <c r="C13" s="4" t="s">
        <v>5</v>
      </c>
      <c r="D13" s="27" t="s">
        <v>152</v>
      </c>
      <c r="E13" s="4" t="s">
        <v>179</v>
      </c>
      <c r="F13" s="4" t="s">
        <v>151</v>
      </c>
      <c r="G13" s="28" t="s">
        <v>180</v>
      </c>
      <c r="I13" s="28" t="s">
        <v>181</v>
      </c>
    </row>
    <row r="14" ht="15.75" hidden="1" customHeight="1">
      <c r="A14" s="5"/>
      <c r="B14" s="29">
        <f>'Max Calculator'!$E$12-140</f>
        <v>42938</v>
      </c>
      <c r="C14" s="5" t="s">
        <v>4</v>
      </c>
      <c r="D14" s="14" t="str">
        <f>HLOOKUP($I$9,INDIRECT($D$9),VLOOKUP(C14,'Phase Creator'!$B$8:$C$19,2,FALSE),FALSE)</f>
        <v>Competition Squat</v>
      </c>
      <c r="E14" s="15">
        <v>5.0</v>
      </c>
      <c r="F14" s="15">
        <v>3.0</v>
      </c>
      <c r="G14" s="30">
        <v>0.82</v>
      </c>
      <c r="H14" s="30">
        <v>0.87</v>
      </c>
      <c r="I14" s="14">
        <f>IF(MROUND(IF($D$13="squat",'Max Calculator'!$E$8*G14,IF($D$13="bench",'Max Calculator'!$E$9*G14,IF($D$13="deadlift",'Max Calculator'!$E$10*G14,0))),5)=0," ",MROUND(IF($D$13="squat",'Max Calculator'!$E$8*G14,IF($D$13="bench",'Max Calculator'!$E$9*G14,IF($D$13="deadlift",'Max Calculator'!$E$10*G14,0))),5))</f>
        <v>260</v>
      </c>
      <c r="J14" s="14">
        <f>IF(MROUND(IF($D$13="squat",'Max Calculator'!$E$8*H14,IF($D$13="bench",'Max Calculator'!$E$9*H14,IF($D$13="deadlift",'Max Calculator'!$E$10*H14,0))),5)=0," ",MROUND(IF($D$13="squat",'Max Calculator'!$E$8*H14,IF($D$13="bench",'Max Calculator'!$E$9*H14,IF($D$13="deadlift",'Max Calculator'!$E$10*H14,0))),5))</f>
        <v>275</v>
      </c>
    </row>
    <row r="15" ht="15.75" hidden="1" customHeight="1">
      <c r="A15" s="5"/>
      <c r="B15" s="29">
        <f>'Max Calculator'!$E$12-133</f>
        <v>42945</v>
      </c>
      <c r="C15" s="5" t="s">
        <v>11</v>
      </c>
      <c r="D15" s="14" t="str">
        <f>HLOOKUP($I$9,INDIRECT($D$9),VLOOKUP(C15,'Phase Creator'!$B$8:$C$19,2,FALSE),FALSE)</f>
        <v>Low Bar w/ Chains</v>
      </c>
      <c r="E15" s="15">
        <v>8.0</v>
      </c>
      <c r="F15" s="15">
        <v>2.0</v>
      </c>
      <c r="G15" s="30">
        <v>0.55</v>
      </c>
      <c r="H15" s="30">
        <v>0.65</v>
      </c>
      <c r="I15" s="14">
        <f>IF(MROUND(IF($D$13="squat",'Max Calculator'!$E$8*G15,IF($D$13="bench",'Max Calculator'!$E$9*G15,IF($D$13="deadlift",'Max Calculator'!$E$10*G15,0))),5)=0," ",MROUND(IF($D$13="squat",'Max Calculator'!$E$8*G15,IF($D$13="bench",'Max Calculator'!$E$9*G15,IF($D$13="deadlift",'Max Calculator'!$E$10*G15,0))),5))</f>
        <v>175</v>
      </c>
      <c r="J15" s="14">
        <f>IF(MROUND(IF($D$13="squat",'Max Calculator'!$E$8*H15,IF($D$13="bench",'Max Calculator'!$E$9*H15,IF($D$13="deadlift",'Max Calculator'!$E$10*H15,0))),5)=0," ",MROUND(IF($D$13="squat",'Max Calculator'!$E$8*H15,IF($D$13="bench",'Max Calculator'!$E$9*H15,IF($D$13="deadlift",'Max Calculator'!$E$10*H15,0))),5))</f>
        <v>205</v>
      </c>
    </row>
    <row r="16" ht="15.75" customHeight="1">
      <c r="A16" s="5"/>
      <c r="B16" s="29">
        <f>'Max Calculator'!$E$12-42</f>
        <v>43036</v>
      </c>
      <c r="C16" s="5" t="s">
        <v>13</v>
      </c>
      <c r="D16" s="14" t="str">
        <f>HLOOKUP($I$9,INDIRECT($D$9),VLOOKUP(C16,'Phase Creator'!$B$8:$C$19,2,FALSE),FALSE)</f>
        <v>Low Bar w/ Chains</v>
      </c>
      <c r="E16" s="31" t="s">
        <v>182</v>
      </c>
      <c r="F16" s="31" t="s">
        <v>183</v>
      </c>
      <c r="G16" s="30">
        <v>0.65</v>
      </c>
      <c r="H16" s="30">
        <v>0.8</v>
      </c>
      <c r="I16" s="14">
        <f>IF(MROUND(IF($D$13="squat",'Max Calculator'!$E$8*G16,IF($D$13="bench",'Max Calculator'!$E$9*G16,IF($D$13="deadlift",'Max Calculator'!$E$10*G16,0))),5)=0," ",MROUND(IF($D$13="squat",'Max Calculator'!$E$8*G16,IF($D$13="bench",'Max Calculator'!$E$9*G16,IF($D$13="deadlift",'Max Calculator'!$E$10*G16,0))),5))</f>
        <v>205</v>
      </c>
      <c r="J16" s="14">
        <f>IF(MROUND(IF($D$13="squat",'Max Calculator'!$E$8*H16,IF($D$13="bench",'Max Calculator'!$E$9*H16,IF($D$13="deadlift",'Max Calculator'!$E$10*H16,0))),5)=0," ",MROUND(IF($D$13="squat",'Max Calculator'!$E$8*H16,IF($D$13="bench",'Max Calculator'!$E$9*H16,IF($D$13="deadlift",'Max Calculator'!$E$10*H16,0))),5))</f>
        <v>250</v>
      </c>
    </row>
    <row r="17" ht="15.75" customHeight="1">
      <c r="A17" s="5"/>
      <c r="B17" s="29">
        <f>'Max Calculator'!$E$12-35</f>
        <v>43043</v>
      </c>
      <c r="C17" s="5" t="s">
        <v>18</v>
      </c>
      <c r="D17" s="14" t="str">
        <f>HLOOKUP($I$9,INDIRECT($D$9),VLOOKUP(C17,'Phase Creator'!$B$8:$C$19,2,FALSE),FALSE)</f>
        <v>Competition Squat</v>
      </c>
      <c r="E17" s="15">
        <v>1.0</v>
      </c>
      <c r="F17" s="15" t="s">
        <v>184</v>
      </c>
      <c r="G17" s="30"/>
      <c r="H17" s="30">
        <v>0.93</v>
      </c>
      <c r="I17" s="14" t="str">
        <f>IF(MROUND(IF($D$13="squat",'Max Calculator'!$E$8*G17,IF($D$13="bench",'Max Calculator'!$E$9*G17,IF($D$13="deadlift",'Max Calculator'!$E$10*G17,0))),5)=0," ",MROUND(IF($D$13="squat",'Max Calculator'!$E$8*G17,IF($D$13="bench",'Max Calculator'!$E$9*G17,IF($D$13="deadlift",'Max Calculator'!$E$10*G17,0))),5))</f>
        <v> </v>
      </c>
      <c r="J17" s="14">
        <f>IF(MROUND(IF($D$13="squat",'Max Calculator'!$E$8*H17,IF($D$13="bench",'Max Calculator'!$E$9*H17,IF($D$13="deadlift",'Max Calculator'!$E$10*H17,0))),5)=0," ",MROUND(IF($D$13="squat",'Max Calculator'!$E$8*H17,IF($D$13="bench",'Max Calculator'!$E$9*H17,IF($D$13="deadlift",'Max Calculator'!$E$10*H17,0))),5))</f>
        <v>295</v>
      </c>
    </row>
    <row r="18" ht="15.75" customHeight="1">
      <c r="D18" s="5"/>
    </row>
    <row r="19" ht="15.75" customHeight="1">
      <c r="A19" s="4"/>
      <c r="B19" s="4" t="s">
        <v>178</v>
      </c>
      <c r="C19" s="4" t="s">
        <v>21</v>
      </c>
      <c r="D19" s="32" t="s">
        <v>152</v>
      </c>
      <c r="E19" s="4" t="s">
        <v>179</v>
      </c>
      <c r="F19" s="4" t="s">
        <v>151</v>
      </c>
      <c r="G19" s="4" t="s">
        <v>180</v>
      </c>
      <c r="I19" s="28" t="s">
        <v>181</v>
      </c>
    </row>
    <row r="20" ht="15.75" hidden="1" customHeight="1">
      <c r="A20" s="5"/>
      <c r="B20" s="29">
        <f>'Max Calculator'!$E$12-140</f>
        <v>42938</v>
      </c>
      <c r="C20" s="5" t="s">
        <v>20</v>
      </c>
      <c r="D20" s="14" t="str">
        <f>HLOOKUP($I$9,INDIRECT($D$9),VLOOKUP(C20,'Phase Creator'!$B$8:$C$19,2,FALSE),FALSE)</f>
        <v>Low Bar 3ct Pause Squat</v>
      </c>
      <c r="E20" s="15">
        <v>3.0</v>
      </c>
      <c r="F20" s="15">
        <v>6.0</v>
      </c>
      <c r="G20" s="30"/>
      <c r="H20" s="30">
        <v>0.55</v>
      </c>
      <c r="I20" s="14" t="str">
        <f>IF(MROUND(IF($D$19="squat",'Max Calculator'!$E$8*G20,IF($D$19="bench",'Max Calculator'!$E$9*G20,IF($D$19="deadlift",'Max Calculator'!$E$10*G20,0))),5)=0," ",MROUND(IF($D$19="squat",'Max Calculator'!$E$8*G20,IF($D$19="bench",'Max Calculator'!$E$9*G20,IF($D$19="deadlift",'Max Calculator'!$E$10*G20,0))),5))</f>
        <v> </v>
      </c>
      <c r="J20" s="14">
        <f>IF(MROUND(IF($D$19="squat",'Max Calculator'!$E$8*H20,IF($D$19="bench",'Max Calculator'!$E$9*H20,IF($D$19="deadlift",'Max Calculator'!$E$10*H20,0))),5)=0," ",MROUND(IF($D$19="squat",'Max Calculator'!$E$8*H20,IF($D$19="bench",'Max Calculator'!$E$9*H20,IF($D$19="deadlift",'Max Calculator'!$E$10*H20,0))),5))</f>
        <v>175</v>
      </c>
    </row>
    <row r="21" ht="15.75" hidden="1" customHeight="1">
      <c r="A21" s="5"/>
      <c r="B21" s="29">
        <f>'Max Calculator'!$E$12-133</f>
        <v>42945</v>
      </c>
      <c r="C21" s="5" t="s">
        <v>27</v>
      </c>
      <c r="D21" s="14" t="str">
        <f>HLOOKUP($I$9,INDIRECT($D$9),VLOOKUP(C21,'Phase Creator'!$B$8:$C$19,2,FALSE),FALSE)</f>
        <v>Low Bar 3ct Pause Squat</v>
      </c>
      <c r="E21" s="15">
        <v>2.0</v>
      </c>
      <c r="F21" s="15">
        <v>8.0</v>
      </c>
      <c r="G21" s="30"/>
      <c r="H21" s="30">
        <v>0.5</v>
      </c>
      <c r="I21" s="14" t="str">
        <f>IF(MROUND(IF($D$19="squat",'Max Calculator'!$E$8*G21,IF($D$19="bench",'Max Calculator'!$E$9*G21,IF($D$19="deadlift",'Max Calculator'!$E$10*G21,0))),5)=0," ",MROUND(IF($D$19="squat",'Max Calculator'!$E$8*G21,IF($D$19="bench",'Max Calculator'!$E$9*G21,IF($D$19="deadlift",'Max Calculator'!$E$10*G21,0))),5))</f>
        <v> </v>
      </c>
      <c r="J21" s="14">
        <f>IF(MROUND(IF($D$19="squat",'Max Calculator'!$E$8*H21,IF($D$19="bench",'Max Calculator'!$E$9*H21,IF($D$19="deadlift",'Max Calculator'!$E$10*H21,0))),5)=0," ",MROUND(IF($D$19="squat",'Max Calculator'!$E$8*H21,IF($D$19="bench",'Max Calculator'!$E$9*H21,IF($D$19="deadlift",'Max Calculator'!$E$10*H21,0))),5))</f>
        <v>160</v>
      </c>
    </row>
    <row r="22" ht="15.75" customHeight="1">
      <c r="A22" s="5"/>
      <c r="B22" s="29">
        <f>'Max Calculator'!$E$12-42</f>
        <v>43036</v>
      </c>
      <c r="C22" s="5" t="s">
        <v>28</v>
      </c>
      <c r="D22" s="14" t="str">
        <f>HLOOKUP($I$9,INDIRECT($D$9),VLOOKUP(C22,'Phase Creator'!$B$8:$C$19,2,FALSE),FALSE)</f>
        <v>Low Bar 3ct Pause Squat</v>
      </c>
      <c r="E22" s="15">
        <v>4.0</v>
      </c>
      <c r="F22" s="15">
        <v>5.0</v>
      </c>
      <c r="G22" s="15"/>
      <c r="H22" s="30">
        <v>0.6</v>
      </c>
      <c r="I22" s="14" t="str">
        <f>IF(MROUND(IF($D$19="squat",'Max Calculator'!$E$8*G22,IF($D$19="bench",'Max Calculator'!$E$9*G22,IF($D$19="deadlift",'Max Calculator'!$E$10*G22,0))),5)=0," ",MROUND(IF($D$19="squat",'Max Calculator'!$E$8*G22,IF($D$19="bench",'Max Calculator'!$E$9*G22,IF($D$19="deadlift",'Max Calculator'!$E$10*G22,0))),5))</f>
        <v> </v>
      </c>
      <c r="J22" s="14">
        <f>IF(MROUND(IF($D$19="squat",'Max Calculator'!$E$8*H22,IF($D$19="bench",'Max Calculator'!$E$9*H22,IF($D$19="deadlift",'Max Calculator'!$E$10*H22,0))),5)=0," ",MROUND(IF($D$19="squat",'Max Calculator'!$E$8*H22,IF($D$19="bench",'Max Calculator'!$E$9*H22,IF($D$19="deadlift",'Max Calculator'!$E$10*H22,0))),5))</f>
        <v>190</v>
      </c>
    </row>
    <row r="23" ht="15.75" customHeight="1">
      <c r="A23" s="5"/>
      <c r="B23" s="29">
        <f>'Max Calculator'!$E$12-35</f>
        <v>43043</v>
      </c>
      <c r="C23" s="5" t="s">
        <v>32</v>
      </c>
      <c r="D23" s="14" t="str">
        <f>HLOOKUP($I$9,INDIRECT($D$9),VLOOKUP(C23,'Phase Creator'!$B$8:$C$19,2,FALSE),FALSE)</f>
        <v>Low Bar 3ct Pause Squat</v>
      </c>
      <c r="E23" s="15">
        <v>2.0</v>
      </c>
      <c r="F23" s="15">
        <v>5.0</v>
      </c>
      <c r="G23" s="30"/>
      <c r="H23" s="30">
        <v>0.55</v>
      </c>
      <c r="I23" s="14" t="str">
        <f>IF(MROUND(IF($D$19="squat",'Max Calculator'!$E$8*G23,IF($D$19="bench",'Max Calculator'!$E$9*G23,IF($D$19="deadlift",'Max Calculator'!$E$10*G23,0))),5)=0," ",MROUND(IF($D$19="squat",'Max Calculator'!$E$8*G23,IF($D$19="bench",'Max Calculator'!$E$9*G23,IF($D$19="deadlift",'Max Calculator'!$E$10*G23,0))),5))</f>
        <v> </v>
      </c>
      <c r="J23" s="14">
        <f>IF(MROUND(IF($D$19="squat",'Max Calculator'!$E$8*H23,IF($D$19="bench",'Max Calculator'!$E$9*H23,IF($D$19="deadlift",'Max Calculator'!$E$10*H23,0))),5)=0," ",MROUND(IF($D$19="squat",'Max Calculator'!$E$8*H23,IF($D$19="bench",'Max Calculator'!$E$9*H23,IF($D$19="deadlift",'Max Calculator'!$E$10*H23,0))),5))</f>
        <v>175</v>
      </c>
    </row>
    <row r="24" ht="15.75" customHeight="1"/>
    <row r="25" ht="15.75" customHeight="1">
      <c r="A25" s="4"/>
      <c r="B25" s="4" t="s">
        <v>178</v>
      </c>
      <c r="C25" s="4" t="s">
        <v>33</v>
      </c>
      <c r="D25" s="32" t="s">
        <v>185</v>
      </c>
      <c r="E25" s="4" t="s">
        <v>179</v>
      </c>
      <c r="F25" s="4" t="s">
        <v>151</v>
      </c>
      <c r="G25" s="4" t="s">
        <v>180</v>
      </c>
      <c r="I25" s="28" t="s">
        <v>181</v>
      </c>
    </row>
    <row r="26" ht="15.75" hidden="1" customHeight="1">
      <c r="A26" s="5"/>
      <c r="B26" s="29">
        <f>'Max Calculator'!$E$12-140</f>
        <v>42938</v>
      </c>
      <c r="C26" s="5" t="s">
        <v>33</v>
      </c>
      <c r="D26" s="14" t="str">
        <f>HLOOKUP($I$9,INDIRECT($D$9),VLOOKUP(C26,'Phase Creator'!$B$8:$C$19,2,FALSE),FALSE)</f>
        <v>SB Pike</v>
      </c>
      <c r="E26" s="15">
        <v>3.0</v>
      </c>
      <c r="F26" s="15">
        <v>6.0</v>
      </c>
      <c r="G26" s="30"/>
      <c r="H26" s="30"/>
      <c r="I26" s="14" t="str">
        <f>IF(MROUND(IF(D25="squat",'Max Calculator'!$E$8*G26,IF(D25="bench",'Max Calculator'!$E$9*G26,IF(D25="deadlift",'Max Calculator'!$E$10*G26,0))),5)=0," ",MROUND(IF(D25="squat",'Max Calculator'!$E$8*G26,IF(D25="bench",'Max Calculator'!$E$9*G26,IF(D25="deadlift",'Max Calculator'!$E$10*G26,0))),5))</f>
        <v> </v>
      </c>
      <c r="J26" s="14" t="str">
        <f>IF(MROUND(IF(D25="squat",'Max Calculator'!$E$8*H26,IF(D25="bench",'Max Calculator'!$E$9*H26,IF(D25="deadlift",'Max Calculator'!$E$10*H26,0))),5)=0," ",MROUND(IF(D25="squat",'Max Calculator'!$E$8*H26,IF(D25="bench",'Max Calculator'!$E$9*H26,IF(D25="deadlift",'Max Calculator'!$E$10*H26,0))),5))</f>
        <v> </v>
      </c>
    </row>
    <row r="27" ht="15.75" hidden="1" customHeight="1">
      <c r="A27" s="5"/>
      <c r="B27" s="29">
        <f>'Max Calculator'!$E$12-133</f>
        <v>42945</v>
      </c>
      <c r="C27" s="5" t="s">
        <v>33</v>
      </c>
      <c r="D27" s="14" t="str">
        <f>HLOOKUP($I$9,INDIRECT($D$9),VLOOKUP(C27,'Phase Creator'!$B$8:$C$19,2,FALSE),FALSE)</f>
        <v>SB Pike</v>
      </c>
      <c r="E27" s="15">
        <v>2.0</v>
      </c>
      <c r="F27" s="15">
        <v>8.0</v>
      </c>
      <c r="G27" s="30"/>
      <c r="H27" s="30"/>
      <c r="I27" s="14" t="str">
        <f>IF(MROUND(IF(D25="squat",'Max Calculator'!$E$8*G27,IF(D25="bench",'Max Calculator'!$E$9*G27,IF(D25="deadlift",'Max Calculator'!$E$10*G27,0))),5)=0," ",MROUND(IF(D25="squat",'Max Calculator'!$E$8*G27,IF(D25="bench",'Max Calculator'!$E$9*G27,IF(D25="deadlift",'Max Calculator'!$E$10*G27,0))),5))</f>
        <v> </v>
      </c>
      <c r="J27" s="14" t="str">
        <f>IF(MROUND(IF(D25="squat",'Max Calculator'!$E$8*H27,IF(D25="bench",'Max Calculator'!$E$9*H27,IF(D25="deadlift",'Max Calculator'!$E$10*H27,0))),5)=0," ",MROUND(IF(D25="squat",'Max Calculator'!$E$8*H27,IF(D25="bench",'Max Calculator'!$E$9*H27,IF(D25="deadlift",'Max Calculator'!$E$10*H27,0))),5))</f>
        <v> </v>
      </c>
    </row>
    <row r="28" ht="15.75" customHeight="1">
      <c r="A28" s="5"/>
      <c r="B28" s="29">
        <f>'Max Calculator'!$E$12-42</f>
        <v>43036</v>
      </c>
      <c r="C28" s="5" t="s">
        <v>33</v>
      </c>
      <c r="D28" s="14" t="str">
        <f>HLOOKUP($I$9,INDIRECT($D$9),VLOOKUP(C28,'Phase Creator'!$B$8:$C$19,2,FALSE),FALSE)</f>
        <v>SB Pike</v>
      </c>
      <c r="E28" s="15">
        <v>4.0</v>
      </c>
      <c r="F28" s="15">
        <v>5.0</v>
      </c>
      <c r="G28" s="30"/>
      <c r="H28" s="30"/>
      <c r="I28" s="14" t="str">
        <f>IF(MROUND(IF(D25="squat",'Max Calculator'!$E$8*G28,IF(D25="bench",'Max Calculator'!$E$9*G28,IF(D25="deadlift",'Max Calculator'!$E$10*G28,0))),5)=0," ",MROUND(IF(D25="squat",'Max Calculator'!$E$8*G28,IF(D25="bench",'Max Calculator'!$E$9*G28,IF(D25="deadlift",'Max Calculator'!$E$10*G28,0))),5))</f>
        <v> </v>
      </c>
      <c r="J28" s="14" t="str">
        <f>IF(MROUND(IF(D25="squat",'Max Calculator'!$E$8*H28,IF(D25="bench",'Max Calculator'!$E$9*H28,IF(D25="deadlift",'Max Calculator'!$E$10*H28,0))),5)=0," ",MROUND(IF(D25="squat",'Max Calculator'!$E$8*H28,IF(D25="bench",'Max Calculator'!$E$9*H28,IF(D25="deadlift",'Max Calculator'!$E$10*H28,0))),5))</f>
        <v> </v>
      </c>
    </row>
    <row r="29" ht="15.75" customHeight="1">
      <c r="A29" s="5"/>
      <c r="B29" s="29">
        <f>'Max Calculator'!$E$12-35</f>
        <v>43043</v>
      </c>
      <c r="C29" s="5" t="s">
        <v>33</v>
      </c>
      <c r="D29" s="14" t="str">
        <f>HLOOKUP($I$9,INDIRECT($D$9),VLOOKUP(C29,'Phase Creator'!$B$8:$C$19,2,FALSE),FALSE)</f>
        <v>SB Pike</v>
      </c>
      <c r="E29" s="15">
        <v>1.0</v>
      </c>
      <c r="F29" s="15">
        <v>10.0</v>
      </c>
      <c r="G29" s="30"/>
      <c r="H29" s="30"/>
      <c r="I29" s="14" t="str">
        <f>IF(MROUND(IF(D25="squat",'Max Calculator'!$E$8*G29,IF(D25="bench",'Max Calculator'!$E$9*G29,IF(D25="deadlift",'Max Calculator'!$E$10*G29,0))),5)=0," ",MROUND(IF(D25="squat",'Max Calculator'!$E$8*G29,IF(D25="bench",'Max Calculator'!$E$9*G29,IF(D25="deadlift",'Max Calculator'!$E$10*G29,0))),5))</f>
        <v> </v>
      </c>
      <c r="J29" s="14" t="str">
        <f>IF(MROUND(IF(D25="squat",'Max Calculator'!$E$8*H29,IF(D25="bench",'Max Calculator'!$E$9*H29,IF(D25="deadlift",'Max Calculator'!$E$10*H29,0))),5)=0," ",MROUND(IF(D25="squat",'Max Calculator'!$E$8*H29,IF(D25="bench",'Max Calculator'!$E$9*H29,IF(D25="deadlift",'Max Calculator'!$E$10*H29,0))),5))</f>
        <v> </v>
      </c>
    </row>
    <row r="30" ht="15.75" customHeight="1"/>
    <row r="31" ht="15.75" customHeight="1">
      <c r="A31" s="4"/>
      <c r="B31" s="4" t="s">
        <v>178</v>
      </c>
      <c r="C31" s="4" t="s">
        <v>38</v>
      </c>
      <c r="D31" s="32" t="s">
        <v>185</v>
      </c>
      <c r="E31" s="4" t="s">
        <v>179</v>
      </c>
      <c r="F31" s="4" t="s">
        <v>151</v>
      </c>
      <c r="G31" s="4" t="s">
        <v>180</v>
      </c>
      <c r="I31" s="28" t="s">
        <v>181</v>
      </c>
    </row>
    <row r="32" ht="15.75" hidden="1" customHeight="1">
      <c r="A32" s="5"/>
      <c r="B32" s="29">
        <f>'Max Calculator'!$E$12-140</f>
        <v>42938</v>
      </c>
      <c r="C32" s="5" t="s">
        <v>38</v>
      </c>
      <c r="D32" s="14" t="str">
        <f>HLOOKUP($I$9,INDIRECT($D$9),VLOOKUP(C32,'Phase Creator'!$B$8:$C$19,2,FALSE),FALSE)</f>
        <v>GHR or Back Extension</v>
      </c>
      <c r="E32" s="15">
        <v>3.0</v>
      </c>
      <c r="F32" s="15">
        <v>15.0</v>
      </c>
      <c r="G32" s="30"/>
      <c r="H32" s="30"/>
      <c r="I32" s="14" t="str">
        <f>IF(MROUND(IF(D31="squat",'Max Calculator'!$E$8*G32,IF(D31="bench",'Max Calculator'!$E$9*G32,IF(D31="deadlift",'Max Calculator'!$E$10*G32,0))),5)=0," ",MROUND(IF(D31="squat",'Max Calculator'!$E$8*G32,IF(D31="bench",'Max Calculator'!$E$9*G32,IF(D31="deadlift",'Max Calculator'!$E$10*G32,0))),5))</f>
        <v> </v>
      </c>
      <c r="J32" s="14" t="str">
        <f>IF(MROUND(IF(D31="squat",'Max Calculator'!$E$8*H32,IF(D31="bench",'Max Calculator'!$E$9*H32,IF(D31="deadlift",'Max Calculator'!$E$10*H32,0))),5)=0," ",MROUND(IF(D31="squat",'Max Calculator'!$E$8*H32,IF(D31="bench",'Max Calculator'!$E$9*H32,IF(D31="deadlift",'Max Calculator'!$E$10*H32,0))),5))</f>
        <v> </v>
      </c>
    </row>
    <row r="33" ht="15.75" hidden="1" customHeight="1">
      <c r="A33" s="5"/>
      <c r="B33" s="29">
        <f>'Max Calculator'!$E$12-133</f>
        <v>42945</v>
      </c>
      <c r="C33" s="5" t="s">
        <v>38</v>
      </c>
      <c r="D33" s="14" t="str">
        <f>HLOOKUP($I$9,INDIRECT($D$9),VLOOKUP(C33,'Phase Creator'!$B$8:$C$19,2,FALSE),FALSE)</f>
        <v>GHR or Back Extension</v>
      </c>
      <c r="E33" s="15">
        <v>2.0</v>
      </c>
      <c r="F33" s="15">
        <v>20.0</v>
      </c>
      <c r="G33" s="30"/>
      <c r="H33" s="30"/>
      <c r="I33" s="14" t="str">
        <f>IF(MROUND(IF(D31="squat",'Max Calculator'!$E$8*G33,IF(D31="bench",'Max Calculator'!$E$9*G33,IF(D31="deadlift",'Max Calculator'!$E$10*G33,0))),5)=0," ",MROUND(IF(D31="squat",'Max Calculator'!$E$8*G33,IF(D31="bench",'Max Calculator'!$E$9*G33,IF(D31="deadlift",'Max Calculator'!$E$10*G33,0))),5))</f>
        <v> </v>
      </c>
      <c r="J33" s="14" t="str">
        <f>IF(MROUND(IF(D31="squat",'Max Calculator'!$E$8*H33,IF(D31="bench",'Max Calculator'!$E$9*H33,IF(D31="deadlift",'Max Calculator'!$E$10*H33,0))),5)=0," ",MROUND(IF(D31="squat",'Max Calculator'!$E$8*H33,IF(D31="bench",'Max Calculator'!$E$9*H33,IF(D31="deadlift",'Max Calculator'!$E$10*H33,0))),5))</f>
        <v> </v>
      </c>
    </row>
    <row r="34" ht="15.75" customHeight="1">
      <c r="A34" s="5"/>
      <c r="B34" s="29">
        <f>'Max Calculator'!$E$12-42</f>
        <v>43036</v>
      </c>
      <c r="C34" s="5" t="s">
        <v>38</v>
      </c>
      <c r="D34" s="14" t="str">
        <f>HLOOKUP($I$9,INDIRECT($D$9),VLOOKUP(C34,'Phase Creator'!$B$8:$C$19,2,FALSE),FALSE)</f>
        <v>GHR or Back Extension</v>
      </c>
      <c r="E34" s="15">
        <v>4.0</v>
      </c>
      <c r="F34" s="15">
        <v>12.0</v>
      </c>
      <c r="G34" s="30"/>
      <c r="H34" s="30"/>
      <c r="I34" s="14" t="str">
        <f>IF(MROUND(IF(D31="squat",'Max Calculator'!$E$8*G34,IF(D31="bench",'Max Calculator'!$E$9*G34,IF(D31="deadlift",'Max Calculator'!$E$10*G34,0))),5)=0," ",MROUND(IF(D31="squat",'Max Calculator'!$E$8*G34,IF(D31="bench",'Max Calculator'!$E$9*G34,IF(D31="deadlift",'Max Calculator'!$E$10*G34,0))),5))</f>
        <v> </v>
      </c>
      <c r="J34" s="14" t="str">
        <f>IF(MROUND(IF(D31="squat",'Max Calculator'!$E$8*H34,IF(D31="bench",'Max Calculator'!$E$9*H34,IF(D31="deadlift",'Max Calculator'!$E$10*H34,0))),5)=0," ",MROUND(IF(D31="squat",'Max Calculator'!$E$8*H34,IF(D31="bench",'Max Calculator'!$E$9*H34,IF(D31="deadlift",'Max Calculator'!$E$10*H34,0))),5))</f>
        <v> </v>
      </c>
    </row>
    <row r="35" ht="15.75" customHeight="1">
      <c r="A35" s="5"/>
      <c r="B35" s="29">
        <f>'Max Calculator'!$E$12-35</f>
        <v>43043</v>
      </c>
      <c r="C35" s="5" t="s">
        <v>38</v>
      </c>
      <c r="D35" s="14" t="str">
        <f>HLOOKUP($I$9,INDIRECT($D$9),VLOOKUP(C35,'Phase Creator'!$B$8:$C$19,2,FALSE),FALSE)</f>
        <v>GHR or Back Extension</v>
      </c>
      <c r="E35" s="15">
        <v>1.0</v>
      </c>
      <c r="F35" s="15">
        <v>20.0</v>
      </c>
      <c r="G35" s="30"/>
      <c r="H35" s="30"/>
      <c r="I35" s="14" t="str">
        <f>IF(MROUND(IF(D31="squat",'Max Calculator'!$E$8*G35,IF(D31="bench",'Max Calculator'!$E$9*G35,IF(D31="deadlift",'Max Calculator'!$E$10*G35,0))),5)=0," ",MROUND(IF(D31="squat",'Max Calculator'!$E$8*G35,IF(D31="bench",'Max Calculator'!$E$9*G35,IF(D31="deadlift",'Max Calculator'!$E$10*G35,0))),5))</f>
        <v> </v>
      </c>
      <c r="J35" s="14" t="str">
        <f>IF(MROUND(IF(D31="squat",'Max Calculator'!$E$8*H35,IF(D31="bench",'Max Calculator'!$E$9*H35,IF(D31="deadlift",'Max Calculator'!$E$10*H35,0))),5)=0," ",MROUND(IF(D31="squat",'Max Calculator'!$E$8*H35,IF(D31="bench",'Max Calculator'!$E$9*H35,IF(D31="deadlift",'Max Calculator'!$E$10*H35,0))),5))</f>
        <v> </v>
      </c>
    </row>
    <row r="36" ht="15.75" customHeight="1"/>
    <row r="37" ht="15.75" customHeight="1">
      <c r="A37" s="4"/>
      <c r="B37" s="4" t="s">
        <v>178</v>
      </c>
      <c r="C37" s="4" t="s">
        <v>43</v>
      </c>
      <c r="D37" s="32" t="s">
        <v>185</v>
      </c>
      <c r="E37" s="4" t="s">
        <v>179</v>
      </c>
      <c r="F37" s="4" t="s">
        <v>151</v>
      </c>
      <c r="G37" s="4" t="s">
        <v>180</v>
      </c>
      <c r="I37" s="28" t="s">
        <v>181</v>
      </c>
    </row>
    <row r="38" ht="15.75" hidden="1" customHeight="1">
      <c r="A38" s="5"/>
      <c r="B38" s="29">
        <f>'Max Calculator'!$E$12-140</f>
        <v>42938</v>
      </c>
      <c r="C38" s="5" t="s">
        <v>43</v>
      </c>
      <c r="D38" s="14" t="str">
        <f>HLOOKUP($I$9,INDIRECT($D$9),VLOOKUP(C38,'Phase Creator'!$B$8:$C$19,2,FALSE),FALSE)</f>
        <v>Slingshot Abduction/Hip Abduction</v>
      </c>
      <c r="E38" s="15">
        <v>3.0</v>
      </c>
      <c r="F38" s="15">
        <v>8.0</v>
      </c>
      <c r="G38" s="30"/>
      <c r="H38" s="30"/>
      <c r="I38" s="14" t="str">
        <f>IF(MROUND(IF(D37="squat",'Max Calculator'!$E$8*G38,IF(D37="bench",'Max Calculator'!$E$9*G38,IF(D37="deadlift",'Max Calculator'!$E$10*G38,0))),5)=0," ",MROUND(IF(D37="squat",'Max Calculator'!$E$8*G38,IF(D37="bench",'Max Calculator'!$E$9*G38,IF(D37="deadlift",'Max Calculator'!$E$10*G38,0))),5))</f>
        <v> </v>
      </c>
      <c r="J38" s="14" t="str">
        <f>IF(MROUND(IF(D37="squat",'Max Calculator'!$E$8*H38,IF(D37="bench",'Max Calculator'!$E$9*H38,IF(D37="deadlift",'Max Calculator'!$E$10*H38,0))),5)=0," ",MROUND(IF(D37="squat",'Max Calculator'!$E$8*H38,IF(D37="bench",'Max Calculator'!$E$9*H38,IF(D37="deadlift",'Max Calculator'!$E$10*H38,0))),5))</f>
        <v> </v>
      </c>
    </row>
    <row r="39" ht="15.75" hidden="1" customHeight="1">
      <c r="A39" s="5"/>
      <c r="B39" s="29">
        <f>'Max Calculator'!$E$12-133</f>
        <v>42945</v>
      </c>
      <c r="C39" s="5" t="s">
        <v>43</v>
      </c>
      <c r="D39" s="14" t="str">
        <f>HLOOKUP($I$9,INDIRECT($D$9),VLOOKUP(C39,'Phase Creator'!$B$8:$C$19,2,FALSE),FALSE)</f>
        <v>Slingshot Abduction/Hip Abduction</v>
      </c>
      <c r="E39" s="15">
        <v>2.0</v>
      </c>
      <c r="F39" s="15">
        <v>12.0</v>
      </c>
      <c r="G39" s="30"/>
      <c r="H39" s="30"/>
      <c r="I39" s="14" t="str">
        <f>IF(MROUND(IF(D37="squat",'Max Calculator'!$E$8*G39,IF(D37="bench",'Max Calculator'!$E$9*G39,IF(D37="deadlift",'Max Calculator'!$E$10*G39,0))),5)=0," ",MROUND(IF(D37="squat",'Max Calculator'!$E$8*G39,IF(D37="bench",'Max Calculator'!$E$9*G39,IF(D37="deadlift",'Max Calculator'!$E$10*G39,0))),5))</f>
        <v> </v>
      </c>
      <c r="J39" s="14" t="str">
        <f>IF(MROUND(IF(D37="squat",'Max Calculator'!$E$8*H39,IF(D37="bench",'Max Calculator'!$E$9*H39,IF(D37="deadlift",'Max Calculator'!$E$10*H39,0))),5)=0," ",MROUND(IF(D37="squat",'Max Calculator'!$E$8*H39,IF(D37="bench",'Max Calculator'!$E$9*H39,IF(D37="deadlift",'Max Calculator'!$E$10*H39,0))),5))</f>
        <v> </v>
      </c>
    </row>
    <row r="40" ht="15.75" customHeight="1">
      <c r="A40" s="5"/>
      <c r="B40" s="29">
        <f>'Max Calculator'!$E$12-42</f>
        <v>43036</v>
      </c>
      <c r="C40" s="5" t="s">
        <v>43</v>
      </c>
      <c r="D40" s="14" t="str">
        <f>HLOOKUP($I$9,INDIRECT($D$9),VLOOKUP(C40,'Phase Creator'!$B$8:$C$19,2,FALSE),FALSE)</f>
        <v>Slingshot Abduction/Hip Abduction</v>
      </c>
      <c r="E40" s="15">
        <v>4.0</v>
      </c>
      <c r="F40" s="15">
        <v>10.0</v>
      </c>
      <c r="G40" s="30"/>
      <c r="H40" s="30"/>
      <c r="I40" s="14" t="str">
        <f>IF(MROUND(IF(D37="squat",'Max Calculator'!$E$8*G40,IF(D37="bench",'Max Calculator'!$E$9*G40,IF(D37="deadlift",'Max Calculator'!$E$10*G40,0))),5)=0," ",MROUND(IF(D37="squat",'Max Calculator'!$E$8*G40,IF(D37="bench",'Max Calculator'!$E$9*G40,IF(D37="deadlift",'Max Calculator'!$E$10*G40,0))),5))</f>
        <v> </v>
      </c>
      <c r="J40" s="14" t="str">
        <f>IF(MROUND(IF(D37="squat",'Max Calculator'!$E$8*H40,IF(D37="bench",'Max Calculator'!$E$9*H40,IF(D37="deadlift",'Max Calculator'!$E$10*H40,0))),5)=0," ",MROUND(IF(D37="squat",'Max Calculator'!$E$8*H40,IF(D37="bench",'Max Calculator'!$E$9*H40,IF(D37="deadlift",'Max Calculator'!$E$10*H40,0))),5))</f>
        <v> </v>
      </c>
    </row>
    <row r="41" ht="15.75" customHeight="1">
      <c r="A41" s="5"/>
      <c r="B41" s="29">
        <f>'Max Calculator'!$E$12-35</f>
        <v>43043</v>
      </c>
      <c r="C41" s="5" t="s">
        <v>43</v>
      </c>
      <c r="D41" s="14" t="str">
        <f>HLOOKUP($I$9,INDIRECT($D$9),VLOOKUP(C41,'Phase Creator'!$B$8:$C$19,2,FALSE),FALSE)</f>
        <v>Slingshot Abduction/Hip Abduction</v>
      </c>
      <c r="E41" s="15">
        <v>1.0</v>
      </c>
      <c r="F41" s="15">
        <v>15.0</v>
      </c>
      <c r="G41" s="30"/>
      <c r="H41" s="30"/>
      <c r="I41" s="14" t="str">
        <f>IF(MROUND(IF(D37="squat",'Max Calculator'!$E$8*G41,IF(D37="bench",'Max Calculator'!$E$9*G41,IF(D37="deadlift",'Max Calculator'!$E$10*G41,0))),5)=0," ",MROUND(IF(D37="squat",'Max Calculator'!$E$8*G41,IF(D37="bench",'Max Calculator'!$E$9*G41,IF(D37="deadlift",'Max Calculator'!$E$10*G41,0))),5))</f>
        <v> </v>
      </c>
      <c r="J41" s="14" t="str">
        <f>IF(MROUND(IF(D37="squat",'Max Calculator'!$E$8*H41,IF(D37="bench",'Max Calculator'!$E$9*H41,IF(D37="deadlift",'Max Calculator'!$E$10*H41,0))),5)=0," ",MROUND(IF(D37="squat",'Max Calculator'!$E$8*H41,IF(D37="bench",'Max Calculator'!$E$9*H41,IF(D37="deadlift",'Max Calculator'!$E$10*H41,0))),5))</f>
        <v> </v>
      </c>
    </row>
    <row r="42" ht="15.75" customHeight="1"/>
    <row r="43" ht="15.75" customHeight="1">
      <c r="A43" s="4"/>
      <c r="B43" s="4" t="s">
        <v>178</v>
      </c>
      <c r="C43" s="4" t="s">
        <v>48</v>
      </c>
      <c r="D43" s="32" t="s">
        <v>185</v>
      </c>
      <c r="E43" s="4" t="s">
        <v>179</v>
      </c>
      <c r="F43" s="4" t="s">
        <v>151</v>
      </c>
      <c r="G43" s="4" t="s">
        <v>180</v>
      </c>
      <c r="I43" s="28" t="s">
        <v>181</v>
      </c>
    </row>
    <row r="44" ht="15.75" hidden="1" customHeight="1">
      <c r="A44" s="5"/>
      <c r="B44" s="29">
        <f>'Max Calculator'!$E$12-140</f>
        <v>42938</v>
      </c>
      <c r="C44" s="5" t="s">
        <v>48</v>
      </c>
      <c r="D44" s="14" t="str">
        <f>HLOOKUP($I$9,INDIRECT($D$9),VLOOKUP(C44,'Phase Creator'!$B$8:$C$19,2,FALSE),FALSE)</f>
        <v>Cable/TRX Holds</v>
      </c>
      <c r="E44" s="15">
        <v>3.0</v>
      </c>
      <c r="F44" s="15">
        <v>25.0</v>
      </c>
      <c r="G44" s="30"/>
      <c r="H44" s="30"/>
      <c r="I44" s="14" t="str">
        <f>IF(MROUND(IF(D43="squat",'Max Calculator'!$E$8*G44,IF(D43="bench",'Max Calculator'!$E$9*G44,IF(D43="deadlift",'Max Calculator'!$E$10*G44,0))),5)=0," ",MROUND(IF(D43="squat",'Max Calculator'!$E$8*G44,IF(D43="bench",'Max Calculator'!$E$9*G44,IF(D43="deadlift",'Max Calculator'!$E$10*G44,0))),5))</f>
        <v> </v>
      </c>
      <c r="J44" s="14" t="str">
        <f>IF(MROUND(IF(D43="squat",'Max Calculator'!$E$8*H44,IF(D43="bench",'Max Calculator'!$E$9*H44,IF(D43="deadlift",'Max Calculator'!$E$10*H44,0))),5)=0," ",MROUND(IF(D43="squat",'Max Calculator'!$E$8*H44,IF(D43="bench",'Max Calculator'!$E$9*H44,IF(D43="deadlift",'Max Calculator'!$E$10*H44,0))),5))</f>
        <v> </v>
      </c>
    </row>
    <row r="45" ht="15.75" hidden="1" customHeight="1">
      <c r="A45" s="5"/>
      <c r="B45" s="29">
        <f>'Max Calculator'!$E$12-133</f>
        <v>42945</v>
      </c>
      <c r="C45" s="5" t="s">
        <v>48</v>
      </c>
      <c r="D45" s="14" t="str">
        <f>HLOOKUP($I$9,INDIRECT($D$9),VLOOKUP(C45,'Phase Creator'!$B$8:$C$19,2,FALSE),FALSE)</f>
        <v>Cable/TRX Holds</v>
      </c>
      <c r="E45" s="15">
        <v>2.0</v>
      </c>
      <c r="F45" s="15">
        <v>30.0</v>
      </c>
      <c r="G45" s="30"/>
      <c r="H45" s="30"/>
      <c r="I45" s="14" t="str">
        <f>IF(MROUND(IF(D43="squat",'Max Calculator'!$E$8*G45,IF(D43="bench",'Max Calculator'!$E$9*G45,IF(D43="deadlift",'Max Calculator'!$E$10*G45,0))),5)=0," ",MROUND(IF(D43="squat",'Max Calculator'!$E$8*G45,IF(D43="bench",'Max Calculator'!$E$9*G45,IF(D43="deadlift",'Max Calculator'!$E$10*G45,0))),5))</f>
        <v> </v>
      </c>
      <c r="J45" s="14" t="str">
        <f>IF(MROUND(IF(D43="squat",'Max Calculator'!$E$8*H45,IF(D43="bench",'Max Calculator'!$E$9*H45,IF(D43="deadlift",'Max Calculator'!$E$10*H45,0))),5)=0," ",MROUND(IF(D43="squat",'Max Calculator'!$E$8*H45,IF(D43="bench",'Max Calculator'!$E$9*H45,IF(D43="deadlift",'Max Calculator'!$E$10*H45,0))),5))</f>
        <v> </v>
      </c>
    </row>
    <row r="46" ht="15.75" customHeight="1">
      <c r="A46" s="5"/>
      <c r="B46" s="29">
        <f>'Max Calculator'!$E$12-42</f>
        <v>43036</v>
      </c>
      <c r="C46" s="5" t="s">
        <v>48</v>
      </c>
      <c r="D46" s="14" t="str">
        <f>HLOOKUP($I$9,INDIRECT($D$9),VLOOKUP(C46,'Phase Creator'!$B$8:$C$19,2,FALSE),FALSE)</f>
        <v>Cable/TRX Holds</v>
      </c>
      <c r="E46" s="15">
        <v>4.0</v>
      </c>
      <c r="F46" s="15">
        <v>20.0</v>
      </c>
      <c r="G46" s="30"/>
      <c r="H46" s="30"/>
      <c r="I46" s="14" t="str">
        <f>IF(MROUND(IF(D43="squat",'Max Calculator'!$E$8*G46,IF(D43="bench",'Max Calculator'!$E$9*G46,IF(D43="deadlift",'Max Calculator'!$E$10*G46,0))),5)=0," ",MROUND(IF(D43="squat",'Max Calculator'!$E$8*G46,IF(D43="bench",'Max Calculator'!$E$9*G46,IF(D43="deadlift",'Max Calculator'!$E$10*G46,0))),5))</f>
        <v> </v>
      </c>
      <c r="J46" s="14" t="str">
        <f>IF(MROUND(IF(D43="squat",'Max Calculator'!$E$8*H46,IF(D43="bench",'Max Calculator'!$E$9*H46,IF(D43="deadlift",'Max Calculator'!$E$10*H46,0))),5)=0," ",MROUND(IF(D43="squat",'Max Calculator'!$E$8*H46,IF(D43="bench",'Max Calculator'!$E$9*H46,IF(D43="deadlift",'Max Calculator'!$E$10*H46,0))),5))</f>
        <v> </v>
      </c>
    </row>
    <row r="47" ht="15.75" customHeight="1">
      <c r="A47" s="5"/>
      <c r="B47" s="29">
        <f>'Max Calculator'!$E$12-35</f>
        <v>43043</v>
      </c>
      <c r="C47" s="5" t="s">
        <v>48</v>
      </c>
      <c r="D47" s="14" t="str">
        <f>HLOOKUP($I$9,INDIRECT($D$9),VLOOKUP(C47,'Phase Creator'!$B$8:$C$19,2,FALSE),FALSE)</f>
        <v>Cable/TRX Holds</v>
      </c>
      <c r="E47" s="15">
        <v>1.0</v>
      </c>
      <c r="F47" s="15">
        <v>35.0</v>
      </c>
      <c r="G47" s="30"/>
      <c r="H47" s="30"/>
      <c r="I47" s="14" t="str">
        <f>IF(MROUND(IF(D43="squat",'Max Calculator'!$E$8*G47,IF(D43="bench",'Max Calculator'!$E$9*G47,IF(D43="deadlift",'Max Calculator'!$E$10*G47,0))),5)=0," ",MROUND(IF(D43="squat",'Max Calculator'!$E$8*G47,IF(D43="bench",'Max Calculator'!$E$9*G47,IF(D43="deadlift",'Max Calculator'!$E$10*G47,0))),5))</f>
        <v> </v>
      </c>
      <c r="J47" s="14" t="str">
        <f>IF(MROUND(IF(D43="squat",'Max Calculator'!$E$8*H47,IF(D43="bench",'Max Calculator'!$E$9*H47,IF(D43="deadlift",'Max Calculator'!$E$10*H47,0))),5)=0," ",MROUND(IF(D43="squat",'Max Calculator'!$E$8*H47,IF(D43="bench",'Max Calculator'!$E$9*H47,IF(D43="deadlift",'Max Calculator'!$E$10*H47,0))),5))</f>
        <v> </v>
      </c>
    </row>
    <row r="48" ht="15.75" customHeight="1"/>
    <row r="49" ht="15.75" customHeight="1"/>
    <row r="50" ht="15.75" customHeight="1"/>
    <row r="51" ht="15.75" customHeight="1"/>
    <row r="52" ht="15.75" customHeight="1"/>
    <row r="53" ht="15.75" customHeight="1"/>
    <row r="54" ht="15.75" customHeight="1"/>
    <row r="55" ht="15.75" customHeight="1"/>
    <row r="56" ht="15.75" customHeight="1">
      <c r="D56" s="33" t="str">
        <f>D9</f>
        <v>PrePeaking</v>
      </c>
      <c r="E56" s="23"/>
      <c r="F56" s="23"/>
      <c r="G56" s="23"/>
      <c r="H56" s="24" t="s">
        <v>1</v>
      </c>
      <c r="I56" s="25">
        <v>2.0</v>
      </c>
    </row>
    <row r="57" ht="15.75" customHeight="1">
      <c r="D57" s="23"/>
      <c r="E57" s="23"/>
      <c r="F57" s="23"/>
      <c r="G57" s="23"/>
      <c r="H57" s="26"/>
      <c r="I57" s="26"/>
    </row>
    <row r="58" ht="15.75" customHeight="1">
      <c r="K58" s="5"/>
    </row>
    <row r="59" ht="15.75" customHeight="1">
      <c r="D59" s="5"/>
    </row>
    <row r="60" ht="15.75" customHeight="1">
      <c r="A60" s="4"/>
      <c r="B60" s="4" t="s">
        <v>178</v>
      </c>
      <c r="C60" s="4" t="s">
        <v>5</v>
      </c>
      <c r="D60" s="32" t="s">
        <v>153</v>
      </c>
      <c r="E60" s="4" t="s">
        <v>179</v>
      </c>
      <c r="F60" s="4" t="s">
        <v>151</v>
      </c>
      <c r="G60" s="28" t="s">
        <v>180</v>
      </c>
      <c r="I60" s="28" t="s">
        <v>181</v>
      </c>
    </row>
    <row r="61" ht="15.75" hidden="1" customHeight="1">
      <c r="A61" s="5"/>
      <c r="B61" s="29">
        <f>'Max Calculator'!$E$12-140</f>
        <v>42938</v>
      </c>
      <c r="C61" s="5" t="s">
        <v>4</v>
      </c>
      <c r="D61" s="14" t="str">
        <f>HLOOKUP($I$56,INDIRECT($D$9),VLOOKUP(C61,'Phase Creator'!$B$8:$C$19,2,FALSE),FALSE)</f>
        <v>Bench Press 3ct Pause</v>
      </c>
      <c r="E61" s="15">
        <v>5.0</v>
      </c>
      <c r="F61" s="15">
        <v>3.0</v>
      </c>
      <c r="G61" s="30">
        <v>0.82</v>
      </c>
      <c r="H61" s="30">
        <v>0.87</v>
      </c>
      <c r="I61" s="14">
        <f>IF(MROUND(IF(D60="squat",'Max Calculator'!$E$8*G61,IF(D60="bench",'Max Calculator'!$E$9*G61,IF(D60="deadlift",'Max Calculator'!$E$10*G61,0))),5)=0," ",MROUND(IF(D60="squat",'Max Calculator'!$E$8*G61,IF(D60="bench",'Max Calculator'!$E$9*G61,IF(D60="deadlift",'Max Calculator'!$E$10*G61,0))),5))</f>
        <v>185</v>
      </c>
      <c r="J61" s="14">
        <f>IF(MROUND(IF(D60="squat",'Max Calculator'!$E$8*H61,IF(D60="bench",'Max Calculator'!$E$9*H61,IF(D60="deadlift",'Max Calculator'!$E$10*H61,0))),5)=0," ",MROUND(IF(D60="squat",'Max Calculator'!$E$8*H61,IF(D60="bench",'Max Calculator'!$E$9*H61,IF(D60="deadlift",'Max Calculator'!$E$10*H61,0))),5))</f>
        <v>195</v>
      </c>
    </row>
    <row r="62" ht="15.75" hidden="1" customHeight="1">
      <c r="A62" s="5"/>
      <c r="B62" s="29">
        <f>'Max Calculator'!$E$12-133</f>
        <v>42945</v>
      </c>
      <c r="C62" s="5" t="s">
        <v>11</v>
      </c>
      <c r="D62" s="14" t="str">
        <f>HLOOKUP($I$56,INDIRECT($D$9),VLOOKUP(C62,'Phase Creator'!$B$8:$C$19,2,FALSE),FALSE)</f>
        <v>Bench w/ Chains</v>
      </c>
      <c r="E62" s="15">
        <v>8.0</v>
      </c>
      <c r="F62" s="15">
        <v>3.0</v>
      </c>
      <c r="G62" s="30">
        <v>0.55</v>
      </c>
      <c r="H62" s="30">
        <v>0.6</v>
      </c>
      <c r="I62" s="14">
        <f>IF(MROUND(IF(D60="squat",'Max Calculator'!$E$8*G62,IF(D60="bench",'Max Calculator'!$E$9*G62,IF(D60="deadlift",'Max Calculator'!$E$10*G62,0))),5)=0," ",MROUND(IF(D60="squat",'Max Calculator'!$E$8*G62,IF(D60="bench",'Max Calculator'!$E$9*G62,IF(D60="deadlift",'Max Calculator'!$E$10*G62,0))),5))</f>
        <v>125</v>
      </c>
      <c r="J62" s="14">
        <f>IF(MROUND(IF(D60="squat",'Max Calculator'!$E$8*H62,IF(D60="bench",'Max Calculator'!$E$9*H62,IF(D60="deadlift",'Max Calculator'!$E$10*H62,0))),5)=0," ",MROUND(IF(D60="squat",'Max Calculator'!$E$8*H62,IF(D60="bench",'Max Calculator'!$E$9*H62,IF(D60="deadlift",'Max Calculator'!$E$10*H62,0))),5))</f>
        <v>135</v>
      </c>
    </row>
    <row r="63" ht="15.75" customHeight="1">
      <c r="A63" s="5"/>
      <c r="B63" s="29">
        <f>'Max Calculator'!$E$12-42</f>
        <v>43036</v>
      </c>
      <c r="C63" s="5" t="s">
        <v>13</v>
      </c>
      <c r="D63" s="14" t="str">
        <f>HLOOKUP($I$56,INDIRECT($D$9),VLOOKUP(C63,'Phase Creator'!$B$8:$C$19,2,FALSE),FALSE)</f>
        <v>Bench w/ Chains</v>
      </c>
      <c r="E63" s="31" t="s">
        <v>182</v>
      </c>
      <c r="F63" s="31" t="s">
        <v>183</v>
      </c>
      <c r="G63" s="30">
        <v>0.65</v>
      </c>
      <c r="H63" s="30">
        <v>0.8</v>
      </c>
      <c r="I63" s="14">
        <f>IF(MROUND(IF(D60="squat",'Max Calculator'!$E$8*G63,IF(D60="bench",'Max Calculator'!$E$9*G63,IF(D60="deadlift",'Max Calculator'!$E$10*G63,0))),5)=0," ",MROUND(IF(D60="squat",'Max Calculator'!$E$8*G63,IF(D60="bench",'Max Calculator'!$E$9*G63,IF(D60="deadlift",'Max Calculator'!$E$10*G63,0))),5))</f>
        <v>145</v>
      </c>
      <c r="J63" s="14">
        <f>IF(MROUND(IF(D60="squat",'Max Calculator'!$E$8*H63,IF(D60="bench",'Max Calculator'!$E$9*H63,IF(D60="deadlift",'Max Calculator'!$E$10*H63,0))),5)=0," ",MROUND(IF(D60="squat",'Max Calculator'!$E$8*H63,IF(D60="bench",'Max Calculator'!$E$9*H63,IF(D60="deadlift",'Max Calculator'!$E$10*H63,0))),5))</f>
        <v>180</v>
      </c>
    </row>
    <row r="64" ht="15.75" customHeight="1">
      <c r="A64" s="5"/>
      <c r="B64" s="29">
        <f>'Max Calculator'!$E$12-35</f>
        <v>43043</v>
      </c>
      <c r="C64" s="5" t="s">
        <v>18</v>
      </c>
      <c r="D64" s="14" t="str">
        <f>HLOOKUP($I$56,INDIRECT($D$9),VLOOKUP(C64,'Phase Creator'!$B$8:$C$19,2,FALSE),FALSE)</f>
        <v>Competition Bench Press</v>
      </c>
      <c r="E64" s="15">
        <v>1.0</v>
      </c>
      <c r="F64" s="15" t="s">
        <v>184</v>
      </c>
      <c r="G64" s="30"/>
      <c r="H64" s="30">
        <v>0.93</v>
      </c>
      <c r="I64" s="14" t="str">
        <f>IF(MROUND(IF(D60="squat",'Max Calculator'!$E$8*G64,IF(D60="bench",'Max Calculator'!$E$9*G64,IF(D60="deadlift",'Max Calculator'!$E$10*G64,0))),5)=0," ",MROUND(IF(D60="squat",'Max Calculator'!$E$8*G64,IF(D60="bench",'Max Calculator'!$E$9*G64,IF(D60="deadlift",'Max Calculator'!$E$10*G64,0))),5))</f>
        <v> </v>
      </c>
      <c r="J64" s="14">
        <f>IF(MROUND(IF(D60="squat",'Max Calculator'!$E$8*H64,IF(D60="bench",'Max Calculator'!$E$9*H64,IF(D60="deadlift",'Max Calculator'!$E$10*H64,0))),5)=0," ",MROUND(IF(D60="squat",'Max Calculator'!$E$8*H64,IF(D60="bench",'Max Calculator'!$E$9*H64,IF(D60="deadlift",'Max Calculator'!$E$10*H64,0))),5))</f>
        <v>210</v>
      </c>
    </row>
    <row r="65" ht="15.75" customHeight="1">
      <c r="D65" s="5"/>
    </row>
    <row r="66" ht="15.75" customHeight="1">
      <c r="A66" s="4"/>
      <c r="B66" s="4" t="s">
        <v>178</v>
      </c>
      <c r="C66" s="4" t="s">
        <v>21</v>
      </c>
      <c r="D66" s="32" t="s">
        <v>153</v>
      </c>
      <c r="E66" s="4" t="s">
        <v>179</v>
      </c>
      <c r="F66" s="4" t="s">
        <v>151</v>
      </c>
      <c r="G66" s="4" t="s">
        <v>180</v>
      </c>
      <c r="I66" s="28" t="s">
        <v>181</v>
      </c>
    </row>
    <row r="67" ht="15.75" hidden="1" customHeight="1">
      <c r="A67" s="5"/>
      <c r="B67" s="29">
        <f>'Max Calculator'!$E$12-140</f>
        <v>42938</v>
      </c>
      <c r="C67" s="5" t="s">
        <v>20</v>
      </c>
      <c r="D67" s="14" t="str">
        <f>HLOOKUP($I$56,INDIRECT($D$9),VLOOKUP(C67,'Phase Creator'!$B$8:$C$19,2,FALSE),FALSE)</f>
        <v>3ct Pause Close Grip Bench</v>
      </c>
      <c r="E67" s="15">
        <v>3.0</v>
      </c>
      <c r="F67" s="15">
        <v>6.0</v>
      </c>
      <c r="G67" s="30"/>
      <c r="H67" s="30">
        <v>0.55</v>
      </c>
      <c r="I67" s="14" t="str">
        <f>IF(MROUND(IF(D66="squat",'Max Calculator'!$E$8*G67,IF(D66="bench",'Max Calculator'!$E$9*G67,IF(D66="deadlift",'Max Calculator'!$E$10*G67,0))),5)=0," ",MROUND(IF(D66="squat",'Max Calculator'!$E$8*G67,IF(D66="bench",'Max Calculator'!$E$9*G67,IF(D66="deadlift",'Max Calculator'!$E$10*G67,0))),5))</f>
        <v> </v>
      </c>
      <c r="J67" s="14">
        <f>IF(MROUND(IF(D66="squat",'Max Calculator'!$E$8*H67,IF(D66="bench",'Max Calculator'!$E$9*H67,IF(D66="deadlift",'Max Calculator'!$E$10*H67,0))),5)=0," ",MROUND(IF(D66="squat",'Max Calculator'!$E$8*H67,IF(D66="bench",'Max Calculator'!$E$9*H67,IF(D66="deadlift",'Max Calculator'!$E$10*H67,0))),5))</f>
        <v>125</v>
      </c>
    </row>
    <row r="68" ht="15.75" hidden="1" customHeight="1">
      <c r="A68" s="5"/>
      <c r="B68" s="29">
        <f>'Max Calculator'!$E$12-133</f>
        <v>42945</v>
      </c>
      <c r="C68" s="5" t="s">
        <v>27</v>
      </c>
      <c r="D68" s="14" t="str">
        <f>HLOOKUP($I$56,INDIRECT($D$9),VLOOKUP(C68,'Phase Creator'!$B$8:$C$19,2,FALSE),FALSE)</f>
        <v>3ct Pause Close Grip Bench</v>
      </c>
      <c r="E68" s="15">
        <v>2.0</v>
      </c>
      <c r="F68" s="15">
        <v>8.0</v>
      </c>
      <c r="G68" s="30"/>
      <c r="H68" s="30">
        <v>0.6</v>
      </c>
      <c r="I68" s="14" t="str">
        <f>IF(MROUND(IF(D66="squat",'Max Calculator'!$E$8*G68,IF(D66="bench",'Max Calculator'!$E$9*G68,IF(D66="deadlift",'Max Calculator'!$E$10*G68,0))),5)=0," ",MROUND(IF(D66="squat",'Max Calculator'!$E$8*G68,IF(D66="bench",'Max Calculator'!$E$9*G68,IF(D66="deadlift",'Max Calculator'!$E$10*G68,0))),5))</f>
        <v> </v>
      </c>
      <c r="J68" s="14">
        <f>IF(MROUND(IF(D66="squat",'Max Calculator'!$E$8*H68,IF(D66="bench",'Max Calculator'!$E$9*H68,IF(D66="deadlift",'Max Calculator'!$E$10*H68,0))),5)=0," ",MROUND(IF(D66="squat",'Max Calculator'!$E$8*H68,IF(D66="bench",'Max Calculator'!$E$9*H68,IF(D66="deadlift",'Max Calculator'!$E$10*H68,0))),5))</f>
        <v>135</v>
      </c>
    </row>
    <row r="69" ht="15.75" customHeight="1">
      <c r="A69" s="5"/>
      <c r="B69" s="29">
        <f>'Max Calculator'!$E$12-42</f>
        <v>43036</v>
      </c>
      <c r="C69" s="5" t="s">
        <v>28</v>
      </c>
      <c r="D69" s="14" t="str">
        <f>HLOOKUP($I$56,INDIRECT($D$9),VLOOKUP(C69,'Phase Creator'!$B$8:$C$19,2,FALSE),FALSE)</f>
        <v>3ct Pause Close Grip Bench</v>
      </c>
      <c r="E69" s="15">
        <v>4.0</v>
      </c>
      <c r="F69" s="15">
        <v>5.0</v>
      </c>
      <c r="G69" s="30">
        <v>0.6</v>
      </c>
      <c r="H69" s="30">
        <v>0.65</v>
      </c>
      <c r="I69" s="14">
        <f>IF(MROUND(IF(D66="squat",'Max Calculator'!$E$8*G69,IF(D66="bench",'Max Calculator'!$E$9*G69,IF(D66="deadlift",'Max Calculator'!$E$10*G69,0))),5)=0," ",MROUND(IF(D66="squat",'Max Calculator'!$E$8*G69,IF(D66="bench",'Max Calculator'!$E$9*G69,IF(D66="deadlift",'Max Calculator'!$E$10*G69,0))),5))</f>
        <v>135</v>
      </c>
      <c r="J69" s="14">
        <f>IF(MROUND(IF(D66="squat",'Max Calculator'!$E$8*H69,IF(D66="bench",'Max Calculator'!$E$9*H69,IF(D66="deadlift",'Max Calculator'!$E$10*H69,0))),5)=0," ",MROUND(IF(D66="squat",'Max Calculator'!$E$8*H69,IF(D66="bench",'Max Calculator'!$E$9*H69,IF(D66="deadlift",'Max Calculator'!$E$10*H69,0))),5))</f>
        <v>145</v>
      </c>
    </row>
    <row r="70" ht="15.75" customHeight="1">
      <c r="A70" s="5"/>
      <c r="B70" s="29">
        <f>'Max Calculator'!$E$12-35</f>
        <v>43043</v>
      </c>
      <c r="C70" s="5" t="s">
        <v>32</v>
      </c>
      <c r="D70" s="14" t="str">
        <f>HLOOKUP($I$56,INDIRECT($D$9),VLOOKUP(C70,'Phase Creator'!$B$8:$C$19,2,FALSE),FALSE)</f>
        <v>3ct Pause Close Grip Bench</v>
      </c>
      <c r="E70" s="15">
        <v>2.0</v>
      </c>
      <c r="F70" s="15">
        <v>8.0</v>
      </c>
      <c r="G70" s="30"/>
      <c r="H70" s="30">
        <v>0.55</v>
      </c>
      <c r="I70" s="14" t="str">
        <f>IF(MROUND(IF(D66="squat",'Max Calculator'!$E$8*G70,IF(D66="bench",'Max Calculator'!$E$9*G70,IF(D66="deadlift",'Max Calculator'!$E$10*G70,0))),5)=0," ",MROUND(IF(D66="squat",'Max Calculator'!$E$8*G70,IF(D66="bench",'Max Calculator'!$E$9*G70,IF(D66="deadlift",'Max Calculator'!$E$10*G70,0))),5))</f>
        <v> </v>
      </c>
      <c r="J70" s="14">
        <f>IF(MROUND(IF(D66="squat",'Max Calculator'!$E$8*H70,IF(D66="bench",'Max Calculator'!$E$9*H70,IF(D66="deadlift",'Max Calculator'!$E$10*H70,0))),5)=0," ",MROUND(IF(D66="squat",'Max Calculator'!$E$8*H70,IF(D66="bench",'Max Calculator'!$E$9*H70,IF(D66="deadlift",'Max Calculator'!$E$10*H70,0))),5))</f>
        <v>125</v>
      </c>
    </row>
    <row r="71" ht="15.75" customHeight="1"/>
    <row r="72" ht="15.75" customHeight="1">
      <c r="A72" s="4"/>
      <c r="B72" s="4" t="s">
        <v>178</v>
      </c>
      <c r="C72" s="4" t="s">
        <v>33</v>
      </c>
      <c r="D72" s="32" t="s">
        <v>185</v>
      </c>
      <c r="E72" s="4" t="s">
        <v>179</v>
      </c>
      <c r="F72" s="4" t="s">
        <v>151</v>
      </c>
      <c r="G72" s="4" t="s">
        <v>180</v>
      </c>
      <c r="I72" s="28" t="s">
        <v>181</v>
      </c>
    </row>
    <row r="73" ht="15.75" hidden="1" customHeight="1">
      <c r="A73" s="5"/>
      <c r="B73" s="29">
        <f>'Max Calculator'!$E$12-140</f>
        <v>42938</v>
      </c>
      <c r="C73" s="5" t="s">
        <v>33</v>
      </c>
      <c r="D73" s="14" t="str">
        <f>HLOOKUP($I$56,INDIRECT($D$9),VLOOKUP(C73,'Phase Creator'!$B$8:$C$19,2,FALSE),FALSE)</f>
        <v>Chest Supported Row</v>
      </c>
      <c r="E73" s="15">
        <v>3.0</v>
      </c>
      <c r="F73" s="15">
        <v>6.0</v>
      </c>
      <c r="G73" s="30"/>
      <c r="H73" s="30"/>
      <c r="I73" s="14" t="str">
        <f>IF(MROUND(IF(D72="squat",'Max Calculator'!$E$8*G73,IF(D72="bench",'Max Calculator'!$E$9*G73,IF(D72="deadlift",'Max Calculator'!$E$10*G73,0))),5)=0," ",MROUND(IF(D72="squat",'Max Calculator'!$E$8*G73,IF(D72="bench",'Max Calculator'!$E$9*G73,IF(D72="deadlift",'Max Calculator'!$E$10*G73,0))),5))</f>
        <v> </v>
      </c>
      <c r="J73" s="14" t="str">
        <f>IF(MROUND(IF(D72="squat",'Max Calculator'!$E$8*H73,IF(D72="bench",'Max Calculator'!$E$9*H73,IF(D72="deadlift",'Max Calculator'!$E$10*H73,0))),5)=0," ",MROUND(IF(D72="squat",'Max Calculator'!$E$8*H73,IF(D72="bench",'Max Calculator'!$E$9*H73,IF(D72="deadlift",'Max Calculator'!$E$10*H73,0))),5))</f>
        <v> </v>
      </c>
    </row>
    <row r="74" ht="15.75" hidden="1" customHeight="1">
      <c r="A74" s="5"/>
      <c r="B74" s="29">
        <f>'Max Calculator'!$E$12-133</f>
        <v>42945</v>
      </c>
      <c r="C74" s="5" t="s">
        <v>33</v>
      </c>
      <c r="D74" s="14" t="str">
        <f>HLOOKUP($I$56,INDIRECT($D$9),VLOOKUP(C74,'Phase Creator'!$B$8:$C$19,2,FALSE),FALSE)</f>
        <v>Chest Supported Row</v>
      </c>
      <c r="E74" s="15">
        <v>2.0</v>
      </c>
      <c r="F74" s="15">
        <v>8.0</v>
      </c>
      <c r="G74" s="30"/>
      <c r="H74" s="30"/>
      <c r="I74" s="14" t="str">
        <f>IF(MROUND(IF(D72="squat",'Max Calculator'!$E$8*G74,IF(D72="bench",'Max Calculator'!$E$9*G74,IF(D72="deadlift",'Max Calculator'!$E$10*G74,0))),5)=0," ",MROUND(IF(D72="squat",'Max Calculator'!$E$8*G74,IF(D72="bench",'Max Calculator'!$E$9*G74,IF(D72="deadlift",'Max Calculator'!$E$10*G74,0))),5))</f>
        <v> </v>
      </c>
      <c r="J74" s="14" t="str">
        <f>IF(MROUND(IF(D72="squat",'Max Calculator'!$E$8*H74,IF(D72="bench",'Max Calculator'!$E$9*H74,IF(D72="deadlift",'Max Calculator'!$E$10*H74,0))),5)=0," ",MROUND(IF(D72="squat",'Max Calculator'!$E$8*H74,IF(D72="bench",'Max Calculator'!$E$9*H74,IF(D72="deadlift",'Max Calculator'!$E$10*H74,0))),5))</f>
        <v> </v>
      </c>
    </row>
    <row r="75" ht="15.75" customHeight="1">
      <c r="A75" s="5"/>
      <c r="B75" s="29">
        <f>'Max Calculator'!$E$12-42</f>
        <v>43036</v>
      </c>
      <c r="C75" s="5" t="s">
        <v>33</v>
      </c>
      <c r="D75" s="14" t="str">
        <f>HLOOKUP($I$56,INDIRECT($D$9),VLOOKUP(C75,'Phase Creator'!$B$8:$C$19,2,FALSE),FALSE)</f>
        <v>Chest Supported Row</v>
      </c>
      <c r="E75" s="15">
        <v>4.0</v>
      </c>
      <c r="F75" s="15">
        <v>5.0</v>
      </c>
      <c r="G75" s="30"/>
      <c r="H75" s="30"/>
      <c r="I75" s="14" t="str">
        <f>IF(MROUND(IF(D72="squat",'Max Calculator'!$E$8*G75,IF(D72="bench",'Max Calculator'!$E$9*G75,IF(D72="deadlift",'Max Calculator'!$E$10*G75,0))),5)=0," ",MROUND(IF(D72="squat",'Max Calculator'!$E$8*G75,IF(D72="bench",'Max Calculator'!$E$9*G75,IF(D72="deadlift",'Max Calculator'!$E$10*G75,0))),5))</f>
        <v> </v>
      </c>
      <c r="J75" s="14" t="str">
        <f>IF(MROUND(IF(D72="squat",'Max Calculator'!$E$8*H75,IF(D72="bench",'Max Calculator'!$E$9*H75,IF(D72="deadlift",'Max Calculator'!$E$10*H75,0))),5)=0," ",MROUND(IF(D72="squat",'Max Calculator'!$E$8*H75,IF(D72="bench",'Max Calculator'!$E$9*H75,IF(D72="deadlift",'Max Calculator'!$E$10*H75,0))),5))</f>
        <v> </v>
      </c>
    </row>
    <row r="76" ht="15.75" customHeight="1">
      <c r="A76" s="5"/>
      <c r="B76" s="29">
        <f>'Max Calculator'!$E$12-35</f>
        <v>43043</v>
      </c>
      <c r="C76" s="5" t="s">
        <v>33</v>
      </c>
      <c r="D76" s="14" t="str">
        <f>HLOOKUP($I$56,INDIRECT($D$9),VLOOKUP(C76,'Phase Creator'!$B$8:$C$19,2,FALSE),FALSE)</f>
        <v>Chest Supported Row</v>
      </c>
      <c r="E76" s="15">
        <v>1.0</v>
      </c>
      <c r="F76" s="15">
        <v>20.0</v>
      </c>
      <c r="G76" s="30"/>
      <c r="H76" s="30"/>
      <c r="I76" s="14" t="str">
        <f>IF(MROUND(IF(D72="squat",'Max Calculator'!$E$8*G76,IF(D72="bench",'Max Calculator'!$E$9*G76,IF(D72="deadlift",'Max Calculator'!$E$10*G76,0))),5)=0," ",MROUND(IF(D72="squat",'Max Calculator'!$E$8*G76,IF(D72="bench",'Max Calculator'!$E$9*G76,IF(D72="deadlift",'Max Calculator'!$E$10*G76,0))),5))</f>
        <v> </v>
      </c>
      <c r="J76" s="14" t="str">
        <f>IF(MROUND(IF(D72="squat",'Max Calculator'!$E$8*H76,IF(D72="bench",'Max Calculator'!$E$9*H76,IF(D72="deadlift",'Max Calculator'!$E$10*H76,0))),5)=0," ",MROUND(IF(D72="squat",'Max Calculator'!$E$8*H76,IF(D72="bench",'Max Calculator'!$E$9*H76,IF(D72="deadlift",'Max Calculator'!$E$10*H76,0))),5))</f>
        <v> </v>
      </c>
    </row>
    <row r="77" ht="15.75" customHeight="1"/>
    <row r="78" ht="15.75" customHeight="1">
      <c r="A78" s="4"/>
      <c r="B78" s="4" t="s">
        <v>178</v>
      </c>
      <c r="C78" s="4" t="s">
        <v>38</v>
      </c>
      <c r="D78" s="32" t="s">
        <v>185</v>
      </c>
      <c r="E78" s="4" t="s">
        <v>179</v>
      </c>
      <c r="F78" s="4" t="s">
        <v>151</v>
      </c>
      <c r="G78" s="4" t="s">
        <v>180</v>
      </c>
      <c r="I78" s="28" t="s">
        <v>181</v>
      </c>
    </row>
    <row r="79" ht="15.75" hidden="1" customHeight="1">
      <c r="A79" s="5"/>
      <c r="B79" s="29">
        <f>'Max Calculator'!$E$12-140</f>
        <v>42938</v>
      </c>
      <c r="C79" s="5" t="s">
        <v>38</v>
      </c>
      <c r="D79" s="14" t="str">
        <f>HLOOKUP($I$56,INDIRECT($D$9),VLOOKUP(C79,'Phase Creator'!$B$8:$C$19,2,FALSE),FALSE)</f>
        <v>DB Overhead Press</v>
      </c>
      <c r="E79" s="15">
        <v>3.0</v>
      </c>
      <c r="F79" s="15">
        <v>8.0</v>
      </c>
      <c r="G79" s="30"/>
      <c r="H79" s="30"/>
      <c r="I79" s="14" t="str">
        <f>IF(MROUND(IF(D78="squat",'Max Calculator'!$E$8*G79,IF(D78="bench",'Max Calculator'!$E$9*G79,IF(D78="deadlift",'Max Calculator'!$E$10*G79,0))),5)=0," ",MROUND(IF(D78="squat",'Max Calculator'!$E$8*G79,IF(D78="bench",'Max Calculator'!$E$9*G79,IF(D78="deadlift",'Max Calculator'!$E$10*G79,0))),5))</f>
        <v> </v>
      </c>
      <c r="J79" s="14" t="str">
        <f>IF(MROUND(IF(D78="squat",'Max Calculator'!$E$8*H79,IF(D78="bench",'Max Calculator'!$E$9*H79,IF(D78="deadlift",'Max Calculator'!$E$10*H79,0))),5)=0," ",MROUND(IF(D78="squat",'Max Calculator'!$E$8*H79,IF(D78="bench",'Max Calculator'!$E$9*H79,IF(D78="deadlift",'Max Calculator'!$E$10*H79,0))),5))</f>
        <v> </v>
      </c>
    </row>
    <row r="80" ht="15.75" hidden="1" customHeight="1">
      <c r="A80" s="5"/>
      <c r="B80" s="29">
        <f>'Max Calculator'!$E$12-133</f>
        <v>42945</v>
      </c>
      <c r="C80" s="5" t="s">
        <v>38</v>
      </c>
      <c r="D80" s="14" t="str">
        <f>HLOOKUP($I$56,INDIRECT($D$9),VLOOKUP(C80,'Phase Creator'!$B$8:$C$19,2,FALSE),FALSE)</f>
        <v>DB Overhead Press</v>
      </c>
      <c r="E80" s="15">
        <v>2.0</v>
      </c>
      <c r="F80" s="15">
        <v>10.0</v>
      </c>
      <c r="G80" s="30"/>
      <c r="H80" s="30"/>
      <c r="I80" s="14" t="str">
        <f>IF(MROUND(IF(D78="squat",'Max Calculator'!$E$8*G80,IF(D78="bench",'Max Calculator'!$E$9*G80,IF(D78="deadlift",'Max Calculator'!$E$10*G80,0))),5)=0," ",MROUND(IF(D78="squat",'Max Calculator'!$E$8*G80,IF(D78="bench",'Max Calculator'!$E$9*G80,IF(D78="deadlift",'Max Calculator'!$E$10*G80,0))),5))</f>
        <v> </v>
      </c>
      <c r="J80" s="14" t="str">
        <f>IF(MROUND(IF(D78="squat",'Max Calculator'!$E$8*H80,IF(D78="bench",'Max Calculator'!$E$9*H80,IF(D78="deadlift",'Max Calculator'!$E$10*H80,0))),5)=0," ",MROUND(IF(D78="squat",'Max Calculator'!$E$8*H80,IF(D78="bench",'Max Calculator'!$E$9*H80,IF(D78="deadlift",'Max Calculator'!$E$10*H80,0))),5))</f>
        <v> </v>
      </c>
    </row>
    <row r="81" ht="15.75" customHeight="1">
      <c r="A81" s="5"/>
      <c r="B81" s="29">
        <f>'Max Calculator'!$E$12-42</f>
        <v>43036</v>
      </c>
      <c r="C81" s="5" t="s">
        <v>38</v>
      </c>
      <c r="D81" s="14" t="str">
        <f>HLOOKUP($I$56,INDIRECT($D$9),VLOOKUP(C81,'Phase Creator'!$B$8:$C$19,2,FALSE),FALSE)</f>
        <v>DB Overhead Press</v>
      </c>
      <c r="E81" s="15">
        <v>4.0</v>
      </c>
      <c r="F81" s="15">
        <v>8.0</v>
      </c>
      <c r="G81" s="30"/>
      <c r="H81" s="30"/>
      <c r="I81" s="14" t="str">
        <f>IF(MROUND(IF(D78="squat",'Max Calculator'!$E$8*G81,IF(D78="bench",'Max Calculator'!$E$9*G81,IF(D78="deadlift",'Max Calculator'!$E$10*G81,0))),5)=0," ",MROUND(IF(D78="squat",'Max Calculator'!$E$8*G81,IF(D78="bench",'Max Calculator'!$E$9*G81,IF(D78="deadlift",'Max Calculator'!$E$10*G81,0))),5))</f>
        <v> </v>
      </c>
      <c r="J81" s="14" t="str">
        <f>IF(MROUND(IF(D78="squat",'Max Calculator'!$E$8*H81,IF(D78="bench",'Max Calculator'!$E$9*H81,IF(D78="deadlift",'Max Calculator'!$E$10*H81,0))),5)=0," ",MROUND(IF(D78="squat",'Max Calculator'!$E$8*H81,IF(D78="bench",'Max Calculator'!$E$9*H81,IF(D78="deadlift",'Max Calculator'!$E$10*H81,0))),5))</f>
        <v> </v>
      </c>
    </row>
    <row r="82" ht="15.75" customHeight="1">
      <c r="A82" s="5"/>
      <c r="B82" s="29">
        <f>'Max Calculator'!$E$12-35</f>
        <v>43043</v>
      </c>
      <c r="C82" s="5" t="s">
        <v>38</v>
      </c>
      <c r="D82" s="14" t="str">
        <f>HLOOKUP($I$56,INDIRECT($D$9),VLOOKUP(C82,'Phase Creator'!$B$8:$C$19,2,FALSE),FALSE)</f>
        <v>DB Overhead Press</v>
      </c>
      <c r="E82" s="15">
        <v>1.0</v>
      </c>
      <c r="F82" s="15">
        <v>12.0</v>
      </c>
      <c r="G82" s="30"/>
      <c r="H82" s="30"/>
      <c r="I82" s="14" t="str">
        <f>IF(MROUND(IF(D78="squat",'Max Calculator'!$E$8*G82,IF(D78="bench",'Max Calculator'!$E$9*G82,IF(D78="deadlift",'Max Calculator'!$E$10*G82,0))),5)=0," ",MROUND(IF(D78="squat",'Max Calculator'!$E$8*G82,IF(D78="bench",'Max Calculator'!$E$9*G82,IF(D78="deadlift",'Max Calculator'!$E$10*G82,0))),5))</f>
        <v> </v>
      </c>
      <c r="J82" s="14" t="str">
        <f>IF(MROUND(IF(D78="squat",'Max Calculator'!$E$8*H82,IF(D78="bench",'Max Calculator'!$E$9*H82,IF(D78="deadlift",'Max Calculator'!$E$10*H82,0))),5)=0," ",MROUND(IF(D78="squat",'Max Calculator'!$E$8*H82,IF(D78="bench",'Max Calculator'!$E$9*H82,IF(D78="deadlift",'Max Calculator'!$E$10*H82,0))),5))</f>
        <v> </v>
      </c>
    </row>
    <row r="83" ht="15.75" customHeight="1"/>
    <row r="84" ht="15.75" customHeight="1">
      <c r="A84" s="4"/>
      <c r="B84" s="4" t="s">
        <v>178</v>
      </c>
      <c r="C84" s="4" t="s">
        <v>43</v>
      </c>
      <c r="D84" s="32" t="s">
        <v>185</v>
      </c>
      <c r="E84" s="4" t="s">
        <v>179</v>
      </c>
      <c r="F84" s="4" t="s">
        <v>151</v>
      </c>
      <c r="G84" s="4" t="s">
        <v>180</v>
      </c>
      <c r="I84" s="28" t="s">
        <v>181</v>
      </c>
    </row>
    <row r="85" ht="15.75" hidden="1" customHeight="1">
      <c r="A85" s="5"/>
      <c r="B85" s="29">
        <f>'Max Calculator'!$E$12-140</f>
        <v>42938</v>
      </c>
      <c r="C85" s="5" t="s">
        <v>43</v>
      </c>
      <c r="D85" s="14" t="str">
        <f>HLOOKUP($I$56,INDIRECT($D$9),VLOOKUP(C85,'Phase Creator'!$B$8:$C$19,2,FALSE),FALSE)</f>
        <v>Seated Bicep Curls Slow Eccentric</v>
      </c>
      <c r="E85" s="15">
        <v>3.0</v>
      </c>
      <c r="F85" s="15">
        <v>12.0</v>
      </c>
      <c r="G85" s="30"/>
      <c r="H85" s="30"/>
      <c r="I85" s="14" t="str">
        <f>IF(MROUND(IF(D84="squat",'Max Calculator'!$E$8*G85,IF(D84="bench",'Max Calculator'!$E$9*G85,IF(D84="deadlift",'Max Calculator'!$E$10*G85,0))),5)=0," ",MROUND(IF(D84="squat",'Max Calculator'!$E$8*G85,IF(D84="bench",'Max Calculator'!$E$9*G85,IF(D84="deadlift",'Max Calculator'!$E$10*G85,0))),5))</f>
        <v> </v>
      </c>
      <c r="J85" s="14" t="str">
        <f>IF(MROUND(IF(D84="squat",'Max Calculator'!$E$8*H85,IF(D84="bench",'Max Calculator'!$E$9*H85,IF(D84="deadlift",'Max Calculator'!$E$10*H85,0))),5)=0," ",MROUND(IF(D84="squat",'Max Calculator'!$E$8*H85,IF(D84="bench",'Max Calculator'!$E$9*H85,IF(D84="deadlift",'Max Calculator'!$E$10*H85,0))),5))</f>
        <v> </v>
      </c>
    </row>
    <row r="86" ht="15.75" hidden="1" customHeight="1">
      <c r="A86" s="5"/>
      <c r="B86" s="29">
        <f>'Max Calculator'!$E$12-133</f>
        <v>42945</v>
      </c>
      <c r="C86" s="5" t="s">
        <v>43</v>
      </c>
      <c r="D86" s="14" t="str">
        <f>HLOOKUP($I$56,INDIRECT($D$9),VLOOKUP(C86,'Phase Creator'!$B$8:$C$19,2,FALSE),FALSE)</f>
        <v>Seated Bicep Curls Slow Eccentric</v>
      </c>
      <c r="E86" s="15">
        <v>2.0</v>
      </c>
      <c r="F86" s="15">
        <v>15.0</v>
      </c>
      <c r="G86" s="30"/>
      <c r="H86" s="30"/>
      <c r="I86" s="14" t="str">
        <f>IF(MROUND(IF(D84="squat",'Max Calculator'!$E$8*G86,IF(D84="bench",'Max Calculator'!$E$9*G86,IF(D84="deadlift",'Max Calculator'!$E$10*G86,0))),5)=0," ",MROUND(IF(D84="squat",'Max Calculator'!$E$8*G86,IF(D84="bench",'Max Calculator'!$E$9*G86,IF(D84="deadlift",'Max Calculator'!$E$10*G86,0))),5))</f>
        <v> </v>
      </c>
      <c r="J86" s="14" t="str">
        <f>IF(MROUND(IF(D84="squat",'Max Calculator'!$E$8*H86,IF(D84="bench",'Max Calculator'!$E$9*H86,IF(D84="deadlift",'Max Calculator'!$E$10*H86,0))),5)=0," ",MROUND(IF(D84="squat",'Max Calculator'!$E$8*H86,IF(D84="bench",'Max Calculator'!$E$9*H86,IF(D84="deadlift",'Max Calculator'!$E$10*H86,0))),5))</f>
        <v> </v>
      </c>
    </row>
    <row r="87" ht="15.75" customHeight="1">
      <c r="A87" s="5"/>
      <c r="B87" s="29">
        <f>'Max Calculator'!$E$12-42</f>
        <v>43036</v>
      </c>
      <c r="C87" s="5" t="s">
        <v>43</v>
      </c>
      <c r="D87" s="14" t="str">
        <f>HLOOKUP($I$56,INDIRECT($D$9),VLOOKUP(C87,'Phase Creator'!$B$8:$C$19,2,FALSE),FALSE)</f>
        <v>Seated Bicep Curls Slow Eccentric</v>
      </c>
      <c r="E87" s="15">
        <v>4.0</v>
      </c>
      <c r="F87" s="15">
        <v>10.0</v>
      </c>
      <c r="G87" s="30"/>
      <c r="H87" s="30"/>
      <c r="I87" s="14" t="str">
        <f>IF(MROUND(IF(D84="squat",'Max Calculator'!$E$8*G87,IF(D84="bench",'Max Calculator'!$E$9*G87,IF(D84="deadlift",'Max Calculator'!$E$10*G87,0))),5)=0," ",MROUND(IF(D84="squat",'Max Calculator'!$E$8*G87,IF(D84="bench",'Max Calculator'!$E$9*G87,IF(D84="deadlift",'Max Calculator'!$E$10*G87,0))),5))</f>
        <v> </v>
      </c>
      <c r="J87" s="14" t="str">
        <f>IF(MROUND(IF(D84="squat",'Max Calculator'!$E$8*H87,IF(D84="bench",'Max Calculator'!$E$9*H87,IF(D84="deadlift",'Max Calculator'!$E$10*H87,0))),5)=0," ",MROUND(IF(D84="squat",'Max Calculator'!$E$8*H87,IF(D84="bench",'Max Calculator'!$E$9*H87,IF(D84="deadlift",'Max Calculator'!$E$10*H87,0))),5))</f>
        <v> </v>
      </c>
    </row>
    <row r="88" ht="15.75" customHeight="1">
      <c r="A88" s="5"/>
      <c r="B88" s="29">
        <f>'Max Calculator'!$E$12-35</f>
        <v>43043</v>
      </c>
      <c r="C88" s="5" t="s">
        <v>43</v>
      </c>
      <c r="D88" s="14" t="str">
        <f>HLOOKUP($I$56,INDIRECT($D$9),VLOOKUP(C88,'Phase Creator'!$B$8:$C$19,2,FALSE),FALSE)</f>
        <v>Seated Bicep Curls Slow Eccentric</v>
      </c>
      <c r="E88" s="15">
        <v>1.0</v>
      </c>
      <c r="F88" s="15">
        <v>20.0</v>
      </c>
      <c r="G88" s="30"/>
      <c r="H88" s="30"/>
      <c r="I88" s="14" t="str">
        <f>IF(MROUND(IF(D84="squat",'Max Calculator'!$E$8*G88,IF(D84="bench",'Max Calculator'!$E$9*G88,IF(D84="deadlift",'Max Calculator'!$E$10*G88,0))),5)=0," ",MROUND(IF(D84="squat",'Max Calculator'!$E$8*G88,IF(D84="bench",'Max Calculator'!$E$9*G88,IF(D84="deadlift",'Max Calculator'!$E$10*G88,0))),5))</f>
        <v> </v>
      </c>
      <c r="J88" s="14" t="str">
        <f>IF(MROUND(IF(D84="squat",'Max Calculator'!$E$8*H88,IF(D84="bench",'Max Calculator'!$E$9*H88,IF(D84="deadlift",'Max Calculator'!$E$10*H88,0))),5)=0," ",MROUND(IF(D84="squat",'Max Calculator'!$E$8*H88,IF(D84="bench",'Max Calculator'!$E$9*H88,IF(D84="deadlift",'Max Calculator'!$E$10*H88,0))),5))</f>
        <v> </v>
      </c>
    </row>
    <row r="89" ht="15.75" customHeight="1"/>
    <row r="90" ht="15.75" customHeight="1">
      <c r="A90" s="4"/>
      <c r="B90" s="4" t="s">
        <v>178</v>
      </c>
      <c r="C90" s="4" t="s">
        <v>48</v>
      </c>
      <c r="D90" s="32" t="s">
        <v>185</v>
      </c>
      <c r="E90" s="4" t="s">
        <v>179</v>
      </c>
      <c r="F90" s="4" t="s">
        <v>151</v>
      </c>
      <c r="G90" s="4" t="s">
        <v>180</v>
      </c>
      <c r="I90" s="28" t="s">
        <v>181</v>
      </c>
    </row>
    <row r="91" ht="15.75" hidden="1" customHeight="1">
      <c r="A91" s="5"/>
      <c r="B91" s="29">
        <f>'Max Calculator'!$E$12-140</f>
        <v>42938</v>
      </c>
      <c r="C91" s="5" t="s">
        <v>48</v>
      </c>
      <c r="D91" s="14" t="str">
        <f>HLOOKUP($I$56,INDIRECT($D$9),VLOOKUP(C91,'Phase Creator'!$B$8:$C$19,2,FALSE),FALSE)</f>
        <v>DB Deadstop triceps</v>
      </c>
      <c r="E91" s="15">
        <v>3.0</v>
      </c>
      <c r="F91" s="15">
        <v>12.0</v>
      </c>
      <c r="G91" s="30"/>
      <c r="H91" s="30"/>
      <c r="I91" s="14" t="str">
        <f>IF(MROUND(IF(D90="squat",'Max Calculator'!$E$8*G91,IF(D90="bench",'Max Calculator'!$E$9*G91,IF(D90="deadlift",'Max Calculator'!$E$10*G91,0))),5)=0," ",MROUND(IF(D90="squat",'Max Calculator'!$E$8*G91,IF(D90="bench",'Max Calculator'!$E$9*G91,IF(D90="deadlift",'Max Calculator'!$E$10*G91,0))),5))</f>
        <v> </v>
      </c>
      <c r="J91" s="14" t="str">
        <f>IF(MROUND(IF(D90="squat",'Max Calculator'!$E$8*H91,IF(D90="bench",'Max Calculator'!$E$9*H91,IF(D90="deadlift",'Max Calculator'!$E$10*H91,0))),5)=0," ",MROUND(IF(D90="squat",'Max Calculator'!$E$8*H91,IF(D90="bench",'Max Calculator'!$E$9*H91,IF(D90="deadlift",'Max Calculator'!$E$10*H91,0))),5))</f>
        <v> </v>
      </c>
    </row>
    <row r="92" ht="15.75" hidden="1" customHeight="1">
      <c r="A92" s="5"/>
      <c r="B92" s="29">
        <f>'Max Calculator'!$E$12-133</f>
        <v>42945</v>
      </c>
      <c r="C92" s="5" t="s">
        <v>48</v>
      </c>
      <c r="D92" s="14" t="str">
        <f>HLOOKUP($I$56,INDIRECT($D$9),VLOOKUP(C92,'Phase Creator'!$B$8:$C$19,2,FALSE),FALSE)</f>
        <v>DB Deadstop triceps</v>
      </c>
      <c r="E92" s="15">
        <v>2.0</v>
      </c>
      <c r="F92" s="15">
        <v>15.0</v>
      </c>
      <c r="G92" s="30"/>
      <c r="H92" s="30"/>
      <c r="I92" s="14" t="str">
        <f>IF(MROUND(IF(D90="squat",'Max Calculator'!$E$8*G92,IF(D90="bench",'Max Calculator'!$E$9*G92,IF(D90="deadlift",'Max Calculator'!$E$10*G92,0))),5)=0," ",MROUND(IF(D90="squat",'Max Calculator'!$E$8*G92,IF(D90="bench",'Max Calculator'!$E$9*G92,IF(D90="deadlift",'Max Calculator'!$E$10*G92,0))),5))</f>
        <v> </v>
      </c>
      <c r="J92" s="14" t="str">
        <f>IF(MROUND(IF(D90="squat",'Max Calculator'!$E$8*H92,IF(D90="bench",'Max Calculator'!$E$9*H92,IF(D90="deadlift",'Max Calculator'!$E$10*H92,0))),5)=0," ",MROUND(IF(D90="squat",'Max Calculator'!$E$8*H92,IF(D90="bench",'Max Calculator'!$E$9*H92,IF(D90="deadlift",'Max Calculator'!$E$10*H92,0))),5))</f>
        <v> </v>
      </c>
    </row>
    <row r="93" ht="15.75" customHeight="1">
      <c r="A93" s="5"/>
      <c r="B93" s="29">
        <f>'Max Calculator'!$E$12-42</f>
        <v>43036</v>
      </c>
      <c r="C93" s="5" t="s">
        <v>48</v>
      </c>
      <c r="D93" s="14" t="str">
        <f>HLOOKUP($I$56,INDIRECT($D$9),VLOOKUP(C93,'Phase Creator'!$B$8:$C$19,2,FALSE),FALSE)</f>
        <v>DB Deadstop triceps</v>
      </c>
      <c r="E93" s="15">
        <v>4.0</v>
      </c>
      <c r="F93" s="15">
        <v>10.0</v>
      </c>
      <c r="G93" s="30"/>
      <c r="H93" s="30"/>
      <c r="I93" s="14" t="str">
        <f>IF(MROUND(IF(D90="squat",'Max Calculator'!$E$8*G93,IF(D90="bench",'Max Calculator'!$E$9*G93,IF(D90="deadlift",'Max Calculator'!$E$10*G93,0))),5)=0," ",MROUND(IF(D90="squat",'Max Calculator'!$E$8*G93,IF(D90="bench",'Max Calculator'!$E$9*G93,IF(D90="deadlift",'Max Calculator'!$E$10*G93,0))),5))</f>
        <v> </v>
      </c>
      <c r="J93" s="14" t="str">
        <f>IF(MROUND(IF(D90="squat",'Max Calculator'!$E$8*H93,IF(D90="bench",'Max Calculator'!$E$9*H93,IF(D90="deadlift",'Max Calculator'!$E$10*H93,0))),5)=0," ",MROUND(IF(D90="squat",'Max Calculator'!$E$8*H93,IF(D90="bench",'Max Calculator'!$E$9*H93,IF(D90="deadlift",'Max Calculator'!$E$10*H93,0))),5))</f>
        <v> </v>
      </c>
    </row>
    <row r="94" ht="15.75" customHeight="1">
      <c r="A94" s="5"/>
      <c r="B94" s="29">
        <f>'Max Calculator'!$E$12-35</f>
        <v>43043</v>
      </c>
      <c r="C94" s="5" t="s">
        <v>48</v>
      </c>
      <c r="D94" s="14" t="str">
        <f>HLOOKUP($I$56,INDIRECT($D$9),VLOOKUP(C94,'Phase Creator'!$B$8:$C$19,2,FALSE),FALSE)</f>
        <v>DB Deadstop triceps</v>
      </c>
      <c r="E94" s="15">
        <v>1.0</v>
      </c>
      <c r="F94" s="15">
        <v>25.0</v>
      </c>
      <c r="G94" s="30"/>
      <c r="H94" s="30"/>
      <c r="I94" s="14" t="str">
        <f>IF(MROUND(IF(D90="squat",'Max Calculator'!$E$8*G94,IF(D90="bench",'Max Calculator'!$E$9*G94,IF(D90="deadlift",'Max Calculator'!$E$10*G94,0))),5)=0," ",MROUND(IF(D90="squat",'Max Calculator'!$E$8*G94,IF(D90="bench",'Max Calculator'!$E$9*G94,IF(D90="deadlift",'Max Calculator'!$E$10*G94,0))),5))</f>
        <v> </v>
      </c>
      <c r="J94" s="14" t="str">
        <f>IF(MROUND(IF(D90="squat",'Max Calculator'!$E$8*H94,IF(D90="bench",'Max Calculator'!$E$9*H94,IF(D90="deadlift",'Max Calculator'!$E$10*H94,0))),5)=0," ",MROUND(IF(D90="squat",'Max Calculator'!$E$8*H94,IF(D90="bench",'Max Calculator'!$E$9*H94,IF(D90="deadlift",'Max Calculator'!$E$10*H94,0))),5))</f>
        <v> </v>
      </c>
    </row>
    <row r="95" ht="15.75" customHeight="1"/>
    <row r="96" ht="15.75" customHeight="1"/>
    <row r="97" ht="15.75" customHeight="1"/>
    <row r="98" ht="15.75" customHeight="1"/>
    <row r="99" ht="15.75" customHeight="1"/>
    <row r="100" ht="15.75" customHeight="1"/>
    <row r="101" ht="15.75" customHeight="1"/>
    <row r="102" ht="15.75" customHeight="1"/>
    <row r="103" ht="15.75" customHeight="1">
      <c r="D103" s="33" t="str">
        <f>D56</f>
        <v>PrePeaking</v>
      </c>
      <c r="E103" s="23"/>
      <c r="F103" s="23"/>
      <c r="G103" s="23"/>
      <c r="H103" s="24" t="s">
        <v>1</v>
      </c>
      <c r="I103" s="25">
        <v>3.0</v>
      </c>
    </row>
    <row r="104" ht="15.75" customHeight="1">
      <c r="D104" s="23"/>
      <c r="E104" s="23"/>
      <c r="F104" s="23"/>
      <c r="G104" s="23"/>
      <c r="H104" s="26"/>
      <c r="I104" s="26"/>
    </row>
    <row r="105" ht="15.75" customHeight="1">
      <c r="K105" s="5"/>
    </row>
    <row r="106" ht="15.75" customHeight="1">
      <c r="D106" s="5"/>
    </row>
    <row r="107" ht="15.75" customHeight="1">
      <c r="A107" s="4"/>
      <c r="B107" s="4" t="s">
        <v>178</v>
      </c>
      <c r="C107" s="4" t="s">
        <v>5</v>
      </c>
      <c r="D107" s="32" t="s">
        <v>112</v>
      </c>
      <c r="E107" s="4" t="s">
        <v>179</v>
      </c>
      <c r="F107" s="4" t="s">
        <v>151</v>
      </c>
      <c r="G107" s="28" t="s">
        <v>180</v>
      </c>
      <c r="I107" s="28" t="s">
        <v>181</v>
      </c>
    </row>
    <row r="108" ht="15.75" hidden="1" customHeight="1">
      <c r="A108" s="5"/>
      <c r="B108" s="29">
        <f>'Max Calculator'!$E$12-140</f>
        <v>42938</v>
      </c>
      <c r="C108" s="5" t="s">
        <v>4</v>
      </c>
      <c r="D108" s="14" t="str">
        <f>HLOOKUP($I$103,INDIRECT($D$9),VLOOKUP(C108,'Phase Creator'!$B$8:$C$19,2,FALSE),FALSE)</f>
        <v>Deadlift</v>
      </c>
      <c r="E108" s="15">
        <v>3.0</v>
      </c>
      <c r="F108" s="15">
        <v>3.0</v>
      </c>
      <c r="G108" s="30">
        <v>0.82</v>
      </c>
      <c r="H108" s="30">
        <v>0.87</v>
      </c>
      <c r="I108" s="14">
        <f>IF(MROUND(IF(D107="squat",'Max Calculator'!$E$8*G108,IF(D107="bench",'Max Calculator'!$E$9*G108,IF(D107="deadlift",'Max Calculator'!$E$10*G108,0))),5)=0," ",MROUND(IF(D107="squat",'Max Calculator'!$E$8*G108,IF(D107="bench",'Max Calculator'!$E$9*G108,IF(D107="deadlift",'Max Calculator'!$E$10*G108,0))),5))</f>
        <v>330</v>
      </c>
      <c r="J108" s="14">
        <f>IF(MROUND(IF(D107="squat",'Max Calculator'!$E$8*H108,IF(D107="bench",'Max Calculator'!$E$9*H108,IF(D107="deadlift",'Max Calculator'!$E$10*H108,0))),5)=0," ",MROUND(IF(D107="squat",'Max Calculator'!$E$8*H108,IF(D107="bench",'Max Calculator'!$E$9*H108,IF(D107="deadlift",'Max Calculator'!$E$10*H108,0))),5))</f>
        <v>350</v>
      </c>
    </row>
    <row r="109" ht="15.75" hidden="1" customHeight="1">
      <c r="A109" s="5"/>
      <c r="B109" s="29">
        <f>'Max Calculator'!$E$12-133</f>
        <v>42945</v>
      </c>
      <c r="C109" s="5" t="s">
        <v>11</v>
      </c>
      <c r="D109" s="14" t="str">
        <f>HLOOKUP($I$103,INDIRECT($D$9),VLOOKUP(C109,'Phase Creator'!$B$8:$C$19,2,FALSE),FALSE)</f>
        <v>DL w/ Chains</v>
      </c>
      <c r="E109" s="31" t="s">
        <v>182</v>
      </c>
      <c r="F109" s="31" t="s">
        <v>183</v>
      </c>
      <c r="G109" s="30">
        <v>0.6</v>
      </c>
      <c r="H109" s="30">
        <v>0.7</v>
      </c>
      <c r="I109" s="14">
        <f>IF(MROUND(IF(D107="squat",'Max Calculator'!$E$8*G109,IF(D107="bench",'Max Calculator'!$E$9*G109,IF(D107="deadlift",'Max Calculator'!$E$10*G109,0))),5)=0," ",MROUND(IF(D107="squat",'Max Calculator'!$E$8*G109,IF(D107="bench",'Max Calculator'!$E$9*G109,IF(D107="deadlift",'Max Calculator'!$E$10*G109,0))),5))</f>
        <v>245</v>
      </c>
      <c r="J109" s="14">
        <f>IF(MROUND(IF(D107="squat",'Max Calculator'!$E$8*H109,IF(D107="bench",'Max Calculator'!$E$9*H109,IF(D107="deadlift",'Max Calculator'!$E$10*H109,0))),5)=0," ",MROUND(IF(D107="squat",'Max Calculator'!$E$8*H109,IF(D107="bench",'Max Calculator'!$E$9*H109,IF(D107="deadlift",'Max Calculator'!$E$10*H109,0))),5))</f>
        <v>285</v>
      </c>
    </row>
    <row r="110" ht="15.75" customHeight="1">
      <c r="A110" s="5"/>
      <c r="B110" s="29">
        <f>'Max Calculator'!$E$12-42</f>
        <v>43036</v>
      </c>
      <c r="C110" s="5" t="s">
        <v>13</v>
      </c>
      <c r="D110" s="14" t="str">
        <f>HLOOKUP($I$103,INDIRECT($D$9),VLOOKUP(C110,'Phase Creator'!$B$8:$C$19,2,FALSE),FALSE)</f>
        <v>Competition Deadlift</v>
      </c>
      <c r="E110" s="15">
        <v>1.0</v>
      </c>
      <c r="F110" s="15" t="s">
        <v>184</v>
      </c>
      <c r="G110" s="30"/>
      <c r="H110" s="30">
        <v>0.93</v>
      </c>
      <c r="I110" s="14" t="str">
        <f>IF(MROUND(IF(D107="squat",'Max Calculator'!$E$8*G110,IF(D107="bench",'Max Calculator'!$E$9*G110,IF(D107="deadlift",'Max Calculator'!$E$10*G110,0))),5)=0," ",MROUND(IF(D107="squat",'Max Calculator'!$E$8*G110,IF(D107="bench",'Max Calculator'!$E$9*G110,IF(D107="deadlift",'Max Calculator'!$E$10*G110,0))),5))</f>
        <v> </v>
      </c>
      <c r="J110" s="14">
        <f>IF(MROUND(IF(D107="squat",'Max Calculator'!$E$8*H110,IF(D107="bench",'Max Calculator'!$E$9*H110,IF(D107="deadlift",'Max Calculator'!$E$10*H110,0))),5)=0," ",MROUND(IF(D107="squat",'Max Calculator'!$E$8*H110,IF(D107="bench",'Max Calculator'!$E$9*H110,IF(D107="deadlift",'Max Calculator'!$E$10*H110,0))),5))</f>
        <v>375</v>
      </c>
    </row>
    <row r="111" ht="15.75" customHeight="1">
      <c r="A111" s="5"/>
      <c r="B111" s="29">
        <f>'Max Calculator'!$E$12-35</f>
        <v>43043</v>
      </c>
      <c r="C111" s="5" t="s">
        <v>18</v>
      </c>
      <c r="D111" s="14" t="str">
        <f>HLOOKUP($I$103,INDIRECT($D$9),VLOOKUP(C111,'Phase Creator'!$B$8:$C$19,2,FALSE),FALSE)</f>
        <v>DL w/ Chains</v>
      </c>
      <c r="E111" s="31" t="s">
        <v>186</v>
      </c>
      <c r="F111" s="31" t="s">
        <v>187</v>
      </c>
      <c r="G111" s="30">
        <v>0.65</v>
      </c>
      <c r="H111" s="30">
        <v>0.75</v>
      </c>
      <c r="I111" s="14">
        <f>IF(MROUND(IF(D107="squat",'Max Calculator'!$E$8*G111,IF(D107="bench",'Max Calculator'!$E$9*G111,IF(D107="deadlift",'Max Calculator'!$E$10*G111,0))),5)=0," ",MROUND(IF(D107="squat",'Max Calculator'!$E$8*G111,IF(D107="bench",'Max Calculator'!$E$9*G111,IF(D107="deadlift",'Max Calculator'!$E$10*G111,0))),5))</f>
        <v>265</v>
      </c>
      <c r="J111" s="14">
        <f>IF(MROUND(IF(D107="squat",'Max Calculator'!$E$8*H111,IF(D107="bench",'Max Calculator'!$E$9*H111,IF(D107="deadlift",'Max Calculator'!$E$10*H111,0))),5)=0," ",MROUND(IF(D107="squat",'Max Calculator'!$E$8*H111,IF(D107="bench",'Max Calculator'!$E$9*H111,IF(D107="deadlift",'Max Calculator'!$E$10*H111,0))),5))</f>
        <v>305</v>
      </c>
    </row>
    <row r="112" ht="15.75" customHeight="1">
      <c r="D112" s="5"/>
    </row>
    <row r="113" ht="15.75" customHeight="1">
      <c r="A113" s="4"/>
      <c r="B113" s="4" t="s">
        <v>178</v>
      </c>
      <c r="C113" s="4" t="s">
        <v>21</v>
      </c>
      <c r="D113" s="32" t="s">
        <v>112</v>
      </c>
      <c r="E113" s="4" t="s">
        <v>179</v>
      </c>
      <c r="F113" s="4" t="s">
        <v>151</v>
      </c>
      <c r="G113" s="4" t="s">
        <v>180</v>
      </c>
      <c r="I113" s="28" t="s">
        <v>181</v>
      </c>
    </row>
    <row r="114" ht="15.75" hidden="1" customHeight="1">
      <c r="A114" s="5"/>
      <c r="B114" s="29">
        <f>'Max Calculator'!$E$12-140</f>
        <v>42938</v>
      </c>
      <c r="C114" s="5" t="s">
        <v>20</v>
      </c>
      <c r="D114" s="14" t="str">
        <f>HLOOKUP($I$103,INDIRECT($D$9),VLOOKUP(C114,'Phase Creator'!$B$8:$C$19,2,FALSE),FALSE)</f>
        <v>Block Pulls</v>
      </c>
      <c r="E114" s="15">
        <v>3.0</v>
      </c>
      <c r="F114" s="15">
        <v>6.0</v>
      </c>
      <c r="G114" s="30"/>
      <c r="H114" s="30">
        <v>0.65</v>
      </c>
      <c r="I114" s="14" t="str">
        <f>IF(MROUND(IF(D113="squat",'Max Calculator'!$E$8*G114,IF(D113="bench",'Max Calculator'!$E$9*G114,IF(D113="deadlift",'Max Calculator'!$E$10*G114,0))),5)=0," ",MROUND(IF(D113="squat",'Max Calculator'!$E$8*G114,IF(D113="bench",'Max Calculator'!$E$9*G114,IF(D113="deadlift",'Max Calculator'!$E$10*G114,0))),5))</f>
        <v> </v>
      </c>
      <c r="J114" s="14">
        <f>IF(MROUND(IF(D113="squat",'Max Calculator'!$E$8*H114,IF(D113="bench",'Max Calculator'!$E$9*H114,IF(D113="deadlift",'Max Calculator'!$E$10*H114,0))),5)=0," ",MROUND(IF(D113="squat",'Max Calculator'!$E$8*H114,IF(D113="bench",'Max Calculator'!$E$9*H114,IF(D113="deadlift",'Max Calculator'!$E$10*H114,0))),5))</f>
        <v>265</v>
      </c>
    </row>
    <row r="115" ht="15.75" hidden="1" customHeight="1">
      <c r="A115" s="5"/>
      <c r="B115" s="29">
        <f>'Max Calculator'!$E$12-133</f>
        <v>42945</v>
      </c>
      <c r="C115" s="5" t="s">
        <v>27</v>
      </c>
      <c r="D115" s="14" t="str">
        <f>HLOOKUP($I$103,INDIRECT($D$9),VLOOKUP(C115,'Phase Creator'!$B$8:$C$19,2,FALSE),FALSE)</f>
        <v>Block Pulls</v>
      </c>
      <c r="E115" s="15">
        <v>2.0</v>
      </c>
      <c r="F115" s="15">
        <v>8.0</v>
      </c>
      <c r="G115" s="30"/>
      <c r="H115" s="30">
        <v>0.6</v>
      </c>
      <c r="I115" s="14" t="str">
        <f>IF(MROUND(IF(D113="squat",'Max Calculator'!$E$8*G115,IF(D113="bench",'Max Calculator'!$E$9*G115,IF(D113="deadlift",'Max Calculator'!$E$10*G115,0))),5)=0," ",MROUND(IF(D113="squat",'Max Calculator'!$E$8*G115,IF(D113="bench",'Max Calculator'!$E$9*G115,IF(D113="deadlift",'Max Calculator'!$E$10*G115,0))),5))</f>
        <v> </v>
      </c>
      <c r="J115" s="14">
        <f>IF(MROUND(IF(D113="squat",'Max Calculator'!$E$8*H115,IF(D113="bench",'Max Calculator'!$E$9*H115,IF(D113="deadlift",'Max Calculator'!$E$10*H115,0))),5)=0," ",MROUND(IF(D113="squat",'Max Calculator'!$E$8*H115,IF(D113="bench",'Max Calculator'!$E$9*H115,IF(D113="deadlift",'Max Calculator'!$E$10*H115,0))),5))</f>
        <v>245</v>
      </c>
    </row>
    <row r="116" ht="15.75" customHeight="1">
      <c r="A116" s="5"/>
      <c r="B116" s="29">
        <f>'Max Calculator'!$E$12-42</f>
        <v>43036</v>
      </c>
      <c r="C116" s="5" t="s">
        <v>28</v>
      </c>
      <c r="D116" s="14" t="str">
        <f>HLOOKUP($I$103,INDIRECT($D$9),VLOOKUP(C116,'Phase Creator'!$B$8:$C$19,2,FALSE),FALSE)</f>
        <v>Block Pulls</v>
      </c>
      <c r="E116" s="15">
        <v>4.0</v>
      </c>
      <c r="F116" s="15">
        <v>5.0</v>
      </c>
      <c r="G116" s="30">
        <v>0.6</v>
      </c>
      <c r="H116" s="30">
        <v>0.7</v>
      </c>
      <c r="I116" s="14">
        <f>IF(MROUND(IF(D113="squat",'Max Calculator'!$E$8*G116,IF(D113="bench",'Max Calculator'!$E$9*G116,IF(D113="deadlift",'Max Calculator'!$E$10*G116,0))),5)=0," ",MROUND(IF(D113="squat",'Max Calculator'!$E$8*G116,IF(D113="bench",'Max Calculator'!$E$9*G116,IF(D113="deadlift",'Max Calculator'!$E$10*G116,0))),5))</f>
        <v>245</v>
      </c>
      <c r="J116" s="14">
        <f>IF(MROUND(IF(D113="squat",'Max Calculator'!$E$8*H116,IF(D113="bench",'Max Calculator'!$E$9*H116,IF(D113="deadlift",'Max Calculator'!$E$10*H116,0))),5)=0," ",MROUND(IF(D113="squat",'Max Calculator'!$E$8*H116,IF(D113="bench",'Max Calculator'!$E$9*H116,IF(D113="deadlift",'Max Calculator'!$E$10*H116,0))),5))</f>
        <v>285</v>
      </c>
    </row>
    <row r="117" ht="15.75" customHeight="1">
      <c r="A117" s="5"/>
      <c r="B117" s="29">
        <f>'Max Calculator'!$E$12-35</f>
        <v>43043</v>
      </c>
      <c r="C117" s="5" t="s">
        <v>32</v>
      </c>
      <c r="D117" s="14" t="str">
        <f>HLOOKUP($I$103,INDIRECT($D$9),VLOOKUP(C117,'Phase Creator'!$B$8:$C$19,2,FALSE),FALSE)</f>
        <v>Block Pulls</v>
      </c>
      <c r="E117" s="15">
        <v>2.0</v>
      </c>
      <c r="F117" s="15">
        <v>5.0</v>
      </c>
      <c r="G117" s="30">
        <v>0.5</v>
      </c>
      <c r="H117" s="30">
        <v>0.6</v>
      </c>
      <c r="I117" s="14">
        <f>IF(MROUND(IF(D113="squat",'Max Calculator'!$E$8*G117,IF(D113="bench",'Max Calculator'!$E$9*G117,IF(D113="deadlift",'Max Calculator'!$E$10*G117,0))),5)=0," ",MROUND(IF(D113="squat",'Max Calculator'!$E$8*G117,IF(D113="bench",'Max Calculator'!$E$9*G117,IF(D113="deadlift",'Max Calculator'!$E$10*G117,0))),5))</f>
        <v>205</v>
      </c>
      <c r="J117" s="14">
        <f>IF(MROUND(IF(D113="squat",'Max Calculator'!$E$8*H117,IF(D113="bench",'Max Calculator'!$E$9*H117,IF(D113="deadlift",'Max Calculator'!$E$10*H117,0))),5)=0," ",MROUND(IF(D113="squat",'Max Calculator'!$E$8*H117,IF(D113="bench",'Max Calculator'!$E$9*H117,IF(D113="deadlift",'Max Calculator'!$E$10*H117,0))),5))</f>
        <v>245</v>
      </c>
    </row>
    <row r="118" ht="15.75" customHeight="1"/>
    <row r="119" ht="15.75" customHeight="1">
      <c r="A119" s="4"/>
      <c r="B119" s="4" t="s">
        <v>178</v>
      </c>
      <c r="C119" s="4" t="s">
        <v>33</v>
      </c>
      <c r="D119" s="32" t="s">
        <v>153</v>
      </c>
      <c r="E119" s="4" t="s">
        <v>179</v>
      </c>
      <c r="F119" s="4" t="s">
        <v>151</v>
      </c>
      <c r="G119" s="4" t="s">
        <v>180</v>
      </c>
      <c r="I119" s="28" t="s">
        <v>181</v>
      </c>
    </row>
    <row r="120" ht="15.75" hidden="1" customHeight="1">
      <c r="A120" s="5"/>
      <c r="B120" s="29">
        <f>'Max Calculator'!$E$12-140</f>
        <v>42938</v>
      </c>
      <c r="C120" s="5" t="s">
        <v>33</v>
      </c>
      <c r="D120" s="14" t="str">
        <f>HLOOKUP($I$103,INDIRECT($D$9),VLOOKUP(C120,'Phase Creator'!$B$8:$C$19,2,FALSE),FALSE)</f>
        <v>Spotto Press</v>
      </c>
      <c r="E120" s="15">
        <v>3.0</v>
      </c>
      <c r="F120" s="15">
        <v>8.0</v>
      </c>
      <c r="G120" s="30"/>
      <c r="H120" s="30">
        <v>0.6</v>
      </c>
      <c r="I120" s="14" t="str">
        <f>IF(MROUND(IF(D119="squat",'Max Calculator'!$E$8*G120,IF(D119="bench",'Max Calculator'!$E$9*G120,IF(D119="deadlift",'Max Calculator'!$E$10*G120,0))),5)=0," ",MROUND(IF(D119="squat",'Max Calculator'!$E$8*G120,IF(D119="bench",'Max Calculator'!$E$9*G120,IF(D119="deadlift",'Max Calculator'!$E$10*G120,0))),5))</f>
        <v> </v>
      </c>
      <c r="J120" s="14">
        <f>IF(MROUND(IF(D119="squat",'Max Calculator'!$E$8*H120,IF(D119="bench",'Max Calculator'!$E$9*H120,IF(D119="deadlift",'Max Calculator'!$E$10*H120,0))),5)=0," ",MROUND(IF(D119="squat",'Max Calculator'!$E$8*H120,IF(D119="bench",'Max Calculator'!$E$9*H120,IF(D119="deadlift",'Max Calculator'!$E$10*H120,0))),5))</f>
        <v>135</v>
      </c>
    </row>
    <row r="121" ht="15.75" hidden="1" customHeight="1">
      <c r="A121" s="5"/>
      <c r="B121" s="29">
        <f>'Max Calculator'!$E$12-133</f>
        <v>42945</v>
      </c>
      <c r="C121" s="5" t="s">
        <v>33</v>
      </c>
      <c r="D121" s="14" t="str">
        <f>HLOOKUP($I$103,INDIRECT($D$9),VLOOKUP(C121,'Phase Creator'!$B$8:$C$19,2,FALSE),FALSE)</f>
        <v>Spotto Press</v>
      </c>
      <c r="E121" s="15">
        <v>2.0</v>
      </c>
      <c r="F121" s="15">
        <v>12.0</v>
      </c>
      <c r="G121" s="30"/>
      <c r="H121" s="30">
        <v>0.5</v>
      </c>
      <c r="I121" s="14" t="str">
        <f>IF(MROUND(IF(D119="squat",'Max Calculator'!$E$8*G121,IF(D119="bench",'Max Calculator'!$E$9*G121,IF(D119="deadlift",'Max Calculator'!$E$10*G121,0))),5)=0," ",MROUND(IF(D119="squat",'Max Calculator'!$E$8*G121,IF(D119="bench",'Max Calculator'!$E$9*G121,IF(D119="deadlift",'Max Calculator'!$E$10*G121,0))),5))</f>
        <v> </v>
      </c>
      <c r="J121" s="14">
        <f>IF(MROUND(IF(D119="squat",'Max Calculator'!$E$8*H121,IF(D119="bench",'Max Calculator'!$E$9*H121,IF(D119="deadlift",'Max Calculator'!$E$10*H121,0))),5)=0," ",MROUND(IF(D119="squat",'Max Calculator'!$E$8*H121,IF(D119="bench",'Max Calculator'!$E$9*H121,IF(D119="deadlift",'Max Calculator'!$E$10*H121,0))),5))</f>
        <v>115</v>
      </c>
    </row>
    <row r="122" ht="15.75" customHeight="1">
      <c r="A122" s="5"/>
      <c r="B122" s="29">
        <f>'Max Calculator'!$E$12-42</f>
        <v>43036</v>
      </c>
      <c r="C122" s="5" t="s">
        <v>33</v>
      </c>
      <c r="D122" s="14" t="str">
        <f>HLOOKUP($I$103,INDIRECT($D$9),VLOOKUP(C122,'Phase Creator'!$B$8:$C$19,2,FALSE),FALSE)</f>
        <v>Spotto Press</v>
      </c>
      <c r="E122" s="15">
        <v>4.0</v>
      </c>
      <c r="F122" s="15">
        <v>10.0</v>
      </c>
      <c r="G122" s="30"/>
      <c r="H122" s="30">
        <v>0.6</v>
      </c>
      <c r="I122" s="14" t="str">
        <f>IF(MROUND(IF(D119="squat",'Max Calculator'!$E$8*G122,IF(D119="bench",'Max Calculator'!$E$9*G122,IF(D119="deadlift",'Max Calculator'!$E$10*G122,0))),5)=0," ",MROUND(IF(D119="squat",'Max Calculator'!$E$8*G122,IF(D119="bench",'Max Calculator'!$E$9*G122,IF(D119="deadlift",'Max Calculator'!$E$10*G122,0))),5))</f>
        <v> </v>
      </c>
      <c r="J122" s="14">
        <f>IF(MROUND(IF(D119="squat",'Max Calculator'!$E$8*H122,IF(D119="bench",'Max Calculator'!$E$9*H122,IF(D119="deadlift",'Max Calculator'!$E$10*H122,0))),5)=0," ",MROUND(IF(D119="squat",'Max Calculator'!$E$8*H122,IF(D119="bench",'Max Calculator'!$E$9*H122,IF(D119="deadlift",'Max Calculator'!$E$10*H122,0))),5))</f>
        <v>135</v>
      </c>
    </row>
    <row r="123" ht="15.75" customHeight="1">
      <c r="A123" s="5"/>
      <c r="B123" s="29">
        <f>'Max Calculator'!$E$12-35</f>
        <v>43043</v>
      </c>
      <c r="C123" s="5" t="s">
        <v>33</v>
      </c>
      <c r="D123" s="14" t="str">
        <f>HLOOKUP($I$103,INDIRECT($D$9),VLOOKUP(C123,'Phase Creator'!$B$8:$C$19,2,FALSE),FALSE)</f>
        <v>Spotto Press</v>
      </c>
      <c r="E123" s="15">
        <v>1.0</v>
      </c>
      <c r="F123" s="15">
        <v>12.0</v>
      </c>
      <c r="G123" s="30"/>
      <c r="H123" s="30">
        <v>0.5</v>
      </c>
      <c r="I123" s="14" t="str">
        <f>IF(MROUND(IF(D119="squat",'Max Calculator'!$E$8*G123,IF(D119="bench",'Max Calculator'!$E$9*G123,IF(D119="deadlift",'Max Calculator'!$E$10*G123,0))),5)=0," ",MROUND(IF(D119="squat",'Max Calculator'!$E$8*G123,IF(D119="bench",'Max Calculator'!$E$9*G123,IF(D119="deadlift",'Max Calculator'!$E$10*G123,0))),5))</f>
        <v> </v>
      </c>
      <c r="J123" s="14">
        <f>IF(MROUND(IF(D119="squat",'Max Calculator'!$E$8*H123,IF(D119="bench",'Max Calculator'!$E$9*H123,IF(D119="deadlift",'Max Calculator'!$E$10*H123,0))),5)=0," ",MROUND(IF(D119="squat",'Max Calculator'!$E$8*H123,IF(D119="bench",'Max Calculator'!$E$9*H123,IF(D119="deadlift",'Max Calculator'!$E$10*H123,0))),5))</f>
        <v>115</v>
      </c>
    </row>
    <row r="124" ht="15.75" customHeight="1"/>
    <row r="125" ht="15.75" customHeight="1">
      <c r="A125" s="4"/>
      <c r="B125" s="4" t="s">
        <v>178</v>
      </c>
      <c r="C125" s="4" t="s">
        <v>38</v>
      </c>
      <c r="D125" s="32" t="s">
        <v>185</v>
      </c>
      <c r="E125" s="4" t="s">
        <v>179</v>
      </c>
      <c r="F125" s="4" t="s">
        <v>151</v>
      </c>
      <c r="G125" s="4" t="s">
        <v>180</v>
      </c>
      <c r="I125" s="28" t="s">
        <v>181</v>
      </c>
    </row>
    <row r="126" ht="15.75" hidden="1" customHeight="1">
      <c r="A126" s="5"/>
      <c r="B126" s="29">
        <f>'Max Calculator'!$E$12-140</f>
        <v>42938</v>
      </c>
      <c r="C126" s="5" t="s">
        <v>38</v>
      </c>
      <c r="D126" s="14" t="str">
        <f>HLOOKUP($I$103,INDIRECT($D$9),VLOOKUP(C126,'Phase Creator'!$B$8:$C$19,2,FALSE),FALSE)</f>
        <v>One arm DB Row w Pause</v>
      </c>
      <c r="E126" s="15">
        <v>3.0</v>
      </c>
      <c r="F126" s="15">
        <v>8.0</v>
      </c>
      <c r="G126" s="30"/>
      <c r="H126" s="30"/>
      <c r="I126" s="14" t="str">
        <f>IF(MROUND(IF(D125="squat",'Max Calculator'!$E$8*G126,IF(D125="bench",'Max Calculator'!$E$9*G126,IF(D125="deadlift",'Max Calculator'!$E$10*G126,0))),5)=0," ",MROUND(IF(D125="squat",'Max Calculator'!$E$8*G126,IF(D125="bench",'Max Calculator'!$E$9*G126,IF(D125="deadlift",'Max Calculator'!$E$10*G126,0))),5))</f>
        <v> </v>
      </c>
      <c r="J126" s="14" t="str">
        <f>IF(MROUND(IF(D125="squat",'Max Calculator'!$E$8*H126,IF(D125="bench",'Max Calculator'!$E$9*H126,IF(D125="deadlift",'Max Calculator'!$E$10*H126,0))),5)=0," ",MROUND(IF(D125="squat",'Max Calculator'!$E$8*H126,IF(D125="bench",'Max Calculator'!$E$9*H126,IF(D125="deadlift",'Max Calculator'!$E$10*H126,0))),5))</f>
        <v> </v>
      </c>
    </row>
    <row r="127" ht="15.75" hidden="1" customHeight="1">
      <c r="A127" s="5"/>
      <c r="B127" s="29">
        <f>'Max Calculator'!$E$12-133</f>
        <v>42945</v>
      </c>
      <c r="C127" s="5" t="s">
        <v>38</v>
      </c>
      <c r="D127" s="14" t="str">
        <f>HLOOKUP($I$103,INDIRECT($D$9),VLOOKUP(C127,'Phase Creator'!$B$8:$C$19,2,FALSE),FALSE)</f>
        <v>One arm DB Row w Pause</v>
      </c>
      <c r="E127" s="15">
        <v>2.0</v>
      </c>
      <c r="F127" s="15">
        <v>10.0</v>
      </c>
      <c r="G127" s="30"/>
      <c r="H127" s="30"/>
      <c r="I127" s="14" t="str">
        <f>IF(MROUND(IF(D125="squat",'Max Calculator'!$E$8*G127,IF(D125="bench",'Max Calculator'!$E$9*G127,IF(D125="deadlift",'Max Calculator'!$E$10*G127,0))),5)=0," ",MROUND(IF(D125="squat",'Max Calculator'!$E$8*G127,IF(D125="bench",'Max Calculator'!$E$9*G127,IF(D125="deadlift",'Max Calculator'!$E$10*G127,0))),5))</f>
        <v> </v>
      </c>
      <c r="J127" s="14" t="str">
        <f>IF(MROUND(IF(D125="squat",'Max Calculator'!$E$8*H127,IF(D125="bench",'Max Calculator'!$E$9*H127,IF(D125="deadlift",'Max Calculator'!$E$10*H127,0))),5)=0," ",MROUND(IF(D125="squat",'Max Calculator'!$E$8*H127,IF(D125="bench",'Max Calculator'!$E$9*H127,IF(D125="deadlift",'Max Calculator'!$E$10*H127,0))),5))</f>
        <v> </v>
      </c>
    </row>
    <row r="128" ht="15.75" customHeight="1">
      <c r="A128" s="5"/>
      <c r="B128" s="29">
        <f>'Max Calculator'!$E$12-42</f>
        <v>43036</v>
      </c>
      <c r="C128" s="5" t="s">
        <v>38</v>
      </c>
      <c r="D128" s="14" t="str">
        <f>HLOOKUP($I$103,INDIRECT($D$9),VLOOKUP(C128,'Phase Creator'!$B$8:$C$19,2,FALSE),FALSE)</f>
        <v>One arm DB Row w Pause</v>
      </c>
      <c r="E128" s="15">
        <v>4.0</v>
      </c>
      <c r="F128" s="15">
        <v>6.0</v>
      </c>
      <c r="G128" s="30"/>
      <c r="H128" s="30"/>
      <c r="I128" s="14" t="str">
        <f>IF(MROUND(IF(D125="squat",'Max Calculator'!$E$8*G128,IF(D125="bench",'Max Calculator'!$E$9*G128,IF(D125="deadlift",'Max Calculator'!$E$10*G128,0))),5)=0," ",MROUND(IF(D125="squat",'Max Calculator'!$E$8*G128,IF(D125="bench",'Max Calculator'!$E$9*G128,IF(D125="deadlift",'Max Calculator'!$E$10*G128,0))),5))</f>
        <v> </v>
      </c>
      <c r="J128" s="14" t="str">
        <f>IF(MROUND(IF(D125="squat",'Max Calculator'!$E$8*H128,IF(D125="bench",'Max Calculator'!$E$9*H128,IF(D125="deadlift",'Max Calculator'!$E$10*H128,0))),5)=0," ",MROUND(IF(D125="squat",'Max Calculator'!$E$8*H128,IF(D125="bench",'Max Calculator'!$E$9*H128,IF(D125="deadlift",'Max Calculator'!$E$10*H128,0))),5))</f>
        <v> </v>
      </c>
    </row>
    <row r="129" ht="15.75" customHeight="1">
      <c r="A129" s="5"/>
      <c r="B129" s="29">
        <f>'Max Calculator'!$E$12-35</f>
        <v>43043</v>
      </c>
      <c r="C129" s="5" t="s">
        <v>38</v>
      </c>
      <c r="D129" s="14" t="str">
        <f>HLOOKUP($I$103,INDIRECT($D$9),VLOOKUP(C129,'Phase Creator'!$B$8:$C$19,2,FALSE),FALSE)</f>
        <v>One arm DB Row w Pause</v>
      </c>
      <c r="E129" s="15">
        <v>2.0</v>
      </c>
      <c r="F129" s="15">
        <v>15.0</v>
      </c>
      <c r="G129" s="30"/>
      <c r="H129" s="30"/>
      <c r="I129" s="14" t="str">
        <f>IF(MROUND(IF(D125="squat",'Max Calculator'!$E$8*G129,IF(D125="bench",'Max Calculator'!$E$9*G129,IF(D125="deadlift",'Max Calculator'!$E$10*G129,0))),5)=0," ",MROUND(IF(D125="squat",'Max Calculator'!$E$8*G129,IF(D125="bench",'Max Calculator'!$E$9*G129,IF(D125="deadlift",'Max Calculator'!$E$10*G129,0))),5))</f>
        <v> </v>
      </c>
      <c r="J129" s="14" t="str">
        <f>IF(MROUND(IF(D125="squat",'Max Calculator'!$E$8*H129,IF(D125="bench",'Max Calculator'!$E$9*H129,IF(D125="deadlift",'Max Calculator'!$E$10*H129,0))),5)=0," ",MROUND(IF(D125="squat",'Max Calculator'!$E$8*H129,IF(D125="bench",'Max Calculator'!$E$9*H129,IF(D125="deadlift",'Max Calculator'!$E$10*H129,0))),5))</f>
        <v> </v>
      </c>
    </row>
    <row r="130" ht="15.75" customHeight="1"/>
    <row r="131" ht="15.75" customHeight="1">
      <c r="A131" s="4"/>
      <c r="B131" s="4" t="s">
        <v>178</v>
      </c>
      <c r="C131" s="4" t="s">
        <v>43</v>
      </c>
      <c r="D131" s="32" t="s">
        <v>185</v>
      </c>
      <c r="E131" s="4" t="s">
        <v>179</v>
      </c>
      <c r="F131" s="4" t="s">
        <v>151</v>
      </c>
      <c r="G131" s="4" t="s">
        <v>180</v>
      </c>
      <c r="I131" s="28" t="s">
        <v>181</v>
      </c>
    </row>
    <row r="132" ht="15.75" hidden="1" customHeight="1">
      <c r="A132" s="5"/>
      <c r="B132" s="29">
        <f>'Max Calculator'!$E$12-140</f>
        <v>42938</v>
      </c>
      <c r="C132" s="5" t="s">
        <v>43</v>
      </c>
      <c r="D132" s="14" t="str">
        <f>HLOOKUP($I$103,INDIRECT($D$9),VLOOKUP(C132,'Phase Creator'!$B$8:$C$19,2,FALSE),FALSE)</f>
        <v>suit case holds</v>
      </c>
      <c r="E132" s="15">
        <v>3.0</v>
      </c>
      <c r="F132" s="15">
        <v>15.0</v>
      </c>
      <c r="G132" s="30"/>
      <c r="H132" s="30"/>
      <c r="I132" s="14" t="str">
        <f>IF(MROUND(IF(D131="squat",'Max Calculator'!$E$8*G132,IF(D131="bench",'Max Calculator'!$E$9*G132,IF(D131="deadlift",'Max Calculator'!$E$10*G132,0))),5)=0," ",MROUND(IF(D131="squat",'Max Calculator'!$E$8*G132,IF(D131="bench",'Max Calculator'!$E$9*G132,IF(D131="deadlift",'Max Calculator'!$E$10*G132,0))),5))</f>
        <v> </v>
      </c>
      <c r="J132" s="14" t="str">
        <f>IF(MROUND(IF(D131="squat",'Max Calculator'!$E$8*H132,IF(D131="bench",'Max Calculator'!$E$9*H132,IF(D131="deadlift",'Max Calculator'!$E$10*H132,0))),5)=0," ",MROUND(IF(D131="squat",'Max Calculator'!$E$8*H132,IF(D131="bench",'Max Calculator'!$E$9*H132,IF(D131="deadlift",'Max Calculator'!$E$10*H132,0))),5))</f>
        <v> </v>
      </c>
    </row>
    <row r="133" ht="15.75" hidden="1" customHeight="1">
      <c r="A133" s="5"/>
      <c r="B133" s="29">
        <f>'Max Calculator'!$E$12-133</f>
        <v>42945</v>
      </c>
      <c r="C133" s="5" t="s">
        <v>43</v>
      </c>
      <c r="D133" s="14" t="str">
        <f>HLOOKUP($I$103,INDIRECT($D$9),VLOOKUP(C133,'Phase Creator'!$B$8:$C$19,2,FALSE),FALSE)</f>
        <v>suit case holds</v>
      </c>
      <c r="E133" s="15">
        <v>2.0</v>
      </c>
      <c r="F133" s="15">
        <v>20.0</v>
      </c>
      <c r="G133" s="30"/>
      <c r="H133" s="30"/>
      <c r="I133" s="14" t="str">
        <f>IF(MROUND(IF(D131="squat",'Max Calculator'!$E$8*G133,IF(D131="bench",'Max Calculator'!$E$9*G133,IF(D131="deadlift",'Max Calculator'!$E$10*G133,0))),5)=0," ",MROUND(IF(D131="squat",'Max Calculator'!$E$8*G133,IF(D131="bench",'Max Calculator'!$E$9*G133,IF(D131="deadlift",'Max Calculator'!$E$10*G133,0))),5))</f>
        <v> </v>
      </c>
      <c r="J133" s="14" t="str">
        <f>IF(MROUND(IF(D131="squat",'Max Calculator'!$E$8*H133,IF(D131="bench",'Max Calculator'!$E$9*H133,IF(D131="deadlift",'Max Calculator'!$E$10*H133,0))),5)=0," ",MROUND(IF(D131="squat",'Max Calculator'!$E$8*H133,IF(D131="bench",'Max Calculator'!$E$9*H133,IF(D131="deadlift",'Max Calculator'!$E$10*H133,0))),5))</f>
        <v> </v>
      </c>
    </row>
    <row r="134" ht="15.75" customHeight="1">
      <c r="A134" s="5"/>
      <c r="B134" s="29">
        <f>'Max Calculator'!$E$12-42</f>
        <v>43036</v>
      </c>
      <c r="C134" s="5" t="s">
        <v>43</v>
      </c>
      <c r="D134" s="14" t="str">
        <f>HLOOKUP($I$103,INDIRECT($D$9),VLOOKUP(C134,'Phase Creator'!$B$8:$C$19,2,FALSE),FALSE)</f>
        <v>suit case holds</v>
      </c>
      <c r="E134" s="15">
        <v>3.0</v>
      </c>
      <c r="F134" s="15">
        <v>20.0</v>
      </c>
      <c r="G134" s="30"/>
      <c r="H134" s="30"/>
      <c r="I134" s="14" t="str">
        <f>IF(MROUND(IF(D131="squat",'Max Calculator'!$E$8*G134,IF(D131="bench",'Max Calculator'!$E$9*G134,IF(D131="deadlift",'Max Calculator'!$E$10*G134,0))),5)=0," ",MROUND(IF(D131="squat",'Max Calculator'!$E$8*G134,IF(D131="bench",'Max Calculator'!$E$9*G134,IF(D131="deadlift",'Max Calculator'!$E$10*G134,0))),5))</f>
        <v> </v>
      </c>
      <c r="J134" s="14" t="str">
        <f>IF(MROUND(IF(D131="squat",'Max Calculator'!$E$8*H134,IF(D131="bench",'Max Calculator'!$E$9*H134,IF(D131="deadlift",'Max Calculator'!$E$10*H134,0))),5)=0," ",MROUND(IF(D131="squat",'Max Calculator'!$E$8*H134,IF(D131="bench",'Max Calculator'!$E$9*H134,IF(D131="deadlift",'Max Calculator'!$E$10*H134,0))),5))</f>
        <v> </v>
      </c>
    </row>
    <row r="135" ht="15.75" customHeight="1">
      <c r="A135" s="5"/>
      <c r="B135" s="29">
        <f>'Max Calculator'!$E$12-35</f>
        <v>43043</v>
      </c>
      <c r="C135" s="5" t="s">
        <v>43</v>
      </c>
      <c r="D135" s="14" t="str">
        <f>HLOOKUP($I$103,INDIRECT($D$9),VLOOKUP(C135,'Phase Creator'!$B$8:$C$19,2,FALSE),FALSE)</f>
        <v>suit case holds</v>
      </c>
      <c r="E135" s="15">
        <v>2.0</v>
      </c>
      <c r="F135" s="15">
        <v>25.0</v>
      </c>
      <c r="G135" s="30"/>
      <c r="H135" s="30"/>
      <c r="I135" s="14" t="str">
        <f>IF(MROUND(IF(D131="squat",'Max Calculator'!$E$8*G135,IF(D131="bench",'Max Calculator'!$E$9*G135,IF(D131="deadlift",'Max Calculator'!$E$10*G135,0))),5)=0," ",MROUND(IF(D131="squat",'Max Calculator'!$E$8*G135,IF(D131="bench",'Max Calculator'!$E$9*G135,IF(D131="deadlift",'Max Calculator'!$E$10*G135,0))),5))</f>
        <v> </v>
      </c>
      <c r="J135" s="14" t="str">
        <f>IF(MROUND(IF(D131="squat",'Max Calculator'!$E$8*H135,IF(D131="bench",'Max Calculator'!$E$9*H135,IF(D131="deadlift",'Max Calculator'!$E$10*H135,0))),5)=0," ",MROUND(IF(D131="squat",'Max Calculator'!$E$8*H135,IF(D131="bench",'Max Calculator'!$E$9*H135,IF(D131="deadlift",'Max Calculator'!$E$10*H135,0))),5))</f>
        <v> </v>
      </c>
    </row>
    <row r="136" ht="15.75" customHeight="1"/>
    <row r="137" ht="15.75" customHeight="1">
      <c r="A137" s="4"/>
      <c r="B137" s="4" t="s">
        <v>178</v>
      </c>
      <c r="C137" s="4" t="s">
        <v>48</v>
      </c>
      <c r="D137" s="32" t="s">
        <v>185</v>
      </c>
      <c r="E137" s="4" t="s">
        <v>179</v>
      </c>
      <c r="F137" s="4" t="s">
        <v>151</v>
      </c>
      <c r="G137" s="4" t="s">
        <v>180</v>
      </c>
      <c r="I137" s="28" t="s">
        <v>181</v>
      </c>
    </row>
    <row r="138" ht="15.75" hidden="1" customHeight="1">
      <c r="A138" s="5"/>
      <c r="B138" s="29">
        <f>'Max Calculator'!$E$12-140</f>
        <v>42938</v>
      </c>
      <c r="C138" s="5" t="s">
        <v>48</v>
      </c>
      <c r="D138" s="14" t="str">
        <f>HLOOKUP($I$103,INDIRECT($D$9),VLOOKUP(C138,'Phase Creator'!$B$8:$C$19,2,FALSE),FALSE)</f>
        <v>Single Leg Glute Bridge</v>
      </c>
      <c r="E138" s="15">
        <v>3.0</v>
      </c>
      <c r="F138" s="15">
        <v>8.0</v>
      </c>
      <c r="G138" s="30"/>
      <c r="H138" s="30"/>
      <c r="I138" s="14" t="str">
        <f>IF(MROUND(IF(D137="squat",'Max Calculator'!$E$8*G138,IF(D137="bench",'Max Calculator'!$E$9*G138,IF(D137="deadlift",'Max Calculator'!$E$10*G138,0))),5)=0," ",MROUND(IF(D137="squat",'Max Calculator'!$E$8*G138,IF(D137="bench",'Max Calculator'!$E$9*G138,IF(D137="deadlift",'Max Calculator'!$E$10*G138,0))),5))</f>
        <v> </v>
      </c>
      <c r="J138" s="14" t="str">
        <f>IF(MROUND(IF(D137="squat",'Max Calculator'!$E$8*H138,IF(D137="bench",'Max Calculator'!$E$9*H138,IF(D137="deadlift",'Max Calculator'!$E$10*H138,0))),5)=0," ",MROUND(IF(D137="squat",'Max Calculator'!$E$8*H138,IF(D137="bench",'Max Calculator'!$E$9*H138,IF(D137="deadlift",'Max Calculator'!$E$10*H138,0))),5))</f>
        <v> </v>
      </c>
    </row>
    <row r="139" ht="15.75" hidden="1" customHeight="1">
      <c r="A139" s="5"/>
      <c r="B139" s="29">
        <f>'Max Calculator'!$E$12-133</f>
        <v>42945</v>
      </c>
      <c r="C139" s="5" t="s">
        <v>48</v>
      </c>
      <c r="D139" s="14" t="str">
        <f>HLOOKUP($I$103,INDIRECT($D$9),VLOOKUP(C139,'Phase Creator'!$B$8:$C$19,2,FALSE),FALSE)</f>
        <v>Single Leg Glute Bridge</v>
      </c>
      <c r="E139" s="15">
        <v>2.0</v>
      </c>
      <c r="F139" s="15">
        <v>12.0</v>
      </c>
      <c r="G139" s="30"/>
      <c r="H139" s="30"/>
      <c r="I139" s="14" t="str">
        <f>IF(MROUND(IF(D137="squat",'Max Calculator'!$E$8*G139,IF(D137="bench",'Max Calculator'!$E$9*G139,IF(D137="deadlift",'Max Calculator'!$E$10*G139,0))),5)=0," ",MROUND(IF(D137="squat",'Max Calculator'!$E$8*G139,IF(D137="bench",'Max Calculator'!$E$9*G139,IF(D137="deadlift",'Max Calculator'!$E$10*G139,0))),5))</f>
        <v> </v>
      </c>
      <c r="J139" s="14" t="str">
        <f>IF(MROUND(IF(D137="squat",'Max Calculator'!$E$8*H139,IF(D137="bench",'Max Calculator'!$E$9*H139,IF(D137="deadlift",'Max Calculator'!$E$10*H139,0))),5)=0," ",MROUND(IF(D137="squat",'Max Calculator'!$E$8*H139,IF(D137="bench",'Max Calculator'!$E$9*H139,IF(D137="deadlift",'Max Calculator'!$E$10*H139,0))),5))</f>
        <v> </v>
      </c>
    </row>
    <row r="140" ht="15.75" customHeight="1">
      <c r="A140" s="5"/>
      <c r="B140" s="29">
        <f>'Max Calculator'!$E$12-42</f>
        <v>43036</v>
      </c>
      <c r="C140" s="5" t="s">
        <v>48</v>
      </c>
      <c r="D140" s="14" t="str">
        <f>HLOOKUP($I$103,INDIRECT($D$9),VLOOKUP(C140,'Phase Creator'!$B$8:$C$19,2,FALSE),FALSE)</f>
        <v>Single Leg Glute Bridge</v>
      </c>
      <c r="E140" s="15">
        <v>4.0</v>
      </c>
      <c r="F140" s="15">
        <v>10.0</v>
      </c>
      <c r="G140" s="30"/>
      <c r="H140" s="30"/>
      <c r="I140" s="14" t="str">
        <f>IF(MROUND(IF(D137="squat",'Max Calculator'!$E$8*G140,IF(D137="bench",'Max Calculator'!$E$9*G140,IF(D137="deadlift",'Max Calculator'!$E$10*G140,0))),5)=0," ",MROUND(IF(D137="squat",'Max Calculator'!$E$8*G140,IF(D137="bench",'Max Calculator'!$E$9*G140,IF(D137="deadlift",'Max Calculator'!$E$10*G140,0))),5))</f>
        <v> </v>
      </c>
      <c r="J140" s="14" t="str">
        <f>IF(MROUND(IF(D137="squat",'Max Calculator'!$E$8*H140,IF(D137="bench",'Max Calculator'!$E$9*H140,IF(D137="deadlift",'Max Calculator'!$E$10*H140,0))),5)=0," ",MROUND(IF(D137="squat",'Max Calculator'!$E$8*H140,IF(D137="bench",'Max Calculator'!$E$9*H140,IF(D137="deadlift",'Max Calculator'!$E$10*H140,0))),5))</f>
        <v> </v>
      </c>
    </row>
    <row r="141" ht="15.75" customHeight="1">
      <c r="A141" s="5"/>
      <c r="B141" s="29">
        <f>'Max Calculator'!$E$12-35</f>
        <v>43043</v>
      </c>
      <c r="C141" s="5" t="s">
        <v>48</v>
      </c>
      <c r="D141" s="14" t="str">
        <f>HLOOKUP($I$103,INDIRECT($D$9),VLOOKUP(C141,'Phase Creator'!$B$8:$C$19,2,FALSE),FALSE)</f>
        <v>Single Leg Glute Bridge</v>
      </c>
      <c r="E141" s="15">
        <v>2.0</v>
      </c>
      <c r="F141" s="15">
        <v>15.0</v>
      </c>
      <c r="G141" s="30"/>
      <c r="H141" s="30"/>
      <c r="I141" s="14" t="str">
        <f>IF(MROUND(IF(D137="squat",'Max Calculator'!$E$8*G141,IF(D137="bench",'Max Calculator'!$E$9*G141,IF(D137="deadlift",'Max Calculator'!$E$10*G141,0))),5)=0," ",MROUND(IF(D137="squat",'Max Calculator'!$E$8*G141,IF(D137="bench",'Max Calculator'!$E$9*G141,IF(D137="deadlift",'Max Calculator'!$E$10*G141,0))),5))</f>
        <v> </v>
      </c>
      <c r="J141" s="14" t="str">
        <f>IF(MROUND(IF(D137="squat",'Max Calculator'!$E$8*H141,IF(D137="bench",'Max Calculator'!$E$9*H141,IF(D137="deadlift",'Max Calculator'!$E$10*H141,0))),5)=0," ",MROUND(IF(D137="squat",'Max Calculator'!$E$8*H141,IF(D137="bench",'Max Calculator'!$E$9*H141,IF(D137="deadlift",'Max Calculator'!$E$10*H141,0))),5))</f>
        <v> </v>
      </c>
    </row>
    <row r="142" ht="15.75" customHeight="1"/>
    <row r="143" ht="15.75" hidden="1" customHeight="1"/>
    <row r="144" ht="15.75" hidden="1" customHeight="1"/>
    <row r="145" ht="15.75" hidden="1" customHeight="1"/>
    <row r="146" ht="15.75" hidden="1" customHeight="1"/>
    <row r="147" ht="15.75" hidden="1" customHeight="1"/>
    <row r="148" ht="15.75" hidden="1" customHeight="1"/>
    <row r="149" ht="15.75" hidden="1" customHeight="1"/>
    <row r="150" ht="15.75" hidden="1" customHeight="1">
      <c r="D150" s="33" t="s">
        <v>188</v>
      </c>
      <c r="E150" s="23"/>
      <c r="F150" s="23"/>
      <c r="G150" s="23"/>
      <c r="H150" s="24" t="s">
        <v>1</v>
      </c>
      <c r="I150" s="25">
        <v>4.0</v>
      </c>
    </row>
    <row r="151" ht="15.75" hidden="1" customHeight="1">
      <c r="D151" s="23"/>
      <c r="E151" s="23"/>
      <c r="F151" s="23"/>
      <c r="G151" s="23"/>
      <c r="H151" s="26"/>
      <c r="I151" s="26"/>
    </row>
    <row r="152" ht="15.75" hidden="1" customHeight="1">
      <c r="K152" s="5"/>
    </row>
    <row r="153" ht="15.75" hidden="1" customHeight="1">
      <c r="D153" s="5"/>
    </row>
    <row r="154" ht="15.75" hidden="1" customHeight="1">
      <c r="A154" s="4"/>
      <c r="B154" s="4" t="s">
        <v>178</v>
      </c>
      <c r="C154" s="4" t="s">
        <v>5</v>
      </c>
      <c r="D154" s="32" t="s">
        <v>153</v>
      </c>
      <c r="E154" s="4" t="s">
        <v>179</v>
      </c>
      <c r="F154" s="4" t="s">
        <v>151</v>
      </c>
      <c r="G154" s="28" t="s">
        <v>180</v>
      </c>
      <c r="I154" s="28" t="s">
        <v>181</v>
      </c>
    </row>
    <row r="155" ht="15.75" hidden="1" customHeight="1">
      <c r="A155" s="5"/>
      <c r="B155" s="29">
        <f>'Max Calculator'!$E$12-140</f>
        <v>42938</v>
      </c>
      <c r="C155" s="5" t="s">
        <v>4</v>
      </c>
      <c r="D155" s="14" t="str">
        <f>HLOOKUP($I$150,INDIRECT($D$9),VLOOKUP(C155,'Phase Creator'!$B$8:$C$19,2,FALSE),FALSE)</f>
        <v/>
      </c>
      <c r="E155" s="15">
        <v>4.0</v>
      </c>
      <c r="F155" s="15">
        <v>5.0</v>
      </c>
      <c r="G155" s="30">
        <v>0.65</v>
      </c>
      <c r="H155" s="30">
        <v>0.675</v>
      </c>
      <c r="I155" s="14">
        <f>IF(MROUND(IF(D154="squat",'Max Calculator'!$E$8*G155,IF(D154="bench",'Max Calculator'!$E$9*G155,IF(D154="deadlift",'Max Calculator'!$E$10*G155,0))),5)=0," ",MROUND(IF(D154="squat",'Max Calculator'!$E$8*G155,IF(D154="bench",'Max Calculator'!$E$9*G155,IF(D154="deadlift",'Max Calculator'!$E$10*G155,0))),5))</f>
        <v>145</v>
      </c>
      <c r="J155" s="14">
        <f>IF(MROUND(IF(D154="squat",'Max Calculator'!$E$8*H155,IF(D154="bench",'Max Calculator'!$E$9*H155,IF(D154="deadlift",'Max Calculator'!$E$10*H155,0))),5)=0," ",MROUND(IF(D154="squat",'Max Calculator'!$E$8*H155,IF(D154="bench",'Max Calculator'!$E$9*H155,IF(D154="deadlift",'Max Calculator'!$E$10*H155,0))),5))</f>
        <v>150</v>
      </c>
    </row>
    <row r="156" ht="15.75" hidden="1" customHeight="1">
      <c r="A156" s="5"/>
      <c r="B156" s="29">
        <f>'Max Calculator'!$E$12-133</f>
        <v>42945</v>
      </c>
      <c r="C156" s="5" t="s">
        <v>11</v>
      </c>
      <c r="D156" s="14" t="str">
        <f>HLOOKUP($I$150,INDIRECT($D$9),VLOOKUP(C156,'Phase Creator'!$B$8:$C$19,2,FALSE),FALSE)</f>
        <v/>
      </c>
      <c r="E156" s="15">
        <v>3.0</v>
      </c>
      <c r="F156" s="15">
        <v>5.0</v>
      </c>
      <c r="G156" s="30">
        <v>0.675</v>
      </c>
      <c r="H156" s="30">
        <v>0.725</v>
      </c>
      <c r="I156" s="14">
        <f>IF(MROUND(IF(D154="squat",'Max Calculator'!$E$8*G156,IF(D154="bench",'Max Calculator'!$E$9*G156,IF(D154="deadlift",'Max Calculator'!$E$10*G156,0))),5)=0," ",MROUND(IF(D154="squat",'Max Calculator'!$E$8*G156,IF(D154="bench",'Max Calculator'!$E$9*G156,IF(D154="deadlift",'Max Calculator'!$E$10*G156,0))),5))</f>
        <v>150</v>
      </c>
      <c r="J156" s="14">
        <f>IF(MROUND(IF(D154="squat",'Max Calculator'!$E$8*H156,IF(D154="bench",'Max Calculator'!$E$9*H156,IF(D154="deadlift",'Max Calculator'!$E$10*H156,0))),5)=0," ",MROUND(IF(D154="squat",'Max Calculator'!$E$8*H156,IF(D154="bench",'Max Calculator'!$E$9*H156,IF(D154="deadlift",'Max Calculator'!$E$10*H156,0))),5))</f>
        <v>165</v>
      </c>
    </row>
    <row r="157" ht="15.75" hidden="1" customHeight="1">
      <c r="A157" s="5"/>
      <c r="B157" s="29">
        <f>'Max Calculator'!$E$12-126</f>
        <v>42952</v>
      </c>
      <c r="C157" s="5" t="s">
        <v>13</v>
      </c>
      <c r="D157" s="14" t="str">
        <f>HLOOKUP($I$150,INDIRECT($D$9),VLOOKUP(C157,'Phase Creator'!$B$8:$C$19,2,FALSE),FALSE)</f>
        <v/>
      </c>
      <c r="E157" s="15">
        <v>5.0</v>
      </c>
      <c r="F157" s="15">
        <v>5.0</v>
      </c>
      <c r="G157" s="30">
        <v>0.7</v>
      </c>
      <c r="H157" s="30">
        <v>0.75</v>
      </c>
      <c r="I157" s="14">
        <f>IF(MROUND(IF(D154="squat",'Max Calculator'!$E$8*G157,IF(D154="bench",'Max Calculator'!$E$9*G157,IF(D154="deadlift",'Max Calculator'!$E$10*G157,0))),5)=0," ",MROUND(IF(D154="squat",'Max Calculator'!$E$8*G157,IF(D154="bench",'Max Calculator'!$E$9*G157,IF(D154="deadlift",'Max Calculator'!$E$10*G157,0))),5))</f>
        <v>160</v>
      </c>
      <c r="J157" s="14">
        <f>IF(MROUND(IF(D154="squat",'Max Calculator'!$E$8*H157,IF(D154="bench",'Max Calculator'!$E$9*H157,IF(D154="deadlift",'Max Calculator'!$E$10*H157,0))),5)=0," ",MROUND(IF(D154="squat",'Max Calculator'!$E$8*H157,IF(D154="bench",'Max Calculator'!$E$9*H157,IF(D154="deadlift",'Max Calculator'!$E$10*H157,0))),5))</f>
        <v>170</v>
      </c>
    </row>
    <row r="158" ht="15.75" hidden="1" customHeight="1">
      <c r="A158" s="5"/>
      <c r="B158" s="29">
        <f>'Max Calculator'!$E$12-119</f>
        <v>42959</v>
      </c>
      <c r="C158" s="5" t="s">
        <v>18</v>
      </c>
      <c r="D158" s="14" t="str">
        <f>HLOOKUP($I$150,INDIRECT($D$9),VLOOKUP(C158,'Phase Creator'!$B$8:$C$19,2,FALSE),FALSE)</f>
        <v/>
      </c>
      <c r="E158" s="15">
        <v>2.0</v>
      </c>
      <c r="F158" s="15">
        <v>8.0</v>
      </c>
      <c r="G158" s="30">
        <v>0.6</v>
      </c>
      <c r="H158" s="30">
        <v>0.65</v>
      </c>
      <c r="I158" s="14">
        <f>IF(MROUND(IF(D154="squat",'Max Calculator'!$E$8*G158,IF(D154="bench",'Max Calculator'!$E$9*G158,IF(D154="deadlift",'Max Calculator'!$E$10*G158,0))),5)=0," ",MROUND(IF(D154="squat",'Max Calculator'!$E$8*G158,IF(D154="bench",'Max Calculator'!$E$9*G158,IF(D154="deadlift",'Max Calculator'!$E$10*G158,0))),5))</f>
        <v>135</v>
      </c>
      <c r="J158" s="14">
        <f>IF(MROUND(IF(D154="squat",'Max Calculator'!$E$8*H158,IF(D154="bench",'Max Calculator'!$E$9*H158,IF(D154="deadlift",'Max Calculator'!$E$10*H158,0))),5)=0," ",MROUND(IF(D154="squat",'Max Calculator'!$E$8*H158,IF(D154="bench",'Max Calculator'!$E$9*H158,IF(D154="deadlift",'Max Calculator'!$E$10*H158,0))),5))</f>
        <v>145</v>
      </c>
    </row>
    <row r="159" ht="15.75" hidden="1" customHeight="1">
      <c r="D159" s="5"/>
    </row>
    <row r="160" ht="15.75" hidden="1" customHeight="1">
      <c r="A160" s="4"/>
      <c r="B160" s="4" t="s">
        <v>178</v>
      </c>
      <c r="C160" s="4" t="s">
        <v>21</v>
      </c>
      <c r="D160" s="32" t="s">
        <v>153</v>
      </c>
      <c r="E160" s="4" t="s">
        <v>179</v>
      </c>
      <c r="F160" s="4" t="s">
        <v>151</v>
      </c>
      <c r="G160" s="4" t="s">
        <v>180</v>
      </c>
      <c r="I160" s="28" t="s">
        <v>181</v>
      </c>
    </row>
    <row r="161" ht="15.75" hidden="1" customHeight="1">
      <c r="A161" s="5"/>
      <c r="B161" s="29">
        <f>'Max Calculator'!$E$12-140</f>
        <v>42938</v>
      </c>
      <c r="C161" s="5" t="s">
        <v>20</v>
      </c>
      <c r="D161" s="14" t="str">
        <f>HLOOKUP($I$150,INDIRECT($D$9),VLOOKUP(C161,'Phase Creator'!$B$8:$C$19,2,FALSE),FALSE)</f>
        <v/>
      </c>
      <c r="E161" s="15">
        <v>3.0</v>
      </c>
      <c r="F161" s="15">
        <v>8.0</v>
      </c>
      <c r="G161" s="30"/>
      <c r="H161" s="30">
        <v>0.4</v>
      </c>
      <c r="I161" s="14" t="str">
        <f>IF(MROUND(IF(D160="squat",'Max Calculator'!$E$8*G161,IF(D160="bench",'Max Calculator'!$E$9*G161,IF(D160="deadlift",'Max Calculator'!$E$10*G161,0))),5)=0," ",MROUND(IF(D160="squat",'Max Calculator'!$E$8*G161,IF(D160="bench",'Max Calculator'!$E$9*G161,IF(D160="deadlift",'Max Calculator'!$E$10*G161,0))),5))</f>
        <v> </v>
      </c>
      <c r="J161" s="14">
        <f>IF(MROUND(IF(D160="squat",'Max Calculator'!$E$8*H161,IF(D160="bench",'Max Calculator'!$E$9*H161,IF(D160="deadlift",'Max Calculator'!$E$10*H161,0))),5)=0," ",MROUND(IF(D160="squat",'Max Calculator'!$E$8*H161,IF(D160="bench",'Max Calculator'!$E$9*H161,IF(D160="deadlift",'Max Calculator'!$E$10*H161,0))),5))</f>
        <v>90</v>
      </c>
    </row>
    <row r="162" ht="15.75" hidden="1" customHeight="1">
      <c r="A162" s="5"/>
      <c r="B162" s="29">
        <f>'Max Calculator'!$E$12-133</f>
        <v>42945</v>
      </c>
      <c r="C162" s="5" t="s">
        <v>27</v>
      </c>
      <c r="D162" s="14" t="str">
        <f>HLOOKUP($I$150,INDIRECT($D$9),VLOOKUP(C162,'Phase Creator'!$B$8:$C$19,2,FALSE),FALSE)</f>
        <v/>
      </c>
      <c r="E162" s="15">
        <v>2.0</v>
      </c>
      <c r="F162" s="15">
        <v>10.0</v>
      </c>
      <c r="G162" s="30"/>
      <c r="H162" s="30">
        <v>0.4</v>
      </c>
      <c r="I162" s="14" t="str">
        <f>IF(MROUND(IF(D160="squat",'Max Calculator'!$E$8*G162,IF(D160="bench",'Max Calculator'!$E$9*G162,IF(D160="deadlift",'Max Calculator'!$E$10*G162,0))),5)=0," ",MROUND(IF(D160="squat",'Max Calculator'!$E$8*G162,IF(D160="bench",'Max Calculator'!$E$9*G162,IF(D160="deadlift",'Max Calculator'!$E$10*G162,0))),5))</f>
        <v> </v>
      </c>
      <c r="J162" s="14">
        <f>IF(MROUND(IF(D160="squat",'Max Calculator'!$E$8*H162,IF(D160="bench",'Max Calculator'!$E$9*H162,IF(D160="deadlift",'Max Calculator'!$E$10*H162,0))),5)=0," ",MROUND(IF(D160="squat",'Max Calculator'!$E$8*H162,IF(D160="bench",'Max Calculator'!$E$9*H162,IF(D160="deadlift",'Max Calculator'!$E$10*H162,0))),5))</f>
        <v>90</v>
      </c>
    </row>
    <row r="163" ht="15.75" hidden="1" customHeight="1">
      <c r="A163" s="5"/>
      <c r="B163" s="29">
        <f>'Max Calculator'!$E$12-126</f>
        <v>42952</v>
      </c>
      <c r="C163" s="5" t="s">
        <v>28</v>
      </c>
      <c r="D163" s="14" t="str">
        <f>HLOOKUP($I$150,INDIRECT($D$9),VLOOKUP(C163,'Phase Creator'!$B$8:$C$19,2,FALSE),FALSE)</f>
        <v/>
      </c>
      <c r="E163" s="15">
        <v>4.0</v>
      </c>
      <c r="F163" s="15">
        <v>8.0</v>
      </c>
      <c r="G163" s="30"/>
      <c r="H163" s="30">
        <v>0.45</v>
      </c>
      <c r="I163" s="14" t="str">
        <f>IF(MROUND(IF(D160="squat",'Max Calculator'!$E$8*G163,IF(D160="bench",'Max Calculator'!$E$9*G163,IF(D160="deadlift",'Max Calculator'!$E$10*G163,0))),5)=0," ",MROUND(IF(D160="squat",'Max Calculator'!$E$8*G163,IF(D160="bench",'Max Calculator'!$E$9*G163,IF(D160="deadlift",'Max Calculator'!$E$10*G163,0))),5))</f>
        <v> </v>
      </c>
      <c r="J163" s="14">
        <f>IF(MROUND(IF(D160="squat",'Max Calculator'!$E$8*H163,IF(D160="bench",'Max Calculator'!$E$9*H163,IF(D160="deadlift",'Max Calculator'!$E$10*H163,0))),5)=0," ",MROUND(IF(D160="squat",'Max Calculator'!$E$8*H163,IF(D160="bench",'Max Calculator'!$E$9*H163,IF(D160="deadlift",'Max Calculator'!$E$10*H163,0))),5))</f>
        <v>100</v>
      </c>
    </row>
    <row r="164" ht="15.75" hidden="1" customHeight="1">
      <c r="A164" s="5"/>
      <c r="B164" s="29">
        <f>'Max Calculator'!$E$12-119</f>
        <v>42959</v>
      </c>
      <c r="C164" s="5" t="s">
        <v>32</v>
      </c>
      <c r="D164" s="14" t="str">
        <f>HLOOKUP($I$150,INDIRECT($D$9),VLOOKUP(C164,'Phase Creator'!$B$8:$C$19,2,FALSE),FALSE)</f>
        <v/>
      </c>
      <c r="E164" s="15">
        <v>1.0</v>
      </c>
      <c r="F164" s="15">
        <v>10.0</v>
      </c>
      <c r="G164" s="30"/>
      <c r="H164" s="30">
        <v>0.4</v>
      </c>
      <c r="I164" s="14" t="str">
        <f>IF(MROUND(IF(D160="squat",'Max Calculator'!$E$8*G164,IF(D160="bench",'Max Calculator'!$E$9*G164,IF(D160="deadlift",'Max Calculator'!$E$10*G164,0))),5)=0," ",MROUND(IF(D160="squat",'Max Calculator'!$E$8*G164,IF(D160="bench",'Max Calculator'!$E$9*G164,IF(D160="deadlift",'Max Calculator'!$E$10*G164,0))),5))</f>
        <v> </v>
      </c>
      <c r="J164" s="14">
        <f>IF(MROUND(IF(D160="squat",'Max Calculator'!$E$8*H164,IF(D160="bench",'Max Calculator'!$E$9*H164,IF(D160="deadlift",'Max Calculator'!$E$10*H164,0))),5)=0," ",MROUND(IF(D160="squat",'Max Calculator'!$E$8*H164,IF(D160="bench",'Max Calculator'!$E$9*H164,IF(D160="deadlift",'Max Calculator'!$E$10*H164,0))),5))</f>
        <v>90</v>
      </c>
    </row>
    <row r="165" ht="15.75" hidden="1" customHeight="1"/>
    <row r="166" ht="15.75" hidden="1" customHeight="1">
      <c r="A166" s="4"/>
      <c r="B166" s="4" t="s">
        <v>178</v>
      </c>
      <c r="C166" s="4" t="s">
        <v>33</v>
      </c>
      <c r="D166" s="32" t="s">
        <v>153</v>
      </c>
      <c r="E166" s="4" t="s">
        <v>179</v>
      </c>
      <c r="F166" s="4" t="s">
        <v>151</v>
      </c>
      <c r="G166" s="4" t="s">
        <v>180</v>
      </c>
      <c r="I166" s="28" t="s">
        <v>181</v>
      </c>
    </row>
    <row r="167" ht="15.75" hidden="1" customHeight="1">
      <c r="A167" s="5"/>
      <c r="B167" s="29">
        <f>'Max Calculator'!$E$12-140</f>
        <v>42938</v>
      </c>
      <c r="C167" s="5" t="s">
        <v>33</v>
      </c>
      <c r="D167" s="14" t="str">
        <f>HLOOKUP($I$150,INDIRECT($D$9),VLOOKUP(C167,'Phase Creator'!$B$8:$C$19,2,FALSE),FALSE)</f>
        <v/>
      </c>
      <c r="E167" s="15">
        <v>4.0</v>
      </c>
      <c r="F167" s="15">
        <v>8.0</v>
      </c>
      <c r="G167" s="30"/>
      <c r="H167" s="30">
        <v>0.55</v>
      </c>
      <c r="I167" s="14" t="str">
        <f>IF(MROUND(IF(D166="squat",'Max Calculator'!$E$8*G167,IF(D166="bench",'Max Calculator'!$E$9*G167,IF(D166="deadlift",'Max Calculator'!$E$10*G167,0))),5)=0," ",MROUND(IF(D166="squat",'Max Calculator'!$E$8*G167,IF(D166="bench",'Max Calculator'!$E$9*G167,IF(D166="deadlift",'Max Calculator'!$E$10*G167,0))),5))</f>
        <v> </v>
      </c>
      <c r="J167" s="14">
        <f>IF(MROUND(IF(D166="squat",'Max Calculator'!$E$8*H167,IF(D166="bench",'Max Calculator'!$E$9*H167,IF(D166="deadlift",'Max Calculator'!$E$10*H167,0))),5)=0," ",MROUND(IF(D166="squat",'Max Calculator'!$E$8*H167,IF(D166="bench",'Max Calculator'!$E$9*H167,IF(D166="deadlift",'Max Calculator'!$E$10*H167,0))),5))</f>
        <v>125</v>
      </c>
    </row>
    <row r="168" ht="15.75" hidden="1" customHeight="1">
      <c r="A168" s="5"/>
      <c r="B168" s="29">
        <f>'Max Calculator'!$E$12-133</f>
        <v>42945</v>
      </c>
      <c r="C168" s="5" t="s">
        <v>33</v>
      </c>
      <c r="D168" s="14" t="str">
        <f>HLOOKUP($I$150,INDIRECT($D$9),VLOOKUP(C168,'Phase Creator'!$B$8:$C$19,2,FALSE),FALSE)</f>
        <v/>
      </c>
      <c r="E168" s="15">
        <v>3.0</v>
      </c>
      <c r="F168" s="15">
        <v>12.0</v>
      </c>
      <c r="G168" s="30"/>
      <c r="H168" s="30">
        <v>0.45</v>
      </c>
      <c r="I168" s="14" t="str">
        <f>IF(MROUND(IF(D166="squat",'Max Calculator'!$E$8*G168,IF(D166="bench",'Max Calculator'!$E$9*G168,IF(D166="deadlift",'Max Calculator'!$E$10*G168,0))),5)=0," ",MROUND(IF(D166="squat",'Max Calculator'!$E$8*G168,IF(D166="bench",'Max Calculator'!$E$9*G168,IF(D166="deadlift",'Max Calculator'!$E$10*G168,0))),5))</f>
        <v> </v>
      </c>
      <c r="J168" s="14">
        <f>IF(MROUND(IF(D166="squat",'Max Calculator'!$E$8*H168,IF(D166="bench",'Max Calculator'!$E$9*H168,IF(D166="deadlift",'Max Calculator'!$E$10*H168,0))),5)=0," ",MROUND(IF(D166="squat",'Max Calculator'!$E$8*H168,IF(D166="bench",'Max Calculator'!$E$9*H168,IF(D166="deadlift",'Max Calculator'!$E$10*H168,0))),5))</f>
        <v>100</v>
      </c>
    </row>
    <row r="169" ht="15.75" hidden="1" customHeight="1">
      <c r="A169" s="5"/>
      <c r="B169" s="29">
        <f>'Max Calculator'!$E$12-126</f>
        <v>42952</v>
      </c>
      <c r="C169" s="5" t="s">
        <v>33</v>
      </c>
      <c r="D169" s="14" t="str">
        <f>HLOOKUP($I$150,INDIRECT($D$9),VLOOKUP(C169,'Phase Creator'!$B$8:$C$19,2,FALSE),FALSE)</f>
        <v/>
      </c>
      <c r="E169" s="15">
        <v>5.0</v>
      </c>
      <c r="F169" s="15">
        <v>10.0</v>
      </c>
      <c r="G169" s="30"/>
      <c r="H169" s="30">
        <v>0.5</v>
      </c>
      <c r="I169" s="14" t="str">
        <f>IF(MROUND(IF(D166="squat",'Max Calculator'!$E$8*G169,IF(D166="bench",'Max Calculator'!$E$9*G169,IF(D166="deadlift",'Max Calculator'!$E$10*G169,0))),5)=0," ",MROUND(IF(D166="squat",'Max Calculator'!$E$8*G169,IF(D166="bench",'Max Calculator'!$E$9*G169,IF(D166="deadlift",'Max Calculator'!$E$10*G169,0))),5))</f>
        <v> </v>
      </c>
      <c r="J169" s="14">
        <f>IF(MROUND(IF(D166="squat",'Max Calculator'!$E$8*H169,IF(D166="bench",'Max Calculator'!$E$9*H169,IF(D166="deadlift",'Max Calculator'!$E$10*H169,0))),5)=0," ",MROUND(IF(D166="squat",'Max Calculator'!$E$8*H169,IF(D166="bench",'Max Calculator'!$E$9*H169,IF(D166="deadlift",'Max Calculator'!$E$10*H169,0))),5))</f>
        <v>115</v>
      </c>
    </row>
    <row r="170" ht="15.75" hidden="1" customHeight="1">
      <c r="A170" s="5"/>
      <c r="B170" s="29">
        <f>'Max Calculator'!$E$12-119</f>
        <v>42959</v>
      </c>
      <c r="C170" s="5" t="s">
        <v>33</v>
      </c>
      <c r="D170" s="14" t="str">
        <f>HLOOKUP($I$150,INDIRECT($D$9),VLOOKUP(C170,'Phase Creator'!$B$8:$C$19,2,FALSE),FALSE)</f>
        <v/>
      </c>
      <c r="E170" s="15">
        <v>2.0</v>
      </c>
      <c r="F170" s="15">
        <v>12.0</v>
      </c>
      <c r="G170" s="30"/>
      <c r="H170" s="30">
        <v>0.45</v>
      </c>
      <c r="I170" s="14" t="str">
        <f>IF(MROUND(IF(D166="squat",'Max Calculator'!$E$8*G170,IF(D166="bench",'Max Calculator'!$E$9*G170,IF(D166="deadlift",'Max Calculator'!$E$10*G170,0))),5)=0," ",MROUND(IF(D166="squat",'Max Calculator'!$E$8*G170,IF(D166="bench",'Max Calculator'!$E$9*G170,IF(D166="deadlift",'Max Calculator'!$E$10*G170,0))),5))</f>
        <v> </v>
      </c>
      <c r="J170" s="14">
        <f>IF(MROUND(IF(D166="squat",'Max Calculator'!$E$8*H170,IF(D166="bench",'Max Calculator'!$E$9*H170,IF(D166="deadlift",'Max Calculator'!$E$10*H170,0))),5)=0," ",MROUND(IF(D166="squat",'Max Calculator'!$E$8*H170,IF(D166="bench",'Max Calculator'!$E$9*H170,IF(D166="deadlift",'Max Calculator'!$E$10*H170,0))),5))</f>
        <v>100</v>
      </c>
    </row>
    <row r="171" ht="15.75" hidden="1" customHeight="1"/>
    <row r="172" ht="15.75" hidden="1" customHeight="1">
      <c r="A172" s="4"/>
      <c r="B172" s="4" t="s">
        <v>178</v>
      </c>
      <c r="C172" s="4" t="s">
        <v>38</v>
      </c>
      <c r="D172" s="32" t="s">
        <v>185</v>
      </c>
      <c r="E172" s="4" t="s">
        <v>179</v>
      </c>
      <c r="F172" s="4" t="s">
        <v>151</v>
      </c>
      <c r="G172" s="4" t="s">
        <v>180</v>
      </c>
      <c r="I172" s="28" t="s">
        <v>181</v>
      </c>
    </row>
    <row r="173" ht="15.75" hidden="1" customHeight="1">
      <c r="A173" s="5"/>
      <c r="B173" s="29">
        <f>'Max Calculator'!$E$12-140</f>
        <v>42938</v>
      </c>
      <c r="C173" s="5" t="s">
        <v>38</v>
      </c>
      <c r="D173" s="14" t="str">
        <f>HLOOKUP($I$150,INDIRECT($D$9),VLOOKUP(C173,'Phase Creator'!$B$8:$C$19,2,FALSE),FALSE)</f>
        <v/>
      </c>
      <c r="E173" s="15">
        <v>2.0</v>
      </c>
      <c r="F173" s="15">
        <v>8.0</v>
      </c>
      <c r="G173" s="30"/>
      <c r="H173" s="30"/>
      <c r="I173" s="14" t="str">
        <f>IF(MROUND(IF(D172="squat",'Max Calculator'!$E$8*G173,IF(D172="bench",'Max Calculator'!$E$9*G173,IF(D172="deadlift",'Max Calculator'!$E$10*G173,0))),5)=0," ",MROUND(IF(D172="squat",'Max Calculator'!$E$8*G173,IF(D172="bench",'Max Calculator'!$E$9*G173,IF(D172="deadlift",'Max Calculator'!$E$10*G173,0))),5))</f>
        <v> </v>
      </c>
      <c r="J173" s="14" t="str">
        <f>IF(MROUND(IF(D172="squat",'Max Calculator'!$E$8*H173,IF(D172="bench",'Max Calculator'!$E$9*H173,IF(D172="deadlift",'Max Calculator'!$E$10*H173,0))),5)=0," ",MROUND(IF(D172="squat",'Max Calculator'!$E$8*H173,IF(D172="bench",'Max Calculator'!$E$9*H173,IF(D172="deadlift",'Max Calculator'!$E$10*H173,0))),5))</f>
        <v> </v>
      </c>
    </row>
    <row r="174" ht="15.75" hidden="1" customHeight="1">
      <c r="A174" s="5"/>
      <c r="B174" s="29">
        <f>'Max Calculator'!$E$12-133</f>
        <v>42945</v>
      </c>
      <c r="C174" s="5" t="s">
        <v>38</v>
      </c>
      <c r="D174" s="14" t="str">
        <f>HLOOKUP($I$150,INDIRECT($D$9),VLOOKUP(C174,'Phase Creator'!$B$8:$C$19,2,FALSE),FALSE)</f>
        <v/>
      </c>
      <c r="E174" s="15">
        <v>3.0</v>
      </c>
      <c r="F174" s="15">
        <v>12.0</v>
      </c>
      <c r="G174" s="30"/>
      <c r="H174" s="30"/>
      <c r="I174" s="14" t="str">
        <f>IF(MROUND(IF(D172="squat",'Max Calculator'!$E$8*G174,IF(D172="bench",'Max Calculator'!$E$9*G174,IF(D172="deadlift",'Max Calculator'!$E$10*G174,0))),5)=0," ",MROUND(IF(D172="squat",'Max Calculator'!$E$8*G174,IF(D172="bench",'Max Calculator'!$E$9*G174,IF(D172="deadlift",'Max Calculator'!$E$10*G174,0))),5))</f>
        <v> </v>
      </c>
      <c r="J174" s="14" t="str">
        <f>IF(MROUND(IF(D172="squat",'Max Calculator'!$E$8*H174,IF(D172="bench",'Max Calculator'!$E$9*H174,IF(D172="deadlift",'Max Calculator'!$E$10*H174,0))),5)=0," ",MROUND(IF(D172="squat",'Max Calculator'!$E$8*H174,IF(D172="bench",'Max Calculator'!$E$9*H174,IF(D172="deadlift",'Max Calculator'!$E$10*H174,0))),5))</f>
        <v> </v>
      </c>
    </row>
    <row r="175" ht="15.75" hidden="1" customHeight="1">
      <c r="A175" s="5"/>
      <c r="B175" s="29">
        <f>'Max Calculator'!$E$12-126</f>
        <v>42952</v>
      </c>
      <c r="C175" s="5" t="s">
        <v>38</v>
      </c>
      <c r="D175" s="14" t="str">
        <f>HLOOKUP($I$150,INDIRECT($D$9),VLOOKUP(C175,'Phase Creator'!$B$8:$C$19,2,FALSE),FALSE)</f>
        <v/>
      </c>
      <c r="E175" s="15">
        <v>4.0</v>
      </c>
      <c r="F175" s="15">
        <v>10.0</v>
      </c>
      <c r="G175" s="30"/>
      <c r="H175" s="30"/>
      <c r="I175" s="14" t="str">
        <f>IF(MROUND(IF(D172="squat",'Max Calculator'!$E$8*G175,IF(D172="bench",'Max Calculator'!$E$9*G175,IF(D172="deadlift",'Max Calculator'!$E$10*G175,0))),5)=0," ",MROUND(IF(D172="squat",'Max Calculator'!$E$8*G175,IF(D172="bench",'Max Calculator'!$E$9*G175,IF(D172="deadlift",'Max Calculator'!$E$10*G175,0))),5))</f>
        <v> </v>
      </c>
      <c r="J175" s="14" t="str">
        <f>IF(MROUND(IF(D172="squat",'Max Calculator'!$E$8*H175,IF(D172="bench",'Max Calculator'!$E$9*H175,IF(D172="deadlift",'Max Calculator'!$E$10*H175,0))),5)=0," ",MROUND(IF(D172="squat",'Max Calculator'!$E$8*H175,IF(D172="bench",'Max Calculator'!$E$9*H175,IF(D172="deadlift",'Max Calculator'!$E$10*H175,0))),5))</f>
        <v> </v>
      </c>
    </row>
    <row r="176" ht="15.75" hidden="1" customHeight="1">
      <c r="A176" s="5"/>
      <c r="B176" s="29">
        <f>'Max Calculator'!$E$12-119</f>
        <v>42959</v>
      </c>
      <c r="C176" s="5" t="s">
        <v>38</v>
      </c>
      <c r="D176" s="14" t="str">
        <f>HLOOKUP($I$150,INDIRECT($D$9),VLOOKUP(C176,'Phase Creator'!$B$8:$C$19,2,FALSE),FALSE)</f>
        <v/>
      </c>
      <c r="E176" s="15">
        <v>1.0</v>
      </c>
      <c r="F176" s="15">
        <v>20.0</v>
      </c>
      <c r="G176" s="30"/>
      <c r="H176" s="30"/>
      <c r="I176" s="14" t="str">
        <f>IF(MROUND(IF(D172="squat",'Max Calculator'!$E$8*G176,IF(D172="bench",'Max Calculator'!$E$9*G176,IF(D172="deadlift",'Max Calculator'!$E$10*G176,0))),5)=0," ",MROUND(IF(D172="squat",'Max Calculator'!$E$8*G176,IF(D172="bench",'Max Calculator'!$E$9*G176,IF(D172="deadlift",'Max Calculator'!$E$10*G176,0))),5))</f>
        <v> </v>
      </c>
      <c r="J176" s="14" t="str">
        <f>IF(MROUND(IF(D172="squat",'Max Calculator'!$E$8*H176,IF(D172="bench",'Max Calculator'!$E$9*H176,IF(D172="deadlift",'Max Calculator'!$E$10*H176,0))),5)=0," ",MROUND(IF(D172="squat",'Max Calculator'!$E$8*H176,IF(D172="bench",'Max Calculator'!$E$9*H176,IF(D172="deadlift",'Max Calculator'!$E$10*H176,0))),5))</f>
        <v> </v>
      </c>
    </row>
    <row r="177" ht="15.75" hidden="1" customHeight="1"/>
    <row r="178" ht="15.75" hidden="1" customHeight="1">
      <c r="A178" s="4"/>
      <c r="B178" s="4" t="s">
        <v>178</v>
      </c>
      <c r="C178" s="4" t="s">
        <v>43</v>
      </c>
      <c r="D178" s="32" t="s">
        <v>185</v>
      </c>
      <c r="E178" s="4" t="s">
        <v>179</v>
      </c>
      <c r="F178" s="4" t="s">
        <v>151</v>
      </c>
      <c r="G178" s="4" t="s">
        <v>180</v>
      </c>
      <c r="I178" s="28" t="s">
        <v>181</v>
      </c>
    </row>
    <row r="179" ht="15.75" hidden="1" customHeight="1">
      <c r="A179" s="5"/>
      <c r="B179" s="29">
        <f>'Max Calculator'!$E$12-140</f>
        <v>42938</v>
      </c>
      <c r="C179" s="5" t="s">
        <v>43</v>
      </c>
      <c r="D179" s="14" t="str">
        <f>HLOOKUP($I$150,INDIRECT($D$9),VLOOKUP(C179,'Phase Creator'!$B$8:$C$19,2,FALSE),FALSE)</f>
        <v/>
      </c>
      <c r="E179" s="15">
        <v>2.0</v>
      </c>
      <c r="F179" s="15">
        <v>8.0</v>
      </c>
      <c r="G179" s="30"/>
      <c r="H179" s="30"/>
      <c r="I179" s="14" t="str">
        <f>IF(MROUND(IF(D178="squat",'Max Calculator'!$E$8*G179,IF(D178="bench",'Max Calculator'!$E$9*G179,IF(D178="deadlift",'Max Calculator'!$E$10*G179,0))),5)=0," ",MROUND(IF(D178="squat",'Max Calculator'!$E$8*G179,IF(D178="bench",'Max Calculator'!$E$9*G179,IF(D178="deadlift",'Max Calculator'!$E$10*G179,0))),5))</f>
        <v> </v>
      </c>
      <c r="J179" s="14" t="str">
        <f>IF(MROUND(IF(D178="squat",'Max Calculator'!$E$8*H179,IF(D178="bench",'Max Calculator'!$E$9*H179,IF(D178="deadlift",'Max Calculator'!$E$10*H179,0))),5)=0," ",MROUND(IF(D178="squat",'Max Calculator'!$E$8*H179,IF(D178="bench",'Max Calculator'!$E$9*H179,IF(D178="deadlift",'Max Calculator'!$E$10*H179,0))),5))</f>
        <v> </v>
      </c>
    </row>
    <row r="180" ht="15.75" hidden="1" customHeight="1">
      <c r="A180" s="5"/>
      <c r="B180" s="29">
        <f>'Max Calculator'!$E$12-133</f>
        <v>42945</v>
      </c>
      <c r="C180" s="5" t="s">
        <v>43</v>
      </c>
      <c r="D180" s="14" t="str">
        <f>HLOOKUP($I$150,INDIRECT($D$9),VLOOKUP(C180,'Phase Creator'!$B$8:$C$19,2,FALSE),FALSE)</f>
        <v/>
      </c>
      <c r="E180" s="15">
        <v>3.0</v>
      </c>
      <c r="F180" s="15">
        <v>12.0</v>
      </c>
      <c r="G180" s="30"/>
      <c r="H180" s="30"/>
      <c r="I180" s="14" t="str">
        <f>IF(MROUND(IF(D178="squat",'Max Calculator'!$E$8*G180,IF(D178="bench",'Max Calculator'!$E$9*G180,IF(D178="deadlift",'Max Calculator'!$E$10*G180,0))),5)=0," ",MROUND(IF(D178="squat",'Max Calculator'!$E$8*G180,IF(D178="bench",'Max Calculator'!$E$9*G180,IF(D178="deadlift",'Max Calculator'!$E$10*G180,0))),5))</f>
        <v> </v>
      </c>
      <c r="J180" s="14" t="str">
        <f>IF(MROUND(IF(D178="squat",'Max Calculator'!$E$8*H180,IF(D178="bench",'Max Calculator'!$E$9*H180,IF(D178="deadlift",'Max Calculator'!$E$10*H180,0))),5)=0," ",MROUND(IF(D178="squat",'Max Calculator'!$E$8*H180,IF(D178="bench",'Max Calculator'!$E$9*H180,IF(D178="deadlift",'Max Calculator'!$E$10*H180,0))),5))</f>
        <v> </v>
      </c>
    </row>
    <row r="181" ht="15.75" hidden="1" customHeight="1">
      <c r="A181" s="5"/>
      <c r="B181" s="29">
        <f>'Max Calculator'!$E$12-126</f>
        <v>42952</v>
      </c>
      <c r="C181" s="5" t="s">
        <v>43</v>
      </c>
      <c r="D181" s="14" t="str">
        <f>HLOOKUP($I$150,INDIRECT($D$9),VLOOKUP(C181,'Phase Creator'!$B$8:$C$19,2,FALSE),FALSE)</f>
        <v/>
      </c>
      <c r="E181" s="15">
        <v>4.0</v>
      </c>
      <c r="F181" s="15">
        <v>10.0</v>
      </c>
      <c r="G181" s="30"/>
      <c r="H181" s="30"/>
      <c r="I181" s="14" t="str">
        <f>IF(MROUND(IF(D178="squat",'Max Calculator'!$E$8*G181,IF(D178="bench",'Max Calculator'!$E$9*G181,IF(D178="deadlift",'Max Calculator'!$E$10*G181,0))),5)=0," ",MROUND(IF(D178="squat",'Max Calculator'!$E$8*G181,IF(D178="bench",'Max Calculator'!$E$9*G181,IF(D178="deadlift",'Max Calculator'!$E$10*G181,0))),5))</f>
        <v> </v>
      </c>
      <c r="J181" s="14" t="str">
        <f>IF(MROUND(IF(D178="squat",'Max Calculator'!$E$8*H181,IF(D178="bench",'Max Calculator'!$E$9*H181,IF(D178="deadlift",'Max Calculator'!$E$10*H181,0))),5)=0," ",MROUND(IF(D178="squat",'Max Calculator'!$E$8*H181,IF(D178="bench",'Max Calculator'!$E$9*H181,IF(D178="deadlift",'Max Calculator'!$E$10*H181,0))),5))</f>
        <v> </v>
      </c>
    </row>
    <row r="182" ht="15.75" hidden="1" customHeight="1">
      <c r="A182" s="5"/>
      <c r="B182" s="29">
        <f>'Max Calculator'!$E$12-119</f>
        <v>42959</v>
      </c>
      <c r="C182" s="5" t="s">
        <v>43</v>
      </c>
      <c r="D182" s="14" t="str">
        <f>HLOOKUP($I$150,INDIRECT($D$9),VLOOKUP(C182,'Phase Creator'!$B$8:$C$19,2,FALSE),FALSE)</f>
        <v/>
      </c>
      <c r="E182" s="15">
        <v>1.0</v>
      </c>
      <c r="F182" s="15">
        <v>20.0</v>
      </c>
      <c r="G182" s="30"/>
      <c r="H182" s="30"/>
      <c r="I182" s="14" t="str">
        <f>IF(MROUND(IF(D178="squat",'Max Calculator'!$E$8*G182,IF(D178="bench",'Max Calculator'!$E$9*G182,IF(D178="deadlift",'Max Calculator'!$E$10*G182,0))),5)=0," ",MROUND(IF(D178="squat",'Max Calculator'!$E$8*G182,IF(D178="bench",'Max Calculator'!$E$9*G182,IF(D178="deadlift",'Max Calculator'!$E$10*G182,0))),5))</f>
        <v> </v>
      </c>
      <c r="J182" s="14" t="str">
        <f>IF(MROUND(IF(D178="squat",'Max Calculator'!$E$8*H182,IF(D178="bench",'Max Calculator'!$E$9*H182,IF(D178="deadlift",'Max Calculator'!$E$10*H182,0))),5)=0," ",MROUND(IF(D178="squat",'Max Calculator'!$E$8*H182,IF(D178="bench",'Max Calculator'!$E$9*H182,IF(D178="deadlift",'Max Calculator'!$E$10*H182,0))),5))</f>
        <v> </v>
      </c>
    </row>
    <row r="183" ht="15.75" hidden="1" customHeight="1"/>
    <row r="184" ht="15.75" hidden="1" customHeight="1">
      <c r="A184" s="4"/>
      <c r="B184" s="4" t="s">
        <v>178</v>
      </c>
      <c r="C184" s="4" t="s">
        <v>48</v>
      </c>
      <c r="D184" s="32" t="s">
        <v>185</v>
      </c>
      <c r="E184" s="4" t="s">
        <v>179</v>
      </c>
      <c r="F184" s="4" t="s">
        <v>151</v>
      </c>
      <c r="G184" s="4" t="s">
        <v>180</v>
      </c>
      <c r="I184" s="28" t="s">
        <v>181</v>
      </c>
    </row>
    <row r="185" ht="15.75" hidden="1" customHeight="1">
      <c r="A185" s="5"/>
      <c r="B185" s="29">
        <f>'Max Calculator'!$E$12-140</f>
        <v>42938</v>
      </c>
      <c r="C185" s="5" t="s">
        <v>48</v>
      </c>
      <c r="D185" s="14" t="str">
        <f>HLOOKUP($I$150,INDIRECT($D$9),VLOOKUP(C185,'Phase Creator'!$B$8:$C$19,2,FALSE),FALSE)</f>
        <v/>
      </c>
      <c r="E185" s="15">
        <v>2.0</v>
      </c>
      <c r="F185" s="15">
        <v>8.0</v>
      </c>
      <c r="G185" s="30"/>
      <c r="H185" s="30"/>
      <c r="I185" s="14" t="str">
        <f>IF(MROUND(IF(D184="squat",'Max Calculator'!$E$8*G185,IF(D184="bench",'Max Calculator'!$E$9*G185,IF(D184="deadlift",'Max Calculator'!$E$10*G185,0))),5)=0," ",MROUND(IF(D184="squat",'Max Calculator'!$E$8*G185,IF(D184="bench",'Max Calculator'!$E$9*G185,IF(D184="deadlift",'Max Calculator'!$E$10*G185,0))),5))</f>
        <v> </v>
      </c>
      <c r="J185" s="14" t="str">
        <f>IF(MROUND(IF(D184="squat",'Max Calculator'!$E$8*H185,IF(D184="bench",'Max Calculator'!$E$9*H185,IF(D184="deadlift",'Max Calculator'!$E$10*H185,0))),5)=0," ",MROUND(IF(D184="squat",'Max Calculator'!$E$8*H185,IF(D184="bench",'Max Calculator'!$E$9*H185,IF(D184="deadlift",'Max Calculator'!$E$10*H185,0))),5))</f>
        <v> </v>
      </c>
    </row>
    <row r="186" ht="15.75" hidden="1" customHeight="1">
      <c r="A186" s="5"/>
      <c r="B186" s="29">
        <f>'Max Calculator'!$E$12-133</f>
        <v>42945</v>
      </c>
      <c r="C186" s="5" t="s">
        <v>48</v>
      </c>
      <c r="D186" s="14" t="str">
        <f>HLOOKUP($I$150,INDIRECT($D$9),VLOOKUP(C186,'Phase Creator'!$B$8:$C$19,2,FALSE),FALSE)</f>
        <v/>
      </c>
      <c r="E186" s="15">
        <v>3.0</v>
      </c>
      <c r="F186" s="15">
        <v>12.0</v>
      </c>
      <c r="G186" s="30"/>
      <c r="H186" s="30"/>
      <c r="I186" s="14" t="str">
        <f>IF(MROUND(IF(D184="squat",'Max Calculator'!$E$8*G186,IF(D184="bench",'Max Calculator'!$E$9*G186,IF(D184="deadlift",'Max Calculator'!$E$10*G186,0))),5)=0," ",MROUND(IF(D184="squat",'Max Calculator'!$E$8*G186,IF(D184="bench",'Max Calculator'!$E$9*G186,IF(D184="deadlift",'Max Calculator'!$E$10*G186,0))),5))</f>
        <v> </v>
      </c>
      <c r="J186" s="14" t="str">
        <f>IF(MROUND(IF(D184="squat",'Max Calculator'!$E$8*H186,IF(D184="bench",'Max Calculator'!$E$9*H186,IF(D184="deadlift",'Max Calculator'!$E$10*H186,0))),5)=0," ",MROUND(IF(D184="squat",'Max Calculator'!$E$8*H186,IF(D184="bench",'Max Calculator'!$E$9*H186,IF(D184="deadlift",'Max Calculator'!$E$10*H186,0))),5))</f>
        <v> </v>
      </c>
    </row>
    <row r="187" ht="15.75" hidden="1" customHeight="1">
      <c r="A187" s="5"/>
      <c r="B187" s="29">
        <f>'Max Calculator'!$E$12-126</f>
        <v>42952</v>
      </c>
      <c r="C187" s="5" t="s">
        <v>48</v>
      </c>
      <c r="D187" s="14" t="str">
        <f>HLOOKUP($I$150,INDIRECT($D$9),VLOOKUP(C187,'Phase Creator'!$B$8:$C$19,2,FALSE),FALSE)</f>
        <v/>
      </c>
      <c r="E187" s="15">
        <v>4.0</v>
      </c>
      <c r="F187" s="15">
        <v>10.0</v>
      </c>
      <c r="G187" s="30"/>
      <c r="H187" s="30"/>
      <c r="I187" s="14" t="str">
        <f>IF(MROUND(IF(D184="squat",'Max Calculator'!$E$8*G187,IF(D184="bench",'Max Calculator'!$E$9*G187,IF(D184="deadlift",'Max Calculator'!$E$10*G187,0))),5)=0," ",MROUND(IF(D184="squat",'Max Calculator'!$E$8*G187,IF(D184="bench",'Max Calculator'!$E$9*G187,IF(D184="deadlift",'Max Calculator'!$E$10*G187,0))),5))</f>
        <v> </v>
      </c>
      <c r="J187" s="14" t="str">
        <f>IF(MROUND(IF(D184="squat",'Max Calculator'!$E$8*H187,IF(D184="bench",'Max Calculator'!$E$9*H187,IF(D184="deadlift",'Max Calculator'!$E$10*H187,0))),5)=0," ",MROUND(IF(D184="squat",'Max Calculator'!$E$8*H187,IF(D184="bench",'Max Calculator'!$E$9*H187,IF(D184="deadlift",'Max Calculator'!$E$10*H187,0))),5))</f>
        <v> </v>
      </c>
    </row>
    <row r="188" ht="15.75" hidden="1" customHeight="1">
      <c r="A188" s="5"/>
      <c r="B188" s="29">
        <f>'Max Calculator'!$E$12-119</f>
        <v>42959</v>
      </c>
      <c r="C188" s="5" t="s">
        <v>48</v>
      </c>
      <c r="D188" s="14" t="str">
        <f>HLOOKUP($I$150,INDIRECT($D$9),VLOOKUP(C188,'Phase Creator'!$B$8:$C$19,2,FALSE),FALSE)</f>
        <v/>
      </c>
      <c r="E188" s="15">
        <v>1.0</v>
      </c>
      <c r="F188" s="15">
        <v>20.0</v>
      </c>
      <c r="G188" s="30"/>
      <c r="H188" s="30"/>
      <c r="I188" s="14" t="str">
        <f>IF(MROUND(IF(D184="squat",'Max Calculator'!$E$8*G188,IF(D184="bench",'Max Calculator'!$E$9*G188,IF(D184="deadlift",'Max Calculator'!$E$10*G188,0))),5)=0," ",MROUND(IF(D184="squat",'Max Calculator'!$E$8*G188,IF(D184="bench",'Max Calculator'!$E$9*G188,IF(D184="deadlift",'Max Calculator'!$E$10*G188,0))),5))</f>
        <v> </v>
      </c>
      <c r="J188" s="14" t="str">
        <f>IF(MROUND(IF(D184="squat",'Max Calculator'!$E$8*H188,IF(D184="bench",'Max Calculator'!$E$9*H188,IF(D184="deadlift",'Max Calculator'!$E$10*H188,0))),5)=0," ",MROUND(IF(D184="squat",'Max Calculator'!$E$8*H188,IF(D184="bench",'Max Calculator'!$E$9*H188,IF(D184="deadlift",'Max Calculator'!$E$10*H188,0))),5))</f>
        <v> </v>
      </c>
    </row>
    <row r="189" ht="15.75" hidden="1" customHeight="1"/>
    <row r="190" ht="15.75" hidden="1" customHeight="1"/>
    <row r="191" ht="15.75" hidden="1" customHeight="1"/>
    <row r="192" ht="15.75" hidden="1" customHeight="1"/>
    <row r="193" ht="15.75" hidden="1" customHeight="1"/>
    <row r="194" ht="15.75" hidden="1" customHeight="1"/>
    <row r="195" ht="15.75" hidden="1" customHeight="1"/>
    <row r="196" ht="15.75" hidden="1" customHeight="1"/>
    <row r="197" ht="15.75" hidden="1" customHeight="1"/>
    <row r="198" ht="15.75" hidden="1" customHeight="1">
      <c r="D198" s="33" t="s">
        <v>188</v>
      </c>
      <c r="E198" s="23"/>
      <c r="F198" s="23"/>
      <c r="G198" s="23"/>
      <c r="H198" s="24" t="s">
        <v>1</v>
      </c>
      <c r="I198" s="25">
        <v>5.0</v>
      </c>
    </row>
    <row r="199" ht="15.75" hidden="1" customHeight="1">
      <c r="D199" s="23"/>
      <c r="E199" s="23"/>
      <c r="F199" s="23"/>
      <c r="G199" s="23"/>
      <c r="H199" s="26"/>
      <c r="I199" s="26"/>
    </row>
    <row r="200" ht="15.75" hidden="1" customHeight="1">
      <c r="K200" s="5"/>
    </row>
    <row r="201" ht="15.75" hidden="1" customHeight="1">
      <c r="D201" s="5"/>
    </row>
    <row r="202" ht="15.75" hidden="1" customHeight="1">
      <c r="A202" s="4"/>
      <c r="B202" s="4"/>
      <c r="C202" s="4" t="s">
        <v>5</v>
      </c>
      <c r="D202" s="32" t="s">
        <v>152</v>
      </c>
      <c r="E202" s="4" t="s">
        <v>179</v>
      </c>
      <c r="F202" s="4" t="s">
        <v>151</v>
      </c>
      <c r="G202" s="28" t="s">
        <v>180</v>
      </c>
      <c r="I202" s="28" t="s">
        <v>181</v>
      </c>
    </row>
    <row r="203" ht="15.75" hidden="1" customHeight="1">
      <c r="A203" s="5"/>
      <c r="B203" s="5"/>
      <c r="C203" s="5" t="s">
        <v>4</v>
      </c>
      <c r="D203" s="14" t="str">
        <f>HLOOKUP($I$198,INDIRECT($D$9),VLOOKUP(C203,'Phase Creator'!$B$8:$C$19,2,FALSE),FALSE)</f>
        <v/>
      </c>
      <c r="E203" s="15">
        <v>4.0</v>
      </c>
      <c r="F203" s="15">
        <v>8.0</v>
      </c>
      <c r="G203" s="30">
        <v>0.525</v>
      </c>
      <c r="H203" s="30">
        <v>0.575</v>
      </c>
      <c r="I203" s="14">
        <f>IF(MROUND(IF(D202="squat",'Max Calculator'!$E$8*G203,IF(D202="bench",'Max Calculator'!$E$9*G203,IF(D202="deadlift",'Max Calculator'!$E$10*G203,0))),5)=0," ",MROUND(IF(D202="squat",'Max Calculator'!$E$8*G203,IF(D202="bench",'Max Calculator'!$E$9*G203,IF(D202="deadlift",'Max Calculator'!$E$10*G203,0))),5))</f>
        <v>165</v>
      </c>
      <c r="J203" s="14">
        <f>IF(MROUND(IF(D202="squat",'Max Calculator'!$E$8*H203,IF(D202="bench",'Max Calculator'!$E$9*H203,IF(D202="deadlift",'Max Calculator'!$E$10*H203,0))),5)=0," ",MROUND(IF(D202="squat",'Max Calculator'!$E$8*H203,IF(D202="bench",'Max Calculator'!$E$9*H203,IF(D202="deadlift",'Max Calculator'!$E$10*H203,0))),5))</f>
        <v>180</v>
      </c>
    </row>
    <row r="204" ht="15.75" hidden="1" customHeight="1">
      <c r="A204" s="5"/>
      <c r="B204" s="5"/>
      <c r="C204" s="5" t="s">
        <v>11</v>
      </c>
      <c r="D204" s="14" t="str">
        <f>HLOOKUP($I$198,INDIRECT($D$9),VLOOKUP(C204,'Phase Creator'!$B$8:$C$19,2,FALSE),FALSE)</f>
        <v/>
      </c>
      <c r="E204" s="15">
        <v>3.0</v>
      </c>
      <c r="F204" s="15">
        <v>8.0</v>
      </c>
      <c r="G204" s="30">
        <v>0.6</v>
      </c>
      <c r="H204" s="30">
        <v>0.625</v>
      </c>
      <c r="I204" s="14">
        <f>IF(MROUND(IF(D202="squat",'Max Calculator'!$E$8*G204,IF(D202="bench",'Max Calculator'!$E$9*G204,IF(D202="deadlift",'Max Calculator'!$E$10*G204,0))),5)=0," ",MROUND(IF(D202="squat",'Max Calculator'!$E$8*G204,IF(D202="bench",'Max Calculator'!$E$9*G204,IF(D202="deadlift",'Max Calculator'!$E$10*G204,0))),5))</f>
        <v>190</v>
      </c>
      <c r="J204" s="14">
        <f>IF(MROUND(IF(D202="squat",'Max Calculator'!$E$8*H204,IF(D202="bench",'Max Calculator'!$E$9*H204,IF(D202="deadlift",'Max Calculator'!$E$10*H204,0))),5)=0," ",MROUND(IF(D202="squat",'Max Calculator'!$E$8*H204,IF(D202="bench",'Max Calculator'!$E$9*H204,IF(D202="deadlift",'Max Calculator'!$E$10*H204,0))),5))</f>
        <v>195</v>
      </c>
    </row>
    <row r="205" ht="15.75" hidden="1" customHeight="1">
      <c r="A205" s="5"/>
      <c r="B205" s="5"/>
      <c r="C205" s="5" t="s">
        <v>13</v>
      </c>
      <c r="D205" s="14" t="str">
        <f>HLOOKUP($I$198,INDIRECT($D$9),VLOOKUP(C205,'Phase Creator'!$B$8:$C$19,2,FALSE),FALSE)</f>
        <v/>
      </c>
      <c r="E205" s="15">
        <v>5.0</v>
      </c>
      <c r="F205" s="15">
        <v>8.0</v>
      </c>
      <c r="G205" s="30">
        <v>0.525</v>
      </c>
      <c r="H205" s="30">
        <v>0.575</v>
      </c>
      <c r="I205" s="14">
        <f>IF(MROUND(IF(D202="squat",'Max Calculator'!$E$8*G205,IF(D202="bench",'Max Calculator'!$E$9*G205,IF(D202="deadlift",'Max Calculator'!$E$10*G205,0))),5)=0," ",MROUND(IF(D202="squat",'Max Calculator'!$E$8*G205,IF(D202="bench",'Max Calculator'!$E$9*G205,IF(D202="deadlift",'Max Calculator'!$E$10*G205,0))),5))</f>
        <v>165</v>
      </c>
      <c r="J205" s="14">
        <f>IF(MROUND(IF(D202="squat",'Max Calculator'!$E$8*H205,IF(D202="bench",'Max Calculator'!$E$9*H205,IF(D202="deadlift",'Max Calculator'!$E$10*H205,0))),5)=0," ",MROUND(IF(D202="squat",'Max Calculator'!$E$8*H205,IF(D202="bench",'Max Calculator'!$E$9*H205,IF(D202="deadlift",'Max Calculator'!$E$10*H205,0))),5))</f>
        <v>180</v>
      </c>
    </row>
    <row r="206" ht="15.75" hidden="1" customHeight="1">
      <c r="A206" s="5"/>
      <c r="B206" s="5"/>
      <c r="C206" s="5" t="s">
        <v>18</v>
      </c>
      <c r="D206" s="14" t="str">
        <f>HLOOKUP($I$198,INDIRECT($D$9),VLOOKUP(C206,'Phase Creator'!$B$8:$C$19,2,FALSE),FALSE)</f>
        <v/>
      </c>
      <c r="E206" s="15">
        <v>2.0</v>
      </c>
      <c r="F206" s="15">
        <v>8.0</v>
      </c>
      <c r="G206" s="30">
        <v>0.6</v>
      </c>
      <c r="H206" s="30">
        <v>0.625</v>
      </c>
      <c r="I206" s="14">
        <f>IF(MROUND(IF(D202="squat",'Max Calculator'!$E$8*G206,IF(D202="bench",'Max Calculator'!$E$9*G206,IF(D202="deadlift",'Max Calculator'!$E$10*G206,0))),5)=0," ",MROUND(IF(D202="squat",'Max Calculator'!$E$8*G206,IF(D202="bench",'Max Calculator'!$E$9*G206,IF(D202="deadlift",'Max Calculator'!$E$10*G206,0))),5))</f>
        <v>190</v>
      </c>
      <c r="J206" s="14">
        <f>IF(MROUND(IF(D202="squat",'Max Calculator'!$E$8*H206,IF(D202="bench",'Max Calculator'!$E$9*H206,IF(D202="deadlift",'Max Calculator'!$E$10*H206,0))),5)=0," ",MROUND(IF(D202="squat",'Max Calculator'!$E$8*H206,IF(D202="bench",'Max Calculator'!$E$9*H206,IF(D202="deadlift",'Max Calculator'!$E$10*H206,0))),5))</f>
        <v>195</v>
      </c>
    </row>
    <row r="207" ht="15.75" hidden="1" customHeight="1">
      <c r="D207" s="5"/>
    </row>
    <row r="208" ht="15.75" hidden="1" customHeight="1">
      <c r="A208" s="4"/>
      <c r="B208" s="4"/>
      <c r="C208" s="4" t="s">
        <v>21</v>
      </c>
      <c r="D208" s="32" t="s">
        <v>153</v>
      </c>
      <c r="E208" s="4" t="s">
        <v>179</v>
      </c>
      <c r="F208" s="4" t="s">
        <v>151</v>
      </c>
      <c r="G208" s="4" t="s">
        <v>180</v>
      </c>
      <c r="I208" s="28" t="s">
        <v>181</v>
      </c>
    </row>
    <row r="209" ht="15.75" hidden="1" customHeight="1">
      <c r="A209" s="5"/>
      <c r="B209" s="5"/>
      <c r="C209" s="5" t="s">
        <v>20</v>
      </c>
      <c r="D209" s="14" t="str">
        <f>HLOOKUP($I$198,INDIRECT($D$9),VLOOKUP(C209,'Phase Creator'!$B$8:$C$19,2,FALSE),FALSE)</f>
        <v/>
      </c>
      <c r="E209" s="15"/>
      <c r="F209" s="15"/>
      <c r="G209" s="30">
        <v>0.525</v>
      </c>
      <c r="H209" s="30">
        <v>0.575</v>
      </c>
      <c r="I209" s="14">
        <f>IF(MROUND(IF(D208="squat",'Max Calculator'!$E$8*G209,IF(D208="bench",'Max Calculator'!$E$9*G209,IF(D208="deadlift",'Max Calculator'!$E$10*G209,0))),5)=0," ",MROUND(IF(D208="squat",'Max Calculator'!$E$8*G209,IF(D208="bench",'Max Calculator'!$E$9*G209,IF(D208="deadlift",'Max Calculator'!$E$10*G209,0))),5))</f>
        <v>120</v>
      </c>
      <c r="J209" s="14">
        <f>IF(MROUND(IF(D208="squat",'Max Calculator'!$E$8*H209,IF(D208="bench",'Max Calculator'!$E$9*H209,IF(D208="deadlift",'Max Calculator'!$E$10*H209,0))),5)=0," ",MROUND(IF(D208="squat",'Max Calculator'!$E$8*H209,IF(D208="bench",'Max Calculator'!$E$9*H209,IF(D208="deadlift",'Max Calculator'!$E$10*H209,0))),5))</f>
        <v>130</v>
      </c>
    </row>
    <row r="210" ht="15.75" hidden="1" customHeight="1">
      <c r="A210" s="5"/>
      <c r="B210" s="5"/>
      <c r="C210" s="5" t="s">
        <v>27</v>
      </c>
      <c r="D210" s="14" t="str">
        <f>HLOOKUP($I$198,INDIRECT($D$9),VLOOKUP(C210,'Phase Creator'!$B$8:$C$19,2,FALSE),FALSE)</f>
        <v/>
      </c>
      <c r="E210" s="15"/>
      <c r="F210" s="15"/>
      <c r="G210" s="30">
        <v>0.6</v>
      </c>
      <c r="H210" s="30">
        <v>0.625</v>
      </c>
      <c r="I210" s="14">
        <f>IF(MROUND(IF(D208="squat",'Max Calculator'!$E$8*G210,IF(D208="bench",'Max Calculator'!$E$9*G210,IF(D208="deadlift",'Max Calculator'!$E$10*G210,0))),5)=0," ",MROUND(IF(D208="squat",'Max Calculator'!$E$8*G210,IF(D208="bench",'Max Calculator'!$E$9*G210,IF(D208="deadlift",'Max Calculator'!$E$10*G210,0))),5))</f>
        <v>135</v>
      </c>
      <c r="J210" s="14">
        <f>IF(MROUND(IF(D208="squat",'Max Calculator'!$E$8*H210,IF(D208="bench",'Max Calculator'!$E$9*H210,IF(D208="deadlift",'Max Calculator'!$E$10*H210,0))),5)=0," ",MROUND(IF(D208="squat",'Max Calculator'!$E$8*H210,IF(D208="bench",'Max Calculator'!$E$9*H210,IF(D208="deadlift",'Max Calculator'!$E$10*H210,0))),5))</f>
        <v>140</v>
      </c>
    </row>
    <row r="211" ht="15.75" hidden="1" customHeight="1">
      <c r="A211" s="5"/>
      <c r="B211" s="5"/>
      <c r="C211" s="5" t="s">
        <v>28</v>
      </c>
      <c r="D211" s="14" t="str">
        <f>HLOOKUP($I$198,INDIRECT($D$9),VLOOKUP(C211,'Phase Creator'!$B$8:$C$19,2,FALSE),FALSE)</f>
        <v/>
      </c>
      <c r="E211" s="15"/>
      <c r="F211" s="15"/>
      <c r="G211" s="30">
        <v>0.525</v>
      </c>
      <c r="H211" s="30">
        <v>0.575</v>
      </c>
      <c r="I211" s="14">
        <f>IF(MROUND(IF(D208="squat",'Max Calculator'!$E$8*G211,IF(D208="bench",'Max Calculator'!$E$9*G211,IF(D208="deadlift",'Max Calculator'!$E$10*G211,0))),5)=0," ",MROUND(IF(D208="squat",'Max Calculator'!$E$8*G211,IF(D208="bench",'Max Calculator'!$E$9*G211,IF(D208="deadlift",'Max Calculator'!$E$10*G211,0))),5))</f>
        <v>120</v>
      </c>
      <c r="J211" s="14">
        <f>IF(MROUND(IF(D208="squat",'Max Calculator'!$E$8*H211,IF(D208="bench",'Max Calculator'!$E$9*H211,IF(D208="deadlift",'Max Calculator'!$E$10*H211,0))),5)=0," ",MROUND(IF(D208="squat",'Max Calculator'!$E$8*H211,IF(D208="bench",'Max Calculator'!$E$9*H211,IF(D208="deadlift",'Max Calculator'!$E$10*H211,0))),5))</f>
        <v>130</v>
      </c>
    </row>
    <row r="212" ht="15.75" hidden="1" customHeight="1">
      <c r="A212" s="5"/>
      <c r="B212" s="5"/>
      <c r="C212" s="5" t="s">
        <v>32</v>
      </c>
      <c r="D212" s="14" t="str">
        <f>HLOOKUP($I$198,INDIRECT($D$9),VLOOKUP(C212,'Phase Creator'!$B$8:$C$19,2,FALSE),FALSE)</f>
        <v/>
      </c>
      <c r="E212" s="15"/>
      <c r="F212" s="15"/>
      <c r="G212" s="30">
        <v>0.6</v>
      </c>
      <c r="H212" s="30">
        <v>0.625</v>
      </c>
      <c r="I212" s="14">
        <f>IF(MROUND(IF(D208="squat",'Max Calculator'!$E$8*G212,IF(D208="bench",'Max Calculator'!$E$9*G212,IF(D208="deadlift",'Max Calculator'!$E$10*G212,0))),5)=0," ",MROUND(IF(D208="squat",'Max Calculator'!$E$8*G212,IF(D208="bench",'Max Calculator'!$E$9*G212,IF(D208="deadlift",'Max Calculator'!$E$10*G212,0))),5))</f>
        <v>135</v>
      </c>
      <c r="J212" s="14">
        <f>IF(MROUND(IF(D208="squat",'Max Calculator'!$E$8*H212,IF(D208="bench",'Max Calculator'!$E$9*H212,IF(D208="deadlift",'Max Calculator'!$E$10*H212,0))),5)=0," ",MROUND(IF(D208="squat",'Max Calculator'!$E$8*H212,IF(D208="bench",'Max Calculator'!$E$9*H212,IF(D208="deadlift",'Max Calculator'!$E$10*H212,0))),5))</f>
        <v>140</v>
      </c>
    </row>
    <row r="213" ht="15.75" hidden="1" customHeight="1"/>
    <row r="214" ht="15.75" hidden="1" customHeight="1">
      <c r="A214" s="4"/>
      <c r="B214" s="4"/>
      <c r="C214" s="4" t="s">
        <v>33</v>
      </c>
      <c r="D214" s="32" t="s">
        <v>185</v>
      </c>
      <c r="E214" s="4" t="s">
        <v>179</v>
      </c>
      <c r="F214" s="4" t="s">
        <v>151</v>
      </c>
      <c r="G214" s="4" t="s">
        <v>180</v>
      </c>
      <c r="I214" s="28" t="s">
        <v>181</v>
      </c>
    </row>
    <row r="215" ht="15.75" hidden="1" customHeight="1">
      <c r="A215" s="5"/>
      <c r="B215" s="5"/>
      <c r="C215" s="5" t="s">
        <v>33</v>
      </c>
      <c r="D215" s="14" t="str">
        <f>HLOOKUP($I$198,INDIRECT($D$9),VLOOKUP(C215,'Phase Creator'!$B$8:$C$19,2,FALSE),FALSE)</f>
        <v/>
      </c>
      <c r="E215" s="15"/>
      <c r="F215" s="15"/>
      <c r="G215" s="30"/>
      <c r="H215" s="30"/>
      <c r="I215" s="14" t="str">
        <f>IF(MROUND(IF(D214="squat",'Max Calculator'!$E$8*G215,IF(D214="bench",'Max Calculator'!$E$9*G215,IF(D214="deadlift",'Max Calculator'!$E$10*G215,0))),5)=0," ",MROUND(IF(D214="squat",'Max Calculator'!$E$8*G215,IF(D214="bench",'Max Calculator'!$E$9*G215,IF(D214="deadlift",'Max Calculator'!$E$10*G215,0))),5))</f>
        <v> </v>
      </c>
      <c r="J215" s="14" t="str">
        <f>IF(MROUND(IF(D214="squat",'Max Calculator'!$E$8*H215,IF(D214="bench",'Max Calculator'!$E$9*H215,IF(D214="deadlift",'Max Calculator'!$E$10*H215,0))),5)=0," ",MROUND(IF(D214="squat",'Max Calculator'!$E$8*H215,IF(D214="bench",'Max Calculator'!$E$9*H215,IF(D214="deadlift",'Max Calculator'!$E$10*H215,0))),5))</f>
        <v> </v>
      </c>
    </row>
    <row r="216" ht="15.75" hidden="1" customHeight="1">
      <c r="A216" s="5"/>
      <c r="B216" s="5"/>
      <c r="C216" s="5" t="s">
        <v>33</v>
      </c>
      <c r="D216" s="14" t="str">
        <f>HLOOKUP($I$198,INDIRECT($D$9),VLOOKUP(C216,'Phase Creator'!$B$8:$C$19,2,FALSE),FALSE)</f>
        <v/>
      </c>
      <c r="E216" s="15"/>
      <c r="F216" s="15"/>
      <c r="G216" s="30"/>
      <c r="H216" s="30"/>
      <c r="I216" s="14" t="str">
        <f>IF(MROUND(IF(D214="squat",'Max Calculator'!$E$8*G216,IF(D214="bench",'Max Calculator'!$E$9*G216,IF(D214="deadlift",'Max Calculator'!$E$10*G216,0))),5)=0," ",MROUND(IF(D214="squat",'Max Calculator'!$E$8*G216,IF(D214="bench",'Max Calculator'!$E$9*G216,IF(D214="deadlift",'Max Calculator'!$E$10*G216,0))),5))</f>
        <v> </v>
      </c>
      <c r="J216" s="14" t="str">
        <f>IF(MROUND(IF(D214="squat",'Max Calculator'!$E$8*H216,IF(D214="bench",'Max Calculator'!$E$9*H216,IF(D214="deadlift",'Max Calculator'!$E$10*H216,0))),5)=0," ",MROUND(IF(D214="squat",'Max Calculator'!$E$8*H216,IF(D214="bench",'Max Calculator'!$E$9*H216,IF(D214="deadlift",'Max Calculator'!$E$10*H216,0))),5))</f>
        <v> </v>
      </c>
    </row>
    <row r="217" ht="15.75" hidden="1" customHeight="1">
      <c r="A217" s="5"/>
      <c r="B217" s="5"/>
      <c r="C217" s="5" t="s">
        <v>33</v>
      </c>
      <c r="D217" s="14" t="str">
        <f>HLOOKUP($I$198,INDIRECT($D$9),VLOOKUP(C217,'Phase Creator'!$B$8:$C$19,2,FALSE),FALSE)</f>
        <v/>
      </c>
      <c r="E217" s="15"/>
      <c r="F217" s="15"/>
      <c r="G217" s="30"/>
      <c r="H217" s="30"/>
      <c r="I217" s="14" t="str">
        <f>IF(MROUND(IF(D214="squat",'Max Calculator'!$E$8*G217,IF(D214="bench",'Max Calculator'!$E$9*G217,IF(D214="deadlift",'Max Calculator'!$E$10*G217,0))),5)=0," ",MROUND(IF(D214="squat",'Max Calculator'!$E$8*G217,IF(D214="bench",'Max Calculator'!$E$9*G217,IF(D214="deadlift",'Max Calculator'!$E$10*G217,0))),5))</f>
        <v> </v>
      </c>
      <c r="J217" s="14" t="str">
        <f>IF(MROUND(IF(D214="squat",'Max Calculator'!$E$8*H217,IF(D214="bench",'Max Calculator'!$E$9*H217,IF(D214="deadlift",'Max Calculator'!$E$10*H217,0))),5)=0," ",MROUND(IF(D214="squat",'Max Calculator'!$E$8*H217,IF(D214="bench",'Max Calculator'!$E$9*H217,IF(D214="deadlift",'Max Calculator'!$E$10*H217,0))),5))</f>
        <v> </v>
      </c>
    </row>
    <row r="218" ht="15.75" hidden="1" customHeight="1">
      <c r="A218" s="5"/>
      <c r="B218" s="5"/>
      <c r="C218" s="5" t="s">
        <v>33</v>
      </c>
      <c r="D218" s="14" t="str">
        <f>HLOOKUP($I$198,INDIRECT($D$9),VLOOKUP(C218,'Phase Creator'!$B$8:$C$19,2,FALSE),FALSE)</f>
        <v/>
      </c>
      <c r="E218" s="15"/>
      <c r="F218" s="15"/>
      <c r="G218" s="30"/>
      <c r="H218" s="30"/>
      <c r="I218" s="14" t="str">
        <f>IF(MROUND(IF(D214="squat",'Max Calculator'!$E$8*G218,IF(D214="bench",'Max Calculator'!$E$9*G218,IF(D214="deadlift",'Max Calculator'!$E$10*G218,0))),5)=0," ",MROUND(IF(D214="squat",'Max Calculator'!$E$8*G218,IF(D214="bench",'Max Calculator'!$E$9*G218,IF(D214="deadlift",'Max Calculator'!$E$10*G218,0))),5))</f>
        <v> </v>
      </c>
      <c r="J218" s="14" t="str">
        <f>IF(MROUND(IF(D214="squat",'Max Calculator'!$E$8*H218,IF(D214="bench",'Max Calculator'!$E$9*H218,IF(D214="deadlift",'Max Calculator'!$E$10*H218,0))),5)=0," ",MROUND(IF(D214="squat",'Max Calculator'!$E$8*H218,IF(D214="bench",'Max Calculator'!$E$9*H218,IF(D214="deadlift",'Max Calculator'!$E$10*H218,0))),5))</f>
        <v> </v>
      </c>
    </row>
    <row r="219" ht="15.75" hidden="1" customHeight="1"/>
    <row r="220" ht="15.75" hidden="1" customHeight="1">
      <c r="A220" s="4"/>
      <c r="B220" s="4"/>
      <c r="C220" s="4" t="s">
        <v>38</v>
      </c>
      <c r="D220" s="32" t="s">
        <v>185</v>
      </c>
      <c r="E220" s="4" t="s">
        <v>179</v>
      </c>
      <c r="F220" s="4" t="s">
        <v>151</v>
      </c>
      <c r="G220" s="4" t="s">
        <v>180</v>
      </c>
      <c r="I220" s="28" t="s">
        <v>181</v>
      </c>
    </row>
    <row r="221" ht="15.75" hidden="1" customHeight="1">
      <c r="A221" s="5"/>
      <c r="B221" s="5"/>
      <c r="C221" s="5" t="s">
        <v>38</v>
      </c>
      <c r="D221" s="14" t="str">
        <f>HLOOKUP($I$198,INDIRECT($D$9),VLOOKUP(C221,'Phase Creator'!$B$8:$C$19,2,FALSE),FALSE)</f>
        <v/>
      </c>
      <c r="E221" s="15"/>
      <c r="F221" s="15"/>
      <c r="G221" s="30"/>
      <c r="H221" s="30"/>
      <c r="I221" s="14" t="str">
        <f>IF(MROUND(IF(D220="squat",'Max Calculator'!$E$8*G221,IF(D220="bench",'Max Calculator'!$E$9*G221,IF(D220="deadlift",'Max Calculator'!$E$10*G221,0))),5)=0," ",MROUND(IF(D220="squat",'Max Calculator'!$E$8*G221,IF(D220="bench",'Max Calculator'!$E$9*G221,IF(D220="deadlift",'Max Calculator'!$E$10*G221,0))),5))</f>
        <v> </v>
      </c>
      <c r="J221" s="14" t="str">
        <f>IF(MROUND(IF(D220="squat",'Max Calculator'!$E$8*H221,IF(D220="bench",'Max Calculator'!$E$9*H221,IF(D220="deadlift",'Max Calculator'!$E$10*H221,0))),5)=0," ",MROUND(IF(D220="squat",'Max Calculator'!$E$8*H221,IF(D220="bench",'Max Calculator'!$E$9*H221,IF(D220="deadlift",'Max Calculator'!$E$10*H221,0))),5))</f>
        <v> </v>
      </c>
    </row>
    <row r="222" ht="15.75" hidden="1" customHeight="1">
      <c r="A222" s="5"/>
      <c r="B222" s="5"/>
      <c r="C222" s="5" t="s">
        <v>38</v>
      </c>
      <c r="D222" s="14" t="str">
        <f>HLOOKUP($I$198,INDIRECT($D$9),VLOOKUP(C222,'Phase Creator'!$B$8:$C$19,2,FALSE),FALSE)</f>
        <v/>
      </c>
      <c r="E222" s="15"/>
      <c r="F222" s="15"/>
      <c r="G222" s="30"/>
      <c r="H222" s="30"/>
      <c r="I222" s="14" t="str">
        <f>IF(MROUND(IF(D220="squat",'Max Calculator'!$E$8*G222,IF(D220="bench",'Max Calculator'!$E$9*G222,IF(D220="deadlift",'Max Calculator'!$E$10*G222,0))),5)=0," ",MROUND(IF(D220="squat",'Max Calculator'!$E$8*G222,IF(D220="bench",'Max Calculator'!$E$9*G222,IF(D220="deadlift",'Max Calculator'!$E$10*G222,0))),5))</f>
        <v> </v>
      </c>
      <c r="J222" s="14" t="str">
        <f>IF(MROUND(IF(D220="squat",'Max Calculator'!$E$8*H222,IF(D220="bench",'Max Calculator'!$E$9*H222,IF(D220="deadlift",'Max Calculator'!$E$10*H222,0))),5)=0," ",MROUND(IF(D220="squat",'Max Calculator'!$E$8*H222,IF(D220="bench",'Max Calculator'!$E$9*H222,IF(D220="deadlift",'Max Calculator'!$E$10*H222,0))),5))</f>
        <v> </v>
      </c>
    </row>
    <row r="223" ht="15.75" hidden="1" customHeight="1">
      <c r="A223" s="5"/>
      <c r="B223" s="5"/>
      <c r="C223" s="5" t="s">
        <v>38</v>
      </c>
      <c r="D223" s="14" t="str">
        <f>HLOOKUP($I$198,INDIRECT($D$9),VLOOKUP(C223,'Phase Creator'!$B$8:$C$19,2,FALSE),FALSE)</f>
        <v/>
      </c>
      <c r="E223" s="15"/>
      <c r="F223" s="15"/>
      <c r="G223" s="30"/>
      <c r="H223" s="30"/>
      <c r="I223" s="14" t="str">
        <f>IF(MROUND(IF(D220="squat",'Max Calculator'!$E$8*G223,IF(D220="bench",'Max Calculator'!$E$9*G223,IF(D220="deadlift",'Max Calculator'!$E$10*G223,0))),5)=0," ",MROUND(IF(D220="squat",'Max Calculator'!$E$8*G223,IF(D220="bench",'Max Calculator'!$E$9*G223,IF(D220="deadlift",'Max Calculator'!$E$10*G223,0))),5))</f>
        <v> </v>
      </c>
      <c r="J223" s="14" t="str">
        <f>IF(MROUND(IF(D220="squat",'Max Calculator'!$E$8*H223,IF(D220="bench",'Max Calculator'!$E$9*H223,IF(D220="deadlift",'Max Calculator'!$E$10*H223,0))),5)=0," ",MROUND(IF(D220="squat",'Max Calculator'!$E$8*H223,IF(D220="bench",'Max Calculator'!$E$9*H223,IF(D220="deadlift",'Max Calculator'!$E$10*H223,0))),5))</f>
        <v> </v>
      </c>
    </row>
    <row r="224" ht="15.75" hidden="1" customHeight="1">
      <c r="A224" s="5"/>
      <c r="B224" s="5"/>
      <c r="C224" s="5" t="s">
        <v>38</v>
      </c>
      <c r="D224" s="14" t="str">
        <f>HLOOKUP($I$198,INDIRECT($D$9),VLOOKUP(C224,'Phase Creator'!$B$8:$C$19,2,FALSE),FALSE)</f>
        <v/>
      </c>
      <c r="E224" s="15"/>
      <c r="F224" s="15"/>
      <c r="G224" s="30"/>
      <c r="H224" s="30"/>
      <c r="I224" s="14" t="str">
        <f>IF(MROUND(IF(D220="squat",'Max Calculator'!$E$8*G224,IF(D220="bench",'Max Calculator'!$E$9*G224,IF(D220="deadlift",'Max Calculator'!$E$10*G224,0))),5)=0," ",MROUND(IF(D220="squat",'Max Calculator'!$E$8*G224,IF(D220="bench",'Max Calculator'!$E$9*G224,IF(D220="deadlift",'Max Calculator'!$E$10*G224,0))),5))</f>
        <v> </v>
      </c>
      <c r="J224" s="14" t="str">
        <f>IF(MROUND(IF(D220="squat",'Max Calculator'!$E$8*H224,IF(D220="bench",'Max Calculator'!$E$9*H224,IF(D220="deadlift",'Max Calculator'!$E$10*H224,0))),5)=0," ",MROUND(IF(D220="squat",'Max Calculator'!$E$8*H224,IF(D220="bench",'Max Calculator'!$E$9*H224,IF(D220="deadlift",'Max Calculator'!$E$10*H224,0))),5))</f>
        <v> </v>
      </c>
    </row>
    <row r="225" ht="15.75" hidden="1" customHeight="1"/>
    <row r="226" ht="15.75" hidden="1" customHeight="1">
      <c r="A226" s="4"/>
      <c r="B226" s="4"/>
      <c r="C226" s="4" t="s">
        <v>43</v>
      </c>
      <c r="D226" s="32" t="s">
        <v>185</v>
      </c>
      <c r="E226" s="4" t="s">
        <v>179</v>
      </c>
      <c r="F226" s="4" t="s">
        <v>151</v>
      </c>
      <c r="G226" s="4" t="s">
        <v>180</v>
      </c>
      <c r="I226" s="28" t="s">
        <v>181</v>
      </c>
    </row>
    <row r="227" ht="15.75" hidden="1" customHeight="1">
      <c r="A227" s="5"/>
      <c r="B227" s="5"/>
      <c r="C227" s="5" t="s">
        <v>43</v>
      </c>
      <c r="D227" s="14" t="str">
        <f>HLOOKUP($I$198,INDIRECT($D$9),VLOOKUP(C227,'Phase Creator'!$B$8:$C$19,2,FALSE),FALSE)</f>
        <v/>
      </c>
      <c r="E227" s="15"/>
      <c r="F227" s="15"/>
      <c r="G227" s="30"/>
      <c r="H227" s="30"/>
      <c r="I227" s="14" t="str">
        <f>IF(MROUND(IF(D226="squat",'Max Calculator'!$E$8*G227,IF(D226="bench",'Max Calculator'!$E$9*G227,IF(D226="deadlift",'Max Calculator'!$E$10*G227,0))),5)=0," ",MROUND(IF(D226="squat",'Max Calculator'!$E$8*G227,IF(D226="bench",'Max Calculator'!$E$9*G227,IF(D226="deadlift",'Max Calculator'!$E$10*G227,0))),5))</f>
        <v> </v>
      </c>
      <c r="J227" s="14" t="str">
        <f>IF(MROUND(IF(D226="squat",'Max Calculator'!$E$8*H227,IF(D226="bench",'Max Calculator'!$E$9*H227,IF(D226="deadlift",'Max Calculator'!$E$10*H227,0))),5)=0," ",MROUND(IF(D226="squat",'Max Calculator'!$E$8*H227,IF(D226="bench",'Max Calculator'!$E$9*H227,IF(D226="deadlift",'Max Calculator'!$E$10*H227,0))),5))</f>
        <v> </v>
      </c>
    </row>
    <row r="228" ht="15.75" hidden="1" customHeight="1">
      <c r="A228" s="5"/>
      <c r="B228" s="5"/>
      <c r="C228" s="5" t="s">
        <v>43</v>
      </c>
      <c r="D228" s="14" t="str">
        <f>HLOOKUP($I$198,INDIRECT($D$9),VLOOKUP(C228,'Phase Creator'!$B$8:$C$19,2,FALSE),FALSE)</f>
        <v/>
      </c>
      <c r="E228" s="15"/>
      <c r="F228" s="15"/>
      <c r="G228" s="30"/>
      <c r="H228" s="30"/>
      <c r="I228" s="14" t="str">
        <f>IF(MROUND(IF(D226="squat",'Max Calculator'!$E$8*G228,IF(D226="bench",'Max Calculator'!$E$9*G228,IF(D226="deadlift",'Max Calculator'!$E$10*G228,0))),5)=0," ",MROUND(IF(D226="squat",'Max Calculator'!$E$8*G228,IF(D226="bench",'Max Calculator'!$E$9*G228,IF(D226="deadlift",'Max Calculator'!$E$10*G228,0))),5))</f>
        <v> </v>
      </c>
      <c r="J228" s="14" t="str">
        <f>IF(MROUND(IF(D226="squat",'Max Calculator'!$E$8*H228,IF(D226="bench",'Max Calculator'!$E$9*H228,IF(D226="deadlift",'Max Calculator'!$E$10*H228,0))),5)=0," ",MROUND(IF(D226="squat",'Max Calculator'!$E$8*H228,IF(D226="bench",'Max Calculator'!$E$9*H228,IF(D226="deadlift",'Max Calculator'!$E$10*H228,0))),5))</f>
        <v> </v>
      </c>
    </row>
    <row r="229" ht="15.75" hidden="1" customHeight="1">
      <c r="A229" s="5"/>
      <c r="B229" s="5"/>
      <c r="C229" s="5" t="s">
        <v>43</v>
      </c>
      <c r="D229" s="14" t="str">
        <f>HLOOKUP($I$198,INDIRECT($D$9),VLOOKUP(C229,'Phase Creator'!$B$8:$C$19,2,FALSE),FALSE)</f>
        <v/>
      </c>
      <c r="E229" s="15"/>
      <c r="F229" s="15"/>
      <c r="G229" s="30"/>
      <c r="H229" s="30"/>
      <c r="I229" s="14" t="str">
        <f>IF(MROUND(IF(D226="squat",'Max Calculator'!$E$8*G229,IF(D226="bench",'Max Calculator'!$E$9*G229,IF(D226="deadlift",'Max Calculator'!$E$10*G229,0))),5)=0," ",MROUND(IF(D226="squat",'Max Calculator'!$E$8*G229,IF(D226="bench",'Max Calculator'!$E$9*G229,IF(D226="deadlift",'Max Calculator'!$E$10*G229,0))),5))</f>
        <v> </v>
      </c>
      <c r="J229" s="14" t="str">
        <f>IF(MROUND(IF(D226="squat",'Max Calculator'!$E$8*H229,IF(D226="bench",'Max Calculator'!$E$9*H229,IF(D226="deadlift",'Max Calculator'!$E$10*H229,0))),5)=0," ",MROUND(IF(D226="squat",'Max Calculator'!$E$8*H229,IF(D226="bench",'Max Calculator'!$E$9*H229,IF(D226="deadlift",'Max Calculator'!$E$10*H229,0))),5))</f>
        <v> </v>
      </c>
    </row>
    <row r="230" ht="15.75" hidden="1" customHeight="1">
      <c r="A230" s="5"/>
      <c r="B230" s="5"/>
      <c r="C230" s="5" t="s">
        <v>43</v>
      </c>
      <c r="D230" s="14" t="str">
        <f>HLOOKUP($I$198,INDIRECT($D$9),VLOOKUP(C230,'Phase Creator'!$B$8:$C$19,2,FALSE),FALSE)</f>
        <v/>
      </c>
      <c r="E230" s="15"/>
      <c r="F230" s="15"/>
      <c r="G230" s="30"/>
      <c r="H230" s="30"/>
      <c r="I230" s="14" t="str">
        <f>IF(MROUND(IF(D226="squat",'Max Calculator'!$E$8*G230,IF(D226="bench",'Max Calculator'!$E$9*G230,IF(D226="deadlift",'Max Calculator'!$E$10*G230,0))),5)=0," ",MROUND(IF(D226="squat",'Max Calculator'!$E$8*G230,IF(D226="bench",'Max Calculator'!$E$9*G230,IF(D226="deadlift",'Max Calculator'!$E$10*G230,0))),5))</f>
        <v> </v>
      </c>
      <c r="J230" s="14" t="str">
        <f>IF(MROUND(IF(D226="squat",'Max Calculator'!$E$8*H230,IF(D226="bench",'Max Calculator'!$E$9*H230,IF(D226="deadlift",'Max Calculator'!$E$10*H230,0))),5)=0," ",MROUND(IF(D226="squat",'Max Calculator'!$E$8*H230,IF(D226="bench",'Max Calculator'!$E$9*H230,IF(D226="deadlift",'Max Calculator'!$E$10*H230,0))),5))</f>
        <v> </v>
      </c>
    </row>
    <row r="231" ht="15.75" hidden="1" customHeight="1"/>
    <row r="232" ht="15.75" hidden="1" customHeight="1">
      <c r="A232" s="4"/>
      <c r="B232" s="4"/>
      <c r="C232" s="4" t="s">
        <v>48</v>
      </c>
      <c r="D232" s="32" t="s">
        <v>185</v>
      </c>
      <c r="E232" s="4" t="s">
        <v>179</v>
      </c>
      <c r="F232" s="4" t="s">
        <v>151</v>
      </c>
      <c r="G232" s="4" t="s">
        <v>180</v>
      </c>
      <c r="I232" s="28" t="s">
        <v>181</v>
      </c>
    </row>
    <row r="233" ht="15.75" hidden="1" customHeight="1">
      <c r="A233" s="5"/>
      <c r="B233" s="5"/>
      <c r="C233" s="5" t="s">
        <v>48</v>
      </c>
      <c r="D233" s="14" t="str">
        <f>HLOOKUP($I$198,INDIRECT($D$9),VLOOKUP(C233,'Phase Creator'!$B$8:$C$19,2,FALSE),FALSE)</f>
        <v/>
      </c>
      <c r="E233" s="15"/>
      <c r="F233" s="15"/>
      <c r="G233" s="30"/>
      <c r="H233" s="30"/>
      <c r="I233" s="14" t="str">
        <f>IF(MROUND(IF(D232="squat",'Max Calculator'!$E$8*G233,IF(D232="bench",'Max Calculator'!$E$9*G233,IF(D232="deadlift",'Max Calculator'!$E$10*G233,0))),5)=0," ",MROUND(IF(D232="squat",'Max Calculator'!$E$8*G233,IF(D232="bench",'Max Calculator'!$E$9*G233,IF(D232="deadlift",'Max Calculator'!$E$10*G233,0))),5))</f>
        <v> </v>
      </c>
      <c r="J233" s="14" t="str">
        <f>IF(MROUND(IF(D232="squat",'Max Calculator'!$E$8*H233,IF(D232="bench",'Max Calculator'!$E$9*H233,IF(D232="deadlift",'Max Calculator'!$E$10*H233,0))),5)=0," ",MROUND(IF(D232="squat",'Max Calculator'!$E$8*H233,IF(D232="bench",'Max Calculator'!$E$9*H233,IF(D232="deadlift",'Max Calculator'!$E$10*H233,0))),5))</f>
        <v> </v>
      </c>
    </row>
    <row r="234" ht="15.75" hidden="1" customHeight="1">
      <c r="A234" s="5"/>
      <c r="B234" s="5"/>
      <c r="C234" s="5" t="s">
        <v>48</v>
      </c>
      <c r="D234" s="14" t="str">
        <f>HLOOKUP($I$198,INDIRECT($D$9),VLOOKUP(C234,'Phase Creator'!$B$8:$C$19,2,FALSE),FALSE)</f>
        <v/>
      </c>
      <c r="E234" s="15"/>
      <c r="F234" s="15"/>
      <c r="G234" s="30"/>
      <c r="H234" s="30"/>
      <c r="I234" s="14" t="str">
        <f>IF(MROUND(IF(D232="squat",'Max Calculator'!$E$8*G234,IF(D232="bench",'Max Calculator'!$E$9*G234,IF(D232="deadlift",'Max Calculator'!$E$10*G234,0))),5)=0," ",MROUND(IF(D232="squat",'Max Calculator'!$E$8*G234,IF(D232="bench",'Max Calculator'!$E$9*G234,IF(D232="deadlift",'Max Calculator'!$E$10*G234,0))),5))</f>
        <v> </v>
      </c>
      <c r="J234" s="14" t="str">
        <f>IF(MROUND(IF(D232="squat",'Max Calculator'!$E$8*H234,IF(D232="bench",'Max Calculator'!$E$9*H234,IF(D232="deadlift",'Max Calculator'!$E$10*H234,0))),5)=0," ",MROUND(IF(D232="squat",'Max Calculator'!$E$8*H234,IF(D232="bench",'Max Calculator'!$E$9*H234,IF(D232="deadlift",'Max Calculator'!$E$10*H234,0))),5))</f>
        <v> </v>
      </c>
    </row>
    <row r="235" ht="15.75" hidden="1" customHeight="1">
      <c r="A235" s="5"/>
      <c r="B235" s="5"/>
      <c r="C235" s="5" t="s">
        <v>48</v>
      </c>
      <c r="D235" s="14" t="str">
        <f>HLOOKUP($I$198,INDIRECT($D$9),VLOOKUP(C235,'Phase Creator'!$B$8:$C$19,2,FALSE),FALSE)</f>
        <v/>
      </c>
      <c r="E235" s="15"/>
      <c r="F235" s="15"/>
      <c r="G235" s="30"/>
      <c r="H235" s="30"/>
      <c r="I235" s="14" t="str">
        <f>IF(MROUND(IF(D232="squat",'Max Calculator'!$E$8*G235,IF(D232="bench",'Max Calculator'!$E$9*G235,IF(D232="deadlift",'Max Calculator'!$E$10*G235,0))),5)=0," ",MROUND(IF(D232="squat",'Max Calculator'!$E$8*G235,IF(D232="bench",'Max Calculator'!$E$9*G235,IF(D232="deadlift",'Max Calculator'!$E$10*G235,0))),5))</f>
        <v> </v>
      </c>
      <c r="J235" s="14" t="str">
        <f>IF(MROUND(IF(D232="squat",'Max Calculator'!$E$8*H235,IF(D232="bench",'Max Calculator'!$E$9*H235,IF(D232="deadlift",'Max Calculator'!$E$10*H235,0))),5)=0," ",MROUND(IF(D232="squat",'Max Calculator'!$E$8*H235,IF(D232="bench",'Max Calculator'!$E$9*H235,IF(D232="deadlift",'Max Calculator'!$E$10*H235,0))),5))</f>
        <v> </v>
      </c>
    </row>
    <row r="236" ht="15.75" hidden="1" customHeight="1">
      <c r="A236" s="5"/>
      <c r="B236" s="5"/>
      <c r="C236" s="5" t="s">
        <v>48</v>
      </c>
      <c r="D236" s="14" t="str">
        <f>HLOOKUP($I$198,INDIRECT($D$9),VLOOKUP(C236,'Phase Creator'!$B$8:$C$19,2,FALSE),FALSE)</f>
        <v/>
      </c>
      <c r="E236" s="15"/>
      <c r="F236" s="15"/>
      <c r="G236" s="30"/>
      <c r="H236" s="30"/>
      <c r="I236" s="14" t="str">
        <f>IF(MROUND(IF(D232="squat",'Max Calculator'!$E$8*G236,IF(D232="bench",'Max Calculator'!$E$9*G236,IF(D232="deadlift",'Max Calculator'!$E$10*G236,0))),5)=0," ",MROUND(IF(D232="squat",'Max Calculator'!$E$8*G236,IF(D232="bench",'Max Calculator'!$E$9*G236,IF(D232="deadlift",'Max Calculator'!$E$10*G236,0))),5))</f>
        <v> </v>
      </c>
      <c r="J236" s="14" t="str">
        <f>IF(MROUND(IF(D232="squat",'Max Calculator'!$E$8*H236,IF(D232="bench",'Max Calculator'!$E$9*H236,IF(D232="deadlift",'Max Calculator'!$E$10*H236,0))),5)=0," ",MROUND(IF(D232="squat",'Max Calculator'!$E$8*H236,IF(D232="bench",'Max Calculator'!$E$9*H236,IF(D232="deadlift",'Max Calculator'!$E$10*H236,0))),5))</f>
        <v> </v>
      </c>
    </row>
    <row r="237" ht="15.75" hidden="1" customHeight="1"/>
    <row r="238" ht="15.75" hidden="1" customHeight="1"/>
    <row r="239" ht="15.75" hidden="1" customHeight="1"/>
    <row r="240" ht="15.75" hidden="1" customHeight="1"/>
    <row r="241" ht="15.75" hidden="1" customHeight="1"/>
    <row r="242" ht="15.75" hidden="1" customHeight="1"/>
    <row r="243" ht="15.75" hidden="1" customHeight="1"/>
    <row r="244" ht="15.75" hidden="1" customHeight="1"/>
    <row r="245" ht="15.75" hidden="1" customHeight="1"/>
    <row r="246" ht="15.75" hidden="1" customHeight="1"/>
    <row r="247" ht="15.75" hidden="1" customHeight="1"/>
    <row r="248" ht="15.75" hidden="1" customHeight="1"/>
    <row r="249" ht="15.75" hidden="1" customHeight="1"/>
    <row r="250" ht="15.75" hidden="1" customHeight="1"/>
    <row r="251" ht="15.75" hidden="1" customHeight="1"/>
    <row r="252" ht="15.75" hidden="1" customHeight="1"/>
    <row r="253" ht="15.75" hidden="1" customHeight="1"/>
    <row r="254" ht="15.75" hidden="1" customHeight="1"/>
    <row r="255" ht="15.75" hidden="1" customHeight="1"/>
    <row r="256" ht="15.75" hidden="1" customHeight="1"/>
    <row r="257" ht="15.75" hidden="1" customHeight="1"/>
    <row r="258" ht="15.75" hidden="1" customHeight="1"/>
    <row r="259" ht="15.75" hidden="1" customHeight="1"/>
    <row r="260" ht="15.75" hidden="1" customHeight="1"/>
    <row r="261" ht="15.75" hidden="1" customHeight="1"/>
    <row r="262" ht="15.75" hidden="1" customHeight="1"/>
    <row r="263" ht="15.75" hidden="1" customHeight="1"/>
    <row r="264" ht="15.75" hidden="1" customHeight="1"/>
    <row r="265" ht="15.75" hidden="1" customHeight="1"/>
    <row r="266" ht="15.75" hidden="1" customHeight="1"/>
    <row r="267" ht="15.75" hidden="1" customHeight="1"/>
    <row r="268" ht="15.75" hidden="1" customHeight="1"/>
    <row r="269" ht="15.75" hidden="1" customHeight="1"/>
    <row r="270" ht="15.75" hidden="1" customHeight="1"/>
    <row r="271" ht="15.75" hidden="1" customHeight="1"/>
    <row r="272" ht="15.75" hidden="1" customHeight="1"/>
    <row r="273" ht="15.75" hidden="1" customHeight="1"/>
    <row r="274" ht="15.75" hidden="1" customHeight="1"/>
    <row r="275" ht="15.75" hidden="1" customHeight="1"/>
    <row r="276" ht="15.75" hidden="1" customHeight="1"/>
    <row r="277" ht="15.75" hidden="1" customHeight="1"/>
    <row r="278" ht="15.75" hidden="1" customHeight="1"/>
    <row r="279" ht="15.75" hidden="1" customHeight="1"/>
    <row r="280" ht="15.75" hidden="1" customHeight="1"/>
    <row r="281" ht="15.75" hidden="1" customHeight="1"/>
    <row r="282" ht="15.75" hidden="1" customHeight="1"/>
    <row r="283" ht="15.75" hidden="1" customHeight="1"/>
    <row r="284" ht="15.75" hidden="1" customHeight="1"/>
    <row r="285" ht="15.75" hidden="1" customHeight="1"/>
    <row r="286" ht="15.75" hidden="1" customHeight="1"/>
    <row r="287" ht="15.75" hidden="1" customHeight="1"/>
    <row r="288" ht="15.75" hidden="1" customHeight="1"/>
    <row r="289" ht="15.75" hidden="1" customHeight="1"/>
    <row r="290" ht="15.75" hidden="1" customHeight="1"/>
    <row r="291" ht="15.75" hidden="1" customHeight="1"/>
    <row r="292" ht="15.75" hidden="1" customHeight="1"/>
    <row r="293" ht="15.75" hidden="1" customHeight="1"/>
    <row r="294" ht="15.75" hidden="1" customHeight="1"/>
    <row r="295" ht="15.75" hidden="1" customHeight="1"/>
    <row r="296" ht="15.75" hidden="1" customHeight="1"/>
    <row r="297" ht="15.75" hidden="1" customHeight="1"/>
    <row r="298" ht="15.75" hidden="1" customHeight="1"/>
    <row r="299" ht="15.75" hidden="1" customHeight="1"/>
    <row r="300" ht="15.75" hidden="1" customHeight="1"/>
    <row r="301" ht="15.75" hidden="1" customHeight="1"/>
    <row r="302" ht="15.75" hidden="1" customHeight="1"/>
    <row r="303" ht="15.75" hidden="1" customHeight="1"/>
    <row r="304" ht="15.75" hidden="1" customHeight="1"/>
    <row r="305" ht="15.75" hidden="1" customHeight="1"/>
    <row r="306" ht="15.75" hidden="1" customHeight="1"/>
    <row r="307" ht="15.75" hidden="1" customHeight="1"/>
    <row r="308" ht="15.75" hidden="1" customHeight="1"/>
    <row r="309" ht="15.75" hidden="1" customHeight="1"/>
    <row r="310" ht="15.75" hidden="1" customHeight="1"/>
    <row r="311" ht="15.75" hidden="1" customHeight="1"/>
    <row r="312" ht="15.75" hidden="1" customHeight="1"/>
    <row r="313" ht="15.75" hidden="1" customHeight="1"/>
    <row r="314" ht="15.75" hidden="1" customHeight="1"/>
    <row r="315" ht="15.75" hidden="1" customHeight="1"/>
    <row r="316" ht="15.75" hidden="1" customHeight="1"/>
    <row r="317" ht="15.75" hidden="1" customHeight="1"/>
    <row r="318" ht="15.75" hidden="1" customHeight="1"/>
    <row r="319" ht="15.75" hidden="1" customHeight="1"/>
    <row r="320" ht="15.75" hidden="1" customHeight="1"/>
    <row r="321" ht="15.75" hidden="1" customHeight="1"/>
    <row r="322" ht="15.75" hidden="1" customHeight="1"/>
    <row r="323" ht="15.75" hidden="1" customHeight="1"/>
    <row r="324" ht="15.75" hidden="1" customHeight="1"/>
    <row r="325" ht="15.75" hidden="1" customHeight="1"/>
    <row r="326" ht="15.75" hidden="1" customHeight="1"/>
    <row r="327" ht="15.75" hidden="1" customHeight="1"/>
    <row r="328" ht="15.75" hidden="1" customHeight="1"/>
    <row r="329" ht="15.75" hidden="1" customHeight="1"/>
    <row r="330" ht="15.75" hidden="1" customHeight="1"/>
    <row r="331" ht="15.75" hidden="1" customHeight="1"/>
    <row r="332" ht="15.75" hidden="1" customHeight="1"/>
    <row r="333" ht="15.75" hidden="1" customHeight="1"/>
    <row r="334" ht="15.75" hidden="1" customHeight="1"/>
    <row r="335" ht="15.75" hidden="1" customHeight="1"/>
    <row r="336" ht="15.75" hidden="1" customHeight="1"/>
    <row r="337" ht="15.75" hidden="1" customHeight="1"/>
    <row r="338" ht="15.75" hidden="1" customHeight="1"/>
    <row r="339" ht="15.75" hidden="1" customHeight="1"/>
    <row r="340" ht="15.75" hidden="1" customHeight="1"/>
    <row r="341" ht="15.75" hidden="1" customHeight="1"/>
    <row r="342" ht="15.75" hidden="1" customHeight="1"/>
    <row r="343" ht="15.75" hidden="1" customHeight="1"/>
    <row r="344" ht="15.75" hidden="1" customHeight="1"/>
    <row r="345" ht="15.75" hidden="1" customHeight="1"/>
    <row r="346" ht="15.75" hidden="1" customHeight="1"/>
    <row r="347" ht="15.75" hidden="1" customHeight="1"/>
    <row r="348" ht="15.75" hidden="1" customHeight="1"/>
    <row r="349" ht="15.75" hidden="1" customHeight="1"/>
    <row r="350" ht="15.75" hidden="1" customHeight="1"/>
    <row r="351" ht="15.75" hidden="1" customHeight="1"/>
    <row r="352" ht="15.75" hidden="1" customHeight="1"/>
    <row r="353" ht="15.75" hidden="1" customHeight="1"/>
    <row r="354" ht="15.75" hidden="1" customHeight="1"/>
    <row r="355" ht="15.75" hidden="1" customHeight="1"/>
    <row r="356" ht="15.75" hidden="1" customHeight="1"/>
    <row r="357" ht="15.75" hidden="1" customHeight="1"/>
    <row r="358" ht="15.75" hidden="1" customHeight="1"/>
    <row r="359" ht="15.75" hidden="1" customHeight="1"/>
    <row r="360" ht="15.75" hidden="1" customHeight="1"/>
    <row r="361" ht="15.75" hidden="1" customHeight="1"/>
    <row r="362" ht="15.75" hidden="1" customHeight="1"/>
    <row r="363" ht="15.75" hidden="1" customHeight="1"/>
    <row r="364" ht="15.75" hidden="1" customHeight="1"/>
    <row r="365" ht="15.75" hidden="1" customHeight="1"/>
    <row r="366" ht="15.75" hidden="1" customHeight="1"/>
    <row r="367" ht="15.75" hidden="1" customHeight="1"/>
    <row r="368" ht="15.75" hidden="1" customHeight="1"/>
    <row r="369" ht="15.75" hidden="1" customHeight="1"/>
    <row r="370" ht="15.75" hidden="1" customHeight="1"/>
    <row r="371" ht="15.75" hidden="1" customHeight="1"/>
    <row r="372" ht="15.75" hidden="1" customHeight="1"/>
    <row r="373" ht="15.75" hidden="1" customHeight="1"/>
    <row r="374" ht="15.75" hidden="1" customHeight="1"/>
    <row r="375" ht="15.75" hidden="1" customHeight="1"/>
    <row r="376" ht="15.75" hidden="1" customHeight="1"/>
    <row r="377" ht="15.75" hidden="1" customHeight="1"/>
    <row r="378" ht="15.75" hidden="1" customHeight="1"/>
    <row r="379" ht="15.75" hidden="1" customHeight="1"/>
    <row r="380" ht="15.75" hidden="1" customHeight="1"/>
    <row r="381" ht="15.75" hidden="1" customHeight="1"/>
    <row r="382" ht="15.75" hidden="1" customHeight="1"/>
    <row r="383" ht="15.75" hidden="1" customHeight="1"/>
    <row r="384" ht="15.75" hidden="1" customHeight="1"/>
    <row r="385" ht="15.75" hidden="1" customHeight="1"/>
    <row r="386" ht="15.75" hidden="1" customHeight="1"/>
    <row r="387" ht="15.75" hidden="1" customHeight="1"/>
    <row r="388" ht="15.75" hidden="1" customHeight="1"/>
    <row r="389" ht="15.75" hidden="1" customHeight="1"/>
    <row r="390" ht="15.75" hidden="1" customHeight="1"/>
    <row r="391" ht="15.75" hidden="1" customHeight="1"/>
    <row r="392" ht="15.75" hidden="1" customHeight="1"/>
    <row r="393" ht="15.75" hidden="1" customHeight="1"/>
    <row r="394" ht="15.75" hidden="1" customHeight="1"/>
    <row r="395" ht="15.75" hidden="1" customHeight="1"/>
    <row r="396" ht="15.75" hidden="1" customHeight="1"/>
    <row r="397" ht="15.75" hidden="1" customHeight="1"/>
    <row r="398" ht="15.75" hidden="1" customHeight="1"/>
    <row r="399" ht="15.75" hidden="1" customHeight="1"/>
    <row r="400" ht="15.75" hidden="1" customHeight="1"/>
    <row r="401" ht="15.75" hidden="1" customHeight="1"/>
    <row r="402" ht="15.75" hidden="1" customHeight="1"/>
    <row r="403" ht="15.75" hidden="1" customHeight="1"/>
    <row r="404" ht="15.75" hidden="1" customHeight="1"/>
    <row r="405" ht="15.75" hidden="1" customHeight="1"/>
    <row r="406" ht="15.75" hidden="1" customHeight="1"/>
    <row r="407" ht="15.75" hidden="1" customHeight="1"/>
    <row r="408" ht="15.75" hidden="1" customHeight="1"/>
    <row r="409" ht="15.75" hidden="1" customHeight="1"/>
    <row r="410" ht="15.75" hidden="1" customHeight="1"/>
    <row r="411" ht="15.75" hidden="1" customHeight="1"/>
    <row r="412" ht="15.75" hidden="1" customHeight="1"/>
    <row r="413" ht="15.75" hidden="1" customHeight="1"/>
    <row r="414" ht="15.75" hidden="1" customHeight="1"/>
    <row r="415" ht="15.75" hidden="1" customHeight="1"/>
    <row r="416" ht="15.75" hidden="1" customHeight="1"/>
    <row r="417" ht="15.75" hidden="1" customHeight="1"/>
    <row r="418" ht="15.75" hidden="1" customHeight="1"/>
    <row r="419" ht="15.75" hidden="1" customHeight="1"/>
    <row r="420" ht="15.75" hidden="1" customHeight="1"/>
    <row r="421" ht="15.75" hidden="1" customHeight="1"/>
    <row r="422" ht="15.75" hidden="1" customHeight="1"/>
    <row r="423" ht="15.75" hidden="1" customHeight="1"/>
    <row r="424" ht="15.75" hidden="1" customHeight="1"/>
    <row r="425" ht="15.75" hidden="1" customHeight="1"/>
    <row r="426" ht="15.75" hidden="1" customHeight="1"/>
    <row r="427" ht="15.75" hidden="1" customHeight="1"/>
    <row r="428" ht="15.75" hidden="1" customHeight="1"/>
    <row r="429" ht="15.75" hidden="1" customHeight="1"/>
    <row r="430" ht="15.75" hidden="1" customHeight="1"/>
    <row r="431" ht="15.75" hidden="1" customHeight="1"/>
    <row r="432" ht="15.75" hidden="1" customHeight="1"/>
    <row r="433" ht="15.75" hidden="1" customHeight="1"/>
    <row r="434" ht="15.75" hidden="1" customHeight="1"/>
    <row r="435" ht="15.75" hidden="1" customHeight="1"/>
    <row r="436" ht="15.75" hidden="1"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G13:H13"/>
    <mergeCell ref="I13:J13"/>
    <mergeCell ref="I19:J19"/>
    <mergeCell ref="I25:J25"/>
    <mergeCell ref="I31:J31"/>
    <mergeCell ref="I37:J37"/>
    <mergeCell ref="I43:J43"/>
    <mergeCell ref="G60:H60"/>
    <mergeCell ref="I60:J60"/>
    <mergeCell ref="I66:J66"/>
    <mergeCell ref="I72:J72"/>
    <mergeCell ref="I78:J78"/>
    <mergeCell ref="I84:J84"/>
    <mergeCell ref="I90:J90"/>
    <mergeCell ref="G107:H107"/>
    <mergeCell ref="I107:J107"/>
    <mergeCell ref="I113:J113"/>
    <mergeCell ref="I119:J119"/>
    <mergeCell ref="I125:J125"/>
    <mergeCell ref="I131:J131"/>
    <mergeCell ref="I137:J137"/>
    <mergeCell ref="G202:H202"/>
    <mergeCell ref="I202:J202"/>
    <mergeCell ref="I208:J208"/>
    <mergeCell ref="I214:J214"/>
    <mergeCell ref="I220:J220"/>
    <mergeCell ref="I226:J226"/>
    <mergeCell ref="I232:J232"/>
    <mergeCell ref="G154:H154"/>
    <mergeCell ref="I154:J154"/>
    <mergeCell ref="I160:J160"/>
    <mergeCell ref="I166:J166"/>
    <mergeCell ref="I172:J172"/>
    <mergeCell ref="I178:J178"/>
    <mergeCell ref="I184:J184"/>
  </mergeCells>
  <conditionalFormatting sqref="N14:Z14">
    <cfRule type="notContainsBlanks" dxfId="0" priority="1">
      <formula>LEN(TRIM(N14))&gt;0</formula>
    </cfRule>
  </conditionalFormatting>
  <conditionalFormatting sqref="O21:Z21">
    <cfRule type="notContainsBlanks" dxfId="0" priority="2">
      <formula>LEN(TRIM(O21))&gt;0</formula>
    </cfRule>
  </conditionalFormatting>
  <dataValidations>
    <dataValidation type="list" allowBlank="1" sqref="I9 I56 I103 I150 I198">
      <formula1>"1.0,2.0,3.0,4.0,5.0"</formula1>
    </dataValidation>
    <dataValidation type="list" allowBlank="1" sqref="D9">
      <formula1>"Phase1,Phase2,Phase3,Phase4,PrePeaking,Peaking"</formula1>
    </dataValidation>
    <dataValidation type="list" allowBlank="1" sqref="D56 D103 D150 D198">
      <formula1>"Phase1,Phase2,Phase3,Phase4,Phase5,Phase6"</formula1>
    </dataValidation>
    <dataValidation type="list" allowBlank="1" sqref="D13 D19 D25 D31 D37 D43 D60 D66 D72 D78 D84 D90 D107 D113 D119 D125 D131 D137 D154 D160 D166 D172 D178 D184 D202 D208 D214 D220 D226 D232">
      <formula1>"Squat,Deadlift,Bench,Exercise"</formula1>
    </dataValidation>
  </dataValidations>
  <printOptions gridLines="1"/>
  <pageMargins bottom="0.75" footer="0.0" header="0.0" left="0.7" right="0.7" top="0.75"/>
  <pageSetup orientation="portrait"/>
  <rowBreaks count="3" manualBreakCount="3">
    <brk id="141" man="1"/>
    <brk id="94" man="1"/>
    <brk id="47" man="1"/>
  </rowBreaks>
  <colBreaks count="1" manualBreakCount="1">
    <brk id="10" man="1"/>
  </colBrea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66"/>
    <pageSetUpPr/>
  </sheetPr>
  <sheetViews>
    <sheetView workbookViewId="0"/>
  </sheetViews>
  <sheetFormatPr customHeight="1" defaultColWidth="14.43" defaultRowHeight="15.0"/>
  <cols>
    <col customWidth="1" hidden="1" min="1" max="1" width="2.0"/>
    <col customWidth="1" min="2" max="2" width="10.57"/>
    <col customWidth="1" hidden="1" min="3" max="3" width="3.57"/>
    <col customWidth="1" min="4" max="4" width="33.0"/>
    <col customWidth="1" min="5" max="5" width="5.0"/>
    <col customWidth="1" min="6" max="6" width="5.57"/>
    <col customWidth="1" min="7" max="7" width="7.0"/>
    <col customWidth="1" min="8" max="8" width="9.29"/>
    <col customWidth="1" min="9" max="10" width="8.29"/>
  </cols>
  <sheetData>
    <row r="1" ht="15.75" customHeight="1"/>
    <row r="2" ht="15.75" customHeight="1"/>
    <row r="3" ht="15.75" customHeight="1"/>
    <row r="4" ht="15.75" customHeight="1"/>
    <row r="5" ht="15.75" customHeight="1"/>
    <row r="6" ht="15.75" customHeight="1"/>
    <row r="7" ht="15.75" customHeight="1"/>
    <row r="8" ht="15.75" customHeight="1"/>
    <row r="9" ht="15.75" customHeight="1">
      <c r="D9" s="33" t="s">
        <v>189</v>
      </c>
      <c r="E9" s="23"/>
      <c r="F9" s="23"/>
      <c r="G9" s="23"/>
      <c r="H9" s="24" t="s">
        <v>1</v>
      </c>
      <c r="I9" s="25">
        <v>1.0</v>
      </c>
    </row>
    <row r="10" ht="15.75" customHeight="1">
      <c r="D10" s="23"/>
      <c r="E10" s="23"/>
      <c r="F10" s="23"/>
      <c r="G10" s="23"/>
      <c r="H10" s="26"/>
      <c r="I10" s="26"/>
    </row>
    <row r="11" ht="15.75" customHeight="1">
      <c r="K11" s="5"/>
    </row>
    <row r="12" ht="15.75" customHeight="1">
      <c r="D12" s="5"/>
    </row>
    <row r="13" ht="15.75" customHeight="1">
      <c r="A13" s="4"/>
      <c r="B13" s="4" t="s">
        <v>178</v>
      </c>
      <c r="C13" s="4" t="s">
        <v>5</v>
      </c>
      <c r="D13" s="32" t="s">
        <v>152</v>
      </c>
      <c r="E13" s="4" t="s">
        <v>179</v>
      </c>
      <c r="F13" s="4" t="s">
        <v>151</v>
      </c>
      <c r="G13" s="28" t="s">
        <v>180</v>
      </c>
      <c r="I13" s="28" t="s">
        <v>181</v>
      </c>
    </row>
    <row r="14" ht="15.75" customHeight="1">
      <c r="A14" s="5"/>
      <c r="B14" s="29">
        <f>'Max Calculator'!$E$12-28</f>
        <v>43050</v>
      </c>
      <c r="C14" s="5" t="s">
        <v>4</v>
      </c>
      <c r="D14" s="14" t="str">
        <f>HLOOKUP($I$9,INDIRECT($D$9),VLOOKUP(C14,'Phase Creator'!$B$8:$C$19,2,FALSE),FALSE)</f>
        <v>Squat w/ Bands</v>
      </c>
      <c r="E14" s="15">
        <v>6.0</v>
      </c>
      <c r="F14" s="15">
        <v>2.0</v>
      </c>
      <c r="G14" s="30">
        <v>0.5</v>
      </c>
      <c r="H14" s="30">
        <v>0.7</v>
      </c>
      <c r="I14" s="14">
        <f>IF(MROUND(IF($D$13="squat",'Max Calculator'!$E$8*G14,IF($D$13="bench",'Max Calculator'!$E$9*G14,IF($D$13="deadlift",'Max Calculator'!$E$10*G14,0))),5)=0," ",MROUND(IF($D$13="squat",'Max Calculator'!$E$8*G14,IF($D$13="bench",'Max Calculator'!$E$9*G14,IF($D$13="deadlift",'Max Calculator'!$E$10*G14,0))),5))</f>
        <v>160</v>
      </c>
      <c r="J14" s="14">
        <f>IF(MROUND(IF($D$13="squat",'Max Calculator'!$E$8*H14,IF($D$13="bench",'Max Calculator'!$E$9*H14,IF($D$13="deadlift",'Max Calculator'!$E$10*H14,0))),5)=0," ",MROUND(IF($D$13="squat",'Max Calculator'!$E$8*H14,IF($D$13="bench",'Max Calculator'!$E$9*H14,IF($D$13="deadlift",'Max Calculator'!$E$10*H14,0))),5))</f>
        <v>220</v>
      </c>
    </row>
    <row r="15" ht="15.75" customHeight="1">
      <c r="A15" s="5"/>
      <c r="B15" s="29">
        <f>'Max Calculator'!$E$12-21</f>
        <v>43057</v>
      </c>
      <c r="C15" s="5" t="s">
        <v>11</v>
      </c>
      <c r="D15" s="14" t="str">
        <f>HLOOKUP($I$9,INDIRECT($D$9),VLOOKUP(C15,'Phase Creator'!$B$8:$C$19,2,FALSE),FALSE)</f>
        <v>Reverse Bands Squat</v>
      </c>
      <c r="E15" s="15">
        <v>1.0</v>
      </c>
      <c r="F15" s="15">
        <v>3.0</v>
      </c>
      <c r="G15" s="30"/>
      <c r="H15" s="30">
        <v>1.0</v>
      </c>
      <c r="I15" s="14" t="str">
        <f>IF(MROUND(IF($D$13="squat",'Max Calculator'!$E$8*G15,IF($D$13="bench",'Max Calculator'!$E$9*G15,IF($D$13="deadlift",'Max Calculator'!$E$10*G15,0))),5)=0," ",MROUND(IF($D$13="squat",'Max Calculator'!$E$8*G15,IF($D$13="bench",'Max Calculator'!$E$9*G15,IF($D$13="deadlift",'Max Calculator'!$E$10*G15,0))),5))</f>
        <v> </v>
      </c>
      <c r="J15" s="14">
        <f>IF(MROUND(IF($D$13="squat",'Max Calculator'!$E$8*H15,IF($D$13="bench",'Max Calculator'!$E$9*H15,IF($D$13="deadlift",'Max Calculator'!$E$10*H15,0))),5)=0," ",MROUND(IF($D$13="squat",'Max Calculator'!$E$8*H15,IF($D$13="bench",'Max Calculator'!$E$9*H15,IF($D$13="deadlift",'Max Calculator'!$E$10*H15,0))),5))</f>
        <v>315</v>
      </c>
    </row>
    <row r="16" ht="15.75" customHeight="1">
      <c r="A16" s="5"/>
      <c r="B16" s="29">
        <f>'Max Calculator'!$E$12-14</f>
        <v>43064</v>
      </c>
      <c r="C16" s="5" t="s">
        <v>13</v>
      </c>
      <c r="D16" s="14" t="str">
        <f>HLOOKUP($I$9,INDIRECT($D$9),VLOOKUP(C16,'Phase Creator'!$B$8:$C$19,2,FALSE),FALSE)</f>
        <v>Competition Squat</v>
      </c>
      <c r="E16" s="15">
        <v>1.0</v>
      </c>
      <c r="F16" s="15">
        <v>1.0</v>
      </c>
      <c r="G16" s="30"/>
      <c r="H16" s="30">
        <v>1.0</v>
      </c>
      <c r="I16" s="14" t="str">
        <f>IF(MROUND(IF($D$13="squat",'Max Calculator'!$E$8*G16,IF($D$13="bench",'Max Calculator'!$E$9*G16,IF($D$13="deadlift",'Max Calculator'!$E$10*G16,0))),5)=0," ",MROUND(IF($D$13="squat",'Max Calculator'!$E$8*G16,IF($D$13="bench",'Max Calculator'!$E$9*G16,IF($D$13="deadlift",'Max Calculator'!$E$10*G16,0))),5))</f>
        <v> </v>
      </c>
      <c r="J16" s="14">
        <f>IF(MROUND(IF($D$13="squat",'Max Calculator'!$E$8*H16,IF($D$13="bench",'Max Calculator'!$E$9*H16,IF($D$13="deadlift",'Max Calculator'!$E$10*H16,0))),5)=0," ",MROUND(IF($D$13="squat",'Max Calculator'!$E$8*H16,IF($D$13="bench",'Max Calculator'!$E$9*H16,IF($D$13="deadlift",'Max Calculator'!$E$10*H16,0))),5))</f>
        <v>315</v>
      </c>
    </row>
    <row r="17" ht="15.75" customHeight="1">
      <c r="A17" s="5"/>
      <c r="B17" s="29">
        <f>'Max Calculator'!$E$12-7</f>
        <v>43071</v>
      </c>
      <c r="C17" s="5" t="s">
        <v>18</v>
      </c>
      <c r="D17" s="14" t="str">
        <f>HLOOKUP($I$9,INDIRECT($D$9),VLOOKUP(C17,'Phase Creator'!$B$8:$C$19,2,FALSE),FALSE)</f>
        <v>Competition Squat</v>
      </c>
      <c r="E17" s="15">
        <v>1.0</v>
      </c>
      <c r="F17" s="15">
        <v>1.0</v>
      </c>
      <c r="G17" s="30"/>
      <c r="H17" s="30">
        <v>0.9</v>
      </c>
      <c r="I17" s="14" t="str">
        <f>IF(MROUND(IF($D$13="squat",'Max Calculator'!$E$8*G17,IF($D$13="bench",'Max Calculator'!$E$9*G17,IF($D$13="deadlift",'Max Calculator'!$E$10*G17,0))),5)=0," ",MROUND(IF($D$13="squat",'Max Calculator'!$E$8*G17,IF($D$13="bench",'Max Calculator'!$E$9*G17,IF($D$13="deadlift",'Max Calculator'!$E$10*G17,0))),5))</f>
        <v> </v>
      </c>
      <c r="J17" s="14">
        <f>IF(MROUND(IF($D$13="squat",'Max Calculator'!$E$8*H17,IF($D$13="bench",'Max Calculator'!$E$9*H17,IF($D$13="deadlift",'Max Calculator'!$E$10*H17,0))),5)=0," ",MROUND(IF($D$13="squat",'Max Calculator'!$E$8*H17,IF($D$13="bench",'Max Calculator'!$E$9*H17,IF($D$13="deadlift",'Max Calculator'!$E$10*H17,0))),5))</f>
        <v>285</v>
      </c>
    </row>
    <row r="18" ht="15.75" customHeight="1">
      <c r="D18" s="5"/>
    </row>
    <row r="19" ht="15.75" customHeight="1">
      <c r="A19" s="4"/>
      <c r="B19" s="4" t="s">
        <v>178</v>
      </c>
      <c r="C19" s="4" t="s">
        <v>21</v>
      </c>
      <c r="D19" s="32" t="s">
        <v>152</v>
      </c>
      <c r="E19" s="4" t="s">
        <v>179</v>
      </c>
      <c r="F19" s="4" t="s">
        <v>151</v>
      </c>
      <c r="G19" s="4" t="s">
        <v>180</v>
      </c>
      <c r="I19" s="28" t="s">
        <v>181</v>
      </c>
    </row>
    <row r="20" ht="15.75" customHeight="1">
      <c r="A20" s="5"/>
      <c r="B20" s="29">
        <f>'Max Calculator'!$E$12-28</f>
        <v>43050</v>
      </c>
      <c r="C20" s="5" t="s">
        <v>20</v>
      </c>
      <c r="D20" s="14" t="str">
        <f>HLOOKUP($I$9,INDIRECT($D$9),VLOOKUP(C20,'Phase Creator'!$B$8:$C$19,2,FALSE),FALSE)</f>
        <v>1ct Pause Squat</v>
      </c>
      <c r="E20" s="15">
        <v>3.0</v>
      </c>
      <c r="F20" s="15">
        <v>6.0</v>
      </c>
      <c r="G20" s="30"/>
      <c r="H20" s="30">
        <v>0.55</v>
      </c>
      <c r="I20" s="14" t="str">
        <f>IF(MROUND(IF($D$19="squat",'Max Calculator'!$E$8*G20,IF($D$19="bench",'Max Calculator'!$E$9*G20,IF($D$19="deadlift",'Max Calculator'!$E$10*G20,0))),5)=0," ",MROUND(IF($D$19="squat",'Max Calculator'!$E$8*G20,IF($D$19="bench",'Max Calculator'!$E$9*G20,IF($D$19="deadlift",'Max Calculator'!$E$10*G20,0))),5))</f>
        <v> </v>
      </c>
      <c r="J20" s="14">
        <f>IF(MROUND(IF($D$19="squat",'Max Calculator'!$E$8*H20,IF($D$19="bench",'Max Calculator'!$E$9*H20,IF($D$19="deadlift",'Max Calculator'!$E$10*H20,0))),5)=0," ",MROUND(IF($D$19="squat",'Max Calculator'!$E$8*H20,IF($D$19="bench",'Max Calculator'!$E$9*H20,IF($D$19="deadlift",'Max Calculator'!$E$10*H20,0))),5))</f>
        <v>175</v>
      </c>
    </row>
    <row r="21" ht="15.75" customHeight="1">
      <c r="A21" s="5"/>
      <c r="B21" s="29">
        <f>'Max Calculator'!$E$12-21</f>
        <v>43057</v>
      </c>
      <c r="C21" s="5" t="s">
        <v>27</v>
      </c>
      <c r="D21" s="14" t="str">
        <f>HLOOKUP($I$9,INDIRECT($D$9),VLOOKUP(C21,'Phase Creator'!$B$8:$C$19,2,FALSE),FALSE)</f>
        <v>1ct Pause Squat</v>
      </c>
      <c r="E21" s="15">
        <v>2.0</v>
      </c>
      <c r="F21" s="15">
        <v>5.0</v>
      </c>
      <c r="G21" s="30"/>
      <c r="H21" s="30">
        <v>0.65</v>
      </c>
      <c r="I21" s="14" t="str">
        <f>IF(MROUND(IF($D$19="squat",'Max Calculator'!$E$8*G21,IF($D$19="bench",'Max Calculator'!$E$9*G21,IF($D$19="deadlift",'Max Calculator'!$E$10*G21,0))),5)=0," ",MROUND(IF($D$19="squat",'Max Calculator'!$E$8*G21,IF($D$19="bench",'Max Calculator'!$E$9*G21,IF($D$19="deadlift",'Max Calculator'!$E$10*G21,0))),5))</f>
        <v> </v>
      </c>
      <c r="J21" s="14">
        <f>IF(MROUND(IF($D$19="squat",'Max Calculator'!$E$8*H21,IF($D$19="bench",'Max Calculator'!$E$9*H21,IF($D$19="deadlift",'Max Calculator'!$E$10*H21,0))),5)=0," ",MROUND(IF($D$19="squat",'Max Calculator'!$E$8*H21,IF($D$19="bench",'Max Calculator'!$E$9*H21,IF($D$19="deadlift",'Max Calculator'!$E$10*H21,0))),5))</f>
        <v>205</v>
      </c>
    </row>
    <row r="22" ht="15.75" customHeight="1">
      <c r="A22" s="5"/>
      <c r="B22" s="29">
        <f>'Max Calculator'!$E$12-14</f>
        <v>43064</v>
      </c>
      <c r="C22" s="5" t="s">
        <v>28</v>
      </c>
      <c r="D22" s="14" t="str">
        <f>HLOOKUP($I$9,INDIRECT($D$9),VLOOKUP(C22,'Phase Creator'!$B$8:$C$19,2,FALSE),FALSE)</f>
        <v>1ct Pause Squat</v>
      </c>
      <c r="E22" s="15">
        <v>2.0</v>
      </c>
      <c r="F22" s="15">
        <v>5.0</v>
      </c>
      <c r="G22" s="30"/>
      <c r="H22" s="30">
        <v>0.6</v>
      </c>
      <c r="I22" s="14" t="str">
        <f>IF(MROUND(IF($D$19="squat",'Max Calculator'!$E$8*G22,IF($D$19="bench",'Max Calculator'!$E$9*G22,IF($D$19="deadlift",'Max Calculator'!$E$10*G22,0))),5)=0," ",MROUND(IF($D$19="squat",'Max Calculator'!$E$8*G22,IF($D$19="bench",'Max Calculator'!$E$9*G22,IF($D$19="deadlift",'Max Calculator'!$E$10*G22,0))),5))</f>
        <v> </v>
      </c>
      <c r="J22" s="14">
        <f>IF(MROUND(IF($D$19="squat",'Max Calculator'!$E$8*H22,IF($D$19="bench",'Max Calculator'!$E$9*H22,IF($D$19="deadlift",'Max Calculator'!$E$10*H22,0))),5)=0," ",MROUND(IF($D$19="squat",'Max Calculator'!$E$8*H22,IF($D$19="bench",'Max Calculator'!$E$9*H22,IF($D$19="deadlift",'Max Calculator'!$E$10*H22,0))),5))</f>
        <v>190</v>
      </c>
    </row>
    <row r="23" ht="15.75" customHeight="1">
      <c r="A23" s="5"/>
      <c r="B23" s="29">
        <f>'Max Calculator'!$E$12-7</f>
        <v>43071</v>
      </c>
      <c r="C23" s="5" t="s">
        <v>32</v>
      </c>
      <c r="D23" s="14" t="str">
        <f>HLOOKUP($I$9,INDIRECT($D$9),VLOOKUP(C23,'Phase Creator'!$B$8:$C$19,2,FALSE),FALSE)</f>
        <v>1ct Pause Squat</v>
      </c>
      <c r="E23" s="15">
        <v>1.0</v>
      </c>
      <c r="F23" s="15">
        <v>5.0</v>
      </c>
      <c r="G23" s="30"/>
      <c r="H23" s="30">
        <v>0.5</v>
      </c>
      <c r="I23" s="14" t="str">
        <f>IF(MROUND(IF($D$19="squat",'Max Calculator'!$E$8*G23,IF($D$19="bench",'Max Calculator'!$E$9*G23,IF($D$19="deadlift",'Max Calculator'!$E$10*G23,0))),5)=0," ",MROUND(IF($D$19="squat",'Max Calculator'!$E$8*G23,IF($D$19="bench",'Max Calculator'!$E$9*G23,IF($D$19="deadlift",'Max Calculator'!$E$10*G23,0))),5))</f>
        <v> </v>
      </c>
      <c r="J23" s="14">
        <f>IF(MROUND(IF($D$19="squat",'Max Calculator'!$E$8*H23,IF($D$19="bench",'Max Calculator'!$E$9*H23,IF($D$19="deadlift",'Max Calculator'!$E$10*H23,0))),5)=0," ",MROUND(IF($D$19="squat",'Max Calculator'!$E$8*H23,IF($D$19="bench",'Max Calculator'!$E$9*H23,IF($D$19="deadlift",'Max Calculator'!$E$10*H23,0))),5))</f>
        <v>160</v>
      </c>
    </row>
    <row r="24" ht="15.75" customHeight="1"/>
    <row r="25" ht="15.75" customHeight="1">
      <c r="A25" s="4"/>
      <c r="B25" s="4" t="s">
        <v>178</v>
      </c>
      <c r="C25" s="4" t="s">
        <v>33</v>
      </c>
      <c r="D25" s="32" t="s">
        <v>185</v>
      </c>
      <c r="E25" s="4" t="s">
        <v>179</v>
      </c>
      <c r="F25" s="4" t="s">
        <v>151</v>
      </c>
      <c r="G25" s="4" t="s">
        <v>180</v>
      </c>
      <c r="I25" s="28" t="s">
        <v>181</v>
      </c>
    </row>
    <row r="26" ht="15.75" customHeight="1">
      <c r="A26" s="5"/>
      <c r="B26" s="29">
        <f>'Max Calculator'!$E$12-28</f>
        <v>43050</v>
      </c>
      <c r="C26" s="5" t="s">
        <v>33</v>
      </c>
      <c r="D26" s="14" t="str">
        <f>HLOOKUP($I$9,INDIRECT($D$9),VLOOKUP(C26,'Phase Creator'!$B$8:$C$19,2,FALSE),FALSE)</f>
        <v>Plank</v>
      </c>
      <c r="E26" s="15">
        <v>3.0</v>
      </c>
      <c r="F26" s="15">
        <v>20.0</v>
      </c>
      <c r="G26" s="30"/>
      <c r="H26" s="30"/>
      <c r="I26" s="14" t="str">
        <f>IF(MROUND(IF(D25="squat",'Max Calculator'!$E$8*G26,IF(D25="bench",'Max Calculator'!$E$9*G26,IF(D25="deadlift",'Max Calculator'!$E$10*G26,0))),5)=0," ",MROUND(IF(D25="squat",'Max Calculator'!$E$8*G26,IF(D25="bench",'Max Calculator'!$E$9*G26,IF(D25="deadlift",'Max Calculator'!$E$10*G26,0))),5))</f>
        <v> </v>
      </c>
      <c r="J26" s="14" t="str">
        <f>IF(MROUND(IF(D25="squat",'Max Calculator'!$E$8*H26,IF(D25="bench",'Max Calculator'!$E$9*H26,IF(D25="deadlift",'Max Calculator'!$E$10*H26,0))),5)=0," ",MROUND(IF(D25="squat",'Max Calculator'!$E$8*H26,IF(D25="bench",'Max Calculator'!$E$9*H26,IF(D25="deadlift",'Max Calculator'!$E$10*H26,0))),5))</f>
        <v> </v>
      </c>
    </row>
    <row r="27" ht="15.75" customHeight="1">
      <c r="A27" s="5"/>
      <c r="B27" s="29">
        <f>'Max Calculator'!$E$12-21</f>
        <v>43057</v>
      </c>
      <c r="C27" s="5" t="s">
        <v>33</v>
      </c>
      <c r="D27" s="14" t="str">
        <f>HLOOKUP($I$9,INDIRECT($D$9),VLOOKUP(C27,'Phase Creator'!$B$8:$C$19,2,FALSE),FALSE)</f>
        <v>Plank</v>
      </c>
      <c r="E27" s="15">
        <v>2.0</v>
      </c>
      <c r="F27" s="15">
        <v>30.0</v>
      </c>
      <c r="G27" s="30"/>
      <c r="H27" s="30"/>
      <c r="I27" s="14" t="str">
        <f>IF(MROUND(IF(D25="squat",'Max Calculator'!$E$8*G27,IF(D25="bench",'Max Calculator'!$E$9*G27,IF(D25="deadlift",'Max Calculator'!$E$10*G27,0))),5)=0," ",MROUND(IF(D25="squat",'Max Calculator'!$E$8*G27,IF(D25="bench",'Max Calculator'!$E$9*G27,IF(D25="deadlift",'Max Calculator'!$E$10*G27,0))),5))</f>
        <v> </v>
      </c>
      <c r="J27" s="14" t="str">
        <f>IF(MROUND(IF(D25="squat",'Max Calculator'!$E$8*H27,IF(D25="bench",'Max Calculator'!$E$9*H27,IF(D25="deadlift",'Max Calculator'!$E$10*H27,0))),5)=0," ",MROUND(IF(D25="squat",'Max Calculator'!$E$8*H27,IF(D25="bench",'Max Calculator'!$E$9*H27,IF(D25="deadlift",'Max Calculator'!$E$10*H27,0))),5))</f>
        <v> </v>
      </c>
    </row>
    <row r="28" ht="15.75" customHeight="1">
      <c r="A28" s="5"/>
      <c r="B28" s="29">
        <f>'Max Calculator'!$E$12-14</f>
        <v>43064</v>
      </c>
      <c r="C28" s="5" t="s">
        <v>33</v>
      </c>
      <c r="D28" s="14" t="str">
        <f>HLOOKUP($I$9,INDIRECT($D$9),VLOOKUP(C28,'Phase Creator'!$B$8:$C$19,2,FALSE),FALSE)</f>
        <v>Plank</v>
      </c>
      <c r="E28" s="15">
        <v>2.0</v>
      </c>
      <c r="F28" s="15">
        <v>30.0</v>
      </c>
      <c r="G28" s="30"/>
      <c r="H28" s="30"/>
      <c r="I28" s="14" t="str">
        <f>IF(MROUND(IF(D25="squat",'Max Calculator'!$E$8*G28,IF(D25="bench",'Max Calculator'!$E$9*G28,IF(D25="deadlift",'Max Calculator'!$E$10*G28,0))),5)=0," ",MROUND(IF(D25="squat",'Max Calculator'!$E$8*G28,IF(D25="bench",'Max Calculator'!$E$9*G28,IF(D25="deadlift",'Max Calculator'!$E$10*G28,0))),5))</f>
        <v> </v>
      </c>
      <c r="J28" s="14" t="str">
        <f>IF(MROUND(IF(D25="squat",'Max Calculator'!$E$8*H28,IF(D25="bench",'Max Calculator'!$E$9*H28,IF(D25="deadlift",'Max Calculator'!$E$10*H28,0))),5)=0," ",MROUND(IF(D25="squat",'Max Calculator'!$E$8*H28,IF(D25="bench",'Max Calculator'!$E$9*H28,IF(D25="deadlift",'Max Calculator'!$E$10*H28,0))),5))</f>
        <v> </v>
      </c>
    </row>
    <row r="29" ht="15.75" customHeight="1">
      <c r="A29" s="5"/>
      <c r="B29" s="29">
        <f>'Max Calculator'!$E$12-7</f>
        <v>43071</v>
      </c>
      <c r="C29" s="5" t="s">
        <v>33</v>
      </c>
      <c r="D29" s="14" t="str">
        <f>HLOOKUP($I$9,INDIRECT($D$9),VLOOKUP(C29,'Phase Creator'!$B$8:$C$19,2,FALSE),FALSE)</f>
        <v>Plank</v>
      </c>
      <c r="E29" s="15">
        <v>1.0</v>
      </c>
      <c r="F29" s="15">
        <v>30.0</v>
      </c>
      <c r="G29" s="30"/>
      <c r="H29" s="30"/>
      <c r="I29" s="14" t="str">
        <f>IF(MROUND(IF(D25="squat",'Max Calculator'!$E$8*G29,IF(D25="bench",'Max Calculator'!$E$9*G29,IF(D25="deadlift",'Max Calculator'!$E$10*G29,0))),5)=0," ",MROUND(IF(D25="squat",'Max Calculator'!$E$8*G29,IF(D25="bench",'Max Calculator'!$E$9*G29,IF(D25="deadlift",'Max Calculator'!$E$10*G29,0))),5))</f>
        <v> </v>
      </c>
      <c r="J29" s="14" t="str">
        <f>IF(MROUND(IF(D25="squat",'Max Calculator'!$E$8*H29,IF(D25="bench",'Max Calculator'!$E$9*H29,IF(D25="deadlift",'Max Calculator'!$E$10*H29,0))),5)=0," ",MROUND(IF(D25="squat",'Max Calculator'!$E$8*H29,IF(D25="bench",'Max Calculator'!$E$9*H29,IF(D25="deadlift",'Max Calculator'!$E$10*H29,0))),5))</f>
        <v> </v>
      </c>
    </row>
    <row r="30" ht="15.75" customHeight="1"/>
    <row r="31" ht="15.75" customHeight="1">
      <c r="A31" s="4"/>
      <c r="B31" s="4" t="s">
        <v>178</v>
      </c>
      <c r="C31" s="4" t="s">
        <v>38</v>
      </c>
      <c r="D31" s="32" t="s">
        <v>185</v>
      </c>
      <c r="E31" s="4" t="s">
        <v>179</v>
      </c>
      <c r="F31" s="4" t="s">
        <v>151</v>
      </c>
      <c r="G31" s="4" t="s">
        <v>180</v>
      </c>
      <c r="I31" s="28" t="s">
        <v>181</v>
      </c>
    </row>
    <row r="32" ht="15.75" customHeight="1">
      <c r="A32" s="5"/>
      <c r="B32" s="29">
        <f>'Max Calculator'!$E$12-28</f>
        <v>43050</v>
      </c>
      <c r="C32" s="5" t="s">
        <v>38</v>
      </c>
      <c r="D32" s="14" t="str">
        <f>HLOOKUP($I$9,INDIRECT($D$9),VLOOKUP(C32,'Phase Creator'!$B$8:$C$19,2,FALSE),FALSE)</f>
        <v>GHR or Back Extension</v>
      </c>
      <c r="E32" s="15">
        <v>3.0</v>
      </c>
      <c r="F32" s="15">
        <v>15.0</v>
      </c>
      <c r="G32" s="30"/>
      <c r="H32" s="30"/>
      <c r="I32" s="14" t="str">
        <f>IF(MROUND(IF(D31="squat",'Max Calculator'!$E$8*G32,IF(D31="bench",'Max Calculator'!$E$9*G32,IF(D31="deadlift",'Max Calculator'!$E$10*G32,0))),5)=0," ",MROUND(IF(D31="squat",'Max Calculator'!$E$8*G32,IF(D31="bench",'Max Calculator'!$E$9*G32,IF(D31="deadlift",'Max Calculator'!$E$10*G32,0))),5))</f>
        <v> </v>
      </c>
      <c r="J32" s="14" t="str">
        <f>IF(MROUND(IF(D31="squat",'Max Calculator'!$E$8*H32,IF(D31="bench",'Max Calculator'!$E$9*H32,IF(D31="deadlift",'Max Calculator'!$E$10*H32,0))),5)=0," ",MROUND(IF(D31="squat",'Max Calculator'!$E$8*H32,IF(D31="bench",'Max Calculator'!$E$9*H32,IF(D31="deadlift",'Max Calculator'!$E$10*H32,0))),5))</f>
        <v> </v>
      </c>
    </row>
    <row r="33" ht="15.75" customHeight="1">
      <c r="A33" s="5"/>
      <c r="B33" s="29">
        <f>'Max Calculator'!$E$12-21</f>
        <v>43057</v>
      </c>
      <c r="C33" s="5" t="s">
        <v>38</v>
      </c>
      <c r="D33" s="14" t="str">
        <f>HLOOKUP($I$9,INDIRECT($D$9),VLOOKUP(C33,'Phase Creator'!$B$8:$C$19,2,FALSE),FALSE)</f>
        <v>GHR or Back Extension</v>
      </c>
      <c r="E33" s="15">
        <v>2.0</v>
      </c>
      <c r="F33" s="15">
        <v>12.0</v>
      </c>
      <c r="G33" s="30"/>
      <c r="H33" s="30"/>
      <c r="I33" s="14" t="str">
        <f>IF(MROUND(IF(D31="squat",'Max Calculator'!$E$8*G33,IF(D31="bench",'Max Calculator'!$E$9*G33,IF(D31="deadlift",'Max Calculator'!$E$10*G33,0))),5)=0," ",MROUND(IF(D31="squat",'Max Calculator'!$E$8*G33,IF(D31="bench",'Max Calculator'!$E$9*G33,IF(D31="deadlift",'Max Calculator'!$E$10*G33,0))),5))</f>
        <v> </v>
      </c>
      <c r="J33" s="14" t="str">
        <f>IF(MROUND(IF(D31="squat",'Max Calculator'!$E$8*H33,IF(D31="bench",'Max Calculator'!$E$9*H33,IF(D31="deadlift",'Max Calculator'!$E$10*H33,0))),5)=0," ",MROUND(IF(D31="squat",'Max Calculator'!$E$8*H33,IF(D31="bench",'Max Calculator'!$E$9*H33,IF(D31="deadlift",'Max Calculator'!$E$10*H33,0))),5))</f>
        <v> </v>
      </c>
    </row>
    <row r="34" ht="15.75" customHeight="1">
      <c r="A34" s="5"/>
      <c r="B34" s="29">
        <f>'Max Calculator'!$E$12-14</f>
        <v>43064</v>
      </c>
      <c r="C34" s="5" t="s">
        <v>38</v>
      </c>
      <c r="D34" s="14" t="str">
        <f>HLOOKUP($I$9,INDIRECT($D$9),VLOOKUP(C34,'Phase Creator'!$B$8:$C$19,2,FALSE),FALSE)</f>
        <v>GHR or Back Extension</v>
      </c>
      <c r="E34" s="15">
        <v>2.0</v>
      </c>
      <c r="F34" s="15">
        <v>8.0</v>
      </c>
      <c r="G34" s="30"/>
      <c r="H34" s="30"/>
      <c r="I34" s="14" t="str">
        <f>IF(MROUND(IF(D31="squat",'Max Calculator'!$E$8*G34,IF(D31="bench",'Max Calculator'!$E$9*G34,IF(D31="deadlift",'Max Calculator'!$E$10*G34,0))),5)=0," ",MROUND(IF(D31="squat",'Max Calculator'!$E$8*G34,IF(D31="bench",'Max Calculator'!$E$9*G34,IF(D31="deadlift",'Max Calculator'!$E$10*G34,0))),5))</f>
        <v> </v>
      </c>
      <c r="J34" s="14" t="str">
        <f>IF(MROUND(IF(D31="squat",'Max Calculator'!$E$8*H34,IF(D31="bench",'Max Calculator'!$E$9*H34,IF(D31="deadlift",'Max Calculator'!$E$10*H34,0))),5)=0," ",MROUND(IF(D31="squat",'Max Calculator'!$E$8*H34,IF(D31="bench",'Max Calculator'!$E$9*H34,IF(D31="deadlift",'Max Calculator'!$E$10*H34,0))),5))</f>
        <v> </v>
      </c>
    </row>
    <row r="35" ht="15.75" customHeight="1">
      <c r="A35" s="5"/>
      <c r="B35" s="29">
        <f>'Max Calculator'!$E$12-7</f>
        <v>43071</v>
      </c>
      <c r="C35" s="5" t="s">
        <v>38</v>
      </c>
      <c r="D35" s="14" t="str">
        <f>HLOOKUP($I$9,INDIRECT($D$9),VLOOKUP(C35,'Phase Creator'!$B$8:$C$19,2,FALSE),FALSE)</f>
        <v>GHR or Back Extension</v>
      </c>
      <c r="E35" s="15">
        <v>1.0</v>
      </c>
      <c r="F35" s="15">
        <v>10.0</v>
      </c>
      <c r="G35" s="30"/>
      <c r="H35" s="30"/>
      <c r="I35" s="14" t="str">
        <f>IF(MROUND(IF(D31="squat",'Max Calculator'!$E$8*G35,IF(D31="bench",'Max Calculator'!$E$9*G35,IF(D31="deadlift",'Max Calculator'!$E$10*G35,0))),5)=0," ",MROUND(IF(D31="squat",'Max Calculator'!$E$8*G35,IF(D31="bench",'Max Calculator'!$E$9*G35,IF(D31="deadlift",'Max Calculator'!$E$10*G35,0))),5))</f>
        <v> </v>
      </c>
      <c r="J35" s="14" t="str">
        <f>IF(MROUND(IF(D31="squat",'Max Calculator'!$E$8*H35,IF(D31="bench",'Max Calculator'!$E$9*H35,IF(D31="deadlift",'Max Calculator'!$E$10*H35,0))),5)=0," ",MROUND(IF(D31="squat",'Max Calculator'!$E$8*H35,IF(D31="bench",'Max Calculator'!$E$9*H35,IF(D31="deadlift",'Max Calculator'!$E$10*H35,0))),5))</f>
        <v> </v>
      </c>
    </row>
    <row r="36" ht="15.75" customHeight="1"/>
    <row r="37" ht="15.75" customHeight="1">
      <c r="A37" s="4"/>
      <c r="B37" s="4" t="s">
        <v>178</v>
      </c>
      <c r="C37" s="4" t="s">
        <v>43</v>
      </c>
      <c r="D37" s="32" t="s">
        <v>185</v>
      </c>
      <c r="E37" s="4" t="s">
        <v>179</v>
      </c>
      <c r="F37" s="4" t="s">
        <v>151</v>
      </c>
      <c r="G37" s="4" t="s">
        <v>180</v>
      </c>
      <c r="I37" s="28" t="s">
        <v>181</v>
      </c>
    </row>
    <row r="38" ht="15.75" customHeight="1">
      <c r="A38" s="5"/>
      <c r="B38" s="29">
        <f>'Max Calculator'!$E$12-28</f>
        <v>43050</v>
      </c>
      <c r="C38" s="5" t="s">
        <v>43</v>
      </c>
      <c r="D38" s="14" t="str">
        <f>HLOOKUP($I$9,INDIRECT($D$9),VLOOKUP(C38,'Phase Creator'!$B$8:$C$19,2,FALSE),FALSE)</f>
        <v>Hip Circle wall squat 3ct Pause</v>
      </c>
      <c r="E38" s="15">
        <v>3.0</v>
      </c>
      <c r="F38" s="15">
        <v>8.0</v>
      </c>
      <c r="G38" s="30"/>
      <c r="H38" s="30"/>
      <c r="I38" s="14" t="str">
        <f>IF(MROUND(IF(D37="squat",'Max Calculator'!$E$8*G38,IF(D37="bench",'Max Calculator'!$E$9*G38,IF(D37="deadlift",'Max Calculator'!$E$10*G38,0))),5)=0," ",MROUND(IF(D37="squat",'Max Calculator'!$E$8*G38,IF(D37="bench",'Max Calculator'!$E$9*G38,IF(D37="deadlift",'Max Calculator'!$E$10*G38,0))),5))</f>
        <v> </v>
      </c>
      <c r="J38" s="14" t="str">
        <f>IF(MROUND(IF(D37="squat",'Max Calculator'!$E$8*H38,IF(D37="bench",'Max Calculator'!$E$9*H38,IF(D37="deadlift",'Max Calculator'!$E$10*H38,0))),5)=0," ",MROUND(IF(D37="squat",'Max Calculator'!$E$8*H38,IF(D37="bench",'Max Calculator'!$E$9*H38,IF(D37="deadlift",'Max Calculator'!$E$10*H38,0))),5))</f>
        <v> </v>
      </c>
    </row>
    <row r="39" ht="15.75" customHeight="1">
      <c r="A39" s="5"/>
      <c r="B39" s="29">
        <f>'Max Calculator'!$E$12-21</f>
        <v>43057</v>
      </c>
      <c r="C39" s="5" t="s">
        <v>43</v>
      </c>
      <c r="D39" s="14" t="str">
        <f>HLOOKUP($I$9,INDIRECT($D$9),VLOOKUP(C39,'Phase Creator'!$B$8:$C$19,2,FALSE),FALSE)</f>
        <v>Hip Circle wall squat 3ct Pause</v>
      </c>
      <c r="E39" s="15">
        <v>2.0</v>
      </c>
      <c r="F39" s="15">
        <v>10.0</v>
      </c>
      <c r="G39" s="30"/>
      <c r="H39" s="30"/>
      <c r="I39" s="14" t="str">
        <f>IF(MROUND(IF(D37="squat",'Max Calculator'!$E$8*G39,IF(D37="bench",'Max Calculator'!$E$9*G39,IF(D37="deadlift",'Max Calculator'!$E$10*G39,0))),5)=0," ",MROUND(IF(D37="squat",'Max Calculator'!$E$8*G39,IF(D37="bench",'Max Calculator'!$E$9*G39,IF(D37="deadlift",'Max Calculator'!$E$10*G39,0))),5))</f>
        <v> </v>
      </c>
      <c r="J39" s="14" t="str">
        <f>IF(MROUND(IF(D37="squat",'Max Calculator'!$E$8*H39,IF(D37="bench",'Max Calculator'!$E$9*H39,IF(D37="deadlift",'Max Calculator'!$E$10*H39,0))),5)=0," ",MROUND(IF(D37="squat",'Max Calculator'!$E$8*H39,IF(D37="bench",'Max Calculator'!$E$9*H39,IF(D37="deadlift",'Max Calculator'!$E$10*H39,0))),5))</f>
        <v> </v>
      </c>
    </row>
    <row r="40" ht="15.75" customHeight="1">
      <c r="A40" s="5"/>
      <c r="B40" s="29">
        <f>'Max Calculator'!$E$12-14</f>
        <v>43064</v>
      </c>
      <c r="C40" s="5" t="s">
        <v>43</v>
      </c>
      <c r="D40" s="14" t="str">
        <f>HLOOKUP($I$9,INDIRECT($D$9),VLOOKUP(C40,'Phase Creator'!$B$8:$C$19,2,FALSE),FALSE)</f>
        <v>Hip Circle wall squat 3ct Pause</v>
      </c>
      <c r="E40" s="15">
        <v>2.0</v>
      </c>
      <c r="F40" s="15">
        <v>8.0</v>
      </c>
      <c r="G40" s="30"/>
      <c r="H40" s="30"/>
      <c r="I40" s="14" t="str">
        <f>IF(MROUND(IF(D37="squat",'Max Calculator'!$E$8*G40,IF(D37="bench",'Max Calculator'!$E$9*G40,IF(D37="deadlift",'Max Calculator'!$E$10*G40,0))),5)=0," ",MROUND(IF(D37="squat",'Max Calculator'!$E$8*G40,IF(D37="bench",'Max Calculator'!$E$9*G40,IF(D37="deadlift",'Max Calculator'!$E$10*G40,0))),5))</f>
        <v> </v>
      </c>
      <c r="J40" s="14" t="str">
        <f>IF(MROUND(IF(D37="squat",'Max Calculator'!$E$8*H40,IF(D37="bench",'Max Calculator'!$E$9*H40,IF(D37="deadlift",'Max Calculator'!$E$10*H40,0))),5)=0," ",MROUND(IF(D37="squat",'Max Calculator'!$E$8*H40,IF(D37="bench",'Max Calculator'!$E$9*H40,IF(D37="deadlift",'Max Calculator'!$E$10*H40,0))),5))</f>
        <v> </v>
      </c>
    </row>
    <row r="41" ht="15.75" customHeight="1">
      <c r="A41" s="5"/>
      <c r="B41" s="29">
        <f>'Max Calculator'!$E$12-7</f>
        <v>43071</v>
      </c>
      <c r="C41" s="5" t="s">
        <v>43</v>
      </c>
      <c r="D41" s="14" t="str">
        <f>HLOOKUP($I$9,INDIRECT($D$9),VLOOKUP(C41,'Phase Creator'!$B$8:$C$19,2,FALSE),FALSE)</f>
        <v>Hip Circle wall squat 3ct Pause</v>
      </c>
      <c r="E41" s="15">
        <v>1.0</v>
      </c>
      <c r="F41" s="15">
        <v>12.0</v>
      </c>
      <c r="G41" s="30"/>
      <c r="H41" s="30"/>
      <c r="I41" s="14" t="str">
        <f>IF(MROUND(IF(D37="squat",'Max Calculator'!$E$8*G41,IF(D37="bench",'Max Calculator'!$E$9*G41,IF(D37="deadlift",'Max Calculator'!$E$10*G41,0))),5)=0," ",MROUND(IF(D37="squat",'Max Calculator'!$E$8*G41,IF(D37="bench",'Max Calculator'!$E$9*G41,IF(D37="deadlift",'Max Calculator'!$E$10*G41,0))),5))</f>
        <v> </v>
      </c>
      <c r="J41" s="14" t="str">
        <f>IF(MROUND(IF(D37="squat",'Max Calculator'!$E$8*H41,IF(D37="bench",'Max Calculator'!$E$9*H41,IF(D37="deadlift",'Max Calculator'!$E$10*H41,0))),5)=0," ",MROUND(IF(D37="squat",'Max Calculator'!$E$8*H41,IF(D37="bench",'Max Calculator'!$E$9*H41,IF(D37="deadlift",'Max Calculator'!$E$10*H41,0))),5))</f>
        <v> </v>
      </c>
    </row>
    <row r="42" ht="15.75" customHeight="1"/>
    <row r="43" ht="15.75" hidden="1" customHeight="1">
      <c r="A43" s="4"/>
      <c r="B43" s="4" t="s">
        <v>178</v>
      </c>
      <c r="C43" s="4" t="s">
        <v>48</v>
      </c>
      <c r="D43" s="32" t="s">
        <v>185</v>
      </c>
      <c r="E43" s="4" t="s">
        <v>179</v>
      </c>
      <c r="F43" s="4" t="s">
        <v>151</v>
      </c>
      <c r="G43" s="4" t="s">
        <v>180</v>
      </c>
      <c r="I43" s="28" t="s">
        <v>181</v>
      </c>
    </row>
    <row r="44" ht="15.75" hidden="1" customHeight="1">
      <c r="A44" s="5"/>
      <c r="B44" s="29">
        <f>'Max Calculator'!$E$12-140</f>
        <v>42938</v>
      </c>
      <c r="C44" s="5" t="s">
        <v>48</v>
      </c>
      <c r="D44" s="14" t="str">
        <f>HLOOKUP($I$9,INDIRECT($D$9),VLOOKUP(C44,'Phase Creator'!$B$8:$C$19,2,FALSE),FALSE)</f>
        <v/>
      </c>
      <c r="E44" s="15"/>
      <c r="F44" s="15"/>
      <c r="G44" s="30"/>
      <c r="H44" s="30"/>
      <c r="I44" s="14" t="str">
        <f>IF(MROUND(IF(D43="squat",'Max Calculator'!$E$8*G44,IF(D43="bench",'Max Calculator'!$E$9*G44,IF(D43="deadlift",'Max Calculator'!$E$10*G44,0))),5)=0," ",MROUND(IF(D43="squat",'Max Calculator'!$E$8*G44,IF(D43="bench",'Max Calculator'!$E$9*G44,IF(D43="deadlift",'Max Calculator'!$E$10*G44,0))),5))</f>
        <v> </v>
      </c>
      <c r="J44" s="14" t="str">
        <f>IF(MROUND(IF(D43="squat",'Max Calculator'!$E$8*H44,IF(D43="bench",'Max Calculator'!$E$9*H44,IF(D43="deadlift",'Max Calculator'!$E$10*H44,0))),5)=0," ",MROUND(IF(D43="squat",'Max Calculator'!$E$8*H44,IF(D43="bench",'Max Calculator'!$E$9*H44,IF(D43="deadlift",'Max Calculator'!$E$10*H44,0))),5))</f>
        <v> </v>
      </c>
    </row>
    <row r="45" ht="15.75" hidden="1" customHeight="1">
      <c r="A45" s="5"/>
      <c r="B45" s="29">
        <f>'Max Calculator'!$E$12-133</f>
        <v>42945</v>
      </c>
      <c r="C45" s="5" t="s">
        <v>48</v>
      </c>
      <c r="D45" s="14" t="str">
        <f>HLOOKUP($I$9,INDIRECT($D$9),VLOOKUP(C45,'Phase Creator'!$B$8:$C$19,2,FALSE),FALSE)</f>
        <v/>
      </c>
      <c r="E45" s="15"/>
      <c r="F45" s="15"/>
      <c r="G45" s="30"/>
      <c r="H45" s="30"/>
      <c r="I45" s="14" t="str">
        <f>IF(MROUND(IF(D43="squat",'Max Calculator'!$E$8*G45,IF(D43="bench",'Max Calculator'!$E$9*G45,IF(D43="deadlift",'Max Calculator'!$E$10*G45,0))),5)=0," ",MROUND(IF(D43="squat",'Max Calculator'!$E$8*G45,IF(D43="bench",'Max Calculator'!$E$9*G45,IF(D43="deadlift",'Max Calculator'!$E$10*G45,0))),5))</f>
        <v> </v>
      </c>
      <c r="J45" s="14" t="str">
        <f>IF(MROUND(IF(D43="squat",'Max Calculator'!$E$8*H45,IF(D43="bench",'Max Calculator'!$E$9*H45,IF(D43="deadlift",'Max Calculator'!$E$10*H45,0))),5)=0," ",MROUND(IF(D43="squat",'Max Calculator'!$E$8*H45,IF(D43="bench",'Max Calculator'!$E$9*H45,IF(D43="deadlift",'Max Calculator'!$E$10*H45,0))),5))</f>
        <v> </v>
      </c>
    </row>
    <row r="46" ht="15.75" hidden="1" customHeight="1">
      <c r="A46" s="5"/>
      <c r="B46" s="29">
        <f>'Max Calculator'!$E$12-126</f>
        <v>42952</v>
      </c>
      <c r="C46" s="5" t="s">
        <v>48</v>
      </c>
      <c r="D46" s="14" t="str">
        <f>HLOOKUP($I$9,INDIRECT($D$9),VLOOKUP(C46,'Phase Creator'!$B$8:$C$19,2,FALSE),FALSE)</f>
        <v/>
      </c>
      <c r="E46" s="15"/>
      <c r="F46" s="15"/>
      <c r="G46" s="30"/>
      <c r="H46" s="30"/>
      <c r="I46" s="14" t="str">
        <f>IF(MROUND(IF(D43="squat",'Max Calculator'!$E$8*G46,IF(D43="bench",'Max Calculator'!$E$9*G46,IF(D43="deadlift",'Max Calculator'!$E$10*G46,0))),5)=0," ",MROUND(IF(D43="squat",'Max Calculator'!$E$8*G46,IF(D43="bench",'Max Calculator'!$E$9*G46,IF(D43="deadlift",'Max Calculator'!$E$10*G46,0))),5))</f>
        <v> </v>
      </c>
      <c r="J46" s="14" t="str">
        <f>IF(MROUND(IF(D43="squat",'Max Calculator'!$E$8*H46,IF(D43="bench",'Max Calculator'!$E$9*H46,IF(D43="deadlift",'Max Calculator'!$E$10*H46,0))),5)=0," ",MROUND(IF(D43="squat",'Max Calculator'!$E$8*H46,IF(D43="bench",'Max Calculator'!$E$9*H46,IF(D43="deadlift",'Max Calculator'!$E$10*H46,0))),5))</f>
        <v> </v>
      </c>
    </row>
    <row r="47" ht="15.75" hidden="1" customHeight="1">
      <c r="A47" s="5"/>
      <c r="B47" s="29">
        <f>'Max Calculator'!$E$12-119</f>
        <v>42959</v>
      </c>
      <c r="C47" s="5" t="s">
        <v>48</v>
      </c>
      <c r="D47" s="14" t="str">
        <f>HLOOKUP($I$9,INDIRECT($D$9),VLOOKUP(C47,'Phase Creator'!$B$8:$C$19,2,FALSE),FALSE)</f>
        <v/>
      </c>
      <c r="E47" s="15"/>
      <c r="F47" s="15"/>
      <c r="G47" s="30"/>
      <c r="H47" s="30"/>
      <c r="I47" s="14" t="str">
        <f>IF(MROUND(IF(D43="squat",'Max Calculator'!$E$8*G47,IF(D43="bench",'Max Calculator'!$E$9*G47,IF(D43="deadlift",'Max Calculator'!$E$10*G47,0))),5)=0," ",MROUND(IF(D43="squat",'Max Calculator'!$E$8*G47,IF(D43="bench",'Max Calculator'!$E$9*G47,IF(D43="deadlift",'Max Calculator'!$E$10*G47,0))),5))</f>
        <v> </v>
      </c>
      <c r="J47" s="14" t="str">
        <f>IF(MROUND(IF(D43="squat",'Max Calculator'!$E$8*H47,IF(D43="bench",'Max Calculator'!$E$9*H47,IF(D43="deadlift",'Max Calculator'!$E$10*H47,0))),5)=0," ",MROUND(IF(D43="squat",'Max Calculator'!$E$8*H47,IF(D43="bench",'Max Calculator'!$E$9*H47,IF(D43="deadlift",'Max Calculator'!$E$10*H47,0))),5))</f>
        <v> </v>
      </c>
    </row>
    <row r="48" ht="15.75" customHeight="1"/>
    <row r="49" ht="15.75" customHeight="1"/>
    <row r="50" ht="15.75" customHeight="1"/>
    <row r="51" ht="15.75" customHeight="1"/>
    <row r="52" ht="15.75" customHeight="1"/>
    <row r="53" ht="15.75" customHeight="1"/>
    <row r="54" ht="15.75" customHeight="1"/>
    <row r="55" ht="15.75" customHeight="1"/>
    <row r="56" ht="15.75" customHeight="1">
      <c r="D56" s="33" t="str">
        <f>D9</f>
        <v>Peaking</v>
      </c>
      <c r="E56" s="23"/>
      <c r="F56" s="23"/>
      <c r="G56" s="23"/>
      <c r="H56" s="24" t="s">
        <v>1</v>
      </c>
      <c r="I56" s="25">
        <v>2.0</v>
      </c>
    </row>
    <row r="57" ht="15.75" customHeight="1">
      <c r="D57" s="23"/>
      <c r="E57" s="23"/>
      <c r="F57" s="23"/>
      <c r="G57" s="23"/>
      <c r="H57" s="26"/>
      <c r="I57" s="26"/>
    </row>
    <row r="58" ht="15.75" customHeight="1">
      <c r="K58" s="5"/>
    </row>
    <row r="59" ht="15.75" customHeight="1">
      <c r="D59" s="5"/>
    </row>
    <row r="60" ht="15.75" customHeight="1">
      <c r="A60" s="4"/>
      <c r="B60" s="4" t="s">
        <v>178</v>
      </c>
      <c r="C60" s="4" t="s">
        <v>5</v>
      </c>
      <c r="D60" s="32" t="s">
        <v>153</v>
      </c>
      <c r="E60" s="4" t="s">
        <v>179</v>
      </c>
      <c r="F60" s="4" t="s">
        <v>151</v>
      </c>
      <c r="G60" s="28" t="s">
        <v>180</v>
      </c>
      <c r="I60" s="28" t="s">
        <v>181</v>
      </c>
    </row>
    <row r="61" ht="15.75" customHeight="1">
      <c r="A61" s="5"/>
      <c r="B61" s="29">
        <f>'Max Calculator'!$E$12-28</f>
        <v>43050</v>
      </c>
      <c r="C61" s="5" t="s">
        <v>4</v>
      </c>
      <c r="D61" s="14" t="str">
        <f>HLOOKUP($I$56,INDIRECT($D$9),VLOOKUP(C61,'Phase Creator'!$B$8:$C$19,2,FALSE),FALSE)</f>
        <v>Bench w/ Bands</v>
      </c>
      <c r="E61" s="15">
        <v>6.0</v>
      </c>
      <c r="F61" s="15">
        <v>2.0</v>
      </c>
      <c r="G61" s="30">
        <v>0.5</v>
      </c>
      <c r="H61" s="30">
        <v>0.7</v>
      </c>
      <c r="I61" s="14">
        <f>IF(MROUND(IF(D60="squat",'Max Calculator'!$E$8*G61,IF(D60="bench",'Max Calculator'!$E$9*G61,IF(D60="deadlift",'Max Calculator'!$E$10*G61,0))),5)=0," ",MROUND(IF(D60="squat",'Max Calculator'!$E$8*G61,IF(D60="bench",'Max Calculator'!$E$9*G61,IF(D60="deadlift",'Max Calculator'!$E$10*G61,0))),5))</f>
        <v>115</v>
      </c>
      <c r="J61" s="14">
        <f>IF(MROUND(IF(D60="squat",'Max Calculator'!$E$8*H61,IF(D60="bench",'Max Calculator'!$E$9*H61,IF(D60="deadlift",'Max Calculator'!$E$10*H61,0))),5)=0," ",MROUND(IF(D60="squat",'Max Calculator'!$E$8*H61,IF(D60="bench",'Max Calculator'!$E$9*H61,IF(D60="deadlift",'Max Calculator'!$E$10*H61,0))),5))</f>
        <v>160</v>
      </c>
    </row>
    <row r="62" ht="15.75" customHeight="1">
      <c r="A62" s="5"/>
      <c r="B62" s="29">
        <f>'Max Calculator'!$E$12-21</f>
        <v>43057</v>
      </c>
      <c r="C62" s="5" t="s">
        <v>11</v>
      </c>
      <c r="D62" s="14" t="str">
        <f>HLOOKUP($I$56,INDIRECT($D$9),VLOOKUP(C62,'Phase Creator'!$B$8:$C$19,2,FALSE),FALSE)</f>
        <v>SlingShot Bench</v>
      </c>
      <c r="E62" s="15">
        <v>1.0</v>
      </c>
      <c r="F62" s="15">
        <v>3.0</v>
      </c>
      <c r="G62" s="30"/>
      <c r="H62" s="30">
        <v>1.0</v>
      </c>
      <c r="I62" s="14" t="str">
        <f>IF(MROUND(IF(D60="squat",'Max Calculator'!$E$8*G62,IF(D60="bench",'Max Calculator'!$E$9*G62,IF(D60="deadlift",'Max Calculator'!$E$10*G62,0))),5)=0," ",MROUND(IF(D60="squat",'Max Calculator'!$E$8*G62,IF(D60="bench",'Max Calculator'!$E$9*G62,IF(D60="deadlift",'Max Calculator'!$E$10*G62,0))),5))</f>
        <v> </v>
      </c>
      <c r="J62" s="14">
        <f>IF(MROUND(IF(D60="squat",'Max Calculator'!$E$8*H62,IF(D60="bench",'Max Calculator'!$E$9*H62,IF(D60="deadlift",'Max Calculator'!$E$10*H62,0))),5)=0," ",MROUND(IF(D60="squat",'Max Calculator'!$E$8*H62,IF(D60="bench",'Max Calculator'!$E$9*H62,IF(D60="deadlift",'Max Calculator'!$E$10*H62,0))),5))</f>
        <v>225</v>
      </c>
    </row>
    <row r="63" ht="15.75" customHeight="1">
      <c r="A63" s="5"/>
      <c r="B63" s="29">
        <f>'Max Calculator'!$E$12-14</f>
        <v>43064</v>
      </c>
      <c r="C63" s="5" t="s">
        <v>13</v>
      </c>
      <c r="D63" s="14" t="str">
        <f>HLOOKUP($I$56,INDIRECT($D$9),VLOOKUP(C63,'Phase Creator'!$B$8:$C$19,2,FALSE),FALSE)</f>
        <v>Competition Bench Press</v>
      </c>
      <c r="E63" s="15">
        <v>1.0</v>
      </c>
      <c r="F63" s="15">
        <v>1.0</v>
      </c>
      <c r="G63" s="30"/>
      <c r="H63" s="30">
        <v>1.0</v>
      </c>
      <c r="I63" s="14" t="str">
        <f>IF(MROUND(IF(D60="squat",'Max Calculator'!$E$8*G63,IF(D60="bench",'Max Calculator'!$E$9*G63,IF(D60="deadlift",'Max Calculator'!$E$10*G63,0))),5)=0," ",MROUND(IF(D60="squat",'Max Calculator'!$E$8*G63,IF(D60="bench",'Max Calculator'!$E$9*G63,IF(D60="deadlift",'Max Calculator'!$E$10*G63,0))),5))</f>
        <v> </v>
      </c>
      <c r="J63" s="14">
        <f>IF(MROUND(IF(D60="squat",'Max Calculator'!$E$8*H63,IF(D60="bench",'Max Calculator'!$E$9*H63,IF(D60="deadlift",'Max Calculator'!$E$10*H63,0))),5)=0," ",MROUND(IF(D60="squat",'Max Calculator'!$E$8*H63,IF(D60="bench",'Max Calculator'!$E$9*H63,IF(D60="deadlift",'Max Calculator'!$E$10*H63,0))),5))</f>
        <v>225</v>
      </c>
    </row>
    <row r="64" ht="15.75" customHeight="1">
      <c r="A64" s="5"/>
      <c r="B64" s="29">
        <f>'Max Calculator'!$E$12-7</f>
        <v>43071</v>
      </c>
      <c r="C64" s="5" t="s">
        <v>18</v>
      </c>
      <c r="D64" s="14" t="str">
        <f>HLOOKUP($I$56,INDIRECT($D$9),VLOOKUP(C64,'Phase Creator'!$B$8:$C$19,2,FALSE),FALSE)</f>
        <v>Competition Bench Press</v>
      </c>
      <c r="E64" s="15">
        <v>1.0</v>
      </c>
      <c r="F64" s="15">
        <v>1.0</v>
      </c>
      <c r="G64" s="30"/>
      <c r="H64" s="30">
        <v>0.9</v>
      </c>
      <c r="I64" s="14" t="str">
        <f>IF(MROUND(IF(D60="squat",'Max Calculator'!$E$8*G64,IF(D60="bench",'Max Calculator'!$E$9*G64,IF(D60="deadlift",'Max Calculator'!$E$10*G64,0))),5)=0," ",MROUND(IF(D60="squat",'Max Calculator'!$E$8*G64,IF(D60="bench",'Max Calculator'!$E$9*G64,IF(D60="deadlift",'Max Calculator'!$E$10*G64,0))),5))</f>
        <v> </v>
      </c>
      <c r="J64" s="14">
        <f>IF(MROUND(IF(D60="squat",'Max Calculator'!$E$8*H64,IF(D60="bench",'Max Calculator'!$E$9*H64,IF(D60="deadlift",'Max Calculator'!$E$10*H64,0))),5)=0," ",MROUND(IF(D60="squat",'Max Calculator'!$E$8*H64,IF(D60="bench",'Max Calculator'!$E$9*H64,IF(D60="deadlift",'Max Calculator'!$E$10*H64,0))),5))</f>
        <v>205</v>
      </c>
    </row>
    <row r="65" ht="15.75" customHeight="1">
      <c r="D65" s="5"/>
    </row>
    <row r="66" ht="15.75" customHeight="1">
      <c r="A66" s="4"/>
      <c r="B66" s="4" t="s">
        <v>178</v>
      </c>
      <c r="C66" s="4" t="s">
        <v>21</v>
      </c>
      <c r="D66" s="32" t="s">
        <v>153</v>
      </c>
      <c r="E66" s="4" t="s">
        <v>179</v>
      </c>
      <c r="F66" s="4" t="s">
        <v>151</v>
      </c>
      <c r="G66" s="4" t="s">
        <v>180</v>
      </c>
      <c r="I66" s="28" t="s">
        <v>181</v>
      </c>
    </row>
    <row r="67" ht="15.75" customHeight="1">
      <c r="A67" s="5"/>
      <c r="B67" s="29">
        <f>'Max Calculator'!$E$12-28</f>
        <v>43050</v>
      </c>
      <c r="C67" s="5" t="s">
        <v>20</v>
      </c>
      <c r="D67" s="14" t="str">
        <f>HLOOKUP($I$56,INDIRECT($D$9),VLOOKUP(C67,'Phase Creator'!$B$8:$C$19,2,FALSE),FALSE)</f>
        <v>3ct Spotto Press</v>
      </c>
      <c r="E67" s="15">
        <v>2.0</v>
      </c>
      <c r="F67" s="15">
        <v>8.0</v>
      </c>
      <c r="G67" s="30"/>
      <c r="H67" s="30">
        <v>0.7</v>
      </c>
      <c r="I67" s="14" t="str">
        <f>IF(MROUND(IF(D66="squat",'Max Calculator'!$E$8*G67,IF(D66="bench",'Max Calculator'!$E$9*G67,IF(D66="deadlift",'Max Calculator'!$E$10*G67,0))),5)=0," ",MROUND(IF(D66="squat",'Max Calculator'!$E$8*G67,IF(D66="bench",'Max Calculator'!$E$9*G67,IF(D66="deadlift",'Max Calculator'!$E$10*G67,0))),5))</f>
        <v> </v>
      </c>
      <c r="J67" s="14">
        <f>IF(MROUND(IF(D66="squat",'Max Calculator'!$E$8*H67,IF(D66="bench",'Max Calculator'!$E$9*H67,IF(D66="deadlift",'Max Calculator'!$E$10*H67,0))),5)=0," ",MROUND(IF(D66="squat",'Max Calculator'!$E$8*H67,IF(D66="bench",'Max Calculator'!$E$9*H67,IF(D66="deadlift",'Max Calculator'!$E$10*H67,0))),5))</f>
        <v>160</v>
      </c>
    </row>
    <row r="68" ht="15.75" customHeight="1">
      <c r="A68" s="5"/>
      <c r="B68" s="29">
        <f>'Max Calculator'!$E$12-21</f>
        <v>43057</v>
      </c>
      <c r="C68" s="5" t="s">
        <v>27</v>
      </c>
      <c r="D68" s="14" t="str">
        <f>HLOOKUP($I$56,INDIRECT($D$9),VLOOKUP(C68,'Phase Creator'!$B$8:$C$19,2,FALSE),FALSE)</f>
        <v>3ct Spotto Press</v>
      </c>
      <c r="E68" s="15">
        <v>3.0</v>
      </c>
      <c r="F68" s="15">
        <v>6.0</v>
      </c>
      <c r="G68" s="30"/>
      <c r="H68" s="30">
        <v>0.75</v>
      </c>
      <c r="I68" s="14" t="str">
        <f>IF(MROUND(IF(D66="squat",'Max Calculator'!$E$8*G68,IF(D66="bench",'Max Calculator'!$E$9*G68,IF(D66="deadlift",'Max Calculator'!$E$10*G68,0))),5)=0," ",MROUND(IF(D66="squat",'Max Calculator'!$E$8*G68,IF(D66="bench",'Max Calculator'!$E$9*G68,IF(D66="deadlift",'Max Calculator'!$E$10*G68,0))),5))</f>
        <v> </v>
      </c>
      <c r="J68" s="14">
        <f>IF(MROUND(IF(D66="squat",'Max Calculator'!$E$8*H68,IF(D66="bench",'Max Calculator'!$E$9*H68,IF(D66="deadlift",'Max Calculator'!$E$10*H68,0))),5)=0," ",MROUND(IF(D66="squat",'Max Calculator'!$E$8*H68,IF(D66="bench",'Max Calculator'!$E$9*H68,IF(D66="deadlift",'Max Calculator'!$E$10*H68,0))),5))</f>
        <v>170</v>
      </c>
    </row>
    <row r="69" ht="15.75" customHeight="1">
      <c r="A69" s="5"/>
      <c r="B69" s="29">
        <f>'Max Calculator'!$E$12-14</f>
        <v>43064</v>
      </c>
      <c r="C69" s="5" t="s">
        <v>28</v>
      </c>
      <c r="D69" s="14" t="str">
        <f>HLOOKUP($I$56,INDIRECT($D$9),VLOOKUP(C69,'Phase Creator'!$B$8:$C$19,2,FALSE),FALSE)</f>
        <v>3ct Spotto Press</v>
      </c>
      <c r="E69" s="15">
        <v>2.0</v>
      </c>
      <c r="F69" s="15">
        <v>5.0</v>
      </c>
      <c r="G69" s="30"/>
      <c r="H69" s="30">
        <v>0.7</v>
      </c>
      <c r="I69" s="14" t="str">
        <f>IF(MROUND(IF(D66="squat",'Max Calculator'!$E$8*G69,IF(D66="bench",'Max Calculator'!$E$9*G69,IF(D66="deadlift",'Max Calculator'!$E$10*G69,0))),5)=0," ",MROUND(IF(D66="squat",'Max Calculator'!$E$8*G69,IF(D66="bench",'Max Calculator'!$E$9*G69,IF(D66="deadlift",'Max Calculator'!$E$10*G69,0))),5))</f>
        <v> </v>
      </c>
      <c r="J69" s="14">
        <f>IF(MROUND(IF(D66="squat",'Max Calculator'!$E$8*H69,IF(D66="bench",'Max Calculator'!$E$9*H69,IF(D66="deadlift",'Max Calculator'!$E$10*H69,0))),5)=0," ",MROUND(IF(D66="squat",'Max Calculator'!$E$8*H69,IF(D66="bench",'Max Calculator'!$E$9*H69,IF(D66="deadlift",'Max Calculator'!$E$10*H69,0))),5))</f>
        <v>160</v>
      </c>
    </row>
    <row r="70" ht="15.75" customHeight="1">
      <c r="A70" s="5"/>
      <c r="B70" s="29">
        <f>'Max Calculator'!$E$12-7</f>
        <v>43071</v>
      </c>
      <c r="C70" s="5" t="s">
        <v>32</v>
      </c>
      <c r="D70" s="14" t="str">
        <f>HLOOKUP($I$56,INDIRECT($D$9),VLOOKUP(C70,'Phase Creator'!$B$8:$C$19,2,FALSE),FALSE)</f>
        <v>3ct Spotto Press</v>
      </c>
      <c r="E70" s="15">
        <v>1.0</v>
      </c>
      <c r="F70" s="15">
        <v>8.0</v>
      </c>
      <c r="G70" s="30"/>
      <c r="H70" s="30">
        <v>0.5</v>
      </c>
      <c r="I70" s="14" t="str">
        <f>IF(MROUND(IF(D66="squat",'Max Calculator'!$E$8*G70,IF(D66="bench",'Max Calculator'!$E$9*G70,IF(D66="deadlift",'Max Calculator'!$E$10*G70,0))),5)=0," ",MROUND(IF(D66="squat",'Max Calculator'!$E$8*G70,IF(D66="bench",'Max Calculator'!$E$9*G70,IF(D66="deadlift",'Max Calculator'!$E$10*G70,0))),5))</f>
        <v> </v>
      </c>
      <c r="J70" s="14">
        <f>IF(MROUND(IF(D66="squat",'Max Calculator'!$E$8*H70,IF(D66="bench",'Max Calculator'!$E$9*H70,IF(D66="deadlift",'Max Calculator'!$E$10*H70,0))),5)=0," ",MROUND(IF(D66="squat",'Max Calculator'!$E$8*H70,IF(D66="bench",'Max Calculator'!$E$9*H70,IF(D66="deadlift",'Max Calculator'!$E$10*H70,0))),5))</f>
        <v>115</v>
      </c>
    </row>
    <row r="71" ht="15.75" customHeight="1"/>
    <row r="72" ht="15.75" customHeight="1">
      <c r="A72" s="4"/>
      <c r="B72" s="4" t="s">
        <v>178</v>
      </c>
      <c r="C72" s="4" t="s">
        <v>33</v>
      </c>
      <c r="D72" s="32" t="s">
        <v>185</v>
      </c>
      <c r="E72" s="4" t="s">
        <v>179</v>
      </c>
      <c r="F72" s="4" t="s">
        <v>151</v>
      </c>
      <c r="G72" s="4" t="s">
        <v>180</v>
      </c>
      <c r="I72" s="28" t="s">
        <v>181</v>
      </c>
    </row>
    <row r="73" ht="15.75" customHeight="1">
      <c r="A73" s="5"/>
      <c r="B73" s="29">
        <f>'Max Calculator'!$E$12-28</f>
        <v>43050</v>
      </c>
      <c r="C73" s="5" t="s">
        <v>33</v>
      </c>
      <c r="D73" s="14" t="str">
        <f>HLOOKUP($I$56,INDIRECT($D$9),VLOOKUP(C73,'Phase Creator'!$B$8:$C$19,2,FALSE),FALSE)</f>
        <v>Chest Supported Row</v>
      </c>
      <c r="E73" s="15">
        <v>2.0</v>
      </c>
      <c r="F73" s="15">
        <v>8.0</v>
      </c>
      <c r="G73" s="30"/>
      <c r="H73" s="30"/>
      <c r="I73" s="14" t="str">
        <f>IF(MROUND(IF(D72="squat",'Max Calculator'!$E$8*G73,IF(D72="bench",'Max Calculator'!$E$9*G73,IF(D72="deadlift",'Max Calculator'!$E$10*G73,0))),5)=0," ",MROUND(IF(D72="squat",'Max Calculator'!$E$8*G73,IF(D72="bench",'Max Calculator'!$E$9*G73,IF(D72="deadlift",'Max Calculator'!$E$10*G73,0))),5))</f>
        <v> </v>
      </c>
      <c r="J73" s="14" t="str">
        <f>IF(MROUND(IF(D72="squat",'Max Calculator'!$E$8*H73,IF(D72="bench",'Max Calculator'!$E$9*H73,IF(D72="deadlift",'Max Calculator'!$E$10*H73,0))),5)=0," ",MROUND(IF(D72="squat",'Max Calculator'!$E$8*H73,IF(D72="bench",'Max Calculator'!$E$9*H73,IF(D72="deadlift",'Max Calculator'!$E$10*H73,0))),5))</f>
        <v> </v>
      </c>
    </row>
    <row r="74" ht="15.75" customHeight="1">
      <c r="A74" s="5"/>
      <c r="B74" s="29">
        <f>'Max Calculator'!$E$12-21</f>
        <v>43057</v>
      </c>
      <c r="C74" s="5" t="s">
        <v>33</v>
      </c>
      <c r="D74" s="14" t="str">
        <f>HLOOKUP($I$56,INDIRECT($D$9),VLOOKUP(C74,'Phase Creator'!$B$8:$C$19,2,FALSE),FALSE)</f>
        <v>Chest Supported Row</v>
      </c>
      <c r="E74" s="15">
        <v>3.0</v>
      </c>
      <c r="F74" s="15">
        <v>12.0</v>
      </c>
      <c r="G74" s="30"/>
      <c r="H74" s="30"/>
      <c r="I74" s="14" t="str">
        <f>IF(MROUND(IF(D72="squat",'Max Calculator'!$E$8*G74,IF(D72="bench",'Max Calculator'!$E$9*G74,IF(D72="deadlift",'Max Calculator'!$E$10*G74,0))),5)=0," ",MROUND(IF(D72="squat",'Max Calculator'!$E$8*G74,IF(D72="bench",'Max Calculator'!$E$9*G74,IF(D72="deadlift",'Max Calculator'!$E$10*G74,0))),5))</f>
        <v> </v>
      </c>
      <c r="J74" s="14" t="str">
        <f>IF(MROUND(IF(D72="squat",'Max Calculator'!$E$8*H74,IF(D72="bench",'Max Calculator'!$E$9*H74,IF(D72="deadlift",'Max Calculator'!$E$10*H74,0))),5)=0," ",MROUND(IF(D72="squat",'Max Calculator'!$E$8*H74,IF(D72="bench",'Max Calculator'!$E$9*H74,IF(D72="deadlift",'Max Calculator'!$E$10*H74,0))),5))</f>
        <v> </v>
      </c>
    </row>
    <row r="75" ht="15.75" customHeight="1">
      <c r="A75" s="5"/>
      <c r="B75" s="29">
        <f>'Max Calculator'!$E$12-14</f>
        <v>43064</v>
      </c>
      <c r="C75" s="5" t="s">
        <v>33</v>
      </c>
      <c r="D75" s="14" t="str">
        <f>HLOOKUP($I$56,INDIRECT($D$9),VLOOKUP(C75,'Phase Creator'!$B$8:$C$19,2,FALSE),FALSE)</f>
        <v>Chest Supported Row</v>
      </c>
      <c r="E75" s="15">
        <v>2.0</v>
      </c>
      <c r="F75" s="15">
        <v>10.0</v>
      </c>
      <c r="G75" s="30"/>
      <c r="H75" s="30"/>
      <c r="I75" s="14" t="str">
        <f>IF(MROUND(IF(D72="squat",'Max Calculator'!$E$8*G75,IF(D72="bench",'Max Calculator'!$E$9*G75,IF(D72="deadlift",'Max Calculator'!$E$10*G75,0))),5)=0," ",MROUND(IF(D72="squat",'Max Calculator'!$E$8*G75,IF(D72="bench",'Max Calculator'!$E$9*G75,IF(D72="deadlift",'Max Calculator'!$E$10*G75,0))),5))</f>
        <v> </v>
      </c>
      <c r="J75" s="14" t="str">
        <f>IF(MROUND(IF(D72="squat",'Max Calculator'!$E$8*H75,IF(D72="bench",'Max Calculator'!$E$9*H75,IF(D72="deadlift",'Max Calculator'!$E$10*H75,0))),5)=0," ",MROUND(IF(D72="squat",'Max Calculator'!$E$8*H75,IF(D72="bench",'Max Calculator'!$E$9*H75,IF(D72="deadlift",'Max Calculator'!$E$10*H75,0))),5))</f>
        <v> </v>
      </c>
    </row>
    <row r="76" ht="15.75" customHeight="1">
      <c r="A76" s="5"/>
      <c r="B76" s="29">
        <f>'Max Calculator'!$E$12-7</f>
        <v>43071</v>
      </c>
      <c r="C76" s="5" t="s">
        <v>33</v>
      </c>
      <c r="D76" s="14" t="str">
        <f>HLOOKUP($I$56,INDIRECT($D$9),VLOOKUP(C76,'Phase Creator'!$B$8:$C$19,2,FALSE),FALSE)</f>
        <v>Chest Supported Row</v>
      </c>
      <c r="E76" s="15">
        <v>1.0</v>
      </c>
      <c r="F76" s="15">
        <v>10.0</v>
      </c>
      <c r="G76" s="30"/>
      <c r="H76" s="30"/>
      <c r="I76" s="14" t="str">
        <f>IF(MROUND(IF(D72="squat",'Max Calculator'!$E$8*G76,IF(D72="bench",'Max Calculator'!$E$9*G76,IF(D72="deadlift",'Max Calculator'!$E$10*G76,0))),5)=0," ",MROUND(IF(D72="squat",'Max Calculator'!$E$8*G76,IF(D72="bench",'Max Calculator'!$E$9*G76,IF(D72="deadlift",'Max Calculator'!$E$10*G76,0))),5))</f>
        <v> </v>
      </c>
      <c r="J76" s="14" t="str">
        <f>IF(MROUND(IF(D72="squat",'Max Calculator'!$E$8*H76,IF(D72="bench",'Max Calculator'!$E$9*H76,IF(D72="deadlift",'Max Calculator'!$E$10*H76,0))),5)=0," ",MROUND(IF(D72="squat",'Max Calculator'!$E$8*H76,IF(D72="bench",'Max Calculator'!$E$9*H76,IF(D72="deadlift",'Max Calculator'!$E$10*H76,0))),5))</f>
        <v> </v>
      </c>
    </row>
    <row r="77" ht="15.75" customHeight="1"/>
    <row r="78" ht="15.75" customHeight="1">
      <c r="A78" s="4"/>
      <c r="B78" s="4" t="s">
        <v>178</v>
      </c>
      <c r="C78" s="4" t="s">
        <v>38</v>
      </c>
      <c r="D78" s="32" t="s">
        <v>185</v>
      </c>
      <c r="E78" s="4" t="s">
        <v>179</v>
      </c>
      <c r="F78" s="4" t="s">
        <v>151</v>
      </c>
      <c r="G78" s="4" t="s">
        <v>180</v>
      </c>
      <c r="I78" s="28" t="s">
        <v>181</v>
      </c>
    </row>
    <row r="79" ht="15.75" customHeight="1">
      <c r="A79" s="5"/>
      <c r="B79" s="29">
        <f>'Max Calculator'!$E$12-28</f>
        <v>43050</v>
      </c>
      <c r="C79" s="5" t="s">
        <v>38</v>
      </c>
      <c r="D79" s="14" t="str">
        <f>HLOOKUP($I$56,INDIRECT($D$9),VLOOKUP(C79,'Phase Creator'!$B$8:$C$19,2,FALSE),FALSE)</f>
        <v>DB bench 5ct eccentric</v>
      </c>
      <c r="E79" s="15">
        <v>3.0</v>
      </c>
      <c r="F79" s="15">
        <v>8.0</v>
      </c>
      <c r="G79" s="30"/>
      <c r="H79" s="30"/>
      <c r="I79" s="14" t="str">
        <f>IF(MROUND(IF(D78="squat",'Max Calculator'!$E$8*G79,IF(D78="bench",'Max Calculator'!$E$9*G79,IF(D78="deadlift",'Max Calculator'!$E$10*G79,0))),5)=0," ",MROUND(IF(D78="squat",'Max Calculator'!$E$8*G79,IF(D78="bench",'Max Calculator'!$E$9*G79,IF(D78="deadlift",'Max Calculator'!$E$10*G79,0))),5))</f>
        <v> </v>
      </c>
      <c r="J79" s="14" t="str">
        <f>IF(MROUND(IF(D78="squat",'Max Calculator'!$E$8*H79,IF(D78="bench",'Max Calculator'!$E$9*H79,IF(D78="deadlift",'Max Calculator'!$E$10*H79,0))),5)=0," ",MROUND(IF(D78="squat",'Max Calculator'!$E$8*H79,IF(D78="bench",'Max Calculator'!$E$9*H79,IF(D78="deadlift",'Max Calculator'!$E$10*H79,0))),5))</f>
        <v> </v>
      </c>
    </row>
    <row r="80" ht="15.75" customHeight="1">
      <c r="A80" s="5"/>
      <c r="B80" s="29">
        <f>'Max Calculator'!$E$12-21</f>
        <v>43057</v>
      </c>
      <c r="C80" s="5" t="s">
        <v>38</v>
      </c>
      <c r="D80" s="14" t="str">
        <f>HLOOKUP($I$56,INDIRECT($D$9),VLOOKUP(C80,'Phase Creator'!$B$8:$C$19,2,FALSE),FALSE)</f>
        <v>DB bench 5ct eccentric</v>
      </c>
      <c r="E80" s="15">
        <v>3.0</v>
      </c>
      <c r="F80" s="15">
        <v>12.0</v>
      </c>
      <c r="G80" s="30"/>
      <c r="H80" s="30"/>
      <c r="I80" s="14" t="str">
        <f>IF(MROUND(IF(D78="squat",'Max Calculator'!$E$8*G80,IF(D78="bench",'Max Calculator'!$E$9*G80,IF(D78="deadlift",'Max Calculator'!$E$10*G80,0))),5)=0," ",MROUND(IF(D78="squat",'Max Calculator'!$E$8*G80,IF(D78="bench",'Max Calculator'!$E$9*G80,IF(D78="deadlift",'Max Calculator'!$E$10*G80,0))),5))</f>
        <v> </v>
      </c>
      <c r="J80" s="14" t="str">
        <f>IF(MROUND(IF(D78="squat",'Max Calculator'!$E$8*H80,IF(D78="bench",'Max Calculator'!$E$9*H80,IF(D78="deadlift",'Max Calculator'!$E$10*H80,0))),5)=0," ",MROUND(IF(D78="squat",'Max Calculator'!$E$8*H80,IF(D78="bench",'Max Calculator'!$E$9*H80,IF(D78="deadlift",'Max Calculator'!$E$10*H80,0))),5))</f>
        <v> </v>
      </c>
    </row>
    <row r="81" ht="15.75" customHeight="1">
      <c r="A81" s="5"/>
      <c r="B81" s="29">
        <f>'Max Calculator'!$E$12-14</f>
        <v>43064</v>
      </c>
      <c r="C81" s="5" t="s">
        <v>38</v>
      </c>
      <c r="D81" s="14" t="str">
        <f>HLOOKUP($I$56,INDIRECT($D$9),VLOOKUP(C81,'Phase Creator'!$B$8:$C$19,2,FALSE),FALSE)</f>
        <v>DB bench 5ct eccentric</v>
      </c>
      <c r="E81" s="15">
        <v>2.0</v>
      </c>
      <c r="F81" s="15">
        <v>6.0</v>
      </c>
      <c r="G81" s="30"/>
      <c r="H81" s="30"/>
      <c r="I81" s="14" t="str">
        <f>IF(MROUND(IF(D78="squat",'Max Calculator'!$E$8*G81,IF(D78="bench",'Max Calculator'!$E$9*G81,IF(D78="deadlift",'Max Calculator'!$E$10*G81,0))),5)=0," ",MROUND(IF(D78="squat",'Max Calculator'!$E$8*G81,IF(D78="bench",'Max Calculator'!$E$9*G81,IF(D78="deadlift",'Max Calculator'!$E$10*G81,0))),5))</f>
        <v> </v>
      </c>
      <c r="J81" s="14" t="str">
        <f>IF(MROUND(IF(D78="squat",'Max Calculator'!$E$8*H81,IF(D78="bench",'Max Calculator'!$E$9*H81,IF(D78="deadlift",'Max Calculator'!$E$10*H81,0))),5)=0," ",MROUND(IF(D78="squat",'Max Calculator'!$E$8*H81,IF(D78="bench",'Max Calculator'!$E$9*H81,IF(D78="deadlift",'Max Calculator'!$E$10*H81,0))),5))</f>
        <v> </v>
      </c>
    </row>
    <row r="82" ht="15.75" customHeight="1">
      <c r="A82" s="5"/>
      <c r="B82" s="29">
        <f>'Max Calculator'!$E$12-7</f>
        <v>43071</v>
      </c>
      <c r="C82" s="5" t="s">
        <v>38</v>
      </c>
      <c r="D82" s="14" t="str">
        <f>HLOOKUP($I$56,INDIRECT($D$9),VLOOKUP(C82,'Phase Creator'!$B$8:$C$19,2,FALSE),FALSE)</f>
        <v>DB bench 5ct eccentric</v>
      </c>
      <c r="E82" s="15">
        <v>1.0</v>
      </c>
      <c r="F82" s="15">
        <v>10.0</v>
      </c>
      <c r="G82" s="30"/>
      <c r="H82" s="30"/>
      <c r="I82" s="14" t="str">
        <f>IF(MROUND(IF(D78="squat",'Max Calculator'!$E$8*G82,IF(D78="bench",'Max Calculator'!$E$9*G82,IF(D78="deadlift",'Max Calculator'!$E$10*G82,0))),5)=0," ",MROUND(IF(D78="squat",'Max Calculator'!$E$8*G82,IF(D78="bench",'Max Calculator'!$E$9*G82,IF(D78="deadlift",'Max Calculator'!$E$10*G82,0))),5))</f>
        <v> </v>
      </c>
      <c r="J82" s="14" t="str">
        <f>IF(MROUND(IF(D78="squat",'Max Calculator'!$E$8*H82,IF(D78="bench",'Max Calculator'!$E$9*H82,IF(D78="deadlift",'Max Calculator'!$E$10*H82,0))),5)=0," ",MROUND(IF(D78="squat",'Max Calculator'!$E$8*H82,IF(D78="bench",'Max Calculator'!$E$9*H82,IF(D78="deadlift",'Max Calculator'!$E$10*H82,0))),5))</f>
        <v> </v>
      </c>
    </row>
    <row r="83" ht="15.75" customHeight="1"/>
    <row r="84" ht="15.75" customHeight="1">
      <c r="A84" s="4"/>
      <c r="B84" s="4" t="s">
        <v>178</v>
      </c>
      <c r="C84" s="4" t="s">
        <v>43</v>
      </c>
      <c r="D84" s="32" t="s">
        <v>185</v>
      </c>
      <c r="E84" s="4" t="s">
        <v>179</v>
      </c>
      <c r="F84" s="4" t="s">
        <v>151</v>
      </c>
      <c r="G84" s="4" t="s">
        <v>180</v>
      </c>
      <c r="I84" s="28" t="s">
        <v>181</v>
      </c>
    </row>
    <row r="85" ht="15.75" customHeight="1">
      <c r="A85" s="5"/>
      <c r="B85" s="29">
        <f>'Max Calculator'!$E$12-28</f>
        <v>43050</v>
      </c>
      <c r="C85" s="5" t="s">
        <v>43</v>
      </c>
      <c r="D85" s="14" t="str">
        <f>HLOOKUP($I$56,INDIRECT($D$9),VLOOKUP(C85,'Phase Creator'!$B$8:$C$19,2,FALSE),FALSE)</f>
        <v>Band/Cable Triceps 3ct Pause</v>
      </c>
      <c r="E85" s="15">
        <v>3.0</v>
      </c>
      <c r="F85" s="15">
        <v>15.0</v>
      </c>
      <c r="G85" s="30"/>
      <c r="H85" s="30"/>
      <c r="I85" s="14" t="str">
        <f>IF(MROUND(IF(D84="squat",'Max Calculator'!$E$8*G85,IF(D84="bench",'Max Calculator'!$E$9*G85,IF(D84="deadlift",'Max Calculator'!$E$10*G85,0))),5)=0," ",MROUND(IF(D84="squat",'Max Calculator'!$E$8*G85,IF(D84="bench",'Max Calculator'!$E$9*G85,IF(D84="deadlift",'Max Calculator'!$E$10*G85,0))),5))</f>
        <v> </v>
      </c>
      <c r="J85" s="14" t="str">
        <f>IF(MROUND(IF(D84="squat",'Max Calculator'!$E$8*H85,IF(D84="bench",'Max Calculator'!$E$9*H85,IF(D84="deadlift",'Max Calculator'!$E$10*H85,0))),5)=0," ",MROUND(IF(D84="squat",'Max Calculator'!$E$8*H85,IF(D84="bench",'Max Calculator'!$E$9*H85,IF(D84="deadlift",'Max Calculator'!$E$10*H85,0))),5))</f>
        <v> </v>
      </c>
    </row>
    <row r="86" ht="15.75" customHeight="1">
      <c r="A86" s="5"/>
      <c r="B86" s="29">
        <f>'Max Calculator'!$E$12-21</f>
        <v>43057</v>
      </c>
      <c r="C86" s="5" t="s">
        <v>43</v>
      </c>
      <c r="D86" s="14" t="str">
        <f>HLOOKUP($I$56,INDIRECT($D$9),VLOOKUP(C86,'Phase Creator'!$B$8:$C$19,2,FALSE),FALSE)</f>
        <v>Band/Cable Triceps 3ct Pause</v>
      </c>
      <c r="E86" s="15">
        <v>3.0</v>
      </c>
      <c r="F86" s="15">
        <v>12.0</v>
      </c>
      <c r="G86" s="30"/>
      <c r="H86" s="30"/>
      <c r="I86" s="14" t="str">
        <f>IF(MROUND(IF(D84="squat",'Max Calculator'!$E$8*G86,IF(D84="bench",'Max Calculator'!$E$9*G86,IF(D84="deadlift",'Max Calculator'!$E$10*G86,0))),5)=0," ",MROUND(IF(D84="squat",'Max Calculator'!$E$8*G86,IF(D84="bench",'Max Calculator'!$E$9*G86,IF(D84="deadlift",'Max Calculator'!$E$10*G86,0))),5))</f>
        <v> </v>
      </c>
      <c r="J86" s="14" t="str">
        <f>IF(MROUND(IF(D84="squat",'Max Calculator'!$E$8*H86,IF(D84="bench",'Max Calculator'!$E$9*H86,IF(D84="deadlift",'Max Calculator'!$E$10*H86,0))),5)=0," ",MROUND(IF(D84="squat",'Max Calculator'!$E$8*H86,IF(D84="bench",'Max Calculator'!$E$9*H86,IF(D84="deadlift",'Max Calculator'!$E$10*H86,0))),5))</f>
        <v> </v>
      </c>
    </row>
    <row r="87" ht="15.75" customHeight="1">
      <c r="A87" s="5"/>
      <c r="B87" s="29">
        <f>'Max Calculator'!$E$12-14</f>
        <v>43064</v>
      </c>
      <c r="C87" s="5" t="s">
        <v>43</v>
      </c>
      <c r="D87" s="14" t="str">
        <f>HLOOKUP($I$56,INDIRECT($D$9),VLOOKUP(C87,'Phase Creator'!$B$8:$C$19,2,FALSE),FALSE)</f>
        <v>Band/Cable Triceps 3ct Pause</v>
      </c>
      <c r="E87" s="15">
        <v>2.0</v>
      </c>
      <c r="F87" s="15">
        <v>10.0</v>
      </c>
      <c r="G87" s="30"/>
      <c r="H87" s="30"/>
      <c r="I87" s="14" t="str">
        <f>IF(MROUND(IF(D84="squat",'Max Calculator'!$E$8*G87,IF(D84="bench",'Max Calculator'!$E$9*G87,IF(D84="deadlift",'Max Calculator'!$E$10*G87,0))),5)=0," ",MROUND(IF(D84="squat",'Max Calculator'!$E$8*G87,IF(D84="bench",'Max Calculator'!$E$9*G87,IF(D84="deadlift",'Max Calculator'!$E$10*G87,0))),5))</f>
        <v> </v>
      </c>
      <c r="J87" s="14" t="str">
        <f>IF(MROUND(IF(D84="squat",'Max Calculator'!$E$8*H87,IF(D84="bench",'Max Calculator'!$E$9*H87,IF(D84="deadlift",'Max Calculator'!$E$10*H87,0))),5)=0," ",MROUND(IF(D84="squat",'Max Calculator'!$E$8*H87,IF(D84="bench",'Max Calculator'!$E$9*H87,IF(D84="deadlift",'Max Calculator'!$E$10*H87,0))),5))</f>
        <v> </v>
      </c>
    </row>
    <row r="88" ht="15.75" customHeight="1">
      <c r="A88" s="5"/>
      <c r="B88" s="29">
        <f>'Max Calculator'!$E$12-7</f>
        <v>43071</v>
      </c>
      <c r="C88" s="5" t="s">
        <v>43</v>
      </c>
      <c r="D88" s="14" t="str">
        <f>HLOOKUP($I$56,INDIRECT($D$9),VLOOKUP(C88,'Phase Creator'!$B$8:$C$19,2,FALSE),FALSE)</f>
        <v>Band/Cable Triceps 3ct Pause</v>
      </c>
      <c r="E88" s="15">
        <v>1.0</v>
      </c>
      <c r="F88" s="15">
        <v>20.0</v>
      </c>
      <c r="G88" s="30"/>
      <c r="H88" s="30"/>
      <c r="I88" s="14" t="str">
        <f>IF(MROUND(IF(D84="squat",'Max Calculator'!$E$8*G88,IF(D84="bench",'Max Calculator'!$E$9*G88,IF(D84="deadlift",'Max Calculator'!$E$10*G88,0))),5)=0," ",MROUND(IF(D84="squat",'Max Calculator'!$E$8*G88,IF(D84="bench",'Max Calculator'!$E$9*G88,IF(D84="deadlift",'Max Calculator'!$E$10*G88,0))),5))</f>
        <v> </v>
      </c>
      <c r="J88" s="14" t="str">
        <f>IF(MROUND(IF(D84="squat",'Max Calculator'!$E$8*H88,IF(D84="bench",'Max Calculator'!$E$9*H88,IF(D84="deadlift",'Max Calculator'!$E$10*H88,0))),5)=0," ",MROUND(IF(D84="squat",'Max Calculator'!$E$8*H88,IF(D84="bench",'Max Calculator'!$E$9*H88,IF(D84="deadlift",'Max Calculator'!$E$10*H88,0))),5))</f>
        <v> </v>
      </c>
    </row>
    <row r="89" ht="15.75" customHeight="1"/>
    <row r="90" ht="15.75" hidden="1" customHeight="1">
      <c r="A90" s="4"/>
      <c r="B90" s="4" t="s">
        <v>178</v>
      </c>
      <c r="C90" s="4" t="s">
        <v>48</v>
      </c>
      <c r="D90" s="32" t="s">
        <v>185</v>
      </c>
      <c r="E90" s="4" t="s">
        <v>179</v>
      </c>
      <c r="F90" s="4" t="s">
        <v>151</v>
      </c>
      <c r="G90" s="4" t="s">
        <v>180</v>
      </c>
      <c r="I90" s="28" t="s">
        <v>181</v>
      </c>
    </row>
    <row r="91" ht="15.75" hidden="1" customHeight="1">
      <c r="A91" s="5"/>
      <c r="B91" s="29">
        <f>'Max Calculator'!$E$12-140</f>
        <v>42938</v>
      </c>
      <c r="C91" s="5" t="s">
        <v>48</v>
      </c>
      <c r="D91" s="14" t="str">
        <f>HLOOKUP($I$56,INDIRECT($D$9),VLOOKUP(C91,'Phase Creator'!$B$8:$C$19,2,FALSE),FALSE)</f>
        <v/>
      </c>
      <c r="E91" s="15"/>
      <c r="F91" s="15"/>
      <c r="G91" s="30"/>
      <c r="H91" s="30"/>
      <c r="I91" s="14" t="str">
        <f>IF(MROUND(IF(D90="squat",'Max Calculator'!$E$8*G91,IF(D90="bench",'Max Calculator'!$E$9*G91,IF(D90="deadlift",'Max Calculator'!$E$10*G91,0))),5)=0," ",MROUND(IF(D90="squat",'Max Calculator'!$E$8*G91,IF(D90="bench",'Max Calculator'!$E$9*G91,IF(D90="deadlift",'Max Calculator'!$E$10*G91,0))),5))</f>
        <v> </v>
      </c>
      <c r="J91" s="14" t="str">
        <f>IF(MROUND(IF(D90="squat",'Max Calculator'!$E$8*H91,IF(D90="bench",'Max Calculator'!$E$9*H91,IF(D90="deadlift",'Max Calculator'!$E$10*H91,0))),5)=0," ",MROUND(IF(D90="squat",'Max Calculator'!$E$8*H91,IF(D90="bench",'Max Calculator'!$E$9*H91,IF(D90="deadlift",'Max Calculator'!$E$10*H91,0))),5))</f>
        <v> </v>
      </c>
    </row>
    <row r="92" ht="15.75" hidden="1" customHeight="1">
      <c r="A92" s="5"/>
      <c r="B92" s="29">
        <f>'Max Calculator'!$E$12-133</f>
        <v>42945</v>
      </c>
      <c r="C92" s="5" t="s">
        <v>48</v>
      </c>
      <c r="D92" s="14" t="str">
        <f>HLOOKUP($I$56,INDIRECT($D$9),VLOOKUP(C92,'Phase Creator'!$B$8:$C$19,2,FALSE),FALSE)</f>
        <v/>
      </c>
      <c r="E92" s="15"/>
      <c r="F92" s="15"/>
      <c r="G92" s="30"/>
      <c r="H92" s="30"/>
      <c r="I92" s="14" t="str">
        <f>IF(MROUND(IF(D90="squat",'Max Calculator'!$E$8*G92,IF(D90="bench",'Max Calculator'!$E$9*G92,IF(D90="deadlift",'Max Calculator'!$E$10*G92,0))),5)=0," ",MROUND(IF(D90="squat",'Max Calculator'!$E$8*G92,IF(D90="bench",'Max Calculator'!$E$9*G92,IF(D90="deadlift",'Max Calculator'!$E$10*G92,0))),5))</f>
        <v> </v>
      </c>
      <c r="J92" s="14" t="str">
        <f>IF(MROUND(IF(D90="squat",'Max Calculator'!$E$8*H92,IF(D90="bench",'Max Calculator'!$E$9*H92,IF(D90="deadlift",'Max Calculator'!$E$10*H92,0))),5)=0," ",MROUND(IF(D90="squat",'Max Calculator'!$E$8*H92,IF(D90="bench",'Max Calculator'!$E$9*H92,IF(D90="deadlift",'Max Calculator'!$E$10*H92,0))),5))</f>
        <v> </v>
      </c>
    </row>
    <row r="93" ht="15.75" hidden="1" customHeight="1">
      <c r="A93" s="5"/>
      <c r="B93" s="29">
        <f>'Max Calculator'!$E$12-126</f>
        <v>42952</v>
      </c>
      <c r="C93" s="5" t="s">
        <v>48</v>
      </c>
      <c r="D93" s="14" t="str">
        <f>HLOOKUP($I$56,INDIRECT($D$9),VLOOKUP(C93,'Phase Creator'!$B$8:$C$19,2,FALSE),FALSE)</f>
        <v/>
      </c>
      <c r="E93" s="15"/>
      <c r="F93" s="15"/>
      <c r="G93" s="30"/>
      <c r="H93" s="30"/>
      <c r="I93" s="14" t="str">
        <f>IF(MROUND(IF(D90="squat",'Max Calculator'!$E$8*G93,IF(D90="bench",'Max Calculator'!$E$9*G93,IF(D90="deadlift",'Max Calculator'!$E$10*G93,0))),5)=0," ",MROUND(IF(D90="squat",'Max Calculator'!$E$8*G93,IF(D90="bench",'Max Calculator'!$E$9*G93,IF(D90="deadlift",'Max Calculator'!$E$10*G93,0))),5))</f>
        <v> </v>
      </c>
      <c r="J93" s="14" t="str">
        <f>IF(MROUND(IF(D90="squat",'Max Calculator'!$E$8*H93,IF(D90="bench",'Max Calculator'!$E$9*H93,IF(D90="deadlift",'Max Calculator'!$E$10*H93,0))),5)=0," ",MROUND(IF(D90="squat",'Max Calculator'!$E$8*H93,IF(D90="bench",'Max Calculator'!$E$9*H93,IF(D90="deadlift",'Max Calculator'!$E$10*H93,0))),5))</f>
        <v> </v>
      </c>
    </row>
    <row r="94" ht="15.75" hidden="1" customHeight="1">
      <c r="A94" s="5"/>
      <c r="B94" s="29">
        <f>'Max Calculator'!$E$12-119</f>
        <v>42959</v>
      </c>
      <c r="C94" s="5" t="s">
        <v>48</v>
      </c>
      <c r="D94" s="14" t="str">
        <f>HLOOKUP($I$56,INDIRECT($D$9),VLOOKUP(C94,'Phase Creator'!$B$8:$C$19,2,FALSE),FALSE)</f>
        <v/>
      </c>
      <c r="E94" s="15"/>
      <c r="F94" s="15"/>
      <c r="G94" s="30"/>
      <c r="H94" s="30"/>
      <c r="I94" s="14" t="str">
        <f>IF(MROUND(IF(D90="squat",'Max Calculator'!$E$8*G94,IF(D90="bench",'Max Calculator'!$E$9*G94,IF(D90="deadlift",'Max Calculator'!$E$10*G94,0))),5)=0," ",MROUND(IF(D90="squat",'Max Calculator'!$E$8*G94,IF(D90="bench",'Max Calculator'!$E$9*G94,IF(D90="deadlift",'Max Calculator'!$E$10*G94,0))),5))</f>
        <v> </v>
      </c>
      <c r="J94" s="14" t="str">
        <f>IF(MROUND(IF(D90="squat",'Max Calculator'!$E$8*H94,IF(D90="bench",'Max Calculator'!$E$9*H94,IF(D90="deadlift",'Max Calculator'!$E$10*H94,0))),5)=0," ",MROUND(IF(D90="squat",'Max Calculator'!$E$8*H94,IF(D90="bench",'Max Calculator'!$E$9*H94,IF(D90="deadlift",'Max Calculator'!$E$10*H94,0))),5))</f>
        <v> </v>
      </c>
    </row>
    <row r="95" ht="15.75" customHeight="1"/>
    <row r="96" ht="15.75" customHeight="1"/>
    <row r="97" ht="15.75" customHeight="1"/>
    <row r="98" ht="15.75" customHeight="1"/>
    <row r="99" ht="15.75" customHeight="1"/>
    <row r="100" ht="15.75" customHeight="1"/>
    <row r="101" ht="15.75" customHeight="1"/>
    <row r="102" ht="15.75" customHeight="1"/>
    <row r="103" ht="15.75" customHeight="1">
      <c r="D103" s="33" t="str">
        <f>D56</f>
        <v>Peaking</v>
      </c>
      <c r="E103" s="23"/>
      <c r="F103" s="23"/>
      <c r="G103" s="23"/>
      <c r="H103" s="24" t="s">
        <v>1</v>
      </c>
      <c r="I103" s="25">
        <v>3.0</v>
      </c>
    </row>
    <row r="104" ht="15.75" customHeight="1">
      <c r="D104" s="23"/>
      <c r="E104" s="23"/>
      <c r="F104" s="23"/>
      <c r="G104" s="23"/>
      <c r="H104" s="26"/>
      <c r="I104" s="26"/>
    </row>
    <row r="105" ht="15.75" customHeight="1">
      <c r="K105" s="5"/>
    </row>
    <row r="106" ht="15.75" customHeight="1">
      <c r="D106" s="5"/>
    </row>
    <row r="107" ht="15.75" customHeight="1">
      <c r="A107" s="4"/>
      <c r="B107" s="4" t="s">
        <v>178</v>
      </c>
      <c r="C107" s="4" t="s">
        <v>5</v>
      </c>
      <c r="D107" s="32" t="s">
        <v>112</v>
      </c>
      <c r="E107" s="4" t="s">
        <v>179</v>
      </c>
      <c r="F107" s="4" t="s">
        <v>151</v>
      </c>
      <c r="G107" s="28" t="s">
        <v>180</v>
      </c>
      <c r="I107" s="28" t="s">
        <v>181</v>
      </c>
    </row>
    <row r="108" ht="15.75" customHeight="1">
      <c r="A108" s="5"/>
      <c r="B108" s="29">
        <f>'Max Calculator'!$E$12-28</f>
        <v>43050</v>
      </c>
      <c r="C108" s="5" t="s">
        <v>4</v>
      </c>
      <c r="D108" s="14" t="str">
        <f>HLOOKUP($I$103,INDIRECT($D$9),VLOOKUP(C108,'Phase Creator'!$B$8:$C$19,2,FALSE),FALSE)</f>
        <v>Reverse Band Comp Deads</v>
      </c>
      <c r="E108" s="15">
        <v>1.0</v>
      </c>
      <c r="F108" s="15">
        <v>3.0</v>
      </c>
      <c r="G108" s="30"/>
      <c r="H108" s="30">
        <v>1.0</v>
      </c>
      <c r="I108" s="14" t="str">
        <f>IF(MROUND(IF(D107="squat",'Max Calculator'!$E$8*G108,IF(D107="bench",'Max Calculator'!$E$9*G108,IF(D107="deadlift",'Max Calculator'!$E$10*G108,0))),5)=0," ",MROUND(IF(D107="squat",'Max Calculator'!$E$8*G108,IF(D107="bench",'Max Calculator'!$E$9*G108,IF(D107="deadlift",'Max Calculator'!$E$10*G108,0))),5))</f>
        <v> </v>
      </c>
      <c r="J108" s="14">
        <f>IF(MROUND(IF(D107="squat",'Max Calculator'!$E$8*H108,IF(D107="bench",'Max Calculator'!$E$9*H108,IF(D107="deadlift",'Max Calculator'!$E$10*H108,0))),5)=0," ",MROUND(IF(D107="squat",'Max Calculator'!$E$8*H108,IF(D107="bench",'Max Calculator'!$E$9*H108,IF(D107="deadlift",'Max Calculator'!$E$10*H108,0))),5))</f>
        <v>405</v>
      </c>
    </row>
    <row r="109" ht="15.75" customHeight="1">
      <c r="A109" s="5"/>
      <c r="B109" s="29">
        <f>'Max Calculator'!$E$12-21</f>
        <v>43057</v>
      </c>
      <c r="C109" s="5" t="s">
        <v>11</v>
      </c>
      <c r="D109" s="14" t="str">
        <f>HLOOKUP($I$103,INDIRECT($D$9),VLOOKUP(C109,'Phase Creator'!$B$8:$C$19,2,FALSE),FALSE)</f>
        <v>Competition Deadlift</v>
      </c>
      <c r="E109" s="15">
        <v>1.0</v>
      </c>
      <c r="F109" s="15">
        <v>1.0</v>
      </c>
      <c r="G109" s="30"/>
      <c r="H109" s="30">
        <v>1.0</v>
      </c>
      <c r="I109" s="14" t="str">
        <f>IF(MROUND(IF(D107="squat",'Max Calculator'!$E$8*G109,IF(D107="bench",'Max Calculator'!$E$9*G109,IF(D107="deadlift",'Max Calculator'!$E$10*G109,0))),5)=0," ",MROUND(IF(D107="squat",'Max Calculator'!$E$8*G109,IF(D107="bench",'Max Calculator'!$E$9*G109,IF(D107="deadlift",'Max Calculator'!$E$10*G109,0))),5))</f>
        <v> </v>
      </c>
      <c r="J109" s="14">
        <f>IF(MROUND(IF(D107="squat",'Max Calculator'!$E$8*H109,IF(D107="bench",'Max Calculator'!$E$9*H109,IF(D107="deadlift",'Max Calculator'!$E$10*H109,0))),5)=0," ",MROUND(IF(D107="squat",'Max Calculator'!$E$8*H109,IF(D107="bench",'Max Calculator'!$E$9*H109,IF(D107="deadlift",'Max Calculator'!$E$10*H109,0))),5))</f>
        <v>405</v>
      </c>
    </row>
    <row r="110" ht="15.75" customHeight="1">
      <c r="A110" s="5"/>
      <c r="B110" s="29">
        <f>'Max Calculator'!$E$12-14</f>
        <v>43064</v>
      </c>
      <c r="C110" s="5" t="s">
        <v>13</v>
      </c>
      <c r="D110" s="14" t="str">
        <f>HLOOKUP($I$103,INDIRECT($D$9),VLOOKUP(C110,'Phase Creator'!$B$8:$C$19,2,FALSE),FALSE)</f>
        <v>Competition Deadlift</v>
      </c>
      <c r="E110" s="15">
        <v>1.0</v>
      </c>
      <c r="F110" s="15">
        <v>1.0</v>
      </c>
      <c r="G110" s="30"/>
      <c r="H110" s="30">
        <v>0.85</v>
      </c>
      <c r="I110" s="14" t="str">
        <f>IF(MROUND(IF(D107="squat",'Max Calculator'!$E$8*G110,IF(D107="bench",'Max Calculator'!$E$9*G110,IF(D107="deadlift",'Max Calculator'!$E$10*G110,0))),5)=0," ",MROUND(IF(D107="squat",'Max Calculator'!$E$8*G110,IF(D107="bench",'Max Calculator'!$E$9*G110,IF(D107="deadlift",'Max Calculator'!$E$10*G110,0))),5))</f>
        <v> </v>
      </c>
      <c r="J110" s="14">
        <f>IF(MROUND(IF(D107="squat",'Max Calculator'!$E$8*H110,IF(D107="bench",'Max Calculator'!$E$9*H110,IF(D107="deadlift",'Max Calculator'!$E$10*H110,0))),5)=0," ",MROUND(IF(D107="squat",'Max Calculator'!$E$8*H110,IF(D107="bench",'Max Calculator'!$E$9*H110,IF(D107="deadlift",'Max Calculator'!$E$10*H110,0))),5))</f>
        <v>345</v>
      </c>
    </row>
    <row r="111" ht="15.75" customHeight="1">
      <c r="A111" s="5"/>
      <c r="B111" s="29">
        <f>'Max Calculator'!$E$12-7</f>
        <v>43071</v>
      </c>
      <c r="C111" s="5" t="s">
        <v>18</v>
      </c>
      <c r="D111" s="14" t="str">
        <f>HLOOKUP($I$103,INDIRECT($D$9),VLOOKUP(C111,'Phase Creator'!$B$8:$C$19,2,FALSE),FALSE)</f>
        <v>Speed DL</v>
      </c>
      <c r="E111" s="15">
        <v>6.0</v>
      </c>
      <c r="F111" s="15">
        <v>1.0</v>
      </c>
      <c r="G111" s="30"/>
      <c r="H111" s="30">
        <v>0.5</v>
      </c>
      <c r="I111" s="14" t="str">
        <f>IF(MROUND(IF(D107="squat",'Max Calculator'!$E$8*G111,IF(D107="bench",'Max Calculator'!$E$9*G111,IF(D107="deadlift",'Max Calculator'!$E$10*G111,0))),5)=0," ",MROUND(IF(D107="squat",'Max Calculator'!$E$8*G111,IF(D107="bench",'Max Calculator'!$E$9*G111,IF(D107="deadlift",'Max Calculator'!$E$10*G111,0))),5))</f>
        <v> </v>
      </c>
      <c r="J111" s="14">
        <f>IF(MROUND(IF(D107="squat",'Max Calculator'!$E$8*H111,IF(D107="bench",'Max Calculator'!$E$9*H111,IF(D107="deadlift",'Max Calculator'!$E$10*H111,0))),5)=0," ",MROUND(IF(D107="squat",'Max Calculator'!$E$8*H111,IF(D107="bench",'Max Calculator'!$E$9*H111,IF(D107="deadlift",'Max Calculator'!$E$10*H111,0))),5))</f>
        <v>205</v>
      </c>
    </row>
    <row r="112" ht="15.75" customHeight="1">
      <c r="D112" s="5"/>
    </row>
    <row r="113" ht="15.75" customHeight="1">
      <c r="A113" s="4"/>
      <c r="B113" s="4" t="s">
        <v>178</v>
      </c>
      <c r="C113" s="4" t="s">
        <v>21</v>
      </c>
      <c r="D113" s="32" t="s">
        <v>112</v>
      </c>
      <c r="E113" s="4" t="s">
        <v>179</v>
      </c>
      <c r="F113" s="4" t="s">
        <v>151</v>
      </c>
      <c r="G113" s="4" t="s">
        <v>180</v>
      </c>
      <c r="I113" s="28" t="s">
        <v>181</v>
      </c>
    </row>
    <row r="114" ht="15.75" customHeight="1">
      <c r="A114" s="5"/>
      <c r="B114" s="29">
        <f>'Max Calculator'!$E$12-28</f>
        <v>43050</v>
      </c>
      <c r="C114" s="5" t="s">
        <v>20</v>
      </c>
      <c r="D114" s="14" t="str">
        <f>HLOOKUP($I$103,INDIRECT($D$9),VLOOKUP(C114,'Phase Creator'!$B$8:$C$19,2,FALSE),FALSE)</f>
        <v>3ct Pause Deadlift</v>
      </c>
      <c r="E114" s="15">
        <v>3.0</v>
      </c>
      <c r="F114" s="15">
        <v>6.0</v>
      </c>
      <c r="G114" s="30"/>
      <c r="H114" s="30">
        <v>0.65</v>
      </c>
      <c r="I114" s="14" t="str">
        <f>IF(MROUND(IF(D113="squat",'Max Calculator'!$E$8*G114,IF(D113="bench",'Max Calculator'!$E$9*G114,IF(D113="deadlift",'Max Calculator'!$E$10*G114,0))),5)=0," ",MROUND(IF(D113="squat",'Max Calculator'!$E$8*G114,IF(D113="bench",'Max Calculator'!$E$9*G114,IF(D113="deadlift",'Max Calculator'!$E$10*G114,0))),5))</f>
        <v> </v>
      </c>
      <c r="J114" s="14">
        <f>IF(MROUND(IF(D113="squat",'Max Calculator'!$E$8*H114,IF(D113="bench",'Max Calculator'!$E$9*H114,IF(D113="deadlift",'Max Calculator'!$E$10*H114,0))),5)=0," ",MROUND(IF(D113="squat",'Max Calculator'!$E$8*H114,IF(D113="bench",'Max Calculator'!$E$9*H114,IF(D113="deadlift",'Max Calculator'!$E$10*H114,0))),5))</f>
        <v>265</v>
      </c>
    </row>
    <row r="115" ht="15.75" customHeight="1">
      <c r="A115" s="5"/>
      <c r="B115" s="29">
        <f>'Max Calculator'!$E$12-21</f>
        <v>43057</v>
      </c>
      <c r="C115" s="5" t="s">
        <v>27</v>
      </c>
      <c r="D115" s="14" t="str">
        <f>HLOOKUP($I$103,INDIRECT($D$9),VLOOKUP(C115,'Phase Creator'!$B$8:$C$19,2,FALSE),FALSE)</f>
        <v>3ct Pause Deadlift</v>
      </c>
      <c r="E115" s="15">
        <v>2.0</v>
      </c>
      <c r="F115" s="15">
        <v>5.0</v>
      </c>
      <c r="G115" s="30"/>
      <c r="H115" s="30">
        <v>0.55</v>
      </c>
      <c r="I115" s="14" t="str">
        <f>IF(MROUND(IF(D113="squat",'Max Calculator'!$E$8*G115,IF(D113="bench",'Max Calculator'!$E$9*G115,IF(D113="deadlift",'Max Calculator'!$E$10*G115,0))),5)=0," ",MROUND(IF(D113="squat",'Max Calculator'!$E$8*G115,IF(D113="bench",'Max Calculator'!$E$9*G115,IF(D113="deadlift",'Max Calculator'!$E$10*G115,0))),5))</f>
        <v> </v>
      </c>
      <c r="J115" s="14">
        <f>IF(MROUND(IF(D113="squat",'Max Calculator'!$E$8*H115,IF(D113="bench",'Max Calculator'!$E$9*H115,IF(D113="deadlift",'Max Calculator'!$E$10*H115,0))),5)=0," ",MROUND(IF(D113="squat",'Max Calculator'!$E$8*H115,IF(D113="bench",'Max Calculator'!$E$9*H115,IF(D113="deadlift",'Max Calculator'!$E$10*H115,0))),5))</f>
        <v>225</v>
      </c>
    </row>
    <row r="116" ht="15.75" customHeight="1">
      <c r="A116" s="5"/>
      <c r="B116" s="29">
        <f>'Max Calculator'!$E$12-14</f>
        <v>43064</v>
      </c>
      <c r="C116" s="5" t="s">
        <v>28</v>
      </c>
      <c r="D116" s="14" t="str">
        <f>HLOOKUP($I$103,INDIRECT($D$9),VLOOKUP(C116,'Phase Creator'!$B$8:$C$19,2,FALSE),FALSE)</f>
        <v>3ct Pause Deadlift</v>
      </c>
      <c r="E116" s="15">
        <v>2.0</v>
      </c>
      <c r="F116" s="15">
        <v>5.0</v>
      </c>
      <c r="G116" s="30"/>
      <c r="H116" s="30">
        <v>0.5</v>
      </c>
      <c r="I116" s="14" t="str">
        <f>IF(MROUND(IF(D113="squat",'Max Calculator'!$E$8*G116,IF(D113="bench",'Max Calculator'!$E$9*G116,IF(D113="deadlift",'Max Calculator'!$E$10*G116,0))),5)=0," ",MROUND(IF(D113="squat",'Max Calculator'!$E$8*G116,IF(D113="bench",'Max Calculator'!$E$9*G116,IF(D113="deadlift",'Max Calculator'!$E$10*G116,0))),5))</f>
        <v> </v>
      </c>
      <c r="J116" s="14">
        <f>IF(MROUND(IF(D113="squat",'Max Calculator'!$E$8*H116,IF(D113="bench",'Max Calculator'!$E$9*H116,IF(D113="deadlift",'Max Calculator'!$E$10*H116,0))),5)=0," ",MROUND(IF(D113="squat",'Max Calculator'!$E$8*H116,IF(D113="bench",'Max Calculator'!$E$9*H116,IF(D113="deadlift",'Max Calculator'!$E$10*H116,0))),5))</f>
        <v>205</v>
      </c>
    </row>
    <row r="117" ht="15.75" customHeight="1">
      <c r="A117" s="5"/>
      <c r="B117" s="29">
        <f>'Max Calculator'!$E$12-7</f>
        <v>43071</v>
      </c>
      <c r="C117" s="5" t="s">
        <v>32</v>
      </c>
      <c r="D117" s="14" t="str">
        <f>HLOOKUP($I$103,INDIRECT($D$9),VLOOKUP(C117,'Phase Creator'!$B$8:$C$19,2,FALSE),FALSE)</f>
        <v>3ct Pause Deadlift</v>
      </c>
      <c r="E117" s="15">
        <v>1.0</v>
      </c>
      <c r="F117" s="15">
        <v>5.0</v>
      </c>
      <c r="G117" s="30"/>
      <c r="H117" s="30">
        <v>0.4</v>
      </c>
      <c r="I117" s="14" t="str">
        <f>IF(MROUND(IF(D113="squat",'Max Calculator'!$E$8*G117,IF(D113="bench",'Max Calculator'!$E$9*G117,IF(D113="deadlift",'Max Calculator'!$E$10*G117,0))),5)=0," ",MROUND(IF(D113="squat",'Max Calculator'!$E$8*G117,IF(D113="bench",'Max Calculator'!$E$9*G117,IF(D113="deadlift",'Max Calculator'!$E$10*G117,0))),5))</f>
        <v> </v>
      </c>
      <c r="J117" s="14">
        <f>IF(MROUND(IF(D113="squat",'Max Calculator'!$E$8*H117,IF(D113="bench",'Max Calculator'!$E$9*H117,IF(D113="deadlift",'Max Calculator'!$E$10*H117,0))),5)=0," ",MROUND(IF(D113="squat",'Max Calculator'!$E$8*H117,IF(D113="bench",'Max Calculator'!$E$9*H117,IF(D113="deadlift",'Max Calculator'!$E$10*H117,0))),5))</f>
        <v>160</v>
      </c>
    </row>
    <row r="118" ht="15.75" customHeight="1"/>
    <row r="119" ht="15.75" customHeight="1">
      <c r="A119" s="4"/>
      <c r="B119" s="4" t="s">
        <v>178</v>
      </c>
      <c r="C119" s="4" t="s">
        <v>33</v>
      </c>
      <c r="D119" s="32" t="s">
        <v>153</v>
      </c>
      <c r="E119" s="4" t="s">
        <v>179</v>
      </c>
      <c r="F119" s="4" t="s">
        <v>151</v>
      </c>
      <c r="G119" s="4" t="s">
        <v>180</v>
      </c>
      <c r="I119" s="28" t="s">
        <v>181</v>
      </c>
    </row>
    <row r="120" ht="15.75" customHeight="1">
      <c r="A120" s="5"/>
      <c r="B120" s="29">
        <f>'Max Calculator'!$E$12-28</f>
        <v>43050</v>
      </c>
      <c r="C120" s="5" t="s">
        <v>33</v>
      </c>
      <c r="D120" s="14" t="str">
        <f>HLOOKUP($I$103,INDIRECT($D$9),VLOOKUP(C120,'Phase Creator'!$B$8:$C$19,2,FALSE),FALSE)</f>
        <v>Close Grip 3ct Pause Feet Up Bench</v>
      </c>
      <c r="E120" s="15">
        <v>3.0</v>
      </c>
      <c r="F120" s="15">
        <v>8.0</v>
      </c>
      <c r="G120" s="30"/>
      <c r="H120" s="30">
        <v>0.4</v>
      </c>
      <c r="I120" s="14" t="str">
        <f>IF(MROUND(IF(D119="squat",'Max Calculator'!$E$8*G120,IF(D119="bench",'Max Calculator'!$E$9*G120,IF(D119="deadlift",'Max Calculator'!$E$10*G120,0))),5)=0," ",MROUND(IF(D119="squat",'Max Calculator'!$E$8*G120,IF(D119="bench",'Max Calculator'!$E$9*G120,IF(D119="deadlift",'Max Calculator'!$E$10*G120,0))),5))</f>
        <v> </v>
      </c>
      <c r="J120" s="14">
        <f>IF(MROUND(IF(D119="squat",'Max Calculator'!$E$8*H120,IF(D119="bench",'Max Calculator'!$E$9*H120,IF(D119="deadlift",'Max Calculator'!$E$10*H120,0))),5)=0," ",MROUND(IF(D119="squat",'Max Calculator'!$E$8*H120,IF(D119="bench",'Max Calculator'!$E$9*H120,IF(D119="deadlift",'Max Calculator'!$E$10*H120,0))),5))</f>
        <v>90</v>
      </c>
    </row>
    <row r="121" ht="15.75" customHeight="1">
      <c r="A121" s="5"/>
      <c r="B121" s="29">
        <f>'Max Calculator'!$E$12-21</f>
        <v>43057</v>
      </c>
      <c r="C121" s="5" t="s">
        <v>33</v>
      </c>
      <c r="D121" s="14" t="str">
        <f>HLOOKUP($I$103,INDIRECT($D$9),VLOOKUP(C121,'Phase Creator'!$B$8:$C$19,2,FALSE),FALSE)</f>
        <v>Close Grip 3ct Pause Feet Up Bench</v>
      </c>
      <c r="E121" s="15">
        <v>2.0</v>
      </c>
      <c r="F121" s="15">
        <v>12.0</v>
      </c>
      <c r="G121" s="30"/>
      <c r="H121" s="30">
        <v>0.3</v>
      </c>
      <c r="I121" s="14" t="str">
        <f>IF(MROUND(IF(D119="squat",'Max Calculator'!$E$8*G121,IF(D119="bench",'Max Calculator'!$E$9*G121,IF(D119="deadlift",'Max Calculator'!$E$10*G121,0))),5)=0," ",MROUND(IF(D119="squat",'Max Calculator'!$E$8*G121,IF(D119="bench",'Max Calculator'!$E$9*G121,IF(D119="deadlift",'Max Calculator'!$E$10*G121,0))),5))</f>
        <v> </v>
      </c>
      <c r="J121" s="14">
        <f>IF(MROUND(IF(D119="squat",'Max Calculator'!$E$8*H121,IF(D119="bench",'Max Calculator'!$E$9*H121,IF(D119="deadlift",'Max Calculator'!$E$10*H121,0))),5)=0," ",MROUND(IF(D119="squat",'Max Calculator'!$E$8*H121,IF(D119="bench",'Max Calculator'!$E$9*H121,IF(D119="deadlift",'Max Calculator'!$E$10*H121,0))),5))</f>
        <v>70</v>
      </c>
    </row>
    <row r="122" ht="15.75" customHeight="1">
      <c r="A122" s="5"/>
      <c r="B122" s="29">
        <f>'Max Calculator'!$E$12-14</f>
        <v>43064</v>
      </c>
      <c r="C122" s="5" t="s">
        <v>33</v>
      </c>
      <c r="D122" s="14" t="str">
        <f>HLOOKUP($I$103,INDIRECT($D$9),VLOOKUP(C122,'Phase Creator'!$B$8:$C$19,2,FALSE),FALSE)</f>
        <v>Close Grip 3ct Pause Feet Up Bench</v>
      </c>
      <c r="E122" s="15">
        <v>2.0</v>
      </c>
      <c r="F122" s="15">
        <v>10.0</v>
      </c>
      <c r="G122" s="30"/>
      <c r="H122" s="30">
        <v>0.35</v>
      </c>
      <c r="I122" s="14" t="str">
        <f>IF(MROUND(IF(D119="squat",'Max Calculator'!$E$8*G122,IF(D119="bench",'Max Calculator'!$E$9*G122,IF(D119="deadlift",'Max Calculator'!$E$10*G122,0))),5)=0," ",MROUND(IF(D119="squat",'Max Calculator'!$E$8*G122,IF(D119="bench",'Max Calculator'!$E$9*G122,IF(D119="deadlift",'Max Calculator'!$E$10*G122,0))),5))</f>
        <v> </v>
      </c>
      <c r="J122" s="14">
        <f>IF(MROUND(IF(D119="squat",'Max Calculator'!$E$8*H122,IF(D119="bench",'Max Calculator'!$E$9*H122,IF(D119="deadlift",'Max Calculator'!$E$10*H122,0))),5)=0," ",MROUND(IF(D119="squat",'Max Calculator'!$E$8*H122,IF(D119="bench",'Max Calculator'!$E$9*H122,IF(D119="deadlift",'Max Calculator'!$E$10*H122,0))),5))</f>
        <v>80</v>
      </c>
    </row>
    <row r="123" ht="15.75" customHeight="1">
      <c r="A123" s="5"/>
      <c r="B123" s="29">
        <f>'Max Calculator'!$E$12-7</f>
        <v>43071</v>
      </c>
      <c r="C123" s="5" t="s">
        <v>33</v>
      </c>
      <c r="D123" s="14" t="str">
        <f>HLOOKUP($I$103,INDIRECT($D$9),VLOOKUP(C123,'Phase Creator'!$B$8:$C$19,2,FALSE),FALSE)</f>
        <v>Close Grip 3ct Pause Feet Up Bench</v>
      </c>
      <c r="E123" s="15">
        <v>1.0</v>
      </c>
      <c r="F123" s="15">
        <v>12.0</v>
      </c>
      <c r="G123" s="30"/>
      <c r="H123" s="30">
        <v>0.3</v>
      </c>
      <c r="I123" s="14" t="str">
        <f>IF(MROUND(IF(D119="squat",'Max Calculator'!$E$8*G123,IF(D119="bench",'Max Calculator'!$E$9*G123,IF(D119="deadlift",'Max Calculator'!$E$10*G123,0))),5)=0," ",MROUND(IF(D119="squat",'Max Calculator'!$E$8*G123,IF(D119="bench",'Max Calculator'!$E$9*G123,IF(D119="deadlift",'Max Calculator'!$E$10*G123,0))),5))</f>
        <v> </v>
      </c>
      <c r="J123" s="14">
        <f>IF(MROUND(IF(D119="squat",'Max Calculator'!$E$8*H123,IF(D119="bench",'Max Calculator'!$E$9*H123,IF(D119="deadlift",'Max Calculator'!$E$10*H123,0))),5)=0," ",MROUND(IF(D119="squat",'Max Calculator'!$E$8*H123,IF(D119="bench",'Max Calculator'!$E$9*H123,IF(D119="deadlift",'Max Calculator'!$E$10*H123,0))),5))</f>
        <v>70</v>
      </c>
    </row>
    <row r="124" ht="15.75" customHeight="1"/>
    <row r="125" ht="15.75" customHeight="1">
      <c r="A125" s="4"/>
      <c r="B125" s="4" t="s">
        <v>178</v>
      </c>
      <c r="C125" s="4" t="s">
        <v>38</v>
      </c>
      <c r="D125" s="32" t="s">
        <v>185</v>
      </c>
      <c r="E125" s="4" t="s">
        <v>179</v>
      </c>
      <c r="F125" s="4" t="s">
        <v>151</v>
      </c>
      <c r="G125" s="4" t="s">
        <v>180</v>
      </c>
      <c r="I125" s="28" t="s">
        <v>181</v>
      </c>
    </row>
    <row r="126" ht="15.75" customHeight="1">
      <c r="A126" s="5"/>
      <c r="B126" s="29">
        <f>'Max Calculator'!$E$12-28</f>
        <v>43050</v>
      </c>
      <c r="C126" s="5" t="s">
        <v>38</v>
      </c>
      <c r="D126" s="14" t="str">
        <f>HLOOKUP($I$103,INDIRECT($D$9),VLOOKUP(C126,'Phase Creator'!$B$8:$C$19,2,FALSE),FALSE)</f>
        <v>Band/TRX holds</v>
      </c>
      <c r="E126" s="15">
        <v>2.0</v>
      </c>
      <c r="F126" s="15">
        <v>30.0</v>
      </c>
      <c r="G126" s="30"/>
      <c r="H126" s="30"/>
      <c r="I126" s="14" t="str">
        <f>IF(MROUND(IF(D125="squat",'Max Calculator'!$E$8*G126,IF(D125="bench",'Max Calculator'!$E$9*G126,IF(D125="deadlift",'Max Calculator'!$E$10*G126,0))),5)=0," ",MROUND(IF(D125="squat",'Max Calculator'!$E$8*G126,IF(D125="bench",'Max Calculator'!$E$9*G126,IF(D125="deadlift",'Max Calculator'!$E$10*G126,0))),5))</f>
        <v> </v>
      </c>
      <c r="J126" s="14" t="str">
        <f>IF(MROUND(IF(D125="squat",'Max Calculator'!$E$8*H126,IF(D125="bench",'Max Calculator'!$E$9*H126,IF(D125="deadlift",'Max Calculator'!$E$10*H126,0))),5)=0," ",MROUND(IF(D125="squat",'Max Calculator'!$E$8*H126,IF(D125="bench",'Max Calculator'!$E$9*H126,IF(D125="deadlift",'Max Calculator'!$E$10*H126,0))),5))</f>
        <v> </v>
      </c>
    </row>
    <row r="127" ht="15.75" customHeight="1">
      <c r="A127" s="5"/>
      <c r="B127" s="29">
        <f>'Max Calculator'!$E$12-21</f>
        <v>43057</v>
      </c>
      <c r="C127" s="5" t="s">
        <v>38</v>
      </c>
      <c r="D127" s="14" t="str">
        <f>HLOOKUP($I$103,INDIRECT($D$9),VLOOKUP(C127,'Phase Creator'!$B$8:$C$19,2,FALSE),FALSE)</f>
        <v>Band/TRX holds</v>
      </c>
      <c r="E127" s="15">
        <v>3.0</v>
      </c>
      <c r="F127" s="15">
        <v>40.0</v>
      </c>
      <c r="G127" s="30"/>
      <c r="H127" s="30"/>
      <c r="I127" s="14" t="str">
        <f>IF(MROUND(IF(D125="squat",'Max Calculator'!$E$8*G127,IF(D125="bench",'Max Calculator'!$E$9*G127,IF(D125="deadlift",'Max Calculator'!$E$10*G127,0))),5)=0," ",MROUND(IF(D125="squat",'Max Calculator'!$E$8*G127,IF(D125="bench",'Max Calculator'!$E$9*G127,IF(D125="deadlift",'Max Calculator'!$E$10*G127,0))),5))</f>
        <v> </v>
      </c>
      <c r="J127" s="14" t="str">
        <f>IF(MROUND(IF(D125="squat",'Max Calculator'!$E$8*H127,IF(D125="bench",'Max Calculator'!$E$9*H127,IF(D125="deadlift",'Max Calculator'!$E$10*H127,0))),5)=0," ",MROUND(IF(D125="squat",'Max Calculator'!$E$8*H127,IF(D125="bench",'Max Calculator'!$E$9*H127,IF(D125="deadlift",'Max Calculator'!$E$10*H127,0))),5))</f>
        <v> </v>
      </c>
    </row>
    <row r="128" ht="15.75" customHeight="1">
      <c r="A128" s="5"/>
      <c r="B128" s="29">
        <f>'Max Calculator'!$E$12-14</f>
        <v>43064</v>
      </c>
      <c r="C128" s="5" t="s">
        <v>38</v>
      </c>
      <c r="D128" s="14" t="str">
        <f>HLOOKUP($I$103,INDIRECT($D$9),VLOOKUP(C128,'Phase Creator'!$B$8:$C$19,2,FALSE),FALSE)</f>
        <v>Band/TRX holds</v>
      </c>
      <c r="E128" s="15">
        <v>2.0</v>
      </c>
      <c r="F128" s="15">
        <v>35.0</v>
      </c>
      <c r="G128" s="30"/>
      <c r="H128" s="30"/>
      <c r="I128" s="14" t="str">
        <f>IF(MROUND(IF(D125="squat",'Max Calculator'!$E$8*G128,IF(D125="bench",'Max Calculator'!$E$9*G128,IF(D125="deadlift",'Max Calculator'!$E$10*G128,0))),5)=0," ",MROUND(IF(D125="squat",'Max Calculator'!$E$8*G128,IF(D125="bench",'Max Calculator'!$E$9*G128,IF(D125="deadlift",'Max Calculator'!$E$10*G128,0))),5))</f>
        <v> </v>
      </c>
      <c r="J128" s="14" t="str">
        <f>IF(MROUND(IF(D125="squat",'Max Calculator'!$E$8*H128,IF(D125="bench",'Max Calculator'!$E$9*H128,IF(D125="deadlift",'Max Calculator'!$E$10*H128,0))),5)=0," ",MROUND(IF(D125="squat",'Max Calculator'!$E$8*H128,IF(D125="bench",'Max Calculator'!$E$9*H128,IF(D125="deadlift",'Max Calculator'!$E$10*H128,0))),5))</f>
        <v> </v>
      </c>
    </row>
    <row r="129" ht="15.75" customHeight="1">
      <c r="A129" s="5"/>
      <c r="B129" s="29">
        <f>'Max Calculator'!$E$12-7</f>
        <v>43071</v>
      </c>
      <c r="C129" s="5" t="s">
        <v>38</v>
      </c>
      <c r="D129" s="14" t="str">
        <f>HLOOKUP($I$103,INDIRECT($D$9),VLOOKUP(C129,'Phase Creator'!$B$8:$C$19,2,FALSE),FALSE)</f>
        <v>Band/TRX holds</v>
      </c>
      <c r="E129" s="15">
        <v>1.0</v>
      </c>
      <c r="F129" s="15">
        <v>60.0</v>
      </c>
      <c r="G129" s="30"/>
      <c r="H129" s="30"/>
      <c r="I129" s="14" t="str">
        <f>IF(MROUND(IF(D125="squat",'Max Calculator'!$E$8*G129,IF(D125="bench",'Max Calculator'!$E$9*G129,IF(D125="deadlift",'Max Calculator'!$E$10*G129,0))),5)=0," ",MROUND(IF(D125="squat",'Max Calculator'!$E$8*G129,IF(D125="bench",'Max Calculator'!$E$9*G129,IF(D125="deadlift",'Max Calculator'!$E$10*G129,0))),5))</f>
        <v> </v>
      </c>
      <c r="J129" s="14" t="str">
        <f>IF(MROUND(IF(D125="squat",'Max Calculator'!$E$8*H129,IF(D125="bench",'Max Calculator'!$E$9*H129,IF(D125="deadlift",'Max Calculator'!$E$10*H129,0))),5)=0," ",MROUND(IF(D125="squat",'Max Calculator'!$E$8*H129,IF(D125="bench",'Max Calculator'!$E$9*H129,IF(D125="deadlift",'Max Calculator'!$E$10*H129,0))),5))</f>
        <v> </v>
      </c>
    </row>
    <row r="130" ht="15.75" customHeight="1"/>
    <row r="131" ht="15.75" customHeight="1">
      <c r="A131" s="4"/>
      <c r="B131" s="4" t="s">
        <v>178</v>
      </c>
      <c r="C131" s="4" t="s">
        <v>43</v>
      </c>
      <c r="D131" s="32" t="s">
        <v>185</v>
      </c>
      <c r="E131" s="4" t="s">
        <v>179</v>
      </c>
      <c r="F131" s="4" t="s">
        <v>151</v>
      </c>
      <c r="G131" s="4" t="s">
        <v>180</v>
      </c>
      <c r="I131" s="28" t="s">
        <v>181</v>
      </c>
    </row>
    <row r="132" ht="15.75" customHeight="1">
      <c r="A132" s="5"/>
      <c r="B132" s="29">
        <f>'Max Calculator'!$E$12-28</f>
        <v>43050</v>
      </c>
      <c r="C132" s="5" t="s">
        <v>43</v>
      </c>
      <c r="D132" s="14" t="str">
        <f>HLOOKUP($I$103,INDIRECT($D$9),VLOOKUP(C132,'Phase Creator'!$B$8:$C$19,2,FALSE),FALSE)</f>
        <v>Hanging Knee raise</v>
      </c>
      <c r="E132" s="15">
        <v>3.0</v>
      </c>
      <c r="F132" s="15">
        <v>10.0</v>
      </c>
      <c r="G132" s="30"/>
      <c r="H132" s="30"/>
      <c r="I132" s="14" t="str">
        <f>IF(MROUND(IF(D131="squat",'Max Calculator'!$E$8*G132,IF(D131="bench",'Max Calculator'!$E$9*G132,IF(D131="deadlift",'Max Calculator'!$E$10*G132,0))),5)=0," ",MROUND(IF(D131="squat",'Max Calculator'!$E$8*G132,IF(D131="bench",'Max Calculator'!$E$9*G132,IF(D131="deadlift",'Max Calculator'!$E$10*G132,0))),5))</f>
        <v> </v>
      </c>
      <c r="J132" s="14" t="str">
        <f>IF(MROUND(IF(D131="squat",'Max Calculator'!$E$8*H132,IF(D131="bench",'Max Calculator'!$E$9*H132,IF(D131="deadlift",'Max Calculator'!$E$10*H132,0))),5)=0," ",MROUND(IF(D131="squat",'Max Calculator'!$E$8*H132,IF(D131="bench",'Max Calculator'!$E$9*H132,IF(D131="deadlift",'Max Calculator'!$E$10*H132,0))),5))</f>
        <v> </v>
      </c>
    </row>
    <row r="133" ht="15.75" customHeight="1">
      <c r="A133" s="5"/>
      <c r="B133" s="29">
        <f>'Max Calculator'!$E$12-21</f>
        <v>43057</v>
      </c>
      <c r="C133" s="5" t="s">
        <v>43</v>
      </c>
      <c r="D133" s="14" t="str">
        <f>HLOOKUP($I$103,INDIRECT($D$9),VLOOKUP(C133,'Phase Creator'!$B$8:$C$19,2,FALSE),FALSE)</f>
        <v>Hanging Knee raise</v>
      </c>
      <c r="E133" s="15">
        <v>2.0</v>
      </c>
      <c r="F133" s="15">
        <v>12.0</v>
      </c>
      <c r="G133" s="30"/>
      <c r="H133" s="30"/>
      <c r="I133" s="14" t="str">
        <f>IF(MROUND(IF(D131="squat",'Max Calculator'!$E$8*G133,IF(D131="bench",'Max Calculator'!$E$9*G133,IF(D131="deadlift",'Max Calculator'!$E$10*G133,0))),5)=0," ",MROUND(IF(D131="squat",'Max Calculator'!$E$8*G133,IF(D131="bench",'Max Calculator'!$E$9*G133,IF(D131="deadlift",'Max Calculator'!$E$10*G133,0))),5))</f>
        <v> </v>
      </c>
      <c r="J133" s="14" t="str">
        <f>IF(MROUND(IF(D131="squat",'Max Calculator'!$E$8*H133,IF(D131="bench",'Max Calculator'!$E$9*H133,IF(D131="deadlift",'Max Calculator'!$E$10*H133,0))),5)=0," ",MROUND(IF(D131="squat",'Max Calculator'!$E$8*H133,IF(D131="bench",'Max Calculator'!$E$9*H133,IF(D131="deadlift",'Max Calculator'!$E$10*H133,0))),5))</f>
        <v> </v>
      </c>
    </row>
    <row r="134" ht="15.75" customHeight="1">
      <c r="A134" s="5"/>
      <c r="B134" s="29">
        <f>'Max Calculator'!$E$12-14</f>
        <v>43064</v>
      </c>
      <c r="C134" s="5" t="s">
        <v>43</v>
      </c>
      <c r="D134" s="14" t="str">
        <f>HLOOKUP($I$103,INDIRECT($D$9),VLOOKUP(C134,'Phase Creator'!$B$8:$C$19,2,FALSE),FALSE)</f>
        <v>Hanging Knee raise</v>
      </c>
      <c r="E134" s="15">
        <v>2.0</v>
      </c>
      <c r="F134" s="15">
        <v>8.0</v>
      </c>
      <c r="G134" s="30"/>
      <c r="H134" s="30"/>
      <c r="I134" s="14" t="str">
        <f>IF(MROUND(IF(D131="squat",'Max Calculator'!$E$8*G134,IF(D131="bench",'Max Calculator'!$E$9*G134,IF(D131="deadlift",'Max Calculator'!$E$10*G134,0))),5)=0," ",MROUND(IF(D131="squat",'Max Calculator'!$E$8*G134,IF(D131="bench",'Max Calculator'!$E$9*G134,IF(D131="deadlift",'Max Calculator'!$E$10*G134,0))),5))</f>
        <v> </v>
      </c>
      <c r="J134" s="14" t="str">
        <f>IF(MROUND(IF(D131="squat",'Max Calculator'!$E$8*H134,IF(D131="bench",'Max Calculator'!$E$9*H134,IF(D131="deadlift",'Max Calculator'!$E$10*H134,0))),5)=0," ",MROUND(IF(D131="squat",'Max Calculator'!$E$8*H134,IF(D131="bench",'Max Calculator'!$E$9*H134,IF(D131="deadlift",'Max Calculator'!$E$10*H134,0))),5))</f>
        <v> </v>
      </c>
    </row>
    <row r="135" ht="15.75" customHeight="1">
      <c r="A135" s="5"/>
      <c r="B135" s="29">
        <f>'Max Calculator'!$E$12-7</f>
        <v>43071</v>
      </c>
      <c r="C135" s="5" t="s">
        <v>43</v>
      </c>
      <c r="D135" s="14" t="str">
        <f>HLOOKUP($I$103,INDIRECT($D$9),VLOOKUP(C135,'Phase Creator'!$B$8:$C$19,2,FALSE),FALSE)</f>
        <v>Hanging Knee raise</v>
      </c>
      <c r="E135" s="15">
        <v>1.0</v>
      </c>
      <c r="F135" s="15">
        <v>10.0</v>
      </c>
      <c r="G135" s="30"/>
      <c r="H135" s="30"/>
      <c r="I135" s="14" t="str">
        <f>IF(MROUND(IF(D131="squat",'Max Calculator'!$E$8*G135,IF(D131="bench",'Max Calculator'!$E$9*G135,IF(D131="deadlift",'Max Calculator'!$E$10*G135,0))),5)=0," ",MROUND(IF(D131="squat",'Max Calculator'!$E$8*G135,IF(D131="bench",'Max Calculator'!$E$9*G135,IF(D131="deadlift",'Max Calculator'!$E$10*G135,0))),5))</f>
        <v> </v>
      </c>
      <c r="J135" s="14" t="str">
        <f>IF(MROUND(IF(D131="squat",'Max Calculator'!$E$8*H135,IF(D131="bench",'Max Calculator'!$E$9*H135,IF(D131="deadlift",'Max Calculator'!$E$10*H135,0))),5)=0," ",MROUND(IF(D131="squat",'Max Calculator'!$E$8*H135,IF(D131="bench",'Max Calculator'!$E$9*H135,IF(D131="deadlift",'Max Calculator'!$E$10*H135,0))),5))</f>
        <v> </v>
      </c>
    </row>
    <row r="136" ht="15.75" customHeight="1"/>
    <row r="137" ht="15.75" hidden="1" customHeight="1">
      <c r="A137" s="4"/>
      <c r="B137" s="4" t="s">
        <v>178</v>
      </c>
      <c r="C137" s="4" t="s">
        <v>48</v>
      </c>
      <c r="D137" s="32" t="s">
        <v>185</v>
      </c>
      <c r="E137" s="4" t="s">
        <v>179</v>
      </c>
      <c r="F137" s="4" t="s">
        <v>151</v>
      </c>
      <c r="G137" s="4" t="s">
        <v>180</v>
      </c>
      <c r="I137" s="28" t="s">
        <v>181</v>
      </c>
    </row>
    <row r="138" ht="15.75" hidden="1" customHeight="1">
      <c r="A138" s="5"/>
      <c r="B138" s="29">
        <f>'Max Calculator'!$E$12-140</f>
        <v>42938</v>
      </c>
      <c r="C138" s="5" t="s">
        <v>48</v>
      </c>
      <c r="D138" s="14" t="str">
        <f>HLOOKUP($I$103,INDIRECT($D$9),VLOOKUP(C138,'Phase Creator'!$B$8:$C$19,2,FALSE),FALSE)</f>
        <v/>
      </c>
      <c r="E138" s="15"/>
      <c r="F138" s="15"/>
      <c r="G138" s="30"/>
      <c r="H138" s="30"/>
      <c r="I138" s="14" t="str">
        <f>IF(MROUND(IF(D137="squat",'Max Calculator'!$E$8*G138,IF(D137="bench",'Max Calculator'!$E$9*G138,IF(D137="deadlift",'Max Calculator'!$E$10*G138,0))),5)=0," ",MROUND(IF(D137="squat",'Max Calculator'!$E$8*G138,IF(D137="bench",'Max Calculator'!$E$9*G138,IF(D137="deadlift",'Max Calculator'!$E$10*G138,0))),5))</f>
        <v> </v>
      </c>
      <c r="J138" s="14" t="str">
        <f>IF(MROUND(IF(D137="squat",'Max Calculator'!$E$8*H138,IF(D137="bench",'Max Calculator'!$E$9*H138,IF(D137="deadlift",'Max Calculator'!$E$10*H138,0))),5)=0," ",MROUND(IF(D137="squat",'Max Calculator'!$E$8*H138,IF(D137="bench",'Max Calculator'!$E$9*H138,IF(D137="deadlift",'Max Calculator'!$E$10*H138,0))),5))</f>
        <v> </v>
      </c>
    </row>
    <row r="139" ht="15.75" hidden="1" customHeight="1">
      <c r="A139" s="5"/>
      <c r="B139" s="29">
        <f>'Max Calculator'!$E$12-133</f>
        <v>42945</v>
      </c>
      <c r="C139" s="5" t="s">
        <v>48</v>
      </c>
      <c r="D139" s="14" t="str">
        <f>HLOOKUP($I$103,INDIRECT($D$9),VLOOKUP(C139,'Phase Creator'!$B$8:$C$19,2,FALSE),FALSE)</f>
        <v/>
      </c>
      <c r="E139" s="15"/>
      <c r="F139" s="15"/>
      <c r="G139" s="30"/>
      <c r="H139" s="30"/>
      <c r="I139" s="14" t="str">
        <f>IF(MROUND(IF(D137="squat",'Max Calculator'!$E$8*G139,IF(D137="bench",'Max Calculator'!$E$9*G139,IF(D137="deadlift",'Max Calculator'!$E$10*G139,0))),5)=0," ",MROUND(IF(D137="squat",'Max Calculator'!$E$8*G139,IF(D137="bench",'Max Calculator'!$E$9*G139,IF(D137="deadlift",'Max Calculator'!$E$10*G139,0))),5))</f>
        <v> </v>
      </c>
      <c r="J139" s="14" t="str">
        <f>IF(MROUND(IF(D137="squat",'Max Calculator'!$E$8*H139,IF(D137="bench",'Max Calculator'!$E$9*H139,IF(D137="deadlift",'Max Calculator'!$E$10*H139,0))),5)=0," ",MROUND(IF(D137="squat",'Max Calculator'!$E$8*H139,IF(D137="bench",'Max Calculator'!$E$9*H139,IF(D137="deadlift",'Max Calculator'!$E$10*H139,0))),5))</f>
        <v> </v>
      </c>
    </row>
    <row r="140" ht="15.75" hidden="1" customHeight="1">
      <c r="A140" s="5"/>
      <c r="B140" s="29">
        <f>'Max Calculator'!$E$12-126</f>
        <v>42952</v>
      </c>
      <c r="C140" s="5" t="s">
        <v>48</v>
      </c>
      <c r="D140" s="14" t="str">
        <f>HLOOKUP($I$103,INDIRECT($D$9),VLOOKUP(C140,'Phase Creator'!$B$8:$C$19,2,FALSE),FALSE)</f>
        <v/>
      </c>
      <c r="E140" s="15"/>
      <c r="F140" s="15"/>
      <c r="G140" s="30"/>
      <c r="H140" s="30"/>
      <c r="I140" s="14" t="str">
        <f>IF(MROUND(IF(D137="squat",'Max Calculator'!$E$8*G140,IF(D137="bench",'Max Calculator'!$E$9*G140,IF(D137="deadlift",'Max Calculator'!$E$10*G140,0))),5)=0," ",MROUND(IF(D137="squat",'Max Calculator'!$E$8*G140,IF(D137="bench",'Max Calculator'!$E$9*G140,IF(D137="deadlift",'Max Calculator'!$E$10*G140,0))),5))</f>
        <v> </v>
      </c>
      <c r="J140" s="14" t="str">
        <f>IF(MROUND(IF(D137="squat",'Max Calculator'!$E$8*H140,IF(D137="bench",'Max Calculator'!$E$9*H140,IF(D137="deadlift",'Max Calculator'!$E$10*H140,0))),5)=0," ",MROUND(IF(D137="squat",'Max Calculator'!$E$8*H140,IF(D137="bench",'Max Calculator'!$E$9*H140,IF(D137="deadlift",'Max Calculator'!$E$10*H140,0))),5))</f>
        <v> </v>
      </c>
    </row>
    <row r="141" ht="15.75" hidden="1" customHeight="1">
      <c r="A141" s="5"/>
      <c r="B141" s="29">
        <f>'Max Calculator'!$E$12-119</f>
        <v>42959</v>
      </c>
      <c r="C141" s="5" t="s">
        <v>48</v>
      </c>
      <c r="D141" s="14" t="str">
        <f>HLOOKUP($I$103,INDIRECT($D$9),VLOOKUP(C141,'Phase Creator'!$B$8:$C$19,2,FALSE),FALSE)</f>
        <v/>
      </c>
      <c r="E141" s="15"/>
      <c r="F141" s="15"/>
      <c r="G141" s="30"/>
      <c r="H141" s="30"/>
      <c r="I141" s="14" t="str">
        <f>IF(MROUND(IF(D137="squat",'Max Calculator'!$E$8*G141,IF(D137="bench",'Max Calculator'!$E$9*G141,IF(D137="deadlift",'Max Calculator'!$E$10*G141,0))),5)=0," ",MROUND(IF(D137="squat",'Max Calculator'!$E$8*G141,IF(D137="bench",'Max Calculator'!$E$9*G141,IF(D137="deadlift",'Max Calculator'!$E$10*G141,0))),5))</f>
        <v> </v>
      </c>
      <c r="J141" s="14" t="str">
        <f>IF(MROUND(IF(D137="squat",'Max Calculator'!$E$8*H141,IF(D137="bench",'Max Calculator'!$E$9*H141,IF(D137="deadlift",'Max Calculator'!$E$10*H141,0))),5)=0," ",MROUND(IF(D137="squat",'Max Calculator'!$E$8*H141,IF(D137="bench",'Max Calculator'!$E$9*H141,IF(D137="deadlift",'Max Calculator'!$E$10*H141,0))),5))</f>
        <v> </v>
      </c>
    </row>
    <row r="142" ht="15.75" customHeight="1"/>
    <row r="143" ht="15.75" hidden="1" customHeight="1"/>
    <row r="144" ht="15.75" hidden="1" customHeight="1"/>
    <row r="145" ht="15.75" hidden="1" customHeight="1"/>
    <row r="146" ht="15.75" hidden="1" customHeight="1"/>
    <row r="147" ht="15.75" hidden="1" customHeight="1"/>
    <row r="148" ht="15.75" hidden="1" customHeight="1"/>
    <row r="149" ht="15.75" hidden="1" customHeight="1"/>
    <row r="150" ht="15.75" hidden="1" customHeight="1">
      <c r="D150" s="33" t="s">
        <v>188</v>
      </c>
      <c r="E150" s="23"/>
      <c r="F150" s="23"/>
      <c r="G150" s="23"/>
      <c r="H150" s="24" t="s">
        <v>1</v>
      </c>
      <c r="I150" s="25">
        <v>4.0</v>
      </c>
    </row>
    <row r="151" ht="15.75" hidden="1" customHeight="1">
      <c r="D151" s="23"/>
      <c r="E151" s="23"/>
      <c r="F151" s="23"/>
      <c r="G151" s="23"/>
      <c r="H151" s="26"/>
      <c r="I151" s="26"/>
    </row>
    <row r="152" ht="15.75" hidden="1" customHeight="1">
      <c r="K152" s="5"/>
    </row>
    <row r="153" ht="15.75" hidden="1" customHeight="1">
      <c r="D153" s="5"/>
    </row>
    <row r="154" ht="15.75" hidden="1" customHeight="1">
      <c r="A154" s="4"/>
      <c r="B154" s="4" t="s">
        <v>178</v>
      </c>
      <c r="C154" s="4" t="s">
        <v>5</v>
      </c>
      <c r="D154" s="32" t="s">
        <v>153</v>
      </c>
      <c r="E154" s="4" t="s">
        <v>179</v>
      </c>
      <c r="F154" s="4" t="s">
        <v>151</v>
      </c>
      <c r="G154" s="28" t="s">
        <v>180</v>
      </c>
      <c r="I154" s="28" t="s">
        <v>181</v>
      </c>
    </row>
    <row r="155" ht="15.75" hidden="1" customHeight="1">
      <c r="A155" s="5"/>
      <c r="B155" s="29">
        <f>'Max Calculator'!$E$12-140</f>
        <v>42938</v>
      </c>
      <c r="C155" s="5" t="s">
        <v>4</v>
      </c>
      <c r="D155" s="14" t="str">
        <f>HLOOKUP($I$150,INDIRECT($D$9),VLOOKUP(C155,'Phase Creator'!$B$8:$C$19,2,FALSE),FALSE)</f>
        <v/>
      </c>
      <c r="E155" s="15">
        <v>4.0</v>
      </c>
      <c r="F155" s="15">
        <v>5.0</v>
      </c>
      <c r="G155" s="30">
        <v>0.65</v>
      </c>
      <c r="H155" s="30">
        <v>0.675</v>
      </c>
      <c r="I155" s="14">
        <f>IF(MROUND(IF(D154="squat",'Max Calculator'!$E$8*G155,IF(D154="bench",'Max Calculator'!$E$9*G155,IF(D154="deadlift",'Max Calculator'!$E$10*G155,0))),5)=0," ",MROUND(IF(D154="squat",'Max Calculator'!$E$8*G155,IF(D154="bench",'Max Calculator'!$E$9*G155,IF(D154="deadlift",'Max Calculator'!$E$10*G155,0))),5))</f>
        <v>145</v>
      </c>
      <c r="J155" s="14">
        <f>IF(MROUND(IF(D154="squat",'Max Calculator'!$E$8*H155,IF(D154="bench",'Max Calculator'!$E$9*H155,IF(D154="deadlift",'Max Calculator'!$E$10*H155,0))),5)=0," ",MROUND(IF(D154="squat",'Max Calculator'!$E$8*H155,IF(D154="bench",'Max Calculator'!$E$9*H155,IF(D154="deadlift",'Max Calculator'!$E$10*H155,0))),5))</f>
        <v>150</v>
      </c>
    </row>
    <row r="156" ht="15.75" hidden="1" customHeight="1">
      <c r="A156" s="5"/>
      <c r="B156" s="29">
        <f>'Max Calculator'!$E$12-133</f>
        <v>42945</v>
      </c>
      <c r="C156" s="5" t="s">
        <v>11</v>
      </c>
      <c r="D156" s="14" t="str">
        <f>HLOOKUP($I$150,INDIRECT($D$9),VLOOKUP(C156,'Phase Creator'!$B$8:$C$19,2,FALSE),FALSE)</f>
        <v/>
      </c>
      <c r="E156" s="15">
        <v>3.0</v>
      </c>
      <c r="F156" s="15">
        <v>5.0</v>
      </c>
      <c r="G156" s="30">
        <v>0.675</v>
      </c>
      <c r="H156" s="30">
        <v>0.725</v>
      </c>
      <c r="I156" s="14">
        <f>IF(MROUND(IF(D154="squat",'Max Calculator'!$E$8*G156,IF(D154="bench",'Max Calculator'!$E$9*G156,IF(D154="deadlift",'Max Calculator'!$E$10*G156,0))),5)=0," ",MROUND(IF(D154="squat",'Max Calculator'!$E$8*G156,IF(D154="bench",'Max Calculator'!$E$9*G156,IF(D154="deadlift",'Max Calculator'!$E$10*G156,0))),5))</f>
        <v>150</v>
      </c>
      <c r="J156" s="14">
        <f>IF(MROUND(IF(D154="squat",'Max Calculator'!$E$8*H156,IF(D154="bench",'Max Calculator'!$E$9*H156,IF(D154="deadlift",'Max Calculator'!$E$10*H156,0))),5)=0," ",MROUND(IF(D154="squat",'Max Calculator'!$E$8*H156,IF(D154="bench",'Max Calculator'!$E$9*H156,IF(D154="deadlift",'Max Calculator'!$E$10*H156,0))),5))</f>
        <v>165</v>
      </c>
    </row>
    <row r="157" ht="15.75" hidden="1" customHeight="1">
      <c r="A157" s="5"/>
      <c r="B157" s="29">
        <f>'Max Calculator'!$E$12-126</f>
        <v>42952</v>
      </c>
      <c r="C157" s="5" t="s">
        <v>13</v>
      </c>
      <c r="D157" s="14" t="str">
        <f>HLOOKUP($I$150,INDIRECT($D$9),VLOOKUP(C157,'Phase Creator'!$B$8:$C$19,2,FALSE),FALSE)</f>
        <v/>
      </c>
      <c r="E157" s="15">
        <v>5.0</v>
      </c>
      <c r="F157" s="15">
        <v>5.0</v>
      </c>
      <c r="G157" s="30">
        <v>0.7</v>
      </c>
      <c r="H157" s="30">
        <v>0.75</v>
      </c>
      <c r="I157" s="14">
        <f>IF(MROUND(IF(D154="squat",'Max Calculator'!$E$8*G157,IF(D154="bench",'Max Calculator'!$E$9*G157,IF(D154="deadlift",'Max Calculator'!$E$10*G157,0))),5)=0," ",MROUND(IF(D154="squat",'Max Calculator'!$E$8*G157,IF(D154="bench",'Max Calculator'!$E$9*G157,IF(D154="deadlift",'Max Calculator'!$E$10*G157,0))),5))</f>
        <v>160</v>
      </c>
      <c r="J157" s="14">
        <f>IF(MROUND(IF(D154="squat",'Max Calculator'!$E$8*H157,IF(D154="bench",'Max Calculator'!$E$9*H157,IF(D154="deadlift",'Max Calculator'!$E$10*H157,0))),5)=0," ",MROUND(IF(D154="squat",'Max Calculator'!$E$8*H157,IF(D154="bench",'Max Calculator'!$E$9*H157,IF(D154="deadlift",'Max Calculator'!$E$10*H157,0))),5))</f>
        <v>170</v>
      </c>
    </row>
    <row r="158" ht="15.75" hidden="1" customHeight="1">
      <c r="A158" s="5"/>
      <c r="B158" s="29">
        <f>'Max Calculator'!$E$12-119</f>
        <v>42959</v>
      </c>
      <c r="C158" s="5" t="s">
        <v>18</v>
      </c>
      <c r="D158" s="14" t="str">
        <f>HLOOKUP($I$150,INDIRECT($D$9),VLOOKUP(C158,'Phase Creator'!$B$8:$C$19,2,FALSE),FALSE)</f>
        <v/>
      </c>
      <c r="E158" s="15">
        <v>2.0</v>
      </c>
      <c r="F158" s="15">
        <v>8.0</v>
      </c>
      <c r="G158" s="30">
        <v>0.6</v>
      </c>
      <c r="H158" s="30">
        <v>0.65</v>
      </c>
      <c r="I158" s="14">
        <f>IF(MROUND(IF(D154="squat",'Max Calculator'!$E$8*G158,IF(D154="bench",'Max Calculator'!$E$9*G158,IF(D154="deadlift",'Max Calculator'!$E$10*G158,0))),5)=0," ",MROUND(IF(D154="squat",'Max Calculator'!$E$8*G158,IF(D154="bench",'Max Calculator'!$E$9*G158,IF(D154="deadlift",'Max Calculator'!$E$10*G158,0))),5))</f>
        <v>135</v>
      </c>
      <c r="J158" s="14">
        <f>IF(MROUND(IF(D154="squat",'Max Calculator'!$E$8*H158,IF(D154="bench",'Max Calculator'!$E$9*H158,IF(D154="deadlift",'Max Calculator'!$E$10*H158,0))),5)=0," ",MROUND(IF(D154="squat",'Max Calculator'!$E$8*H158,IF(D154="bench",'Max Calculator'!$E$9*H158,IF(D154="deadlift",'Max Calculator'!$E$10*H158,0))),5))</f>
        <v>145</v>
      </c>
    </row>
    <row r="159" ht="15.75" hidden="1" customHeight="1">
      <c r="D159" s="5"/>
    </row>
    <row r="160" ht="15.75" hidden="1" customHeight="1">
      <c r="A160" s="4"/>
      <c r="B160" s="4" t="s">
        <v>178</v>
      </c>
      <c r="C160" s="4" t="s">
        <v>21</v>
      </c>
      <c r="D160" s="32" t="s">
        <v>153</v>
      </c>
      <c r="E160" s="4" t="s">
        <v>179</v>
      </c>
      <c r="F160" s="4" t="s">
        <v>151</v>
      </c>
      <c r="G160" s="4" t="s">
        <v>180</v>
      </c>
      <c r="I160" s="28" t="s">
        <v>181</v>
      </c>
    </row>
    <row r="161" ht="15.75" hidden="1" customHeight="1">
      <c r="A161" s="5"/>
      <c r="B161" s="29">
        <f>'Max Calculator'!$E$12-140</f>
        <v>42938</v>
      </c>
      <c r="C161" s="5" t="s">
        <v>20</v>
      </c>
      <c r="D161" s="14" t="str">
        <f>HLOOKUP($I$150,INDIRECT($D$9),VLOOKUP(C161,'Phase Creator'!$B$8:$C$19,2,FALSE),FALSE)</f>
        <v/>
      </c>
      <c r="E161" s="15">
        <v>3.0</v>
      </c>
      <c r="F161" s="15">
        <v>8.0</v>
      </c>
      <c r="G161" s="30"/>
      <c r="H161" s="30">
        <v>0.4</v>
      </c>
      <c r="I161" s="14" t="str">
        <f>IF(MROUND(IF(D160="squat",'Max Calculator'!$E$8*G161,IF(D160="bench",'Max Calculator'!$E$9*G161,IF(D160="deadlift",'Max Calculator'!$E$10*G161,0))),5)=0," ",MROUND(IF(D160="squat",'Max Calculator'!$E$8*G161,IF(D160="bench",'Max Calculator'!$E$9*G161,IF(D160="deadlift",'Max Calculator'!$E$10*G161,0))),5))</f>
        <v> </v>
      </c>
      <c r="J161" s="14">
        <f>IF(MROUND(IF(D160="squat",'Max Calculator'!$E$8*H161,IF(D160="bench",'Max Calculator'!$E$9*H161,IF(D160="deadlift",'Max Calculator'!$E$10*H161,0))),5)=0," ",MROUND(IF(D160="squat",'Max Calculator'!$E$8*H161,IF(D160="bench",'Max Calculator'!$E$9*H161,IF(D160="deadlift",'Max Calculator'!$E$10*H161,0))),5))</f>
        <v>90</v>
      </c>
    </row>
    <row r="162" ht="15.75" hidden="1" customHeight="1">
      <c r="A162" s="5"/>
      <c r="B162" s="29">
        <f>'Max Calculator'!$E$12-133</f>
        <v>42945</v>
      </c>
      <c r="C162" s="5" t="s">
        <v>27</v>
      </c>
      <c r="D162" s="14" t="str">
        <f>HLOOKUP($I$150,INDIRECT($D$9),VLOOKUP(C162,'Phase Creator'!$B$8:$C$19,2,FALSE),FALSE)</f>
        <v/>
      </c>
      <c r="E162" s="15">
        <v>2.0</v>
      </c>
      <c r="F162" s="15">
        <v>10.0</v>
      </c>
      <c r="G162" s="30"/>
      <c r="H162" s="30">
        <v>0.4</v>
      </c>
      <c r="I162" s="14" t="str">
        <f>IF(MROUND(IF(D160="squat",'Max Calculator'!$E$8*G162,IF(D160="bench",'Max Calculator'!$E$9*G162,IF(D160="deadlift",'Max Calculator'!$E$10*G162,0))),5)=0," ",MROUND(IF(D160="squat",'Max Calculator'!$E$8*G162,IF(D160="bench",'Max Calculator'!$E$9*G162,IF(D160="deadlift",'Max Calculator'!$E$10*G162,0))),5))</f>
        <v> </v>
      </c>
      <c r="J162" s="14">
        <f>IF(MROUND(IF(D160="squat",'Max Calculator'!$E$8*H162,IF(D160="bench",'Max Calculator'!$E$9*H162,IF(D160="deadlift",'Max Calculator'!$E$10*H162,0))),5)=0," ",MROUND(IF(D160="squat",'Max Calculator'!$E$8*H162,IF(D160="bench",'Max Calculator'!$E$9*H162,IF(D160="deadlift",'Max Calculator'!$E$10*H162,0))),5))</f>
        <v>90</v>
      </c>
    </row>
    <row r="163" ht="15.75" hidden="1" customHeight="1">
      <c r="A163" s="5"/>
      <c r="B163" s="29">
        <f>'Max Calculator'!$E$12-126</f>
        <v>42952</v>
      </c>
      <c r="C163" s="5" t="s">
        <v>28</v>
      </c>
      <c r="D163" s="14" t="str">
        <f>HLOOKUP($I$150,INDIRECT($D$9),VLOOKUP(C163,'Phase Creator'!$B$8:$C$19,2,FALSE),FALSE)</f>
        <v/>
      </c>
      <c r="E163" s="15">
        <v>4.0</v>
      </c>
      <c r="F163" s="15">
        <v>8.0</v>
      </c>
      <c r="G163" s="30"/>
      <c r="H163" s="30">
        <v>0.45</v>
      </c>
      <c r="I163" s="14" t="str">
        <f>IF(MROUND(IF(D160="squat",'Max Calculator'!$E$8*G163,IF(D160="bench",'Max Calculator'!$E$9*G163,IF(D160="deadlift",'Max Calculator'!$E$10*G163,0))),5)=0," ",MROUND(IF(D160="squat",'Max Calculator'!$E$8*G163,IF(D160="bench",'Max Calculator'!$E$9*G163,IF(D160="deadlift",'Max Calculator'!$E$10*G163,0))),5))</f>
        <v> </v>
      </c>
      <c r="J163" s="14">
        <f>IF(MROUND(IF(D160="squat",'Max Calculator'!$E$8*H163,IF(D160="bench",'Max Calculator'!$E$9*H163,IF(D160="deadlift",'Max Calculator'!$E$10*H163,0))),5)=0," ",MROUND(IF(D160="squat",'Max Calculator'!$E$8*H163,IF(D160="bench",'Max Calculator'!$E$9*H163,IF(D160="deadlift",'Max Calculator'!$E$10*H163,0))),5))</f>
        <v>100</v>
      </c>
    </row>
    <row r="164" ht="15.75" hidden="1" customHeight="1">
      <c r="A164" s="5"/>
      <c r="B164" s="29">
        <f>'Max Calculator'!$E$12-119</f>
        <v>42959</v>
      </c>
      <c r="C164" s="5" t="s">
        <v>32</v>
      </c>
      <c r="D164" s="14" t="str">
        <f>HLOOKUP($I$150,INDIRECT($D$9),VLOOKUP(C164,'Phase Creator'!$B$8:$C$19,2,FALSE),FALSE)</f>
        <v/>
      </c>
      <c r="E164" s="15">
        <v>1.0</v>
      </c>
      <c r="F164" s="15">
        <v>10.0</v>
      </c>
      <c r="G164" s="30"/>
      <c r="H164" s="30">
        <v>0.4</v>
      </c>
      <c r="I164" s="14" t="str">
        <f>IF(MROUND(IF(D160="squat",'Max Calculator'!$E$8*G164,IF(D160="bench",'Max Calculator'!$E$9*G164,IF(D160="deadlift",'Max Calculator'!$E$10*G164,0))),5)=0," ",MROUND(IF(D160="squat",'Max Calculator'!$E$8*G164,IF(D160="bench",'Max Calculator'!$E$9*G164,IF(D160="deadlift",'Max Calculator'!$E$10*G164,0))),5))</f>
        <v> </v>
      </c>
      <c r="J164" s="14">
        <f>IF(MROUND(IF(D160="squat",'Max Calculator'!$E$8*H164,IF(D160="bench",'Max Calculator'!$E$9*H164,IF(D160="deadlift",'Max Calculator'!$E$10*H164,0))),5)=0," ",MROUND(IF(D160="squat",'Max Calculator'!$E$8*H164,IF(D160="bench",'Max Calculator'!$E$9*H164,IF(D160="deadlift",'Max Calculator'!$E$10*H164,0))),5))</f>
        <v>90</v>
      </c>
    </row>
    <row r="165" ht="15.75" hidden="1" customHeight="1"/>
    <row r="166" ht="15.75" hidden="1" customHeight="1">
      <c r="A166" s="4"/>
      <c r="B166" s="4" t="s">
        <v>178</v>
      </c>
      <c r="C166" s="4" t="s">
        <v>33</v>
      </c>
      <c r="D166" s="32" t="s">
        <v>153</v>
      </c>
      <c r="E166" s="4" t="s">
        <v>179</v>
      </c>
      <c r="F166" s="4" t="s">
        <v>151</v>
      </c>
      <c r="G166" s="4" t="s">
        <v>180</v>
      </c>
      <c r="I166" s="28" t="s">
        <v>181</v>
      </c>
    </row>
    <row r="167" ht="15.75" hidden="1" customHeight="1">
      <c r="A167" s="5"/>
      <c r="B167" s="29">
        <f>'Max Calculator'!$E$12-140</f>
        <v>42938</v>
      </c>
      <c r="C167" s="5" t="s">
        <v>33</v>
      </c>
      <c r="D167" s="14" t="str">
        <f>HLOOKUP($I$150,INDIRECT($D$9),VLOOKUP(C167,'Phase Creator'!$B$8:$C$19,2,FALSE),FALSE)</f>
        <v/>
      </c>
      <c r="E167" s="15">
        <v>4.0</v>
      </c>
      <c r="F167" s="15">
        <v>8.0</v>
      </c>
      <c r="G167" s="30"/>
      <c r="H167" s="30">
        <v>0.55</v>
      </c>
      <c r="I167" s="14" t="str">
        <f>IF(MROUND(IF(D166="squat",'Max Calculator'!$E$8*G167,IF(D166="bench",'Max Calculator'!$E$9*G167,IF(D166="deadlift",'Max Calculator'!$E$10*G167,0))),5)=0," ",MROUND(IF(D166="squat",'Max Calculator'!$E$8*G167,IF(D166="bench",'Max Calculator'!$E$9*G167,IF(D166="deadlift",'Max Calculator'!$E$10*G167,0))),5))</f>
        <v> </v>
      </c>
      <c r="J167" s="14">
        <f>IF(MROUND(IF(D166="squat",'Max Calculator'!$E$8*H167,IF(D166="bench",'Max Calculator'!$E$9*H167,IF(D166="deadlift",'Max Calculator'!$E$10*H167,0))),5)=0," ",MROUND(IF(D166="squat",'Max Calculator'!$E$8*H167,IF(D166="bench",'Max Calculator'!$E$9*H167,IF(D166="deadlift",'Max Calculator'!$E$10*H167,0))),5))</f>
        <v>125</v>
      </c>
    </row>
    <row r="168" ht="15.75" hidden="1" customHeight="1">
      <c r="A168" s="5"/>
      <c r="B168" s="29">
        <f>'Max Calculator'!$E$12-133</f>
        <v>42945</v>
      </c>
      <c r="C168" s="5" t="s">
        <v>33</v>
      </c>
      <c r="D168" s="14" t="str">
        <f>HLOOKUP($I$150,INDIRECT($D$9),VLOOKUP(C168,'Phase Creator'!$B$8:$C$19,2,FALSE),FALSE)</f>
        <v/>
      </c>
      <c r="E168" s="15">
        <v>3.0</v>
      </c>
      <c r="F168" s="15">
        <v>12.0</v>
      </c>
      <c r="G168" s="30"/>
      <c r="H168" s="30">
        <v>0.45</v>
      </c>
      <c r="I168" s="14" t="str">
        <f>IF(MROUND(IF(D166="squat",'Max Calculator'!$E$8*G168,IF(D166="bench",'Max Calculator'!$E$9*G168,IF(D166="deadlift",'Max Calculator'!$E$10*G168,0))),5)=0," ",MROUND(IF(D166="squat",'Max Calculator'!$E$8*G168,IF(D166="bench",'Max Calculator'!$E$9*G168,IF(D166="deadlift",'Max Calculator'!$E$10*G168,0))),5))</f>
        <v> </v>
      </c>
      <c r="J168" s="14">
        <f>IF(MROUND(IF(D166="squat",'Max Calculator'!$E$8*H168,IF(D166="bench",'Max Calculator'!$E$9*H168,IF(D166="deadlift",'Max Calculator'!$E$10*H168,0))),5)=0," ",MROUND(IF(D166="squat",'Max Calculator'!$E$8*H168,IF(D166="bench",'Max Calculator'!$E$9*H168,IF(D166="deadlift",'Max Calculator'!$E$10*H168,0))),5))</f>
        <v>100</v>
      </c>
    </row>
    <row r="169" ht="15.75" hidden="1" customHeight="1">
      <c r="A169" s="5"/>
      <c r="B169" s="29">
        <f>'Max Calculator'!$E$12-126</f>
        <v>42952</v>
      </c>
      <c r="C169" s="5" t="s">
        <v>33</v>
      </c>
      <c r="D169" s="14" t="str">
        <f>HLOOKUP($I$150,INDIRECT($D$9),VLOOKUP(C169,'Phase Creator'!$B$8:$C$19,2,FALSE),FALSE)</f>
        <v/>
      </c>
      <c r="E169" s="15">
        <v>5.0</v>
      </c>
      <c r="F169" s="15">
        <v>10.0</v>
      </c>
      <c r="G169" s="30"/>
      <c r="H169" s="30">
        <v>0.5</v>
      </c>
      <c r="I169" s="14" t="str">
        <f>IF(MROUND(IF(D166="squat",'Max Calculator'!$E$8*G169,IF(D166="bench",'Max Calculator'!$E$9*G169,IF(D166="deadlift",'Max Calculator'!$E$10*G169,0))),5)=0," ",MROUND(IF(D166="squat",'Max Calculator'!$E$8*G169,IF(D166="bench",'Max Calculator'!$E$9*G169,IF(D166="deadlift",'Max Calculator'!$E$10*G169,0))),5))</f>
        <v> </v>
      </c>
      <c r="J169" s="14">
        <f>IF(MROUND(IF(D166="squat",'Max Calculator'!$E$8*H169,IF(D166="bench",'Max Calculator'!$E$9*H169,IF(D166="deadlift",'Max Calculator'!$E$10*H169,0))),5)=0," ",MROUND(IF(D166="squat",'Max Calculator'!$E$8*H169,IF(D166="bench",'Max Calculator'!$E$9*H169,IF(D166="deadlift",'Max Calculator'!$E$10*H169,0))),5))</f>
        <v>115</v>
      </c>
    </row>
    <row r="170" ht="15.75" hidden="1" customHeight="1">
      <c r="A170" s="5"/>
      <c r="B170" s="29">
        <f>'Max Calculator'!$E$12-119</f>
        <v>42959</v>
      </c>
      <c r="C170" s="5" t="s">
        <v>33</v>
      </c>
      <c r="D170" s="14" t="str">
        <f>HLOOKUP($I$150,INDIRECT($D$9),VLOOKUP(C170,'Phase Creator'!$B$8:$C$19,2,FALSE),FALSE)</f>
        <v/>
      </c>
      <c r="E170" s="15">
        <v>2.0</v>
      </c>
      <c r="F170" s="15">
        <v>12.0</v>
      </c>
      <c r="G170" s="30"/>
      <c r="H170" s="30">
        <v>0.45</v>
      </c>
      <c r="I170" s="14" t="str">
        <f>IF(MROUND(IF(D166="squat",'Max Calculator'!$E$8*G170,IF(D166="bench",'Max Calculator'!$E$9*G170,IF(D166="deadlift",'Max Calculator'!$E$10*G170,0))),5)=0," ",MROUND(IF(D166="squat",'Max Calculator'!$E$8*G170,IF(D166="bench",'Max Calculator'!$E$9*G170,IF(D166="deadlift",'Max Calculator'!$E$10*G170,0))),5))</f>
        <v> </v>
      </c>
      <c r="J170" s="14">
        <f>IF(MROUND(IF(D166="squat",'Max Calculator'!$E$8*H170,IF(D166="bench",'Max Calculator'!$E$9*H170,IF(D166="deadlift",'Max Calculator'!$E$10*H170,0))),5)=0," ",MROUND(IF(D166="squat",'Max Calculator'!$E$8*H170,IF(D166="bench",'Max Calculator'!$E$9*H170,IF(D166="deadlift",'Max Calculator'!$E$10*H170,0))),5))</f>
        <v>100</v>
      </c>
    </row>
    <row r="171" ht="15.75" hidden="1" customHeight="1"/>
    <row r="172" ht="15.75" hidden="1" customHeight="1">
      <c r="A172" s="4"/>
      <c r="B172" s="4" t="s">
        <v>178</v>
      </c>
      <c r="C172" s="4" t="s">
        <v>38</v>
      </c>
      <c r="D172" s="32" t="s">
        <v>185</v>
      </c>
      <c r="E172" s="4" t="s">
        <v>179</v>
      </c>
      <c r="F172" s="4" t="s">
        <v>151</v>
      </c>
      <c r="G172" s="4" t="s">
        <v>180</v>
      </c>
      <c r="I172" s="28" t="s">
        <v>181</v>
      </c>
    </row>
    <row r="173" ht="15.75" hidden="1" customHeight="1">
      <c r="A173" s="5"/>
      <c r="B173" s="29">
        <f>'Max Calculator'!$E$12-140</f>
        <v>42938</v>
      </c>
      <c r="C173" s="5" t="s">
        <v>38</v>
      </c>
      <c r="D173" s="14" t="str">
        <f>HLOOKUP($I$150,INDIRECT($D$9),VLOOKUP(C173,'Phase Creator'!$B$8:$C$19,2,FALSE),FALSE)</f>
        <v/>
      </c>
      <c r="E173" s="15">
        <v>2.0</v>
      </c>
      <c r="F173" s="15">
        <v>8.0</v>
      </c>
      <c r="G173" s="30"/>
      <c r="H173" s="30"/>
      <c r="I173" s="14" t="str">
        <f>IF(MROUND(IF(D172="squat",'Max Calculator'!$E$8*G173,IF(D172="bench",'Max Calculator'!$E$9*G173,IF(D172="deadlift",'Max Calculator'!$E$10*G173,0))),5)=0," ",MROUND(IF(D172="squat",'Max Calculator'!$E$8*G173,IF(D172="bench",'Max Calculator'!$E$9*G173,IF(D172="deadlift",'Max Calculator'!$E$10*G173,0))),5))</f>
        <v> </v>
      </c>
      <c r="J173" s="14" t="str">
        <f>IF(MROUND(IF(D172="squat",'Max Calculator'!$E$8*H173,IF(D172="bench",'Max Calculator'!$E$9*H173,IF(D172="deadlift",'Max Calculator'!$E$10*H173,0))),5)=0," ",MROUND(IF(D172="squat",'Max Calculator'!$E$8*H173,IF(D172="bench",'Max Calculator'!$E$9*H173,IF(D172="deadlift",'Max Calculator'!$E$10*H173,0))),5))</f>
        <v> </v>
      </c>
    </row>
    <row r="174" ht="15.75" hidden="1" customHeight="1">
      <c r="A174" s="5"/>
      <c r="B174" s="29">
        <f>'Max Calculator'!$E$12-133</f>
        <v>42945</v>
      </c>
      <c r="C174" s="5" t="s">
        <v>38</v>
      </c>
      <c r="D174" s="14" t="str">
        <f>HLOOKUP($I$150,INDIRECT($D$9),VLOOKUP(C174,'Phase Creator'!$B$8:$C$19,2,FALSE),FALSE)</f>
        <v/>
      </c>
      <c r="E174" s="15">
        <v>3.0</v>
      </c>
      <c r="F174" s="15">
        <v>12.0</v>
      </c>
      <c r="G174" s="30"/>
      <c r="H174" s="30"/>
      <c r="I174" s="14" t="str">
        <f>IF(MROUND(IF(D172="squat",'Max Calculator'!$E$8*G174,IF(D172="bench",'Max Calculator'!$E$9*G174,IF(D172="deadlift",'Max Calculator'!$E$10*G174,0))),5)=0," ",MROUND(IF(D172="squat",'Max Calculator'!$E$8*G174,IF(D172="bench",'Max Calculator'!$E$9*G174,IF(D172="deadlift",'Max Calculator'!$E$10*G174,0))),5))</f>
        <v> </v>
      </c>
      <c r="J174" s="14" t="str">
        <f>IF(MROUND(IF(D172="squat",'Max Calculator'!$E$8*H174,IF(D172="bench",'Max Calculator'!$E$9*H174,IF(D172="deadlift",'Max Calculator'!$E$10*H174,0))),5)=0," ",MROUND(IF(D172="squat",'Max Calculator'!$E$8*H174,IF(D172="bench",'Max Calculator'!$E$9*H174,IF(D172="deadlift",'Max Calculator'!$E$10*H174,0))),5))</f>
        <v> </v>
      </c>
    </row>
    <row r="175" ht="15.75" hidden="1" customHeight="1">
      <c r="A175" s="5"/>
      <c r="B175" s="29">
        <f>'Max Calculator'!$E$12-126</f>
        <v>42952</v>
      </c>
      <c r="C175" s="5" t="s">
        <v>38</v>
      </c>
      <c r="D175" s="14" t="str">
        <f>HLOOKUP($I$150,INDIRECT($D$9),VLOOKUP(C175,'Phase Creator'!$B$8:$C$19,2,FALSE),FALSE)</f>
        <v/>
      </c>
      <c r="E175" s="15">
        <v>4.0</v>
      </c>
      <c r="F175" s="15">
        <v>10.0</v>
      </c>
      <c r="G175" s="30"/>
      <c r="H175" s="30"/>
      <c r="I175" s="14" t="str">
        <f>IF(MROUND(IF(D172="squat",'Max Calculator'!$E$8*G175,IF(D172="bench",'Max Calculator'!$E$9*G175,IF(D172="deadlift",'Max Calculator'!$E$10*G175,0))),5)=0," ",MROUND(IF(D172="squat",'Max Calculator'!$E$8*G175,IF(D172="bench",'Max Calculator'!$E$9*G175,IF(D172="deadlift",'Max Calculator'!$E$10*G175,0))),5))</f>
        <v> </v>
      </c>
      <c r="J175" s="14" t="str">
        <f>IF(MROUND(IF(D172="squat",'Max Calculator'!$E$8*H175,IF(D172="bench",'Max Calculator'!$E$9*H175,IF(D172="deadlift",'Max Calculator'!$E$10*H175,0))),5)=0," ",MROUND(IF(D172="squat",'Max Calculator'!$E$8*H175,IF(D172="bench",'Max Calculator'!$E$9*H175,IF(D172="deadlift",'Max Calculator'!$E$10*H175,0))),5))</f>
        <v> </v>
      </c>
    </row>
    <row r="176" ht="15.75" hidden="1" customHeight="1">
      <c r="A176" s="5"/>
      <c r="B176" s="29">
        <f>'Max Calculator'!$E$12-119</f>
        <v>42959</v>
      </c>
      <c r="C176" s="5" t="s">
        <v>38</v>
      </c>
      <c r="D176" s="14" t="str">
        <f>HLOOKUP($I$150,INDIRECT($D$9),VLOOKUP(C176,'Phase Creator'!$B$8:$C$19,2,FALSE),FALSE)</f>
        <v/>
      </c>
      <c r="E176" s="15">
        <v>1.0</v>
      </c>
      <c r="F176" s="15">
        <v>20.0</v>
      </c>
      <c r="G176" s="30"/>
      <c r="H176" s="30"/>
      <c r="I176" s="14" t="str">
        <f>IF(MROUND(IF(D172="squat",'Max Calculator'!$E$8*G176,IF(D172="bench",'Max Calculator'!$E$9*G176,IF(D172="deadlift",'Max Calculator'!$E$10*G176,0))),5)=0," ",MROUND(IF(D172="squat",'Max Calculator'!$E$8*G176,IF(D172="bench",'Max Calculator'!$E$9*G176,IF(D172="deadlift",'Max Calculator'!$E$10*G176,0))),5))</f>
        <v> </v>
      </c>
      <c r="J176" s="14" t="str">
        <f>IF(MROUND(IF(D172="squat",'Max Calculator'!$E$8*H176,IF(D172="bench",'Max Calculator'!$E$9*H176,IF(D172="deadlift",'Max Calculator'!$E$10*H176,0))),5)=0," ",MROUND(IF(D172="squat",'Max Calculator'!$E$8*H176,IF(D172="bench",'Max Calculator'!$E$9*H176,IF(D172="deadlift",'Max Calculator'!$E$10*H176,0))),5))</f>
        <v> </v>
      </c>
    </row>
    <row r="177" ht="15.75" hidden="1" customHeight="1"/>
    <row r="178" ht="15.75" hidden="1" customHeight="1">
      <c r="A178" s="4"/>
      <c r="B178" s="4" t="s">
        <v>178</v>
      </c>
      <c r="C178" s="4" t="s">
        <v>43</v>
      </c>
      <c r="D178" s="32" t="s">
        <v>185</v>
      </c>
      <c r="E178" s="4" t="s">
        <v>179</v>
      </c>
      <c r="F178" s="4" t="s">
        <v>151</v>
      </c>
      <c r="G178" s="4" t="s">
        <v>180</v>
      </c>
      <c r="I178" s="28" t="s">
        <v>181</v>
      </c>
    </row>
    <row r="179" ht="15.75" hidden="1" customHeight="1">
      <c r="A179" s="5"/>
      <c r="B179" s="29">
        <f>'Max Calculator'!$E$12-140</f>
        <v>42938</v>
      </c>
      <c r="C179" s="5" t="s">
        <v>43</v>
      </c>
      <c r="D179" s="14" t="str">
        <f>HLOOKUP($I$150,INDIRECT($D$9),VLOOKUP(C179,'Phase Creator'!$B$8:$C$19,2,FALSE),FALSE)</f>
        <v/>
      </c>
      <c r="E179" s="15">
        <v>2.0</v>
      </c>
      <c r="F179" s="15">
        <v>8.0</v>
      </c>
      <c r="G179" s="30"/>
      <c r="H179" s="30"/>
      <c r="I179" s="14" t="str">
        <f>IF(MROUND(IF(D178="squat",'Max Calculator'!$E$8*G179,IF(D178="bench",'Max Calculator'!$E$9*G179,IF(D178="deadlift",'Max Calculator'!$E$10*G179,0))),5)=0," ",MROUND(IF(D178="squat",'Max Calculator'!$E$8*G179,IF(D178="bench",'Max Calculator'!$E$9*G179,IF(D178="deadlift",'Max Calculator'!$E$10*G179,0))),5))</f>
        <v> </v>
      </c>
      <c r="J179" s="14" t="str">
        <f>IF(MROUND(IF(D178="squat",'Max Calculator'!$E$8*H179,IF(D178="bench",'Max Calculator'!$E$9*H179,IF(D178="deadlift",'Max Calculator'!$E$10*H179,0))),5)=0," ",MROUND(IF(D178="squat",'Max Calculator'!$E$8*H179,IF(D178="bench",'Max Calculator'!$E$9*H179,IF(D178="deadlift",'Max Calculator'!$E$10*H179,0))),5))</f>
        <v> </v>
      </c>
    </row>
    <row r="180" ht="15.75" hidden="1" customHeight="1">
      <c r="A180" s="5"/>
      <c r="B180" s="29">
        <f>'Max Calculator'!$E$12-133</f>
        <v>42945</v>
      </c>
      <c r="C180" s="5" t="s">
        <v>43</v>
      </c>
      <c r="D180" s="14" t="str">
        <f>HLOOKUP($I$150,INDIRECT($D$9),VLOOKUP(C180,'Phase Creator'!$B$8:$C$19,2,FALSE),FALSE)</f>
        <v/>
      </c>
      <c r="E180" s="15">
        <v>3.0</v>
      </c>
      <c r="F180" s="15">
        <v>12.0</v>
      </c>
      <c r="G180" s="30"/>
      <c r="H180" s="30"/>
      <c r="I180" s="14" t="str">
        <f>IF(MROUND(IF(D178="squat",'Max Calculator'!$E$8*G180,IF(D178="bench",'Max Calculator'!$E$9*G180,IF(D178="deadlift",'Max Calculator'!$E$10*G180,0))),5)=0," ",MROUND(IF(D178="squat",'Max Calculator'!$E$8*G180,IF(D178="bench",'Max Calculator'!$E$9*G180,IF(D178="deadlift",'Max Calculator'!$E$10*G180,0))),5))</f>
        <v> </v>
      </c>
      <c r="J180" s="14" t="str">
        <f>IF(MROUND(IF(D178="squat",'Max Calculator'!$E$8*H180,IF(D178="bench",'Max Calculator'!$E$9*H180,IF(D178="deadlift",'Max Calculator'!$E$10*H180,0))),5)=0," ",MROUND(IF(D178="squat",'Max Calculator'!$E$8*H180,IF(D178="bench",'Max Calculator'!$E$9*H180,IF(D178="deadlift",'Max Calculator'!$E$10*H180,0))),5))</f>
        <v> </v>
      </c>
    </row>
    <row r="181" ht="15.75" hidden="1" customHeight="1">
      <c r="A181" s="5"/>
      <c r="B181" s="29">
        <f>'Max Calculator'!$E$12-126</f>
        <v>42952</v>
      </c>
      <c r="C181" s="5" t="s">
        <v>43</v>
      </c>
      <c r="D181" s="14" t="str">
        <f>HLOOKUP($I$150,INDIRECT($D$9),VLOOKUP(C181,'Phase Creator'!$B$8:$C$19,2,FALSE),FALSE)</f>
        <v/>
      </c>
      <c r="E181" s="15">
        <v>4.0</v>
      </c>
      <c r="F181" s="15">
        <v>10.0</v>
      </c>
      <c r="G181" s="30"/>
      <c r="H181" s="30"/>
      <c r="I181" s="14" t="str">
        <f>IF(MROUND(IF(D178="squat",'Max Calculator'!$E$8*G181,IF(D178="bench",'Max Calculator'!$E$9*G181,IF(D178="deadlift",'Max Calculator'!$E$10*G181,0))),5)=0," ",MROUND(IF(D178="squat",'Max Calculator'!$E$8*G181,IF(D178="bench",'Max Calculator'!$E$9*G181,IF(D178="deadlift",'Max Calculator'!$E$10*G181,0))),5))</f>
        <v> </v>
      </c>
      <c r="J181" s="14" t="str">
        <f>IF(MROUND(IF(D178="squat",'Max Calculator'!$E$8*H181,IF(D178="bench",'Max Calculator'!$E$9*H181,IF(D178="deadlift",'Max Calculator'!$E$10*H181,0))),5)=0," ",MROUND(IF(D178="squat",'Max Calculator'!$E$8*H181,IF(D178="bench",'Max Calculator'!$E$9*H181,IF(D178="deadlift",'Max Calculator'!$E$10*H181,0))),5))</f>
        <v> </v>
      </c>
    </row>
    <row r="182" ht="15.75" hidden="1" customHeight="1">
      <c r="A182" s="5"/>
      <c r="B182" s="29">
        <f>'Max Calculator'!$E$12-119</f>
        <v>42959</v>
      </c>
      <c r="C182" s="5" t="s">
        <v>43</v>
      </c>
      <c r="D182" s="14" t="str">
        <f>HLOOKUP($I$150,INDIRECT($D$9),VLOOKUP(C182,'Phase Creator'!$B$8:$C$19,2,FALSE),FALSE)</f>
        <v/>
      </c>
      <c r="E182" s="15">
        <v>1.0</v>
      </c>
      <c r="F182" s="15">
        <v>20.0</v>
      </c>
      <c r="G182" s="30"/>
      <c r="H182" s="30"/>
      <c r="I182" s="14" t="str">
        <f>IF(MROUND(IF(D178="squat",'Max Calculator'!$E$8*G182,IF(D178="bench",'Max Calculator'!$E$9*G182,IF(D178="deadlift",'Max Calculator'!$E$10*G182,0))),5)=0," ",MROUND(IF(D178="squat",'Max Calculator'!$E$8*G182,IF(D178="bench",'Max Calculator'!$E$9*G182,IF(D178="deadlift",'Max Calculator'!$E$10*G182,0))),5))</f>
        <v> </v>
      </c>
      <c r="J182" s="14" t="str">
        <f>IF(MROUND(IF(D178="squat",'Max Calculator'!$E$8*H182,IF(D178="bench",'Max Calculator'!$E$9*H182,IF(D178="deadlift",'Max Calculator'!$E$10*H182,0))),5)=0," ",MROUND(IF(D178="squat",'Max Calculator'!$E$8*H182,IF(D178="bench",'Max Calculator'!$E$9*H182,IF(D178="deadlift",'Max Calculator'!$E$10*H182,0))),5))</f>
        <v> </v>
      </c>
    </row>
    <row r="183" ht="15.75" hidden="1" customHeight="1"/>
    <row r="184" ht="15.75" hidden="1" customHeight="1">
      <c r="A184" s="4"/>
      <c r="B184" s="4" t="s">
        <v>178</v>
      </c>
      <c r="C184" s="4" t="s">
        <v>48</v>
      </c>
      <c r="D184" s="32" t="s">
        <v>185</v>
      </c>
      <c r="E184" s="4" t="s">
        <v>179</v>
      </c>
      <c r="F184" s="4" t="s">
        <v>151</v>
      </c>
      <c r="G184" s="4" t="s">
        <v>180</v>
      </c>
      <c r="I184" s="28" t="s">
        <v>181</v>
      </c>
    </row>
    <row r="185" ht="15.75" hidden="1" customHeight="1">
      <c r="A185" s="5"/>
      <c r="B185" s="29">
        <f>'Max Calculator'!$E$12-140</f>
        <v>42938</v>
      </c>
      <c r="C185" s="5" t="s">
        <v>48</v>
      </c>
      <c r="D185" s="14" t="str">
        <f>HLOOKUP($I$150,INDIRECT($D$9),VLOOKUP(C185,'Phase Creator'!$B$8:$C$19,2,FALSE),FALSE)</f>
        <v/>
      </c>
      <c r="E185" s="15">
        <v>2.0</v>
      </c>
      <c r="F185" s="15">
        <v>8.0</v>
      </c>
      <c r="G185" s="30"/>
      <c r="H185" s="30"/>
      <c r="I185" s="14" t="str">
        <f>IF(MROUND(IF(D184="squat",'Max Calculator'!$E$8*G185,IF(D184="bench",'Max Calculator'!$E$9*G185,IF(D184="deadlift",'Max Calculator'!$E$10*G185,0))),5)=0," ",MROUND(IF(D184="squat",'Max Calculator'!$E$8*G185,IF(D184="bench",'Max Calculator'!$E$9*G185,IF(D184="deadlift",'Max Calculator'!$E$10*G185,0))),5))</f>
        <v> </v>
      </c>
      <c r="J185" s="14" t="str">
        <f>IF(MROUND(IF(D184="squat",'Max Calculator'!$E$8*H185,IF(D184="bench",'Max Calculator'!$E$9*H185,IF(D184="deadlift",'Max Calculator'!$E$10*H185,0))),5)=0," ",MROUND(IF(D184="squat",'Max Calculator'!$E$8*H185,IF(D184="bench",'Max Calculator'!$E$9*H185,IF(D184="deadlift",'Max Calculator'!$E$10*H185,0))),5))</f>
        <v> </v>
      </c>
    </row>
    <row r="186" ht="15.75" hidden="1" customHeight="1">
      <c r="A186" s="5"/>
      <c r="B186" s="29">
        <f>'Max Calculator'!$E$12-133</f>
        <v>42945</v>
      </c>
      <c r="C186" s="5" t="s">
        <v>48</v>
      </c>
      <c r="D186" s="14" t="str">
        <f>HLOOKUP($I$150,INDIRECT($D$9),VLOOKUP(C186,'Phase Creator'!$B$8:$C$19,2,FALSE),FALSE)</f>
        <v/>
      </c>
      <c r="E186" s="15">
        <v>3.0</v>
      </c>
      <c r="F186" s="15">
        <v>12.0</v>
      </c>
      <c r="G186" s="30"/>
      <c r="H186" s="30"/>
      <c r="I186" s="14" t="str">
        <f>IF(MROUND(IF(D184="squat",'Max Calculator'!$E$8*G186,IF(D184="bench",'Max Calculator'!$E$9*G186,IF(D184="deadlift",'Max Calculator'!$E$10*G186,0))),5)=0," ",MROUND(IF(D184="squat",'Max Calculator'!$E$8*G186,IF(D184="bench",'Max Calculator'!$E$9*G186,IF(D184="deadlift",'Max Calculator'!$E$10*G186,0))),5))</f>
        <v> </v>
      </c>
      <c r="J186" s="14" t="str">
        <f>IF(MROUND(IF(D184="squat",'Max Calculator'!$E$8*H186,IF(D184="bench",'Max Calculator'!$E$9*H186,IF(D184="deadlift",'Max Calculator'!$E$10*H186,0))),5)=0," ",MROUND(IF(D184="squat",'Max Calculator'!$E$8*H186,IF(D184="bench",'Max Calculator'!$E$9*H186,IF(D184="deadlift",'Max Calculator'!$E$10*H186,0))),5))</f>
        <v> </v>
      </c>
    </row>
    <row r="187" ht="15.75" hidden="1" customHeight="1">
      <c r="A187" s="5"/>
      <c r="B187" s="29">
        <f>'Max Calculator'!$E$12-126</f>
        <v>42952</v>
      </c>
      <c r="C187" s="5" t="s">
        <v>48</v>
      </c>
      <c r="D187" s="14" t="str">
        <f>HLOOKUP($I$150,INDIRECT($D$9),VLOOKUP(C187,'Phase Creator'!$B$8:$C$19,2,FALSE),FALSE)</f>
        <v/>
      </c>
      <c r="E187" s="15">
        <v>4.0</v>
      </c>
      <c r="F187" s="15">
        <v>10.0</v>
      </c>
      <c r="G187" s="30"/>
      <c r="H187" s="30"/>
      <c r="I187" s="14" t="str">
        <f>IF(MROUND(IF(D184="squat",'Max Calculator'!$E$8*G187,IF(D184="bench",'Max Calculator'!$E$9*G187,IF(D184="deadlift",'Max Calculator'!$E$10*G187,0))),5)=0," ",MROUND(IF(D184="squat",'Max Calculator'!$E$8*G187,IF(D184="bench",'Max Calculator'!$E$9*G187,IF(D184="deadlift",'Max Calculator'!$E$10*G187,0))),5))</f>
        <v> </v>
      </c>
      <c r="J187" s="14" t="str">
        <f>IF(MROUND(IF(D184="squat",'Max Calculator'!$E$8*H187,IF(D184="bench",'Max Calculator'!$E$9*H187,IF(D184="deadlift",'Max Calculator'!$E$10*H187,0))),5)=0," ",MROUND(IF(D184="squat",'Max Calculator'!$E$8*H187,IF(D184="bench",'Max Calculator'!$E$9*H187,IF(D184="deadlift",'Max Calculator'!$E$10*H187,0))),5))</f>
        <v> </v>
      </c>
    </row>
    <row r="188" ht="15.75" hidden="1" customHeight="1">
      <c r="A188" s="5"/>
      <c r="B188" s="29">
        <f>'Max Calculator'!$E$12-119</f>
        <v>42959</v>
      </c>
      <c r="C188" s="5" t="s">
        <v>48</v>
      </c>
      <c r="D188" s="14" t="str">
        <f>HLOOKUP($I$150,INDIRECT($D$9),VLOOKUP(C188,'Phase Creator'!$B$8:$C$19,2,FALSE),FALSE)</f>
        <v/>
      </c>
      <c r="E188" s="15">
        <v>1.0</v>
      </c>
      <c r="F188" s="15">
        <v>20.0</v>
      </c>
      <c r="G188" s="30"/>
      <c r="H188" s="30"/>
      <c r="I188" s="14" t="str">
        <f>IF(MROUND(IF(D184="squat",'Max Calculator'!$E$8*G188,IF(D184="bench",'Max Calculator'!$E$9*G188,IF(D184="deadlift",'Max Calculator'!$E$10*G188,0))),5)=0," ",MROUND(IF(D184="squat",'Max Calculator'!$E$8*G188,IF(D184="bench",'Max Calculator'!$E$9*G188,IF(D184="deadlift",'Max Calculator'!$E$10*G188,0))),5))</f>
        <v> </v>
      </c>
      <c r="J188" s="14" t="str">
        <f>IF(MROUND(IF(D184="squat",'Max Calculator'!$E$8*H188,IF(D184="bench",'Max Calculator'!$E$9*H188,IF(D184="deadlift",'Max Calculator'!$E$10*H188,0))),5)=0," ",MROUND(IF(D184="squat",'Max Calculator'!$E$8*H188,IF(D184="bench",'Max Calculator'!$E$9*H188,IF(D184="deadlift",'Max Calculator'!$E$10*H188,0))),5))</f>
        <v> </v>
      </c>
    </row>
    <row r="189" ht="15.75" hidden="1" customHeight="1"/>
    <row r="190" ht="15.75" hidden="1" customHeight="1"/>
    <row r="191" ht="15.75" hidden="1" customHeight="1"/>
    <row r="192" ht="15.75" hidden="1" customHeight="1"/>
    <row r="193" ht="15.75" hidden="1" customHeight="1"/>
    <row r="194" ht="15.75" hidden="1" customHeight="1"/>
    <row r="195" ht="15.75" hidden="1" customHeight="1"/>
    <row r="196" ht="15.75" hidden="1" customHeight="1"/>
    <row r="197" ht="15.75" hidden="1" customHeight="1"/>
    <row r="198" ht="15.75" hidden="1" customHeight="1">
      <c r="D198" s="33" t="s">
        <v>188</v>
      </c>
      <c r="E198" s="23"/>
      <c r="F198" s="23"/>
      <c r="G198" s="23"/>
      <c r="H198" s="24" t="s">
        <v>1</v>
      </c>
      <c r="I198" s="25">
        <v>5.0</v>
      </c>
    </row>
    <row r="199" ht="15.75" hidden="1" customHeight="1">
      <c r="D199" s="23"/>
      <c r="E199" s="23"/>
      <c r="F199" s="23"/>
      <c r="G199" s="23"/>
      <c r="H199" s="26"/>
      <c r="I199" s="26"/>
    </row>
    <row r="200" ht="15.75" hidden="1" customHeight="1">
      <c r="K200" s="5"/>
    </row>
    <row r="201" ht="15.75" hidden="1" customHeight="1">
      <c r="D201" s="5"/>
    </row>
    <row r="202" ht="15.75" hidden="1" customHeight="1">
      <c r="A202" s="4"/>
      <c r="B202" s="4"/>
      <c r="C202" s="4" t="s">
        <v>5</v>
      </c>
      <c r="D202" s="32" t="s">
        <v>152</v>
      </c>
      <c r="E202" s="4" t="s">
        <v>179</v>
      </c>
      <c r="F202" s="4" t="s">
        <v>151</v>
      </c>
      <c r="G202" s="28" t="s">
        <v>180</v>
      </c>
      <c r="I202" s="28" t="s">
        <v>181</v>
      </c>
    </row>
    <row r="203" ht="15.75" hidden="1" customHeight="1">
      <c r="A203" s="5"/>
      <c r="B203" s="5"/>
      <c r="C203" s="5" t="s">
        <v>4</v>
      </c>
      <c r="D203" s="14" t="str">
        <f>HLOOKUP($I$198,INDIRECT($D$9),VLOOKUP(C203,'Phase Creator'!$B$8:$C$19,2,FALSE),FALSE)</f>
        <v/>
      </c>
      <c r="E203" s="15">
        <v>4.0</v>
      </c>
      <c r="F203" s="15">
        <v>8.0</v>
      </c>
      <c r="G203" s="30">
        <v>0.525</v>
      </c>
      <c r="H203" s="30">
        <v>0.575</v>
      </c>
      <c r="I203" s="14">
        <f>IF(MROUND(IF(D202="squat",'Max Calculator'!$E$8*G203,IF(D202="bench",'Max Calculator'!$E$9*G203,IF(D202="deadlift",'Max Calculator'!$E$10*G203,0))),5)=0," ",MROUND(IF(D202="squat",'Max Calculator'!$E$8*G203,IF(D202="bench",'Max Calculator'!$E$9*G203,IF(D202="deadlift",'Max Calculator'!$E$10*G203,0))),5))</f>
        <v>165</v>
      </c>
      <c r="J203" s="14">
        <f>IF(MROUND(IF(D202="squat",'Max Calculator'!$E$8*H203,IF(D202="bench",'Max Calculator'!$E$9*H203,IF(D202="deadlift",'Max Calculator'!$E$10*H203,0))),5)=0," ",MROUND(IF(D202="squat",'Max Calculator'!$E$8*H203,IF(D202="bench",'Max Calculator'!$E$9*H203,IF(D202="deadlift",'Max Calculator'!$E$10*H203,0))),5))</f>
        <v>180</v>
      </c>
    </row>
    <row r="204" ht="15.75" hidden="1" customHeight="1">
      <c r="A204" s="5"/>
      <c r="B204" s="5"/>
      <c r="C204" s="5" t="s">
        <v>11</v>
      </c>
      <c r="D204" s="14" t="str">
        <f>HLOOKUP($I$198,INDIRECT($D$9),VLOOKUP(C204,'Phase Creator'!$B$8:$C$19,2,FALSE),FALSE)</f>
        <v/>
      </c>
      <c r="E204" s="15">
        <v>3.0</v>
      </c>
      <c r="F204" s="15">
        <v>8.0</v>
      </c>
      <c r="G204" s="30">
        <v>0.6</v>
      </c>
      <c r="H204" s="30">
        <v>0.625</v>
      </c>
      <c r="I204" s="14">
        <f>IF(MROUND(IF(D202="squat",'Max Calculator'!$E$8*G204,IF(D202="bench",'Max Calculator'!$E$9*G204,IF(D202="deadlift",'Max Calculator'!$E$10*G204,0))),5)=0," ",MROUND(IF(D202="squat",'Max Calculator'!$E$8*G204,IF(D202="bench",'Max Calculator'!$E$9*G204,IF(D202="deadlift",'Max Calculator'!$E$10*G204,0))),5))</f>
        <v>190</v>
      </c>
      <c r="J204" s="14">
        <f>IF(MROUND(IF(D202="squat",'Max Calculator'!$E$8*H204,IF(D202="bench",'Max Calculator'!$E$9*H204,IF(D202="deadlift",'Max Calculator'!$E$10*H204,0))),5)=0," ",MROUND(IF(D202="squat",'Max Calculator'!$E$8*H204,IF(D202="bench",'Max Calculator'!$E$9*H204,IF(D202="deadlift",'Max Calculator'!$E$10*H204,0))),5))</f>
        <v>195</v>
      </c>
    </row>
    <row r="205" ht="15.75" hidden="1" customHeight="1">
      <c r="A205" s="5"/>
      <c r="B205" s="5"/>
      <c r="C205" s="5" t="s">
        <v>13</v>
      </c>
      <c r="D205" s="14" t="str">
        <f>HLOOKUP($I$198,INDIRECT($D$9),VLOOKUP(C205,'Phase Creator'!$B$8:$C$19,2,FALSE),FALSE)</f>
        <v/>
      </c>
      <c r="E205" s="15">
        <v>5.0</v>
      </c>
      <c r="F205" s="15">
        <v>8.0</v>
      </c>
      <c r="G205" s="30">
        <v>0.525</v>
      </c>
      <c r="H205" s="30">
        <v>0.575</v>
      </c>
      <c r="I205" s="14">
        <f>IF(MROUND(IF(D202="squat",'Max Calculator'!$E$8*G205,IF(D202="bench",'Max Calculator'!$E$9*G205,IF(D202="deadlift",'Max Calculator'!$E$10*G205,0))),5)=0," ",MROUND(IF(D202="squat",'Max Calculator'!$E$8*G205,IF(D202="bench",'Max Calculator'!$E$9*G205,IF(D202="deadlift",'Max Calculator'!$E$10*G205,0))),5))</f>
        <v>165</v>
      </c>
      <c r="J205" s="14">
        <f>IF(MROUND(IF(D202="squat",'Max Calculator'!$E$8*H205,IF(D202="bench",'Max Calculator'!$E$9*H205,IF(D202="deadlift",'Max Calculator'!$E$10*H205,0))),5)=0," ",MROUND(IF(D202="squat",'Max Calculator'!$E$8*H205,IF(D202="bench",'Max Calculator'!$E$9*H205,IF(D202="deadlift",'Max Calculator'!$E$10*H205,0))),5))</f>
        <v>180</v>
      </c>
    </row>
    <row r="206" ht="15.75" hidden="1" customHeight="1">
      <c r="A206" s="5"/>
      <c r="B206" s="5"/>
      <c r="C206" s="5" t="s">
        <v>18</v>
      </c>
      <c r="D206" s="14" t="str">
        <f>HLOOKUP($I$198,INDIRECT($D$9),VLOOKUP(C206,'Phase Creator'!$B$8:$C$19,2,FALSE),FALSE)</f>
        <v/>
      </c>
      <c r="E206" s="15">
        <v>2.0</v>
      </c>
      <c r="F206" s="15">
        <v>8.0</v>
      </c>
      <c r="G206" s="30">
        <v>0.6</v>
      </c>
      <c r="H206" s="30">
        <v>0.625</v>
      </c>
      <c r="I206" s="14">
        <f>IF(MROUND(IF(D202="squat",'Max Calculator'!$E$8*G206,IF(D202="bench",'Max Calculator'!$E$9*G206,IF(D202="deadlift",'Max Calculator'!$E$10*G206,0))),5)=0," ",MROUND(IF(D202="squat",'Max Calculator'!$E$8*G206,IF(D202="bench",'Max Calculator'!$E$9*G206,IF(D202="deadlift",'Max Calculator'!$E$10*G206,0))),5))</f>
        <v>190</v>
      </c>
      <c r="J206" s="14">
        <f>IF(MROUND(IF(D202="squat",'Max Calculator'!$E$8*H206,IF(D202="bench",'Max Calculator'!$E$9*H206,IF(D202="deadlift",'Max Calculator'!$E$10*H206,0))),5)=0," ",MROUND(IF(D202="squat",'Max Calculator'!$E$8*H206,IF(D202="bench",'Max Calculator'!$E$9*H206,IF(D202="deadlift",'Max Calculator'!$E$10*H206,0))),5))</f>
        <v>195</v>
      </c>
    </row>
    <row r="207" ht="15.75" hidden="1" customHeight="1">
      <c r="D207" s="5"/>
    </row>
    <row r="208" ht="15.75" hidden="1" customHeight="1">
      <c r="A208" s="4"/>
      <c r="B208" s="4"/>
      <c r="C208" s="4" t="s">
        <v>21</v>
      </c>
      <c r="D208" s="32" t="s">
        <v>153</v>
      </c>
      <c r="E208" s="4" t="s">
        <v>179</v>
      </c>
      <c r="F208" s="4" t="s">
        <v>151</v>
      </c>
      <c r="G208" s="4" t="s">
        <v>180</v>
      </c>
      <c r="I208" s="28" t="s">
        <v>181</v>
      </c>
    </row>
    <row r="209" ht="15.75" hidden="1" customHeight="1">
      <c r="A209" s="5"/>
      <c r="B209" s="5"/>
      <c r="C209" s="5" t="s">
        <v>20</v>
      </c>
      <c r="D209" s="14" t="str">
        <f>HLOOKUP($I$198,INDIRECT($D$9),VLOOKUP(C209,'Phase Creator'!$B$8:$C$19,2,FALSE),FALSE)</f>
        <v/>
      </c>
      <c r="E209" s="15"/>
      <c r="F209" s="15"/>
      <c r="G209" s="30">
        <v>0.525</v>
      </c>
      <c r="H209" s="30">
        <v>0.575</v>
      </c>
      <c r="I209" s="14">
        <f>IF(MROUND(IF(D208="squat",'Max Calculator'!$E$8*G209,IF(D208="bench",'Max Calculator'!$E$9*G209,IF(D208="deadlift",'Max Calculator'!$E$10*G209,0))),5)=0," ",MROUND(IF(D208="squat",'Max Calculator'!$E$8*G209,IF(D208="bench",'Max Calculator'!$E$9*G209,IF(D208="deadlift",'Max Calculator'!$E$10*G209,0))),5))</f>
        <v>120</v>
      </c>
      <c r="J209" s="14">
        <f>IF(MROUND(IF(D208="squat",'Max Calculator'!$E$8*H209,IF(D208="bench",'Max Calculator'!$E$9*H209,IF(D208="deadlift",'Max Calculator'!$E$10*H209,0))),5)=0," ",MROUND(IF(D208="squat",'Max Calculator'!$E$8*H209,IF(D208="bench",'Max Calculator'!$E$9*H209,IF(D208="deadlift",'Max Calculator'!$E$10*H209,0))),5))</f>
        <v>130</v>
      </c>
    </row>
    <row r="210" ht="15.75" hidden="1" customHeight="1">
      <c r="A210" s="5"/>
      <c r="B210" s="5"/>
      <c r="C210" s="5" t="s">
        <v>27</v>
      </c>
      <c r="D210" s="14" t="str">
        <f>HLOOKUP($I$198,INDIRECT($D$9),VLOOKUP(C210,'Phase Creator'!$B$8:$C$19,2,FALSE),FALSE)</f>
        <v/>
      </c>
      <c r="E210" s="15"/>
      <c r="F210" s="15"/>
      <c r="G210" s="30">
        <v>0.6</v>
      </c>
      <c r="H210" s="30">
        <v>0.625</v>
      </c>
      <c r="I210" s="14">
        <f>IF(MROUND(IF(D208="squat",'Max Calculator'!$E$8*G210,IF(D208="bench",'Max Calculator'!$E$9*G210,IF(D208="deadlift",'Max Calculator'!$E$10*G210,0))),5)=0," ",MROUND(IF(D208="squat",'Max Calculator'!$E$8*G210,IF(D208="bench",'Max Calculator'!$E$9*G210,IF(D208="deadlift",'Max Calculator'!$E$10*G210,0))),5))</f>
        <v>135</v>
      </c>
      <c r="J210" s="14">
        <f>IF(MROUND(IF(D208="squat",'Max Calculator'!$E$8*H210,IF(D208="bench",'Max Calculator'!$E$9*H210,IF(D208="deadlift",'Max Calculator'!$E$10*H210,0))),5)=0," ",MROUND(IF(D208="squat",'Max Calculator'!$E$8*H210,IF(D208="bench",'Max Calculator'!$E$9*H210,IF(D208="deadlift",'Max Calculator'!$E$10*H210,0))),5))</f>
        <v>140</v>
      </c>
    </row>
    <row r="211" ht="15.75" hidden="1" customHeight="1">
      <c r="A211" s="5"/>
      <c r="B211" s="5"/>
      <c r="C211" s="5" t="s">
        <v>28</v>
      </c>
      <c r="D211" s="14" t="str">
        <f>HLOOKUP($I$198,INDIRECT($D$9),VLOOKUP(C211,'Phase Creator'!$B$8:$C$19,2,FALSE),FALSE)</f>
        <v/>
      </c>
      <c r="E211" s="15"/>
      <c r="F211" s="15"/>
      <c r="G211" s="30">
        <v>0.525</v>
      </c>
      <c r="H211" s="30">
        <v>0.575</v>
      </c>
      <c r="I211" s="14">
        <f>IF(MROUND(IF(D208="squat",'Max Calculator'!$E$8*G211,IF(D208="bench",'Max Calculator'!$E$9*G211,IF(D208="deadlift",'Max Calculator'!$E$10*G211,0))),5)=0," ",MROUND(IF(D208="squat",'Max Calculator'!$E$8*G211,IF(D208="bench",'Max Calculator'!$E$9*G211,IF(D208="deadlift",'Max Calculator'!$E$10*G211,0))),5))</f>
        <v>120</v>
      </c>
      <c r="J211" s="14">
        <f>IF(MROUND(IF(D208="squat",'Max Calculator'!$E$8*H211,IF(D208="bench",'Max Calculator'!$E$9*H211,IF(D208="deadlift",'Max Calculator'!$E$10*H211,0))),5)=0," ",MROUND(IF(D208="squat",'Max Calculator'!$E$8*H211,IF(D208="bench",'Max Calculator'!$E$9*H211,IF(D208="deadlift",'Max Calculator'!$E$10*H211,0))),5))</f>
        <v>130</v>
      </c>
    </row>
    <row r="212" ht="15.75" hidden="1" customHeight="1">
      <c r="A212" s="5"/>
      <c r="B212" s="5"/>
      <c r="C212" s="5" t="s">
        <v>32</v>
      </c>
      <c r="D212" s="14" t="str">
        <f>HLOOKUP($I$198,INDIRECT($D$9),VLOOKUP(C212,'Phase Creator'!$B$8:$C$19,2,FALSE),FALSE)</f>
        <v/>
      </c>
      <c r="E212" s="15"/>
      <c r="F212" s="15"/>
      <c r="G212" s="30">
        <v>0.6</v>
      </c>
      <c r="H212" s="30">
        <v>0.625</v>
      </c>
      <c r="I212" s="14">
        <f>IF(MROUND(IF(D208="squat",'Max Calculator'!$E$8*G212,IF(D208="bench",'Max Calculator'!$E$9*G212,IF(D208="deadlift",'Max Calculator'!$E$10*G212,0))),5)=0," ",MROUND(IF(D208="squat",'Max Calculator'!$E$8*G212,IF(D208="bench",'Max Calculator'!$E$9*G212,IF(D208="deadlift",'Max Calculator'!$E$10*G212,0))),5))</f>
        <v>135</v>
      </c>
      <c r="J212" s="14">
        <f>IF(MROUND(IF(D208="squat",'Max Calculator'!$E$8*H212,IF(D208="bench",'Max Calculator'!$E$9*H212,IF(D208="deadlift",'Max Calculator'!$E$10*H212,0))),5)=0," ",MROUND(IF(D208="squat",'Max Calculator'!$E$8*H212,IF(D208="bench",'Max Calculator'!$E$9*H212,IF(D208="deadlift",'Max Calculator'!$E$10*H212,0))),5))</f>
        <v>140</v>
      </c>
    </row>
    <row r="213" ht="15.75" hidden="1" customHeight="1"/>
    <row r="214" ht="15.75" hidden="1" customHeight="1">
      <c r="A214" s="4"/>
      <c r="B214" s="4"/>
      <c r="C214" s="4" t="s">
        <v>33</v>
      </c>
      <c r="D214" s="32" t="s">
        <v>185</v>
      </c>
      <c r="E214" s="4" t="s">
        <v>179</v>
      </c>
      <c r="F214" s="4" t="s">
        <v>151</v>
      </c>
      <c r="G214" s="4" t="s">
        <v>180</v>
      </c>
      <c r="I214" s="28" t="s">
        <v>181</v>
      </c>
    </row>
    <row r="215" ht="15.75" hidden="1" customHeight="1">
      <c r="A215" s="5"/>
      <c r="B215" s="5"/>
      <c r="C215" s="5" t="s">
        <v>33</v>
      </c>
      <c r="D215" s="14" t="str">
        <f>HLOOKUP($I$198,INDIRECT($D$9),VLOOKUP(C215,'Phase Creator'!$B$8:$C$19,2,FALSE),FALSE)</f>
        <v/>
      </c>
      <c r="E215" s="15"/>
      <c r="F215" s="15"/>
      <c r="G215" s="30"/>
      <c r="H215" s="30"/>
      <c r="I215" s="14" t="str">
        <f>IF(MROUND(IF(D214="squat",'Max Calculator'!$E$8*G215,IF(D214="bench",'Max Calculator'!$E$9*G215,IF(D214="deadlift",'Max Calculator'!$E$10*G215,0))),5)=0," ",MROUND(IF(D214="squat",'Max Calculator'!$E$8*G215,IF(D214="bench",'Max Calculator'!$E$9*G215,IF(D214="deadlift",'Max Calculator'!$E$10*G215,0))),5))</f>
        <v> </v>
      </c>
      <c r="J215" s="14" t="str">
        <f>IF(MROUND(IF(D214="squat",'Max Calculator'!$E$8*H215,IF(D214="bench",'Max Calculator'!$E$9*H215,IF(D214="deadlift",'Max Calculator'!$E$10*H215,0))),5)=0," ",MROUND(IF(D214="squat",'Max Calculator'!$E$8*H215,IF(D214="bench",'Max Calculator'!$E$9*H215,IF(D214="deadlift",'Max Calculator'!$E$10*H215,0))),5))</f>
        <v> </v>
      </c>
    </row>
    <row r="216" ht="15.75" hidden="1" customHeight="1">
      <c r="A216" s="5"/>
      <c r="B216" s="5"/>
      <c r="C216" s="5" t="s">
        <v>33</v>
      </c>
      <c r="D216" s="14" t="str">
        <f>HLOOKUP($I$198,INDIRECT($D$9),VLOOKUP(C216,'Phase Creator'!$B$8:$C$19,2,FALSE),FALSE)</f>
        <v/>
      </c>
      <c r="E216" s="15"/>
      <c r="F216" s="15"/>
      <c r="G216" s="30"/>
      <c r="H216" s="30"/>
      <c r="I216" s="14" t="str">
        <f>IF(MROUND(IF(D214="squat",'Max Calculator'!$E$8*G216,IF(D214="bench",'Max Calculator'!$E$9*G216,IF(D214="deadlift",'Max Calculator'!$E$10*G216,0))),5)=0," ",MROUND(IF(D214="squat",'Max Calculator'!$E$8*G216,IF(D214="bench",'Max Calculator'!$E$9*G216,IF(D214="deadlift",'Max Calculator'!$E$10*G216,0))),5))</f>
        <v> </v>
      </c>
      <c r="J216" s="14" t="str">
        <f>IF(MROUND(IF(D214="squat",'Max Calculator'!$E$8*H216,IF(D214="bench",'Max Calculator'!$E$9*H216,IF(D214="deadlift",'Max Calculator'!$E$10*H216,0))),5)=0," ",MROUND(IF(D214="squat",'Max Calculator'!$E$8*H216,IF(D214="bench",'Max Calculator'!$E$9*H216,IF(D214="deadlift",'Max Calculator'!$E$10*H216,0))),5))</f>
        <v> </v>
      </c>
    </row>
    <row r="217" ht="15.75" hidden="1" customHeight="1">
      <c r="A217" s="5"/>
      <c r="B217" s="5"/>
      <c r="C217" s="5" t="s">
        <v>33</v>
      </c>
      <c r="D217" s="14" t="str">
        <f>HLOOKUP($I$198,INDIRECT($D$9),VLOOKUP(C217,'Phase Creator'!$B$8:$C$19,2,FALSE),FALSE)</f>
        <v/>
      </c>
      <c r="E217" s="15"/>
      <c r="F217" s="15"/>
      <c r="G217" s="30"/>
      <c r="H217" s="30"/>
      <c r="I217" s="14" t="str">
        <f>IF(MROUND(IF(D214="squat",'Max Calculator'!$E$8*G217,IF(D214="bench",'Max Calculator'!$E$9*G217,IF(D214="deadlift",'Max Calculator'!$E$10*G217,0))),5)=0," ",MROUND(IF(D214="squat",'Max Calculator'!$E$8*G217,IF(D214="bench",'Max Calculator'!$E$9*G217,IF(D214="deadlift",'Max Calculator'!$E$10*G217,0))),5))</f>
        <v> </v>
      </c>
      <c r="J217" s="14" t="str">
        <f>IF(MROUND(IF(D214="squat",'Max Calculator'!$E$8*H217,IF(D214="bench",'Max Calculator'!$E$9*H217,IF(D214="deadlift",'Max Calculator'!$E$10*H217,0))),5)=0," ",MROUND(IF(D214="squat",'Max Calculator'!$E$8*H217,IF(D214="bench",'Max Calculator'!$E$9*H217,IF(D214="deadlift",'Max Calculator'!$E$10*H217,0))),5))</f>
        <v> </v>
      </c>
    </row>
    <row r="218" ht="15.75" hidden="1" customHeight="1">
      <c r="A218" s="5"/>
      <c r="B218" s="5"/>
      <c r="C218" s="5" t="s">
        <v>33</v>
      </c>
      <c r="D218" s="14" t="str">
        <f>HLOOKUP($I$198,INDIRECT($D$9),VLOOKUP(C218,'Phase Creator'!$B$8:$C$19,2,FALSE),FALSE)</f>
        <v/>
      </c>
      <c r="E218" s="15"/>
      <c r="F218" s="15"/>
      <c r="G218" s="30"/>
      <c r="H218" s="30"/>
      <c r="I218" s="14" t="str">
        <f>IF(MROUND(IF(D214="squat",'Max Calculator'!$E$8*G218,IF(D214="bench",'Max Calculator'!$E$9*G218,IF(D214="deadlift",'Max Calculator'!$E$10*G218,0))),5)=0," ",MROUND(IF(D214="squat",'Max Calculator'!$E$8*G218,IF(D214="bench",'Max Calculator'!$E$9*G218,IF(D214="deadlift",'Max Calculator'!$E$10*G218,0))),5))</f>
        <v> </v>
      </c>
      <c r="J218" s="14" t="str">
        <f>IF(MROUND(IF(D214="squat",'Max Calculator'!$E$8*H218,IF(D214="bench",'Max Calculator'!$E$9*H218,IF(D214="deadlift",'Max Calculator'!$E$10*H218,0))),5)=0," ",MROUND(IF(D214="squat",'Max Calculator'!$E$8*H218,IF(D214="bench",'Max Calculator'!$E$9*H218,IF(D214="deadlift",'Max Calculator'!$E$10*H218,0))),5))</f>
        <v> </v>
      </c>
    </row>
    <row r="219" ht="15.75" hidden="1" customHeight="1"/>
    <row r="220" ht="15.75" hidden="1" customHeight="1">
      <c r="A220" s="4"/>
      <c r="B220" s="4"/>
      <c r="C220" s="4" t="s">
        <v>38</v>
      </c>
      <c r="D220" s="32" t="s">
        <v>185</v>
      </c>
      <c r="E220" s="4" t="s">
        <v>179</v>
      </c>
      <c r="F220" s="4" t="s">
        <v>151</v>
      </c>
      <c r="G220" s="4" t="s">
        <v>180</v>
      </c>
      <c r="I220" s="28" t="s">
        <v>181</v>
      </c>
    </row>
    <row r="221" ht="15.75" hidden="1" customHeight="1">
      <c r="A221" s="5"/>
      <c r="B221" s="5"/>
      <c r="C221" s="5" t="s">
        <v>38</v>
      </c>
      <c r="D221" s="14" t="str">
        <f>HLOOKUP($I$198,INDIRECT($D$9),VLOOKUP(C221,'Phase Creator'!$B$8:$C$19,2,FALSE),FALSE)</f>
        <v/>
      </c>
      <c r="E221" s="15"/>
      <c r="F221" s="15"/>
      <c r="G221" s="30"/>
      <c r="H221" s="30"/>
      <c r="I221" s="14" t="str">
        <f>IF(MROUND(IF(D220="squat",'Max Calculator'!$E$8*G221,IF(D220="bench",'Max Calculator'!$E$9*G221,IF(D220="deadlift",'Max Calculator'!$E$10*G221,0))),5)=0," ",MROUND(IF(D220="squat",'Max Calculator'!$E$8*G221,IF(D220="bench",'Max Calculator'!$E$9*G221,IF(D220="deadlift",'Max Calculator'!$E$10*G221,0))),5))</f>
        <v> </v>
      </c>
      <c r="J221" s="14" t="str">
        <f>IF(MROUND(IF(D220="squat",'Max Calculator'!$E$8*H221,IF(D220="bench",'Max Calculator'!$E$9*H221,IF(D220="deadlift",'Max Calculator'!$E$10*H221,0))),5)=0," ",MROUND(IF(D220="squat",'Max Calculator'!$E$8*H221,IF(D220="bench",'Max Calculator'!$E$9*H221,IF(D220="deadlift",'Max Calculator'!$E$10*H221,0))),5))</f>
        <v> </v>
      </c>
    </row>
    <row r="222" ht="15.75" hidden="1" customHeight="1">
      <c r="A222" s="5"/>
      <c r="B222" s="5"/>
      <c r="C222" s="5" t="s">
        <v>38</v>
      </c>
      <c r="D222" s="14" t="str">
        <f>HLOOKUP($I$198,INDIRECT($D$9),VLOOKUP(C222,'Phase Creator'!$B$8:$C$19,2,FALSE),FALSE)</f>
        <v/>
      </c>
      <c r="E222" s="15"/>
      <c r="F222" s="15"/>
      <c r="G222" s="30"/>
      <c r="H222" s="30"/>
      <c r="I222" s="14" t="str">
        <f>IF(MROUND(IF(D220="squat",'Max Calculator'!$E$8*G222,IF(D220="bench",'Max Calculator'!$E$9*G222,IF(D220="deadlift",'Max Calculator'!$E$10*G222,0))),5)=0," ",MROUND(IF(D220="squat",'Max Calculator'!$E$8*G222,IF(D220="bench",'Max Calculator'!$E$9*G222,IF(D220="deadlift",'Max Calculator'!$E$10*G222,0))),5))</f>
        <v> </v>
      </c>
      <c r="J222" s="14" t="str">
        <f>IF(MROUND(IF(D220="squat",'Max Calculator'!$E$8*H222,IF(D220="bench",'Max Calculator'!$E$9*H222,IF(D220="deadlift",'Max Calculator'!$E$10*H222,0))),5)=0," ",MROUND(IF(D220="squat",'Max Calculator'!$E$8*H222,IF(D220="bench",'Max Calculator'!$E$9*H222,IF(D220="deadlift",'Max Calculator'!$E$10*H222,0))),5))</f>
        <v> </v>
      </c>
    </row>
    <row r="223" ht="15.75" hidden="1" customHeight="1">
      <c r="A223" s="5"/>
      <c r="B223" s="5"/>
      <c r="C223" s="5" t="s">
        <v>38</v>
      </c>
      <c r="D223" s="14" t="str">
        <f>HLOOKUP($I$198,INDIRECT($D$9),VLOOKUP(C223,'Phase Creator'!$B$8:$C$19,2,FALSE),FALSE)</f>
        <v/>
      </c>
      <c r="E223" s="15"/>
      <c r="F223" s="15"/>
      <c r="G223" s="30"/>
      <c r="H223" s="30"/>
      <c r="I223" s="14" t="str">
        <f>IF(MROUND(IF(D220="squat",'Max Calculator'!$E$8*G223,IF(D220="bench",'Max Calculator'!$E$9*G223,IF(D220="deadlift",'Max Calculator'!$E$10*G223,0))),5)=0," ",MROUND(IF(D220="squat",'Max Calculator'!$E$8*G223,IF(D220="bench",'Max Calculator'!$E$9*G223,IF(D220="deadlift",'Max Calculator'!$E$10*G223,0))),5))</f>
        <v> </v>
      </c>
      <c r="J223" s="14" t="str">
        <f>IF(MROUND(IF(D220="squat",'Max Calculator'!$E$8*H223,IF(D220="bench",'Max Calculator'!$E$9*H223,IF(D220="deadlift",'Max Calculator'!$E$10*H223,0))),5)=0," ",MROUND(IF(D220="squat",'Max Calculator'!$E$8*H223,IF(D220="bench",'Max Calculator'!$E$9*H223,IF(D220="deadlift",'Max Calculator'!$E$10*H223,0))),5))</f>
        <v> </v>
      </c>
    </row>
    <row r="224" ht="15.75" hidden="1" customHeight="1">
      <c r="A224" s="5"/>
      <c r="B224" s="5"/>
      <c r="C224" s="5" t="s">
        <v>38</v>
      </c>
      <c r="D224" s="14" t="str">
        <f>HLOOKUP($I$198,INDIRECT($D$9),VLOOKUP(C224,'Phase Creator'!$B$8:$C$19,2,FALSE),FALSE)</f>
        <v/>
      </c>
      <c r="E224" s="15"/>
      <c r="F224" s="15"/>
      <c r="G224" s="30"/>
      <c r="H224" s="30"/>
      <c r="I224" s="14" t="str">
        <f>IF(MROUND(IF(D220="squat",'Max Calculator'!$E$8*G224,IF(D220="bench",'Max Calculator'!$E$9*G224,IF(D220="deadlift",'Max Calculator'!$E$10*G224,0))),5)=0," ",MROUND(IF(D220="squat",'Max Calculator'!$E$8*G224,IF(D220="bench",'Max Calculator'!$E$9*G224,IF(D220="deadlift",'Max Calculator'!$E$10*G224,0))),5))</f>
        <v> </v>
      </c>
      <c r="J224" s="14" t="str">
        <f>IF(MROUND(IF(D220="squat",'Max Calculator'!$E$8*H224,IF(D220="bench",'Max Calculator'!$E$9*H224,IF(D220="deadlift",'Max Calculator'!$E$10*H224,0))),5)=0," ",MROUND(IF(D220="squat",'Max Calculator'!$E$8*H224,IF(D220="bench",'Max Calculator'!$E$9*H224,IF(D220="deadlift",'Max Calculator'!$E$10*H224,0))),5))</f>
        <v> </v>
      </c>
    </row>
    <row r="225" ht="15.75" hidden="1" customHeight="1"/>
    <row r="226" ht="15.75" hidden="1" customHeight="1">
      <c r="A226" s="4"/>
      <c r="B226" s="4"/>
      <c r="C226" s="4" t="s">
        <v>43</v>
      </c>
      <c r="D226" s="32" t="s">
        <v>185</v>
      </c>
      <c r="E226" s="4" t="s">
        <v>179</v>
      </c>
      <c r="F226" s="4" t="s">
        <v>151</v>
      </c>
      <c r="G226" s="4" t="s">
        <v>180</v>
      </c>
      <c r="I226" s="28" t="s">
        <v>181</v>
      </c>
    </row>
    <row r="227" ht="15.75" hidden="1" customHeight="1">
      <c r="A227" s="5"/>
      <c r="B227" s="5"/>
      <c r="C227" s="5" t="s">
        <v>43</v>
      </c>
      <c r="D227" s="14" t="str">
        <f>HLOOKUP($I$198,INDIRECT($D$9),VLOOKUP(C227,'Phase Creator'!$B$8:$C$19,2,FALSE),FALSE)</f>
        <v/>
      </c>
      <c r="E227" s="15"/>
      <c r="F227" s="15"/>
      <c r="G227" s="30"/>
      <c r="H227" s="30"/>
      <c r="I227" s="14" t="str">
        <f>IF(MROUND(IF(D226="squat",'Max Calculator'!$E$8*G227,IF(D226="bench",'Max Calculator'!$E$9*G227,IF(D226="deadlift",'Max Calculator'!$E$10*G227,0))),5)=0," ",MROUND(IF(D226="squat",'Max Calculator'!$E$8*G227,IF(D226="bench",'Max Calculator'!$E$9*G227,IF(D226="deadlift",'Max Calculator'!$E$10*G227,0))),5))</f>
        <v> </v>
      </c>
      <c r="J227" s="14" t="str">
        <f>IF(MROUND(IF(D226="squat",'Max Calculator'!$E$8*H227,IF(D226="bench",'Max Calculator'!$E$9*H227,IF(D226="deadlift",'Max Calculator'!$E$10*H227,0))),5)=0," ",MROUND(IF(D226="squat",'Max Calculator'!$E$8*H227,IF(D226="bench",'Max Calculator'!$E$9*H227,IF(D226="deadlift",'Max Calculator'!$E$10*H227,0))),5))</f>
        <v> </v>
      </c>
    </row>
    <row r="228" ht="15.75" hidden="1" customHeight="1">
      <c r="A228" s="5"/>
      <c r="B228" s="5"/>
      <c r="C228" s="5" t="s">
        <v>43</v>
      </c>
      <c r="D228" s="14" t="str">
        <f>HLOOKUP($I$198,INDIRECT($D$9),VLOOKUP(C228,'Phase Creator'!$B$8:$C$19,2,FALSE),FALSE)</f>
        <v/>
      </c>
      <c r="E228" s="15"/>
      <c r="F228" s="15"/>
      <c r="G228" s="30"/>
      <c r="H228" s="30"/>
      <c r="I228" s="14" t="str">
        <f>IF(MROUND(IF(D226="squat",'Max Calculator'!$E$8*G228,IF(D226="bench",'Max Calculator'!$E$9*G228,IF(D226="deadlift",'Max Calculator'!$E$10*G228,0))),5)=0," ",MROUND(IF(D226="squat",'Max Calculator'!$E$8*G228,IF(D226="bench",'Max Calculator'!$E$9*G228,IF(D226="deadlift",'Max Calculator'!$E$10*G228,0))),5))</f>
        <v> </v>
      </c>
      <c r="J228" s="14" t="str">
        <f>IF(MROUND(IF(D226="squat",'Max Calculator'!$E$8*H228,IF(D226="bench",'Max Calculator'!$E$9*H228,IF(D226="deadlift",'Max Calculator'!$E$10*H228,0))),5)=0," ",MROUND(IF(D226="squat",'Max Calculator'!$E$8*H228,IF(D226="bench",'Max Calculator'!$E$9*H228,IF(D226="deadlift",'Max Calculator'!$E$10*H228,0))),5))</f>
        <v> </v>
      </c>
    </row>
    <row r="229" ht="15.75" hidden="1" customHeight="1">
      <c r="A229" s="5"/>
      <c r="B229" s="5"/>
      <c r="C229" s="5" t="s">
        <v>43</v>
      </c>
      <c r="D229" s="14" t="str">
        <f>HLOOKUP($I$198,INDIRECT($D$9),VLOOKUP(C229,'Phase Creator'!$B$8:$C$19,2,FALSE),FALSE)</f>
        <v/>
      </c>
      <c r="E229" s="15"/>
      <c r="F229" s="15"/>
      <c r="G229" s="30"/>
      <c r="H229" s="30"/>
      <c r="I229" s="14" t="str">
        <f>IF(MROUND(IF(D226="squat",'Max Calculator'!$E$8*G229,IF(D226="bench",'Max Calculator'!$E$9*G229,IF(D226="deadlift",'Max Calculator'!$E$10*G229,0))),5)=0," ",MROUND(IF(D226="squat",'Max Calculator'!$E$8*G229,IF(D226="bench",'Max Calculator'!$E$9*G229,IF(D226="deadlift",'Max Calculator'!$E$10*G229,0))),5))</f>
        <v> </v>
      </c>
      <c r="J229" s="14" t="str">
        <f>IF(MROUND(IF(D226="squat",'Max Calculator'!$E$8*H229,IF(D226="bench",'Max Calculator'!$E$9*H229,IF(D226="deadlift",'Max Calculator'!$E$10*H229,0))),5)=0," ",MROUND(IF(D226="squat",'Max Calculator'!$E$8*H229,IF(D226="bench",'Max Calculator'!$E$9*H229,IF(D226="deadlift",'Max Calculator'!$E$10*H229,0))),5))</f>
        <v> </v>
      </c>
    </row>
    <row r="230" ht="15.75" hidden="1" customHeight="1">
      <c r="A230" s="5"/>
      <c r="B230" s="5"/>
      <c r="C230" s="5" t="s">
        <v>43</v>
      </c>
      <c r="D230" s="14" t="str">
        <f>HLOOKUP($I$198,INDIRECT($D$9),VLOOKUP(C230,'Phase Creator'!$B$8:$C$19,2,FALSE),FALSE)</f>
        <v/>
      </c>
      <c r="E230" s="15"/>
      <c r="F230" s="15"/>
      <c r="G230" s="30"/>
      <c r="H230" s="30"/>
      <c r="I230" s="14" t="str">
        <f>IF(MROUND(IF(D226="squat",'Max Calculator'!$E$8*G230,IF(D226="bench",'Max Calculator'!$E$9*G230,IF(D226="deadlift",'Max Calculator'!$E$10*G230,0))),5)=0," ",MROUND(IF(D226="squat",'Max Calculator'!$E$8*G230,IF(D226="bench",'Max Calculator'!$E$9*G230,IF(D226="deadlift",'Max Calculator'!$E$10*G230,0))),5))</f>
        <v> </v>
      </c>
      <c r="J230" s="14" t="str">
        <f>IF(MROUND(IF(D226="squat",'Max Calculator'!$E$8*H230,IF(D226="bench",'Max Calculator'!$E$9*H230,IF(D226="deadlift",'Max Calculator'!$E$10*H230,0))),5)=0," ",MROUND(IF(D226="squat",'Max Calculator'!$E$8*H230,IF(D226="bench",'Max Calculator'!$E$9*H230,IF(D226="deadlift",'Max Calculator'!$E$10*H230,0))),5))</f>
        <v> </v>
      </c>
    </row>
    <row r="231" ht="15.75" hidden="1" customHeight="1"/>
    <row r="232" ht="15.75" hidden="1" customHeight="1">
      <c r="A232" s="4"/>
      <c r="B232" s="4"/>
      <c r="C232" s="4" t="s">
        <v>48</v>
      </c>
      <c r="D232" s="32" t="s">
        <v>185</v>
      </c>
      <c r="E232" s="4" t="s">
        <v>179</v>
      </c>
      <c r="F232" s="4" t="s">
        <v>151</v>
      </c>
      <c r="G232" s="4" t="s">
        <v>180</v>
      </c>
      <c r="I232" s="28" t="s">
        <v>181</v>
      </c>
    </row>
    <row r="233" ht="15.75" hidden="1" customHeight="1">
      <c r="A233" s="5"/>
      <c r="B233" s="5"/>
      <c r="C233" s="5" t="s">
        <v>48</v>
      </c>
      <c r="D233" s="14" t="str">
        <f>HLOOKUP($I$198,INDIRECT($D$9),VLOOKUP(C233,'Phase Creator'!$B$8:$C$19,2,FALSE),FALSE)</f>
        <v/>
      </c>
      <c r="E233" s="15"/>
      <c r="F233" s="15"/>
      <c r="G233" s="30"/>
      <c r="H233" s="30"/>
      <c r="I233" s="14" t="str">
        <f>IF(MROUND(IF(D232="squat",'Max Calculator'!$E$8*G233,IF(D232="bench",'Max Calculator'!$E$9*G233,IF(D232="deadlift",'Max Calculator'!$E$10*G233,0))),5)=0," ",MROUND(IF(D232="squat",'Max Calculator'!$E$8*G233,IF(D232="bench",'Max Calculator'!$E$9*G233,IF(D232="deadlift",'Max Calculator'!$E$10*G233,0))),5))</f>
        <v> </v>
      </c>
      <c r="J233" s="14" t="str">
        <f>IF(MROUND(IF(D232="squat",'Max Calculator'!$E$8*H233,IF(D232="bench",'Max Calculator'!$E$9*H233,IF(D232="deadlift",'Max Calculator'!$E$10*H233,0))),5)=0," ",MROUND(IF(D232="squat",'Max Calculator'!$E$8*H233,IF(D232="bench",'Max Calculator'!$E$9*H233,IF(D232="deadlift",'Max Calculator'!$E$10*H233,0))),5))</f>
        <v> </v>
      </c>
    </row>
    <row r="234" ht="15.75" hidden="1" customHeight="1">
      <c r="A234" s="5"/>
      <c r="B234" s="5"/>
      <c r="C234" s="5" t="s">
        <v>48</v>
      </c>
      <c r="D234" s="14" t="str">
        <f>HLOOKUP($I$198,INDIRECT($D$9),VLOOKUP(C234,'Phase Creator'!$B$8:$C$19,2,FALSE),FALSE)</f>
        <v/>
      </c>
      <c r="E234" s="15"/>
      <c r="F234" s="15"/>
      <c r="G234" s="30"/>
      <c r="H234" s="30"/>
      <c r="I234" s="14" t="str">
        <f>IF(MROUND(IF(D232="squat",'Max Calculator'!$E$8*G234,IF(D232="bench",'Max Calculator'!$E$9*G234,IF(D232="deadlift",'Max Calculator'!$E$10*G234,0))),5)=0," ",MROUND(IF(D232="squat",'Max Calculator'!$E$8*G234,IF(D232="bench",'Max Calculator'!$E$9*G234,IF(D232="deadlift",'Max Calculator'!$E$10*G234,0))),5))</f>
        <v> </v>
      </c>
      <c r="J234" s="14" t="str">
        <f>IF(MROUND(IF(D232="squat",'Max Calculator'!$E$8*H234,IF(D232="bench",'Max Calculator'!$E$9*H234,IF(D232="deadlift",'Max Calculator'!$E$10*H234,0))),5)=0," ",MROUND(IF(D232="squat",'Max Calculator'!$E$8*H234,IF(D232="bench",'Max Calculator'!$E$9*H234,IF(D232="deadlift",'Max Calculator'!$E$10*H234,0))),5))</f>
        <v> </v>
      </c>
    </row>
    <row r="235" ht="15.75" hidden="1" customHeight="1">
      <c r="A235" s="5"/>
      <c r="B235" s="5"/>
      <c r="C235" s="5" t="s">
        <v>48</v>
      </c>
      <c r="D235" s="14" t="str">
        <f>HLOOKUP($I$198,INDIRECT($D$9),VLOOKUP(C235,'Phase Creator'!$B$8:$C$19,2,FALSE),FALSE)</f>
        <v/>
      </c>
      <c r="E235" s="15"/>
      <c r="F235" s="15"/>
      <c r="G235" s="30"/>
      <c r="H235" s="30"/>
      <c r="I235" s="14" t="str">
        <f>IF(MROUND(IF(D232="squat",'Max Calculator'!$E$8*G235,IF(D232="bench",'Max Calculator'!$E$9*G235,IF(D232="deadlift",'Max Calculator'!$E$10*G235,0))),5)=0," ",MROUND(IF(D232="squat",'Max Calculator'!$E$8*G235,IF(D232="bench",'Max Calculator'!$E$9*G235,IF(D232="deadlift",'Max Calculator'!$E$10*G235,0))),5))</f>
        <v> </v>
      </c>
      <c r="J235" s="14" t="str">
        <f>IF(MROUND(IF(D232="squat",'Max Calculator'!$E$8*H235,IF(D232="bench",'Max Calculator'!$E$9*H235,IF(D232="deadlift",'Max Calculator'!$E$10*H235,0))),5)=0," ",MROUND(IF(D232="squat",'Max Calculator'!$E$8*H235,IF(D232="bench",'Max Calculator'!$E$9*H235,IF(D232="deadlift",'Max Calculator'!$E$10*H235,0))),5))</f>
        <v> </v>
      </c>
    </row>
    <row r="236" ht="15.75" hidden="1" customHeight="1">
      <c r="A236" s="5"/>
      <c r="B236" s="5"/>
      <c r="C236" s="5" t="s">
        <v>48</v>
      </c>
      <c r="D236" s="14" t="str">
        <f>HLOOKUP($I$198,INDIRECT($D$9),VLOOKUP(C236,'Phase Creator'!$B$8:$C$19,2,FALSE),FALSE)</f>
        <v/>
      </c>
      <c r="E236" s="15"/>
      <c r="F236" s="15"/>
      <c r="G236" s="30"/>
      <c r="H236" s="30"/>
      <c r="I236" s="14" t="str">
        <f>IF(MROUND(IF(D232="squat",'Max Calculator'!$E$8*G236,IF(D232="bench",'Max Calculator'!$E$9*G236,IF(D232="deadlift",'Max Calculator'!$E$10*G236,0))),5)=0," ",MROUND(IF(D232="squat",'Max Calculator'!$E$8*G236,IF(D232="bench",'Max Calculator'!$E$9*G236,IF(D232="deadlift",'Max Calculator'!$E$10*G236,0))),5))</f>
        <v> </v>
      </c>
      <c r="J236" s="14" t="str">
        <f>IF(MROUND(IF(D232="squat",'Max Calculator'!$E$8*H236,IF(D232="bench",'Max Calculator'!$E$9*H236,IF(D232="deadlift",'Max Calculator'!$E$10*H236,0))),5)=0," ",MROUND(IF(D232="squat",'Max Calculator'!$E$8*H236,IF(D232="bench",'Max Calculator'!$E$9*H236,IF(D232="deadlift",'Max Calculator'!$E$10*H236,0))),5))</f>
        <v> </v>
      </c>
    </row>
    <row r="237" ht="15.75" hidden="1" customHeight="1"/>
    <row r="238" ht="15.75" hidden="1" customHeight="1"/>
    <row r="239" ht="15.75" hidden="1" customHeight="1"/>
    <row r="240" ht="15.75" hidden="1" customHeight="1"/>
    <row r="241" ht="15.75" hidden="1" customHeight="1"/>
    <row r="242" ht="15.75" hidden="1" customHeight="1"/>
    <row r="243" ht="15.75" hidden="1" customHeight="1"/>
    <row r="244" ht="15.75" hidden="1" customHeight="1"/>
    <row r="245" ht="15.75" hidden="1" customHeight="1"/>
    <row r="246" ht="15.75" hidden="1" customHeight="1"/>
    <row r="247" ht="15.75" hidden="1" customHeight="1"/>
    <row r="248" ht="15.75" hidden="1" customHeight="1"/>
    <row r="249" ht="15.75" hidden="1" customHeight="1"/>
    <row r="250" ht="15.75" hidden="1" customHeight="1"/>
    <row r="251" ht="15.75" hidden="1" customHeight="1"/>
    <row r="252" ht="15.75" hidden="1" customHeight="1"/>
    <row r="253" ht="15.75" hidden="1" customHeight="1"/>
    <row r="254" ht="15.75" hidden="1" customHeight="1"/>
    <row r="255" ht="15.75" hidden="1" customHeight="1"/>
    <row r="256" ht="15.75" hidden="1" customHeight="1"/>
    <row r="257" ht="15.75" hidden="1" customHeight="1"/>
    <row r="258" ht="15.75" hidden="1" customHeight="1"/>
    <row r="259" ht="15.75" hidden="1" customHeight="1"/>
    <row r="260" ht="15.75" hidden="1" customHeight="1"/>
    <row r="261" ht="15.75" hidden="1" customHeight="1"/>
    <row r="262" ht="15.75" hidden="1" customHeight="1"/>
    <row r="263" ht="15.75" hidden="1" customHeight="1"/>
    <row r="264" ht="15.75" hidden="1" customHeight="1"/>
    <row r="265" ht="15.75" hidden="1" customHeight="1"/>
    <row r="266" ht="15.75" hidden="1" customHeight="1"/>
    <row r="267" ht="15.75" hidden="1" customHeight="1"/>
    <row r="268" ht="15.75" hidden="1" customHeight="1"/>
    <row r="269" ht="15.75" hidden="1" customHeight="1"/>
    <row r="270" ht="15.75" hidden="1" customHeight="1"/>
    <row r="271" ht="15.75" hidden="1" customHeight="1"/>
    <row r="272" ht="15.75" hidden="1" customHeight="1"/>
    <row r="273" ht="15.75" hidden="1" customHeight="1"/>
    <row r="274" ht="15.75" hidden="1" customHeight="1"/>
    <row r="275" ht="15.75" hidden="1" customHeight="1"/>
    <row r="276" ht="15.75" hidden="1" customHeight="1"/>
    <row r="277" ht="15.75" hidden="1" customHeight="1"/>
    <row r="278" ht="15.75" hidden="1" customHeight="1"/>
    <row r="279" ht="15.75" hidden="1" customHeight="1"/>
    <row r="280" ht="15.75" hidden="1" customHeight="1"/>
    <row r="281" ht="15.75" hidden="1" customHeight="1"/>
    <row r="282" ht="15.75" hidden="1" customHeight="1"/>
    <row r="283" ht="15.75" hidden="1" customHeight="1"/>
    <row r="284" ht="15.75" hidden="1" customHeight="1"/>
    <row r="285" ht="15.75" hidden="1" customHeight="1"/>
    <row r="286" ht="15.75" hidden="1" customHeight="1"/>
    <row r="287" ht="15.75" hidden="1" customHeight="1"/>
    <row r="288" ht="15.75" hidden="1" customHeight="1"/>
    <row r="289" ht="15.75" hidden="1" customHeight="1"/>
    <row r="290" ht="15.75" hidden="1" customHeight="1"/>
    <row r="291" ht="15.75" hidden="1" customHeight="1"/>
    <row r="292" ht="15.75" hidden="1" customHeight="1"/>
    <row r="293" ht="15.75" hidden="1" customHeight="1"/>
    <row r="294" ht="15.75" hidden="1" customHeight="1"/>
    <row r="295" ht="15.75" hidden="1" customHeight="1"/>
    <row r="296" ht="15.75" hidden="1" customHeight="1"/>
    <row r="297" ht="15.75" hidden="1" customHeight="1"/>
    <row r="298" ht="15.75" hidden="1" customHeight="1"/>
    <row r="299" ht="15.75" hidden="1" customHeight="1"/>
    <row r="300" ht="15.75" hidden="1" customHeight="1"/>
    <row r="301" ht="15.75" hidden="1" customHeight="1"/>
    <row r="302" ht="15.75" hidden="1" customHeight="1"/>
    <row r="303" ht="15.75" hidden="1" customHeight="1"/>
    <row r="304" ht="15.75" hidden="1" customHeight="1"/>
    <row r="305" ht="15.75" hidden="1" customHeight="1"/>
    <row r="306" ht="15.75" hidden="1" customHeight="1"/>
    <row r="307" ht="15.75" hidden="1" customHeight="1"/>
    <row r="308" ht="15.75" hidden="1" customHeight="1"/>
    <row r="309" ht="15.75" hidden="1" customHeight="1"/>
    <row r="310" ht="15.75" hidden="1" customHeight="1"/>
    <row r="311" ht="15.75" hidden="1" customHeight="1"/>
    <row r="312" ht="15.75" hidden="1" customHeight="1"/>
    <row r="313" ht="15.75" hidden="1" customHeight="1"/>
    <row r="314" ht="15.75" hidden="1" customHeight="1"/>
    <row r="315" ht="15.75" hidden="1" customHeight="1"/>
    <row r="316" ht="15.75" hidden="1" customHeight="1"/>
    <row r="317" ht="15.75" hidden="1" customHeight="1"/>
    <row r="318" ht="15.75" hidden="1" customHeight="1"/>
    <row r="319" ht="15.75" hidden="1" customHeight="1"/>
    <row r="320" ht="15.75" hidden="1" customHeight="1"/>
    <row r="321" ht="15.75" hidden="1" customHeight="1"/>
    <row r="322" ht="15.75" hidden="1" customHeight="1"/>
    <row r="323" ht="15.75" hidden="1" customHeight="1"/>
    <row r="324" ht="15.75" hidden="1" customHeight="1"/>
    <row r="325" ht="15.75" hidden="1" customHeight="1"/>
    <row r="326" ht="15.75" hidden="1" customHeight="1"/>
    <row r="327" ht="15.75" hidden="1" customHeight="1"/>
    <row r="328" ht="15.75" hidden="1" customHeight="1"/>
    <row r="329" ht="15.75" hidden="1" customHeight="1"/>
    <row r="330" ht="15.75" hidden="1" customHeight="1"/>
    <row r="331" ht="15.75" hidden="1" customHeight="1"/>
    <row r="332" ht="15.75" hidden="1" customHeight="1"/>
    <row r="333" ht="15.75" hidden="1" customHeight="1"/>
    <row r="334" ht="15.75" hidden="1" customHeight="1"/>
    <row r="335" ht="15.75" hidden="1" customHeight="1"/>
    <row r="336" ht="15.75" hidden="1" customHeight="1"/>
    <row r="337" ht="15.75" hidden="1" customHeight="1"/>
    <row r="338" ht="15.75" hidden="1" customHeight="1"/>
    <row r="339" ht="15.75" hidden="1" customHeight="1"/>
    <row r="340" ht="15.75" hidden="1" customHeight="1"/>
    <row r="341" ht="15.75" hidden="1" customHeight="1"/>
    <row r="342" ht="15.75" hidden="1" customHeight="1"/>
    <row r="343" ht="15.75" hidden="1" customHeight="1"/>
    <row r="344" ht="15.75" hidden="1" customHeight="1"/>
    <row r="345" ht="15.75" hidden="1" customHeight="1"/>
    <row r="346" ht="15.75" hidden="1" customHeight="1"/>
    <row r="347" ht="15.75" hidden="1" customHeight="1"/>
    <row r="348" ht="15.75" hidden="1" customHeight="1"/>
    <row r="349" ht="15.75" hidden="1" customHeight="1"/>
    <row r="350" ht="15.75" hidden="1" customHeight="1"/>
    <row r="351" ht="15.75" hidden="1" customHeight="1"/>
    <row r="352" ht="15.75" hidden="1" customHeight="1"/>
    <row r="353" ht="15.75" hidden="1" customHeight="1"/>
    <row r="354" ht="15.75" hidden="1" customHeight="1"/>
    <row r="355" ht="15.75" hidden="1" customHeight="1"/>
    <row r="356" ht="15.75" hidden="1" customHeight="1"/>
    <row r="357" ht="15.75" hidden="1" customHeight="1"/>
    <row r="358" ht="15.75" hidden="1" customHeight="1"/>
    <row r="359" ht="15.75" hidden="1" customHeight="1"/>
    <row r="360" ht="15.75" hidden="1" customHeight="1"/>
    <row r="361" ht="15.75" hidden="1" customHeight="1"/>
    <row r="362" ht="15.75" hidden="1" customHeight="1"/>
    <row r="363" ht="15.75" hidden="1" customHeight="1"/>
    <row r="364" ht="15.75" hidden="1" customHeight="1"/>
    <row r="365" ht="15.75" hidden="1" customHeight="1"/>
    <row r="366" ht="15.75" hidden="1" customHeight="1"/>
    <row r="367" ht="15.75" hidden="1" customHeight="1"/>
    <row r="368" ht="15.75" hidden="1" customHeight="1"/>
    <row r="369" ht="15.75" hidden="1" customHeight="1"/>
    <row r="370" ht="15.75" hidden="1" customHeight="1"/>
    <row r="371" ht="15.75" hidden="1" customHeight="1"/>
    <row r="372" ht="15.75" hidden="1" customHeight="1"/>
    <row r="373" ht="15.75" hidden="1" customHeight="1"/>
    <row r="374" ht="15.75" hidden="1" customHeight="1"/>
    <row r="375" ht="15.75" hidden="1" customHeight="1"/>
    <row r="376" ht="15.75" hidden="1" customHeight="1"/>
    <row r="377" ht="15.75" hidden="1" customHeight="1"/>
    <row r="378" ht="15.75" hidden="1" customHeight="1"/>
    <row r="379" ht="15.75" hidden="1" customHeight="1"/>
    <row r="380" ht="15.75" hidden="1" customHeight="1"/>
    <row r="381" ht="15.75" hidden="1" customHeight="1"/>
    <row r="382" ht="15.75" hidden="1" customHeight="1"/>
    <row r="383" ht="15.75" hidden="1" customHeight="1"/>
    <row r="384" ht="15.75" hidden="1" customHeight="1"/>
    <row r="385" ht="15.75" hidden="1" customHeight="1"/>
    <row r="386" ht="15.75" hidden="1" customHeight="1"/>
    <row r="387" ht="15.75" hidden="1" customHeight="1"/>
    <row r="388" ht="15.75" hidden="1" customHeight="1"/>
    <row r="389" ht="15.75" hidden="1" customHeight="1"/>
    <row r="390" ht="15.75" hidden="1" customHeight="1"/>
    <row r="391" ht="15.75" hidden="1" customHeight="1"/>
    <row r="392" ht="15.75" hidden="1" customHeight="1"/>
    <row r="393" ht="15.75" hidden="1" customHeight="1"/>
    <row r="394" ht="15.75" hidden="1" customHeight="1"/>
    <row r="395" ht="15.75" hidden="1" customHeight="1"/>
    <row r="396" ht="15.75" hidden="1" customHeight="1"/>
    <row r="397" ht="15.75" hidden="1" customHeight="1"/>
    <row r="398" ht="15.75" hidden="1" customHeight="1"/>
    <row r="399" ht="15.75" hidden="1" customHeight="1"/>
    <row r="400" ht="15.75" hidden="1" customHeight="1"/>
    <row r="401" ht="15.75" hidden="1" customHeight="1"/>
    <row r="402" ht="15.75" hidden="1" customHeight="1"/>
    <row r="403" ht="15.75" hidden="1" customHeight="1"/>
    <row r="404" ht="15.75" hidden="1" customHeight="1"/>
    <row r="405" ht="15.75" hidden="1" customHeight="1"/>
    <row r="406" ht="15.75" hidden="1" customHeight="1"/>
    <row r="407" ht="15.75" hidden="1" customHeight="1"/>
    <row r="408" ht="15.75" hidden="1" customHeight="1"/>
    <row r="409" ht="15.75" hidden="1" customHeight="1"/>
    <row r="410" ht="15.75" hidden="1" customHeight="1"/>
    <row r="411" ht="15.75" hidden="1" customHeight="1"/>
    <row r="412" ht="15.75" hidden="1" customHeight="1"/>
    <row r="413" ht="15.75" hidden="1" customHeight="1"/>
    <row r="414" ht="15.75" hidden="1" customHeight="1"/>
    <row r="415" ht="15.75" hidden="1" customHeight="1"/>
    <row r="416" ht="15.75" hidden="1" customHeight="1"/>
    <row r="417" ht="15.75" hidden="1" customHeight="1"/>
    <row r="418" ht="15.75" hidden="1" customHeight="1"/>
    <row r="419" ht="15.75" hidden="1" customHeight="1"/>
    <row r="420" ht="15.75" hidden="1" customHeight="1"/>
    <row r="421" ht="15.75" hidden="1" customHeight="1"/>
    <row r="422" ht="15.75" hidden="1" customHeight="1"/>
    <row r="423" ht="15.75" hidden="1" customHeight="1"/>
    <row r="424" ht="15.75" hidden="1" customHeight="1"/>
    <row r="425" ht="15.75" hidden="1" customHeight="1"/>
    <row r="426" ht="15.75" hidden="1" customHeight="1"/>
    <row r="427" ht="15.75" hidden="1" customHeight="1"/>
    <row r="428" ht="15.75" hidden="1" customHeight="1"/>
    <row r="429" ht="15.75" hidden="1" customHeight="1"/>
    <row r="430" ht="15.75" hidden="1" customHeight="1"/>
    <row r="431" ht="15.75" hidden="1" customHeight="1"/>
    <row r="432" ht="15.75" hidden="1" customHeight="1"/>
    <row r="433" ht="15.75" hidden="1" customHeight="1"/>
    <row r="434" ht="15.75" hidden="1" customHeight="1"/>
    <row r="435" ht="15.75" hidden="1" customHeight="1"/>
    <row r="436" ht="15.75" hidden="1"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G13:H13"/>
    <mergeCell ref="I13:J13"/>
    <mergeCell ref="I19:J19"/>
    <mergeCell ref="I25:J25"/>
    <mergeCell ref="I31:J31"/>
    <mergeCell ref="I37:J37"/>
    <mergeCell ref="I43:J43"/>
    <mergeCell ref="G60:H60"/>
    <mergeCell ref="I60:J60"/>
    <mergeCell ref="I66:J66"/>
    <mergeCell ref="I72:J72"/>
    <mergeCell ref="I78:J78"/>
    <mergeCell ref="I84:J84"/>
    <mergeCell ref="I90:J90"/>
    <mergeCell ref="G107:H107"/>
    <mergeCell ref="I107:J107"/>
    <mergeCell ref="I113:J113"/>
    <mergeCell ref="I119:J119"/>
    <mergeCell ref="I125:J125"/>
    <mergeCell ref="I131:J131"/>
    <mergeCell ref="I137:J137"/>
    <mergeCell ref="G202:H202"/>
    <mergeCell ref="I202:J202"/>
    <mergeCell ref="I208:J208"/>
    <mergeCell ref="I214:J214"/>
    <mergeCell ref="I220:J220"/>
    <mergeCell ref="I226:J226"/>
    <mergeCell ref="I232:J232"/>
    <mergeCell ref="G154:H154"/>
    <mergeCell ref="I154:J154"/>
    <mergeCell ref="I160:J160"/>
    <mergeCell ref="I166:J166"/>
    <mergeCell ref="I172:J172"/>
    <mergeCell ref="I178:J178"/>
    <mergeCell ref="I184:J184"/>
  </mergeCells>
  <conditionalFormatting sqref="N14:Z14">
    <cfRule type="notContainsBlanks" dxfId="0" priority="1">
      <formula>LEN(TRIM(N14))&gt;0</formula>
    </cfRule>
  </conditionalFormatting>
  <conditionalFormatting sqref="O21:Z21">
    <cfRule type="notContainsBlanks" dxfId="0" priority="2">
      <formula>LEN(TRIM(O21))&gt;0</formula>
    </cfRule>
  </conditionalFormatting>
  <dataValidations>
    <dataValidation type="list" allowBlank="1" sqref="I9 I56 I103 I150 I198">
      <formula1>"1.0,2.0,3.0,4.0,5.0"</formula1>
    </dataValidation>
    <dataValidation type="list" allowBlank="1" sqref="D9">
      <formula1>"Phase1,Phase2,Phase3,Phase4,PrePeaking,Peaking"</formula1>
    </dataValidation>
    <dataValidation type="list" allowBlank="1" sqref="D56 D103 D150 D198">
      <formula1>"Phase1,Phase2,Phase3,Phase4,Phase5,Phase6"</formula1>
    </dataValidation>
    <dataValidation type="list" allowBlank="1" sqref="D13 D19 D25 D31 D37 D43 D60 D66 D72 D78 D84 D90 D107 D113 D119 D125 D131 D137 D154 D160 D166 D172 D178 D184 D202 D208 D214 D220 D226 D232">
      <formula1>"Squat,Deadlift,Bench,Exercise"</formula1>
    </dataValidation>
  </dataValidations>
  <printOptions gridLines="1"/>
  <pageMargins bottom="0.75" footer="0.0" header="0.0" left="0.7" right="0.7" top="0.75"/>
  <pageSetup orientation="portrait"/>
  <rowBreaks count="3" manualBreakCount="3">
    <brk id="141" man="1"/>
    <brk id="94" man="1"/>
    <brk id="47" man="1"/>
  </rowBreaks>
  <colBreaks count="1" manualBreakCount="1">
    <brk id="10" man="1"/>
  </colBreak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2017-12-21T17:40:12Z</dcterms:created>
  <dc:creator>Thomas Matthews</dc:creator>
</cp:coreProperties>
</file>